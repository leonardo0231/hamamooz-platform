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9.xml" ContentType="application/vnd.openxmlformats-officedocument.spreadsheetml.worksheet+xml"/>
  <Override PartName="/xl/drawings/drawing2.xml" ContentType="application/vnd.openxmlformats-officedocument.drawing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1a0736b3df42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راهنما" sheetId="1" r:id="R5909d24b02e049e5"/>
    <x:sheet xmlns:r="http://schemas.openxmlformats.org/officeDocument/2006/relationships" name="کلاس‌بندی" sheetId="2" r:id="R9ac0e7fbc5b6470d"/>
    <x:sheet xmlns:r="http://schemas.openxmlformats.org/officeDocument/2006/relationships" name="دانش‌آموزان" sheetId="3" r:id="R23bbeab872b44784"/>
    <x:sheet xmlns:r="http://schemas.openxmlformats.org/officeDocument/2006/relationships" name="تنظیمات وزن‌دهی" sheetId="4" r:id="Rd19ac987818b4f6c"/>
    <x:sheet xmlns:r="http://schemas.openxmlformats.org/officeDocument/2006/relationships" name="بانک راهکارها" sheetId="5" r:id="Rb6381afd9c6e45fa"/>
    <x:sheet xmlns:r="http://schemas.openxmlformats.org/officeDocument/2006/relationships" name="ثبت اطلاعات" sheetId="6" r:id="R042aecb1bb68417e"/>
    <x:sheet xmlns:r="http://schemas.openxmlformats.org/officeDocument/2006/relationships" name="تحلیل دانش‌آموزان" sheetId="7" r:id="R240e33ace8d44e40"/>
    <x:sheet xmlns:r="http://schemas.openxmlformats.org/officeDocument/2006/relationships" name="گزارش دانش‌آموز" sheetId="8" r:id="R3ad98b64f8094b96"/>
    <x:sheet xmlns:r="http://schemas.openxmlformats.org/officeDocument/2006/relationships" name="داشبورد" sheetId="9" r:id="Rc02d8411a61749b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9">
    <x:font>
      <x:sz val="11"/>
      <x:name val="Carlito"/>
    </x:font>
    <x:font>
      <x:b/>
      <x:sz val="18"/>
      <x:color rgb="FFFFFFFF"/>
      <x:name val="Vazirmatn"/>
    </x:font>
    <x:font>
      <x:sz val="10"/>
      <x:color rgb="FF1F2937"/>
      <x:name val="Vazirmatn"/>
    </x:font>
    <x:font>
      <x:b/>
      <x:sz val="10"/>
      <x:color rgb="FFFFFFFF"/>
      <x:name val="Vazirmatn"/>
    </x:font>
    <x:font>
      <x:sz val="9"/>
      <x:color rgb="FF1F2937"/>
      <x:name val="Vazirmatn"/>
    </x:font>
    <x:font>
      <x:b/>
      <x:sz val="11"/>
      <x:color rgb="FF1F2937"/>
      <x:name val="Vazirmatn"/>
    </x:font>
    <x:font>
      <x:b/>
      <x:sz val="11"/>
      <x:color rgb="FFFFFFFF"/>
      <x:name val="Vazirmatn"/>
    </x:font>
    <x:font>
      <x:b/>
      <x:sz val="22"/>
      <x:color rgb="FF1F4E78"/>
      <x:name val="Vazirmatn"/>
    </x:font>
    <x:font>
      <x:sz val="11"/>
      <x:name val="Vazirmatn"/>
    </x:font>
  </x:fonts>
  <x:fills count="12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AF3F8"/>
      </x:patternFill>
    </x:fill>
    <x:fill>
      <x:patternFill patternType="solid">
        <x:fgColor rgb="FFFFFFFF"/>
      </x:patternFill>
    </x:fill>
    <x:fill>
      <x:patternFill patternType="solid">
        <x:fgColor rgb="FFFFF2CC"/>
      </x:patternFill>
    </x:fill>
    <x:fill>
      <x:patternFill patternType="solid">
        <x:fgColor rgb="FFE7E6E6"/>
      </x:patternFill>
    </x:fill>
    <x:fill>
      <x:patternFill patternType="solid">
        <x:fgColor rgb="FFF3F4F6"/>
      </x:patternFill>
    </x:fill>
    <x:fill>
      <x:patternFill patternType="solid">
        <x:fgColor rgb="FFF1F8ED"/>
      </x:patternFill>
    </x:fill>
    <x:fill>
      <x:patternFill patternType="solid">
        <x:fgColor rgb="FF17365D"/>
      </x:patternFill>
    </x:fill>
    <x:fill>
      <x:patternFill patternType="solid">
        <x:fgColor rgb="FF548235"/>
      </x:patternFill>
    </x:fill>
    <x:fill>
      <x:patternFill patternType="solid">
        <x:fgColor rgb="FFD9EAF7"/>
      </x:patternFill>
    </x:fill>
  </x:fills>
  <x:borders count="22">
    <x:border/>
    <x:border>
      <x:left style="thin">
        <x:color rgb="FFB4C6E7"/>
      </x:left>
      <x:top style="thin">
        <x:color rgb="FFB4C6E7"/>
      </x:top>
      <x:bottom style="thin">
        <x:color rgb="FFB4C6E7"/>
      </x:bottom>
    </x:border>
    <x:border>
      <x:top style="thin">
        <x:color rgb="FFB4C6E7"/>
      </x:top>
      <x:bottom style="thin">
        <x:color rgb="FFB4C6E7"/>
      </x:bottom>
    </x:border>
    <x:border>
      <x:right style="thin">
        <x:color rgb="FFB4C6E7"/>
      </x:right>
      <x:top style="thin">
        <x:color rgb="FFB4C6E7"/>
      </x:top>
      <x:bottom style="thin">
        <x:color rgb="FFB4C6E7"/>
      </x:bottom>
    </x:border>
    <x:border>
      <x:left style="hair">
        <x:color rgb="FFD9E2F3"/>
      </x:left>
      <x:top style="hair">
        <x:color rgb="FFD9E2F3"/>
      </x:top>
    </x:border>
    <x:border>
      <x:top style="hair">
        <x:color rgb="FFD9E2F3"/>
      </x:top>
    </x:border>
    <x:border>
      <x:right style="hair">
        <x:color rgb="FFD9E2F3"/>
      </x:right>
      <x:top style="hair">
        <x:color rgb="FFD9E2F3"/>
      </x:top>
    </x:border>
    <x:border>
      <x:left style="hair">
        <x:color rgb="FFD9E2F3"/>
      </x:left>
    </x:border>
    <x:border>
      <x:right style="hair">
        <x:color rgb="FFD9E2F3"/>
      </x:right>
    </x:border>
    <x:border>
      <x:left style="hair">
        <x:color rgb="FFD9E2F3"/>
      </x:left>
      <x:bottom style="hair">
        <x:color rgb="FFD9E2F3"/>
      </x:bottom>
    </x:border>
    <x:border>
      <x:bottom style="hair">
        <x:color rgb="FFD9E2F3"/>
      </x:bottom>
    </x:border>
    <x:border>
      <x:right style="hair">
        <x:color rgb="FFD9E2F3"/>
      </x:right>
      <x:bottom style="hair">
        <x:color rgb="FFD9E2F3"/>
      </x:bottom>
    </x:border>
    <x:border>
      <x:left style="hair">
        <x:color rgb="FFD9E2F3"/>
      </x:left>
      <x:right style="hair">
        <x:color rgb="FFD9E2F3"/>
      </x:right>
      <x:top style="hair">
        <x:color rgb="FFD9E2F3"/>
      </x:top>
    </x:border>
    <x:border>
      <x:left style="hair">
        <x:color rgb="FFD9E2F3"/>
      </x:left>
      <x:right style="hair">
        <x:color rgb="FFD9E2F3"/>
      </x:right>
    </x:border>
    <x:border>
      <x:left style="hair">
        <x:color rgb="FFD9E2F3"/>
      </x:left>
      <x:right style="hair">
        <x:color rgb="FFD9E2F3"/>
      </x:right>
      <x:bottom style="hair">
        <x:color rgb="FFD9E2F3"/>
      </x:bottom>
    </x:border>
    <x:border>
      <x:left style="hair">
        <x:color rgb="FFD9E2F3"/>
      </x:left>
      <x:right style="hair">
        <x:color rgb="FFD9E2F3"/>
      </x:right>
      <x:top style="hair">
        <x:color rgb="FFD9E2F3"/>
      </x:top>
      <x:bottom style="hair">
        <x:color rgb="FFD9E2F3"/>
      </x:bottom>
    </x:border>
    <x:border>
      <x:left style="thin">
        <x:color rgb="FFB4C6E7"/>
      </x:left>
      <x:top style="thin">
        <x:color rgb="FFB4C6E7"/>
      </x:top>
    </x:border>
    <x:border>
      <x:top style="thin">
        <x:color rgb="FFB4C6E7"/>
      </x:top>
    </x:border>
    <x:border>
      <x:right style="thin">
        <x:color rgb="FFB4C6E7"/>
      </x:right>
      <x:top style="thin">
        <x:color rgb="FFB4C6E7"/>
      </x:top>
    </x:border>
    <x:border>
      <x:left style="thin">
        <x:color rgb="FFB4C6E7"/>
      </x:left>
      <x:bottom style="thin">
        <x:color rgb="FFB4C6E7"/>
      </x:bottom>
    </x:border>
    <x:border>
      <x:bottom style="thin">
        <x:color rgb="FFB4C6E7"/>
      </x:bottom>
    </x:border>
    <x:border>
      <x:right style="thin">
        <x:color rgb="FFB4C6E7"/>
      </x:right>
      <x:bottom style="thin">
        <x:color rgb="FFB4C6E7"/>
      </x:bottom>
    </x:border>
  </x:borders>
  <x:cellStyleXfs count="1">
    <x:xf numFmtId="0" fontId="0" fillId="0" borderId="0"/>
  </x:cellStyleXfs>
  <x:cellXfs count="30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right" wrapText="1"/>
    </x:xf>
    <x:xf numFmtId="0" fontId="2" fillId="3" borderId="0" xfId="0" applyNumberFormat="1" applyFont="1" applyFill="1" applyBorder="1" applyAlignment="1">
      <x:alignment horizontal="right" vertical="center"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wrapText="1"/>
    </x:xf>
    <x:xf numFmtId="0" fontId="3" fillId="2" borderId="3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2" xfId="0" applyNumberFormat="1" applyFont="1" applyFill="1" applyBorder="1" applyAlignment="1">
      <x:alignment horizontal="center" wrapText="1"/>
    </x:xf>
    <x:xf numFmtId="0" fontId="3" fillId="2" borderId="3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4" xfId="0" applyNumberFormat="1" applyFont="1" applyFill="1" applyBorder="1"/>
    <x:xf numFmtId="0" fontId="4" fillId="4" borderId="5" xfId="0" applyNumberFormat="1" applyFont="1" applyFill="1" applyBorder="1"/>
    <x:xf numFmtId="0" fontId="4" fillId="4" borderId="6" xfId="0" applyNumberFormat="1" applyFont="1" applyFill="1" applyBorder="1"/>
    <x:xf numFmtId="0" fontId="4" fillId="4" borderId="7" xfId="0" applyNumberFormat="1" applyFont="1" applyFill="1" applyBorder="1"/>
    <x:xf numFmtId="0" fontId="4" fillId="4" borderId="8" xfId="0" applyNumberFormat="1" applyFont="1" applyFill="1" applyBorder="1"/>
    <x:xf numFmtId="0" fontId="4" fillId="4" borderId="9" xfId="0" applyNumberFormat="1" applyFont="1" applyFill="1" applyBorder="1"/>
    <x:xf numFmtId="0" fontId="4" fillId="4" borderId="10" xfId="0" applyNumberFormat="1" applyFont="1" applyFill="1" applyBorder="1"/>
    <x:xf numFmtId="0" fontId="4" fillId="4" borderId="11" xfId="0" applyNumberFormat="1" applyFont="1" applyFill="1" applyBorder="1"/>
    <x:xf numFmtId="0" fontId="4" fillId="4" borderId="4" xfId="0" applyNumberFormat="1" applyFont="1" applyFill="1" applyBorder="1" applyAlignment="1">
      <x:alignment wrapText="1"/>
    </x:xf>
    <x:xf numFmtId="0" fontId="4" fillId="4" borderId="5" xfId="0" applyNumberFormat="1" applyFont="1" applyFill="1" applyBorder="1" applyAlignment="1">
      <x:alignment wrapText="1"/>
    </x:xf>
    <x:xf numFmtId="0" fontId="4" fillId="4" borderId="6" xfId="0" applyNumberFormat="1" applyFont="1" applyFill="1" applyBorder="1" applyAlignment="1">
      <x:alignment wrapText="1"/>
    </x:xf>
    <x:xf numFmtId="0" fontId="4" fillId="4" borderId="7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wrapText="1"/>
    </x:xf>
    <x:xf numFmtId="0" fontId="4" fillId="4" borderId="8" xfId="0" applyNumberFormat="1" applyFont="1" applyFill="1" applyBorder="1" applyAlignment="1">
      <x:alignment wrapText="1"/>
    </x:xf>
    <x:xf numFmtId="0" fontId="4" fillId="4" borderId="9" xfId="0" applyNumberFormat="1" applyFont="1" applyFill="1" applyBorder="1" applyAlignment="1">
      <x:alignment wrapText="1"/>
    </x:xf>
    <x:xf numFmtId="0" fontId="4" fillId="4" borderId="10" xfId="0" applyNumberFormat="1" applyFont="1" applyFill="1" applyBorder="1" applyAlignment="1">
      <x:alignment wrapText="1"/>
    </x:xf>
    <x:xf numFmtId="0" fontId="4" fillId="4" borderId="11" xfId="0" applyNumberFormat="1" applyFont="1" applyFill="1" applyBorder="1" applyAlignment="1">
      <x:alignment wrapText="1"/>
    </x:xf>
    <x:xf numFmtId="0" fontId="4" fillId="4" borderId="4" xfId="0" applyNumberFormat="1" applyFont="1" applyFill="1" applyBorder="1" applyAlignment="1">
      <x:alignment horizontal="right" wrapText="1"/>
    </x:xf>
    <x:xf numFmtId="0" fontId="4" fillId="4" borderId="5" xfId="0" applyNumberFormat="1" applyFont="1" applyFill="1" applyBorder="1" applyAlignment="1">
      <x:alignment horizontal="right" wrapText="1"/>
    </x:xf>
    <x:xf numFmtId="0" fontId="4" fillId="4" borderId="6" xfId="0" applyNumberFormat="1" applyFont="1" applyFill="1" applyBorder="1" applyAlignment="1">
      <x:alignment horizontal="right" wrapText="1"/>
    </x:xf>
    <x:xf numFmtId="0" fontId="4" fillId="4" borderId="7" xfId="0" applyNumberFormat="1" applyFont="1" applyFill="1" applyBorder="1" applyAlignment="1">
      <x:alignment horizontal="right" wrapText="1"/>
    </x:xf>
    <x:xf numFmtId="0" fontId="4" fillId="4" borderId="0" xfId="0" applyNumberFormat="1" applyFont="1" applyFill="1" applyBorder="1" applyAlignment="1">
      <x:alignment horizontal="right" wrapText="1"/>
    </x:xf>
    <x:xf numFmtId="0" fontId="4" fillId="4" borderId="8" xfId="0" applyNumberFormat="1" applyFont="1" applyFill="1" applyBorder="1" applyAlignment="1">
      <x:alignment horizontal="right" wrapText="1"/>
    </x:xf>
    <x:xf numFmtId="0" fontId="4" fillId="4" borderId="9" xfId="0" applyNumberFormat="1" applyFont="1" applyFill="1" applyBorder="1" applyAlignment="1">
      <x:alignment horizontal="right" wrapText="1"/>
    </x:xf>
    <x:xf numFmtId="0" fontId="4" fillId="4" borderId="10" xfId="0" applyNumberFormat="1" applyFont="1" applyFill="1" applyBorder="1" applyAlignment="1">
      <x:alignment horizontal="right" wrapText="1"/>
    </x:xf>
    <x:xf numFmtId="0" fontId="4" fillId="4" borderId="11" xfId="0" applyNumberFormat="1" applyFont="1" applyFill="1" applyBorder="1" applyAlignment="1">
      <x:alignment horizontal="right" wrapText="1"/>
    </x:xf>
    <x:xf numFmtId="0" fontId="4" fillId="4" borderId="4" xfId="0" applyNumberFormat="1" applyFont="1" applyFill="1" applyBorder="1" applyAlignment="1">
      <x:alignment horizontal="right" vertical="center" wrapText="1"/>
    </x:xf>
    <x:xf numFmtId="0" fontId="4" fillId="4" borderId="5" xfId="0" applyNumberFormat="1" applyFont="1" applyFill="1" applyBorder="1" applyAlignment="1">
      <x:alignment horizontal="right" vertical="center" wrapText="1"/>
    </x:xf>
    <x:xf numFmtId="0" fontId="4" fillId="4" borderId="6" xfId="0" applyNumberFormat="1" applyFont="1" applyFill="1" applyBorder="1" applyAlignment="1">
      <x:alignment horizontal="right" vertical="center" wrapText="1"/>
    </x:xf>
    <x:xf numFmtId="0" fontId="4" fillId="4" borderId="7" xfId="0" applyNumberFormat="1" applyFont="1" applyFill="1" applyBorder="1" applyAlignment="1">
      <x:alignment horizontal="right" vertical="center" wrapText="1"/>
    </x:xf>
    <x:xf numFmtId="0" fontId="4" fillId="4" borderId="0" xfId="0" applyNumberFormat="1" applyFont="1" applyFill="1" applyBorder="1" applyAlignment="1">
      <x:alignment horizontal="right" vertical="center" wrapText="1"/>
    </x:xf>
    <x:xf numFmtId="0" fontId="4" fillId="4" borderId="8" xfId="0" applyNumberFormat="1" applyFont="1" applyFill="1" applyBorder="1" applyAlignment="1">
      <x:alignment horizontal="right" vertical="center" wrapText="1"/>
    </x:xf>
    <x:xf numFmtId="0" fontId="4" fillId="4" borderId="9" xfId="0" applyNumberFormat="1" applyFont="1" applyFill="1" applyBorder="1" applyAlignment="1">
      <x:alignment horizontal="right" vertical="center" wrapText="1"/>
    </x:xf>
    <x:xf numFmtId="0" fontId="4" fillId="4" borderId="10" xfId="0" applyNumberFormat="1" applyFont="1" applyFill="1" applyBorder="1" applyAlignment="1">
      <x:alignment horizontal="right" vertical="center" wrapText="1"/>
    </x:xf>
    <x:xf numFmtId="0" fontId="4" fillId="4" borderId="11" xfId="0" applyNumberFormat="1" applyFont="1" applyFill="1" applyBorder="1" applyAlignment="1">
      <x:alignment horizontal="right" vertical="center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horizontal="center" wrapText="1"/>
    </x:xf>
    <x:xf numFmtId="0" fontId="5" fillId="5" borderId="0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horizontal="center" wrapText="1"/>
    </x:xf>
    <x:xf numFmtId="0" fontId="5" fillId="6" borderId="0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12" xfId="0" applyNumberFormat="1" applyFont="1" applyFill="1" applyBorder="1"/>
    <x:xf numFmtId="0" fontId="4" fillId="7" borderId="13" xfId="0" applyNumberFormat="1" applyFont="1" applyFill="1" applyBorder="1"/>
    <x:xf numFmtId="0" fontId="4" fillId="7" borderId="14" xfId="0" applyNumberFormat="1" applyFont="1" applyFill="1" applyBorder="1"/>
    <x:xf numFmtId="0" fontId="4" fillId="7" borderId="12" xfId="0" applyNumberFormat="1" applyFont="1" applyFill="1" applyBorder="1" applyAlignment="1">
      <x:alignment wrapText="1"/>
    </x:xf>
    <x:xf numFmtId="0" fontId="4" fillId="7" borderId="13" xfId="0" applyNumberFormat="1" applyFont="1" applyFill="1" applyBorder="1" applyAlignment="1">
      <x:alignment wrapText="1"/>
    </x:xf>
    <x:xf numFmtId="0" fontId="4" fillId="7" borderId="14" xfId="0" applyNumberFormat="1" applyFont="1" applyFill="1" applyBorder="1" applyAlignment="1">
      <x:alignment wrapText="1"/>
    </x:xf>
    <x:xf numFmtId="0" fontId="4" fillId="7" borderId="12" xfId="0" applyNumberFormat="1" applyFont="1" applyFill="1" applyBorder="1" applyAlignment="1">
      <x:alignment horizontal="center" wrapText="1"/>
    </x:xf>
    <x:xf numFmtId="0" fontId="4" fillId="7" borderId="13" xfId="0" applyNumberFormat="1" applyFont="1" applyFill="1" applyBorder="1" applyAlignment="1">
      <x:alignment horizontal="center" wrapText="1"/>
    </x:xf>
    <x:xf numFmtId="0" fontId="4" fillId="7" borderId="14" xfId="0" applyNumberFormat="1" applyFont="1" applyFill="1" applyBorder="1" applyAlignment="1">
      <x:alignment horizontal="center" wrapText="1"/>
    </x:xf>
    <x:xf numFmtId="0" fontId="4" fillId="7" borderId="12" xfId="0" applyNumberFormat="1" applyFont="1" applyFill="1" applyBorder="1" applyAlignment="1">
      <x:alignment horizontal="center" vertical="center" wrapText="1"/>
    </x:xf>
    <x:xf numFmtId="0" fontId="4" fillId="7" borderId="13" xfId="0" applyNumberFormat="1" applyFont="1" applyFill="1" applyBorder="1" applyAlignment="1">
      <x:alignment horizontal="center" vertical="center" wrapText="1"/>
    </x:xf>
    <x:xf numFmtId="0" fontId="4" fillId="7" borderId="14" xfId="0" applyNumberFormat="1" applyFont="1" applyFill="1" applyBorder="1" applyAlignment="1">
      <x:alignment horizontal="center" vertical="center" wrapText="1"/>
    </x:xf>
    <x:xf numFmtId="0" fontId="4" fillId="5" borderId="0" xfId="0" applyNumberFormat="1" applyFont="1" applyFill="1" applyBorder="1"/>
    <x:xf numFmtId="0" fontId="4" fillId="5" borderId="4" xfId="0" applyNumberFormat="1" applyFont="1" applyFill="1" applyBorder="1"/>
    <x:xf numFmtId="0" fontId="4" fillId="5" borderId="5" xfId="0" applyNumberFormat="1" applyFont="1" applyFill="1" applyBorder="1"/>
    <x:xf numFmtId="0" fontId="4" fillId="5" borderId="6" xfId="0" applyNumberFormat="1" applyFont="1" applyFill="1" applyBorder="1"/>
    <x:xf numFmtId="0" fontId="4" fillId="5" borderId="7" xfId="0" applyNumberFormat="1" applyFont="1" applyFill="1" applyBorder="1"/>
    <x:xf numFmtId="0" fontId="4" fillId="5" borderId="8" xfId="0" applyNumberFormat="1" applyFont="1" applyFill="1" applyBorder="1"/>
    <x:xf numFmtId="0" fontId="4" fillId="5" borderId="9" xfId="0" applyNumberFormat="1" applyFont="1" applyFill="1" applyBorder="1"/>
    <x:xf numFmtId="0" fontId="4" fillId="5" borderId="10" xfId="0" applyNumberFormat="1" applyFont="1" applyFill="1" applyBorder="1"/>
    <x:xf numFmtId="0" fontId="4" fillId="5" borderId="11" xfId="0" applyNumberFormat="1" applyFont="1" applyFill="1" applyBorder="1"/>
    <x:xf numFmtId="0" fontId="4" fillId="5" borderId="4" xfId="0" applyNumberFormat="1" applyFont="1" applyFill="1" applyBorder="1" applyAlignment="1">
      <x:alignment wrapText="1"/>
    </x:xf>
    <x:xf numFmtId="0" fontId="4" fillId="5" borderId="5" xfId="0" applyNumberFormat="1" applyFont="1" applyFill="1" applyBorder="1" applyAlignment="1">
      <x:alignment wrapText="1"/>
    </x:xf>
    <x:xf numFmtId="0" fontId="4" fillId="5" borderId="6" xfId="0" applyNumberFormat="1" applyFont="1" applyFill="1" applyBorder="1" applyAlignment="1">
      <x:alignment wrapText="1"/>
    </x:xf>
    <x:xf numFmtId="0" fontId="4" fillId="5" borderId="7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wrapText="1"/>
    </x:xf>
    <x:xf numFmtId="0" fontId="4" fillId="5" borderId="8" xfId="0" applyNumberFormat="1" applyFont="1" applyFill="1" applyBorder="1" applyAlignment="1">
      <x:alignment wrapText="1"/>
    </x:xf>
    <x:xf numFmtId="0" fontId="4" fillId="5" borderId="9" xfId="0" applyNumberFormat="1" applyFont="1" applyFill="1" applyBorder="1" applyAlignment="1">
      <x:alignment wrapText="1"/>
    </x:xf>
    <x:xf numFmtId="0" fontId="4" fillId="5" borderId="10" xfId="0" applyNumberFormat="1" applyFont="1" applyFill="1" applyBorder="1" applyAlignment="1">
      <x:alignment wrapText="1"/>
    </x:xf>
    <x:xf numFmtId="0" fontId="4" fillId="5" borderId="11" xfId="0" applyNumberFormat="1" applyFont="1" applyFill="1" applyBorder="1" applyAlignment="1">
      <x:alignment wrapText="1"/>
    </x:xf>
    <x:xf numFmtId="0" fontId="4" fillId="5" borderId="4" xfId="0" applyNumberFormat="1" applyFont="1" applyFill="1" applyBorder="1" applyAlignment="1">
      <x:alignment horizontal="center" wrapText="1"/>
    </x:xf>
    <x:xf numFmtId="0" fontId="4" fillId="5" borderId="5" xfId="0" applyNumberFormat="1" applyFont="1" applyFill="1" applyBorder="1" applyAlignment="1">
      <x:alignment horizontal="center" wrapText="1"/>
    </x:xf>
    <x:xf numFmtId="0" fontId="4" fillId="5" borderId="6" xfId="0" applyNumberFormat="1" applyFont="1" applyFill="1" applyBorder="1" applyAlignment="1">
      <x:alignment horizontal="center" wrapText="1"/>
    </x:xf>
    <x:xf numFmtId="0" fontId="4" fillId="5" borderId="7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8" xfId="0" applyNumberFormat="1" applyFont="1" applyFill="1" applyBorder="1" applyAlignment="1">
      <x:alignment horizontal="center" wrapText="1"/>
    </x:xf>
    <x:xf numFmtId="0" fontId="4" fillId="5" borderId="9" xfId="0" applyNumberFormat="1" applyFont="1" applyFill="1" applyBorder="1" applyAlignment="1">
      <x:alignment horizontal="center" wrapText="1"/>
    </x:xf>
    <x:xf numFmtId="0" fontId="4" fillId="5" borderId="10" xfId="0" applyNumberFormat="1" applyFont="1" applyFill="1" applyBorder="1" applyAlignment="1">
      <x:alignment horizontal="center" wrapText="1"/>
    </x:xf>
    <x:xf numFmtId="0" fontId="4" fillId="5" borderId="11" xfId="0" applyNumberFormat="1" applyFont="1" applyFill="1" applyBorder="1" applyAlignment="1">
      <x:alignment horizontal="center" wrapText="1"/>
    </x:xf>
    <x:xf numFmtId="0" fontId="4" fillId="5" borderId="4" xfId="0" applyNumberFormat="1" applyFont="1" applyFill="1" applyBorder="1" applyAlignment="1">
      <x:alignment horizontal="center" vertical="center" wrapText="1"/>
    </x:xf>
    <x:xf numFmtId="0" fontId="4" fillId="5" borderId="5" xfId="0" applyNumberFormat="1" applyFont="1" applyFill="1" applyBorder="1" applyAlignment="1">
      <x:alignment horizontal="center" vertical="center" wrapText="1"/>
    </x:xf>
    <x:xf numFmtId="0" fontId="4" fillId="5" borderId="6" xfId="0" applyNumberFormat="1" applyFont="1" applyFill="1" applyBorder="1" applyAlignment="1">
      <x:alignment horizontal="center" vertical="center" wrapText="1"/>
    </x:xf>
    <x:xf numFmtId="0" fontId="4" fillId="5" borderId="7" xfId="0" applyNumberFormat="1" applyFont="1" applyFill="1" applyBorder="1" applyAlignment="1">
      <x:alignment horizontal="center" vertic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4" fillId="5" borderId="8" xfId="0" applyNumberFormat="1" applyFont="1" applyFill="1" applyBorder="1" applyAlignment="1">
      <x:alignment horizontal="center" vertical="center" wrapText="1"/>
    </x:xf>
    <x:xf numFmtId="0" fontId="4" fillId="5" borderId="9" xfId="0" applyNumberFormat="1" applyFont="1" applyFill="1" applyBorder="1" applyAlignment="1">
      <x:alignment horizontal="center" vertical="center" wrapText="1"/>
    </x:xf>
    <x:xf numFmtId="0" fontId="4" fillId="5" borderId="10" xfId="0" applyNumberFormat="1" applyFont="1" applyFill="1" applyBorder="1" applyAlignment="1">
      <x:alignment horizontal="center" vertical="center" wrapText="1"/>
    </x:xf>
    <x:xf numFmtId="0" fontId="4" fillId="5" borderId="11" xfId="0" applyNumberFormat="1" applyFont="1" applyFill="1" applyBorder="1" applyAlignment="1">
      <x:alignment horizontal="center" vertical="center" wrapText="1"/>
    </x:xf>
    <x:xf numFmtId="0" fontId="4" fillId="3" borderId="0" xfId="0" applyNumberFormat="1" applyFont="1" applyFill="1" applyBorder="1"/>
    <x:xf numFmtId="0" fontId="4" fillId="3" borderId="4" xfId="0" applyNumberFormat="1" applyFont="1" applyFill="1" applyBorder="1"/>
    <x:xf numFmtId="0" fontId="4" fillId="3" borderId="6" xfId="0" applyNumberFormat="1" applyFont="1" applyFill="1" applyBorder="1"/>
    <x:xf numFmtId="0" fontId="4" fillId="3" borderId="7" xfId="0" applyNumberFormat="1" applyFont="1" applyFill="1" applyBorder="1"/>
    <x:xf numFmtId="0" fontId="4" fillId="3" borderId="8" xfId="0" applyNumberFormat="1" applyFont="1" applyFill="1" applyBorder="1"/>
    <x:xf numFmtId="0" fontId="4" fillId="3" borderId="9" xfId="0" applyNumberFormat="1" applyFont="1" applyFill="1" applyBorder="1"/>
    <x:xf numFmtId="0" fontId="4" fillId="3" borderId="11" xfId="0" applyNumberFormat="1" applyFont="1" applyFill="1" applyBorder="1"/>
    <x:xf numFmtId="0" fontId="4" fillId="3" borderId="4" xfId="0" applyNumberFormat="1" applyFont="1" applyFill="1" applyBorder="1" applyAlignment="1">
      <x:alignment wrapText="1"/>
    </x:xf>
    <x:xf numFmtId="0" fontId="4" fillId="3" borderId="6" xfId="0" applyNumberFormat="1" applyFont="1" applyFill="1" applyBorder="1" applyAlignment="1">
      <x:alignment wrapText="1"/>
    </x:xf>
    <x:xf numFmtId="0" fontId="4" fillId="3" borderId="7" xfId="0" applyNumberFormat="1" applyFont="1" applyFill="1" applyBorder="1" applyAlignment="1">
      <x:alignment wrapText="1"/>
    </x:xf>
    <x:xf numFmtId="0" fontId="4" fillId="3" borderId="8" xfId="0" applyNumberFormat="1" applyFont="1" applyFill="1" applyBorder="1" applyAlignment="1">
      <x:alignment wrapText="1"/>
    </x:xf>
    <x:xf numFmtId="0" fontId="4" fillId="3" borderId="9" xfId="0" applyNumberFormat="1" applyFont="1" applyFill="1" applyBorder="1" applyAlignment="1">
      <x:alignment wrapText="1"/>
    </x:xf>
    <x:xf numFmtId="0" fontId="4" fillId="3" borderId="11" xfId="0" applyNumberFormat="1" applyFont="1" applyFill="1" applyBorder="1" applyAlignment="1">
      <x:alignment wrapText="1"/>
    </x:xf>
    <x:xf numFmtId="0" fontId="4" fillId="3" borderId="4" xfId="0" applyNumberFormat="1" applyFont="1" applyFill="1" applyBorder="1" applyAlignment="1">
      <x:alignment horizontal="center" wrapText="1"/>
    </x:xf>
    <x:xf numFmtId="0" fontId="4" fillId="3" borderId="6" xfId="0" applyNumberFormat="1" applyFont="1" applyFill="1" applyBorder="1" applyAlignment="1">
      <x:alignment horizontal="center" wrapText="1"/>
    </x:xf>
    <x:xf numFmtId="0" fontId="4" fillId="3" borderId="7" xfId="0" applyNumberFormat="1" applyFont="1" applyFill="1" applyBorder="1" applyAlignment="1">
      <x:alignment horizontal="center" wrapText="1"/>
    </x:xf>
    <x:xf numFmtId="0" fontId="4" fillId="3" borderId="8" xfId="0" applyNumberFormat="1" applyFont="1" applyFill="1" applyBorder="1" applyAlignment="1">
      <x:alignment horizontal="center" wrapText="1"/>
    </x:xf>
    <x:xf numFmtId="0" fontId="4" fillId="3" borderId="9" xfId="0" applyNumberFormat="1" applyFont="1" applyFill="1" applyBorder="1" applyAlignment="1">
      <x:alignment horizontal="center" wrapText="1"/>
    </x:xf>
    <x:xf numFmtId="0" fontId="4" fillId="3" borderId="11" xfId="0" applyNumberFormat="1" applyFont="1" applyFill="1" applyBorder="1" applyAlignment="1">
      <x:alignment horizontal="center" wrapText="1"/>
    </x:xf>
    <x:xf numFmtId="0" fontId="4" fillId="3" borderId="4" xfId="0" applyNumberFormat="1" applyFont="1" applyFill="1" applyBorder="1" applyAlignment="1">
      <x:alignment horizontal="center" vertical="center" wrapText="1"/>
    </x:xf>
    <x:xf numFmtId="0" fontId="4" fillId="3" borderId="6" xfId="0" applyNumberFormat="1" applyFont="1" applyFill="1" applyBorder="1" applyAlignment="1">
      <x:alignment horizontal="center" vertical="center" wrapText="1"/>
    </x:xf>
    <x:xf numFmtId="0" fontId="4" fillId="3" borderId="7" xfId="0" applyNumberFormat="1" applyFont="1" applyFill="1" applyBorder="1" applyAlignment="1">
      <x:alignment horizontal="center" vertical="center" wrapText="1"/>
    </x:xf>
    <x:xf numFmtId="0" fontId="4" fillId="3" borderId="8" xfId="0" applyNumberFormat="1" applyFont="1" applyFill="1" applyBorder="1" applyAlignment="1">
      <x:alignment horizontal="center" vertical="center" wrapText="1"/>
    </x:xf>
    <x:xf numFmtId="0" fontId="4" fillId="3" borderId="9" xfId="0" applyNumberFormat="1" applyFont="1" applyFill="1" applyBorder="1" applyAlignment="1">
      <x:alignment horizontal="center" vertical="center" wrapText="1"/>
    </x:xf>
    <x:xf numFmtId="0" fontId="4" fillId="3" borderId="11" xfId="0" applyNumberFormat="1" applyFont="1" applyFill="1" applyBorder="1" applyAlignment="1">
      <x:alignment horizontal="center" vertical="center" wrapText="1"/>
    </x:xf>
    <x:xf numFmtId="0" fontId="4" fillId="7" borderId="4" xfId="0" applyNumberFormat="1" applyFont="1" applyFill="1" applyBorder="1"/>
    <x:xf numFmtId="0" fontId="4" fillId="7" borderId="6" xfId="0" applyNumberFormat="1" applyFont="1" applyFill="1" applyBorder="1"/>
    <x:xf numFmtId="0" fontId="4" fillId="7" borderId="7" xfId="0" applyNumberFormat="1" applyFont="1" applyFill="1" applyBorder="1"/>
    <x:xf numFmtId="0" fontId="4" fillId="7" borderId="8" xfId="0" applyNumberFormat="1" applyFont="1" applyFill="1" applyBorder="1"/>
    <x:xf numFmtId="0" fontId="4" fillId="7" borderId="9" xfId="0" applyNumberFormat="1" applyFont="1" applyFill="1" applyBorder="1"/>
    <x:xf numFmtId="0" fontId="4" fillId="7" borderId="11" xfId="0" applyNumberFormat="1" applyFont="1" applyFill="1" applyBorder="1"/>
    <x:xf numFmtId="0" fontId="4" fillId="7" borderId="4" xfId="0" applyNumberFormat="1" applyFont="1" applyFill="1" applyBorder="1" applyAlignment="1">
      <x:alignment wrapText="1"/>
    </x:xf>
    <x:xf numFmtId="0" fontId="4" fillId="7" borderId="6" xfId="0" applyNumberFormat="1" applyFont="1" applyFill="1" applyBorder="1" applyAlignment="1">
      <x:alignment wrapText="1"/>
    </x:xf>
    <x:xf numFmtId="0" fontId="4" fillId="7" borderId="7" xfId="0" applyNumberFormat="1" applyFont="1" applyFill="1" applyBorder="1" applyAlignment="1">
      <x:alignment wrapText="1"/>
    </x:xf>
    <x:xf numFmtId="0" fontId="4" fillId="7" borderId="8" xfId="0" applyNumberFormat="1" applyFont="1" applyFill="1" applyBorder="1" applyAlignment="1">
      <x:alignment wrapText="1"/>
    </x:xf>
    <x:xf numFmtId="0" fontId="4" fillId="7" borderId="9" xfId="0" applyNumberFormat="1" applyFont="1" applyFill="1" applyBorder="1" applyAlignment="1">
      <x:alignment wrapText="1"/>
    </x:xf>
    <x:xf numFmtId="0" fontId="4" fillId="7" borderId="11" xfId="0" applyNumberFormat="1" applyFont="1" applyFill="1" applyBorder="1" applyAlignment="1">
      <x:alignment wrapText="1"/>
    </x:xf>
    <x:xf numFmtId="0" fontId="4" fillId="7" borderId="4" xfId="0" applyNumberFormat="1" applyFont="1" applyFill="1" applyBorder="1" applyAlignment="1">
      <x:alignment horizontal="center" wrapText="1"/>
    </x:xf>
    <x:xf numFmtId="0" fontId="4" fillId="7" borderId="6" xfId="0" applyNumberFormat="1" applyFont="1" applyFill="1" applyBorder="1" applyAlignment="1">
      <x:alignment horizontal="center" wrapText="1"/>
    </x:xf>
    <x:xf numFmtId="0" fontId="4" fillId="7" borderId="7" xfId="0" applyNumberFormat="1" applyFont="1" applyFill="1" applyBorder="1" applyAlignment="1">
      <x:alignment horizontal="center" wrapText="1"/>
    </x:xf>
    <x:xf numFmtId="0" fontId="4" fillId="7" borderId="8" xfId="0" applyNumberFormat="1" applyFont="1" applyFill="1" applyBorder="1" applyAlignment="1">
      <x:alignment horizontal="center" wrapText="1"/>
    </x:xf>
    <x:xf numFmtId="0" fontId="4" fillId="7" borderId="9" xfId="0" applyNumberFormat="1" applyFont="1" applyFill="1" applyBorder="1" applyAlignment="1">
      <x:alignment horizontal="center" wrapText="1"/>
    </x:xf>
    <x:xf numFmtId="0" fontId="4" fillId="7" borderId="11" xfId="0" applyNumberFormat="1" applyFont="1" applyFill="1" applyBorder="1" applyAlignment="1">
      <x:alignment horizontal="center" wrapText="1"/>
    </x:xf>
    <x:xf numFmtId="0" fontId="4" fillId="7" borderId="4" xfId="0" applyNumberFormat="1" applyFont="1" applyFill="1" applyBorder="1" applyAlignment="1">
      <x:alignment horizontal="center" vertical="center" wrapText="1"/>
    </x:xf>
    <x:xf numFmtId="0" fontId="4" fillId="7" borderId="6" xfId="0" applyNumberFormat="1" applyFont="1" applyFill="1" applyBorder="1" applyAlignment="1">
      <x:alignment horizontal="center" vertical="center" wrapText="1"/>
    </x:xf>
    <x:xf numFmtId="0" fontId="4" fillId="7" borderId="7" xfId="0" applyNumberFormat="1" applyFont="1" applyFill="1" applyBorder="1" applyAlignment="1">
      <x:alignment horizontal="center" vertical="center" wrapText="1"/>
    </x:xf>
    <x:xf numFmtId="0" fontId="4" fillId="7" borderId="8" xfId="0" applyNumberFormat="1" applyFont="1" applyFill="1" applyBorder="1" applyAlignment="1">
      <x:alignment horizontal="center" vertical="center" wrapText="1"/>
    </x:xf>
    <x:xf numFmtId="0" fontId="4" fillId="7" borderId="9" xfId="0" applyNumberFormat="1" applyFont="1" applyFill="1" applyBorder="1" applyAlignment="1">
      <x:alignment horizontal="center" vertical="center" wrapText="1"/>
    </x:xf>
    <x:xf numFmtId="0" fontId="4" fillId="7" borderId="11" xfId="0" applyNumberFormat="1" applyFont="1" applyFill="1" applyBorder="1" applyAlignment="1">
      <x:alignment horizontal="center" vertical="center" wrapText="1"/>
    </x:xf>
    <x:xf numFmtId="0" fontId="4" fillId="3" borderId="5" xfId="0" applyNumberFormat="1" applyFont="1" applyFill="1" applyBorder="1"/>
    <x:xf numFmtId="0" fontId="4" fillId="3" borderId="10" xfId="0" applyNumberFormat="1" applyFont="1" applyFill="1" applyBorder="1"/>
    <x:xf numFmtId="0" fontId="4" fillId="3" borderId="5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wrapText="1"/>
    </x:xf>
    <x:xf numFmtId="0" fontId="4" fillId="3" borderId="10" xfId="0" applyNumberFormat="1" applyFont="1" applyFill="1" applyBorder="1" applyAlignment="1">
      <x:alignment wrapText="1"/>
    </x:xf>
    <x:xf numFmtId="0" fontId="4" fillId="3" borderId="5" xfId="0" applyNumberFormat="1" applyFont="1" applyFill="1" applyBorder="1" applyAlignment="1">
      <x:alignment horizontal="center" wrapText="1"/>
    </x:xf>
    <x:xf numFmtId="0" fontId="4" fillId="3" borderId="0" xfId="0" applyNumberFormat="1" applyFont="1" applyFill="1" applyBorder="1" applyAlignment="1">
      <x:alignment horizontal="center" wrapText="1"/>
    </x:xf>
    <x:xf numFmtId="0" fontId="4" fillId="3" borderId="10" xfId="0" applyNumberFormat="1" applyFont="1" applyFill="1" applyBorder="1" applyAlignment="1">
      <x:alignment horizontal="center" wrapText="1"/>
    </x:xf>
    <x:xf numFmtId="0" fontId="4" fillId="3" borderId="5" xfId="0" applyNumberFormat="1" applyFont="1" applyFill="1" applyBorder="1" applyAlignment="1">
      <x:alignment horizontal="center" vertical="center"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4" fillId="3" borderId="10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4" fillId="8" borderId="4" xfId="0" applyNumberFormat="1" applyFont="1" applyFill="1" applyBorder="1"/>
    <x:xf numFmtId="0" fontId="4" fillId="8" borderId="5" xfId="0" applyNumberFormat="1" applyFont="1" applyFill="1" applyBorder="1"/>
    <x:xf numFmtId="0" fontId="4" fillId="8" borderId="6" xfId="0" applyNumberFormat="1" applyFont="1" applyFill="1" applyBorder="1"/>
    <x:xf numFmtId="0" fontId="4" fillId="8" borderId="7" xfId="0" applyNumberFormat="1" applyFont="1" applyFill="1" applyBorder="1"/>
    <x:xf numFmtId="0" fontId="4" fillId="8" borderId="8" xfId="0" applyNumberFormat="1" applyFont="1" applyFill="1" applyBorder="1"/>
    <x:xf numFmtId="0" fontId="4" fillId="8" borderId="9" xfId="0" applyNumberFormat="1" applyFont="1" applyFill="1" applyBorder="1"/>
    <x:xf numFmtId="0" fontId="4" fillId="8" borderId="10" xfId="0" applyNumberFormat="1" applyFont="1" applyFill="1" applyBorder="1"/>
    <x:xf numFmtId="0" fontId="4" fillId="8" borderId="11" xfId="0" applyNumberFormat="1" applyFont="1" applyFill="1" applyBorder="1"/>
    <x:xf numFmtId="0" fontId="4" fillId="8" borderId="4" xfId="0" applyNumberFormat="1" applyFont="1" applyFill="1" applyBorder="1" applyAlignment="1">
      <x:alignment wrapText="1"/>
    </x:xf>
    <x:xf numFmtId="0" fontId="4" fillId="8" borderId="5" xfId="0" applyNumberFormat="1" applyFont="1" applyFill="1" applyBorder="1" applyAlignment="1">
      <x:alignment wrapText="1"/>
    </x:xf>
    <x:xf numFmtId="0" fontId="4" fillId="8" borderId="6" xfId="0" applyNumberFormat="1" applyFont="1" applyFill="1" applyBorder="1" applyAlignment="1">
      <x:alignment wrapText="1"/>
    </x:xf>
    <x:xf numFmtId="0" fontId="4" fillId="8" borderId="7" xfId="0" applyNumberFormat="1" applyFont="1" applyFill="1" applyBorder="1" applyAlignment="1">
      <x:alignment wrapText="1"/>
    </x:xf>
    <x:xf numFmtId="0" fontId="4" fillId="8" borderId="0" xfId="0" applyNumberFormat="1" applyFont="1" applyFill="1" applyBorder="1" applyAlignment="1">
      <x:alignment wrapText="1"/>
    </x:xf>
    <x:xf numFmtId="0" fontId="4" fillId="8" borderId="8" xfId="0" applyNumberFormat="1" applyFont="1" applyFill="1" applyBorder="1" applyAlignment="1">
      <x:alignment wrapText="1"/>
    </x:xf>
    <x:xf numFmtId="0" fontId="4" fillId="8" borderId="9" xfId="0" applyNumberFormat="1" applyFont="1" applyFill="1" applyBorder="1" applyAlignment="1">
      <x:alignment wrapText="1"/>
    </x:xf>
    <x:xf numFmtId="0" fontId="4" fillId="8" borderId="10" xfId="0" applyNumberFormat="1" applyFont="1" applyFill="1" applyBorder="1" applyAlignment="1">
      <x:alignment wrapText="1"/>
    </x:xf>
    <x:xf numFmtId="0" fontId="4" fillId="8" borderId="11" xfId="0" applyNumberFormat="1" applyFont="1" applyFill="1" applyBorder="1" applyAlignment="1">
      <x:alignment wrapText="1"/>
    </x:xf>
    <x:xf numFmtId="0" fontId="4" fillId="8" borderId="4" xfId="0" applyNumberFormat="1" applyFont="1" applyFill="1" applyBorder="1" applyAlignment="1">
      <x:alignment horizontal="center" wrapText="1"/>
    </x:xf>
    <x:xf numFmtId="0" fontId="4" fillId="8" borderId="5" xfId="0" applyNumberFormat="1" applyFont="1" applyFill="1" applyBorder="1" applyAlignment="1">
      <x:alignment horizontal="center" wrapText="1"/>
    </x:xf>
    <x:xf numFmtId="0" fontId="4" fillId="8" borderId="6" xfId="0" applyNumberFormat="1" applyFont="1" applyFill="1" applyBorder="1" applyAlignment="1">
      <x:alignment horizontal="center" wrapText="1"/>
    </x:xf>
    <x:xf numFmtId="0" fontId="4" fillId="8" borderId="7" xfId="0" applyNumberFormat="1" applyFont="1" applyFill="1" applyBorder="1" applyAlignment="1">
      <x:alignment horizontal="center" wrapText="1"/>
    </x:xf>
    <x:xf numFmtId="0" fontId="4" fillId="8" borderId="0" xfId="0" applyNumberFormat="1" applyFont="1" applyFill="1" applyBorder="1" applyAlignment="1">
      <x:alignment horizontal="center" wrapText="1"/>
    </x:xf>
    <x:xf numFmtId="0" fontId="4" fillId="8" borderId="8" xfId="0" applyNumberFormat="1" applyFont="1" applyFill="1" applyBorder="1" applyAlignment="1">
      <x:alignment horizontal="center" wrapText="1"/>
    </x:xf>
    <x:xf numFmtId="0" fontId="4" fillId="8" borderId="9" xfId="0" applyNumberFormat="1" applyFont="1" applyFill="1" applyBorder="1" applyAlignment="1">
      <x:alignment horizontal="center" wrapText="1"/>
    </x:xf>
    <x:xf numFmtId="0" fontId="4" fillId="8" borderId="10" xfId="0" applyNumberFormat="1" applyFont="1" applyFill="1" applyBorder="1" applyAlignment="1">
      <x:alignment horizontal="center" wrapText="1"/>
    </x:xf>
    <x:xf numFmtId="0" fontId="4" fillId="8" borderId="11" xfId="0" applyNumberFormat="1" applyFont="1" applyFill="1" applyBorder="1" applyAlignment="1">
      <x:alignment horizontal="center" wrapText="1"/>
    </x:xf>
    <x:xf numFmtId="0" fontId="4" fillId="8" borderId="4" xfId="0" applyNumberFormat="1" applyFont="1" applyFill="1" applyBorder="1" applyAlignment="1">
      <x:alignment horizontal="center" vertical="center" wrapText="1"/>
    </x:xf>
    <x:xf numFmtId="0" fontId="4" fillId="8" borderId="5" xfId="0" applyNumberFormat="1" applyFont="1" applyFill="1" applyBorder="1" applyAlignment="1">
      <x:alignment horizontal="center" vertical="center" wrapText="1"/>
    </x:xf>
    <x:xf numFmtId="0" fontId="4" fillId="8" borderId="6" xfId="0" applyNumberFormat="1" applyFont="1" applyFill="1" applyBorder="1" applyAlignment="1">
      <x:alignment horizontal="center" vertical="center" wrapText="1"/>
    </x:xf>
    <x:xf numFmtId="0" fontId="4" fillId="8" borderId="7" xfId="0" applyNumberFormat="1" applyFont="1" applyFill="1" applyBorder="1" applyAlignment="1">
      <x:alignment horizontal="center" vertical="center" wrapText="1"/>
    </x:xf>
    <x:xf numFmtId="0" fontId="4" fillId="8" borderId="0" xfId="0" applyNumberFormat="1" applyFont="1" applyFill="1" applyBorder="1" applyAlignment="1">
      <x:alignment horizontal="center" vertical="center" wrapText="1"/>
    </x:xf>
    <x:xf numFmtId="0" fontId="4" fillId="8" borderId="8" xfId="0" applyNumberFormat="1" applyFont="1" applyFill="1" applyBorder="1" applyAlignment="1">
      <x:alignment horizontal="center" vertical="center" wrapText="1"/>
    </x:xf>
    <x:xf numFmtId="0" fontId="4" fillId="8" borderId="9" xfId="0" applyNumberFormat="1" applyFont="1" applyFill="1" applyBorder="1" applyAlignment="1">
      <x:alignment horizontal="center" vertical="center" wrapText="1"/>
    </x:xf>
    <x:xf numFmtId="0" fontId="4" fillId="8" borderId="10" xfId="0" applyNumberFormat="1" applyFont="1" applyFill="1" applyBorder="1" applyAlignment="1">
      <x:alignment horizontal="center" vertical="center" wrapText="1"/>
    </x:xf>
    <x:xf numFmtId="0" fontId="4" fillId="8" borderId="11" xfId="0" applyNumberFormat="1" applyFont="1" applyFill="1" applyBorder="1" applyAlignment="1">
      <x:alignment horizontal="center" vertical="center" wrapText="1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horizontal="center"/>
    </x:xf>
    <x:xf numFmtId="0" fontId="6" fillId="2" borderId="0" xfId="0" applyNumberFormat="1" applyFont="1" applyFill="1" applyBorder="1" applyAlignment="1">
      <x:alignment horizontal="center" vertical="center"/>
    </x:xf>
    <x:xf numFmtId="0" fontId="3" fillId="9" borderId="1" xfId="0" applyNumberFormat="1" applyFont="1" applyFill="1" applyBorder="1" applyAlignment="1">
      <x:alignment horizontal="center" vertical="center" wrapText="1"/>
    </x:xf>
    <x:xf numFmtId="0" fontId="3" fillId="9" borderId="2" xfId="0" applyNumberFormat="1" applyFont="1" applyFill="1" applyBorder="1" applyAlignment="1">
      <x:alignment horizontal="center" vertical="center" wrapText="1"/>
    </x:xf>
    <x:xf numFmtId="0" fontId="3" fillId="10" borderId="2" xfId="0" applyNumberFormat="1" applyFont="1" applyFill="1" applyBorder="1" applyAlignment="1">
      <x:alignment horizontal="center" vertical="center" wrapText="1"/>
    </x:xf>
    <x:xf numFmtId="0" fontId="3" fillId="10" borderId="3" xfId="0" applyNumberFormat="1" applyFont="1" applyFill="1" applyBorder="1" applyAlignment="1">
      <x:alignment horizontal="center" vertical="center" wrapText="1"/>
    </x:xf>
    <x:xf numFmtId="0" fontId="4" fillId="7" borderId="5" xfId="0" applyNumberFormat="1" applyFont="1" applyFill="1" applyBorder="1"/>
    <x:xf numFmtId="0" fontId="4" fillId="7" borderId="10" xfId="0" applyNumberFormat="1" applyFont="1" applyFill="1" applyBorder="1"/>
    <x:xf numFmtId="0" fontId="4" fillId="7" borderId="5" xfId="0" applyNumberFormat="1" applyFont="1" applyFill="1" applyBorder="1" applyAlignment="1">
      <x:alignment wrapText="1"/>
    </x:xf>
    <x:xf numFmtId="0" fontId="4" fillId="7" borderId="0" xfId="0" applyNumberFormat="1" applyFont="1" applyFill="1" applyBorder="1" applyAlignment="1">
      <x:alignment wrapText="1"/>
    </x:xf>
    <x:xf numFmtId="0" fontId="4" fillId="7" borderId="10" xfId="0" applyNumberFormat="1" applyFont="1" applyFill="1" applyBorder="1" applyAlignment="1">
      <x:alignment wrapText="1"/>
    </x:xf>
    <x:xf numFmtId="0" fontId="4" fillId="7" borderId="5" xfId="0" applyNumberFormat="1" applyFont="1" applyFill="1" applyBorder="1" applyAlignment="1">
      <x:alignment horizontal="center" wrapText="1"/>
    </x:xf>
    <x:xf numFmtId="0" fontId="4" fillId="7" borderId="0" xfId="0" applyNumberFormat="1" applyFont="1" applyFill="1" applyBorder="1" applyAlignment="1">
      <x:alignment horizontal="center" wrapText="1"/>
    </x:xf>
    <x:xf numFmtId="0" fontId="4" fillId="7" borderId="10" xfId="0" applyNumberFormat="1" applyFont="1" applyFill="1" applyBorder="1" applyAlignment="1">
      <x:alignment horizontal="center" wrapText="1"/>
    </x:xf>
    <x:xf numFmtId="0" fontId="4" fillId="7" borderId="5" xfId="0" applyNumberFormat="1" applyFont="1" applyFill="1" applyBorder="1" applyAlignment="1">
      <x:alignment horizontal="center" vertical="center" wrapText="1"/>
    </x:xf>
    <x:xf numFmtId="0" fontId="4" fillId="7" borderId="0" xfId="0" applyNumberFormat="1" applyFont="1" applyFill="1" applyBorder="1" applyAlignment="1">
      <x:alignment horizontal="center" vertical="center" wrapText="1"/>
    </x:xf>
    <x:xf numFmtId="0" fontId="4" fillId="7" borderId="10" xfId="0" applyNumberFormat="1" applyFont="1" applyFill="1" applyBorder="1" applyAlignment="1">
      <x:alignment horizontal="center" vertical="center" wrapText="1"/>
    </x:xf>
    <x:xf numFmtId="0" fontId="4" fillId="5" borderId="12" xfId="0" applyNumberFormat="1" applyFont="1" applyFill="1" applyBorder="1"/>
    <x:xf numFmtId="0" fontId="4" fillId="5" borderId="13" xfId="0" applyNumberFormat="1" applyFont="1" applyFill="1" applyBorder="1"/>
    <x:xf numFmtId="0" fontId="4" fillId="5" borderId="14" xfId="0" applyNumberFormat="1" applyFont="1" applyFill="1" applyBorder="1"/>
    <x:xf numFmtId="0" fontId="4" fillId="5" borderId="12" xfId="0" applyNumberFormat="1" applyFont="1" applyFill="1" applyBorder="1" applyAlignment="1">
      <x:alignment wrapText="1"/>
    </x:xf>
    <x:xf numFmtId="0" fontId="4" fillId="5" borderId="13" xfId="0" applyNumberFormat="1" applyFont="1" applyFill="1" applyBorder="1" applyAlignment="1">
      <x:alignment wrapText="1"/>
    </x:xf>
    <x:xf numFmtId="0" fontId="4" fillId="5" borderId="14" xfId="0" applyNumberFormat="1" applyFont="1" applyFill="1" applyBorder="1" applyAlignment="1">
      <x:alignment wrapText="1"/>
    </x:xf>
    <x:xf numFmtId="0" fontId="4" fillId="5" borderId="12" xfId="0" applyNumberFormat="1" applyFont="1" applyFill="1" applyBorder="1" applyAlignment="1">
      <x:alignment horizontal="right" wrapText="1"/>
    </x:xf>
    <x:xf numFmtId="0" fontId="4" fillId="5" borderId="13" xfId="0" applyNumberFormat="1" applyFont="1" applyFill="1" applyBorder="1" applyAlignment="1">
      <x:alignment horizontal="right" wrapText="1"/>
    </x:xf>
    <x:xf numFmtId="0" fontId="4" fillId="5" borderId="14" xfId="0" applyNumberFormat="1" applyFont="1" applyFill="1" applyBorder="1" applyAlignment="1">
      <x:alignment horizontal="right" wrapText="1"/>
    </x:xf>
    <x:xf numFmtId="0" fontId="4" fillId="5" borderId="12" xfId="0" applyNumberFormat="1" applyFont="1" applyFill="1" applyBorder="1" applyAlignment="1">
      <x:alignment horizontal="right" vertical="center" wrapText="1"/>
    </x:xf>
    <x:xf numFmtId="0" fontId="4" fillId="5" borderId="13" xfId="0" applyNumberFormat="1" applyFont="1" applyFill="1" applyBorder="1" applyAlignment="1">
      <x:alignment horizontal="right" vertical="center" wrapText="1"/>
    </x:xf>
    <x:xf numFmtId="0" fontId="4" fillId="5" borderId="14" xfId="0" applyNumberFormat="1" applyFont="1" applyFill="1" applyBorder="1" applyAlignment="1">
      <x:alignment horizontal="right" vertical="center" wrapText="1"/>
    </x:xf>
    <x:xf numFmtId="0" fontId="4" fillId="7" borderId="15" xfId="0" applyNumberFormat="1" applyFont="1" applyFill="1" applyBorder="1"/>
    <x:xf numFmtId="0" fontId="4" fillId="7" borderId="15" xfId="0" applyNumberFormat="1" applyFont="1" applyFill="1" applyBorder="1" applyAlignment="1">
      <x:alignment wrapText="1"/>
    </x:xf>
    <x:xf numFmtId="0" fontId="4" fillId="7" borderId="15" xfId="0" applyNumberFormat="1" applyFont="1" applyFill="1" applyBorder="1" applyAlignment="1">
      <x:alignment horizontal="center" wrapText="1"/>
    </x:xf>
    <x:xf numFmtId="0" fontId="4" fillId="7" borderId="15" xfId="0" applyNumberFormat="1" applyFont="1" applyFill="1" applyBorder="1" applyAlignment="1">
      <x:alignment horizontal="center" vertical="center" wrapText="1"/>
    </x:xf>
    <x:xf numFmtId="0" fontId="4" fillId="5" borderId="15" xfId="0" applyNumberFormat="1" applyFont="1" applyFill="1" applyBorder="1"/>
    <x:xf numFmtId="0" fontId="4" fillId="5" borderId="15" xfId="0" applyNumberFormat="1" applyFont="1" applyFill="1" applyBorder="1" applyAlignment="1">
      <x:alignment wrapText="1"/>
    </x:xf>
    <x:xf numFmtId="0" fontId="4" fillId="5" borderId="15" xfId="0" applyNumberFormat="1" applyFont="1" applyFill="1" applyBorder="1" applyAlignment="1">
      <x:alignment horizontal="center" wrapText="1"/>
    </x:xf>
    <x:xf numFmtId="0" fontId="4" fillId="5" borderId="15" xfId="0" applyNumberFormat="1" applyFont="1" applyFill="1" applyBorder="1" applyAlignment="1">
      <x:alignment horizontal="center" vertical="center" wrapText="1"/>
    </x:xf>
    <x:xf numFmtId="0" fontId="4" fillId="3" borderId="15" xfId="0" applyNumberFormat="1" applyFont="1" applyFill="1" applyBorder="1"/>
    <x:xf numFmtId="0" fontId="4" fillId="3" borderId="15" xfId="0" applyNumberFormat="1" applyFont="1" applyFill="1" applyBorder="1" applyAlignment="1">
      <x:alignment wrapText="1"/>
    </x:xf>
    <x:xf numFmtId="0" fontId="4" fillId="3" borderId="15" xfId="0" applyNumberFormat="1" applyFont="1" applyFill="1" applyBorder="1" applyAlignment="1">
      <x:alignment horizontal="right" wrapText="1"/>
    </x:xf>
    <x:xf numFmtId="0" fontId="4" fillId="3" borderId="15" xfId="0" applyNumberFormat="1" applyFont="1" applyFill="1" applyBorder="1" applyAlignment="1">
      <x:alignment horizontal="right" vertical="center" wrapText="1"/>
    </x:xf>
    <x:xf numFmtId="0" fontId="4" fillId="7" borderId="12" xfId="0" applyNumberFormat="1" applyFont="1" applyFill="1" applyBorder="1" applyAlignment="1">
      <x:alignment horizontal="right" wrapText="1"/>
    </x:xf>
    <x:xf numFmtId="0" fontId="4" fillId="7" borderId="13" xfId="0" applyNumberFormat="1" applyFont="1" applyFill="1" applyBorder="1" applyAlignment="1">
      <x:alignment horizontal="right" wrapText="1"/>
    </x:xf>
    <x:xf numFmtId="0" fontId="4" fillId="7" borderId="14" xfId="0" applyNumberFormat="1" applyFont="1" applyFill="1" applyBorder="1" applyAlignment="1">
      <x:alignment horizontal="right" wrapText="1"/>
    </x:xf>
    <x:xf numFmtId="0" fontId="4" fillId="7" borderId="12" xfId="0" applyNumberFormat="1" applyFont="1" applyFill="1" applyBorder="1" applyAlignment="1">
      <x:alignment horizontal="right" vertical="center" wrapText="1"/>
    </x:xf>
    <x:xf numFmtId="0" fontId="4" fillId="7" borderId="13" xfId="0" applyNumberFormat="1" applyFont="1" applyFill="1" applyBorder="1" applyAlignment="1">
      <x:alignment horizontal="right" vertical="center" wrapText="1"/>
    </x:xf>
    <x:xf numFmtId="0" fontId="4" fillId="7" borderId="14" xfId="0" applyNumberFormat="1" applyFont="1" applyFill="1" applyBorder="1" applyAlignment="1">
      <x:alignment horizontal="right" vertical="center" wrapText="1"/>
    </x:xf>
    <x:xf numFmtId="0" fontId="4" fillId="3" borderId="12" xfId="0" applyNumberFormat="1" applyFont="1" applyFill="1" applyBorder="1"/>
    <x:xf numFmtId="0" fontId="4" fillId="3" borderId="13" xfId="0" applyNumberFormat="1" applyFont="1" applyFill="1" applyBorder="1"/>
    <x:xf numFmtId="0" fontId="4" fillId="3" borderId="14" xfId="0" applyNumberFormat="1" applyFont="1" applyFill="1" applyBorder="1"/>
    <x:xf numFmtId="0" fontId="4" fillId="3" borderId="12" xfId="0" applyNumberFormat="1" applyFont="1" applyFill="1" applyBorder="1" applyAlignment="1">
      <x:alignment wrapText="1"/>
    </x:xf>
    <x:xf numFmtId="0" fontId="4" fillId="3" borderId="13" xfId="0" applyNumberFormat="1" applyFont="1" applyFill="1" applyBorder="1" applyAlignment="1">
      <x:alignment wrapText="1"/>
    </x:xf>
    <x:xf numFmtId="0" fontId="4" fillId="3" borderId="14" xfId="0" applyNumberFormat="1" applyFont="1" applyFill="1" applyBorder="1" applyAlignment="1">
      <x:alignment wrapText="1"/>
    </x:xf>
    <x:xf numFmtId="0" fontId="4" fillId="3" borderId="12" xfId="0" applyNumberFormat="1" applyFont="1" applyFill="1" applyBorder="1" applyAlignment="1">
      <x:alignment horizontal="right" wrapText="1"/>
    </x:xf>
    <x:xf numFmtId="0" fontId="4" fillId="3" borderId="13" xfId="0" applyNumberFormat="1" applyFont="1" applyFill="1" applyBorder="1" applyAlignment="1">
      <x:alignment horizontal="right" wrapText="1"/>
    </x:xf>
    <x:xf numFmtId="0" fontId="4" fillId="3" borderId="14" xfId="0" applyNumberFormat="1" applyFont="1" applyFill="1" applyBorder="1" applyAlignment="1">
      <x:alignment horizontal="right" wrapText="1"/>
    </x:xf>
    <x:xf numFmtId="0" fontId="4" fillId="3" borderId="12" xfId="0" applyNumberFormat="1" applyFont="1" applyFill="1" applyBorder="1" applyAlignment="1">
      <x:alignment horizontal="right" vertical="center" wrapText="1"/>
    </x:xf>
    <x:xf numFmtId="0" fontId="4" fillId="3" borderId="13" xfId="0" applyNumberFormat="1" applyFont="1" applyFill="1" applyBorder="1" applyAlignment="1">
      <x:alignment horizontal="right" vertical="center" wrapText="1"/>
    </x:xf>
    <x:xf numFmtId="0" fontId="4" fillId="3" borderId="14" xfId="0" applyNumberFormat="1" applyFont="1" applyFill="1" applyBorder="1" applyAlignment="1">
      <x:alignment horizontal="right" vertical="center" wrapText="1"/>
    </x:xf>
    <x:xf numFmtId="0" fontId="0" fillId="11" borderId="0" xfId="0" applyNumberFormat="1" applyFont="1" applyFill="1" applyBorder="1"/>
    <x:xf numFmtId="0" fontId="7" fillId="11" borderId="0" xfId="0" applyNumberFormat="1" applyFont="1" applyFill="1" applyBorder="1"/>
    <x:xf numFmtId="0" fontId="7" fillId="11" borderId="16" xfId="0" applyNumberFormat="1" applyFont="1" applyFill="1" applyBorder="1"/>
    <x:xf numFmtId="0" fontId="7" fillId="11" borderId="17" xfId="0" applyNumberFormat="1" applyFont="1" applyFill="1" applyBorder="1"/>
    <x:xf numFmtId="0" fontId="7" fillId="11" borderId="18" xfId="0" applyNumberFormat="1" applyFont="1" applyFill="1" applyBorder="1"/>
    <x:xf numFmtId="0" fontId="7" fillId="11" borderId="19" xfId="0" applyNumberFormat="1" applyFont="1" applyFill="1" applyBorder="1"/>
    <x:xf numFmtId="0" fontId="7" fillId="11" borderId="20" xfId="0" applyNumberFormat="1" applyFont="1" applyFill="1" applyBorder="1"/>
    <x:xf numFmtId="0" fontId="7" fillId="11" borderId="21" xfId="0" applyNumberFormat="1" applyFont="1" applyFill="1" applyBorder="1"/>
    <x:xf numFmtId="0" fontId="7" fillId="11" borderId="16" xfId="0" applyNumberFormat="1" applyFont="1" applyFill="1" applyBorder="1" applyAlignment="1">
      <x:alignment horizontal="center"/>
    </x:xf>
    <x:xf numFmtId="0" fontId="7" fillId="11" borderId="17" xfId="0" applyNumberFormat="1" applyFont="1" applyFill="1" applyBorder="1" applyAlignment="1">
      <x:alignment horizontal="center"/>
    </x:xf>
    <x:xf numFmtId="0" fontId="7" fillId="11" borderId="18" xfId="0" applyNumberFormat="1" applyFont="1" applyFill="1" applyBorder="1" applyAlignment="1">
      <x:alignment horizontal="center"/>
    </x:xf>
    <x:xf numFmtId="0" fontId="7" fillId="11" borderId="19" xfId="0" applyNumberFormat="1" applyFont="1" applyFill="1" applyBorder="1" applyAlignment="1">
      <x:alignment horizontal="center"/>
    </x:xf>
    <x:xf numFmtId="0" fontId="7" fillId="11" borderId="20" xfId="0" applyNumberFormat="1" applyFont="1" applyFill="1" applyBorder="1" applyAlignment="1">
      <x:alignment horizontal="center"/>
    </x:xf>
    <x:xf numFmtId="0" fontId="7" fillId="11" borderId="21" xfId="0" applyNumberFormat="1" applyFont="1" applyFill="1" applyBorder="1" applyAlignment="1">
      <x:alignment horizontal="center"/>
    </x:xf>
    <x:xf numFmtId="0" fontId="7" fillId="11" borderId="16" xfId="0" applyNumberFormat="1" applyFont="1" applyFill="1" applyBorder="1" applyAlignment="1">
      <x:alignment horizontal="center" vertical="center"/>
    </x:xf>
    <x:xf numFmtId="0" fontId="7" fillId="11" borderId="17" xfId="0" applyNumberFormat="1" applyFont="1" applyFill="1" applyBorder="1" applyAlignment="1">
      <x:alignment horizontal="center" vertical="center"/>
    </x:xf>
    <x:xf numFmtId="0" fontId="7" fillId="11" borderId="18" xfId="0" applyNumberFormat="1" applyFont="1" applyFill="1" applyBorder="1" applyAlignment="1">
      <x:alignment horizontal="center" vertical="center"/>
    </x:xf>
    <x:xf numFmtId="0" fontId="7" fillId="11" borderId="19" xfId="0" applyNumberFormat="1" applyFont="1" applyFill="1" applyBorder="1" applyAlignment="1">
      <x:alignment horizontal="center" vertical="center"/>
    </x:xf>
    <x:xf numFmtId="0" fontId="7" fillId="11" borderId="20" xfId="0" applyNumberFormat="1" applyFont="1" applyFill="1" applyBorder="1" applyAlignment="1">
      <x:alignment horizontal="center" vertical="center"/>
    </x:xf>
    <x:xf numFmtId="0" fontId="7" fillId="11" borderId="21" xfId="0" applyNumberFormat="1" applyFont="1" applyFill="1" applyBorder="1" applyAlignment="1">
      <x:alignment horizontal="center" vertical="center"/>
    </x:xf>
    <x:xf numFmtId="0" fontId="8" fillId="0" borderId="0" xfId="0" applyNumberFormat="1" applyFont="1" applyFill="1" applyBorder="1"/>
    <x:xf numFmtId="200" fontId="4" fillId="5" borderId="5" xfId="0" applyNumberFormat="1" applyFont="1" applyFill="1" applyBorder="1" applyAlignment="1">
      <x:alignment horizontal="center" vertical="center" wrapText="1"/>
    </x:xf>
    <x:xf numFmtId="200" fontId="4" fillId="5" borderId="0" xfId="0" applyNumberFormat="1" applyFont="1" applyFill="1" applyBorder="1" applyAlignment="1">
      <x:alignment horizontal="center" vertical="center" wrapText="1"/>
    </x:xf>
    <x:xf numFmtId="200" fontId="4" fillId="5" borderId="1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5"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6768e453924444a" /><Relationship Type="http://schemas.openxmlformats.org/officeDocument/2006/relationships/theme" Target="/xl/theme/theme1.xml" Id="R075e9170c9ff4df0" /><Relationship Type="http://schemas.openxmlformats.org/officeDocument/2006/relationships/sharedStrings" Target="/xl/sharedStrings.xml" Id="R0cb818b0033144d3" /><Relationship Type="http://schemas.openxmlformats.org/officeDocument/2006/relationships/worksheet" Target="/xl/worksheets/sheet1.xml" Id="R5909d24b02e049e5" /><Relationship Type="http://schemas.openxmlformats.org/officeDocument/2006/relationships/worksheet" Target="/xl/worksheets/sheet2.xml" Id="R9ac0e7fbc5b6470d" /><Relationship Type="http://schemas.openxmlformats.org/officeDocument/2006/relationships/worksheet" Target="/xl/worksheets/sheet3.xml" Id="R23bbeab872b44784" /><Relationship Type="http://schemas.openxmlformats.org/officeDocument/2006/relationships/worksheet" Target="/xl/worksheets/sheet4.xml" Id="Rd19ac987818b4f6c" /><Relationship Type="http://schemas.openxmlformats.org/officeDocument/2006/relationships/worksheet" Target="/xl/worksheets/sheet5.xml" Id="Rb6381afd9c6e45fa" /><Relationship Type="http://schemas.openxmlformats.org/officeDocument/2006/relationships/worksheet" Target="/xl/worksheets/sheet6.xml" Id="R042aecb1bb68417e" /><Relationship Type="http://schemas.openxmlformats.org/officeDocument/2006/relationships/worksheet" Target="/xl/worksheets/sheet7.xml" Id="R240e33ace8d44e40" /><Relationship Type="http://schemas.openxmlformats.org/officeDocument/2006/relationships/worksheet" Target="/xl/worksheets/sheet8.xml" Id="R3ad98b64f8094b96" /><Relationship Type="http://schemas.openxmlformats.org/officeDocument/2006/relationships/worksheet" Target="/xl/worksheets/sheet9.xml" Id="Rc02d8411a61749b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efa9b0973e8416a" /><Relationship Type="http://schemas.openxmlformats.org/officeDocument/2006/relationships/chart" Target="/xl/drawings/charts/chart2.xml" Id="R391c3fd1c14e471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5aa966f8a1354883" /><Relationship Type="http://schemas.openxmlformats.org/officeDocument/2006/relationships/chart" Target="/xl/drawings/charts/chart4.xml" Id="Rc0d3006b4db64b0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نمای حوزه‌های عملکرد</a:t>
            </a:r>
          </a:p>
        </c:rich>
      </c:tx>
    </c:title>
    <c:plotArea>
      <c:radarChart>
        <c:radarStyle val="standard"/>
        <c:ser>
          <c:idx val="0"/>
          <c:order val="0"/>
          <c:tx>
            <c:v>امتیاز</c:v>
          </c:tx>
          <c:cat>
            <c:strRef>
              <c:f>'گزارش دانش‌آموز'!$D$8:$D$16</c:f>
              <c:strCache>
                <c:ptCount val="0"/>
              </c:strCache>
            </c:strRef>
          </c:cat>
          <c:val>
            <c:numRef>
              <c:f>'گزارش دانش‌آموز'!$E$8:$E$16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rad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روند ماهانه امتیاز نهایی</a:t>
            </a:r>
          </a:p>
        </c:rich>
      </c:tx>
    </c:title>
    <c:plotArea>
      <c:lineChart>
        <c:grouping val="standard"/>
        <c:varyColors val="0"/>
        <c:ser>
          <c:idx val="0"/>
          <c:order val="0"/>
          <c:tx>
            <c:v>میانگین نهایی</c:v>
          </c:tx>
          <c:marker>
            <c:symbol val="none"/>
          </c:marker>
          <c:cat>
            <c:strRef>
              <c:f>'گزارش دانش‌آموز'!$G$8:$G$19</c:f>
              <c:strCache>
                <c:ptCount val="0"/>
              </c:strCache>
            </c:strRef>
          </c:cat>
          <c:val>
            <c:numRef>
              <c:f>'گزارش دانش‌آموز'!$H$8:$H$19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روند میانگین مدرسه</a:t>
            </a:r>
          </a:p>
        </c:rich>
      </c:tx>
    </c:title>
    <c:plotArea>
      <c:lineChart>
        <c:grouping val="standard"/>
        <c:varyColors val="0"/>
        <c:ser>
          <c:idx val="0"/>
          <c:order val="0"/>
          <c:tx>
            <c:v>میانگین نهایی مدرسه</c:v>
          </c:tx>
          <c:marker>
            <c:symbol val="none"/>
          </c:marker>
          <c:cat>
            <c:strRef>
              <c:f>'داشبورد'!$A$9:$A$20</c:f>
              <c:strCache>
                <c:ptCount val="0"/>
              </c:strCache>
            </c:strRef>
          </c:cat>
          <c:val>
            <c:numRef>
              <c:f>'داشبورد'!$B$9:$B$20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میانگین حوزه‌ها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میانگین مدرسه</c:v>
          </c:tx>
          <c:cat>
            <c:strRef>
              <c:f>'داشبورد'!$D$9:$D$17</c:f>
              <c:strCache>
                <c:ptCount val="0"/>
              </c:strCache>
            </c:strRef>
          </c:cat>
          <c:val>
            <c:numRef>
              <c:f>'داشبورد'!$E$9:$E$17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6</xdr:row>
      <xdr:rowOff>0</xdr:rowOff>
    </xdr:from>
    <xdr:to>
      <xdr:col>16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efa9b0973e8416a"/>
        </a:graphicData>
      </a:graphic>
    </xdr:graphicFrame>
    <xdr:clientData/>
  </xdr:twoCellAnchor>
  <xdr:twoCellAnchor>
    <xdr:from>
      <xdr:col>16</xdr:col>
      <xdr:colOff>0</xdr:colOff>
      <xdr:row>6</xdr:row>
      <xdr:rowOff>0</xdr:rowOff>
    </xdr:from>
    <xdr:to>
      <xdr:col>23</xdr:col>
      <xdr:colOff>0</xdr:colOff>
      <xdr:row>22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91c3fd1c14e471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9</xdr:col>
      <xdr:colOff>0</xdr:colOff>
      <xdr:row>3</xdr:row>
      <xdr:rowOff>0</xdr:rowOff>
    </xdr:from>
    <xdr:to>
      <xdr:col>16</xdr:col>
      <xdr:colOff>0</xdr:colOff>
      <xdr:row>17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aa966f8a1354883"/>
        </a:graphicData>
      </a:graphic>
    </xdr:graphicFrame>
    <xdr:clientData/>
  </xdr:twoCellAnchor>
  <xdr:twoCellAnchor>
    <xdr:from>
      <xdr:col>16</xdr:col>
      <xdr:colOff>0</xdr:colOff>
      <xdr:row>3</xdr:row>
      <xdr:rowOff>0</xdr:rowOff>
    </xdr:from>
    <xdr:to>
      <xdr:col>22</xdr:col>
      <xdr:colOff>0</xdr:colOff>
      <xdr:row>17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0d3006b4db64b0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1.xml" Id="R85502f6bf95e4f7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drawing" Target="/xl/drawings/drawing2.xml" Id="R962845d468dd449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30" hidden="0" customWidth="1"/>
    <x:col min="4" max="4" width="34" hidden="0" customWidth="1"/>
    <x:col min="5" max="5" width="18" hidden="0" customWidth="1"/>
    <x:col min="6" max="6" width="18" hidden="0" customWidth="1"/>
    <x:col min="7" max="7" width="18" hidden="0" customWidth="1"/>
    <x:col min="8" max="8" width="34" hidden="0" customWidth="1"/>
  </x:cols>
  <x:sheetData>
    <x:row r="1" ht="32" customHeight="1">
      <x:c r="A1" s="4" t="str">
        <x:v>قالب جامع جمع‌آوری اطلاعات مدرسه</x:v>
      </x:c>
      <x:c r="B1" s="297"/>
      <x:c r="C1" s="297"/>
      <x:c r="D1" s="297"/>
      <x:c r="E1" s="297"/>
      <x:c r="F1" s="297"/>
      <x:c r="G1" s="297"/>
      <x:c r="H1" s="297"/>
    </x:row>
    <x:row r="2" ht="32" customHeight="1">
      <x:c r="A2" s="9" t="str">
        <x:v>این فایل برای دریافت یک‌جای کلاس‌بندی، فهرست دانش‌آموزان و ارزیابی ماهانه طراحی شده است. فقط خانه‌های زرد را تکمیل کنید.</x:v>
      </x:c>
      <x:c r="B2" s="297"/>
      <x:c r="C2" s="297"/>
      <x:c r="D2" s="297"/>
      <x:c r="E2" s="297"/>
      <x:c r="F2" s="297"/>
      <x:c r="G2" s="297"/>
      <x:c r="H2" s="297"/>
    </x:row>
    <x:row r="3">
      <x:c r="A3" s="297"/>
      <x:c r="B3" s="297"/>
      <x:c r="C3" s="297"/>
      <x:c r="D3" s="297"/>
      <x:c r="E3" s="297"/>
      <x:c r="F3" s="297"/>
      <x:c r="G3" s="297"/>
      <x:c r="H3" s="297"/>
    </x:row>
    <x:row r="4" ht="42" customHeight="1">
      <x:c r="A4" s="20" t="str">
        <x:v>مرحله</x:v>
      </x:c>
      <x:c r="B4" s="21" t="str">
        <x:v>شیت</x:v>
      </x:c>
      <x:c r="C4" s="21" t="str">
        <x:v>کار لازم</x:v>
      </x:c>
      <x:c r="D4" s="21" t="str">
        <x:v>فیلدهای کلیدی</x:v>
      </x:c>
      <x:c r="E4" s="21" t="str">
        <x:v>کنترل فایل</x:v>
      </x:c>
      <x:c r="F4" s="21" t="str">
        <x:v>رنگ ورودی</x:v>
      </x:c>
      <x:c r="G4" s="21" t="str">
        <x:v>خروجی</x:v>
      </x:c>
      <x:c r="H4" s="22" t="str">
        <x:v>نکته مهم</x:v>
      </x:c>
    </x:row>
    <x:row r="5">
      <x:c r="A5" s="51" t="n">
        <x:v>1</x:v>
      </x:c>
      <x:c r="B5" s="52" t="str">
        <x:v>کلاس‌بندی</x:v>
      </x:c>
      <x:c r="C5" s="52" t="str">
        <x:v>کلاس‌های مدرسه را وارد کنید.</x:v>
      </x:c>
      <x:c r="D5" s="52" t="str">
        <x:v>کد مدرسه، سال تحصیلی، کد و نام کلاس، پایه، ظرفیت</x:v>
      </x:c>
      <x:c r="E5" s="52" t="str">
        <x:v>کد کلاس تکراری نباشد.</x:v>
      </x:c>
      <x:c r="F5" s="52" t="str">
        <x:v>زرد</x:v>
      </x:c>
      <x:c r="G5" s="52" t="str">
        <x:v>فهرست کلاس‌ها</x:v>
      </x:c>
      <x:c r="H5" s="53" t="str">
        <x:v>کد کلاس باید در تمام شیت‌ها یکسان باشد.</x:v>
      </x:c>
    </x:row>
    <x:row r="6">
      <x:c r="A6" s="54" t="n">
        <x:v>2</x:v>
      </x:c>
      <x:c r="B6" s="55" t="str">
        <x:v>دانش‌آموزان</x:v>
      </x:c>
      <x:c r="C6" s="55" t="str">
        <x:v>مشخصات هر دانش‌آموز و کلاس او را ثبت کنید.</x:v>
      </x:c>
      <x:c r="D6" s="55" t="str">
        <x:v>کد ملی، شماره دانش‌آموزی، نام، نام خانوادگی، جنسیت، تاریخ تولد، کد کلاس</x:v>
      </x:c>
      <x:c r="E6" s="55" t="str">
        <x:v>وضعیت کامل/ناقص خودکار است.</x:v>
      </x:c>
      <x:c r="F6" s="55" t="str">
        <x:v>زرد</x:v>
      </x:c>
      <x:c r="G6" s="55" t="str">
        <x:v>فهرست دانش‌آموزان</x:v>
      </x:c>
      <x:c r="H6" s="56" t="str">
        <x:v>کد ملی و شماره دانش‌آموزی را به‌صورت متن وارد کنید؛ صفر ابتدایی حذف نشود.</x:v>
      </x:c>
    </x:row>
    <x:row r="7">
      <x:c r="A7" s="54" t="n">
        <x:v>3</x:v>
      </x:c>
      <x:c r="B7" s="55" t="str">
        <x:v>ثبت اطلاعات</x:v>
      </x:c>
      <x:c r="C7" s="55" t="str">
        <x:v>برای هر دانش‌آموز در هر ماه، ۷۴ شاخص را از ۰ تا ۵ نمره دهید.</x:v>
      </x:c>
      <x:c r="D7" s="55" t="str">
        <x:v>ماه، ۷۴ نمره، توضیحات</x:v>
      </x:c>
      <x:c r="E7" s="55" t="str">
        <x:v>درصد تکمیل و امتیازها خودکار است.</x:v>
      </x:c>
      <x:c r="F7" s="55" t="str">
        <x:v>زرد</x:v>
      </x:c>
      <x:c r="G7" s="55" t="str">
        <x:v>ارزیابی ماهانه</x:v>
      </x:c>
      <x:c r="H7" s="56" t="str">
        <x:v>نتیجه فقط با تکمیل هر ۷۴ شاخص نهایی می‌شود.</x:v>
      </x:c>
    </x:row>
    <x:row r="8">
      <x:c r="A8" s="57" t="n">
        <x:v>4</x:v>
      </x:c>
      <x:c r="B8" s="58" t="str">
        <x:v>گزارش و داشبورد</x:v>
      </x:c>
      <x:c r="C8" s="58" t="str">
        <x:v>پس از ورود اطلاعات، گزارش‌ها را مشاهده کنید.</x:v>
      </x:c>
      <x:c r="D8" s="58" t="str">
        <x:v>روند، میانگین، رتبه واقعی، قوی‌ترین و ضعیف‌ترین حوزه</x:v>
      </x:c>
      <x:c r="E8" s="58" t="str">
        <x:v>محاسبه خودکار</x:v>
      </x:c>
      <x:c r="F8" s="58" t="str">
        <x:v>آبی/سبز</x:v>
      </x:c>
      <x:c r="G8" s="58" t="str">
        <x:v>تحلیل قابل ارائه</x:v>
      </x:c>
      <x:c r="H8" s="59" t="str">
        <x:v>رتبه فقط میان دانش‌آموزان دارای حداقل یک ارزیابی نهایی محاسبه می‌شود.</x:v>
      </x:c>
    </x:row>
    <x:row r="9">
      <x:c r="A9" s="297"/>
      <x:c r="B9" s="297"/>
      <x:c r="C9" s="297"/>
      <x:c r="D9" s="297"/>
      <x:c r="E9" s="297"/>
      <x:c r="F9" s="297"/>
      <x:c r="G9" s="297"/>
      <x:c r="H9" s="297"/>
    </x:row>
    <x:row r="10" ht="34" customHeight="1">
      <x:c r="A10" s="64" t="str">
        <x:v>مقیاس نمره‌دهی شاخص‌ها: ۰ = مشاهده نشده / بسیار ضعیف، ۱ = ضعیف، ۲ = نیازمند بهبود، ۳ = قابل قبول، ۴ = خوب، ۵ = بسیار خوب</x:v>
      </x:c>
      <x:c r="B10" s="64"/>
      <x:c r="C10" s="64"/>
      <x:c r="D10" s="64"/>
      <x:c r="E10" s="64"/>
      <x:c r="F10" s="64"/>
      <x:c r="G10" s="64"/>
      <x:c r="H10" s="64"/>
    </x:row>
    <x:row r="11">
      <x:c r="A11" s="297"/>
      <x:c r="B11" s="297"/>
      <x:c r="C11" s="297"/>
      <x:c r="D11" s="297"/>
      <x:c r="E11" s="297"/>
      <x:c r="F11" s="297"/>
      <x:c r="G11" s="297"/>
      <x:c r="H11" s="297"/>
    </x:row>
    <x:row r="12">
      <x:c r="A12" s="69" t="str">
        <x:v>ترتیب ماه‌ها در فایل: تیر تا خرداد. خانه‌های خاکستری و آبی دارای فرمول هستند و نباید ویرایش شوند.</x:v>
      </x:c>
      <x:c r="B12" s="69"/>
      <x:c r="C12" s="69"/>
      <x:c r="D12" s="69"/>
      <x:c r="E12" s="69"/>
      <x:c r="F12" s="69"/>
      <x:c r="G12" s="69"/>
      <x:c r="H12" s="69"/>
    </x:row>
  </x:sheetData>
  <x:mergeCells>
    <x:mergeCell ref="A1:H1"/>
    <x:mergeCell ref="A2:H2"/>
    <x:mergeCell ref="A10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5" hidden="0" customWidth="1"/>
    <x:col min="8" max="8" width="15" hidden="0" customWidth="1"/>
    <x:col min="9" max="9" width="15" hidden="0" customWidth="1"/>
  </x:cols>
  <x:sheetData>
    <x:row r="1" ht="32" customHeight="1">
      <x:c r="A1" s="4" t="str">
        <x:v>کلاس‌بندی مدرسه</x:v>
      </x:c>
      <x:c r="B1" s="297"/>
      <x:c r="C1" s="297"/>
      <x:c r="D1" s="297"/>
      <x:c r="E1" s="297"/>
      <x:c r="F1" s="297"/>
      <x:c r="G1" s="297"/>
      <x:c r="H1" s="297"/>
      <x:c r="I1" s="297"/>
    </x:row>
    <x:row r="2" ht="32" customHeight="1">
      <x:c r="A2" s="9" t="str">
        <x:v>هر کلاس را فقط یک‌بار وارد کنید. ظرفیت ثبت‌شده و تعداد دانش‌آموزان تخصیص‌یافته به‌صورت خودکار مقایسه می‌شوند.</x:v>
      </x:c>
      <x:c r="B2" s="297"/>
      <x:c r="C2" s="297"/>
      <x:c r="D2" s="297"/>
      <x:c r="E2" s="297"/>
      <x:c r="F2" s="297"/>
      <x:c r="G2" s="297"/>
      <x:c r="H2" s="297"/>
      <x:c r="I2" s="297"/>
    </x:row>
    <x:row r="3">
      <x:c r="A3" s="297"/>
      <x:c r="B3" s="297"/>
      <x:c r="C3" s="297"/>
      <x:c r="D3" s="297"/>
      <x:c r="E3" s="297"/>
      <x:c r="F3" s="297"/>
      <x:c r="G3" s="297"/>
      <x:c r="H3" s="297"/>
      <x:c r="I3" s="297"/>
    </x:row>
    <x:row r="4" ht="42" customHeight="1">
      <x:c r="A4" s="20" t="str">
        <x:v>ردیف</x:v>
      </x:c>
      <x:c r="B4" s="21" t="str">
        <x:v>کد مدرسه</x:v>
      </x:c>
      <x:c r="C4" s="21" t="str">
        <x:v>سال تحصیلی</x:v>
      </x:c>
      <x:c r="D4" s="21" t="str">
        <x:v>کد کلاس</x:v>
      </x:c>
      <x:c r="E4" s="21" t="str">
        <x:v>نام کلاس</x:v>
      </x:c>
      <x:c r="F4" s="21" t="str">
        <x:v>پایه تحصیلی</x:v>
      </x:c>
      <x:c r="G4" s="21" t="str">
        <x:v>ظرفیت</x:v>
      </x:c>
      <x:c r="H4" s="21" t="str">
        <x:v>تعداد ثبت‌شده</x:v>
      </x:c>
      <x:c r="I4" s="22" t="str">
        <x:v>وضعیت</x:v>
      </x:c>
    </x:row>
    <x:row r="5">
      <x:c r="A5" s="81" t="n">
        <x:v>1</x:v>
      </x:c>
      <x:c r="B5" s="111" t="str">
        <x:v>school-01</x:v>
      </x:c>
      <x:c r="C5" s="112" t="str">
        <x:v>test-2026</x:v>
      </x:c>
      <x:c r="D5" s="112" t="str">
        <x:v>sample-7-a</x:v>
      </x:c>
      <x:c r="E5" s="112" t="str">
        <x:v>کلاس نمونه هفتم الف</x:v>
      </x:c>
      <x:c r="F5" s="112" t="str">
        <x:v>پایه آزمایشی 7</x:v>
      </x:c>
      <x:c r="G5" s="113" t="n">
        <x:v>25</x:v>
      </x:c>
      <x:c r="H5" s="139" t="n">
        <x:f>IF(D5="","",COUNTIF('دانش‌آموزان'!$I$5:$I$104,D5))</x:f>
        <x:v>25</x:v>
      </x:c>
      <x:c r="I5" s="140" t="str">
        <x:f>IF(D5="","",IF(COUNTIF($D$5:$D$34,D5)&gt;1,"کد تکراری",IF(H5&gt;G5,"بیش از ظرفیت","معتبر")))</x:f>
        <x:v>معتبر</x:v>
      </x:c>
    </x:row>
    <x:row r="6">
      <x:c r="A6" s="82" t="n">
        <x:v>2</x:v>
      </x:c>
      <x:c r="B6" s="114" t="str">
        <x:v>school-01</x:v>
      </x:c>
      <x:c r="C6" s="115" t="str">
        <x:v>test-2026</x:v>
      </x:c>
      <x:c r="D6" s="115" t="str">
        <x:v>sample-7-b</x:v>
      </x:c>
      <x:c r="E6" s="115" t="str">
        <x:v>کلاس نمونه هفتم ب</x:v>
      </x:c>
      <x:c r="F6" s="115" t="str">
        <x:v>پایه آزمایشی 7</x:v>
      </x:c>
      <x:c r="G6" s="116" t="n">
        <x:v>25</x:v>
      </x:c>
      <x:c r="H6" s="141" t="n">
        <x:f>IF(D6="","",COUNTIF('دانش‌آموزان'!$I$5:$I$104,D6))</x:f>
        <x:v>25</x:v>
      </x:c>
      <x:c r="I6" s="142" t="str">
        <x:f>IF(D6="","",IF(COUNTIF($D$5:$D$34,D6)&gt;1,"کد تکراری",IF(H6&gt;G6,"بیش از ظرفیت","معتبر")))</x:f>
        <x:v>معتبر</x:v>
      </x:c>
    </x:row>
    <x:row r="7">
      <x:c r="A7" s="82" t="n">
        <x:v>3</x:v>
      </x:c>
      <x:c r="B7" s="114" t="str">
        <x:v>school-01</x:v>
      </x:c>
      <x:c r="C7" s="115" t="str">
        <x:v>test-2026</x:v>
      </x:c>
      <x:c r="D7" s="115" t="str">
        <x:v>sample-7-c</x:v>
      </x:c>
      <x:c r="E7" s="115" t="str">
        <x:v>کلاس نمونه هفتم ج</x:v>
      </x:c>
      <x:c r="F7" s="115" t="str">
        <x:v>پایه آزمایشی 7</x:v>
      </x:c>
      <x:c r="G7" s="116" t="n">
        <x:v>25</x:v>
      </x:c>
      <x:c r="H7" s="141" t="n">
        <x:f>IF(D7="","",COUNTIF('دانش‌آموزان'!$I$5:$I$104,D7))</x:f>
        <x:v>25</x:v>
      </x:c>
      <x:c r="I7" s="142" t="str">
        <x:f>IF(D7="","",IF(COUNTIF($D$5:$D$34,D7)&gt;1,"کد تکراری",IF(H7&gt;G7,"بیش از ظرفیت","معتبر")))</x:f>
        <x:v>معتبر</x:v>
      </x:c>
    </x:row>
    <x:row r="8">
      <x:c r="A8" s="82" t="n">
        <x:v>4</x:v>
      </x:c>
      <x:c r="B8" s="114" t="str">
        <x:v>school-01</x:v>
      </x:c>
      <x:c r="C8" s="115" t="str">
        <x:v>test-2026</x:v>
      </x:c>
      <x:c r="D8" s="115" t="str">
        <x:v>sample-7-d</x:v>
      </x:c>
      <x:c r="E8" s="115" t="str">
        <x:v>کلاس نمونه هفتم د</x:v>
      </x:c>
      <x:c r="F8" s="115" t="str">
        <x:v>پایه آزمایشی 7</x:v>
      </x:c>
      <x:c r="G8" s="116" t="n">
        <x:v>25</x:v>
      </x:c>
      <x:c r="H8" s="141" t="n">
        <x:f>IF(D8="","",COUNTIF('دانش‌آموزان'!$I$5:$I$104,D8))</x:f>
        <x:v>25</x:v>
      </x:c>
      <x:c r="I8" s="142" t="str">
        <x:f>IF(D8="","",IF(COUNTIF($D$5:$D$34,D8)&gt;1,"کد تکراری",IF(H8&gt;G8,"بیش از ظرفیت","معتبر")))</x:f>
        <x:v>معتبر</x:v>
      </x:c>
    </x:row>
    <x:row r="9">
      <x:c r="A9" s="82" t="n">
        <x:v>5</x:v>
      </x:c>
      <x:c r="B9" s="114"/>
      <x:c r="C9" s="115"/>
      <x:c r="D9" s="115"/>
      <x:c r="E9" s="115"/>
      <x:c r="F9" s="115"/>
      <x:c r="G9" s="116"/>
      <x:c r="H9" s="141" t="str">
        <x:f>IF(D9="","",COUNTIF('دانش‌آموزان'!$I$5:$I$104,D9))</x:f>
      </x:c>
      <x:c r="I9" s="142" t="str">
        <x:f>IF(D9="","",IF(COUNTIF($D$5:$D$34,D9)&gt;1,"کد تکراری",IF(H9&gt;G9,"بیش از ظرفیت","معتبر")))</x:f>
      </x:c>
    </x:row>
    <x:row r="10">
      <x:c r="A10" s="82" t="n">
        <x:v>6</x:v>
      </x:c>
      <x:c r="B10" s="114"/>
      <x:c r="C10" s="115"/>
      <x:c r="D10" s="115"/>
      <x:c r="E10" s="115"/>
      <x:c r="F10" s="115"/>
      <x:c r="G10" s="116"/>
      <x:c r="H10" s="141" t="str">
        <x:f>IF(D10="","",COUNTIF('دانش‌آموزان'!$I$5:$I$104,D10))</x:f>
      </x:c>
      <x:c r="I10" s="142" t="str">
        <x:f>IF(D10="","",IF(COUNTIF($D$5:$D$34,D10)&gt;1,"کد تکراری",IF(H10&gt;G10,"بیش از ظرفیت","معتبر")))</x:f>
      </x:c>
    </x:row>
    <x:row r="11">
      <x:c r="A11" s="82" t="n">
        <x:v>7</x:v>
      </x:c>
      <x:c r="B11" s="114"/>
      <x:c r="C11" s="115"/>
      <x:c r="D11" s="115"/>
      <x:c r="E11" s="115"/>
      <x:c r="F11" s="115"/>
      <x:c r="G11" s="116"/>
      <x:c r="H11" s="141" t="str">
        <x:f>IF(D11="","",COUNTIF('دانش‌آموزان'!$I$5:$I$104,D11))</x:f>
      </x:c>
      <x:c r="I11" s="142" t="str">
        <x:f>IF(D11="","",IF(COUNTIF($D$5:$D$34,D11)&gt;1,"کد تکراری",IF(H11&gt;G11,"بیش از ظرفیت","معتبر")))</x:f>
      </x:c>
    </x:row>
    <x:row r="12">
      <x:c r="A12" s="82" t="n">
        <x:v>8</x:v>
      </x:c>
      <x:c r="B12" s="114"/>
      <x:c r="C12" s="115"/>
      <x:c r="D12" s="115"/>
      <x:c r="E12" s="115"/>
      <x:c r="F12" s="115"/>
      <x:c r="G12" s="116"/>
      <x:c r="H12" s="141" t="str">
        <x:f>IF(D12="","",COUNTIF('دانش‌آموزان'!$I$5:$I$104,D12))</x:f>
      </x:c>
      <x:c r="I12" s="142" t="str">
        <x:f>IF(D12="","",IF(COUNTIF($D$5:$D$34,D12)&gt;1,"کد تکراری",IF(H12&gt;G12,"بیش از ظرفیت","معتبر")))</x:f>
      </x:c>
    </x:row>
    <x:row r="13">
      <x:c r="A13" s="82" t="n">
        <x:v>9</x:v>
      </x:c>
      <x:c r="B13" s="114"/>
      <x:c r="C13" s="115"/>
      <x:c r="D13" s="115"/>
      <x:c r="E13" s="115"/>
      <x:c r="F13" s="115"/>
      <x:c r="G13" s="116"/>
      <x:c r="H13" s="141" t="str">
        <x:f>IF(D13="","",COUNTIF('دانش‌آموزان'!$I$5:$I$104,D13))</x:f>
      </x:c>
      <x:c r="I13" s="142" t="str">
        <x:f>IF(D13="","",IF(COUNTIF($D$5:$D$34,D13)&gt;1,"کد تکراری",IF(H13&gt;G13,"بیش از ظرفیت","معتبر")))</x:f>
      </x:c>
    </x:row>
    <x:row r="14">
      <x:c r="A14" s="82" t="n">
        <x:v>10</x:v>
      </x:c>
      <x:c r="B14" s="114"/>
      <x:c r="C14" s="115"/>
      <x:c r="D14" s="115"/>
      <x:c r="E14" s="115"/>
      <x:c r="F14" s="115"/>
      <x:c r="G14" s="116"/>
      <x:c r="H14" s="141" t="str">
        <x:f>IF(D14="","",COUNTIF('دانش‌آموزان'!$I$5:$I$104,D14))</x:f>
      </x:c>
      <x:c r="I14" s="142" t="str">
        <x:f>IF(D14="","",IF(COUNTIF($D$5:$D$34,D14)&gt;1,"کد تکراری",IF(H14&gt;G14,"بیش از ظرفیت","معتبر")))</x:f>
      </x:c>
    </x:row>
    <x:row r="15">
      <x:c r="A15" s="82" t="n">
        <x:v>11</x:v>
      </x:c>
      <x:c r="B15" s="114"/>
      <x:c r="C15" s="115"/>
      <x:c r="D15" s="115"/>
      <x:c r="E15" s="115"/>
      <x:c r="F15" s="115"/>
      <x:c r="G15" s="116"/>
      <x:c r="H15" s="141" t="str">
        <x:f>IF(D15="","",COUNTIF('دانش‌آموزان'!$I$5:$I$104,D15))</x:f>
      </x:c>
      <x:c r="I15" s="142" t="str">
        <x:f>IF(D15="","",IF(COUNTIF($D$5:$D$34,D15)&gt;1,"کد تکراری",IF(H15&gt;G15,"بیش از ظرفیت","معتبر")))</x:f>
      </x:c>
    </x:row>
    <x:row r="16">
      <x:c r="A16" s="82" t="n">
        <x:v>12</x:v>
      </x:c>
      <x:c r="B16" s="114"/>
      <x:c r="C16" s="115"/>
      <x:c r="D16" s="115"/>
      <x:c r="E16" s="115"/>
      <x:c r="F16" s="115"/>
      <x:c r="G16" s="116"/>
      <x:c r="H16" s="141" t="str">
        <x:f>IF(D16="","",COUNTIF('دانش‌آموزان'!$I$5:$I$104,D16))</x:f>
      </x:c>
      <x:c r="I16" s="142" t="str">
        <x:f>IF(D16="","",IF(COUNTIF($D$5:$D$34,D16)&gt;1,"کد تکراری",IF(H16&gt;G16,"بیش از ظرفیت","معتبر")))</x:f>
      </x:c>
    </x:row>
    <x:row r="17">
      <x:c r="A17" s="82" t="n">
        <x:v>13</x:v>
      </x:c>
      <x:c r="B17" s="114"/>
      <x:c r="C17" s="115"/>
      <x:c r="D17" s="115"/>
      <x:c r="E17" s="115"/>
      <x:c r="F17" s="115"/>
      <x:c r="G17" s="116"/>
      <x:c r="H17" s="141" t="str">
        <x:f>IF(D17="","",COUNTIF('دانش‌آموزان'!$I$5:$I$104,D17))</x:f>
      </x:c>
      <x:c r="I17" s="142" t="str">
        <x:f>IF(D17="","",IF(COUNTIF($D$5:$D$34,D17)&gt;1,"کد تکراری",IF(H17&gt;G17,"بیش از ظرفیت","معتبر")))</x:f>
      </x:c>
    </x:row>
    <x:row r="18">
      <x:c r="A18" s="82" t="n">
        <x:v>14</x:v>
      </x:c>
      <x:c r="B18" s="114"/>
      <x:c r="C18" s="115"/>
      <x:c r="D18" s="115"/>
      <x:c r="E18" s="115"/>
      <x:c r="F18" s="115"/>
      <x:c r="G18" s="116"/>
      <x:c r="H18" s="141" t="str">
        <x:f>IF(D18="","",COUNTIF('دانش‌آموزان'!$I$5:$I$104,D18))</x:f>
      </x:c>
      <x:c r="I18" s="142" t="str">
        <x:f>IF(D18="","",IF(COUNTIF($D$5:$D$34,D18)&gt;1,"کد تکراری",IF(H18&gt;G18,"بیش از ظرفیت","معتبر")))</x:f>
      </x:c>
    </x:row>
    <x:row r="19">
      <x:c r="A19" s="82" t="n">
        <x:v>15</x:v>
      </x:c>
      <x:c r="B19" s="114"/>
      <x:c r="C19" s="115"/>
      <x:c r="D19" s="115"/>
      <x:c r="E19" s="115"/>
      <x:c r="F19" s="115"/>
      <x:c r="G19" s="116"/>
      <x:c r="H19" s="141" t="str">
        <x:f>IF(D19="","",COUNTIF('دانش‌آموزان'!$I$5:$I$104,D19))</x:f>
      </x:c>
      <x:c r="I19" s="142" t="str">
        <x:f>IF(D19="","",IF(COUNTIF($D$5:$D$34,D19)&gt;1,"کد تکراری",IF(H19&gt;G19,"بیش از ظرفیت","معتبر")))</x:f>
      </x:c>
    </x:row>
    <x:row r="20">
      <x:c r="A20" s="82" t="n">
        <x:v>16</x:v>
      </x:c>
      <x:c r="B20" s="114"/>
      <x:c r="C20" s="115"/>
      <x:c r="D20" s="115"/>
      <x:c r="E20" s="115"/>
      <x:c r="F20" s="115"/>
      <x:c r="G20" s="116"/>
      <x:c r="H20" s="141" t="str">
        <x:f>IF(D20="","",COUNTIF('دانش‌آموزان'!$I$5:$I$104,D20))</x:f>
      </x:c>
      <x:c r="I20" s="142" t="str">
        <x:f>IF(D20="","",IF(COUNTIF($D$5:$D$34,D20)&gt;1,"کد تکراری",IF(H20&gt;G20,"بیش از ظرفیت","معتبر")))</x:f>
      </x:c>
    </x:row>
    <x:row r="21">
      <x:c r="A21" s="82" t="n">
        <x:v>17</x:v>
      </x:c>
      <x:c r="B21" s="114"/>
      <x:c r="C21" s="115"/>
      <x:c r="D21" s="115"/>
      <x:c r="E21" s="115"/>
      <x:c r="F21" s="115"/>
      <x:c r="G21" s="116"/>
      <x:c r="H21" s="141" t="str">
        <x:f>IF(D21="","",COUNTIF('دانش‌آموزان'!$I$5:$I$104,D21))</x:f>
      </x:c>
      <x:c r="I21" s="142" t="str">
        <x:f>IF(D21="","",IF(COUNTIF($D$5:$D$34,D21)&gt;1,"کد تکراری",IF(H21&gt;G21,"بیش از ظرفیت","معتبر")))</x:f>
      </x:c>
    </x:row>
    <x:row r="22">
      <x:c r="A22" s="82" t="n">
        <x:v>18</x:v>
      </x:c>
      <x:c r="B22" s="114"/>
      <x:c r="C22" s="115"/>
      <x:c r="D22" s="115"/>
      <x:c r="E22" s="115"/>
      <x:c r="F22" s="115"/>
      <x:c r="G22" s="116"/>
      <x:c r="H22" s="141" t="str">
        <x:f>IF(D22="","",COUNTIF('دانش‌آموزان'!$I$5:$I$104,D22))</x:f>
      </x:c>
      <x:c r="I22" s="142" t="str">
        <x:f>IF(D22="","",IF(COUNTIF($D$5:$D$34,D22)&gt;1,"کد تکراری",IF(H22&gt;G22,"بیش از ظرفیت","معتبر")))</x:f>
      </x:c>
    </x:row>
    <x:row r="23">
      <x:c r="A23" s="82" t="n">
        <x:v>19</x:v>
      </x:c>
      <x:c r="B23" s="114"/>
      <x:c r="C23" s="115"/>
      <x:c r="D23" s="115"/>
      <x:c r="E23" s="115"/>
      <x:c r="F23" s="115"/>
      <x:c r="G23" s="116"/>
      <x:c r="H23" s="141" t="str">
        <x:f>IF(D23="","",COUNTIF('دانش‌آموزان'!$I$5:$I$104,D23))</x:f>
      </x:c>
      <x:c r="I23" s="142" t="str">
        <x:f>IF(D23="","",IF(COUNTIF($D$5:$D$34,D23)&gt;1,"کد تکراری",IF(H23&gt;G23,"بیش از ظرفیت","معتبر")))</x:f>
      </x:c>
    </x:row>
    <x:row r="24">
      <x:c r="A24" s="82" t="n">
        <x:v>20</x:v>
      </x:c>
      <x:c r="B24" s="114"/>
      <x:c r="C24" s="115"/>
      <x:c r="D24" s="115"/>
      <x:c r="E24" s="115"/>
      <x:c r="F24" s="115"/>
      <x:c r="G24" s="116"/>
      <x:c r="H24" s="141" t="str">
        <x:f>IF(D24="","",COUNTIF('دانش‌آموزان'!$I$5:$I$104,D24))</x:f>
      </x:c>
      <x:c r="I24" s="142" t="str">
        <x:f>IF(D24="","",IF(COUNTIF($D$5:$D$34,D24)&gt;1,"کد تکراری",IF(H24&gt;G24,"بیش از ظرفیت","معتبر")))</x:f>
      </x:c>
    </x:row>
    <x:row r="25">
      <x:c r="A25" s="82" t="n">
        <x:v>21</x:v>
      </x:c>
      <x:c r="B25" s="114"/>
      <x:c r="C25" s="115"/>
      <x:c r="D25" s="115"/>
      <x:c r="E25" s="115"/>
      <x:c r="F25" s="115"/>
      <x:c r="G25" s="116"/>
      <x:c r="H25" s="141" t="str">
        <x:f>IF(D25="","",COUNTIF('دانش‌آموزان'!$I$5:$I$104,D25))</x:f>
      </x:c>
      <x:c r="I25" s="142" t="str">
        <x:f>IF(D25="","",IF(COUNTIF($D$5:$D$34,D25)&gt;1,"کد تکراری",IF(H25&gt;G25,"بیش از ظرفیت","معتبر")))</x:f>
      </x:c>
    </x:row>
    <x:row r="26">
      <x:c r="A26" s="82" t="n">
        <x:v>22</x:v>
      </x:c>
      <x:c r="B26" s="114"/>
      <x:c r="C26" s="115"/>
      <x:c r="D26" s="115"/>
      <x:c r="E26" s="115"/>
      <x:c r="F26" s="115"/>
      <x:c r="G26" s="116"/>
      <x:c r="H26" s="141" t="str">
        <x:f>IF(D26="","",COUNTIF('دانش‌آموزان'!$I$5:$I$104,D26))</x:f>
      </x:c>
      <x:c r="I26" s="142" t="str">
        <x:f>IF(D26="","",IF(COUNTIF($D$5:$D$34,D26)&gt;1,"کد تکراری",IF(H26&gt;G26,"بیش از ظرفیت","معتبر")))</x:f>
      </x:c>
    </x:row>
    <x:row r="27">
      <x:c r="A27" s="82" t="n">
        <x:v>23</x:v>
      </x:c>
      <x:c r="B27" s="114"/>
      <x:c r="C27" s="115"/>
      <x:c r="D27" s="115"/>
      <x:c r="E27" s="115"/>
      <x:c r="F27" s="115"/>
      <x:c r="G27" s="116"/>
      <x:c r="H27" s="141" t="str">
        <x:f>IF(D27="","",COUNTIF('دانش‌آموزان'!$I$5:$I$104,D27))</x:f>
      </x:c>
      <x:c r="I27" s="142" t="str">
        <x:f>IF(D27="","",IF(COUNTIF($D$5:$D$34,D27)&gt;1,"کد تکراری",IF(H27&gt;G27,"بیش از ظرفیت","معتبر")))</x:f>
      </x:c>
    </x:row>
    <x:row r="28">
      <x:c r="A28" s="82" t="n">
        <x:v>24</x:v>
      </x:c>
      <x:c r="B28" s="114"/>
      <x:c r="C28" s="115"/>
      <x:c r="D28" s="115"/>
      <x:c r="E28" s="115"/>
      <x:c r="F28" s="115"/>
      <x:c r="G28" s="116"/>
      <x:c r="H28" s="141" t="str">
        <x:f>IF(D28="","",COUNTIF('دانش‌آموزان'!$I$5:$I$104,D28))</x:f>
      </x:c>
      <x:c r="I28" s="142" t="str">
        <x:f>IF(D28="","",IF(COUNTIF($D$5:$D$34,D28)&gt;1,"کد تکراری",IF(H28&gt;G28,"بیش از ظرفیت","معتبر")))</x:f>
      </x:c>
    </x:row>
    <x:row r="29">
      <x:c r="A29" s="82" t="n">
        <x:v>25</x:v>
      </x:c>
      <x:c r="B29" s="114"/>
      <x:c r="C29" s="115"/>
      <x:c r="D29" s="115"/>
      <x:c r="E29" s="115"/>
      <x:c r="F29" s="115"/>
      <x:c r="G29" s="116"/>
      <x:c r="H29" s="141" t="str">
        <x:f>IF(D29="","",COUNTIF('دانش‌آموزان'!$I$5:$I$104,D29))</x:f>
      </x:c>
      <x:c r="I29" s="142" t="str">
        <x:f>IF(D29="","",IF(COUNTIF($D$5:$D$34,D29)&gt;1,"کد تکراری",IF(H29&gt;G29,"بیش از ظرفیت","معتبر")))</x:f>
      </x:c>
    </x:row>
    <x:row r="30">
      <x:c r="A30" s="82" t="n">
        <x:v>26</x:v>
      </x:c>
      <x:c r="B30" s="114"/>
      <x:c r="C30" s="115"/>
      <x:c r="D30" s="115"/>
      <x:c r="E30" s="115"/>
      <x:c r="F30" s="115"/>
      <x:c r="G30" s="116"/>
      <x:c r="H30" s="141" t="str">
        <x:f>IF(D30="","",COUNTIF('دانش‌آموزان'!$I$5:$I$104,D30))</x:f>
      </x:c>
      <x:c r="I30" s="142" t="str">
        <x:f>IF(D30="","",IF(COUNTIF($D$5:$D$34,D30)&gt;1,"کد تکراری",IF(H30&gt;G30,"بیش از ظرفیت","معتبر")))</x:f>
      </x:c>
    </x:row>
    <x:row r="31">
      <x:c r="A31" s="82" t="n">
        <x:v>27</x:v>
      </x:c>
      <x:c r="B31" s="114"/>
      <x:c r="C31" s="115"/>
      <x:c r="D31" s="115"/>
      <x:c r="E31" s="115"/>
      <x:c r="F31" s="115"/>
      <x:c r="G31" s="116"/>
      <x:c r="H31" s="141" t="str">
        <x:f>IF(D31="","",COUNTIF('دانش‌آموزان'!$I$5:$I$104,D31))</x:f>
      </x:c>
      <x:c r="I31" s="142" t="str">
        <x:f>IF(D31="","",IF(COUNTIF($D$5:$D$34,D31)&gt;1,"کد تکراری",IF(H31&gt;G31,"بیش از ظرفیت","معتبر")))</x:f>
      </x:c>
    </x:row>
    <x:row r="32">
      <x:c r="A32" s="82" t="n">
        <x:v>28</x:v>
      </x:c>
      <x:c r="B32" s="114"/>
      <x:c r="C32" s="115"/>
      <x:c r="D32" s="115"/>
      <x:c r="E32" s="115"/>
      <x:c r="F32" s="115"/>
      <x:c r="G32" s="116"/>
      <x:c r="H32" s="141" t="str">
        <x:f>IF(D32="","",COUNTIF('دانش‌آموزان'!$I$5:$I$104,D32))</x:f>
      </x:c>
      <x:c r="I32" s="142" t="str">
        <x:f>IF(D32="","",IF(COUNTIF($D$5:$D$34,D32)&gt;1,"کد تکراری",IF(H32&gt;G32,"بیش از ظرفیت","معتبر")))</x:f>
      </x:c>
    </x:row>
    <x:row r="33">
      <x:c r="A33" s="82" t="n">
        <x:v>29</x:v>
      </x:c>
      <x:c r="B33" s="114"/>
      <x:c r="C33" s="115"/>
      <x:c r="D33" s="115"/>
      <x:c r="E33" s="115"/>
      <x:c r="F33" s="115"/>
      <x:c r="G33" s="116"/>
      <x:c r="H33" s="141" t="str">
        <x:f>IF(D33="","",COUNTIF('دانش‌آموزان'!$I$5:$I$104,D33))</x:f>
      </x:c>
      <x:c r="I33" s="142" t="str">
        <x:f>IF(D33="","",IF(COUNTIF($D$5:$D$34,D33)&gt;1,"کد تکراری",IF(H33&gt;G33,"بیش از ظرفیت","معتبر")))</x:f>
      </x:c>
    </x:row>
    <x:row r="34">
      <x:c r="A34" s="83" t="n">
        <x:v>30</x:v>
      </x:c>
      <x:c r="B34" s="117"/>
      <x:c r="C34" s="118"/>
      <x:c r="D34" s="118"/>
      <x:c r="E34" s="118"/>
      <x:c r="F34" s="118"/>
      <x:c r="G34" s="119"/>
      <x:c r="H34" s="143" t="str">
        <x:f>IF(D34="","",COUNTIF('دانش‌آموزان'!$I$5:$I$104,D34))</x:f>
      </x:c>
      <x:c r="I34" s="144" t="str">
        <x:f>IF(D34="","",IF(COUNTIF($D$5:$D$34,D34)&gt;1,"کد تکراری",IF(H34&gt;G34,"بیش از ظرفیت","معتبر")))</x:f>
      </x:c>
    </x:row>
  </x:sheetData>
  <x:mergeCells>
    <x:mergeCell ref="A1:I1"/>
    <x:mergeCell ref="A2:I2"/>
  </x:mergeCells>
  <x:conditionalFormatting sqref="I5:I34">
    <x:cfRule type="cellIs" dxfId="0" priority="1">
      <x:formula>"معتبر"</x:formula>
    </x:cfRule>
    <x:cfRule type="cellIs" dxfId="1" priority="2">
      <x:formula>"معتبر"</x:formula>
    </x:cfRule>
  </x:conditionalFormatting>
  <x:dataValidations count="1">
    <x:dataValidation type="whole" operator="between" sqref="G5:G34">
      <x:formula1>1</x:formula1>
      <x:formula2>100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9" hidden="0" customWidth="1"/>
    <x:col min="3" max="3" width="18" hidden="0" customWidth="1"/>
    <x:col min="4" max="4" width="18" hidden="0" customWidth="1"/>
    <x:col min="5" max="5" width="16" hidden="0" customWidth="1"/>
    <x:col min="6" max="6" width="16" hidden="0" customWidth="1"/>
    <x:col min="7" max="7" width="14" hidden="0" customWidth="1"/>
    <x:col min="8" max="8" width="14" hidden="0" customWidth="1"/>
    <x:col min="9" max="9" width="14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 ht="32" customHeight="1">
      <x:c r="A1" s="4" t="str">
        <x:v>فهرست دانش‌آموزان</x:v>
      </x:c>
      <x:c r="B1" s="297"/>
      <x:c r="C1" s="297"/>
      <x:c r="D1" s="297"/>
      <x:c r="E1" s="297"/>
      <x:c r="F1" s="297"/>
      <x:c r="G1" s="297"/>
      <x:c r="H1" s="297"/>
      <x:c r="I1" s="297"/>
      <x:c r="J1" s="297"/>
      <x:c r="K1" s="297"/>
      <x:c r="L1" s="297"/>
    </x:row>
    <x:row r="2" ht="32" customHeight="1">
      <x:c r="A2" s="9" t="str">
        <x:v>برای هر دانش‌آموز یک ردیف تکمیل کنید. کد محلی ۱ تا ۱۰۰ از قبل ساخته شده و مبنای گزارش‌های همین فایل است.</x:v>
      </x:c>
      <x:c r="B2" s="297"/>
      <x:c r="C2" s="297"/>
      <x:c r="D2" s="297"/>
      <x:c r="E2" s="297"/>
      <x:c r="F2" s="297"/>
      <x:c r="G2" s="297"/>
      <x:c r="H2" s="297"/>
      <x:c r="I2" s="297"/>
      <x:c r="J2" s="297"/>
      <x:c r="K2" s="297"/>
      <x:c r="L2" s="297"/>
    </x:row>
    <x:row r="3">
      <x:c r="A3" s="297"/>
      <x:c r="B3" s="297"/>
      <x:c r="C3" s="297"/>
      <x:c r="D3" s="297"/>
      <x:c r="E3" s="297"/>
      <x:c r="F3" s="297"/>
      <x:c r="G3" s="297"/>
      <x:c r="H3" s="297"/>
      <x:c r="I3" s="297"/>
      <x:c r="J3" s="297"/>
      <x:c r="K3" s="297"/>
      <x:c r="L3" s="297"/>
    </x:row>
    <x:row r="4" ht="42" customHeight="1">
      <x:c r="A4" s="20" t="str">
        <x:v>ردیف</x:v>
      </x:c>
      <x:c r="B4" s="21" t="str">
        <x:v>کد محلی</x:v>
      </x:c>
      <x:c r="C4" s="21" t="str">
        <x:v>کد ملی</x:v>
      </x:c>
      <x:c r="D4" s="21" t="str">
        <x:v>شماره دانش‌آموزی</x:v>
      </x:c>
      <x:c r="E4" s="21" t="str">
        <x:v>نام</x:v>
      </x:c>
      <x:c r="F4" s="21" t="str">
        <x:v>نام خانوادگی</x:v>
      </x:c>
      <x:c r="G4" s="21" t="str">
        <x:v>جنسیت</x:v>
      </x:c>
      <x:c r="H4" s="21" t="str">
        <x:v>تاریخ تولد</x:v>
      </x:c>
      <x:c r="I4" s="21" t="str">
        <x:v>کد کلاس</x:v>
      </x:c>
      <x:c r="J4" s="21" t="str">
        <x:v>نام کلاس</x:v>
      </x:c>
      <x:c r="K4" s="21" t="str">
        <x:v>پایه</x:v>
      </x:c>
      <x:c r="L4" s="22" t="str">
        <x:v>وضعیت اطلاعات</x:v>
      </x:c>
    </x:row>
    <x:row r="5">
      <x:c r="A5" s="163" t="n">
        <x:v>1</x:v>
      </x:c>
      <x:c r="B5" s="164" t="n">
        <x:v>1</x:v>
      </x:c>
      <x:c r="C5" s="111" t="str">
        <x:v>4000000012</x:v>
      </x:c>
      <x:c r="D5" s="112" t="str">
        <x:v>sample-0001</x:v>
      </x:c>
      <x:c r="E5" s="112" t="str">
        <x:v>علی</x:v>
      </x:c>
      <x:c r="F5" s="112" t="str">
        <x:v>احمدی</x:v>
      </x:c>
      <x:c r="G5" s="112" t="str">
        <x:v>پسر</x:v>
      </x:c>
      <x:c r="H5" s="298" t="n">
        <x:v>40544</x:v>
      </x:c>
      <x:c r="I5" s="113" t="str">
        <x:v>sample-7-a</x:v>
      </x:c>
      <x:c r="J5" s="139" t="str">
        <x:f>IF(I5="","",IFERROR(INDEX('کلاس‌بندی'!$E$5:$E$34,MATCH(I5,'کلاس‌بندی'!$D$5:$D$34,0)),"کد کلاس نامعتبر"))</x:f>
        <x:v>کلاس نمونه هفتم الف</x:v>
      </x:c>
      <x:c r="K5" s="177" t="str">
        <x:f>IF(I5="","",IFERROR(INDEX('کلاس‌بندی'!$F$5:$F$34,MATCH(I5,'کلاس‌بندی'!$D$5:$D$34,0)),""))</x:f>
        <x:v>پایه آزمایشی 7</x:v>
      </x:c>
      <x:c r="L5" s="140" t="str">
        <x:f>IF(COUNTA(C5:I5)=0,"",IF(AND(LEN(C5)=10,D5&lt;&gt;"",E5&lt;&gt;"",F5&lt;&gt;"",G5&lt;&gt;"",H5&lt;&gt;"",I5&lt;&gt;""),"کامل","ناقص"))</x:f>
        <x:v>کامل</x:v>
      </x:c>
    </x:row>
    <x:row r="6">
      <x:c r="A6" s="165" t="n">
        <x:v>2</x:v>
      </x:c>
      <x:c r="B6" s="166" t="n">
        <x:v>2</x:v>
      </x:c>
      <x:c r="C6" s="114" t="str">
        <x:v>4000000020</x:v>
      </x:c>
      <x:c r="D6" s="115" t="str">
        <x:v>sample-0002</x:v>
      </x:c>
      <x:c r="E6" s="115" t="str">
        <x:v>فاطمه</x:v>
      </x:c>
      <x:c r="F6" s="115" t="str">
        <x:v>اکبری</x:v>
      </x:c>
      <x:c r="G6" s="115" t="str">
        <x:v>دختر</x:v>
      </x:c>
      <x:c r="H6" s="299" t="n">
        <x:v>40941</x:v>
      </x:c>
      <x:c r="I6" s="116" t="str">
        <x:v>sample-7-a</x:v>
      </x:c>
      <x:c r="J6" s="141" t="str">
        <x:f>IF(I6="","",IFERROR(INDEX('کلاس‌بندی'!$E$5:$E$34,MATCH(I6,'کلاس‌بندی'!$D$5:$D$34,0)),"کد کلاس نامعتبر"))</x:f>
        <x:v>کلاس نمونه هفتم الف</x:v>
      </x:c>
      <x:c r="K6" s="178" t="str">
        <x:f>IF(I6="","",IFERROR(INDEX('کلاس‌بندی'!$F$5:$F$34,MATCH(I6,'کلاس‌بندی'!$D$5:$D$34,0)),""))</x:f>
        <x:v>پایه آزمایشی 7</x:v>
      </x:c>
      <x:c r="L6" s="142" t="str">
        <x:f>IF(COUNTA(C6:I6)=0,"",IF(AND(LEN(C6)=10,D6&lt;&gt;"",E6&lt;&gt;"",F6&lt;&gt;"",G6&lt;&gt;"",H6&lt;&gt;"",I6&lt;&gt;""),"کامل","ناقص"))</x:f>
        <x:v>کامل</x:v>
      </x:c>
    </x:row>
    <x:row r="7">
      <x:c r="A7" s="165" t="n">
        <x:v>3</x:v>
      </x:c>
      <x:c r="B7" s="166" t="n">
        <x:v>3</x:v>
      </x:c>
      <x:c r="C7" s="114" t="str">
        <x:v>4000000039</x:v>
      </x:c>
      <x:c r="D7" s="115" t="str">
        <x:v>sample-0003</x:v>
      </x:c>
      <x:c r="E7" s="115" t="str">
        <x:v>امیرحسین</x:v>
      </x:c>
      <x:c r="F7" s="115" t="str">
        <x:v>طاهری</x:v>
      </x:c>
      <x:c r="G7" s="115" t="str">
        <x:v>پسر</x:v>
      </x:c>
      <x:c r="H7" s="299" t="n">
        <x:v>41336</x:v>
      </x:c>
      <x:c r="I7" s="116" t="str">
        <x:v>sample-7-a</x:v>
      </x:c>
      <x:c r="J7" s="141" t="str">
        <x:f>IF(I7="","",IFERROR(INDEX('کلاس‌بندی'!$E$5:$E$34,MATCH(I7,'کلاس‌بندی'!$D$5:$D$34,0)),"کد کلاس نامعتبر"))</x:f>
        <x:v>کلاس نمونه هفتم الف</x:v>
      </x:c>
      <x:c r="K7" s="178" t="str">
        <x:f>IF(I7="","",IFERROR(INDEX('کلاس‌بندی'!$F$5:$F$34,MATCH(I7,'کلاس‌بندی'!$D$5:$D$34,0)),""))</x:f>
        <x:v>پایه آزمایشی 7</x:v>
      </x:c>
      <x:c r="L7" s="142" t="str">
        <x:f>IF(COUNTA(C7:I7)=0,"",IF(AND(LEN(C7)=10,D7&lt;&gt;"",E7&lt;&gt;"",F7&lt;&gt;"",G7&lt;&gt;"",H7&lt;&gt;"",I7&lt;&gt;""),"کامل","ناقص"))</x:f>
        <x:v>کامل</x:v>
      </x:c>
    </x:row>
    <x:row r="8">
      <x:c r="A8" s="165" t="n">
        <x:v>4</x:v>
      </x:c>
      <x:c r="B8" s="166" t="n">
        <x:v>4</x:v>
      </x:c>
      <x:c r="C8" s="114" t="str">
        <x:v>4000000047</x:v>
      </x:c>
      <x:c r="D8" s="115" t="str">
        <x:v>sample-0004</x:v>
      </x:c>
      <x:c r="E8" s="115" t="str">
        <x:v>زهرا</x:v>
      </x:c>
      <x:c r="F8" s="115" t="str">
        <x:v>محمدی</x:v>
      </x:c>
      <x:c r="G8" s="115" t="str">
        <x:v>دختر</x:v>
      </x:c>
      <x:c r="H8" s="299" t="n">
        <x:v>40637</x:v>
      </x:c>
      <x:c r="I8" s="116" t="str">
        <x:v>sample-7-a</x:v>
      </x:c>
      <x:c r="J8" s="141" t="str">
        <x:f>IF(I8="","",IFERROR(INDEX('کلاس‌بندی'!$E$5:$E$34,MATCH(I8,'کلاس‌بندی'!$D$5:$D$34,0)),"کد کلاس نامعتبر"))</x:f>
        <x:v>کلاس نمونه هفتم الف</x:v>
      </x:c>
      <x:c r="K8" s="178" t="str">
        <x:f>IF(I8="","",IFERROR(INDEX('کلاس‌بندی'!$F$5:$F$34,MATCH(I8,'کلاس‌بندی'!$D$5:$D$34,0)),""))</x:f>
        <x:v>پایه آزمایشی 7</x:v>
      </x:c>
      <x:c r="L8" s="142" t="str">
        <x:f>IF(COUNTA(C8:I8)=0,"",IF(AND(LEN(C8)=10,D8&lt;&gt;"",E8&lt;&gt;"",F8&lt;&gt;"",G8&lt;&gt;"",H8&lt;&gt;"",I8&lt;&gt;""),"کامل","ناقص"))</x:f>
        <x:v>کامل</x:v>
      </x:c>
    </x:row>
    <x:row r="9">
      <x:c r="A9" s="165" t="n">
        <x:v>5</x:v>
      </x:c>
      <x:c r="B9" s="166" t="n">
        <x:v>5</x:v>
      </x:c>
      <x:c r="C9" s="114" t="str">
        <x:v>4000000055</x:v>
      </x:c>
      <x:c r="D9" s="115" t="str">
        <x:v>sample-0005</x:v>
      </x:c>
      <x:c r="E9" s="115" t="str">
        <x:v>محمد</x:v>
      </x:c>
      <x:c r="F9" s="115" t="str">
        <x:v>قاسمی</x:v>
      </x:c>
      <x:c r="G9" s="115" t="str">
        <x:v>پسر</x:v>
      </x:c>
      <x:c r="H9" s="299" t="n">
        <x:v>41034</x:v>
      </x:c>
      <x:c r="I9" s="116" t="str">
        <x:v>sample-7-a</x:v>
      </x:c>
      <x:c r="J9" s="141" t="str">
        <x:f>IF(I9="","",IFERROR(INDEX('کلاس‌بندی'!$E$5:$E$34,MATCH(I9,'کلاس‌بندی'!$D$5:$D$34,0)),"کد کلاس نامعتبر"))</x:f>
        <x:v>کلاس نمونه هفتم الف</x:v>
      </x:c>
      <x:c r="K9" s="178" t="str">
        <x:f>IF(I9="","",IFERROR(INDEX('کلاس‌بندی'!$F$5:$F$34,MATCH(I9,'کلاس‌بندی'!$D$5:$D$34,0)),""))</x:f>
        <x:v>پایه آزمایشی 7</x:v>
      </x:c>
      <x:c r="L9" s="142" t="str">
        <x:f>IF(COUNTA(C9:I9)=0,"",IF(AND(LEN(C9)=10,D9&lt;&gt;"",E9&lt;&gt;"",F9&lt;&gt;"",G9&lt;&gt;"",H9&lt;&gt;"",I9&lt;&gt;""),"کامل","ناقص"))</x:f>
        <x:v>کامل</x:v>
      </x:c>
    </x:row>
    <x:row r="10">
      <x:c r="A10" s="165" t="n">
        <x:v>6</x:v>
      </x:c>
      <x:c r="B10" s="166" t="n">
        <x:v>6</x:v>
      </x:c>
      <x:c r="C10" s="114" t="str">
        <x:v>4000000063</x:v>
      </x:c>
      <x:c r="D10" s="115" t="str">
        <x:v>sample-0006</x:v>
      </x:c>
      <x:c r="E10" s="115" t="str">
        <x:v>سارا</x:v>
      </x:c>
      <x:c r="F10" s="115" t="str">
        <x:v>خلیلی</x:v>
      </x:c>
      <x:c r="G10" s="115" t="str">
        <x:v>دختر</x:v>
      </x:c>
      <x:c r="H10" s="299" t="n">
        <x:v>41431</x:v>
      </x:c>
      <x:c r="I10" s="116" t="str">
        <x:v>sample-7-a</x:v>
      </x:c>
      <x:c r="J10" s="141" t="str">
        <x:f>IF(I10="","",IFERROR(INDEX('کلاس‌بندی'!$E$5:$E$34,MATCH(I10,'کلاس‌بندی'!$D$5:$D$34,0)),"کد کلاس نامعتبر"))</x:f>
        <x:v>کلاس نمونه هفتم الف</x:v>
      </x:c>
      <x:c r="K10" s="178" t="str">
        <x:f>IF(I10="","",IFERROR(INDEX('کلاس‌بندی'!$F$5:$F$34,MATCH(I10,'کلاس‌بندی'!$D$5:$D$34,0)),""))</x:f>
        <x:v>پایه آزمایشی 7</x:v>
      </x:c>
      <x:c r="L10" s="142" t="str">
        <x:f>IF(COUNTA(C10:I10)=0,"",IF(AND(LEN(C10)=10,D10&lt;&gt;"",E10&lt;&gt;"",F10&lt;&gt;"",G10&lt;&gt;"",H10&lt;&gt;"",I10&lt;&gt;""),"کامل","ناقص"))</x:f>
        <x:v>کامل</x:v>
      </x:c>
    </x:row>
    <x:row r="11">
      <x:c r="A11" s="165" t="n">
        <x:v>7</x:v>
      </x:c>
      <x:c r="B11" s="166" t="n">
        <x:v>7</x:v>
      </x:c>
      <x:c r="C11" s="114" t="str">
        <x:v>4000000071</x:v>
      </x:c>
      <x:c r="D11" s="115" t="str">
        <x:v>sample-0007</x:v>
      </x:c>
      <x:c r="E11" s="115" t="str">
        <x:v>آراد</x:v>
      </x:c>
      <x:c r="F11" s="115" t="str">
        <x:v>حسینی</x:v>
      </x:c>
      <x:c r="G11" s="115" t="str">
        <x:v>پسر</x:v>
      </x:c>
      <x:c r="H11" s="299" t="n">
        <x:v>40731</x:v>
      </x:c>
      <x:c r="I11" s="116" t="str">
        <x:v>sample-7-a</x:v>
      </x:c>
      <x:c r="J11" s="141" t="str">
        <x:f>IF(I11="","",IFERROR(INDEX('کلاس‌بندی'!$E$5:$E$34,MATCH(I11,'کلاس‌بندی'!$D$5:$D$34,0)),"کد کلاس نامعتبر"))</x:f>
        <x:v>کلاس نمونه هفتم الف</x:v>
      </x:c>
      <x:c r="K11" s="178" t="str">
        <x:f>IF(I11="","",IFERROR(INDEX('کلاس‌بندی'!$F$5:$F$34,MATCH(I11,'کلاس‌بندی'!$D$5:$D$34,0)),""))</x:f>
        <x:v>پایه آزمایشی 7</x:v>
      </x:c>
      <x:c r="L11" s="142" t="str">
        <x:f>IF(COUNTA(C11:I11)=0,"",IF(AND(LEN(C11)=10,D11&lt;&gt;"",E11&lt;&gt;"",F11&lt;&gt;"",G11&lt;&gt;"",H11&lt;&gt;"",I11&lt;&gt;""),"کامل","ناقص"))</x:f>
        <x:v>کامل</x:v>
      </x:c>
    </x:row>
    <x:row r="12">
      <x:c r="A12" s="165" t="n">
        <x:v>8</x:v>
      </x:c>
      <x:c r="B12" s="166" t="n">
        <x:v>8</x:v>
      </x:c>
      <x:c r="C12" s="114" t="str">
        <x:v>4000000081</x:v>
      </x:c>
      <x:c r="D12" s="115" t="str">
        <x:v>sample-0008</x:v>
      </x:c>
      <x:c r="E12" s="115" t="str">
        <x:v>نگار</x:v>
      </x:c>
      <x:c r="F12" s="115" t="str">
        <x:v>جعفری</x:v>
      </x:c>
      <x:c r="G12" s="115" t="str">
        <x:v>دختر</x:v>
      </x:c>
      <x:c r="H12" s="299" t="n">
        <x:v>41129</x:v>
      </x:c>
      <x:c r="I12" s="116" t="str">
        <x:v>sample-7-a</x:v>
      </x:c>
      <x:c r="J12" s="141" t="str">
        <x:f>IF(I12="","",IFERROR(INDEX('کلاس‌بندی'!$E$5:$E$34,MATCH(I12,'کلاس‌بندی'!$D$5:$D$34,0)),"کد کلاس نامعتبر"))</x:f>
        <x:v>کلاس نمونه هفتم الف</x:v>
      </x:c>
      <x:c r="K12" s="178" t="str">
        <x:f>IF(I12="","",IFERROR(INDEX('کلاس‌بندی'!$F$5:$F$34,MATCH(I12,'کلاس‌بندی'!$D$5:$D$34,0)),""))</x:f>
        <x:v>پایه آزمایشی 7</x:v>
      </x:c>
      <x:c r="L12" s="142" t="str">
        <x:f>IF(COUNTA(C12:I12)=0,"",IF(AND(LEN(C12)=10,D12&lt;&gt;"",E12&lt;&gt;"",F12&lt;&gt;"",G12&lt;&gt;"",H12&lt;&gt;"",I12&lt;&gt;""),"کامل","ناقص"))</x:f>
        <x:v>کامل</x:v>
      </x:c>
    </x:row>
    <x:row r="13">
      <x:c r="A13" s="165" t="n">
        <x:v>9</x:v>
      </x:c>
      <x:c r="B13" s="166" t="n">
        <x:v>9</x:v>
      </x:c>
      <x:c r="C13" s="114" t="str">
        <x:v>4000000098</x:v>
      </x:c>
      <x:c r="D13" s="115" t="str">
        <x:v>sample-0009</x:v>
      </x:c>
      <x:c r="E13" s="115" t="str">
        <x:v>سام</x:v>
      </x:c>
      <x:c r="F13" s="115" t="str">
        <x:v>امینی</x:v>
      </x:c>
      <x:c r="G13" s="115" t="str">
        <x:v>پسر</x:v>
      </x:c>
      <x:c r="H13" s="299" t="n">
        <x:v>41526</x:v>
      </x:c>
      <x:c r="I13" s="116" t="str">
        <x:v>sample-7-a</x:v>
      </x:c>
      <x:c r="J13" s="141" t="str">
        <x:f>IF(I13="","",IFERROR(INDEX('کلاس‌بندی'!$E$5:$E$34,MATCH(I13,'کلاس‌بندی'!$D$5:$D$34,0)),"کد کلاس نامعتبر"))</x:f>
        <x:v>کلاس نمونه هفتم الف</x:v>
      </x:c>
      <x:c r="K13" s="178" t="str">
        <x:f>IF(I13="","",IFERROR(INDEX('کلاس‌بندی'!$F$5:$F$34,MATCH(I13,'کلاس‌بندی'!$D$5:$D$34,0)),""))</x:f>
        <x:v>پایه آزمایشی 7</x:v>
      </x:c>
      <x:c r="L13" s="142" t="str">
        <x:f>IF(COUNTA(C13:I13)=0,"",IF(AND(LEN(C13)=10,D13&lt;&gt;"",E13&lt;&gt;"",F13&lt;&gt;"",G13&lt;&gt;"",H13&lt;&gt;"",I13&lt;&gt;""),"کامل","ناقص"))</x:f>
        <x:v>کامل</x:v>
      </x:c>
    </x:row>
    <x:row r="14">
      <x:c r="A14" s="165" t="n">
        <x:v>10</x:v>
      </x:c>
      <x:c r="B14" s="166" t="n">
        <x:v>10</x:v>
      </x:c>
      <x:c r="C14" s="114" t="str">
        <x:v>4000000101</x:v>
      </x:c>
      <x:c r="D14" s="115" t="str">
        <x:v>sample-0010</x:v>
      </x:c>
      <x:c r="E14" s="115" t="str">
        <x:v>هلیا</x:v>
      </x:c>
      <x:c r="F14" s="115" t="str">
        <x:v>کریمی</x:v>
      </x:c>
      <x:c r="G14" s="115" t="str">
        <x:v>دختر</x:v>
      </x:c>
      <x:c r="H14" s="299" t="n">
        <x:v>40826</x:v>
      </x:c>
      <x:c r="I14" s="116" t="str">
        <x:v>sample-7-a</x:v>
      </x:c>
      <x:c r="J14" s="141" t="str">
        <x:f>IF(I14="","",IFERROR(INDEX('کلاس‌بندی'!$E$5:$E$34,MATCH(I14,'کلاس‌بندی'!$D$5:$D$34,0)),"کد کلاس نامعتبر"))</x:f>
        <x:v>کلاس نمونه هفتم الف</x:v>
      </x:c>
      <x:c r="K14" s="178" t="str">
        <x:f>IF(I14="","",IFERROR(INDEX('کلاس‌بندی'!$F$5:$F$34,MATCH(I14,'کلاس‌بندی'!$D$5:$D$34,0)),""))</x:f>
        <x:v>پایه آزمایشی 7</x:v>
      </x:c>
      <x:c r="L14" s="142" t="str">
        <x:f>IF(COUNTA(C14:I14)=0,"",IF(AND(LEN(C14)=10,D14&lt;&gt;"",E14&lt;&gt;"",F14&lt;&gt;"",G14&lt;&gt;"",H14&lt;&gt;"",I14&lt;&gt;""),"کامل","ناقص"))</x:f>
        <x:v>کامل</x:v>
      </x:c>
    </x:row>
    <x:row r="15">
      <x:c r="A15" s="165" t="n">
        <x:v>11</x:v>
      </x:c>
      <x:c r="B15" s="166" t="n">
        <x:v>11</x:v>
      </x:c>
      <x:c r="C15" s="114" t="str">
        <x:v>4000000111</x:v>
      </x:c>
      <x:c r="D15" s="115" t="str">
        <x:v>sample-0011</x:v>
      </x:c>
      <x:c r="E15" s="115" t="str">
        <x:v>پارسا</x:v>
      </x:c>
      <x:c r="F15" s="115" t="str">
        <x:v>موسوی</x:v>
      </x:c>
      <x:c r="G15" s="115" t="str">
        <x:v>پسر</x:v>
      </x:c>
      <x:c r="H15" s="299" t="n">
        <x:v>41224</x:v>
      </x:c>
      <x:c r="I15" s="116" t="str">
        <x:v>sample-7-a</x:v>
      </x:c>
      <x:c r="J15" s="141" t="str">
        <x:f>IF(I15="","",IFERROR(INDEX('کلاس‌بندی'!$E$5:$E$34,MATCH(I15,'کلاس‌بندی'!$D$5:$D$34,0)),"کد کلاس نامعتبر"))</x:f>
        <x:v>کلاس نمونه هفتم الف</x:v>
      </x:c>
      <x:c r="K15" s="178" t="str">
        <x:f>IF(I15="","",IFERROR(INDEX('کلاس‌بندی'!$F$5:$F$34,MATCH(I15,'کلاس‌بندی'!$D$5:$D$34,0)),""))</x:f>
        <x:v>پایه آزمایشی 7</x:v>
      </x:c>
      <x:c r="L15" s="142" t="str">
        <x:f>IF(COUNTA(C15:I15)=0,"",IF(AND(LEN(C15)=10,D15&lt;&gt;"",E15&lt;&gt;"",F15&lt;&gt;"",G15&lt;&gt;"",H15&lt;&gt;"",I15&lt;&gt;""),"کامل","ناقص"))</x:f>
        <x:v>کامل</x:v>
      </x:c>
    </x:row>
    <x:row r="16">
      <x:c r="A16" s="165" t="n">
        <x:v>12</x:v>
      </x:c>
      <x:c r="B16" s="166" t="n">
        <x:v>12</x:v>
      </x:c>
      <x:c r="C16" s="114" t="str">
        <x:v>4000000128</x:v>
      </x:c>
      <x:c r="D16" s="115" t="str">
        <x:v>sample-0012</x:v>
      </x:c>
      <x:c r="E16" s="115" t="str">
        <x:v>رها</x:v>
      </x:c>
      <x:c r="F16" s="115" t="str">
        <x:v>یوسفی</x:v>
      </x:c>
      <x:c r="G16" s="115" t="str">
        <x:v>دختر</x:v>
      </x:c>
      <x:c r="H16" s="299" t="n">
        <x:v>41620</x:v>
      </x:c>
      <x:c r="I16" s="116" t="str">
        <x:v>sample-7-a</x:v>
      </x:c>
      <x:c r="J16" s="141" t="str">
        <x:f>IF(I16="","",IFERROR(INDEX('کلاس‌بندی'!$E$5:$E$34,MATCH(I16,'کلاس‌بندی'!$D$5:$D$34,0)),"کد کلاس نامعتبر"))</x:f>
        <x:v>کلاس نمونه هفتم الف</x:v>
      </x:c>
      <x:c r="K16" s="178" t="str">
        <x:f>IF(I16="","",IFERROR(INDEX('کلاس‌بندی'!$F$5:$F$34,MATCH(I16,'کلاس‌بندی'!$D$5:$D$34,0)),""))</x:f>
        <x:v>پایه آزمایشی 7</x:v>
      </x:c>
      <x:c r="L16" s="142" t="str">
        <x:f>IF(COUNTA(C16:I16)=0,"",IF(AND(LEN(C16)=10,D16&lt;&gt;"",E16&lt;&gt;"",F16&lt;&gt;"",G16&lt;&gt;"",H16&lt;&gt;"",I16&lt;&gt;""),"کامل","ناقص"))</x:f>
        <x:v>کامل</x:v>
      </x:c>
    </x:row>
    <x:row r="17">
      <x:c r="A17" s="165" t="n">
        <x:v>13</x:v>
      </x:c>
      <x:c r="B17" s="166" t="n">
        <x:v>13</x:v>
      </x:c>
      <x:c r="C17" s="114" t="str">
        <x:v>4000000136</x:v>
      </x:c>
      <x:c r="D17" s="115" t="str">
        <x:v>sample-0013</x:v>
      </x:c>
      <x:c r="E17" s="115" t="str">
        <x:v>طاها</x:v>
      </x:c>
      <x:c r="F17" s="115" t="str">
        <x:v>رضایی</x:v>
      </x:c>
      <x:c r="G17" s="115" t="str">
        <x:v>پسر</x:v>
      </x:c>
      <x:c r="H17" s="299" t="n">
        <x:v>40556</x:v>
      </x:c>
      <x:c r="I17" s="116" t="str">
        <x:v>sample-7-a</x:v>
      </x:c>
      <x:c r="J17" s="141" t="str">
        <x:f>IF(I17="","",IFERROR(INDEX('کلاس‌بندی'!$E$5:$E$34,MATCH(I17,'کلاس‌بندی'!$D$5:$D$34,0)),"کد کلاس نامعتبر"))</x:f>
        <x:v>کلاس نمونه هفتم الف</x:v>
      </x:c>
      <x:c r="K17" s="178" t="str">
        <x:f>IF(I17="","",IFERROR(INDEX('کلاس‌بندی'!$F$5:$F$34,MATCH(I17,'کلاس‌بندی'!$D$5:$D$34,0)),""))</x:f>
        <x:v>پایه آزمایشی 7</x:v>
      </x:c>
      <x:c r="L17" s="142" t="str">
        <x:f>IF(COUNTA(C17:I17)=0,"",IF(AND(LEN(C17)=10,D17&lt;&gt;"",E17&lt;&gt;"",F17&lt;&gt;"",G17&lt;&gt;"",H17&lt;&gt;"",I17&lt;&gt;""),"کامل","ناقص"))</x:f>
        <x:v>کامل</x:v>
      </x:c>
    </x:row>
    <x:row r="18">
      <x:c r="A18" s="165" t="n">
        <x:v>14</x:v>
      </x:c>
      <x:c r="B18" s="166" t="n">
        <x:v>14</x:v>
      </x:c>
      <x:c r="C18" s="114" t="str">
        <x:v>4000000144</x:v>
      </x:c>
      <x:c r="D18" s="115" t="str">
        <x:v>sample-0014</x:v>
      </x:c>
      <x:c r="E18" s="115" t="str">
        <x:v>باران</x:v>
      </x:c>
      <x:c r="F18" s="115" t="str">
        <x:v>نوری</x:v>
      </x:c>
      <x:c r="G18" s="115" t="str">
        <x:v>دختر</x:v>
      </x:c>
      <x:c r="H18" s="299" t="n">
        <x:v>40953</x:v>
      </x:c>
      <x:c r="I18" s="116" t="str">
        <x:v>sample-7-a</x:v>
      </x:c>
      <x:c r="J18" s="141" t="str">
        <x:f>IF(I18="","",IFERROR(INDEX('کلاس‌بندی'!$E$5:$E$34,MATCH(I18,'کلاس‌بندی'!$D$5:$D$34,0)),"کد کلاس نامعتبر"))</x:f>
        <x:v>کلاس نمونه هفتم الف</x:v>
      </x:c>
      <x:c r="K18" s="178" t="str">
        <x:f>IF(I18="","",IFERROR(INDEX('کلاس‌بندی'!$F$5:$F$34,MATCH(I18,'کلاس‌بندی'!$D$5:$D$34,0)),""))</x:f>
        <x:v>پایه آزمایشی 7</x:v>
      </x:c>
      <x:c r="L18" s="142" t="str">
        <x:f>IF(COUNTA(C18:I18)=0,"",IF(AND(LEN(C18)=10,D18&lt;&gt;"",E18&lt;&gt;"",F18&lt;&gt;"",G18&lt;&gt;"",H18&lt;&gt;"",I18&lt;&gt;""),"کامل","ناقص"))</x:f>
        <x:v>کامل</x:v>
      </x:c>
    </x:row>
    <x:row r="19">
      <x:c r="A19" s="165" t="n">
        <x:v>15</x:v>
      </x:c>
      <x:c r="B19" s="166" t="n">
        <x:v>15</x:v>
      </x:c>
      <x:c r="C19" s="114" t="str">
        <x:v>4000000152</x:v>
      </x:c>
      <x:c r="D19" s="115" t="str">
        <x:v>sample-0015</x:v>
      </x:c>
      <x:c r="E19" s="115" t="str">
        <x:v>ماهان</x:v>
      </x:c>
      <x:c r="F19" s="115" t="str">
        <x:v>سلیمانی</x:v>
      </x:c>
      <x:c r="G19" s="115" t="str">
        <x:v>پسر</x:v>
      </x:c>
      <x:c r="H19" s="299" t="n">
        <x:v>41348</x:v>
      </x:c>
      <x:c r="I19" s="116" t="str">
        <x:v>sample-7-a</x:v>
      </x:c>
      <x:c r="J19" s="141" t="str">
        <x:f>IF(I19="","",IFERROR(INDEX('کلاس‌بندی'!$E$5:$E$34,MATCH(I19,'کلاس‌بندی'!$D$5:$D$34,0)),"کد کلاس نامعتبر"))</x:f>
        <x:v>کلاس نمونه هفتم الف</x:v>
      </x:c>
      <x:c r="K19" s="178" t="str">
        <x:f>IF(I19="","",IFERROR(INDEX('کلاس‌بندی'!$F$5:$F$34,MATCH(I19,'کلاس‌بندی'!$D$5:$D$34,0)),""))</x:f>
        <x:v>پایه آزمایشی 7</x:v>
      </x:c>
      <x:c r="L19" s="142" t="str">
        <x:f>IF(COUNTA(C19:I19)=0,"",IF(AND(LEN(C19)=10,D19&lt;&gt;"",E19&lt;&gt;"",F19&lt;&gt;"",G19&lt;&gt;"",H19&lt;&gt;"",I19&lt;&gt;""),"کامل","ناقص"))</x:f>
        <x:v>کامل</x:v>
      </x:c>
    </x:row>
    <x:row r="20">
      <x:c r="A20" s="165" t="n">
        <x:v>16</x:v>
      </x:c>
      <x:c r="B20" s="166" t="n">
        <x:v>16</x:v>
      </x:c>
      <x:c r="C20" s="114" t="str">
        <x:v>4000000160</x:v>
      </x:c>
      <x:c r="D20" s="115" t="str">
        <x:v>sample-0016</x:v>
      </x:c>
      <x:c r="E20" s="115" t="str">
        <x:v>نازنین</x:v>
      </x:c>
      <x:c r="F20" s="115" t="str">
        <x:v>مرادی</x:v>
      </x:c>
      <x:c r="G20" s="115" t="str">
        <x:v>دختر</x:v>
      </x:c>
      <x:c r="H20" s="299" t="n">
        <x:v>40649</x:v>
      </x:c>
      <x:c r="I20" s="116" t="str">
        <x:v>sample-7-a</x:v>
      </x:c>
      <x:c r="J20" s="141" t="str">
        <x:f>IF(I20="","",IFERROR(INDEX('کلاس‌بندی'!$E$5:$E$34,MATCH(I20,'کلاس‌بندی'!$D$5:$D$34,0)),"کد کلاس نامعتبر"))</x:f>
        <x:v>کلاس نمونه هفتم الف</x:v>
      </x:c>
      <x:c r="K20" s="178" t="str">
        <x:f>IF(I20="","",IFERROR(INDEX('کلاس‌بندی'!$F$5:$F$34,MATCH(I20,'کلاس‌بندی'!$D$5:$D$34,0)),""))</x:f>
        <x:v>پایه آزمایشی 7</x:v>
      </x:c>
      <x:c r="L20" s="142" t="str">
        <x:f>IF(COUNTA(C20:I20)=0,"",IF(AND(LEN(C20)=10,D20&lt;&gt;"",E20&lt;&gt;"",F20&lt;&gt;"",G20&lt;&gt;"",H20&lt;&gt;"",I20&lt;&gt;""),"کامل","ناقص"))</x:f>
        <x:v>کامل</x:v>
      </x:c>
    </x:row>
    <x:row r="21">
      <x:c r="A21" s="165" t="n">
        <x:v>17</x:v>
      </x:c>
      <x:c r="B21" s="166" t="n">
        <x:v>17</x:v>
      </x:c>
      <x:c r="C21" s="114" t="str">
        <x:v>4000000179</x:v>
      </x:c>
      <x:c r="D21" s="115" t="str">
        <x:v>sample-0017</x:v>
      </x:c>
      <x:c r="E21" s="115" t="str">
        <x:v>سینا</x:v>
      </x:c>
      <x:c r="F21" s="115" t="str">
        <x:v>رحیمی</x:v>
      </x:c>
      <x:c r="G21" s="115" t="str">
        <x:v>پسر</x:v>
      </x:c>
      <x:c r="H21" s="299" t="n">
        <x:v>41046</x:v>
      </x:c>
      <x:c r="I21" s="116" t="str">
        <x:v>sample-7-a</x:v>
      </x:c>
      <x:c r="J21" s="141" t="str">
        <x:f>IF(I21="","",IFERROR(INDEX('کلاس‌بندی'!$E$5:$E$34,MATCH(I21,'کلاس‌بندی'!$D$5:$D$34,0)),"کد کلاس نامعتبر"))</x:f>
        <x:v>کلاس نمونه هفتم الف</x:v>
      </x:c>
      <x:c r="K21" s="178" t="str">
        <x:f>IF(I21="","",IFERROR(INDEX('کلاس‌بندی'!$F$5:$F$34,MATCH(I21,'کلاس‌بندی'!$D$5:$D$34,0)),""))</x:f>
        <x:v>پایه آزمایشی 7</x:v>
      </x:c>
      <x:c r="L21" s="142" t="str">
        <x:f>IF(COUNTA(C21:I21)=0,"",IF(AND(LEN(C21)=10,D21&lt;&gt;"",E21&lt;&gt;"",F21&lt;&gt;"",G21&lt;&gt;"",H21&lt;&gt;"",I21&lt;&gt;""),"کامل","ناقص"))</x:f>
        <x:v>کامل</x:v>
      </x:c>
    </x:row>
    <x:row r="22">
      <x:c r="A22" s="165" t="n">
        <x:v>18</x:v>
      </x:c>
      <x:c r="B22" s="166" t="n">
        <x:v>18</x:v>
      </x:c>
      <x:c r="C22" s="114" t="str">
        <x:v>4000000187</x:v>
      </x:c>
      <x:c r="D22" s="115" t="str">
        <x:v>sample-0018</x:v>
      </x:c>
      <x:c r="E22" s="115" t="str">
        <x:v>یسنا</x:v>
      </x:c>
      <x:c r="F22" s="115" t="str">
        <x:v>حیدری</x:v>
      </x:c>
      <x:c r="G22" s="115" t="str">
        <x:v>دختر</x:v>
      </x:c>
      <x:c r="H22" s="299" t="n">
        <x:v>41443</x:v>
      </x:c>
      <x:c r="I22" s="116" t="str">
        <x:v>sample-7-a</x:v>
      </x:c>
      <x:c r="J22" s="141" t="str">
        <x:f>IF(I22="","",IFERROR(INDEX('کلاس‌بندی'!$E$5:$E$34,MATCH(I22,'کلاس‌بندی'!$D$5:$D$34,0)),"کد کلاس نامعتبر"))</x:f>
        <x:v>کلاس نمونه هفتم الف</x:v>
      </x:c>
      <x:c r="K22" s="178" t="str">
        <x:f>IF(I22="","",IFERROR(INDEX('کلاس‌بندی'!$F$5:$F$34,MATCH(I22,'کلاس‌بندی'!$D$5:$D$34,0)),""))</x:f>
        <x:v>پایه آزمایشی 7</x:v>
      </x:c>
      <x:c r="L22" s="142" t="str">
        <x:f>IF(COUNTA(C22:I22)=0,"",IF(AND(LEN(C22)=10,D22&lt;&gt;"",E22&lt;&gt;"",F22&lt;&gt;"",G22&lt;&gt;"",H22&lt;&gt;"",I22&lt;&gt;""),"کامل","ناقص"))</x:f>
        <x:v>کامل</x:v>
      </x:c>
    </x:row>
    <x:row r="23">
      <x:c r="A23" s="165" t="n">
        <x:v>19</x:v>
      </x:c>
      <x:c r="B23" s="166" t="n">
        <x:v>19</x:v>
      </x:c>
      <x:c r="C23" s="114" t="str">
        <x:v>4000000195</x:v>
      </x:c>
      <x:c r="D23" s="115" t="str">
        <x:v>sample-0019</x:v>
      </x:c>
      <x:c r="E23" s="115" t="str">
        <x:v>رضا</x:v>
      </x:c>
      <x:c r="F23" s="115" t="str">
        <x:v>صادقی</x:v>
      </x:c>
      <x:c r="G23" s="115" t="str">
        <x:v>پسر</x:v>
      </x:c>
      <x:c r="H23" s="299" t="n">
        <x:v>40743</x:v>
      </x:c>
      <x:c r="I23" s="116" t="str">
        <x:v>sample-7-a</x:v>
      </x:c>
      <x:c r="J23" s="141" t="str">
        <x:f>IF(I23="","",IFERROR(INDEX('کلاس‌بندی'!$E$5:$E$34,MATCH(I23,'کلاس‌بندی'!$D$5:$D$34,0)),"کد کلاس نامعتبر"))</x:f>
        <x:v>کلاس نمونه هفتم الف</x:v>
      </x:c>
      <x:c r="K23" s="178" t="str">
        <x:f>IF(I23="","",IFERROR(INDEX('کلاس‌بندی'!$F$5:$F$34,MATCH(I23,'کلاس‌بندی'!$D$5:$D$34,0)),""))</x:f>
        <x:v>پایه آزمایشی 7</x:v>
      </x:c>
      <x:c r="L23" s="142" t="str">
        <x:f>IF(COUNTA(C23:I23)=0,"",IF(AND(LEN(C23)=10,D23&lt;&gt;"",E23&lt;&gt;"",F23&lt;&gt;"",G23&lt;&gt;"",H23&lt;&gt;"",I23&lt;&gt;""),"کامل","ناقص"))</x:f>
        <x:v>کامل</x:v>
      </x:c>
    </x:row>
    <x:row r="24">
      <x:c r="A24" s="165" t="n">
        <x:v>20</x:v>
      </x:c>
      <x:c r="B24" s="166" t="n">
        <x:v>20</x:v>
      </x:c>
      <x:c r="C24" s="114" t="str">
        <x:v>4000000209</x:v>
      </x:c>
      <x:c r="D24" s="115" t="str">
        <x:v>sample-0020</x:v>
      </x:c>
      <x:c r="E24" s="115" t="str">
        <x:v>آوا</x:v>
      </x:c>
      <x:c r="F24" s="115" t="str">
        <x:v>کاظمی</x:v>
      </x:c>
      <x:c r="G24" s="115" t="str">
        <x:v>دختر</x:v>
      </x:c>
      <x:c r="H24" s="299" t="n">
        <x:v>41141</x:v>
      </x:c>
      <x:c r="I24" s="116" t="str">
        <x:v>sample-7-a</x:v>
      </x:c>
      <x:c r="J24" s="141" t="str">
        <x:f>IF(I24="","",IFERROR(INDEX('کلاس‌بندی'!$E$5:$E$34,MATCH(I24,'کلاس‌بندی'!$D$5:$D$34,0)),"کد کلاس نامعتبر"))</x:f>
        <x:v>کلاس نمونه هفتم الف</x:v>
      </x:c>
      <x:c r="K24" s="178" t="str">
        <x:f>IF(I24="","",IFERROR(INDEX('کلاس‌بندی'!$F$5:$F$34,MATCH(I24,'کلاس‌بندی'!$D$5:$D$34,0)),""))</x:f>
        <x:v>پایه آزمایشی 7</x:v>
      </x:c>
      <x:c r="L24" s="142" t="str">
        <x:f>IF(COUNTA(C24:I24)=0,"",IF(AND(LEN(C24)=10,D24&lt;&gt;"",E24&lt;&gt;"",F24&lt;&gt;"",G24&lt;&gt;"",H24&lt;&gt;"",I24&lt;&gt;""),"کامل","ناقص"))</x:f>
        <x:v>کامل</x:v>
      </x:c>
    </x:row>
    <x:row r="25">
      <x:c r="A25" s="165" t="n">
        <x:v>21</x:v>
      </x:c>
      <x:c r="B25" s="166" t="n">
        <x:v>21</x:v>
      </x:c>
      <x:c r="C25" s="114" t="str">
        <x:v>4000000217</x:v>
      </x:c>
      <x:c r="D25" s="115" t="str">
        <x:v>sample-0021</x:v>
      </x:c>
      <x:c r="E25" s="115" t="str">
        <x:v>علی</x:v>
      </x:c>
      <x:c r="F25" s="115" t="str">
        <x:v>احمدی</x:v>
      </x:c>
      <x:c r="G25" s="115" t="str">
        <x:v>پسر</x:v>
      </x:c>
      <x:c r="H25" s="299" t="n">
        <x:v>41538</x:v>
      </x:c>
      <x:c r="I25" s="116" t="str">
        <x:v>sample-7-a</x:v>
      </x:c>
      <x:c r="J25" s="141" t="str">
        <x:f>IF(I25="","",IFERROR(INDEX('کلاس‌بندی'!$E$5:$E$34,MATCH(I25,'کلاس‌بندی'!$D$5:$D$34,0)),"کد کلاس نامعتبر"))</x:f>
        <x:v>کلاس نمونه هفتم الف</x:v>
      </x:c>
      <x:c r="K25" s="178" t="str">
        <x:f>IF(I25="","",IFERROR(INDEX('کلاس‌بندی'!$F$5:$F$34,MATCH(I25,'کلاس‌بندی'!$D$5:$D$34,0)),""))</x:f>
        <x:v>پایه آزمایشی 7</x:v>
      </x:c>
      <x:c r="L25" s="142" t="str">
        <x:f>IF(COUNTA(C25:I25)=0,"",IF(AND(LEN(C25)=10,D25&lt;&gt;"",E25&lt;&gt;"",F25&lt;&gt;"",G25&lt;&gt;"",H25&lt;&gt;"",I25&lt;&gt;""),"کامل","ناقص"))</x:f>
        <x:v>کامل</x:v>
      </x:c>
    </x:row>
    <x:row r="26">
      <x:c r="A26" s="165" t="n">
        <x:v>22</x:v>
      </x:c>
      <x:c r="B26" s="166" t="n">
        <x:v>22</x:v>
      </x:c>
      <x:c r="C26" s="114" t="str">
        <x:v>4000000225</x:v>
      </x:c>
      <x:c r="D26" s="115" t="str">
        <x:v>sample-0022</x:v>
      </x:c>
      <x:c r="E26" s="115" t="str">
        <x:v>فاطمه</x:v>
      </x:c>
      <x:c r="F26" s="115" t="str">
        <x:v>اکبری</x:v>
      </x:c>
      <x:c r="G26" s="115" t="str">
        <x:v>دختر</x:v>
      </x:c>
      <x:c r="H26" s="299" t="n">
        <x:v>40838</x:v>
      </x:c>
      <x:c r="I26" s="116" t="str">
        <x:v>sample-7-a</x:v>
      </x:c>
      <x:c r="J26" s="141" t="str">
        <x:f>IF(I26="","",IFERROR(INDEX('کلاس‌بندی'!$E$5:$E$34,MATCH(I26,'کلاس‌بندی'!$D$5:$D$34,0)),"کد کلاس نامعتبر"))</x:f>
        <x:v>کلاس نمونه هفتم الف</x:v>
      </x:c>
      <x:c r="K26" s="178" t="str">
        <x:f>IF(I26="","",IFERROR(INDEX('کلاس‌بندی'!$F$5:$F$34,MATCH(I26,'کلاس‌بندی'!$D$5:$D$34,0)),""))</x:f>
        <x:v>پایه آزمایشی 7</x:v>
      </x:c>
      <x:c r="L26" s="142" t="str">
        <x:f>IF(COUNTA(C26:I26)=0,"",IF(AND(LEN(C26)=10,D26&lt;&gt;"",E26&lt;&gt;"",F26&lt;&gt;"",G26&lt;&gt;"",H26&lt;&gt;"",I26&lt;&gt;""),"کامل","ناقص"))</x:f>
        <x:v>کامل</x:v>
      </x:c>
    </x:row>
    <x:row r="27">
      <x:c r="A27" s="165" t="n">
        <x:v>23</x:v>
      </x:c>
      <x:c r="B27" s="166" t="n">
        <x:v>23</x:v>
      </x:c>
      <x:c r="C27" s="114" t="str">
        <x:v>4000000233</x:v>
      </x:c>
      <x:c r="D27" s="115" t="str">
        <x:v>sample-0023</x:v>
      </x:c>
      <x:c r="E27" s="115" t="str">
        <x:v>امیرحسین</x:v>
      </x:c>
      <x:c r="F27" s="115" t="str">
        <x:v>طاهری</x:v>
      </x:c>
      <x:c r="G27" s="115" t="str">
        <x:v>پسر</x:v>
      </x:c>
      <x:c r="H27" s="299" t="n">
        <x:v>41236</x:v>
      </x:c>
      <x:c r="I27" s="116" t="str">
        <x:v>sample-7-a</x:v>
      </x:c>
      <x:c r="J27" s="141" t="str">
        <x:f>IF(I27="","",IFERROR(INDEX('کلاس‌بندی'!$E$5:$E$34,MATCH(I27,'کلاس‌بندی'!$D$5:$D$34,0)),"کد کلاس نامعتبر"))</x:f>
        <x:v>کلاس نمونه هفتم الف</x:v>
      </x:c>
      <x:c r="K27" s="178" t="str">
        <x:f>IF(I27="","",IFERROR(INDEX('کلاس‌بندی'!$F$5:$F$34,MATCH(I27,'کلاس‌بندی'!$D$5:$D$34,0)),""))</x:f>
        <x:v>پایه آزمایشی 7</x:v>
      </x:c>
      <x:c r="L27" s="142" t="str">
        <x:f>IF(COUNTA(C27:I27)=0,"",IF(AND(LEN(C27)=10,D27&lt;&gt;"",E27&lt;&gt;"",F27&lt;&gt;"",G27&lt;&gt;"",H27&lt;&gt;"",I27&lt;&gt;""),"کامل","ناقص"))</x:f>
        <x:v>کامل</x:v>
      </x:c>
    </x:row>
    <x:row r="28">
      <x:c r="A28" s="165" t="n">
        <x:v>24</x:v>
      </x:c>
      <x:c r="B28" s="166" t="n">
        <x:v>24</x:v>
      </x:c>
      <x:c r="C28" s="114" t="str">
        <x:v>4000000241</x:v>
      </x:c>
      <x:c r="D28" s="115" t="str">
        <x:v>sample-0024</x:v>
      </x:c>
      <x:c r="E28" s="115" t="str">
        <x:v>زهرا</x:v>
      </x:c>
      <x:c r="F28" s="115" t="str">
        <x:v>محمدی</x:v>
      </x:c>
      <x:c r="G28" s="115" t="str">
        <x:v>دختر</x:v>
      </x:c>
      <x:c r="H28" s="299" t="n">
        <x:v>41632</x:v>
      </x:c>
      <x:c r="I28" s="116" t="str">
        <x:v>sample-7-a</x:v>
      </x:c>
      <x:c r="J28" s="141" t="str">
        <x:f>IF(I28="","",IFERROR(INDEX('کلاس‌بندی'!$E$5:$E$34,MATCH(I28,'کلاس‌بندی'!$D$5:$D$34,0)),"کد کلاس نامعتبر"))</x:f>
        <x:v>کلاس نمونه هفتم الف</x:v>
      </x:c>
      <x:c r="K28" s="178" t="str">
        <x:f>IF(I28="","",IFERROR(INDEX('کلاس‌بندی'!$F$5:$F$34,MATCH(I28,'کلاس‌بندی'!$D$5:$D$34,0)),""))</x:f>
        <x:v>پایه آزمایشی 7</x:v>
      </x:c>
      <x:c r="L28" s="142" t="str">
        <x:f>IF(COUNTA(C28:I28)=0,"",IF(AND(LEN(C28)=10,D28&lt;&gt;"",E28&lt;&gt;"",F28&lt;&gt;"",G28&lt;&gt;"",H28&lt;&gt;"",I28&lt;&gt;""),"کامل","ناقص"))</x:f>
        <x:v>کامل</x:v>
      </x:c>
    </x:row>
    <x:row r="29">
      <x:c r="A29" s="165" t="n">
        <x:v>25</x:v>
      </x:c>
      <x:c r="B29" s="166" t="n">
        <x:v>25</x:v>
      </x:c>
      <x:c r="C29" s="114" t="str">
        <x:v>4000000251</x:v>
      </x:c>
      <x:c r="D29" s="115" t="str">
        <x:v>sample-0025</x:v>
      </x:c>
      <x:c r="E29" s="115" t="str">
        <x:v>محمد</x:v>
      </x:c>
      <x:c r="F29" s="115" t="str">
        <x:v>قاسمی</x:v>
      </x:c>
      <x:c r="G29" s="115" t="str">
        <x:v>پسر</x:v>
      </x:c>
      <x:c r="H29" s="299" t="n">
        <x:v>40568</x:v>
      </x:c>
      <x:c r="I29" s="116" t="str">
        <x:v>sample-7-a</x:v>
      </x:c>
      <x:c r="J29" s="141" t="str">
        <x:f>IF(I29="","",IFERROR(INDEX('کلاس‌بندی'!$E$5:$E$34,MATCH(I29,'کلاس‌بندی'!$D$5:$D$34,0)),"کد کلاس نامعتبر"))</x:f>
        <x:v>کلاس نمونه هفتم الف</x:v>
      </x:c>
      <x:c r="K29" s="178" t="str">
        <x:f>IF(I29="","",IFERROR(INDEX('کلاس‌بندی'!$F$5:$F$34,MATCH(I29,'کلاس‌بندی'!$D$5:$D$34,0)),""))</x:f>
        <x:v>پایه آزمایشی 7</x:v>
      </x:c>
      <x:c r="L29" s="142" t="str">
        <x:f>IF(COUNTA(C29:I29)=0,"",IF(AND(LEN(C29)=10,D29&lt;&gt;"",E29&lt;&gt;"",F29&lt;&gt;"",G29&lt;&gt;"",H29&lt;&gt;"",I29&lt;&gt;""),"کامل","ناقص"))</x:f>
        <x:v>کامل</x:v>
      </x:c>
    </x:row>
    <x:row r="30">
      <x:c r="A30" s="165" t="n">
        <x:v>26</x:v>
      </x:c>
      <x:c r="B30" s="166" t="n">
        <x:v>26</x:v>
      </x:c>
      <x:c r="C30" s="114" t="str">
        <x:v>4000000268</x:v>
      </x:c>
      <x:c r="D30" s="115" t="str">
        <x:v>sample-0026</x:v>
      </x:c>
      <x:c r="E30" s="115" t="str">
        <x:v>سارا</x:v>
      </x:c>
      <x:c r="F30" s="115" t="str">
        <x:v>خلیلی</x:v>
      </x:c>
      <x:c r="G30" s="115" t="str">
        <x:v>دختر</x:v>
      </x:c>
      <x:c r="H30" s="299" t="n">
        <x:v>40965</x:v>
      </x:c>
      <x:c r="I30" s="116" t="str">
        <x:v>sample-7-b</x:v>
      </x:c>
      <x:c r="J30" s="141" t="str">
        <x:f>IF(I30="","",IFERROR(INDEX('کلاس‌بندی'!$E$5:$E$34,MATCH(I30,'کلاس‌بندی'!$D$5:$D$34,0)),"کد کلاس نامعتبر"))</x:f>
        <x:v>کلاس نمونه هفتم ب</x:v>
      </x:c>
      <x:c r="K30" s="178" t="str">
        <x:f>IF(I30="","",IFERROR(INDEX('کلاس‌بندی'!$F$5:$F$34,MATCH(I30,'کلاس‌بندی'!$D$5:$D$34,0)),""))</x:f>
        <x:v>پایه آزمایشی 7</x:v>
      </x:c>
      <x:c r="L30" s="142" t="str">
        <x:f>IF(COUNTA(C30:I30)=0,"",IF(AND(LEN(C30)=10,D30&lt;&gt;"",E30&lt;&gt;"",F30&lt;&gt;"",G30&lt;&gt;"",H30&lt;&gt;"",I30&lt;&gt;""),"کامل","ناقص"))</x:f>
        <x:v>کامل</x:v>
      </x:c>
    </x:row>
    <x:row r="31">
      <x:c r="A31" s="165" t="n">
        <x:v>27</x:v>
      </x:c>
      <x:c r="B31" s="166" t="n">
        <x:v>27</x:v>
      </x:c>
      <x:c r="C31" s="114" t="str">
        <x:v>4000000276</x:v>
      </x:c>
      <x:c r="D31" s="115" t="str">
        <x:v>sample-0027</x:v>
      </x:c>
      <x:c r="E31" s="115" t="str">
        <x:v>آراد</x:v>
      </x:c>
      <x:c r="F31" s="115" t="str">
        <x:v>حسینی</x:v>
      </x:c>
      <x:c r="G31" s="115" t="str">
        <x:v>پسر</x:v>
      </x:c>
      <x:c r="H31" s="299" t="n">
        <x:v>41360</x:v>
      </x:c>
      <x:c r="I31" s="116" t="str">
        <x:v>sample-7-b</x:v>
      </x:c>
      <x:c r="J31" s="141" t="str">
        <x:f>IF(I31="","",IFERROR(INDEX('کلاس‌بندی'!$E$5:$E$34,MATCH(I31,'کلاس‌بندی'!$D$5:$D$34,0)),"کد کلاس نامعتبر"))</x:f>
        <x:v>کلاس نمونه هفتم ب</x:v>
      </x:c>
      <x:c r="K31" s="178" t="str">
        <x:f>IF(I31="","",IFERROR(INDEX('کلاس‌بندی'!$F$5:$F$34,MATCH(I31,'کلاس‌بندی'!$D$5:$D$34,0)),""))</x:f>
        <x:v>پایه آزمایشی 7</x:v>
      </x:c>
      <x:c r="L31" s="142" t="str">
        <x:f>IF(COUNTA(C31:I31)=0,"",IF(AND(LEN(C31)=10,D31&lt;&gt;"",E31&lt;&gt;"",F31&lt;&gt;"",G31&lt;&gt;"",H31&lt;&gt;"",I31&lt;&gt;""),"کامل","ناقص"))</x:f>
        <x:v>کامل</x:v>
      </x:c>
    </x:row>
    <x:row r="32">
      <x:c r="A32" s="165" t="n">
        <x:v>28</x:v>
      </x:c>
      <x:c r="B32" s="166" t="n">
        <x:v>28</x:v>
      </x:c>
      <x:c r="C32" s="114" t="str">
        <x:v>4000000284</x:v>
      </x:c>
      <x:c r="D32" s="115" t="str">
        <x:v>sample-0028</x:v>
      </x:c>
      <x:c r="E32" s="115" t="str">
        <x:v>نگار</x:v>
      </x:c>
      <x:c r="F32" s="115" t="str">
        <x:v>جعفری</x:v>
      </x:c>
      <x:c r="G32" s="115" t="str">
        <x:v>دختر</x:v>
      </x:c>
      <x:c r="H32" s="299" t="n">
        <x:v>40634</x:v>
      </x:c>
      <x:c r="I32" s="116" t="str">
        <x:v>sample-7-b</x:v>
      </x:c>
      <x:c r="J32" s="141" t="str">
        <x:f>IF(I32="","",IFERROR(INDEX('کلاس‌بندی'!$E$5:$E$34,MATCH(I32,'کلاس‌بندی'!$D$5:$D$34,0)),"کد کلاس نامعتبر"))</x:f>
        <x:v>کلاس نمونه هفتم ب</x:v>
      </x:c>
      <x:c r="K32" s="178" t="str">
        <x:f>IF(I32="","",IFERROR(INDEX('کلاس‌بندی'!$F$5:$F$34,MATCH(I32,'کلاس‌بندی'!$D$5:$D$34,0)),""))</x:f>
        <x:v>پایه آزمایشی 7</x:v>
      </x:c>
      <x:c r="L32" s="142" t="str">
        <x:f>IF(COUNTA(C32:I32)=0,"",IF(AND(LEN(C32)=10,D32&lt;&gt;"",E32&lt;&gt;"",F32&lt;&gt;"",G32&lt;&gt;"",H32&lt;&gt;"",I32&lt;&gt;""),"کامل","ناقص"))</x:f>
        <x:v>کامل</x:v>
      </x:c>
    </x:row>
    <x:row r="33">
      <x:c r="A33" s="165" t="n">
        <x:v>29</x:v>
      </x:c>
      <x:c r="B33" s="166" t="n">
        <x:v>29</x:v>
      </x:c>
      <x:c r="C33" s="114" t="str">
        <x:v>4000000292</x:v>
      </x:c>
      <x:c r="D33" s="115" t="str">
        <x:v>sample-0029</x:v>
      </x:c>
      <x:c r="E33" s="115" t="str">
        <x:v>سام</x:v>
      </x:c>
      <x:c r="F33" s="115" t="str">
        <x:v>امینی</x:v>
      </x:c>
      <x:c r="G33" s="115" t="str">
        <x:v>پسر</x:v>
      </x:c>
      <x:c r="H33" s="299" t="n">
        <x:v>41031</x:v>
      </x:c>
      <x:c r="I33" s="116" t="str">
        <x:v>sample-7-b</x:v>
      </x:c>
      <x:c r="J33" s="141" t="str">
        <x:f>IF(I33="","",IFERROR(INDEX('کلاس‌بندی'!$E$5:$E$34,MATCH(I33,'کلاس‌بندی'!$D$5:$D$34,0)),"کد کلاس نامعتبر"))</x:f>
        <x:v>کلاس نمونه هفتم ب</x:v>
      </x:c>
      <x:c r="K33" s="178" t="str">
        <x:f>IF(I33="","",IFERROR(INDEX('کلاس‌بندی'!$F$5:$F$34,MATCH(I33,'کلاس‌بندی'!$D$5:$D$34,0)),""))</x:f>
        <x:v>پایه آزمایشی 7</x:v>
      </x:c>
      <x:c r="L33" s="142" t="str">
        <x:f>IF(COUNTA(C33:I33)=0,"",IF(AND(LEN(C33)=10,D33&lt;&gt;"",E33&lt;&gt;"",F33&lt;&gt;"",G33&lt;&gt;"",H33&lt;&gt;"",I33&lt;&gt;""),"کامل","ناقص"))</x:f>
        <x:v>کامل</x:v>
      </x:c>
    </x:row>
    <x:row r="34">
      <x:c r="A34" s="165" t="n">
        <x:v>30</x:v>
      </x:c>
      <x:c r="B34" s="166" t="n">
        <x:v>30</x:v>
      </x:c>
      <x:c r="C34" s="114" t="str">
        <x:v>4000000306</x:v>
      </x:c>
      <x:c r="D34" s="115" t="str">
        <x:v>sample-0030</x:v>
      </x:c>
      <x:c r="E34" s="115" t="str">
        <x:v>هلیا</x:v>
      </x:c>
      <x:c r="F34" s="115" t="str">
        <x:v>کریمی</x:v>
      </x:c>
      <x:c r="G34" s="115" t="str">
        <x:v>دختر</x:v>
      </x:c>
      <x:c r="H34" s="299" t="n">
        <x:v>41428</x:v>
      </x:c>
      <x:c r="I34" s="116" t="str">
        <x:v>sample-7-b</x:v>
      </x:c>
      <x:c r="J34" s="141" t="str">
        <x:f>IF(I34="","",IFERROR(INDEX('کلاس‌بندی'!$E$5:$E$34,MATCH(I34,'کلاس‌بندی'!$D$5:$D$34,0)),"کد کلاس نامعتبر"))</x:f>
        <x:v>کلاس نمونه هفتم ب</x:v>
      </x:c>
      <x:c r="K34" s="178" t="str">
        <x:f>IF(I34="","",IFERROR(INDEX('کلاس‌بندی'!$F$5:$F$34,MATCH(I34,'کلاس‌بندی'!$D$5:$D$34,0)),""))</x:f>
        <x:v>پایه آزمایشی 7</x:v>
      </x:c>
      <x:c r="L34" s="142" t="str">
        <x:f>IF(COUNTA(C34:I34)=0,"",IF(AND(LEN(C34)=10,D34&lt;&gt;"",E34&lt;&gt;"",F34&lt;&gt;"",G34&lt;&gt;"",H34&lt;&gt;"",I34&lt;&gt;""),"کامل","ناقص"))</x:f>
        <x:v>کامل</x:v>
      </x:c>
    </x:row>
    <x:row r="35">
      <x:c r="A35" s="165" t="n">
        <x:v>31</x:v>
      </x:c>
      <x:c r="B35" s="166" t="n">
        <x:v>31</x:v>
      </x:c>
      <x:c r="C35" s="114" t="str">
        <x:v>4000000314</x:v>
      </x:c>
      <x:c r="D35" s="115" t="str">
        <x:v>sample-0031</x:v>
      </x:c>
      <x:c r="E35" s="115" t="str">
        <x:v>پارسا</x:v>
      </x:c>
      <x:c r="F35" s="115" t="str">
        <x:v>موسوی</x:v>
      </x:c>
      <x:c r="G35" s="115" t="str">
        <x:v>پسر</x:v>
      </x:c>
      <x:c r="H35" s="299" t="n">
        <x:v>40728</x:v>
      </x:c>
      <x:c r="I35" s="116" t="str">
        <x:v>sample-7-b</x:v>
      </x:c>
      <x:c r="J35" s="141" t="str">
        <x:f>IF(I35="","",IFERROR(INDEX('کلاس‌بندی'!$E$5:$E$34,MATCH(I35,'کلاس‌بندی'!$D$5:$D$34,0)),"کد کلاس نامعتبر"))</x:f>
        <x:v>کلاس نمونه هفتم ب</x:v>
      </x:c>
      <x:c r="K35" s="178" t="str">
        <x:f>IF(I35="","",IFERROR(INDEX('کلاس‌بندی'!$F$5:$F$34,MATCH(I35,'کلاس‌بندی'!$D$5:$D$34,0)),""))</x:f>
        <x:v>پایه آزمایشی 7</x:v>
      </x:c>
      <x:c r="L35" s="142" t="str">
        <x:f>IF(COUNTA(C35:I35)=0,"",IF(AND(LEN(C35)=10,D35&lt;&gt;"",E35&lt;&gt;"",F35&lt;&gt;"",G35&lt;&gt;"",H35&lt;&gt;"",I35&lt;&gt;""),"کامل","ناقص"))</x:f>
        <x:v>کامل</x:v>
      </x:c>
    </x:row>
    <x:row r="36">
      <x:c r="A36" s="165" t="n">
        <x:v>32</x:v>
      </x:c>
      <x:c r="B36" s="166" t="n">
        <x:v>32</x:v>
      </x:c>
      <x:c r="C36" s="114" t="str">
        <x:v>4000000322</x:v>
      </x:c>
      <x:c r="D36" s="115" t="str">
        <x:v>sample-0032</x:v>
      </x:c>
      <x:c r="E36" s="115" t="str">
        <x:v>رها</x:v>
      </x:c>
      <x:c r="F36" s="115" t="str">
        <x:v>یوسفی</x:v>
      </x:c>
      <x:c r="G36" s="115" t="str">
        <x:v>دختر</x:v>
      </x:c>
      <x:c r="H36" s="299" t="n">
        <x:v>41126</x:v>
      </x:c>
      <x:c r="I36" s="116" t="str">
        <x:v>sample-7-b</x:v>
      </x:c>
      <x:c r="J36" s="141" t="str">
        <x:f>IF(I36="","",IFERROR(INDEX('کلاس‌بندی'!$E$5:$E$34,MATCH(I36,'کلاس‌بندی'!$D$5:$D$34,0)),"کد کلاس نامعتبر"))</x:f>
        <x:v>کلاس نمونه هفتم ب</x:v>
      </x:c>
      <x:c r="K36" s="178" t="str">
        <x:f>IF(I36="","",IFERROR(INDEX('کلاس‌بندی'!$F$5:$F$34,MATCH(I36,'کلاس‌بندی'!$D$5:$D$34,0)),""))</x:f>
        <x:v>پایه آزمایشی 7</x:v>
      </x:c>
      <x:c r="L36" s="142" t="str">
        <x:f>IF(COUNTA(C36:I36)=0,"",IF(AND(LEN(C36)=10,D36&lt;&gt;"",E36&lt;&gt;"",F36&lt;&gt;"",G36&lt;&gt;"",H36&lt;&gt;"",I36&lt;&gt;""),"کامل","ناقص"))</x:f>
        <x:v>کامل</x:v>
      </x:c>
    </x:row>
    <x:row r="37">
      <x:c r="A37" s="165" t="n">
        <x:v>33</x:v>
      </x:c>
      <x:c r="B37" s="166" t="n">
        <x:v>33</x:v>
      </x:c>
      <x:c r="C37" s="114" t="str">
        <x:v>4000000330</x:v>
      </x:c>
      <x:c r="D37" s="115" t="str">
        <x:v>sample-0033</x:v>
      </x:c>
      <x:c r="E37" s="115" t="str">
        <x:v>طاها</x:v>
      </x:c>
      <x:c r="F37" s="115" t="str">
        <x:v>رضایی</x:v>
      </x:c>
      <x:c r="G37" s="115" t="str">
        <x:v>پسر</x:v>
      </x:c>
      <x:c r="H37" s="299" t="n">
        <x:v>41523</x:v>
      </x:c>
      <x:c r="I37" s="116" t="str">
        <x:v>sample-7-b</x:v>
      </x:c>
      <x:c r="J37" s="141" t="str">
        <x:f>IF(I37="","",IFERROR(INDEX('کلاس‌بندی'!$E$5:$E$34,MATCH(I37,'کلاس‌بندی'!$D$5:$D$34,0)),"کد کلاس نامعتبر"))</x:f>
        <x:v>کلاس نمونه هفتم ب</x:v>
      </x:c>
      <x:c r="K37" s="178" t="str">
        <x:f>IF(I37="","",IFERROR(INDEX('کلاس‌بندی'!$F$5:$F$34,MATCH(I37,'کلاس‌بندی'!$D$5:$D$34,0)),""))</x:f>
        <x:v>پایه آزمایشی 7</x:v>
      </x:c>
      <x:c r="L37" s="142" t="str">
        <x:f>IF(COUNTA(C37:I37)=0,"",IF(AND(LEN(C37)=10,D37&lt;&gt;"",E37&lt;&gt;"",F37&lt;&gt;"",G37&lt;&gt;"",H37&lt;&gt;"",I37&lt;&gt;""),"کامل","ناقص"))</x:f>
        <x:v>کامل</x:v>
      </x:c>
    </x:row>
    <x:row r="38">
      <x:c r="A38" s="165" t="n">
        <x:v>34</x:v>
      </x:c>
      <x:c r="B38" s="166" t="n">
        <x:v>34</x:v>
      </x:c>
      <x:c r="C38" s="114" t="str">
        <x:v>4000000349</x:v>
      </x:c>
      <x:c r="D38" s="115" t="str">
        <x:v>sample-0034</x:v>
      </x:c>
      <x:c r="E38" s="115" t="str">
        <x:v>باران</x:v>
      </x:c>
      <x:c r="F38" s="115" t="str">
        <x:v>نوری</x:v>
      </x:c>
      <x:c r="G38" s="115" t="str">
        <x:v>دختر</x:v>
      </x:c>
      <x:c r="H38" s="299" t="n">
        <x:v>40823</x:v>
      </x:c>
      <x:c r="I38" s="116" t="str">
        <x:v>sample-7-b</x:v>
      </x:c>
      <x:c r="J38" s="141" t="str">
        <x:f>IF(I38="","",IFERROR(INDEX('کلاس‌بندی'!$E$5:$E$34,MATCH(I38,'کلاس‌بندی'!$D$5:$D$34,0)),"کد کلاس نامعتبر"))</x:f>
        <x:v>کلاس نمونه هفتم ب</x:v>
      </x:c>
      <x:c r="K38" s="178" t="str">
        <x:f>IF(I38="","",IFERROR(INDEX('کلاس‌بندی'!$F$5:$F$34,MATCH(I38,'کلاس‌بندی'!$D$5:$D$34,0)),""))</x:f>
        <x:v>پایه آزمایشی 7</x:v>
      </x:c>
      <x:c r="L38" s="142" t="str">
        <x:f>IF(COUNTA(C38:I38)=0,"",IF(AND(LEN(C38)=10,D38&lt;&gt;"",E38&lt;&gt;"",F38&lt;&gt;"",G38&lt;&gt;"",H38&lt;&gt;"",I38&lt;&gt;""),"کامل","ناقص"))</x:f>
        <x:v>کامل</x:v>
      </x:c>
    </x:row>
    <x:row r="39">
      <x:c r="A39" s="165" t="n">
        <x:v>35</x:v>
      </x:c>
      <x:c r="B39" s="166" t="n">
        <x:v>35</x:v>
      </x:c>
      <x:c r="C39" s="114" t="str">
        <x:v>4000000357</x:v>
      </x:c>
      <x:c r="D39" s="115" t="str">
        <x:v>sample-0035</x:v>
      </x:c>
      <x:c r="E39" s="115" t="str">
        <x:v>ماهان</x:v>
      </x:c>
      <x:c r="F39" s="115" t="str">
        <x:v>سلیمانی</x:v>
      </x:c>
      <x:c r="G39" s="115" t="str">
        <x:v>پسر</x:v>
      </x:c>
      <x:c r="H39" s="299" t="n">
        <x:v>41221</x:v>
      </x:c>
      <x:c r="I39" s="116" t="str">
        <x:v>sample-7-b</x:v>
      </x:c>
      <x:c r="J39" s="141" t="str">
        <x:f>IF(I39="","",IFERROR(INDEX('کلاس‌بندی'!$E$5:$E$34,MATCH(I39,'کلاس‌بندی'!$D$5:$D$34,0)),"کد کلاس نامعتبر"))</x:f>
        <x:v>کلاس نمونه هفتم ب</x:v>
      </x:c>
      <x:c r="K39" s="178" t="str">
        <x:f>IF(I39="","",IFERROR(INDEX('کلاس‌بندی'!$F$5:$F$34,MATCH(I39,'کلاس‌بندی'!$D$5:$D$34,0)),""))</x:f>
        <x:v>پایه آزمایشی 7</x:v>
      </x:c>
      <x:c r="L39" s="142" t="str">
        <x:f>IF(COUNTA(C39:I39)=0,"",IF(AND(LEN(C39)=10,D39&lt;&gt;"",E39&lt;&gt;"",F39&lt;&gt;"",G39&lt;&gt;"",H39&lt;&gt;"",I39&lt;&gt;""),"کامل","ناقص"))</x:f>
        <x:v>کامل</x:v>
      </x:c>
    </x:row>
    <x:row r="40">
      <x:c r="A40" s="165" t="n">
        <x:v>36</x:v>
      </x:c>
      <x:c r="B40" s="166" t="n">
        <x:v>36</x:v>
      </x:c>
      <x:c r="C40" s="114" t="str">
        <x:v>4000000365</x:v>
      </x:c>
      <x:c r="D40" s="115" t="str">
        <x:v>sample-0036</x:v>
      </x:c>
      <x:c r="E40" s="115" t="str">
        <x:v>نازنین</x:v>
      </x:c>
      <x:c r="F40" s="115" t="str">
        <x:v>مرادی</x:v>
      </x:c>
      <x:c r="G40" s="115" t="str">
        <x:v>دختر</x:v>
      </x:c>
      <x:c r="H40" s="299" t="n">
        <x:v>41617</x:v>
      </x:c>
      <x:c r="I40" s="116" t="str">
        <x:v>sample-7-b</x:v>
      </x:c>
      <x:c r="J40" s="141" t="str">
        <x:f>IF(I40="","",IFERROR(INDEX('کلاس‌بندی'!$E$5:$E$34,MATCH(I40,'کلاس‌بندی'!$D$5:$D$34,0)),"کد کلاس نامعتبر"))</x:f>
        <x:v>کلاس نمونه هفتم ب</x:v>
      </x:c>
      <x:c r="K40" s="178" t="str">
        <x:f>IF(I40="","",IFERROR(INDEX('کلاس‌بندی'!$F$5:$F$34,MATCH(I40,'کلاس‌بندی'!$D$5:$D$34,0)),""))</x:f>
        <x:v>پایه آزمایشی 7</x:v>
      </x:c>
      <x:c r="L40" s="142" t="str">
        <x:f>IF(COUNTA(C40:I40)=0,"",IF(AND(LEN(C40)=10,D40&lt;&gt;"",E40&lt;&gt;"",F40&lt;&gt;"",G40&lt;&gt;"",H40&lt;&gt;"",I40&lt;&gt;""),"کامل","ناقص"))</x:f>
        <x:v>کامل</x:v>
      </x:c>
    </x:row>
    <x:row r="41">
      <x:c r="A41" s="165" t="n">
        <x:v>37</x:v>
      </x:c>
      <x:c r="B41" s="166" t="n">
        <x:v>37</x:v>
      </x:c>
      <x:c r="C41" s="114" t="str">
        <x:v>4000000373</x:v>
      </x:c>
      <x:c r="D41" s="115" t="str">
        <x:v>sample-0037</x:v>
      </x:c>
      <x:c r="E41" s="115" t="str">
        <x:v>سینا</x:v>
      </x:c>
      <x:c r="F41" s="115" t="str">
        <x:v>رحیمی</x:v>
      </x:c>
      <x:c r="G41" s="115" t="str">
        <x:v>پسر</x:v>
      </x:c>
      <x:c r="H41" s="299" t="n">
        <x:v>40553</x:v>
      </x:c>
      <x:c r="I41" s="116" t="str">
        <x:v>sample-7-b</x:v>
      </x:c>
      <x:c r="J41" s="141" t="str">
        <x:f>IF(I41="","",IFERROR(INDEX('کلاس‌بندی'!$E$5:$E$34,MATCH(I41,'کلاس‌بندی'!$D$5:$D$34,0)),"کد کلاس نامعتبر"))</x:f>
        <x:v>کلاس نمونه هفتم ب</x:v>
      </x:c>
      <x:c r="K41" s="178" t="str">
        <x:f>IF(I41="","",IFERROR(INDEX('کلاس‌بندی'!$F$5:$F$34,MATCH(I41,'کلاس‌بندی'!$D$5:$D$34,0)),""))</x:f>
        <x:v>پایه آزمایشی 7</x:v>
      </x:c>
      <x:c r="L41" s="142" t="str">
        <x:f>IF(COUNTA(C41:I41)=0,"",IF(AND(LEN(C41)=10,D41&lt;&gt;"",E41&lt;&gt;"",F41&lt;&gt;"",G41&lt;&gt;"",H41&lt;&gt;"",I41&lt;&gt;""),"کامل","ناقص"))</x:f>
        <x:v>کامل</x:v>
      </x:c>
    </x:row>
    <x:row r="42">
      <x:c r="A42" s="165" t="n">
        <x:v>38</x:v>
      </x:c>
      <x:c r="B42" s="166" t="n">
        <x:v>38</x:v>
      </x:c>
      <x:c r="C42" s="114" t="str">
        <x:v>4000000381</x:v>
      </x:c>
      <x:c r="D42" s="115" t="str">
        <x:v>sample-0038</x:v>
      </x:c>
      <x:c r="E42" s="115" t="str">
        <x:v>یسنا</x:v>
      </x:c>
      <x:c r="F42" s="115" t="str">
        <x:v>حیدری</x:v>
      </x:c>
      <x:c r="G42" s="115" t="str">
        <x:v>دختر</x:v>
      </x:c>
      <x:c r="H42" s="299" t="n">
        <x:v>40950</x:v>
      </x:c>
      <x:c r="I42" s="116" t="str">
        <x:v>sample-7-b</x:v>
      </x:c>
      <x:c r="J42" s="141" t="str">
        <x:f>IF(I42="","",IFERROR(INDEX('کلاس‌بندی'!$E$5:$E$34,MATCH(I42,'کلاس‌بندی'!$D$5:$D$34,0)),"کد کلاس نامعتبر"))</x:f>
        <x:v>کلاس نمونه هفتم ب</x:v>
      </x:c>
      <x:c r="K42" s="178" t="str">
        <x:f>IF(I42="","",IFERROR(INDEX('کلاس‌بندی'!$F$5:$F$34,MATCH(I42,'کلاس‌بندی'!$D$5:$D$34,0)),""))</x:f>
        <x:v>پایه آزمایشی 7</x:v>
      </x:c>
      <x:c r="L42" s="142" t="str">
        <x:f>IF(COUNTA(C42:I42)=0,"",IF(AND(LEN(C42)=10,D42&lt;&gt;"",E42&lt;&gt;"",F42&lt;&gt;"",G42&lt;&gt;"",H42&lt;&gt;"",I42&lt;&gt;""),"کامل","ناقص"))</x:f>
        <x:v>کامل</x:v>
      </x:c>
    </x:row>
    <x:row r="43">
      <x:c r="A43" s="165" t="n">
        <x:v>39</x:v>
      </x:c>
      <x:c r="B43" s="166" t="n">
        <x:v>39</x:v>
      </x:c>
      <x:c r="C43" s="114" t="str">
        <x:v>4000000391</x:v>
      </x:c>
      <x:c r="D43" s="115" t="str">
        <x:v>sample-0039</x:v>
      </x:c>
      <x:c r="E43" s="115" t="str">
        <x:v>رضا</x:v>
      </x:c>
      <x:c r="F43" s="115" t="str">
        <x:v>صادقی</x:v>
      </x:c>
      <x:c r="G43" s="115" t="str">
        <x:v>پسر</x:v>
      </x:c>
      <x:c r="H43" s="299" t="n">
        <x:v>41345</x:v>
      </x:c>
      <x:c r="I43" s="116" t="str">
        <x:v>sample-7-b</x:v>
      </x:c>
      <x:c r="J43" s="141" t="str">
        <x:f>IF(I43="","",IFERROR(INDEX('کلاس‌بندی'!$E$5:$E$34,MATCH(I43,'کلاس‌بندی'!$D$5:$D$34,0)),"کد کلاس نامعتبر"))</x:f>
        <x:v>کلاس نمونه هفتم ب</x:v>
      </x:c>
      <x:c r="K43" s="178" t="str">
        <x:f>IF(I43="","",IFERROR(INDEX('کلاس‌بندی'!$F$5:$F$34,MATCH(I43,'کلاس‌بندی'!$D$5:$D$34,0)),""))</x:f>
        <x:v>پایه آزمایشی 7</x:v>
      </x:c>
      <x:c r="L43" s="142" t="str">
        <x:f>IF(COUNTA(C43:I43)=0,"",IF(AND(LEN(C43)=10,D43&lt;&gt;"",E43&lt;&gt;"",F43&lt;&gt;"",G43&lt;&gt;"",H43&lt;&gt;"",I43&lt;&gt;""),"کامل","ناقص"))</x:f>
        <x:v>کامل</x:v>
      </x:c>
    </x:row>
    <x:row r="44">
      <x:c r="A44" s="165" t="n">
        <x:v>40</x:v>
      </x:c>
      <x:c r="B44" s="166" t="n">
        <x:v>40</x:v>
      </x:c>
      <x:c r="C44" s="114" t="str">
        <x:v>4000000403</x:v>
      </x:c>
      <x:c r="D44" s="115" t="str">
        <x:v>sample-0040</x:v>
      </x:c>
      <x:c r="E44" s="115" t="str">
        <x:v>آوا</x:v>
      </x:c>
      <x:c r="F44" s="115" t="str">
        <x:v>کاظمی</x:v>
      </x:c>
      <x:c r="G44" s="115" t="str">
        <x:v>دختر</x:v>
      </x:c>
      <x:c r="H44" s="299" t="n">
        <x:v>40646</x:v>
      </x:c>
      <x:c r="I44" s="116" t="str">
        <x:v>sample-7-b</x:v>
      </x:c>
      <x:c r="J44" s="141" t="str">
        <x:f>IF(I44="","",IFERROR(INDEX('کلاس‌بندی'!$E$5:$E$34,MATCH(I44,'کلاس‌بندی'!$D$5:$D$34,0)),"کد کلاس نامعتبر"))</x:f>
        <x:v>کلاس نمونه هفتم ب</x:v>
      </x:c>
      <x:c r="K44" s="178" t="str">
        <x:f>IF(I44="","",IFERROR(INDEX('کلاس‌بندی'!$F$5:$F$34,MATCH(I44,'کلاس‌بندی'!$D$5:$D$34,0)),""))</x:f>
        <x:v>پایه آزمایشی 7</x:v>
      </x:c>
      <x:c r="L44" s="142" t="str">
        <x:f>IF(COUNTA(C44:I44)=0,"",IF(AND(LEN(C44)=10,D44&lt;&gt;"",E44&lt;&gt;"",F44&lt;&gt;"",G44&lt;&gt;"",H44&lt;&gt;"",I44&lt;&gt;""),"کامل","ناقص"))</x:f>
        <x:v>کامل</x:v>
      </x:c>
    </x:row>
    <x:row r="45">
      <x:c r="A45" s="165" t="n">
        <x:v>41</x:v>
      </x:c>
      <x:c r="B45" s="166" t="n">
        <x:v>41</x:v>
      </x:c>
      <x:c r="C45" s="114" t="str">
        <x:v>4000000411</x:v>
      </x:c>
      <x:c r="D45" s="115" t="str">
        <x:v>sample-0041</x:v>
      </x:c>
      <x:c r="E45" s="115" t="str">
        <x:v>علی</x:v>
      </x:c>
      <x:c r="F45" s="115" t="str">
        <x:v>احمدی</x:v>
      </x:c>
      <x:c r="G45" s="115" t="str">
        <x:v>پسر</x:v>
      </x:c>
      <x:c r="H45" s="299" t="n">
        <x:v>41043</x:v>
      </x:c>
      <x:c r="I45" s="116" t="str">
        <x:v>sample-7-b</x:v>
      </x:c>
      <x:c r="J45" s="141" t="str">
        <x:f>IF(I45="","",IFERROR(INDEX('کلاس‌بندی'!$E$5:$E$34,MATCH(I45,'کلاس‌بندی'!$D$5:$D$34,0)),"کد کلاس نامعتبر"))</x:f>
        <x:v>کلاس نمونه هفتم ب</x:v>
      </x:c>
      <x:c r="K45" s="178" t="str">
        <x:f>IF(I45="","",IFERROR(INDEX('کلاس‌بندی'!$F$5:$F$34,MATCH(I45,'کلاس‌بندی'!$D$5:$D$34,0)),""))</x:f>
        <x:v>پایه آزمایشی 7</x:v>
      </x:c>
      <x:c r="L45" s="142" t="str">
        <x:f>IF(COUNTA(C45:I45)=0,"",IF(AND(LEN(C45)=10,D45&lt;&gt;"",E45&lt;&gt;"",F45&lt;&gt;"",G45&lt;&gt;"",H45&lt;&gt;"",I45&lt;&gt;""),"کامل","ناقص"))</x:f>
        <x:v>کامل</x:v>
      </x:c>
    </x:row>
    <x:row r="46">
      <x:c r="A46" s="165" t="n">
        <x:v>42</x:v>
      </x:c>
      <x:c r="B46" s="166" t="n">
        <x:v>42</x:v>
      </x:c>
      <x:c r="C46" s="114" t="str">
        <x:v>4000000421</x:v>
      </x:c>
      <x:c r="D46" s="115" t="str">
        <x:v>sample-0042</x:v>
      </x:c>
      <x:c r="E46" s="115" t="str">
        <x:v>فاطمه</x:v>
      </x:c>
      <x:c r="F46" s="115" t="str">
        <x:v>اکبری</x:v>
      </x:c>
      <x:c r="G46" s="115" t="str">
        <x:v>دختر</x:v>
      </x:c>
      <x:c r="H46" s="299" t="n">
        <x:v>41440</x:v>
      </x:c>
      <x:c r="I46" s="116" t="str">
        <x:v>sample-7-b</x:v>
      </x:c>
      <x:c r="J46" s="141" t="str">
        <x:f>IF(I46="","",IFERROR(INDEX('کلاس‌بندی'!$E$5:$E$34,MATCH(I46,'کلاس‌بندی'!$D$5:$D$34,0)),"کد کلاس نامعتبر"))</x:f>
        <x:v>کلاس نمونه هفتم ب</x:v>
      </x:c>
      <x:c r="K46" s="178" t="str">
        <x:f>IF(I46="","",IFERROR(INDEX('کلاس‌بندی'!$F$5:$F$34,MATCH(I46,'کلاس‌بندی'!$D$5:$D$34,0)),""))</x:f>
        <x:v>پایه آزمایشی 7</x:v>
      </x:c>
      <x:c r="L46" s="142" t="str">
        <x:f>IF(COUNTA(C46:I46)=0,"",IF(AND(LEN(C46)=10,D46&lt;&gt;"",E46&lt;&gt;"",F46&lt;&gt;"",G46&lt;&gt;"",H46&lt;&gt;"",I46&lt;&gt;""),"کامل","ناقص"))</x:f>
        <x:v>کامل</x:v>
      </x:c>
    </x:row>
    <x:row r="47">
      <x:c r="A47" s="165" t="n">
        <x:v>43</x:v>
      </x:c>
      <x:c r="B47" s="166" t="n">
        <x:v>43</x:v>
      </x:c>
      <x:c r="C47" s="114" t="str">
        <x:v>4000000438</x:v>
      </x:c>
      <x:c r="D47" s="115" t="str">
        <x:v>sample-0043</x:v>
      </x:c>
      <x:c r="E47" s="115" t="str">
        <x:v>امیرحسین</x:v>
      </x:c>
      <x:c r="F47" s="115" t="str">
        <x:v>طاهری</x:v>
      </x:c>
      <x:c r="G47" s="115" t="str">
        <x:v>پسر</x:v>
      </x:c>
      <x:c r="H47" s="299" t="n">
        <x:v>40740</x:v>
      </x:c>
      <x:c r="I47" s="116" t="str">
        <x:v>sample-7-b</x:v>
      </x:c>
      <x:c r="J47" s="141" t="str">
        <x:f>IF(I47="","",IFERROR(INDEX('کلاس‌بندی'!$E$5:$E$34,MATCH(I47,'کلاس‌بندی'!$D$5:$D$34,0)),"کد کلاس نامعتبر"))</x:f>
        <x:v>کلاس نمونه هفتم ب</x:v>
      </x:c>
      <x:c r="K47" s="178" t="str">
        <x:f>IF(I47="","",IFERROR(INDEX('کلاس‌بندی'!$F$5:$F$34,MATCH(I47,'کلاس‌بندی'!$D$5:$D$34,0)),""))</x:f>
        <x:v>پایه آزمایشی 7</x:v>
      </x:c>
      <x:c r="L47" s="142" t="str">
        <x:f>IF(COUNTA(C47:I47)=0,"",IF(AND(LEN(C47)=10,D47&lt;&gt;"",E47&lt;&gt;"",F47&lt;&gt;"",G47&lt;&gt;"",H47&lt;&gt;"",I47&lt;&gt;""),"کامل","ناقص"))</x:f>
        <x:v>کامل</x:v>
      </x:c>
    </x:row>
    <x:row r="48">
      <x:c r="A48" s="165" t="n">
        <x:v>44</x:v>
      </x:c>
      <x:c r="B48" s="166" t="n">
        <x:v>44</x:v>
      </x:c>
      <x:c r="C48" s="114" t="str">
        <x:v>4000000446</x:v>
      </x:c>
      <x:c r="D48" s="115" t="str">
        <x:v>sample-0044</x:v>
      </x:c>
      <x:c r="E48" s="115" t="str">
        <x:v>زهرا</x:v>
      </x:c>
      <x:c r="F48" s="115" t="str">
        <x:v>محمدی</x:v>
      </x:c>
      <x:c r="G48" s="115" t="str">
        <x:v>دختر</x:v>
      </x:c>
      <x:c r="H48" s="299" t="n">
        <x:v>41138</x:v>
      </x:c>
      <x:c r="I48" s="116" t="str">
        <x:v>sample-7-b</x:v>
      </x:c>
      <x:c r="J48" s="141" t="str">
        <x:f>IF(I48="","",IFERROR(INDEX('کلاس‌بندی'!$E$5:$E$34,MATCH(I48,'کلاس‌بندی'!$D$5:$D$34,0)),"کد کلاس نامعتبر"))</x:f>
        <x:v>کلاس نمونه هفتم ب</x:v>
      </x:c>
      <x:c r="K48" s="178" t="str">
        <x:f>IF(I48="","",IFERROR(INDEX('کلاس‌بندی'!$F$5:$F$34,MATCH(I48,'کلاس‌بندی'!$D$5:$D$34,0)),""))</x:f>
        <x:v>پایه آزمایشی 7</x:v>
      </x:c>
      <x:c r="L48" s="142" t="str">
        <x:f>IF(COUNTA(C48:I48)=0,"",IF(AND(LEN(C48)=10,D48&lt;&gt;"",E48&lt;&gt;"",F48&lt;&gt;"",G48&lt;&gt;"",H48&lt;&gt;"",I48&lt;&gt;""),"کامل","ناقص"))</x:f>
        <x:v>کامل</x:v>
      </x:c>
    </x:row>
    <x:row r="49">
      <x:c r="A49" s="165" t="n">
        <x:v>45</x:v>
      </x:c>
      <x:c r="B49" s="166" t="n">
        <x:v>45</x:v>
      </x:c>
      <x:c r="C49" s="114" t="str">
        <x:v>4000000454</x:v>
      </x:c>
      <x:c r="D49" s="115" t="str">
        <x:v>sample-0045</x:v>
      </x:c>
      <x:c r="E49" s="115" t="str">
        <x:v>محمد</x:v>
      </x:c>
      <x:c r="F49" s="115" t="str">
        <x:v>قاسمی</x:v>
      </x:c>
      <x:c r="G49" s="115" t="str">
        <x:v>پسر</x:v>
      </x:c>
      <x:c r="H49" s="299" t="n">
        <x:v>41535</x:v>
      </x:c>
      <x:c r="I49" s="116" t="str">
        <x:v>sample-7-b</x:v>
      </x:c>
      <x:c r="J49" s="141" t="str">
        <x:f>IF(I49="","",IFERROR(INDEX('کلاس‌بندی'!$E$5:$E$34,MATCH(I49,'کلاس‌بندی'!$D$5:$D$34,0)),"کد کلاس نامعتبر"))</x:f>
        <x:v>کلاس نمونه هفتم ب</x:v>
      </x:c>
      <x:c r="K49" s="178" t="str">
        <x:f>IF(I49="","",IFERROR(INDEX('کلاس‌بندی'!$F$5:$F$34,MATCH(I49,'کلاس‌بندی'!$D$5:$D$34,0)),""))</x:f>
        <x:v>پایه آزمایشی 7</x:v>
      </x:c>
      <x:c r="L49" s="142" t="str">
        <x:f>IF(COUNTA(C49:I49)=0,"",IF(AND(LEN(C49)=10,D49&lt;&gt;"",E49&lt;&gt;"",F49&lt;&gt;"",G49&lt;&gt;"",H49&lt;&gt;"",I49&lt;&gt;""),"کامل","ناقص"))</x:f>
        <x:v>کامل</x:v>
      </x:c>
    </x:row>
    <x:row r="50">
      <x:c r="A50" s="165" t="n">
        <x:v>46</x:v>
      </x:c>
      <x:c r="B50" s="166" t="n">
        <x:v>46</x:v>
      </x:c>
      <x:c r="C50" s="114" t="str">
        <x:v>4000000462</x:v>
      </x:c>
      <x:c r="D50" s="115" t="str">
        <x:v>sample-0046</x:v>
      </x:c>
      <x:c r="E50" s="115" t="str">
        <x:v>سارا</x:v>
      </x:c>
      <x:c r="F50" s="115" t="str">
        <x:v>خلیلی</x:v>
      </x:c>
      <x:c r="G50" s="115" t="str">
        <x:v>دختر</x:v>
      </x:c>
      <x:c r="H50" s="299" t="n">
        <x:v>40835</x:v>
      </x:c>
      <x:c r="I50" s="116" t="str">
        <x:v>sample-7-b</x:v>
      </x:c>
      <x:c r="J50" s="141" t="str">
        <x:f>IF(I50="","",IFERROR(INDEX('کلاس‌بندی'!$E$5:$E$34,MATCH(I50,'کلاس‌بندی'!$D$5:$D$34,0)),"کد کلاس نامعتبر"))</x:f>
        <x:v>کلاس نمونه هفتم ب</x:v>
      </x:c>
      <x:c r="K50" s="178" t="str">
        <x:f>IF(I50="","",IFERROR(INDEX('کلاس‌بندی'!$F$5:$F$34,MATCH(I50,'کلاس‌بندی'!$D$5:$D$34,0)),""))</x:f>
        <x:v>پایه آزمایشی 7</x:v>
      </x:c>
      <x:c r="L50" s="142" t="str">
        <x:f>IF(COUNTA(C50:I50)=0,"",IF(AND(LEN(C50)=10,D50&lt;&gt;"",E50&lt;&gt;"",F50&lt;&gt;"",G50&lt;&gt;"",H50&lt;&gt;"",I50&lt;&gt;""),"کامل","ناقص"))</x:f>
        <x:v>کامل</x:v>
      </x:c>
    </x:row>
    <x:row r="51">
      <x:c r="A51" s="165" t="n">
        <x:v>47</x:v>
      </x:c>
      <x:c r="B51" s="166" t="n">
        <x:v>47</x:v>
      </x:c>
      <x:c r="C51" s="114" t="str">
        <x:v>4000000470</x:v>
      </x:c>
      <x:c r="D51" s="115" t="str">
        <x:v>sample-0047</x:v>
      </x:c>
      <x:c r="E51" s="115" t="str">
        <x:v>آراد</x:v>
      </x:c>
      <x:c r="F51" s="115" t="str">
        <x:v>حسینی</x:v>
      </x:c>
      <x:c r="G51" s="115" t="str">
        <x:v>پسر</x:v>
      </x:c>
      <x:c r="H51" s="299" t="n">
        <x:v>41233</x:v>
      </x:c>
      <x:c r="I51" s="116" t="str">
        <x:v>sample-7-b</x:v>
      </x:c>
      <x:c r="J51" s="141" t="str">
        <x:f>IF(I51="","",IFERROR(INDEX('کلاس‌بندی'!$E$5:$E$34,MATCH(I51,'کلاس‌بندی'!$D$5:$D$34,0)),"کد کلاس نامعتبر"))</x:f>
        <x:v>کلاس نمونه هفتم ب</x:v>
      </x:c>
      <x:c r="K51" s="178" t="str">
        <x:f>IF(I51="","",IFERROR(INDEX('کلاس‌بندی'!$F$5:$F$34,MATCH(I51,'کلاس‌بندی'!$D$5:$D$34,0)),""))</x:f>
        <x:v>پایه آزمایشی 7</x:v>
      </x:c>
      <x:c r="L51" s="142" t="str">
        <x:f>IF(COUNTA(C51:I51)=0,"",IF(AND(LEN(C51)=10,D51&lt;&gt;"",E51&lt;&gt;"",F51&lt;&gt;"",G51&lt;&gt;"",H51&lt;&gt;"",I51&lt;&gt;""),"کامل","ناقص"))</x:f>
        <x:v>کامل</x:v>
      </x:c>
    </x:row>
    <x:row r="52">
      <x:c r="A52" s="165" t="n">
        <x:v>48</x:v>
      </x:c>
      <x:c r="B52" s="166" t="n">
        <x:v>48</x:v>
      </x:c>
      <x:c r="C52" s="114" t="str">
        <x:v>4000000489</x:v>
      </x:c>
      <x:c r="D52" s="115" t="str">
        <x:v>sample-0048</x:v>
      </x:c>
      <x:c r="E52" s="115" t="str">
        <x:v>نگار</x:v>
      </x:c>
      <x:c r="F52" s="115" t="str">
        <x:v>جعفری</x:v>
      </x:c>
      <x:c r="G52" s="115" t="str">
        <x:v>دختر</x:v>
      </x:c>
      <x:c r="H52" s="299" t="n">
        <x:v>41629</x:v>
      </x:c>
      <x:c r="I52" s="116" t="str">
        <x:v>sample-7-b</x:v>
      </x:c>
      <x:c r="J52" s="141" t="str">
        <x:f>IF(I52="","",IFERROR(INDEX('کلاس‌بندی'!$E$5:$E$34,MATCH(I52,'کلاس‌بندی'!$D$5:$D$34,0)),"کد کلاس نامعتبر"))</x:f>
        <x:v>کلاس نمونه هفتم ب</x:v>
      </x:c>
      <x:c r="K52" s="178" t="str">
        <x:f>IF(I52="","",IFERROR(INDEX('کلاس‌بندی'!$F$5:$F$34,MATCH(I52,'کلاس‌بندی'!$D$5:$D$34,0)),""))</x:f>
        <x:v>پایه آزمایشی 7</x:v>
      </x:c>
      <x:c r="L52" s="142" t="str">
        <x:f>IF(COUNTA(C52:I52)=0,"",IF(AND(LEN(C52)=10,D52&lt;&gt;"",E52&lt;&gt;"",F52&lt;&gt;"",G52&lt;&gt;"",H52&lt;&gt;"",I52&lt;&gt;""),"کامل","ناقص"))</x:f>
        <x:v>کامل</x:v>
      </x:c>
    </x:row>
    <x:row r="53">
      <x:c r="A53" s="165" t="n">
        <x:v>49</x:v>
      </x:c>
      <x:c r="B53" s="166" t="n">
        <x:v>49</x:v>
      </x:c>
      <x:c r="C53" s="114" t="str">
        <x:v>4000000497</x:v>
      </x:c>
      <x:c r="D53" s="115" t="str">
        <x:v>sample-0049</x:v>
      </x:c>
      <x:c r="E53" s="115" t="str">
        <x:v>سام</x:v>
      </x:c>
      <x:c r="F53" s="115" t="str">
        <x:v>امینی</x:v>
      </x:c>
      <x:c r="G53" s="115" t="str">
        <x:v>پسر</x:v>
      </x:c>
      <x:c r="H53" s="299" t="n">
        <x:v>40565</x:v>
      </x:c>
      <x:c r="I53" s="116" t="str">
        <x:v>sample-7-b</x:v>
      </x:c>
      <x:c r="J53" s="141" t="str">
        <x:f>IF(I53="","",IFERROR(INDEX('کلاس‌بندی'!$E$5:$E$34,MATCH(I53,'کلاس‌بندی'!$D$5:$D$34,0)),"کد کلاس نامعتبر"))</x:f>
        <x:v>کلاس نمونه هفتم ب</x:v>
      </x:c>
      <x:c r="K53" s="178" t="str">
        <x:f>IF(I53="","",IFERROR(INDEX('کلاس‌بندی'!$F$5:$F$34,MATCH(I53,'کلاس‌بندی'!$D$5:$D$34,0)),""))</x:f>
        <x:v>پایه آزمایشی 7</x:v>
      </x:c>
      <x:c r="L53" s="142" t="str">
        <x:f>IF(COUNTA(C53:I53)=0,"",IF(AND(LEN(C53)=10,D53&lt;&gt;"",E53&lt;&gt;"",F53&lt;&gt;"",G53&lt;&gt;"",H53&lt;&gt;"",I53&lt;&gt;""),"کامل","ناقص"))</x:f>
        <x:v>کامل</x:v>
      </x:c>
    </x:row>
    <x:row r="54">
      <x:c r="A54" s="165" t="n">
        <x:v>50</x:v>
      </x:c>
      <x:c r="B54" s="166" t="n">
        <x:v>50</x:v>
      </x:c>
      <x:c r="C54" s="114" t="str">
        <x:v>4000000500</x:v>
      </x:c>
      <x:c r="D54" s="115" t="str">
        <x:v>sample-0050</x:v>
      </x:c>
      <x:c r="E54" s="115" t="str">
        <x:v>هلیا</x:v>
      </x:c>
      <x:c r="F54" s="115" t="str">
        <x:v>کریمی</x:v>
      </x:c>
      <x:c r="G54" s="115" t="str">
        <x:v>دختر</x:v>
      </x:c>
      <x:c r="H54" s="299" t="n">
        <x:v>40962</x:v>
      </x:c>
      <x:c r="I54" s="116" t="str">
        <x:v>sample-7-b</x:v>
      </x:c>
      <x:c r="J54" s="141" t="str">
        <x:f>IF(I54="","",IFERROR(INDEX('کلاس‌بندی'!$E$5:$E$34,MATCH(I54,'کلاس‌بندی'!$D$5:$D$34,0)),"کد کلاس نامعتبر"))</x:f>
        <x:v>کلاس نمونه هفتم ب</x:v>
      </x:c>
      <x:c r="K54" s="178" t="str">
        <x:f>IF(I54="","",IFERROR(INDEX('کلاس‌بندی'!$F$5:$F$34,MATCH(I54,'کلاس‌بندی'!$D$5:$D$34,0)),""))</x:f>
        <x:v>پایه آزمایشی 7</x:v>
      </x:c>
      <x:c r="L54" s="142" t="str">
        <x:f>IF(COUNTA(C54:I54)=0,"",IF(AND(LEN(C54)=10,D54&lt;&gt;"",E54&lt;&gt;"",F54&lt;&gt;"",G54&lt;&gt;"",H54&lt;&gt;"",I54&lt;&gt;""),"کامل","ناقص"))</x:f>
        <x:v>کامل</x:v>
      </x:c>
    </x:row>
    <x:row r="55">
      <x:c r="A55" s="165" t="n">
        <x:v>51</x:v>
      </x:c>
      <x:c r="B55" s="166" t="n">
        <x:v>51</x:v>
      </x:c>
      <x:c r="C55" s="114" t="str">
        <x:v>4000000519</x:v>
      </x:c>
      <x:c r="D55" s="115" t="str">
        <x:v>sample-0051</x:v>
      </x:c>
      <x:c r="E55" s="115" t="str">
        <x:v>پارسا</x:v>
      </x:c>
      <x:c r="F55" s="115" t="str">
        <x:v>موسوی</x:v>
      </x:c>
      <x:c r="G55" s="115" t="str">
        <x:v>پسر</x:v>
      </x:c>
      <x:c r="H55" s="299" t="n">
        <x:v>41357</x:v>
      </x:c>
      <x:c r="I55" s="116" t="str">
        <x:v>sample-7-c</x:v>
      </x:c>
      <x:c r="J55" s="141" t="str">
        <x:f>IF(I55="","",IFERROR(INDEX('کلاس‌بندی'!$E$5:$E$34,MATCH(I55,'کلاس‌بندی'!$D$5:$D$34,0)),"کد کلاس نامعتبر"))</x:f>
        <x:v>کلاس نمونه هفتم ج</x:v>
      </x:c>
      <x:c r="K55" s="178" t="str">
        <x:f>IF(I55="","",IFERROR(INDEX('کلاس‌بندی'!$F$5:$F$34,MATCH(I55,'کلاس‌بندی'!$D$5:$D$34,0)),""))</x:f>
        <x:v>پایه آزمایشی 7</x:v>
      </x:c>
      <x:c r="L55" s="142" t="str">
        <x:f>IF(COUNTA(C55:I55)=0,"",IF(AND(LEN(C55)=10,D55&lt;&gt;"",E55&lt;&gt;"",F55&lt;&gt;"",G55&lt;&gt;"",H55&lt;&gt;"",I55&lt;&gt;""),"کامل","ناقص"))</x:f>
        <x:v>کامل</x:v>
      </x:c>
    </x:row>
    <x:row r="56">
      <x:c r="A56" s="165" t="n">
        <x:v>52</x:v>
      </x:c>
      <x:c r="B56" s="166" t="n">
        <x:v>52</x:v>
      </x:c>
      <x:c r="C56" s="114" t="str">
        <x:v>4000000527</x:v>
      </x:c>
      <x:c r="D56" s="115" t="str">
        <x:v>sample-0052</x:v>
      </x:c>
      <x:c r="E56" s="115" t="str">
        <x:v>رها</x:v>
      </x:c>
      <x:c r="F56" s="115" t="str">
        <x:v>یوسفی</x:v>
      </x:c>
      <x:c r="G56" s="115" t="str">
        <x:v>دختر</x:v>
      </x:c>
      <x:c r="H56" s="299" t="n">
        <x:v>40658</x:v>
      </x:c>
      <x:c r="I56" s="116" t="str">
        <x:v>sample-7-c</x:v>
      </x:c>
      <x:c r="J56" s="141" t="str">
        <x:f>IF(I56="","",IFERROR(INDEX('کلاس‌بندی'!$E$5:$E$34,MATCH(I56,'کلاس‌بندی'!$D$5:$D$34,0)),"کد کلاس نامعتبر"))</x:f>
        <x:v>کلاس نمونه هفتم ج</x:v>
      </x:c>
      <x:c r="K56" s="178" t="str">
        <x:f>IF(I56="","",IFERROR(INDEX('کلاس‌بندی'!$F$5:$F$34,MATCH(I56,'کلاس‌بندی'!$D$5:$D$34,0)),""))</x:f>
        <x:v>پایه آزمایشی 7</x:v>
      </x:c>
      <x:c r="L56" s="142" t="str">
        <x:f>IF(COUNTA(C56:I56)=0,"",IF(AND(LEN(C56)=10,D56&lt;&gt;"",E56&lt;&gt;"",F56&lt;&gt;"",G56&lt;&gt;"",H56&lt;&gt;"",I56&lt;&gt;""),"کامل","ناقص"))</x:f>
        <x:v>کامل</x:v>
      </x:c>
    </x:row>
    <x:row r="57">
      <x:c r="A57" s="165" t="n">
        <x:v>53</x:v>
      </x:c>
      <x:c r="B57" s="166" t="n">
        <x:v>53</x:v>
      </x:c>
      <x:c r="C57" s="114" t="str">
        <x:v>4000000535</x:v>
      </x:c>
      <x:c r="D57" s="115" t="str">
        <x:v>sample-0053</x:v>
      </x:c>
      <x:c r="E57" s="115" t="str">
        <x:v>طاها</x:v>
      </x:c>
      <x:c r="F57" s="115" t="str">
        <x:v>رضایی</x:v>
      </x:c>
      <x:c r="G57" s="115" t="str">
        <x:v>پسر</x:v>
      </x:c>
      <x:c r="H57" s="299" t="n">
        <x:v>41055</x:v>
      </x:c>
      <x:c r="I57" s="116" t="str">
        <x:v>sample-7-c</x:v>
      </x:c>
      <x:c r="J57" s="141" t="str">
        <x:f>IF(I57="","",IFERROR(INDEX('کلاس‌بندی'!$E$5:$E$34,MATCH(I57,'کلاس‌بندی'!$D$5:$D$34,0)),"کد کلاس نامعتبر"))</x:f>
        <x:v>کلاس نمونه هفتم ج</x:v>
      </x:c>
      <x:c r="K57" s="178" t="str">
        <x:f>IF(I57="","",IFERROR(INDEX('کلاس‌بندی'!$F$5:$F$34,MATCH(I57,'کلاس‌بندی'!$D$5:$D$34,0)),""))</x:f>
        <x:v>پایه آزمایشی 7</x:v>
      </x:c>
      <x:c r="L57" s="142" t="str">
        <x:f>IF(COUNTA(C57:I57)=0,"",IF(AND(LEN(C57)=10,D57&lt;&gt;"",E57&lt;&gt;"",F57&lt;&gt;"",G57&lt;&gt;"",H57&lt;&gt;"",I57&lt;&gt;""),"کامل","ناقص"))</x:f>
        <x:v>کامل</x:v>
      </x:c>
    </x:row>
    <x:row r="58">
      <x:c r="A58" s="165" t="n">
        <x:v>54</x:v>
      </x:c>
      <x:c r="B58" s="166" t="n">
        <x:v>54</x:v>
      </x:c>
      <x:c r="C58" s="114" t="str">
        <x:v>4000000543</x:v>
      </x:c>
      <x:c r="D58" s="115" t="str">
        <x:v>sample-0054</x:v>
      </x:c>
      <x:c r="E58" s="115" t="str">
        <x:v>باران</x:v>
      </x:c>
      <x:c r="F58" s="115" t="str">
        <x:v>نوری</x:v>
      </x:c>
      <x:c r="G58" s="115" t="str">
        <x:v>دختر</x:v>
      </x:c>
      <x:c r="H58" s="299" t="n">
        <x:v>41452</x:v>
      </x:c>
      <x:c r="I58" s="116" t="str">
        <x:v>sample-7-c</x:v>
      </x:c>
      <x:c r="J58" s="141" t="str">
        <x:f>IF(I58="","",IFERROR(INDEX('کلاس‌بندی'!$E$5:$E$34,MATCH(I58,'کلاس‌بندی'!$D$5:$D$34,0)),"کد کلاس نامعتبر"))</x:f>
        <x:v>کلاس نمونه هفتم ج</x:v>
      </x:c>
      <x:c r="K58" s="178" t="str">
        <x:f>IF(I58="","",IFERROR(INDEX('کلاس‌بندی'!$F$5:$F$34,MATCH(I58,'کلاس‌بندی'!$D$5:$D$34,0)),""))</x:f>
        <x:v>پایه آزمایشی 7</x:v>
      </x:c>
      <x:c r="L58" s="142" t="str">
        <x:f>IF(COUNTA(C58:I58)=0,"",IF(AND(LEN(C58)=10,D58&lt;&gt;"",E58&lt;&gt;"",F58&lt;&gt;"",G58&lt;&gt;"",H58&lt;&gt;"",I58&lt;&gt;""),"کامل","ناقص"))</x:f>
        <x:v>کامل</x:v>
      </x:c>
    </x:row>
    <x:row r="59">
      <x:c r="A59" s="165" t="n">
        <x:v>55</x:v>
      </x:c>
      <x:c r="B59" s="166" t="n">
        <x:v>55</x:v>
      </x:c>
      <x:c r="C59" s="114" t="str">
        <x:v>4000000551</x:v>
      </x:c>
      <x:c r="D59" s="115" t="str">
        <x:v>sample-0055</x:v>
      </x:c>
      <x:c r="E59" s="115" t="str">
        <x:v>ماهان</x:v>
      </x:c>
      <x:c r="F59" s="115" t="str">
        <x:v>سلیمانی</x:v>
      </x:c>
      <x:c r="G59" s="115" t="str">
        <x:v>پسر</x:v>
      </x:c>
      <x:c r="H59" s="299" t="n">
        <x:v>40725</x:v>
      </x:c>
      <x:c r="I59" s="116" t="str">
        <x:v>sample-7-c</x:v>
      </x:c>
      <x:c r="J59" s="141" t="str">
        <x:f>IF(I59="","",IFERROR(INDEX('کلاس‌بندی'!$E$5:$E$34,MATCH(I59,'کلاس‌بندی'!$D$5:$D$34,0)),"کد کلاس نامعتبر"))</x:f>
        <x:v>کلاس نمونه هفتم ج</x:v>
      </x:c>
      <x:c r="K59" s="178" t="str">
        <x:f>IF(I59="","",IFERROR(INDEX('کلاس‌بندی'!$F$5:$F$34,MATCH(I59,'کلاس‌بندی'!$D$5:$D$34,0)),""))</x:f>
        <x:v>پایه آزمایشی 7</x:v>
      </x:c>
      <x:c r="L59" s="142" t="str">
        <x:f>IF(COUNTA(C59:I59)=0,"",IF(AND(LEN(C59)=10,D59&lt;&gt;"",E59&lt;&gt;"",F59&lt;&gt;"",G59&lt;&gt;"",H59&lt;&gt;"",I59&lt;&gt;""),"کامل","ناقص"))</x:f>
        <x:v>کامل</x:v>
      </x:c>
    </x:row>
    <x:row r="60">
      <x:c r="A60" s="165" t="n">
        <x:v>56</x:v>
      </x:c>
      <x:c r="B60" s="166" t="n">
        <x:v>56</x:v>
      </x:c>
      <x:c r="C60" s="114" t="str">
        <x:v>4000000561</x:v>
      </x:c>
      <x:c r="D60" s="115" t="str">
        <x:v>sample-0056</x:v>
      </x:c>
      <x:c r="E60" s="115" t="str">
        <x:v>نازنین</x:v>
      </x:c>
      <x:c r="F60" s="115" t="str">
        <x:v>مرادی</x:v>
      </x:c>
      <x:c r="G60" s="115" t="str">
        <x:v>دختر</x:v>
      </x:c>
      <x:c r="H60" s="299" t="n">
        <x:v>41123</x:v>
      </x:c>
      <x:c r="I60" s="116" t="str">
        <x:v>sample-7-c</x:v>
      </x:c>
      <x:c r="J60" s="141" t="str">
        <x:f>IF(I60="","",IFERROR(INDEX('کلاس‌بندی'!$E$5:$E$34,MATCH(I60,'کلاس‌بندی'!$D$5:$D$34,0)),"کد کلاس نامعتبر"))</x:f>
        <x:v>کلاس نمونه هفتم ج</x:v>
      </x:c>
      <x:c r="K60" s="178" t="str">
        <x:f>IF(I60="","",IFERROR(INDEX('کلاس‌بندی'!$F$5:$F$34,MATCH(I60,'کلاس‌بندی'!$D$5:$D$34,0)),""))</x:f>
        <x:v>پایه آزمایشی 7</x:v>
      </x:c>
      <x:c r="L60" s="142" t="str">
        <x:f>IF(COUNTA(C60:I60)=0,"",IF(AND(LEN(C60)=10,D60&lt;&gt;"",E60&lt;&gt;"",F60&lt;&gt;"",G60&lt;&gt;"",H60&lt;&gt;"",I60&lt;&gt;""),"کامل","ناقص"))</x:f>
        <x:v>کامل</x:v>
      </x:c>
    </x:row>
    <x:row r="61">
      <x:c r="A61" s="165" t="n">
        <x:v>57</x:v>
      </x:c>
      <x:c r="B61" s="166" t="n">
        <x:v>57</x:v>
      </x:c>
      <x:c r="C61" s="114" t="str">
        <x:v>4000000578</x:v>
      </x:c>
      <x:c r="D61" s="115" t="str">
        <x:v>sample-0057</x:v>
      </x:c>
      <x:c r="E61" s="115" t="str">
        <x:v>سینا</x:v>
      </x:c>
      <x:c r="F61" s="115" t="str">
        <x:v>رحیمی</x:v>
      </x:c>
      <x:c r="G61" s="115" t="str">
        <x:v>پسر</x:v>
      </x:c>
      <x:c r="H61" s="299" t="n">
        <x:v>41520</x:v>
      </x:c>
      <x:c r="I61" s="116" t="str">
        <x:v>sample-7-c</x:v>
      </x:c>
      <x:c r="J61" s="141" t="str">
        <x:f>IF(I61="","",IFERROR(INDEX('کلاس‌بندی'!$E$5:$E$34,MATCH(I61,'کلاس‌بندی'!$D$5:$D$34,0)),"کد کلاس نامعتبر"))</x:f>
        <x:v>کلاس نمونه هفتم ج</x:v>
      </x:c>
      <x:c r="K61" s="178" t="str">
        <x:f>IF(I61="","",IFERROR(INDEX('کلاس‌بندی'!$F$5:$F$34,MATCH(I61,'کلاس‌بندی'!$D$5:$D$34,0)),""))</x:f>
        <x:v>پایه آزمایشی 7</x:v>
      </x:c>
      <x:c r="L61" s="142" t="str">
        <x:f>IF(COUNTA(C61:I61)=0,"",IF(AND(LEN(C61)=10,D61&lt;&gt;"",E61&lt;&gt;"",F61&lt;&gt;"",G61&lt;&gt;"",H61&lt;&gt;"",I61&lt;&gt;""),"کامل","ناقص"))</x:f>
        <x:v>کامل</x:v>
      </x:c>
    </x:row>
    <x:row r="62">
      <x:c r="A62" s="165" t="n">
        <x:v>58</x:v>
      </x:c>
      <x:c r="B62" s="166" t="n">
        <x:v>58</x:v>
      </x:c>
      <x:c r="C62" s="114" t="str">
        <x:v>4000000586</x:v>
      </x:c>
      <x:c r="D62" s="115" t="str">
        <x:v>sample-0058</x:v>
      </x:c>
      <x:c r="E62" s="115" t="str">
        <x:v>یسنا</x:v>
      </x:c>
      <x:c r="F62" s="115" t="str">
        <x:v>حیدری</x:v>
      </x:c>
      <x:c r="G62" s="115" t="str">
        <x:v>دختر</x:v>
      </x:c>
      <x:c r="H62" s="299" t="n">
        <x:v>40820</x:v>
      </x:c>
      <x:c r="I62" s="116" t="str">
        <x:v>sample-7-c</x:v>
      </x:c>
      <x:c r="J62" s="141" t="str">
        <x:f>IF(I62="","",IFERROR(INDEX('کلاس‌بندی'!$E$5:$E$34,MATCH(I62,'کلاس‌بندی'!$D$5:$D$34,0)),"کد کلاس نامعتبر"))</x:f>
        <x:v>کلاس نمونه هفتم ج</x:v>
      </x:c>
      <x:c r="K62" s="178" t="str">
        <x:f>IF(I62="","",IFERROR(INDEX('کلاس‌بندی'!$F$5:$F$34,MATCH(I62,'کلاس‌بندی'!$D$5:$D$34,0)),""))</x:f>
        <x:v>پایه آزمایشی 7</x:v>
      </x:c>
      <x:c r="L62" s="142" t="str">
        <x:f>IF(COUNTA(C62:I62)=0,"",IF(AND(LEN(C62)=10,D62&lt;&gt;"",E62&lt;&gt;"",F62&lt;&gt;"",G62&lt;&gt;"",H62&lt;&gt;"",I62&lt;&gt;""),"کامل","ناقص"))</x:f>
        <x:v>کامل</x:v>
      </x:c>
    </x:row>
    <x:row r="63">
      <x:c r="A63" s="165" t="n">
        <x:v>59</x:v>
      </x:c>
      <x:c r="B63" s="166" t="n">
        <x:v>59</x:v>
      </x:c>
      <x:c r="C63" s="114" t="str">
        <x:v>4000000594</x:v>
      </x:c>
      <x:c r="D63" s="115" t="str">
        <x:v>sample-0059</x:v>
      </x:c>
      <x:c r="E63" s="115" t="str">
        <x:v>رضا</x:v>
      </x:c>
      <x:c r="F63" s="115" t="str">
        <x:v>صادقی</x:v>
      </x:c>
      <x:c r="G63" s="115" t="str">
        <x:v>پسر</x:v>
      </x:c>
      <x:c r="H63" s="299" t="n">
        <x:v>41218</x:v>
      </x:c>
      <x:c r="I63" s="116" t="str">
        <x:v>sample-7-c</x:v>
      </x:c>
      <x:c r="J63" s="141" t="str">
        <x:f>IF(I63="","",IFERROR(INDEX('کلاس‌بندی'!$E$5:$E$34,MATCH(I63,'کلاس‌بندی'!$D$5:$D$34,0)),"کد کلاس نامعتبر"))</x:f>
        <x:v>کلاس نمونه هفتم ج</x:v>
      </x:c>
      <x:c r="K63" s="178" t="str">
        <x:f>IF(I63="","",IFERROR(INDEX('کلاس‌بندی'!$F$5:$F$34,MATCH(I63,'کلاس‌بندی'!$D$5:$D$34,0)),""))</x:f>
        <x:v>پایه آزمایشی 7</x:v>
      </x:c>
      <x:c r="L63" s="142" t="str">
        <x:f>IF(COUNTA(C63:I63)=0,"",IF(AND(LEN(C63)=10,D63&lt;&gt;"",E63&lt;&gt;"",F63&lt;&gt;"",G63&lt;&gt;"",H63&lt;&gt;"",I63&lt;&gt;""),"کامل","ناقص"))</x:f>
        <x:v>کامل</x:v>
      </x:c>
    </x:row>
    <x:row r="64">
      <x:c r="A64" s="165" t="n">
        <x:v>60</x:v>
      </x:c>
      <x:c r="B64" s="166" t="n">
        <x:v>60</x:v>
      </x:c>
      <x:c r="C64" s="114" t="str">
        <x:v>4000000608</x:v>
      </x:c>
      <x:c r="D64" s="115" t="str">
        <x:v>sample-0060</x:v>
      </x:c>
      <x:c r="E64" s="115" t="str">
        <x:v>آوا</x:v>
      </x:c>
      <x:c r="F64" s="115" t="str">
        <x:v>کاظمی</x:v>
      </x:c>
      <x:c r="G64" s="115" t="str">
        <x:v>دختر</x:v>
      </x:c>
      <x:c r="H64" s="299" t="n">
        <x:v>41614</x:v>
      </x:c>
      <x:c r="I64" s="116" t="str">
        <x:v>sample-7-c</x:v>
      </x:c>
      <x:c r="J64" s="141" t="str">
        <x:f>IF(I64="","",IFERROR(INDEX('کلاس‌بندی'!$E$5:$E$34,MATCH(I64,'کلاس‌بندی'!$D$5:$D$34,0)),"کد کلاس نامعتبر"))</x:f>
        <x:v>کلاس نمونه هفتم ج</x:v>
      </x:c>
      <x:c r="K64" s="178" t="str">
        <x:f>IF(I64="","",IFERROR(INDEX('کلاس‌بندی'!$F$5:$F$34,MATCH(I64,'کلاس‌بندی'!$D$5:$D$34,0)),""))</x:f>
        <x:v>پایه آزمایشی 7</x:v>
      </x:c>
      <x:c r="L64" s="142" t="str">
        <x:f>IF(COUNTA(C64:I64)=0,"",IF(AND(LEN(C64)=10,D64&lt;&gt;"",E64&lt;&gt;"",F64&lt;&gt;"",G64&lt;&gt;"",H64&lt;&gt;"",I64&lt;&gt;""),"کامل","ناقص"))</x:f>
        <x:v>کامل</x:v>
      </x:c>
    </x:row>
    <x:row r="65">
      <x:c r="A65" s="165" t="n">
        <x:v>61</x:v>
      </x:c>
      <x:c r="B65" s="166" t="n">
        <x:v>61</x:v>
      </x:c>
      <x:c r="C65" s="114" t="str">
        <x:v>4000000616</x:v>
      </x:c>
      <x:c r="D65" s="115" t="str">
        <x:v>sample-0061</x:v>
      </x:c>
      <x:c r="E65" s="115" t="str">
        <x:v>علی</x:v>
      </x:c>
      <x:c r="F65" s="115" t="str">
        <x:v>احمدی</x:v>
      </x:c>
      <x:c r="G65" s="115" t="str">
        <x:v>پسر</x:v>
      </x:c>
      <x:c r="H65" s="299" t="n">
        <x:v>40550</x:v>
      </x:c>
      <x:c r="I65" s="116" t="str">
        <x:v>sample-7-c</x:v>
      </x:c>
      <x:c r="J65" s="141" t="str">
        <x:f>IF(I65="","",IFERROR(INDEX('کلاس‌بندی'!$E$5:$E$34,MATCH(I65,'کلاس‌بندی'!$D$5:$D$34,0)),"کد کلاس نامعتبر"))</x:f>
        <x:v>کلاس نمونه هفتم ج</x:v>
      </x:c>
      <x:c r="K65" s="178" t="str">
        <x:f>IF(I65="","",IFERROR(INDEX('کلاس‌بندی'!$F$5:$F$34,MATCH(I65,'کلاس‌بندی'!$D$5:$D$34,0)),""))</x:f>
        <x:v>پایه آزمایشی 7</x:v>
      </x:c>
      <x:c r="L65" s="142" t="str">
        <x:f>IF(COUNTA(C65:I65)=0,"",IF(AND(LEN(C65)=10,D65&lt;&gt;"",E65&lt;&gt;"",F65&lt;&gt;"",G65&lt;&gt;"",H65&lt;&gt;"",I65&lt;&gt;""),"کامل","ناقص"))</x:f>
        <x:v>کامل</x:v>
      </x:c>
    </x:row>
    <x:row r="66">
      <x:c r="A66" s="165" t="n">
        <x:v>62</x:v>
      </x:c>
      <x:c r="B66" s="166" t="n">
        <x:v>62</x:v>
      </x:c>
      <x:c r="C66" s="114" t="str">
        <x:v>4000000624</x:v>
      </x:c>
      <x:c r="D66" s="115" t="str">
        <x:v>sample-0062</x:v>
      </x:c>
      <x:c r="E66" s="115" t="str">
        <x:v>فاطمه</x:v>
      </x:c>
      <x:c r="F66" s="115" t="str">
        <x:v>اکبری</x:v>
      </x:c>
      <x:c r="G66" s="115" t="str">
        <x:v>دختر</x:v>
      </x:c>
      <x:c r="H66" s="299" t="n">
        <x:v>40947</x:v>
      </x:c>
      <x:c r="I66" s="116" t="str">
        <x:v>sample-7-c</x:v>
      </x:c>
      <x:c r="J66" s="141" t="str">
        <x:f>IF(I66="","",IFERROR(INDEX('کلاس‌بندی'!$E$5:$E$34,MATCH(I66,'کلاس‌بندی'!$D$5:$D$34,0)),"کد کلاس نامعتبر"))</x:f>
        <x:v>کلاس نمونه هفتم ج</x:v>
      </x:c>
      <x:c r="K66" s="178" t="str">
        <x:f>IF(I66="","",IFERROR(INDEX('کلاس‌بندی'!$F$5:$F$34,MATCH(I66,'کلاس‌بندی'!$D$5:$D$34,0)),""))</x:f>
        <x:v>پایه آزمایشی 7</x:v>
      </x:c>
      <x:c r="L66" s="142" t="str">
        <x:f>IF(COUNTA(C66:I66)=0,"",IF(AND(LEN(C66)=10,D66&lt;&gt;"",E66&lt;&gt;"",F66&lt;&gt;"",G66&lt;&gt;"",H66&lt;&gt;"",I66&lt;&gt;""),"کامل","ناقص"))</x:f>
        <x:v>کامل</x:v>
      </x:c>
    </x:row>
    <x:row r="67">
      <x:c r="A67" s="165" t="n">
        <x:v>63</x:v>
      </x:c>
      <x:c r="B67" s="166" t="n">
        <x:v>63</x:v>
      </x:c>
      <x:c r="C67" s="114" t="str">
        <x:v>4000000632</x:v>
      </x:c>
      <x:c r="D67" s="115" t="str">
        <x:v>sample-0063</x:v>
      </x:c>
      <x:c r="E67" s="115" t="str">
        <x:v>امیرحسین</x:v>
      </x:c>
      <x:c r="F67" s="115" t="str">
        <x:v>طاهری</x:v>
      </x:c>
      <x:c r="G67" s="115" t="str">
        <x:v>پسر</x:v>
      </x:c>
      <x:c r="H67" s="299" t="n">
        <x:v>41342</x:v>
      </x:c>
      <x:c r="I67" s="116" t="str">
        <x:v>sample-7-c</x:v>
      </x:c>
      <x:c r="J67" s="141" t="str">
        <x:f>IF(I67="","",IFERROR(INDEX('کلاس‌بندی'!$E$5:$E$34,MATCH(I67,'کلاس‌بندی'!$D$5:$D$34,0)),"کد کلاس نامعتبر"))</x:f>
        <x:v>کلاس نمونه هفتم ج</x:v>
      </x:c>
      <x:c r="K67" s="178" t="str">
        <x:f>IF(I67="","",IFERROR(INDEX('کلاس‌بندی'!$F$5:$F$34,MATCH(I67,'کلاس‌بندی'!$D$5:$D$34,0)),""))</x:f>
        <x:v>پایه آزمایشی 7</x:v>
      </x:c>
      <x:c r="L67" s="142" t="str">
        <x:f>IF(COUNTA(C67:I67)=0,"",IF(AND(LEN(C67)=10,D67&lt;&gt;"",E67&lt;&gt;"",F67&lt;&gt;"",G67&lt;&gt;"",H67&lt;&gt;"",I67&lt;&gt;""),"کامل","ناقص"))</x:f>
        <x:v>کامل</x:v>
      </x:c>
    </x:row>
    <x:row r="68">
      <x:c r="A68" s="165" t="n">
        <x:v>64</x:v>
      </x:c>
      <x:c r="B68" s="166" t="n">
        <x:v>64</x:v>
      </x:c>
      <x:c r="C68" s="114" t="str">
        <x:v>4000000640</x:v>
      </x:c>
      <x:c r="D68" s="115" t="str">
        <x:v>sample-0064</x:v>
      </x:c>
      <x:c r="E68" s="115" t="str">
        <x:v>زهرا</x:v>
      </x:c>
      <x:c r="F68" s="115" t="str">
        <x:v>محمدی</x:v>
      </x:c>
      <x:c r="G68" s="115" t="str">
        <x:v>دختر</x:v>
      </x:c>
      <x:c r="H68" s="299" t="n">
        <x:v>40643</x:v>
      </x:c>
      <x:c r="I68" s="116" t="str">
        <x:v>sample-7-c</x:v>
      </x:c>
      <x:c r="J68" s="141" t="str">
        <x:f>IF(I68="","",IFERROR(INDEX('کلاس‌بندی'!$E$5:$E$34,MATCH(I68,'کلاس‌بندی'!$D$5:$D$34,0)),"کد کلاس نامعتبر"))</x:f>
        <x:v>کلاس نمونه هفتم ج</x:v>
      </x:c>
      <x:c r="K68" s="178" t="str">
        <x:f>IF(I68="","",IFERROR(INDEX('کلاس‌بندی'!$F$5:$F$34,MATCH(I68,'کلاس‌بندی'!$D$5:$D$34,0)),""))</x:f>
        <x:v>پایه آزمایشی 7</x:v>
      </x:c>
      <x:c r="L68" s="142" t="str">
        <x:f>IF(COUNTA(C68:I68)=0,"",IF(AND(LEN(C68)=10,D68&lt;&gt;"",E68&lt;&gt;"",F68&lt;&gt;"",G68&lt;&gt;"",H68&lt;&gt;"",I68&lt;&gt;""),"کامل","ناقص"))</x:f>
        <x:v>کامل</x:v>
      </x:c>
    </x:row>
    <x:row r="69">
      <x:c r="A69" s="165" t="n">
        <x:v>65</x:v>
      </x:c>
      <x:c r="B69" s="166" t="n">
        <x:v>65</x:v>
      </x:c>
      <x:c r="C69" s="114" t="str">
        <x:v>4000000659</x:v>
      </x:c>
      <x:c r="D69" s="115" t="str">
        <x:v>sample-0065</x:v>
      </x:c>
      <x:c r="E69" s="115" t="str">
        <x:v>محمد</x:v>
      </x:c>
      <x:c r="F69" s="115" t="str">
        <x:v>قاسمی</x:v>
      </x:c>
      <x:c r="G69" s="115" t="str">
        <x:v>پسر</x:v>
      </x:c>
      <x:c r="H69" s="299" t="n">
        <x:v>41040</x:v>
      </x:c>
      <x:c r="I69" s="116" t="str">
        <x:v>sample-7-c</x:v>
      </x:c>
      <x:c r="J69" s="141" t="str">
        <x:f>IF(I69="","",IFERROR(INDEX('کلاس‌بندی'!$E$5:$E$34,MATCH(I69,'کلاس‌بندی'!$D$5:$D$34,0)),"کد کلاس نامعتبر"))</x:f>
        <x:v>کلاس نمونه هفتم ج</x:v>
      </x:c>
      <x:c r="K69" s="178" t="str">
        <x:f>IF(I69="","",IFERROR(INDEX('کلاس‌بندی'!$F$5:$F$34,MATCH(I69,'کلاس‌بندی'!$D$5:$D$34,0)),""))</x:f>
        <x:v>پایه آزمایشی 7</x:v>
      </x:c>
      <x:c r="L69" s="142" t="str">
        <x:f>IF(COUNTA(C69:I69)=0,"",IF(AND(LEN(C69)=10,D69&lt;&gt;"",E69&lt;&gt;"",F69&lt;&gt;"",G69&lt;&gt;"",H69&lt;&gt;"",I69&lt;&gt;""),"کامل","ناقص"))</x:f>
        <x:v>کامل</x:v>
      </x:c>
    </x:row>
    <x:row r="70">
      <x:c r="A70" s="165" t="n">
        <x:v>66</x:v>
      </x:c>
      <x:c r="B70" s="166" t="n">
        <x:v>66</x:v>
      </x:c>
      <x:c r="C70" s="114" t="str">
        <x:v>4000000667</x:v>
      </x:c>
      <x:c r="D70" s="115" t="str">
        <x:v>sample-0066</x:v>
      </x:c>
      <x:c r="E70" s="115" t="str">
        <x:v>سارا</x:v>
      </x:c>
      <x:c r="F70" s="115" t="str">
        <x:v>خلیلی</x:v>
      </x:c>
      <x:c r="G70" s="115" t="str">
        <x:v>دختر</x:v>
      </x:c>
      <x:c r="H70" s="299" t="n">
        <x:v>41437</x:v>
      </x:c>
      <x:c r="I70" s="116" t="str">
        <x:v>sample-7-c</x:v>
      </x:c>
      <x:c r="J70" s="141" t="str">
        <x:f>IF(I70="","",IFERROR(INDEX('کلاس‌بندی'!$E$5:$E$34,MATCH(I70,'کلاس‌بندی'!$D$5:$D$34,0)),"کد کلاس نامعتبر"))</x:f>
        <x:v>کلاس نمونه هفتم ج</x:v>
      </x:c>
      <x:c r="K70" s="178" t="str">
        <x:f>IF(I70="","",IFERROR(INDEX('کلاس‌بندی'!$F$5:$F$34,MATCH(I70,'کلاس‌بندی'!$D$5:$D$34,0)),""))</x:f>
        <x:v>پایه آزمایشی 7</x:v>
      </x:c>
      <x:c r="L70" s="142" t="str">
        <x:f>IF(COUNTA(C70:I70)=0,"",IF(AND(LEN(C70)=10,D70&lt;&gt;"",E70&lt;&gt;"",F70&lt;&gt;"",G70&lt;&gt;"",H70&lt;&gt;"",I70&lt;&gt;""),"کامل","ناقص"))</x:f>
        <x:v>کامل</x:v>
      </x:c>
    </x:row>
    <x:row r="71">
      <x:c r="A71" s="165" t="n">
        <x:v>67</x:v>
      </x:c>
      <x:c r="B71" s="166" t="n">
        <x:v>67</x:v>
      </x:c>
      <x:c r="C71" s="114" t="str">
        <x:v>4000000675</x:v>
      </x:c>
      <x:c r="D71" s="115" t="str">
        <x:v>sample-0067</x:v>
      </x:c>
      <x:c r="E71" s="115" t="str">
        <x:v>آراد</x:v>
      </x:c>
      <x:c r="F71" s="115" t="str">
        <x:v>حسینی</x:v>
      </x:c>
      <x:c r="G71" s="115" t="str">
        <x:v>پسر</x:v>
      </x:c>
      <x:c r="H71" s="299" t="n">
        <x:v>40737</x:v>
      </x:c>
      <x:c r="I71" s="116" t="str">
        <x:v>sample-7-c</x:v>
      </x:c>
      <x:c r="J71" s="141" t="str">
        <x:f>IF(I71="","",IFERROR(INDEX('کلاس‌بندی'!$E$5:$E$34,MATCH(I71,'کلاس‌بندی'!$D$5:$D$34,0)),"کد کلاس نامعتبر"))</x:f>
        <x:v>کلاس نمونه هفتم ج</x:v>
      </x:c>
      <x:c r="K71" s="178" t="str">
        <x:f>IF(I71="","",IFERROR(INDEX('کلاس‌بندی'!$F$5:$F$34,MATCH(I71,'کلاس‌بندی'!$D$5:$D$34,0)),""))</x:f>
        <x:v>پایه آزمایشی 7</x:v>
      </x:c>
      <x:c r="L71" s="142" t="str">
        <x:f>IF(COUNTA(C71:I71)=0,"",IF(AND(LEN(C71)=10,D71&lt;&gt;"",E71&lt;&gt;"",F71&lt;&gt;"",G71&lt;&gt;"",H71&lt;&gt;"",I71&lt;&gt;""),"کامل","ناقص"))</x:f>
        <x:v>کامل</x:v>
      </x:c>
    </x:row>
    <x:row r="72">
      <x:c r="A72" s="165" t="n">
        <x:v>68</x:v>
      </x:c>
      <x:c r="B72" s="166" t="n">
        <x:v>68</x:v>
      </x:c>
      <x:c r="C72" s="114" t="str">
        <x:v>4000000683</x:v>
      </x:c>
      <x:c r="D72" s="115" t="str">
        <x:v>sample-0068</x:v>
      </x:c>
      <x:c r="E72" s="115" t="str">
        <x:v>نگار</x:v>
      </x:c>
      <x:c r="F72" s="115" t="str">
        <x:v>جعفری</x:v>
      </x:c>
      <x:c r="G72" s="115" t="str">
        <x:v>دختر</x:v>
      </x:c>
      <x:c r="H72" s="299" t="n">
        <x:v>41135</x:v>
      </x:c>
      <x:c r="I72" s="116" t="str">
        <x:v>sample-7-c</x:v>
      </x:c>
      <x:c r="J72" s="141" t="str">
        <x:f>IF(I72="","",IFERROR(INDEX('کلاس‌بندی'!$E$5:$E$34,MATCH(I72,'کلاس‌بندی'!$D$5:$D$34,0)),"کد کلاس نامعتبر"))</x:f>
        <x:v>کلاس نمونه هفتم ج</x:v>
      </x:c>
      <x:c r="K72" s="178" t="str">
        <x:f>IF(I72="","",IFERROR(INDEX('کلاس‌بندی'!$F$5:$F$34,MATCH(I72,'کلاس‌بندی'!$D$5:$D$34,0)),""))</x:f>
        <x:v>پایه آزمایشی 7</x:v>
      </x:c>
      <x:c r="L72" s="142" t="str">
        <x:f>IF(COUNTA(C72:I72)=0,"",IF(AND(LEN(C72)=10,D72&lt;&gt;"",E72&lt;&gt;"",F72&lt;&gt;"",G72&lt;&gt;"",H72&lt;&gt;"",I72&lt;&gt;""),"کامل","ناقص"))</x:f>
        <x:v>کامل</x:v>
      </x:c>
    </x:row>
    <x:row r="73">
      <x:c r="A73" s="165" t="n">
        <x:v>69</x:v>
      </x:c>
      <x:c r="B73" s="166" t="n">
        <x:v>69</x:v>
      </x:c>
      <x:c r="C73" s="114" t="str">
        <x:v>4000000691</x:v>
      </x:c>
      <x:c r="D73" s="115" t="str">
        <x:v>sample-0069</x:v>
      </x:c>
      <x:c r="E73" s="115" t="str">
        <x:v>سام</x:v>
      </x:c>
      <x:c r="F73" s="115" t="str">
        <x:v>امینی</x:v>
      </x:c>
      <x:c r="G73" s="115" t="str">
        <x:v>پسر</x:v>
      </x:c>
      <x:c r="H73" s="299" t="n">
        <x:v>41532</x:v>
      </x:c>
      <x:c r="I73" s="116" t="str">
        <x:v>sample-7-c</x:v>
      </x:c>
      <x:c r="J73" s="141" t="str">
        <x:f>IF(I73="","",IFERROR(INDEX('کلاس‌بندی'!$E$5:$E$34,MATCH(I73,'کلاس‌بندی'!$D$5:$D$34,0)),"کد کلاس نامعتبر"))</x:f>
        <x:v>کلاس نمونه هفتم ج</x:v>
      </x:c>
      <x:c r="K73" s="178" t="str">
        <x:f>IF(I73="","",IFERROR(INDEX('کلاس‌بندی'!$F$5:$F$34,MATCH(I73,'کلاس‌بندی'!$D$5:$D$34,0)),""))</x:f>
        <x:v>پایه آزمایشی 7</x:v>
      </x:c>
      <x:c r="L73" s="142" t="str">
        <x:f>IF(COUNTA(C73:I73)=0,"",IF(AND(LEN(C73)=10,D73&lt;&gt;"",E73&lt;&gt;"",F73&lt;&gt;"",G73&lt;&gt;"",H73&lt;&gt;"",I73&lt;&gt;""),"کامل","ناقص"))</x:f>
        <x:v>کامل</x:v>
      </x:c>
    </x:row>
    <x:row r="74">
      <x:c r="A74" s="165" t="n">
        <x:v>70</x:v>
      </x:c>
      <x:c r="B74" s="166" t="n">
        <x:v>70</x:v>
      </x:c>
      <x:c r="C74" s="114" t="str">
        <x:v>4000000705</x:v>
      </x:c>
      <x:c r="D74" s="115" t="str">
        <x:v>sample-0070</x:v>
      </x:c>
      <x:c r="E74" s="115" t="str">
        <x:v>هلیا</x:v>
      </x:c>
      <x:c r="F74" s="115" t="str">
        <x:v>کریمی</x:v>
      </x:c>
      <x:c r="G74" s="115" t="str">
        <x:v>دختر</x:v>
      </x:c>
      <x:c r="H74" s="299" t="n">
        <x:v>40832</x:v>
      </x:c>
      <x:c r="I74" s="116" t="str">
        <x:v>sample-7-c</x:v>
      </x:c>
      <x:c r="J74" s="141" t="str">
        <x:f>IF(I74="","",IFERROR(INDEX('کلاس‌بندی'!$E$5:$E$34,MATCH(I74,'کلاس‌بندی'!$D$5:$D$34,0)),"کد کلاس نامعتبر"))</x:f>
        <x:v>کلاس نمونه هفتم ج</x:v>
      </x:c>
      <x:c r="K74" s="178" t="str">
        <x:f>IF(I74="","",IFERROR(INDEX('کلاس‌بندی'!$F$5:$F$34,MATCH(I74,'کلاس‌بندی'!$D$5:$D$34,0)),""))</x:f>
        <x:v>پایه آزمایشی 7</x:v>
      </x:c>
      <x:c r="L74" s="142" t="str">
        <x:f>IF(COUNTA(C74:I74)=0,"",IF(AND(LEN(C74)=10,D74&lt;&gt;"",E74&lt;&gt;"",F74&lt;&gt;"",G74&lt;&gt;"",H74&lt;&gt;"",I74&lt;&gt;""),"کامل","ناقص"))</x:f>
        <x:v>کامل</x:v>
      </x:c>
    </x:row>
    <x:row r="75">
      <x:c r="A75" s="165" t="n">
        <x:v>71</x:v>
      </x:c>
      <x:c r="B75" s="166" t="n">
        <x:v>71</x:v>
      </x:c>
      <x:c r="C75" s="114" t="str">
        <x:v>4000000713</x:v>
      </x:c>
      <x:c r="D75" s="115" t="str">
        <x:v>sample-0071</x:v>
      </x:c>
      <x:c r="E75" s="115" t="str">
        <x:v>پارسا</x:v>
      </x:c>
      <x:c r="F75" s="115" t="str">
        <x:v>موسوی</x:v>
      </x:c>
      <x:c r="G75" s="115" t="str">
        <x:v>پسر</x:v>
      </x:c>
      <x:c r="H75" s="299" t="n">
        <x:v>41230</x:v>
      </x:c>
      <x:c r="I75" s="116" t="str">
        <x:v>sample-7-c</x:v>
      </x:c>
      <x:c r="J75" s="141" t="str">
        <x:f>IF(I75="","",IFERROR(INDEX('کلاس‌بندی'!$E$5:$E$34,MATCH(I75,'کلاس‌بندی'!$D$5:$D$34,0)),"کد کلاس نامعتبر"))</x:f>
        <x:v>کلاس نمونه هفتم ج</x:v>
      </x:c>
      <x:c r="K75" s="178" t="str">
        <x:f>IF(I75="","",IFERROR(INDEX('کلاس‌بندی'!$F$5:$F$34,MATCH(I75,'کلاس‌بندی'!$D$5:$D$34,0)),""))</x:f>
        <x:v>پایه آزمایشی 7</x:v>
      </x:c>
      <x:c r="L75" s="142" t="str">
        <x:f>IF(COUNTA(C75:I75)=0,"",IF(AND(LEN(C75)=10,D75&lt;&gt;"",E75&lt;&gt;"",F75&lt;&gt;"",G75&lt;&gt;"",H75&lt;&gt;"",I75&lt;&gt;""),"کامل","ناقص"))</x:f>
        <x:v>کامل</x:v>
      </x:c>
    </x:row>
    <x:row r="76">
      <x:c r="A76" s="165" t="n">
        <x:v>72</x:v>
      </x:c>
      <x:c r="B76" s="166" t="n">
        <x:v>72</x:v>
      </x:c>
      <x:c r="C76" s="114" t="str">
        <x:v>4000000721</x:v>
      </x:c>
      <x:c r="D76" s="115" t="str">
        <x:v>sample-0072</x:v>
      </x:c>
      <x:c r="E76" s="115" t="str">
        <x:v>رها</x:v>
      </x:c>
      <x:c r="F76" s="115" t="str">
        <x:v>یوسفی</x:v>
      </x:c>
      <x:c r="G76" s="115" t="str">
        <x:v>دختر</x:v>
      </x:c>
      <x:c r="H76" s="299" t="n">
        <x:v>41626</x:v>
      </x:c>
      <x:c r="I76" s="116" t="str">
        <x:v>sample-7-c</x:v>
      </x:c>
      <x:c r="J76" s="141" t="str">
        <x:f>IF(I76="","",IFERROR(INDEX('کلاس‌بندی'!$E$5:$E$34,MATCH(I76,'کلاس‌بندی'!$D$5:$D$34,0)),"کد کلاس نامعتبر"))</x:f>
        <x:v>کلاس نمونه هفتم ج</x:v>
      </x:c>
      <x:c r="K76" s="178" t="str">
        <x:f>IF(I76="","",IFERROR(INDEX('کلاس‌بندی'!$F$5:$F$34,MATCH(I76,'کلاس‌بندی'!$D$5:$D$34,0)),""))</x:f>
        <x:v>پایه آزمایشی 7</x:v>
      </x:c>
      <x:c r="L76" s="142" t="str">
        <x:f>IF(COUNTA(C76:I76)=0,"",IF(AND(LEN(C76)=10,D76&lt;&gt;"",E76&lt;&gt;"",F76&lt;&gt;"",G76&lt;&gt;"",H76&lt;&gt;"",I76&lt;&gt;""),"کامل","ناقص"))</x:f>
        <x:v>کامل</x:v>
      </x:c>
    </x:row>
    <x:row r="77">
      <x:c r="A77" s="165" t="n">
        <x:v>73</x:v>
      </x:c>
      <x:c r="B77" s="166" t="n">
        <x:v>73</x:v>
      </x:c>
      <x:c r="C77" s="114" t="str">
        <x:v>4000000731</x:v>
      </x:c>
      <x:c r="D77" s="115" t="str">
        <x:v>sample-0073</x:v>
      </x:c>
      <x:c r="E77" s="115" t="str">
        <x:v>طاها</x:v>
      </x:c>
      <x:c r="F77" s="115" t="str">
        <x:v>رضایی</x:v>
      </x:c>
      <x:c r="G77" s="115" t="str">
        <x:v>پسر</x:v>
      </x:c>
      <x:c r="H77" s="299" t="n">
        <x:v>40562</x:v>
      </x:c>
      <x:c r="I77" s="116" t="str">
        <x:v>sample-7-c</x:v>
      </x:c>
      <x:c r="J77" s="141" t="str">
        <x:f>IF(I77="","",IFERROR(INDEX('کلاس‌بندی'!$E$5:$E$34,MATCH(I77,'کلاس‌بندی'!$D$5:$D$34,0)),"کد کلاس نامعتبر"))</x:f>
        <x:v>کلاس نمونه هفتم ج</x:v>
      </x:c>
      <x:c r="K77" s="178" t="str">
        <x:f>IF(I77="","",IFERROR(INDEX('کلاس‌بندی'!$F$5:$F$34,MATCH(I77,'کلاس‌بندی'!$D$5:$D$34,0)),""))</x:f>
        <x:v>پایه آزمایشی 7</x:v>
      </x:c>
      <x:c r="L77" s="142" t="str">
        <x:f>IF(COUNTA(C77:I77)=0,"",IF(AND(LEN(C77)=10,D77&lt;&gt;"",E77&lt;&gt;"",F77&lt;&gt;"",G77&lt;&gt;"",H77&lt;&gt;"",I77&lt;&gt;""),"کامل","ناقص"))</x:f>
        <x:v>کامل</x:v>
      </x:c>
    </x:row>
    <x:row r="78">
      <x:c r="A78" s="165" t="n">
        <x:v>74</x:v>
      </x:c>
      <x:c r="B78" s="166" t="n">
        <x:v>74</x:v>
      </x:c>
      <x:c r="C78" s="114" t="str">
        <x:v>4000000748</x:v>
      </x:c>
      <x:c r="D78" s="115" t="str">
        <x:v>sample-0074</x:v>
      </x:c>
      <x:c r="E78" s="115" t="str">
        <x:v>باران</x:v>
      </x:c>
      <x:c r="F78" s="115" t="str">
        <x:v>نوری</x:v>
      </x:c>
      <x:c r="G78" s="115" t="str">
        <x:v>دختر</x:v>
      </x:c>
      <x:c r="H78" s="299" t="n">
        <x:v>40959</x:v>
      </x:c>
      <x:c r="I78" s="116" t="str">
        <x:v>sample-7-c</x:v>
      </x:c>
      <x:c r="J78" s="141" t="str">
        <x:f>IF(I78="","",IFERROR(INDEX('کلاس‌بندی'!$E$5:$E$34,MATCH(I78,'کلاس‌بندی'!$D$5:$D$34,0)),"کد کلاس نامعتبر"))</x:f>
        <x:v>کلاس نمونه هفتم ج</x:v>
      </x:c>
      <x:c r="K78" s="178" t="str">
        <x:f>IF(I78="","",IFERROR(INDEX('کلاس‌بندی'!$F$5:$F$34,MATCH(I78,'کلاس‌بندی'!$D$5:$D$34,0)),""))</x:f>
        <x:v>پایه آزمایشی 7</x:v>
      </x:c>
      <x:c r="L78" s="142" t="str">
        <x:f>IF(COUNTA(C78:I78)=0,"",IF(AND(LEN(C78)=10,D78&lt;&gt;"",E78&lt;&gt;"",F78&lt;&gt;"",G78&lt;&gt;"",H78&lt;&gt;"",I78&lt;&gt;""),"کامل","ناقص"))</x:f>
        <x:v>کامل</x:v>
      </x:c>
    </x:row>
    <x:row r="79">
      <x:c r="A79" s="165" t="n">
        <x:v>75</x:v>
      </x:c>
      <x:c r="B79" s="166" t="n">
        <x:v>75</x:v>
      </x:c>
      <x:c r="C79" s="114" t="str">
        <x:v>4000000756</x:v>
      </x:c>
      <x:c r="D79" s="115" t="str">
        <x:v>sample-0075</x:v>
      </x:c>
      <x:c r="E79" s="115" t="str">
        <x:v>ماهان</x:v>
      </x:c>
      <x:c r="F79" s="115" t="str">
        <x:v>سلیمانی</x:v>
      </x:c>
      <x:c r="G79" s="115" t="str">
        <x:v>پسر</x:v>
      </x:c>
      <x:c r="H79" s="299" t="n">
        <x:v>41354</x:v>
      </x:c>
      <x:c r="I79" s="116" t="str">
        <x:v>sample-7-c</x:v>
      </x:c>
      <x:c r="J79" s="141" t="str">
        <x:f>IF(I79="","",IFERROR(INDEX('کلاس‌بندی'!$E$5:$E$34,MATCH(I79,'کلاس‌بندی'!$D$5:$D$34,0)),"کد کلاس نامعتبر"))</x:f>
        <x:v>کلاس نمونه هفتم ج</x:v>
      </x:c>
      <x:c r="K79" s="178" t="str">
        <x:f>IF(I79="","",IFERROR(INDEX('کلاس‌بندی'!$F$5:$F$34,MATCH(I79,'کلاس‌بندی'!$D$5:$D$34,0)),""))</x:f>
        <x:v>پایه آزمایشی 7</x:v>
      </x:c>
      <x:c r="L79" s="142" t="str">
        <x:f>IF(COUNTA(C79:I79)=0,"",IF(AND(LEN(C79)=10,D79&lt;&gt;"",E79&lt;&gt;"",F79&lt;&gt;"",G79&lt;&gt;"",H79&lt;&gt;"",I79&lt;&gt;""),"کامل","ناقص"))</x:f>
        <x:v>کامل</x:v>
      </x:c>
    </x:row>
    <x:row r="80">
      <x:c r="A80" s="165" t="n">
        <x:v>76</x:v>
      </x:c>
      <x:c r="B80" s="166" t="n">
        <x:v>76</x:v>
      </x:c>
      <x:c r="C80" s="114" t="str">
        <x:v>4000000764</x:v>
      </x:c>
      <x:c r="D80" s="115" t="str">
        <x:v>sample-0076</x:v>
      </x:c>
      <x:c r="E80" s="115" t="str">
        <x:v>نازنین</x:v>
      </x:c>
      <x:c r="F80" s="115" t="str">
        <x:v>مرادی</x:v>
      </x:c>
      <x:c r="G80" s="115" t="str">
        <x:v>دختر</x:v>
      </x:c>
      <x:c r="H80" s="299" t="n">
        <x:v>40655</x:v>
      </x:c>
      <x:c r="I80" s="116" t="str">
        <x:v>sample-7-d</x:v>
      </x:c>
      <x:c r="J80" s="141" t="str">
        <x:f>IF(I80="","",IFERROR(INDEX('کلاس‌بندی'!$E$5:$E$34,MATCH(I80,'کلاس‌بندی'!$D$5:$D$34,0)),"کد کلاس نامعتبر"))</x:f>
        <x:v>کلاس نمونه هفتم د</x:v>
      </x:c>
      <x:c r="K80" s="178" t="str">
        <x:f>IF(I80="","",IFERROR(INDEX('کلاس‌بندی'!$F$5:$F$34,MATCH(I80,'کلاس‌بندی'!$D$5:$D$34,0)),""))</x:f>
        <x:v>پایه آزمایشی 7</x:v>
      </x:c>
      <x:c r="L80" s="142" t="str">
        <x:f>IF(COUNTA(C80:I80)=0,"",IF(AND(LEN(C80)=10,D80&lt;&gt;"",E80&lt;&gt;"",F80&lt;&gt;"",G80&lt;&gt;"",H80&lt;&gt;"",I80&lt;&gt;""),"کامل","ناقص"))</x:f>
        <x:v>کامل</x:v>
      </x:c>
    </x:row>
    <x:row r="81">
      <x:c r="A81" s="165" t="n">
        <x:v>77</x:v>
      </x:c>
      <x:c r="B81" s="166" t="n">
        <x:v>77</x:v>
      </x:c>
      <x:c r="C81" s="114" t="str">
        <x:v>4000000772</x:v>
      </x:c>
      <x:c r="D81" s="115" t="str">
        <x:v>sample-0077</x:v>
      </x:c>
      <x:c r="E81" s="115" t="str">
        <x:v>سینا</x:v>
      </x:c>
      <x:c r="F81" s="115" t="str">
        <x:v>رحیمی</x:v>
      </x:c>
      <x:c r="G81" s="115" t="str">
        <x:v>پسر</x:v>
      </x:c>
      <x:c r="H81" s="299" t="n">
        <x:v>41052</x:v>
      </x:c>
      <x:c r="I81" s="116" t="str">
        <x:v>sample-7-d</x:v>
      </x:c>
      <x:c r="J81" s="141" t="str">
        <x:f>IF(I81="","",IFERROR(INDEX('کلاس‌بندی'!$E$5:$E$34,MATCH(I81,'کلاس‌بندی'!$D$5:$D$34,0)),"کد کلاس نامعتبر"))</x:f>
        <x:v>کلاس نمونه هفتم د</x:v>
      </x:c>
      <x:c r="K81" s="178" t="str">
        <x:f>IF(I81="","",IFERROR(INDEX('کلاس‌بندی'!$F$5:$F$34,MATCH(I81,'کلاس‌بندی'!$D$5:$D$34,0)),""))</x:f>
        <x:v>پایه آزمایشی 7</x:v>
      </x:c>
      <x:c r="L81" s="142" t="str">
        <x:f>IF(COUNTA(C81:I81)=0,"",IF(AND(LEN(C81)=10,D81&lt;&gt;"",E81&lt;&gt;"",F81&lt;&gt;"",G81&lt;&gt;"",H81&lt;&gt;"",I81&lt;&gt;""),"کامل","ناقص"))</x:f>
        <x:v>کامل</x:v>
      </x:c>
    </x:row>
    <x:row r="82">
      <x:c r="A82" s="165" t="n">
        <x:v>78</x:v>
      </x:c>
      <x:c r="B82" s="166" t="n">
        <x:v>78</x:v>
      </x:c>
      <x:c r="C82" s="114" t="str">
        <x:v>4000000780</x:v>
      </x:c>
      <x:c r="D82" s="115" t="str">
        <x:v>sample-0078</x:v>
      </x:c>
      <x:c r="E82" s="115" t="str">
        <x:v>یسنا</x:v>
      </x:c>
      <x:c r="F82" s="115" t="str">
        <x:v>حیدری</x:v>
      </x:c>
      <x:c r="G82" s="115" t="str">
        <x:v>دختر</x:v>
      </x:c>
      <x:c r="H82" s="299" t="n">
        <x:v>41449</x:v>
      </x:c>
      <x:c r="I82" s="116" t="str">
        <x:v>sample-7-d</x:v>
      </x:c>
      <x:c r="J82" s="141" t="str">
        <x:f>IF(I82="","",IFERROR(INDEX('کلاس‌بندی'!$E$5:$E$34,MATCH(I82,'کلاس‌بندی'!$D$5:$D$34,0)),"کد کلاس نامعتبر"))</x:f>
        <x:v>کلاس نمونه هفتم د</x:v>
      </x:c>
      <x:c r="K82" s="178" t="str">
        <x:f>IF(I82="","",IFERROR(INDEX('کلاس‌بندی'!$F$5:$F$34,MATCH(I82,'کلاس‌بندی'!$D$5:$D$34,0)),""))</x:f>
        <x:v>پایه آزمایشی 7</x:v>
      </x:c>
      <x:c r="L82" s="142" t="str">
        <x:f>IF(COUNTA(C82:I82)=0,"",IF(AND(LEN(C82)=10,D82&lt;&gt;"",E82&lt;&gt;"",F82&lt;&gt;"",G82&lt;&gt;"",H82&lt;&gt;"",I82&lt;&gt;""),"کامل","ناقص"))</x:f>
        <x:v>کامل</x:v>
      </x:c>
    </x:row>
    <x:row r="83">
      <x:c r="A83" s="165" t="n">
        <x:v>79</x:v>
      </x:c>
      <x:c r="B83" s="166" t="n">
        <x:v>79</x:v>
      </x:c>
      <x:c r="C83" s="114" t="str">
        <x:v>4000000799</x:v>
      </x:c>
      <x:c r="D83" s="115" t="str">
        <x:v>sample-0079</x:v>
      </x:c>
      <x:c r="E83" s="115" t="str">
        <x:v>رضا</x:v>
      </x:c>
      <x:c r="F83" s="115" t="str">
        <x:v>صادقی</x:v>
      </x:c>
      <x:c r="G83" s="115" t="str">
        <x:v>پسر</x:v>
      </x:c>
      <x:c r="H83" s="299" t="n">
        <x:v>40749</x:v>
      </x:c>
      <x:c r="I83" s="116" t="str">
        <x:v>sample-7-d</x:v>
      </x:c>
      <x:c r="J83" s="141" t="str">
        <x:f>IF(I83="","",IFERROR(INDEX('کلاس‌بندی'!$E$5:$E$34,MATCH(I83,'کلاس‌بندی'!$D$5:$D$34,0)),"کد کلاس نامعتبر"))</x:f>
        <x:v>کلاس نمونه هفتم د</x:v>
      </x:c>
      <x:c r="K83" s="178" t="str">
        <x:f>IF(I83="","",IFERROR(INDEX('کلاس‌بندی'!$F$5:$F$34,MATCH(I83,'کلاس‌بندی'!$D$5:$D$34,0)),""))</x:f>
        <x:v>پایه آزمایشی 7</x:v>
      </x:c>
      <x:c r="L83" s="142" t="str">
        <x:f>IF(COUNTA(C83:I83)=0,"",IF(AND(LEN(C83)=10,D83&lt;&gt;"",E83&lt;&gt;"",F83&lt;&gt;"",G83&lt;&gt;"",H83&lt;&gt;"",I83&lt;&gt;""),"کامل","ناقص"))</x:f>
        <x:v>کامل</x:v>
      </x:c>
    </x:row>
    <x:row r="84">
      <x:c r="A84" s="165" t="n">
        <x:v>80</x:v>
      </x:c>
      <x:c r="B84" s="166" t="n">
        <x:v>80</x:v>
      </x:c>
      <x:c r="C84" s="114" t="str">
        <x:v>4000000802</x:v>
      </x:c>
      <x:c r="D84" s="115" t="str">
        <x:v>sample-0080</x:v>
      </x:c>
      <x:c r="E84" s="115" t="str">
        <x:v>آوا</x:v>
      </x:c>
      <x:c r="F84" s="115" t="str">
        <x:v>کاظمی</x:v>
      </x:c>
      <x:c r="G84" s="115" t="str">
        <x:v>دختر</x:v>
      </x:c>
      <x:c r="H84" s="299" t="n">
        <x:v>41147</x:v>
      </x:c>
      <x:c r="I84" s="116" t="str">
        <x:v>sample-7-d</x:v>
      </x:c>
      <x:c r="J84" s="141" t="str">
        <x:f>IF(I84="","",IFERROR(INDEX('کلاس‌بندی'!$E$5:$E$34,MATCH(I84,'کلاس‌بندی'!$D$5:$D$34,0)),"کد کلاس نامعتبر"))</x:f>
        <x:v>کلاس نمونه هفتم د</x:v>
      </x:c>
      <x:c r="K84" s="178" t="str">
        <x:f>IF(I84="","",IFERROR(INDEX('کلاس‌بندی'!$F$5:$F$34,MATCH(I84,'کلاس‌بندی'!$D$5:$D$34,0)),""))</x:f>
        <x:v>پایه آزمایشی 7</x:v>
      </x:c>
      <x:c r="L84" s="142" t="str">
        <x:f>IF(COUNTA(C84:I84)=0,"",IF(AND(LEN(C84)=10,D84&lt;&gt;"",E84&lt;&gt;"",F84&lt;&gt;"",G84&lt;&gt;"",H84&lt;&gt;"",I84&lt;&gt;""),"کامل","ناقص"))</x:f>
        <x:v>کامل</x:v>
      </x:c>
    </x:row>
    <x:row r="85">
      <x:c r="A85" s="165" t="n">
        <x:v>81</x:v>
      </x:c>
      <x:c r="B85" s="166" t="n">
        <x:v>81</x:v>
      </x:c>
      <x:c r="C85" s="114" t="str">
        <x:v>4000000810</x:v>
      </x:c>
      <x:c r="D85" s="115" t="str">
        <x:v>sample-0081</x:v>
      </x:c>
      <x:c r="E85" s="115" t="str">
        <x:v>علی</x:v>
      </x:c>
      <x:c r="F85" s="115" t="str">
        <x:v>احمدی</x:v>
      </x:c>
      <x:c r="G85" s="115" t="str">
        <x:v>پسر</x:v>
      </x:c>
      <x:c r="H85" s="299" t="n">
        <x:v>41544</x:v>
      </x:c>
      <x:c r="I85" s="116" t="str">
        <x:v>sample-7-d</x:v>
      </x:c>
      <x:c r="J85" s="141" t="str">
        <x:f>IF(I85="","",IFERROR(INDEX('کلاس‌بندی'!$E$5:$E$34,MATCH(I85,'کلاس‌بندی'!$D$5:$D$34,0)),"کد کلاس نامعتبر"))</x:f>
        <x:v>کلاس نمونه هفتم د</x:v>
      </x:c>
      <x:c r="K85" s="178" t="str">
        <x:f>IF(I85="","",IFERROR(INDEX('کلاس‌بندی'!$F$5:$F$34,MATCH(I85,'کلاس‌بندی'!$D$5:$D$34,0)),""))</x:f>
        <x:v>پایه آزمایشی 7</x:v>
      </x:c>
      <x:c r="L85" s="142" t="str">
        <x:f>IF(COUNTA(C85:I85)=0,"",IF(AND(LEN(C85)=10,D85&lt;&gt;"",E85&lt;&gt;"",F85&lt;&gt;"",G85&lt;&gt;"",H85&lt;&gt;"",I85&lt;&gt;""),"کامل","ناقص"))</x:f>
        <x:v>کامل</x:v>
      </x:c>
    </x:row>
    <x:row r="86">
      <x:c r="A86" s="165" t="n">
        <x:v>82</x:v>
      </x:c>
      <x:c r="B86" s="166" t="n">
        <x:v>82</x:v>
      </x:c>
      <x:c r="C86" s="114" t="str">
        <x:v>4000000829</x:v>
      </x:c>
      <x:c r="D86" s="115" t="str">
        <x:v>sample-0082</x:v>
      </x:c>
      <x:c r="E86" s="115" t="str">
        <x:v>فاطمه</x:v>
      </x:c>
      <x:c r="F86" s="115" t="str">
        <x:v>اکبری</x:v>
      </x:c>
      <x:c r="G86" s="115" t="str">
        <x:v>دختر</x:v>
      </x:c>
      <x:c r="H86" s="299" t="n">
        <x:v>40817</x:v>
      </x:c>
      <x:c r="I86" s="116" t="str">
        <x:v>sample-7-d</x:v>
      </x:c>
      <x:c r="J86" s="141" t="str">
        <x:f>IF(I86="","",IFERROR(INDEX('کلاس‌بندی'!$E$5:$E$34,MATCH(I86,'کلاس‌بندی'!$D$5:$D$34,0)),"کد کلاس نامعتبر"))</x:f>
        <x:v>کلاس نمونه هفتم د</x:v>
      </x:c>
      <x:c r="K86" s="178" t="str">
        <x:f>IF(I86="","",IFERROR(INDEX('کلاس‌بندی'!$F$5:$F$34,MATCH(I86,'کلاس‌بندی'!$D$5:$D$34,0)),""))</x:f>
        <x:v>پایه آزمایشی 7</x:v>
      </x:c>
      <x:c r="L86" s="142" t="str">
        <x:f>IF(COUNTA(C86:I86)=0,"",IF(AND(LEN(C86)=10,D86&lt;&gt;"",E86&lt;&gt;"",F86&lt;&gt;"",G86&lt;&gt;"",H86&lt;&gt;"",I86&lt;&gt;""),"کامل","ناقص"))</x:f>
        <x:v>کامل</x:v>
      </x:c>
    </x:row>
    <x:row r="87">
      <x:c r="A87" s="165" t="n">
        <x:v>83</x:v>
      </x:c>
      <x:c r="B87" s="166" t="n">
        <x:v>83</x:v>
      </x:c>
      <x:c r="C87" s="114" t="str">
        <x:v>4000000837</x:v>
      </x:c>
      <x:c r="D87" s="115" t="str">
        <x:v>sample-0083</x:v>
      </x:c>
      <x:c r="E87" s="115" t="str">
        <x:v>امیرحسین</x:v>
      </x:c>
      <x:c r="F87" s="115" t="str">
        <x:v>طاهری</x:v>
      </x:c>
      <x:c r="G87" s="115" t="str">
        <x:v>پسر</x:v>
      </x:c>
      <x:c r="H87" s="299" t="n">
        <x:v>41215</x:v>
      </x:c>
      <x:c r="I87" s="116" t="str">
        <x:v>sample-7-d</x:v>
      </x:c>
      <x:c r="J87" s="141" t="str">
        <x:f>IF(I87="","",IFERROR(INDEX('کلاس‌بندی'!$E$5:$E$34,MATCH(I87,'کلاس‌بندی'!$D$5:$D$34,0)),"کد کلاس نامعتبر"))</x:f>
        <x:v>کلاس نمونه هفتم د</x:v>
      </x:c>
      <x:c r="K87" s="178" t="str">
        <x:f>IF(I87="","",IFERROR(INDEX('کلاس‌بندی'!$F$5:$F$34,MATCH(I87,'کلاس‌بندی'!$D$5:$D$34,0)),""))</x:f>
        <x:v>پایه آزمایشی 7</x:v>
      </x:c>
      <x:c r="L87" s="142" t="str">
        <x:f>IF(COUNTA(C87:I87)=0,"",IF(AND(LEN(C87)=10,D87&lt;&gt;"",E87&lt;&gt;"",F87&lt;&gt;"",G87&lt;&gt;"",H87&lt;&gt;"",I87&lt;&gt;""),"کامل","ناقص"))</x:f>
        <x:v>کامل</x:v>
      </x:c>
    </x:row>
    <x:row r="88">
      <x:c r="A88" s="165" t="n">
        <x:v>84</x:v>
      </x:c>
      <x:c r="B88" s="166" t="n">
        <x:v>84</x:v>
      </x:c>
      <x:c r="C88" s="114" t="str">
        <x:v>4000000845</x:v>
      </x:c>
      <x:c r="D88" s="115" t="str">
        <x:v>sample-0084</x:v>
      </x:c>
      <x:c r="E88" s="115" t="str">
        <x:v>زهرا</x:v>
      </x:c>
      <x:c r="F88" s="115" t="str">
        <x:v>محمدی</x:v>
      </x:c>
      <x:c r="G88" s="115" t="str">
        <x:v>دختر</x:v>
      </x:c>
      <x:c r="H88" s="299" t="n">
        <x:v>41611</x:v>
      </x:c>
      <x:c r="I88" s="116" t="str">
        <x:v>sample-7-d</x:v>
      </x:c>
      <x:c r="J88" s="141" t="str">
        <x:f>IF(I88="","",IFERROR(INDEX('کلاس‌بندی'!$E$5:$E$34,MATCH(I88,'کلاس‌بندی'!$D$5:$D$34,0)),"کد کلاس نامعتبر"))</x:f>
        <x:v>کلاس نمونه هفتم د</x:v>
      </x:c>
      <x:c r="K88" s="178" t="str">
        <x:f>IF(I88="","",IFERROR(INDEX('کلاس‌بندی'!$F$5:$F$34,MATCH(I88,'کلاس‌بندی'!$D$5:$D$34,0)),""))</x:f>
        <x:v>پایه آزمایشی 7</x:v>
      </x:c>
      <x:c r="L88" s="142" t="str">
        <x:f>IF(COUNTA(C88:I88)=0,"",IF(AND(LEN(C88)=10,D88&lt;&gt;"",E88&lt;&gt;"",F88&lt;&gt;"",G88&lt;&gt;"",H88&lt;&gt;"",I88&lt;&gt;""),"کامل","ناقص"))</x:f>
        <x:v>کامل</x:v>
      </x:c>
    </x:row>
    <x:row r="89">
      <x:c r="A89" s="165" t="n">
        <x:v>85</x:v>
      </x:c>
      <x:c r="B89" s="166" t="n">
        <x:v>85</x:v>
      </x:c>
      <x:c r="C89" s="114" t="str">
        <x:v>4000000853</x:v>
      </x:c>
      <x:c r="D89" s="115" t="str">
        <x:v>sample-0085</x:v>
      </x:c>
      <x:c r="E89" s="115" t="str">
        <x:v>محمد</x:v>
      </x:c>
      <x:c r="F89" s="115" t="str">
        <x:v>قاسمی</x:v>
      </x:c>
      <x:c r="G89" s="115" t="str">
        <x:v>پسر</x:v>
      </x:c>
      <x:c r="H89" s="299" t="n">
        <x:v>40547</x:v>
      </x:c>
      <x:c r="I89" s="116" t="str">
        <x:v>sample-7-d</x:v>
      </x:c>
      <x:c r="J89" s="141" t="str">
        <x:f>IF(I89="","",IFERROR(INDEX('کلاس‌بندی'!$E$5:$E$34,MATCH(I89,'کلاس‌بندی'!$D$5:$D$34,0)),"کد کلاس نامعتبر"))</x:f>
        <x:v>کلاس نمونه هفتم د</x:v>
      </x:c>
      <x:c r="K89" s="178" t="str">
        <x:f>IF(I89="","",IFERROR(INDEX('کلاس‌بندی'!$F$5:$F$34,MATCH(I89,'کلاس‌بندی'!$D$5:$D$34,0)),""))</x:f>
        <x:v>پایه آزمایشی 7</x:v>
      </x:c>
      <x:c r="L89" s="142" t="str">
        <x:f>IF(COUNTA(C89:I89)=0,"",IF(AND(LEN(C89)=10,D89&lt;&gt;"",E89&lt;&gt;"",F89&lt;&gt;"",G89&lt;&gt;"",H89&lt;&gt;"",I89&lt;&gt;""),"کامل","ناقص"))</x:f>
        <x:v>کامل</x:v>
      </x:c>
    </x:row>
    <x:row r="90">
      <x:c r="A90" s="165" t="n">
        <x:v>86</x:v>
      </x:c>
      <x:c r="B90" s="166" t="n">
        <x:v>86</x:v>
      </x:c>
      <x:c r="C90" s="114" t="str">
        <x:v>4000000861</x:v>
      </x:c>
      <x:c r="D90" s="115" t="str">
        <x:v>sample-0086</x:v>
      </x:c>
      <x:c r="E90" s="115" t="str">
        <x:v>سارا</x:v>
      </x:c>
      <x:c r="F90" s="115" t="str">
        <x:v>خلیلی</x:v>
      </x:c>
      <x:c r="G90" s="115" t="str">
        <x:v>دختر</x:v>
      </x:c>
      <x:c r="H90" s="299" t="n">
        <x:v>40944</x:v>
      </x:c>
      <x:c r="I90" s="116" t="str">
        <x:v>sample-7-d</x:v>
      </x:c>
      <x:c r="J90" s="141" t="str">
        <x:f>IF(I90="","",IFERROR(INDEX('کلاس‌بندی'!$E$5:$E$34,MATCH(I90,'کلاس‌بندی'!$D$5:$D$34,0)),"کد کلاس نامعتبر"))</x:f>
        <x:v>کلاس نمونه هفتم د</x:v>
      </x:c>
      <x:c r="K90" s="178" t="str">
        <x:f>IF(I90="","",IFERROR(INDEX('کلاس‌بندی'!$F$5:$F$34,MATCH(I90,'کلاس‌بندی'!$D$5:$D$34,0)),""))</x:f>
        <x:v>پایه آزمایشی 7</x:v>
      </x:c>
      <x:c r="L90" s="142" t="str">
        <x:f>IF(COUNTA(C90:I90)=0,"",IF(AND(LEN(C90)=10,D90&lt;&gt;"",E90&lt;&gt;"",F90&lt;&gt;"",G90&lt;&gt;"",H90&lt;&gt;"",I90&lt;&gt;""),"کامل","ناقص"))</x:f>
        <x:v>کامل</x:v>
      </x:c>
    </x:row>
    <x:row r="91">
      <x:c r="A91" s="165" t="n">
        <x:v>87</x:v>
      </x:c>
      <x:c r="B91" s="166" t="n">
        <x:v>87</x:v>
      </x:c>
      <x:c r="C91" s="114" t="str">
        <x:v>4000000871</x:v>
      </x:c>
      <x:c r="D91" s="115" t="str">
        <x:v>sample-0087</x:v>
      </x:c>
      <x:c r="E91" s="115" t="str">
        <x:v>آراد</x:v>
      </x:c>
      <x:c r="F91" s="115" t="str">
        <x:v>حسینی</x:v>
      </x:c>
      <x:c r="G91" s="115" t="str">
        <x:v>پسر</x:v>
      </x:c>
      <x:c r="H91" s="299" t="n">
        <x:v>41339</x:v>
      </x:c>
      <x:c r="I91" s="116" t="str">
        <x:v>sample-7-d</x:v>
      </x:c>
      <x:c r="J91" s="141" t="str">
        <x:f>IF(I91="","",IFERROR(INDEX('کلاس‌بندی'!$E$5:$E$34,MATCH(I91,'کلاس‌بندی'!$D$5:$D$34,0)),"کد کلاس نامعتبر"))</x:f>
        <x:v>کلاس نمونه هفتم د</x:v>
      </x:c>
      <x:c r="K91" s="178" t="str">
        <x:f>IF(I91="","",IFERROR(INDEX('کلاس‌بندی'!$F$5:$F$34,MATCH(I91,'کلاس‌بندی'!$D$5:$D$34,0)),""))</x:f>
        <x:v>پایه آزمایشی 7</x:v>
      </x:c>
      <x:c r="L91" s="142" t="str">
        <x:f>IF(COUNTA(C91:I91)=0,"",IF(AND(LEN(C91)=10,D91&lt;&gt;"",E91&lt;&gt;"",F91&lt;&gt;"",G91&lt;&gt;"",H91&lt;&gt;"",I91&lt;&gt;""),"کامل","ناقص"))</x:f>
        <x:v>کامل</x:v>
      </x:c>
    </x:row>
    <x:row r="92">
      <x:c r="A92" s="165" t="n">
        <x:v>88</x:v>
      </x:c>
      <x:c r="B92" s="166" t="n">
        <x:v>88</x:v>
      </x:c>
      <x:c r="C92" s="114" t="str">
        <x:v>4000000888</x:v>
      </x:c>
      <x:c r="D92" s="115" t="str">
        <x:v>sample-0088</x:v>
      </x:c>
      <x:c r="E92" s="115" t="str">
        <x:v>نگار</x:v>
      </x:c>
      <x:c r="F92" s="115" t="str">
        <x:v>جعفری</x:v>
      </x:c>
      <x:c r="G92" s="115" t="str">
        <x:v>دختر</x:v>
      </x:c>
      <x:c r="H92" s="299" t="n">
        <x:v>40640</x:v>
      </x:c>
      <x:c r="I92" s="116" t="str">
        <x:v>sample-7-d</x:v>
      </x:c>
      <x:c r="J92" s="141" t="str">
        <x:f>IF(I92="","",IFERROR(INDEX('کلاس‌بندی'!$E$5:$E$34,MATCH(I92,'کلاس‌بندی'!$D$5:$D$34,0)),"کد کلاس نامعتبر"))</x:f>
        <x:v>کلاس نمونه هفتم د</x:v>
      </x:c>
      <x:c r="K92" s="178" t="str">
        <x:f>IF(I92="","",IFERROR(INDEX('کلاس‌بندی'!$F$5:$F$34,MATCH(I92,'کلاس‌بندی'!$D$5:$D$34,0)),""))</x:f>
        <x:v>پایه آزمایشی 7</x:v>
      </x:c>
      <x:c r="L92" s="142" t="str">
        <x:f>IF(COUNTA(C92:I92)=0,"",IF(AND(LEN(C92)=10,D92&lt;&gt;"",E92&lt;&gt;"",F92&lt;&gt;"",G92&lt;&gt;"",H92&lt;&gt;"",I92&lt;&gt;""),"کامل","ناقص"))</x:f>
        <x:v>کامل</x:v>
      </x:c>
    </x:row>
    <x:row r="93">
      <x:c r="A93" s="165" t="n">
        <x:v>89</x:v>
      </x:c>
      <x:c r="B93" s="166" t="n">
        <x:v>89</x:v>
      </x:c>
      <x:c r="C93" s="114" t="str">
        <x:v>4000000896</x:v>
      </x:c>
      <x:c r="D93" s="115" t="str">
        <x:v>sample-0089</x:v>
      </x:c>
      <x:c r="E93" s="115" t="str">
        <x:v>سام</x:v>
      </x:c>
      <x:c r="F93" s="115" t="str">
        <x:v>امینی</x:v>
      </x:c>
      <x:c r="G93" s="115" t="str">
        <x:v>پسر</x:v>
      </x:c>
      <x:c r="H93" s="299" t="n">
        <x:v>41037</x:v>
      </x:c>
      <x:c r="I93" s="116" t="str">
        <x:v>sample-7-d</x:v>
      </x:c>
      <x:c r="J93" s="141" t="str">
        <x:f>IF(I93="","",IFERROR(INDEX('کلاس‌بندی'!$E$5:$E$34,MATCH(I93,'کلاس‌بندی'!$D$5:$D$34,0)),"کد کلاس نامعتبر"))</x:f>
        <x:v>کلاس نمونه هفتم د</x:v>
      </x:c>
      <x:c r="K93" s="178" t="str">
        <x:f>IF(I93="","",IFERROR(INDEX('کلاس‌بندی'!$F$5:$F$34,MATCH(I93,'کلاس‌بندی'!$D$5:$D$34,0)),""))</x:f>
        <x:v>پایه آزمایشی 7</x:v>
      </x:c>
      <x:c r="L93" s="142" t="str">
        <x:f>IF(COUNTA(C93:I93)=0,"",IF(AND(LEN(C93)=10,D93&lt;&gt;"",E93&lt;&gt;"",F93&lt;&gt;"",G93&lt;&gt;"",H93&lt;&gt;"",I93&lt;&gt;""),"کامل","ناقص"))</x:f>
        <x:v>کامل</x:v>
      </x:c>
    </x:row>
    <x:row r="94">
      <x:c r="A94" s="165" t="n">
        <x:v>90</x:v>
      </x:c>
      <x:c r="B94" s="166" t="n">
        <x:v>90</x:v>
      </x:c>
      <x:c r="C94" s="114" t="str">
        <x:v>4000000901</x:v>
      </x:c>
      <x:c r="D94" s="115" t="str">
        <x:v>sample-0090</x:v>
      </x:c>
      <x:c r="E94" s="115" t="str">
        <x:v>هلیا</x:v>
      </x:c>
      <x:c r="F94" s="115" t="str">
        <x:v>کریمی</x:v>
      </x:c>
      <x:c r="G94" s="115" t="str">
        <x:v>دختر</x:v>
      </x:c>
      <x:c r="H94" s="299" t="n">
        <x:v>41434</x:v>
      </x:c>
      <x:c r="I94" s="116" t="str">
        <x:v>sample-7-d</x:v>
      </x:c>
      <x:c r="J94" s="141" t="str">
        <x:f>IF(I94="","",IFERROR(INDEX('کلاس‌بندی'!$E$5:$E$34,MATCH(I94,'کلاس‌بندی'!$D$5:$D$34,0)),"کد کلاس نامعتبر"))</x:f>
        <x:v>کلاس نمونه هفتم د</x:v>
      </x:c>
      <x:c r="K94" s="178" t="str">
        <x:f>IF(I94="","",IFERROR(INDEX('کلاس‌بندی'!$F$5:$F$34,MATCH(I94,'کلاس‌بندی'!$D$5:$D$34,0)),""))</x:f>
        <x:v>پایه آزمایشی 7</x:v>
      </x:c>
      <x:c r="L94" s="142" t="str">
        <x:f>IF(COUNTA(C94:I94)=0,"",IF(AND(LEN(C94)=10,D94&lt;&gt;"",E94&lt;&gt;"",F94&lt;&gt;"",G94&lt;&gt;"",H94&lt;&gt;"",I94&lt;&gt;""),"کامل","ناقص"))</x:f>
        <x:v>کامل</x:v>
      </x:c>
    </x:row>
    <x:row r="95">
      <x:c r="A95" s="165" t="n">
        <x:v>91</x:v>
      </x:c>
      <x:c r="B95" s="166" t="n">
        <x:v>91</x:v>
      </x:c>
      <x:c r="C95" s="114" t="str">
        <x:v>4000000918</x:v>
      </x:c>
      <x:c r="D95" s="115" t="str">
        <x:v>sample-0091</x:v>
      </x:c>
      <x:c r="E95" s="115" t="str">
        <x:v>پارسا</x:v>
      </x:c>
      <x:c r="F95" s="115" t="str">
        <x:v>موسوی</x:v>
      </x:c>
      <x:c r="G95" s="115" t="str">
        <x:v>پسر</x:v>
      </x:c>
      <x:c r="H95" s="299" t="n">
        <x:v>40734</x:v>
      </x:c>
      <x:c r="I95" s="116" t="str">
        <x:v>sample-7-d</x:v>
      </x:c>
      <x:c r="J95" s="141" t="str">
        <x:f>IF(I95="","",IFERROR(INDEX('کلاس‌بندی'!$E$5:$E$34,MATCH(I95,'کلاس‌بندی'!$D$5:$D$34,0)),"کد کلاس نامعتبر"))</x:f>
        <x:v>کلاس نمونه هفتم د</x:v>
      </x:c>
      <x:c r="K95" s="178" t="str">
        <x:f>IF(I95="","",IFERROR(INDEX('کلاس‌بندی'!$F$5:$F$34,MATCH(I95,'کلاس‌بندی'!$D$5:$D$34,0)),""))</x:f>
        <x:v>پایه آزمایشی 7</x:v>
      </x:c>
      <x:c r="L95" s="142" t="str">
        <x:f>IF(COUNTA(C95:I95)=0,"",IF(AND(LEN(C95)=10,D95&lt;&gt;"",E95&lt;&gt;"",F95&lt;&gt;"",G95&lt;&gt;"",H95&lt;&gt;"",I95&lt;&gt;""),"کامل","ناقص"))</x:f>
        <x:v>کامل</x:v>
      </x:c>
    </x:row>
    <x:row r="96">
      <x:c r="A96" s="165" t="n">
        <x:v>92</x:v>
      </x:c>
      <x:c r="B96" s="166" t="n">
        <x:v>92</x:v>
      </x:c>
      <x:c r="C96" s="114" t="str">
        <x:v>4000000926</x:v>
      </x:c>
      <x:c r="D96" s="115" t="str">
        <x:v>sample-0092</x:v>
      </x:c>
      <x:c r="E96" s="115" t="str">
        <x:v>رها</x:v>
      </x:c>
      <x:c r="F96" s="115" t="str">
        <x:v>یوسفی</x:v>
      </x:c>
      <x:c r="G96" s="115" t="str">
        <x:v>دختر</x:v>
      </x:c>
      <x:c r="H96" s="299" t="n">
        <x:v>41132</x:v>
      </x:c>
      <x:c r="I96" s="116" t="str">
        <x:v>sample-7-d</x:v>
      </x:c>
      <x:c r="J96" s="141" t="str">
        <x:f>IF(I96="","",IFERROR(INDEX('کلاس‌بندی'!$E$5:$E$34,MATCH(I96,'کلاس‌بندی'!$D$5:$D$34,0)),"کد کلاس نامعتبر"))</x:f>
        <x:v>کلاس نمونه هفتم د</x:v>
      </x:c>
      <x:c r="K96" s="178" t="str">
        <x:f>IF(I96="","",IFERROR(INDEX('کلاس‌بندی'!$F$5:$F$34,MATCH(I96,'کلاس‌بندی'!$D$5:$D$34,0)),""))</x:f>
        <x:v>پایه آزمایشی 7</x:v>
      </x:c>
      <x:c r="L96" s="142" t="str">
        <x:f>IF(COUNTA(C96:I96)=0,"",IF(AND(LEN(C96)=10,D96&lt;&gt;"",E96&lt;&gt;"",F96&lt;&gt;"",G96&lt;&gt;"",H96&lt;&gt;"",I96&lt;&gt;""),"کامل","ناقص"))</x:f>
        <x:v>کامل</x:v>
      </x:c>
    </x:row>
    <x:row r="97">
      <x:c r="A97" s="165" t="n">
        <x:v>93</x:v>
      </x:c>
      <x:c r="B97" s="166" t="n">
        <x:v>93</x:v>
      </x:c>
      <x:c r="C97" s="114" t="str">
        <x:v>4000000934</x:v>
      </x:c>
      <x:c r="D97" s="115" t="str">
        <x:v>sample-0093</x:v>
      </x:c>
      <x:c r="E97" s="115" t="str">
        <x:v>طاها</x:v>
      </x:c>
      <x:c r="F97" s="115" t="str">
        <x:v>رضایی</x:v>
      </x:c>
      <x:c r="G97" s="115" t="str">
        <x:v>پسر</x:v>
      </x:c>
      <x:c r="H97" s="299" t="n">
        <x:v>41529</x:v>
      </x:c>
      <x:c r="I97" s="116" t="str">
        <x:v>sample-7-d</x:v>
      </x:c>
      <x:c r="J97" s="141" t="str">
        <x:f>IF(I97="","",IFERROR(INDEX('کلاس‌بندی'!$E$5:$E$34,MATCH(I97,'کلاس‌بندی'!$D$5:$D$34,0)),"کد کلاس نامعتبر"))</x:f>
        <x:v>کلاس نمونه هفتم د</x:v>
      </x:c>
      <x:c r="K97" s="178" t="str">
        <x:f>IF(I97="","",IFERROR(INDEX('کلاس‌بندی'!$F$5:$F$34,MATCH(I97,'کلاس‌بندی'!$D$5:$D$34,0)),""))</x:f>
        <x:v>پایه آزمایشی 7</x:v>
      </x:c>
      <x:c r="L97" s="142" t="str">
        <x:f>IF(COUNTA(C97:I97)=0,"",IF(AND(LEN(C97)=10,D97&lt;&gt;"",E97&lt;&gt;"",F97&lt;&gt;"",G97&lt;&gt;"",H97&lt;&gt;"",I97&lt;&gt;""),"کامل","ناقص"))</x:f>
        <x:v>کامل</x:v>
      </x:c>
    </x:row>
    <x:row r="98">
      <x:c r="A98" s="165" t="n">
        <x:v>94</x:v>
      </x:c>
      <x:c r="B98" s="166" t="n">
        <x:v>94</x:v>
      </x:c>
      <x:c r="C98" s="114" t="str">
        <x:v>4000000942</x:v>
      </x:c>
      <x:c r="D98" s="115" t="str">
        <x:v>sample-0094</x:v>
      </x:c>
      <x:c r="E98" s="115" t="str">
        <x:v>باران</x:v>
      </x:c>
      <x:c r="F98" s="115" t="str">
        <x:v>نوری</x:v>
      </x:c>
      <x:c r="G98" s="115" t="str">
        <x:v>دختر</x:v>
      </x:c>
      <x:c r="H98" s="299" t="n">
        <x:v>40829</x:v>
      </x:c>
      <x:c r="I98" s="116" t="str">
        <x:v>sample-7-d</x:v>
      </x:c>
      <x:c r="J98" s="141" t="str">
        <x:f>IF(I98="","",IFERROR(INDEX('کلاس‌بندی'!$E$5:$E$34,MATCH(I98,'کلاس‌بندی'!$D$5:$D$34,0)),"کد کلاس نامعتبر"))</x:f>
        <x:v>کلاس نمونه هفتم د</x:v>
      </x:c>
      <x:c r="K98" s="178" t="str">
        <x:f>IF(I98="","",IFERROR(INDEX('کلاس‌بندی'!$F$5:$F$34,MATCH(I98,'کلاس‌بندی'!$D$5:$D$34,0)),""))</x:f>
        <x:v>پایه آزمایشی 7</x:v>
      </x:c>
      <x:c r="L98" s="142" t="str">
        <x:f>IF(COUNTA(C98:I98)=0,"",IF(AND(LEN(C98)=10,D98&lt;&gt;"",E98&lt;&gt;"",F98&lt;&gt;"",G98&lt;&gt;"",H98&lt;&gt;"",I98&lt;&gt;""),"کامل","ناقص"))</x:f>
        <x:v>کامل</x:v>
      </x:c>
    </x:row>
    <x:row r="99">
      <x:c r="A99" s="165" t="n">
        <x:v>95</x:v>
      </x:c>
      <x:c r="B99" s="166" t="n">
        <x:v>95</x:v>
      </x:c>
      <x:c r="C99" s="114" t="str">
        <x:v>4000000950</x:v>
      </x:c>
      <x:c r="D99" s="115" t="str">
        <x:v>sample-0095</x:v>
      </x:c>
      <x:c r="E99" s="115" t="str">
        <x:v>ماهان</x:v>
      </x:c>
      <x:c r="F99" s="115" t="str">
        <x:v>سلیمانی</x:v>
      </x:c>
      <x:c r="G99" s="115" t="str">
        <x:v>پسر</x:v>
      </x:c>
      <x:c r="H99" s="299" t="n">
        <x:v>41227</x:v>
      </x:c>
      <x:c r="I99" s="116" t="str">
        <x:v>sample-7-d</x:v>
      </x:c>
      <x:c r="J99" s="141" t="str">
        <x:f>IF(I99="","",IFERROR(INDEX('کلاس‌بندی'!$E$5:$E$34,MATCH(I99,'کلاس‌بندی'!$D$5:$D$34,0)),"کد کلاس نامعتبر"))</x:f>
        <x:v>کلاس نمونه هفتم د</x:v>
      </x:c>
      <x:c r="K99" s="178" t="str">
        <x:f>IF(I99="","",IFERROR(INDEX('کلاس‌بندی'!$F$5:$F$34,MATCH(I99,'کلاس‌بندی'!$D$5:$D$34,0)),""))</x:f>
        <x:v>پایه آزمایشی 7</x:v>
      </x:c>
      <x:c r="L99" s="142" t="str">
        <x:f>IF(COUNTA(C99:I99)=0,"",IF(AND(LEN(C99)=10,D99&lt;&gt;"",E99&lt;&gt;"",F99&lt;&gt;"",G99&lt;&gt;"",H99&lt;&gt;"",I99&lt;&gt;""),"کامل","ناقص"))</x:f>
        <x:v>کامل</x:v>
      </x:c>
    </x:row>
    <x:row r="100">
      <x:c r="A100" s="165" t="n">
        <x:v>96</x:v>
      </x:c>
      <x:c r="B100" s="166" t="n">
        <x:v>96</x:v>
      </x:c>
      <x:c r="C100" s="114" t="str">
        <x:v>4000000969</x:v>
      </x:c>
      <x:c r="D100" s="115" t="str">
        <x:v>sample-0096</x:v>
      </x:c>
      <x:c r="E100" s="115" t="str">
        <x:v>نازنین</x:v>
      </x:c>
      <x:c r="F100" s="115" t="str">
        <x:v>مرادی</x:v>
      </x:c>
      <x:c r="G100" s="115" t="str">
        <x:v>دختر</x:v>
      </x:c>
      <x:c r="H100" s="299" t="n">
        <x:v>41623</x:v>
      </x:c>
      <x:c r="I100" s="116" t="str">
        <x:v>sample-7-d</x:v>
      </x:c>
      <x:c r="J100" s="141" t="str">
        <x:f>IF(I100="","",IFERROR(INDEX('کلاس‌بندی'!$E$5:$E$34,MATCH(I100,'کلاس‌بندی'!$D$5:$D$34,0)),"کد کلاس نامعتبر"))</x:f>
        <x:v>کلاس نمونه هفتم د</x:v>
      </x:c>
      <x:c r="K100" s="178" t="str">
        <x:f>IF(I100="","",IFERROR(INDEX('کلاس‌بندی'!$F$5:$F$34,MATCH(I100,'کلاس‌بندی'!$D$5:$D$34,0)),""))</x:f>
        <x:v>پایه آزمایشی 7</x:v>
      </x:c>
      <x:c r="L100" s="142" t="str">
        <x:f>IF(COUNTA(C100:I100)=0,"",IF(AND(LEN(C100)=10,D100&lt;&gt;"",E100&lt;&gt;"",F100&lt;&gt;"",G100&lt;&gt;"",H100&lt;&gt;"",I100&lt;&gt;""),"کامل","ناقص"))</x:f>
        <x:v>کامل</x:v>
      </x:c>
    </x:row>
    <x:row r="101">
      <x:c r="A101" s="165" t="n">
        <x:v>97</x:v>
      </x:c>
      <x:c r="B101" s="166" t="n">
        <x:v>97</x:v>
      </x:c>
      <x:c r="C101" s="114" t="str">
        <x:v>4000000977</x:v>
      </x:c>
      <x:c r="D101" s="115" t="str">
        <x:v>sample-0097</x:v>
      </x:c>
      <x:c r="E101" s="115" t="str">
        <x:v>سینا</x:v>
      </x:c>
      <x:c r="F101" s="115" t="str">
        <x:v>رحیمی</x:v>
      </x:c>
      <x:c r="G101" s="115" t="str">
        <x:v>پسر</x:v>
      </x:c>
      <x:c r="H101" s="299" t="n">
        <x:v>40559</x:v>
      </x:c>
      <x:c r="I101" s="116" t="str">
        <x:v>sample-7-d</x:v>
      </x:c>
      <x:c r="J101" s="141" t="str">
        <x:f>IF(I101="","",IFERROR(INDEX('کلاس‌بندی'!$E$5:$E$34,MATCH(I101,'کلاس‌بندی'!$D$5:$D$34,0)),"کد کلاس نامعتبر"))</x:f>
        <x:v>کلاس نمونه هفتم د</x:v>
      </x:c>
      <x:c r="K101" s="178" t="str">
        <x:f>IF(I101="","",IFERROR(INDEX('کلاس‌بندی'!$F$5:$F$34,MATCH(I101,'کلاس‌بندی'!$D$5:$D$34,0)),""))</x:f>
        <x:v>پایه آزمایشی 7</x:v>
      </x:c>
      <x:c r="L101" s="142" t="str">
        <x:f>IF(COUNTA(C101:I101)=0,"",IF(AND(LEN(C101)=10,D101&lt;&gt;"",E101&lt;&gt;"",F101&lt;&gt;"",G101&lt;&gt;"",H101&lt;&gt;"",I101&lt;&gt;""),"کامل","ناقص"))</x:f>
        <x:v>کامل</x:v>
      </x:c>
    </x:row>
    <x:row r="102">
      <x:c r="A102" s="165" t="n">
        <x:v>98</x:v>
      </x:c>
      <x:c r="B102" s="166" t="n">
        <x:v>98</x:v>
      </x:c>
      <x:c r="C102" s="114" t="str">
        <x:v>4000000985</x:v>
      </x:c>
      <x:c r="D102" s="115" t="str">
        <x:v>sample-0098</x:v>
      </x:c>
      <x:c r="E102" s="115" t="str">
        <x:v>یسنا</x:v>
      </x:c>
      <x:c r="F102" s="115" t="str">
        <x:v>حیدری</x:v>
      </x:c>
      <x:c r="G102" s="115" t="str">
        <x:v>دختر</x:v>
      </x:c>
      <x:c r="H102" s="299" t="n">
        <x:v>40956</x:v>
      </x:c>
      <x:c r="I102" s="116" t="str">
        <x:v>sample-7-d</x:v>
      </x:c>
      <x:c r="J102" s="141" t="str">
        <x:f>IF(I102="","",IFERROR(INDEX('کلاس‌بندی'!$E$5:$E$34,MATCH(I102,'کلاس‌بندی'!$D$5:$D$34,0)),"کد کلاس نامعتبر"))</x:f>
        <x:v>کلاس نمونه هفتم د</x:v>
      </x:c>
      <x:c r="K102" s="178" t="str">
        <x:f>IF(I102="","",IFERROR(INDEX('کلاس‌بندی'!$F$5:$F$34,MATCH(I102,'کلاس‌بندی'!$D$5:$D$34,0)),""))</x:f>
        <x:v>پایه آزمایشی 7</x:v>
      </x:c>
      <x:c r="L102" s="142" t="str">
        <x:f>IF(COUNTA(C102:I102)=0,"",IF(AND(LEN(C102)=10,D102&lt;&gt;"",E102&lt;&gt;"",F102&lt;&gt;"",G102&lt;&gt;"",H102&lt;&gt;"",I102&lt;&gt;""),"کامل","ناقص"))</x:f>
        <x:v>کامل</x:v>
      </x:c>
    </x:row>
    <x:row r="103">
      <x:c r="A103" s="165" t="n">
        <x:v>99</x:v>
      </x:c>
      <x:c r="B103" s="166" t="n">
        <x:v>99</x:v>
      </x:c>
      <x:c r="C103" s="114" t="str">
        <x:v>4000000993</x:v>
      </x:c>
      <x:c r="D103" s="115" t="str">
        <x:v>sample-0099</x:v>
      </x:c>
      <x:c r="E103" s="115" t="str">
        <x:v>رضا</x:v>
      </x:c>
      <x:c r="F103" s="115" t="str">
        <x:v>صادقی</x:v>
      </x:c>
      <x:c r="G103" s="115" t="str">
        <x:v>پسر</x:v>
      </x:c>
      <x:c r="H103" s="299" t="n">
        <x:v>41351</x:v>
      </x:c>
      <x:c r="I103" s="116" t="str">
        <x:v>sample-7-d</x:v>
      </x:c>
      <x:c r="J103" s="141" t="str">
        <x:f>IF(I103="","",IFERROR(INDEX('کلاس‌بندی'!$E$5:$E$34,MATCH(I103,'کلاس‌بندی'!$D$5:$D$34,0)),"کد کلاس نامعتبر"))</x:f>
        <x:v>کلاس نمونه هفتم د</x:v>
      </x:c>
      <x:c r="K103" s="178" t="str">
        <x:f>IF(I103="","",IFERROR(INDEX('کلاس‌بندی'!$F$5:$F$34,MATCH(I103,'کلاس‌بندی'!$D$5:$D$34,0)),""))</x:f>
        <x:v>پایه آزمایشی 7</x:v>
      </x:c>
      <x:c r="L103" s="142" t="str">
        <x:f>IF(COUNTA(C103:I103)=0,"",IF(AND(LEN(C103)=10,D103&lt;&gt;"",E103&lt;&gt;"",F103&lt;&gt;"",G103&lt;&gt;"",H103&lt;&gt;"",I103&lt;&gt;""),"کامل","ناقص"))</x:f>
        <x:v>کامل</x:v>
      </x:c>
    </x:row>
    <x:row r="104">
      <x:c r="A104" s="167" t="n">
        <x:v>100</x:v>
      </x:c>
      <x:c r="B104" s="168" t="n">
        <x:v>100</x:v>
      </x:c>
      <x:c r="C104" s="117" t="str">
        <x:v>4000001000</x:v>
      </x:c>
      <x:c r="D104" s="118" t="str">
        <x:v>sample-0100</x:v>
      </x:c>
      <x:c r="E104" s="118" t="str">
        <x:v>آوا</x:v>
      </x:c>
      <x:c r="F104" s="118" t="str">
        <x:v>کاظمی</x:v>
      </x:c>
      <x:c r="G104" s="118" t="str">
        <x:v>دختر</x:v>
      </x:c>
      <x:c r="H104" s="300" t="n">
        <x:v>40652</x:v>
      </x:c>
      <x:c r="I104" s="119" t="str">
        <x:v>sample-7-d</x:v>
      </x:c>
      <x:c r="J104" s="143" t="str">
        <x:f>IF(I104="","",IFERROR(INDEX('کلاس‌بندی'!$E$5:$E$34,MATCH(I104,'کلاس‌بندی'!$D$5:$D$34,0)),"کد کلاس نامعتبر"))</x:f>
        <x:v>کلاس نمونه هفتم د</x:v>
      </x:c>
      <x:c r="K104" s="179" t="str">
        <x:f>IF(I104="","",IFERROR(INDEX('کلاس‌بندی'!$F$5:$F$34,MATCH(I104,'کلاس‌بندی'!$D$5:$D$34,0)),""))</x:f>
        <x:v>پایه آزمایشی 7</x:v>
      </x:c>
      <x:c r="L104" s="144" t="str">
        <x:f>IF(COUNTA(C104:I104)=0,"",IF(AND(LEN(C104)=10,D104&lt;&gt;"",E104&lt;&gt;"",F104&lt;&gt;"",G104&lt;&gt;"",H104&lt;&gt;"",I104&lt;&gt;""),"کامل","ناقص"))</x:f>
        <x:v>کامل</x:v>
      </x:c>
    </x:row>
  </x:sheetData>
  <x:mergeCells>
    <x:mergeCell ref="A1:L1"/>
    <x:mergeCell ref="A2:L2"/>
  </x:mergeCells>
  <x:conditionalFormatting sqref="L5:L104">
    <x:cfRule type="cellIs" dxfId="2" priority="1">
      <x:formula>"کامل"</x:formula>
    </x:cfRule>
    <x:cfRule type="cellIs" dxfId="3" priority="2">
      <x:formula>"ناقص"</x:formula>
    </x:cfRule>
  </x:conditionalFormatting>
  <x:dataValidations count="2">
    <x:dataValidation type="list" sqref="G5:G104">
      <x:formula1>"دختر,پسر"</x:formula1>
    </x:dataValidation>
    <x:dataValidation type="list" sqref="I5:I104">
      <x:formula1>'کلاس‌بندی'!$D$5:$D$34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32" customHeight="1">
      <x:c r="A1" s="4" t="str">
        <x:v>تنظیمات وزن‌دهی حوزه‌ها</x:v>
      </x:c>
      <x:c r="B1" s="297"/>
      <x:c r="C1" s="297"/>
      <x:c r="D1" s="297"/>
      <x:c r="E1" s="297"/>
      <x:c r="F1" s="297"/>
    </x:row>
    <x:row r="2" ht="32" customHeight="1">
      <x:c r="A2" s="9" t="str">
        <x:v>اوزان فعلی مطابق فایل مدرسه و مجموع آن‌ها ۱۰۰ است. برای حفظ سازگاری سامانه، نام و کد حوزه‌ها را تغییر ندهید.</x:v>
      </x:c>
      <x:c r="B2" s="297"/>
      <x:c r="C2" s="297"/>
      <x:c r="D2" s="297"/>
      <x:c r="E2" s="297"/>
      <x:c r="F2" s="297"/>
    </x:row>
    <x:row r="3">
      <x:c r="A3" s="297"/>
      <x:c r="B3" s="297"/>
      <x:c r="C3" s="297"/>
      <x:c r="D3" s="297"/>
      <x:c r="E3" s="297"/>
      <x:c r="F3" s="297"/>
    </x:row>
    <x:row r="4" ht="42" customHeight="1">
      <x:c r="A4" s="20" t="str">
        <x:v>کد حوزه</x:v>
      </x:c>
      <x:c r="B4" s="21" t="str">
        <x:v>نام حوزه</x:v>
      </x:c>
      <x:c r="C4" s="21" t="str">
        <x:v>وزن درصدی</x:v>
      </x:c>
      <x:c r="D4" s="21" t="str">
        <x:v>تعداد شاخص</x:v>
      </x:c>
      <x:c r="E4" s="21" t="str">
        <x:v>شروع ستون شاخص</x:v>
      </x:c>
      <x:c r="F4" s="22" t="str">
        <x:v>پایان ستون شاخص</x:v>
      </x:c>
    </x:row>
    <x:row r="5">
      <x:c r="A5" s="208" t="str">
        <x:v>EDU</x:v>
      </x:c>
      <x:c r="B5" s="209" t="str">
        <x:v>آموزشی</x:v>
      </x:c>
      <x:c r="C5" s="209" t="n">
        <x:v>20</x:v>
      </x:c>
      <x:c r="D5" s="209" t="n">
        <x:v>10</x:v>
      </x:c>
      <x:c r="E5" s="209" t="str">
        <x:v>G</x:v>
      </x:c>
      <x:c r="F5" s="210" t="str">
        <x:v>P</x:v>
      </x:c>
    </x:row>
    <x:row r="6">
      <x:c r="A6" s="211" t="str">
        <x:v>DEV</x:v>
      </x:c>
      <x:c r="B6" s="212" t="str">
        <x:v>پرورشی</x:v>
      </x:c>
      <x:c r="C6" s="212" t="n">
        <x:v>15</x:v>
      </x:c>
      <x:c r="D6" s="212" t="n">
        <x:v>10</x:v>
      </x:c>
      <x:c r="E6" s="212" t="str">
        <x:v>Q</x:v>
      </x:c>
      <x:c r="F6" s="213" t="str">
        <x:v>Z</x:v>
      </x:c>
    </x:row>
    <x:row r="7">
      <x:c r="A7" s="211" t="str">
        <x:v>CHR</x:v>
      </x:c>
      <x:c r="B7" s="212" t="str">
        <x:v>تربیتی</x:v>
      </x:c>
      <x:c r="C7" s="212" t="n">
        <x:v>15</x:v>
      </x:c>
      <x:c r="D7" s="212" t="n">
        <x:v>10</x:v>
      </x:c>
      <x:c r="E7" s="212" t="str">
        <x:v>AA</x:v>
      </x:c>
      <x:c r="F7" s="213" t="str">
        <x:v>AJ</x:v>
      </x:c>
    </x:row>
    <x:row r="8">
      <x:c r="A8" s="211" t="str">
        <x:v>DIS</x:v>
      </x:c>
      <x:c r="B8" s="212" t="str">
        <x:v>انضباطی</x:v>
      </x:c>
      <x:c r="C8" s="212" t="n">
        <x:v>15</x:v>
      </x:c>
      <x:c r="D8" s="212" t="n">
        <x:v>8</x:v>
      </x:c>
      <x:c r="E8" s="212" t="str">
        <x:v>AK</x:v>
      </x:c>
      <x:c r="F8" s="213" t="str">
        <x:v>AR</x:v>
      </x:c>
    </x:row>
    <x:row r="9">
      <x:c r="A9" s="211" t="str">
        <x:v>CUL</x:v>
      </x:c>
      <x:c r="B9" s="212" t="str">
        <x:v>فرهنگی</x:v>
      </x:c>
      <x:c r="C9" s="212" t="n">
        <x:v>7</x:v>
      </x:c>
      <x:c r="D9" s="212" t="n">
        <x:v>7</x:v>
      </x:c>
      <x:c r="E9" s="212" t="str">
        <x:v>AS</x:v>
      </x:c>
      <x:c r="F9" s="213" t="str">
        <x:v>AY</x:v>
      </x:c>
    </x:row>
    <x:row r="10">
      <x:c r="A10" s="211" t="str">
        <x:v>RES</x:v>
      </x:c>
      <x:c r="B10" s="212" t="str">
        <x:v>پژوهشی</x:v>
      </x:c>
      <x:c r="C10" s="212" t="n">
        <x:v>8</x:v>
      </x:c>
      <x:c r="D10" s="212" t="n">
        <x:v>8</x:v>
      </x:c>
      <x:c r="E10" s="212" t="str">
        <x:v>AZ</x:v>
      </x:c>
      <x:c r="F10" s="213" t="str">
        <x:v>BG</x:v>
      </x:c>
    </x:row>
    <x:row r="11">
      <x:c r="A11" s="211" t="str">
        <x:v>SPT</x:v>
      </x:c>
      <x:c r="B11" s="212" t="str">
        <x:v>ورزشی</x:v>
      </x:c>
      <x:c r="C11" s="212" t="n">
        <x:v>7</x:v>
      </x:c>
      <x:c r="D11" s="212" t="n">
        <x:v>7</x:v>
      </x:c>
      <x:c r="E11" s="212" t="str">
        <x:v>BH</x:v>
      </x:c>
      <x:c r="F11" s="213" t="str">
        <x:v>BN</x:v>
      </x:c>
    </x:row>
    <x:row r="12">
      <x:c r="A12" s="211" t="str">
        <x:v>ART</x:v>
      </x:c>
      <x:c r="B12" s="212" t="str">
        <x:v>هنری</x:v>
      </x:c>
      <x:c r="C12" s="212" t="n">
        <x:v>6</x:v>
      </x:c>
      <x:c r="D12" s="212" t="n">
        <x:v>7</x:v>
      </x:c>
      <x:c r="E12" s="212" t="str">
        <x:v>BO</x:v>
      </x:c>
      <x:c r="F12" s="213" t="str">
        <x:v>BU</x:v>
      </x:c>
    </x:row>
    <x:row r="13">
      <x:c r="A13" s="214" t="str">
        <x:v>PER</x:v>
      </x:c>
      <x:c r="B13" s="215" t="str">
        <x:v>مهارت‌های فردی</x:v>
      </x:c>
      <x:c r="C13" s="215" t="n">
        <x:v>7</x:v>
      </x:c>
      <x:c r="D13" s="215" t="n">
        <x:v>7</x:v>
      </x:c>
      <x:c r="E13" s="215" t="str">
        <x:v>BV</x:v>
      </x:c>
      <x:c r="F13" s="216" t="str">
        <x:v>CB</x:v>
      </x:c>
    </x:row>
    <x:row r="14">
      <x:c r="A14" s="297"/>
      <x:c r="B14" s="297"/>
      <x:c r="C14" s="297"/>
      <x:c r="D14" s="297"/>
      <x:c r="E14" s="297"/>
      <x:c r="F14" s="297"/>
    </x:row>
    <x:row r="15">
      <x:c r="A15" s="219" t="str">
        <x:v>جمع وزن‌ها</x:v>
      </x:c>
      <x:c r="B15" s="219"/>
      <x:c r="C15" s="219" t="n">
        <x:f>SUM(C5:C13)</x:f>
        <x:v>100</x:v>
      </x:c>
      <x:c r="D15" s="219"/>
      <x:c r="E15" s="219"/>
      <x:c r="F15" s="219"/>
    </x:row>
  </x:sheetData>
  <x:mergeCells>
    <x:mergeCell ref="A1:F1"/>
    <x:mergeCell ref="A2:F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0" hidden="0" customWidth="1"/>
    <x:col min="3" max="3" width="55" hidden="0" customWidth="1"/>
    <x:col min="4" max="4" width="55" hidden="0" customWidth="1"/>
  </x:cols>
  <x:sheetData>
    <x:row r="1" ht="32" customHeight="1">
      <x:c r="A1" s="4" t="str">
        <x:v>بانک راهکارهای پیشنهادی</x:v>
      </x:c>
      <x:c r="B1" s="297"/>
      <x:c r="C1" s="297"/>
      <x:c r="D1" s="297"/>
    </x:row>
    <x:row r="2" ht="32" customHeight="1">
      <x:c r="A2" s="9" t="str">
        <x:v>برای دانش‌آموزانی که ارزیابی نهایی دارند، پیشنهاد بر اساس ضعیف‌ترین حوزه انتخاب می‌شود.</x:v>
      </x:c>
      <x:c r="B2" s="297"/>
      <x:c r="C2" s="297"/>
      <x:c r="D2" s="297"/>
    </x:row>
    <x:row r="3">
      <x:c r="A3" s="297"/>
      <x:c r="B3" s="297"/>
      <x:c r="C3" s="297"/>
      <x:c r="D3" s="297"/>
    </x:row>
    <x:row r="4" ht="42" customHeight="1">
      <x:c r="A4" s="20" t="str">
        <x:v>ردیف</x:v>
      </x:c>
      <x:c r="B4" s="21" t="str">
        <x:v>حوزه</x:v>
      </x:c>
      <x:c r="C4" s="21" t="str">
        <x:v>راهکار پیشنهادی</x:v>
      </x:c>
      <x:c r="D4" s="22" t="str">
        <x:v>کاربرد</x:v>
      </x:c>
    </x:row>
    <x:row r="5">
      <x:c r="A5" s="51" t="n">
        <x:v>1</x:v>
      </x:c>
      <x:c r="B5" s="52" t="str">
        <x:v>آموزشی</x:v>
      </x:c>
      <x:c r="C5" s="52" t="str">
        <x:v>جلسه فردی، برنامه مطالعه هدفمند و پیگیری هفتگی تکالیف پیشنهاد می‌شود.</x:v>
      </x:c>
      <x:c r="D5" s="53" t="str">
        <x:v>پس از بررسی مربی و شرایط دانش‌آموز اجرا شود.</x:v>
      </x:c>
    </x:row>
    <x:row r="6">
      <x:c r="A6" s="54" t="n">
        <x:v>2</x:v>
      </x:c>
      <x:c r="B6" s="55" t="str">
        <x:v>پرورشی</x:v>
      </x:c>
      <x:c r="C6" s="55" t="str">
        <x:v>تقویت مسئولیت‌پذیری با نقش‌های کوچک کلاسی و بازخورد مثبت پیشنهاد می‌شود.</x:v>
      </x:c>
      <x:c r="D6" s="56" t="str">
        <x:v>پس از بررسی مربی و شرایط دانش‌آموز اجرا شود.</x:v>
      </x:c>
    </x:row>
    <x:row r="7">
      <x:c r="A7" s="54" t="n">
        <x:v>3</x:v>
      </x:c>
      <x:c r="B7" s="55" t="str">
        <x:v>تربیتی</x:v>
      </x:c>
      <x:c r="C7" s="55" t="str">
        <x:v>تمرین هدف‌گذاری، خودارزیابی و مدیریت هیجان با همراهی مربی پیشنهاد می‌شود.</x:v>
      </x:c>
      <x:c r="D7" s="56" t="str">
        <x:v>پس از بررسی مربی و شرایط دانش‌آموز اجرا شود.</x:v>
      </x:c>
    </x:row>
    <x:row r="8">
      <x:c r="A8" s="54" t="n">
        <x:v>4</x:v>
      </x:c>
      <x:c r="B8" s="55" t="str">
        <x:v>انضباطی</x:v>
      </x:c>
      <x:c r="C8" s="55" t="str">
        <x:v>قواعد روشن، قرارداد رفتاری کوتاه‌مدت و ثبت منظم پیشرفت پیشنهاد می‌شود.</x:v>
      </x:c>
      <x:c r="D8" s="56" t="str">
        <x:v>پس از بررسی مربی و شرایط دانش‌آموز اجرا شود.</x:v>
      </x:c>
    </x:row>
    <x:row r="9">
      <x:c r="A9" s="54" t="n">
        <x:v>5</x:v>
      </x:c>
      <x:c r="B9" s="55" t="str">
        <x:v>فرهنگی</x:v>
      </x:c>
      <x:c r="C9" s="55" t="str">
        <x:v>مشارکت در برنامه‌های فرهنگی، مطالعه هدایت‌شده و فعالیت گروهی پیشنهاد می‌شود.</x:v>
      </x:c>
      <x:c r="D9" s="56" t="str">
        <x:v>پس از بررسی مربی و شرایط دانش‌آموز اجرا شود.</x:v>
      </x:c>
    </x:row>
    <x:row r="10">
      <x:c r="A10" s="54" t="n">
        <x:v>6</x:v>
      </x:c>
      <x:c r="B10" s="55" t="str">
        <x:v>پژوهشی</x:v>
      </x:c>
      <x:c r="C10" s="55" t="str">
        <x:v>یک پروژه کوچک پژوهشی با منابع مشخص و ارائه کوتاه پیشنهاد می‌شود.</x:v>
      </x:c>
      <x:c r="D10" s="56" t="str">
        <x:v>پس از بررسی مربی و شرایط دانش‌آموز اجرا شود.</x:v>
      </x:c>
    </x:row>
    <x:row r="11">
      <x:c r="A11" s="54" t="n">
        <x:v>7</x:v>
      </x:c>
      <x:c r="B11" s="55" t="str">
        <x:v>ورزشی</x:v>
      </x:c>
      <x:c r="C11" s="55" t="str">
        <x:v>برنامه فعالیت بدنی منظم و مشارکت در ورزش گروهی پیشنهاد می‌شود.</x:v>
      </x:c>
      <x:c r="D11" s="56" t="str">
        <x:v>پس از بررسی مربی و شرایط دانش‌آموز اجرا شود.</x:v>
      </x:c>
    </x:row>
    <x:row r="12">
      <x:c r="A12" s="54" t="n">
        <x:v>8</x:v>
      </x:c>
      <x:c r="B12" s="55" t="str">
        <x:v>هنری</x:v>
      </x:c>
      <x:c r="C12" s="55" t="str">
        <x:v>انتخاب یک فعالیت هنری متناسب با علاقه و ارائه دوره‌ای اثر پیشنهاد می‌شود.</x:v>
      </x:c>
      <x:c r="D12" s="56" t="str">
        <x:v>پس از بررسی مربی و شرایط دانش‌آموز اجرا شود.</x:v>
      </x:c>
    </x:row>
    <x:row r="13">
      <x:c r="A13" s="57" t="n">
        <x:v>9</x:v>
      </x:c>
      <x:c r="B13" s="58" t="str">
        <x:v>مهارت‌های فردی</x:v>
      </x:c>
      <x:c r="C13" s="58" t="str">
        <x:v>تمرین برنامه‌ریزی هفتگی، ارتباط مؤثر و کار تیمی پیشنهاد می‌شود.</x:v>
      </x:c>
      <x:c r="D13" s="59" t="str">
        <x:v>پس از بررسی مربی و شرایط دانش‌آموز اجرا شود.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2" hidden="0" customWidth="1"/>
    <x:col min="3" max="3" width="15" hidden="0" customWidth="1"/>
    <x:col min="4" max="4" width="15" hidden="0" customWidth="1"/>
    <x:col min="5" max="5" width="24" hidden="0" customWidth="1"/>
    <x:col min="6" max="6" width="15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  <x:col min="34" max="34" width="18" hidden="0" customWidth="1"/>
    <x:col min="35" max="35" width="18" hidden="0" customWidth="1"/>
    <x:col min="36" max="36" width="18" hidden="0" customWidth="1"/>
    <x:col min="37" max="37" width="18" hidden="0" customWidth="1"/>
    <x:col min="38" max="38" width="18" hidden="0" customWidth="1"/>
    <x:col min="39" max="39" width="18" hidden="0" customWidth="1"/>
    <x:col min="40" max="40" width="18" hidden="0" customWidth="1"/>
    <x:col min="41" max="41" width="18" hidden="0" customWidth="1"/>
    <x:col min="42" max="42" width="18" hidden="0" customWidth="1"/>
    <x:col min="43" max="43" width="18" hidden="0" customWidth="1"/>
    <x:col min="44" max="44" width="18" hidden="0" customWidth="1"/>
    <x:col min="45" max="45" width="18" hidden="0" customWidth="1"/>
    <x:col min="46" max="46" width="18" hidden="0" customWidth="1"/>
    <x:col min="47" max="47" width="18" hidden="0" customWidth="1"/>
    <x:col min="48" max="48" width="18" hidden="0" customWidth="1"/>
    <x:col min="49" max="49" width="18" hidden="0" customWidth="1"/>
    <x:col min="50" max="50" width="18" hidden="0" customWidth="1"/>
    <x:col min="51" max="51" width="18" hidden="0" customWidth="1"/>
    <x:col min="52" max="52" width="18" hidden="0" customWidth="1"/>
    <x:col min="53" max="53" width="18" hidden="0" customWidth="1"/>
    <x:col min="54" max="54" width="18" hidden="0" customWidth="1"/>
    <x:col min="55" max="55" width="18" hidden="0" customWidth="1"/>
    <x:col min="56" max="56" width="18" hidden="0" customWidth="1"/>
    <x:col min="57" max="57" width="18" hidden="0" customWidth="1"/>
    <x:col min="58" max="58" width="18" hidden="0" customWidth="1"/>
    <x:col min="59" max="59" width="18" hidden="0" customWidth="1"/>
    <x:col min="60" max="60" width="18" hidden="0" customWidth="1"/>
    <x:col min="61" max="61" width="18" hidden="0" customWidth="1"/>
    <x:col min="62" max="62" width="18" hidden="0" customWidth="1"/>
    <x:col min="63" max="63" width="18" hidden="0" customWidth="1"/>
    <x:col min="64" max="64" width="18" hidden="0" customWidth="1"/>
    <x:col min="65" max="65" width="18" hidden="0" customWidth="1"/>
    <x:col min="66" max="66" width="18" hidden="0" customWidth="1"/>
    <x:col min="67" max="67" width="18" hidden="0" customWidth="1"/>
    <x:col min="68" max="68" width="18" hidden="0" customWidth="1"/>
    <x:col min="69" max="69" width="18" hidden="0" customWidth="1"/>
    <x:col min="70" max="70" width="18" hidden="0" customWidth="1"/>
    <x:col min="71" max="71" width="18" hidden="0" customWidth="1"/>
    <x:col min="72" max="72" width="18" hidden="0" customWidth="1"/>
    <x:col min="73" max="73" width="18" hidden="0" customWidth="1"/>
    <x:col min="74" max="74" width="18" hidden="0" customWidth="1"/>
    <x:col min="75" max="75" width="18" hidden="0" customWidth="1"/>
    <x:col min="76" max="76" width="18" hidden="0" customWidth="1"/>
    <x:col min="77" max="77" width="18" hidden="0" customWidth="1"/>
    <x:col min="78" max="78" width="18" hidden="0" customWidth="1"/>
    <x:col min="79" max="79" width="18" hidden="0" customWidth="1"/>
    <x:col min="80" max="80" width="18" hidden="0" customWidth="1"/>
    <x:col min="81" max="81" width="17" hidden="0" customWidth="1"/>
    <x:col min="82" max="82" width="17" hidden="0" customWidth="1"/>
    <x:col min="83" max="83" width="17" hidden="0" customWidth="1"/>
    <x:col min="84" max="84" width="17" hidden="0" customWidth="1"/>
    <x:col min="85" max="85" width="17" hidden="0" customWidth="1"/>
    <x:col min="86" max="86" width="17" hidden="0" customWidth="1"/>
    <x:col min="87" max="87" width="17" hidden="0" customWidth="1"/>
    <x:col min="88" max="88" width="17" hidden="0" customWidth="1"/>
    <x:col min="89" max="89" width="17" hidden="0" customWidth="1"/>
    <x:col min="90" max="90" width="18" hidden="0" customWidth="1"/>
    <x:col min="91" max="91" width="18" hidden="0" customWidth="1"/>
    <x:col min="92" max="92" width="18" hidden="0" customWidth="1"/>
    <x:col min="93" max="93" width="18" hidden="0" customWidth="1"/>
    <x:col min="94" max="94" width="38" hidden="0" customWidth="1"/>
  </x:cols>
  <x:sheetData>
    <x:row r="1" ht="32" customHeight="1">
      <x:c r="A1" s="4" t="str">
        <x:v>ثبت ارزیابی و نمرات ماهانه</x:v>
      </x:c>
      <x:c r="B1" s="297"/>
      <x:c r="C1" s="297"/>
      <x:c r="D1" s="297"/>
      <x:c r="E1" s="297"/>
      <x:c r="F1" s="297"/>
      <x:c r="G1" s="297"/>
      <x:c r="H1" s="297"/>
      <x:c r="I1" s="297"/>
      <x:c r="J1" s="297"/>
      <x:c r="K1" s="297"/>
      <x:c r="L1" s="297"/>
      <x:c r="M1" s="297"/>
      <x:c r="N1" s="297"/>
      <x:c r="O1" s="297"/>
      <x:c r="P1" s="297"/>
      <x:c r="Q1" s="297"/>
      <x:c r="R1" s="297"/>
      <x:c r="S1" s="297"/>
      <x:c r="T1" s="297"/>
      <x:c r="U1" s="297"/>
      <x:c r="V1" s="297"/>
      <x:c r="W1" s="297"/>
      <x:c r="X1" s="297"/>
      <x:c r="Y1" s="297"/>
      <x:c r="Z1" s="297"/>
      <x:c r="AA1" s="297"/>
      <x:c r="AB1" s="297"/>
      <x:c r="AC1" s="297"/>
      <x:c r="AD1" s="297"/>
      <x:c r="AE1" s="297"/>
      <x:c r="AF1" s="297"/>
      <x:c r="AG1" s="297"/>
      <x:c r="AH1" s="297"/>
      <x:c r="AI1" s="297"/>
      <x:c r="AJ1" s="297"/>
      <x:c r="AK1" s="297"/>
      <x:c r="AL1" s="297"/>
      <x:c r="AM1" s="297"/>
      <x:c r="AN1" s="297"/>
      <x:c r="AO1" s="297"/>
      <x:c r="AP1" s="297"/>
      <x:c r="AQ1" s="297"/>
      <x:c r="AR1" s="297"/>
      <x:c r="AS1" s="297"/>
      <x:c r="AT1" s="297"/>
      <x:c r="AU1" s="297"/>
      <x:c r="AV1" s="297"/>
      <x:c r="AW1" s="297"/>
      <x:c r="AX1" s="297"/>
      <x:c r="AY1" s="297"/>
      <x:c r="AZ1" s="297"/>
      <x:c r="BA1" s="297"/>
      <x:c r="BB1" s="297"/>
      <x:c r="BC1" s="297"/>
      <x:c r="BD1" s="297"/>
      <x:c r="BE1" s="297"/>
      <x:c r="BF1" s="297"/>
      <x:c r="BG1" s="297"/>
      <x:c r="BH1" s="297"/>
      <x:c r="BI1" s="297"/>
      <x:c r="BJ1" s="297"/>
      <x:c r="BK1" s="297"/>
      <x:c r="BL1" s="297"/>
      <x:c r="BM1" s="297"/>
      <x:c r="BN1" s="297"/>
      <x:c r="BO1" s="297"/>
      <x:c r="BP1" s="297"/>
      <x:c r="BQ1" s="297"/>
      <x:c r="BR1" s="297"/>
      <x:c r="BS1" s="297"/>
      <x:c r="BT1" s="297"/>
      <x:c r="BU1" s="297"/>
      <x:c r="BV1" s="297"/>
      <x:c r="BW1" s="297"/>
      <x:c r="BX1" s="297"/>
      <x:c r="BY1" s="297"/>
      <x:c r="BZ1" s="297"/>
      <x:c r="CA1" s="297"/>
      <x:c r="CB1" s="297"/>
      <x:c r="CC1" s="297"/>
      <x:c r="CD1" s="297"/>
      <x:c r="CE1" s="297"/>
      <x:c r="CF1" s="297"/>
      <x:c r="CG1" s="297"/>
      <x:c r="CH1" s="297"/>
      <x:c r="CI1" s="297"/>
      <x:c r="CJ1" s="297"/>
      <x:c r="CK1" s="297"/>
      <x:c r="CL1" s="297"/>
      <x:c r="CM1" s="297"/>
      <x:c r="CN1" s="297"/>
      <x:c r="CO1" s="297"/>
      <x:c r="CP1" s="297"/>
    </x:row>
    <x:row r="2" ht="32" customHeight="1">
      <x:c r="A2" s="9" t="str">
        <x:v>هر دانش‌آموز ۱۲ ردیف دارد. ستون‌های زردِ شاخص‌ها را از ۰ تا ۵ تکمیل کنید؛ نتیجه نهایی فقط پس از ثبت هر ۷۴ شاخص نمایش داده می‌شود.</x:v>
      </x:c>
      <x:c r="B2" s="297"/>
      <x:c r="C2" s="297"/>
      <x:c r="D2" s="297"/>
      <x:c r="E2" s="297"/>
      <x:c r="F2" s="297"/>
      <x:c r="G2" s="297"/>
      <x:c r="H2" s="297"/>
      <x:c r="I2" s="297"/>
      <x:c r="J2" s="297"/>
      <x:c r="K2" s="297"/>
      <x:c r="L2" s="297"/>
      <x:c r="M2" s="297"/>
      <x:c r="N2" s="297"/>
      <x:c r="O2" s="297"/>
      <x:c r="P2" s="297"/>
      <x:c r="Q2" s="297"/>
      <x:c r="R2" s="297"/>
      <x:c r="S2" s="297"/>
      <x:c r="T2" s="297"/>
      <x:c r="U2" s="297"/>
      <x:c r="V2" s="297"/>
      <x:c r="W2" s="297"/>
      <x:c r="X2" s="297"/>
      <x:c r="Y2" s="297"/>
      <x:c r="Z2" s="297"/>
      <x:c r="AA2" s="297"/>
      <x:c r="AB2" s="297"/>
      <x:c r="AC2" s="297"/>
      <x:c r="AD2" s="297"/>
      <x:c r="AE2" s="297"/>
      <x:c r="AF2" s="297"/>
      <x:c r="AG2" s="297"/>
      <x:c r="AH2" s="297"/>
      <x:c r="AI2" s="297"/>
      <x:c r="AJ2" s="297"/>
      <x:c r="AK2" s="297"/>
      <x:c r="AL2" s="297"/>
      <x:c r="AM2" s="297"/>
      <x:c r="AN2" s="297"/>
      <x:c r="AO2" s="297"/>
      <x:c r="AP2" s="297"/>
      <x:c r="AQ2" s="297"/>
      <x:c r="AR2" s="297"/>
      <x:c r="AS2" s="297"/>
      <x:c r="AT2" s="297"/>
      <x:c r="AU2" s="297"/>
      <x:c r="AV2" s="297"/>
      <x:c r="AW2" s="297"/>
      <x:c r="AX2" s="297"/>
      <x:c r="AY2" s="297"/>
      <x:c r="AZ2" s="297"/>
      <x:c r="BA2" s="297"/>
      <x:c r="BB2" s="297"/>
      <x:c r="BC2" s="297"/>
      <x:c r="BD2" s="297"/>
      <x:c r="BE2" s="297"/>
      <x:c r="BF2" s="297"/>
      <x:c r="BG2" s="297"/>
      <x:c r="BH2" s="297"/>
      <x:c r="BI2" s="297"/>
      <x:c r="BJ2" s="297"/>
      <x:c r="BK2" s="297"/>
      <x:c r="BL2" s="297"/>
      <x:c r="BM2" s="297"/>
      <x:c r="BN2" s="297"/>
      <x:c r="BO2" s="297"/>
      <x:c r="BP2" s="297"/>
      <x:c r="BQ2" s="297"/>
      <x:c r="BR2" s="297"/>
      <x:c r="BS2" s="297"/>
      <x:c r="BT2" s="297"/>
      <x:c r="BU2" s="297"/>
      <x:c r="BV2" s="297"/>
      <x:c r="BW2" s="297"/>
      <x:c r="BX2" s="297"/>
      <x:c r="BY2" s="297"/>
      <x:c r="BZ2" s="297"/>
      <x:c r="CA2" s="297"/>
      <x:c r="CB2" s="297"/>
      <x:c r="CC2" s="297"/>
      <x:c r="CD2" s="297"/>
      <x:c r="CE2" s="297"/>
      <x:c r="CF2" s="297"/>
      <x:c r="CG2" s="297"/>
      <x:c r="CH2" s="297"/>
      <x:c r="CI2" s="297"/>
      <x:c r="CJ2" s="297"/>
      <x:c r="CK2" s="297"/>
      <x:c r="CL2" s="297"/>
      <x:c r="CM2" s="297"/>
      <x:c r="CN2" s="297"/>
      <x:c r="CO2" s="297"/>
      <x:c r="CP2" s="297"/>
    </x:row>
    <x:row r="3">
      <x:c r="A3" s="297"/>
      <x:c r="B3" s="297"/>
      <x:c r="C3" s="297"/>
      <x:c r="D3" s="297"/>
      <x:c r="E3" s="297"/>
      <x:c r="F3" s="297"/>
      <x:c r="G3" s="297"/>
      <x:c r="H3" s="297"/>
      <x:c r="I3" s="297"/>
      <x:c r="J3" s="297"/>
      <x:c r="K3" s="297"/>
      <x:c r="L3" s="297"/>
      <x:c r="M3" s="297"/>
      <x:c r="N3" s="297"/>
      <x:c r="O3" s="297"/>
      <x:c r="P3" s="297"/>
      <x:c r="Q3" s="297"/>
      <x:c r="R3" s="297"/>
      <x:c r="S3" s="297"/>
      <x:c r="T3" s="297"/>
      <x:c r="U3" s="297"/>
      <x:c r="V3" s="297"/>
      <x:c r="W3" s="297"/>
      <x:c r="X3" s="297"/>
      <x:c r="Y3" s="297"/>
      <x:c r="Z3" s="297"/>
      <x:c r="AA3" s="297"/>
      <x:c r="AB3" s="297"/>
      <x:c r="AC3" s="297"/>
      <x:c r="AD3" s="297"/>
      <x:c r="AE3" s="297"/>
      <x:c r="AF3" s="297"/>
      <x:c r="AG3" s="297"/>
      <x:c r="AH3" s="297"/>
      <x:c r="AI3" s="297"/>
      <x:c r="AJ3" s="297"/>
      <x:c r="AK3" s="297"/>
      <x:c r="AL3" s="297"/>
      <x:c r="AM3" s="297"/>
      <x:c r="AN3" s="297"/>
      <x:c r="AO3" s="297"/>
      <x:c r="AP3" s="297"/>
      <x:c r="AQ3" s="297"/>
      <x:c r="AR3" s="297"/>
      <x:c r="AS3" s="297"/>
      <x:c r="AT3" s="297"/>
      <x:c r="AU3" s="297"/>
      <x:c r="AV3" s="297"/>
      <x:c r="AW3" s="297"/>
      <x:c r="AX3" s="297"/>
      <x:c r="AY3" s="297"/>
      <x:c r="AZ3" s="297"/>
      <x:c r="BA3" s="297"/>
      <x:c r="BB3" s="297"/>
      <x:c r="BC3" s="297"/>
      <x:c r="BD3" s="297"/>
      <x:c r="BE3" s="297"/>
      <x:c r="BF3" s="297"/>
      <x:c r="BG3" s="297"/>
      <x:c r="BH3" s="297"/>
      <x:c r="BI3" s="297"/>
      <x:c r="BJ3" s="297"/>
      <x:c r="BK3" s="297"/>
      <x:c r="BL3" s="297"/>
      <x:c r="BM3" s="297"/>
      <x:c r="BN3" s="297"/>
      <x:c r="BO3" s="297"/>
      <x:c r="BP3" s="297"/>
      <x:c r="BQ3" s="297"/>
      <x:c r="BR3" s="297"/>
      <x:c r="BS3" s="297"/>
      <x:c r="BT3" s="297"/>
      <x:c r="BU3" s="297"/>
      <x:c r="BV3" s="297"/>
      <x:c r="BW3" s="297"/>
      <x:c r="BX3" s="297"/>
      <x:c r="BY3" s="297"/>
      <x:c r="BZ3" s="297"/>
      <x:c r="CA3" s="297"/>
      <x:c r="CB3" s="297"/>
      <x:c r="CC3" s="297"/>
      <x:c r="CD3" s="297"/>
      <x:c r="CE3" s="297"/>
      <x:c r="CF3" s="297"/>
      <x:c r="CG3" s="297"/>
      <x:c r="CH3" s="297"/>
      <x:c r="CI3" s="297"/>
      <x:c r="CJ3" s="297"/>
      <x:c r="CK3" s="297"/>
      <x:c r="CL3" s="297"/>
      <x:c r="CM3" s="297"/>
      <x:c r="CN3" s="297"/>
      <x:c r="CO3" s="297"/>
      <x:c r="CP3" s="297"/>
    </x:row>
    <x:row r="4" ht="42" customHeight="1">
      <x:c r="A4" s="220" t="str">
        <x:v>ردیف</x:v>
      </x:c>
      <x:c r="B4" s="221" t="str">
        <x:v>ماه</x:v>
      </x:c>
      <x:c r="C4" s="221" t="str">
        <x:v>کد محلی</x:v>
      </x:c>
      <x:c r="D4" s="221" t="str">
        <x:v>کد ملی</x:v>
      </x:c>
      <x:c r="E4" s="221" t="str">
        <x:v>نام و نام خانوادگی</x:v>
      </x:c>
      <x:c r="F4" s="221" t="str">
        <x:v>کد کلاس</x:v>
      </x:c>
      <x:c r="G4" s="21" t="str">
        <x:v>EDU_01 | نمرات درسی</x:v>
      </x:c>
      <x:c r="H4" s="21" t="str">
        <x:v>EDU_02 | پیشرفت نسبت به قبل</x:v>
      </x:c>
      <x:c r="I4" s="21" t="str">
        <x:v>EDU_03 | انجام تکالیف</x:v>
      </x:c>
      <x:c r="J4" s="21" t="str">
        <x:v>EDU_04 | مشارکت در کلاس</x:v>
      </x:c>
      <x:c r="K4" s="21" t="str">
        <x:v>EDU_05 | دقت و تمرکز</x:v>
      </x:c>
      <x:c r="L4" s="21" t="str">
        <x:v>EDU_06 | مهارت حل مسئله</x:v>
      </x:c>
      <x:c r="M4" s="21" t="str">
        <x:v>EDU_07 | درک مفاهیم</x:v>
      </x:c>
      <x:c r="N4" s="21" t="str">
        <x:v>EDU_08 | آمادگی برای امتحان</x:v>
      </x:c>
      <x:c r="O4" s="21" t="str">
        <x:v>EDU_09 | کیفیت پاسخ‌گویی</x:v>
      </x:c>
      <x:c r="P4" s="21" t="str">
        <x:v>EDU_10 | مدیریت زمان در آزمون</x:v>
      </x:c>
      <x:c r="Q4" s="21" t="str">
        <x:v>DEV_01 | احترام به معلم و همکلاسی</x:v>
      </x:c>
      <x:c r="R4" s="21" t="str">
        <x:v>DEV_02 | مسئولیت‌پذیری</x:v>
      </x:c>
      <x:c r="S4" s="21" t="str">
        <x:v>DEV_03 | صداقت</x:v>
      </x:c>
      <x:c r="T4" s="21" t="str">
        <x:v>DEV_04 | نظم شخصی</x:v>
      </x:c>
      <x:c r="U4" s="21" t="str">
        <x:v>DEV_05 | همکاری با دیگران</x:v>
      </x:c>
      <x:c r="V4" s="21" t="str">
        <x:v>DEV_06 | روحیه کمک به دیگران</x:v>
      </x:c>
      <x:c r="W4" s="21" t="str">
        <x:v>DEV_07 | ادب و رفتار اجتماعی</x:v>
      </x:c>
      <x:c r="X4" s="21" t="str">
        <x:v>DEV_08 | پایبندی به قوانین</x:v>
      </x:c>
      <x:c r="Y4" s="21" t="str">
        <x:v>DEV_09 | کنترل احساسات</x:v>
      </x:c>
      <x:c r="Z4" s="21" t="str">
        <x:v>DEV_10 | اعتماد به نفس</x:v>
      </x:c>
      <x:c r="AA4" s="21" t="str">
        <x:v>CHR_01 | خودکنترلی</x:v>
      </x:c>
      <x:c r="AB4" s="21" t="str">
        <x:v>CHR_02 | انگیزه برای یادگیری</x:v>
      </x:c>
      <x:c r="AC4" s="21" t="str">
        <x:v>CHR_03 | پشتکار</x:v>
      </x:c>
      <x:c r="AD4" s="21" t="str">
        <x:v>CHR_04 | تحمل شکست</x:v>
      </x:c>
      <x:c r="AE4" s="21" t="str">
        <x:v>CHR_05 | هدف‌گذاری</x:v>
      </x:c>
      <x:c r="AF4" s="21" t="str">
        <x:v>CHR_06 | تصمیم‌گیری صحیح</x:v>
      </x:c>
      <x:c r="AG4" s="21" t="str">
        <x:v>CHR_07 | استقلال در انجام کارها</x:v>
      </x:c>
      <x:c r="AH4" s="21" t="str">
        <x:v>CHR_08 | مدیریت استرس</x:v>
      </x:c>
      <x:c r="AI4" s="21" t="str">
        <x:v>CHR_09 | انعطاف‌پذیری</x:v>
      </x:c>
      <x:c r="AJ4" s="21" t="str">
        <x:v>CHR_10 | خودارزیابی</x:v>
      </x:c>
      <x:c r="AK4" s="21" t="str">
        <x:v>DIS_01 | حضور و غیاب</x:v>
      </x:c>
      <x:c r="AL4" s="21" t="str">
        <x:v>DIS_02 | تأخیر</x:v>
      </x:c>
      <x:c r="AM4" s="21" t="str">
        <x:v>DIS_03 | رعایت قوانین مدرسه</x:v>
      </x:c>
      <x:c r="AN4" s="21" t="str">
        <x:v>DIS_04 | رعایت پوشش</x:v>
      </x:c>
      <x:c r="AO4" s="21" t="str">
        <x:v>DIS_05 | احترام به مقررات کلاس</x:v>
      </x:c>
      <x:c r="AP4" s="21" t="str">
        <x:v>DIS_06 | عدم ایجاد مزاحمت</x:v>
      </x:c>
      <x:c r="AQ4" s="21" t="str">
        <x:v>DIS_07 | مسئولیت‌پذیری در نظم کلاس</x:v>
      </x:c>
      <x:c r="AR4" s="21" t="str">
        <x:v>DIS_08 | پیروی از دستورات</x:v>
      </x:c>
      <x:c r="AS4" s="21" t="str">
        <x:v>CUL_01 | مشارکت در برنامه‌های فرهنگی</x:v>
      </x:c>
      <x:c r="AT4" s="21" t="str">
        <x:v>CUL_02 | شناخت ارزش‌های اجتماعی</x:v>
      </x:c>
      <x:c r="AU4" s="21" t="str">
        <x:v>CUL_03 | رفتار مناسب در مراسم‌ها</x:v>
      </x:c>
      <x:c r="AV4" s="21" t="str">
        <x:v>CUL_04 | علاقه به مطالعه</x:v>
      </x:c>
      <x:c r="AW4" s="21" t="str">
        <x:v>CUL_05 | رعایت آداب اجتماعی</x:v>
      </x:c>
      <x:c r="AX4" s="21" t="str">
        <x:v>CUL_06 | آشنایی با فرهنگ ملی</x:v>
      </x:c>
      <x:c r="AY4" s="21" t="str">
        <x:v>CUL_07 | احترام به تفاوت‌ها</x:v>
      </x:c>
      <x:c r="AZ4" s="21" t="str">
        <x:v>RES_01 | انجام تحقیق</x:v>
      </x:c>
      <x:c r="BA4" s="21" t="str">
        <x:v>RES_02 | توانایی جستجو</x:v>
      </x:c>
      <x:c r="BB4" s="21" t="str">
        <x:v>RES_03 | ارائه مطلب</x:v>
      </x:c>
      <x:c r="BC4" s="21" t="str">
        <x:v>RES_04 | خلاقیت در پروژه‌ها</x:v>
      </x:c>
      <x:c r="BD4" s="21" t="str">
        <x:v>RES_05 | تحلیل اطلاعات</x:v>
      </x:c>
      <x:c r="BE4" s="21" t="str">
        <x:v>RES_06 | استفاده از منابع</x:v>
      </x:c>
      <x:c r="BF4" s="21" t="str">
        <x:v>RES_07 | نوآوری</x:v>
      </x:c>
      <x:c r="BG4" s="21" t="str">
        <x:v>RES_08 | پرسشگری</x:v>
      </x:c>
      <x:c r="BH4" s="21" t="str">
        <x:v>SPT_01 | آمادگی جسمانی</x:v>
      </x:c>
      <x:c r="BI4" s="21" t="str">
        <x:v>SPT_02 | مشارکت در فعالیت‌های ورزشی</x:v>
      </x:c>
      <x:c r="BJ4" s="21" t="str">
        <x:v>SPT_03 | روحیه تیمی</x:v>
      </x:c>
      <x:c r="BK4" s="21" t="str">
        <x:v>SPT_04 | رعایت قوانین بازی</x:v>
      </x:c>
      <x:c r="BL4" s="21" t="str">
        <x:v>SPT_05 | تلاش و پشتکار</x:v>
      </x:c>
      <x:c r="BM4" s="21" t="str">
        <x:v>SPT_06 | پیشرفت بدنی</x:v>
      </x:c>
      <x:c r="BN4" s="21" t="str">
        <x:v>SPT_07 | مهارت‌های حرکتی</x:v>
      </x:c>
      <x:c r="BO4" s="21" t="str">
        <x:v>ART_01 | خلاقیت</x:v>
      </x:c>
      <x:c r="BP4" s="21" t="str">
        <x:v>ART_02 | مشارکت در فعالیت‌های هنری</x:v>
      </x:c>
      <x:c r="BQ4" s="21" t="str">
        <x:v>ART_03 | مهارت در نقاشی / موسیقی / ...</x:v>
      </x:c>
      <x:c r="BR4" s="21" t="str">
        <x:v>ART_04 | دقت در کار هنری</x:v>
      </x:c>
      <x:c r="BS4" s="21" t="str">
        <x:v>ART_05 | نوآوری</x:v>
      </x:c>
      <x:c r="BT4" s="21" t="str">
        <x:v>ART_06 | علاقه‌مندی</x:v>
      </x:c>
      <x:c r="BU4" s="21" t="str">
        <x:v>ART_07 | ارائه آثار</x:v>
      </x:c>
      <x:c r="BV4" s="21" t="str">
        <x:v>PER_01 | مدیریت زمان</x:v>
      </x:c>
      <x:c r="BW4" s="21" t="str">
        <x:v>PER_02 | مهارت ارتباطی</x:v>
      </x:c>
      <x:c r="BX4" s="21" t="str">
        <x:v>PER_03 | حل تعارض</x:v>
      </x:c>
      <x:c r="BY4" s="21" t="str">
        <x:v>PER_04 | کار تیمی</x:v>
      </x:c>
      <x:c r="BZ4" s="21" t="str">
        <x:v>PER_05 | تفکر انتقادی</x:v>
      </x:c>
      <x:c r="CA4" s="21" t="str">
        <x:v>PER_06 | مهارت برنامه‌ریزی</x:v>
      </x:c>
      <x:c r="CB4" s="21" t="str">
        <x:v>PER_07 | مسئولیت‌پذیری فردی</x:v>
      </x:c>
      <x:c r="CC4" s="222" t="str">
        <x:v>امتیاز آموزشی (۰ تا ۲۰)</x:v>
      </x:c>
      <x:c r="CD4" s="222" t="str">
        <x:v>امتیاز پرورشی (۰ تا ۲۰)</x:v>
      </x:c>
      <x:c r="CE4" s="222" t="str">
        <x:v>امتیاز تربیتی (۰ تا ۲۰)</x:v>
      </x:c>
      <x:c r="CF4" s="222" t="str">
        <x:v>امتیاز انضباطی (۰ تا ۲۰)</x:v>
      </x:c>
      <x:c r="CG4" s="222" t="str">
        <x:v>امتیاز فرهنگی (۰ تا ۲۰)</x:v>
      </x:c>
      <x:c r="CH4" s="222" t="str">
        <x:v>امتیاز پژوهشی (۰ تا ۲۰)</x:v>
      </x:c>
      <x:c r="CI4" s="222" t="str">
        <x:v>امتیاز ورزشی (۰ تا ۲۰)</x:v>
      </x:c>
      <x:c r="CJ4" s="222" t="str">
        <x:v>امتیاز هنری (۰ تا ۲۰)</x:v>
      </x:c>
      <x:c r="CK4" s="222" t="str">
        <x:v>امتیاز مهارت‌های فردی (۰ تا ۲۰)</x:v>
      </x:c>
      <x:c r="CL4" s="222" t="str">
        <x:v>میانگین وزنی نهایی</x:v>
      </x:c>
      <x:c r="CM4" s="222" t="str">
        <x:v>سطح عملکرد</x:v>
      </x:c>
      <x:c r="CN4" s="222" t="str">
        <x:v>شماره ماه</x:v>
      </x:c>
      <x:c r="CO4" s="222" t="str">
        <x:v>درصد تکمیل</x:v>
      </x:c>
      <x:c r="CP4" s="223" t="str">
        <x:v>توضیحات</x:v>
      </x:c>
    </x:row>
    <x:row r="5">
      <x:c r="A5" s="163" t="n">
        <x:v>1</x:v>
      </x:c>
      <x:c r="B5" s="232" t="str">
        <x:v>تیر</x:v>
      </x:c>
      <x:c r="C5" s="232" t="n">
        <x:f>IF('دانش‌آموزان'!E5="","",'دانش‌آموزان'!B5)</x:f>
        <x:v>1</x:v>
      </x:c>
      <x:c r="D5" s="232" t="str">
        <x:f>IF('دانش‌آموزان'!C5="","",'دانش‌آموزان'!C5)</x:f>
        <x:v>4000000012</x:v>
      </x:c>
      <x:c r="E5" s="232" t="str">
        <x:f>IF('دانش‌آموزان'!E5="","",'دانش‌آموزان'!E5&amp;" "&amp;'دانش‌آموزان'!F5)</x:f>
        <x:v>علی احمدی</x:v>
      </x:c>
      <x:c r="F5" s="164" t="str">
        <x:f>IF('دانش‌آموزان'!I5="","",'دانش‌آموزان'!I5)</x:f>
        <x:v>sample-7-a</x:v>
      </x:c>
      <x:c r="G5" s="111" t="n">
        <x:v>2</x:v>
      </x:c>
      <x:c r="H5" s="112" t="n">
        <x:v>4</x:v>
      </x:c>
      <x:c r="I5" s="112" t="n">
        <x:v>5</x:v>
      </x:c>
      <x:c r="J5" s="112" t="n">
        <x:v>4</x:v>
      </x:c>
      <x:c r="K5" s="112" t="n">
        <x:v>5</x:v>
      </x:c>
      <x:c r="L5" s="112" t="n">
        <x:v>3</x:v>
      </x:c>
      <x:c r="M5" s="112" t="n">
        <x:v>5</x:v>
      </x:c>
      <x:c r="N5" s="112" t="n">
        <x:v>3</x:v>
      </x:c>
      <x:c r="O5" s="112" t="n">
        <x:v>4</x:v>
      </x:c>
      <x:c r="P5" s="112" t="n">
        <x:v>3</x:v>
      </x:c>
      <x:c r="Q5" s="112" t="n">
        <x:v>4</x:v>
      </x:c>
      <x:c r="R5" s="112" t="n">
        <x:v>2</x:v>
      </x:c>
      <x:c r="S5" s="112" t="n">
        <x:v>4</x:v>
      </x:c>
      <x:c r="T5" s="112" t="n">
        <x:v>5</x:v>
      </x:c>
      <x:c r="U5" s="112" t="n">
        <x:v>4</x:v>
      </x:c>
      <x:c r="V5" s="112" t="n">
        <x:v>5</x:v>
      </x:c>
      <x:c r="W5" s="112" t="n">
        <x:v>3</x:v>
      </x:c>
      <x:c r="X5" s="112" t="n">
        <x:v>5</x:v>
      </x:c>
      <x:c r="Y5" s="112" t="n">
        <x:v>3</x:v>
      </x:c>
      <x:c r="Z5" s="112" t="n">
        <x:v>4</x:v>
      </x:c>
      <x:c r="AA5" s="112" t="n">
        <x:v>3</x:v>
      </x:c>
      <x:c r="AB5" s="112" t="n">
        <x:v>4</x:v>
      </x:c>
      <x:c r="AC5" s="112" t="n">
        <x:v>2</x:v>
      </x:c>
      <x:c r="AD5" s="112" t="n">
        <x:v>4</x:v>
      </x:c>
      <x:c r="AE5" s="112" t="n">
        <x:v>5</x:v>
      </x:c>
      <x:c r="AF5" s="112" t="n">
        <x:v>4</x:v>
      </x:c>
      <x:c r="AG5" s="112" t="n">
        <x:v>5</x:v>
      </x:c>
      <x:c r="AH5" s="112" t="n">
        <x:v>3</x:v>
      </x:c>
      <x:c r="AI5" s="112" t="n">
        <x:v>5</x:v>
      </x:c>
      <x:c r="AJ5" s="112" t="n">
        <x:v>3</x:v>
      </x:c>
      <x:c r="AK5" s="112" t="n">
        <x:v>4</x:v>
      </x:c>
      <x:c r="AL5" s="112" t="n">
        <x:v>3</x:v>
      </x:c>
      <x:c r="AM5" s="112" t="n">
        <x:v>4</x:v>
      </x:c>
      <x:c r="AN5" s="112" t="n">
        <x:v>2</x:v>
      </x:c>
      <x:c r="AO5" s="112" t="n">
        <x:v>4</x:v>
      </x:c>
      <x:c r="AP5" s="112" t="n">
        <x:v>5</x:v>
      </x:c>
      <x:c r="AQ5" s="112" t="n">
        <x:v>4</x:v>
      </x:c>
      <x:c r="AR5" s="112" t="n">
        <x:v>5</x:v>
      </x:c>
      <x:c r="AS5" s="112" t="n">
        <x:v>3</x:v>
      </x:c>
      <x:c r="AT5" s="112" t="n">
        <x:v>5</x:v>
      </x:c>
      <x:c r="AU5" s="112" t="n">
        <x:v>3</x:v>
      </x:c>
      <x:c r="AV5" s="112" t="n">
        <x:v>4</x:v>
      </x:c>
      <x:c r="AW5" s="112" t="n">
        <x:v>3</x:v>
      </x:c>
      <x:c r="AX5" s="112" t="n">
        <x:v>4</x:v>
      </x:c>
      <x:c r="AY5" s="112" t="n">
        <x:v>2</x:v>
      </x:c>
      <x:c r="AZ5" s="112" t="n">
        <x:v>4</x:v>
      </x:c>
      <x:c r="BA5" s="112" t="n">
        <x:v>5</x:v>
      </x:c>
      <x:c r="BB5" s="112" t="n">
        <x:v>4</x:v>
      </x:c>
      <x:c r="BC5" s="112" t="n">
        <x:v>5</x:v>
      </x:c>
      <x:c r="BD5" s="112" t="n">
        <x:v>3</x:v>
      </x:c>
      <x:c r="BE5" s="112" t="n">
        <x:v>5</x:v>
      </x:c>
      <x:c r="BF5" s="112" t="n">
        <x:v>3</x:v>
      </x:c>
      <x:c r="BG5" s="112" t="n">
        <x:v>4</x:v>
      </x:c>
      <x:c r="BH5" s="112" t="n">
        <x:v>3</x:v>
      </x:c>
      <x:c r="BI5" s="112" t="n">
        <x:v>4</x:v>
      </x:c>
      <x:c r="BJ5" s="112" t="n">
        <x:v>2</x:v>
      </x:c>
      <x:c r="BK5" s="112" t="n">
        <x:v>4</x:v>
      </x:c>
      <x:c r="BL5" s="112" t="n">
        <x:v>5</x:v>
      </x:c>
      <x:c r="BM5" s="112" t="n">
        <x:v>4</x:v>
      </x:c>
      <x:c r="BN5" s="112" t="n">
        <x:v>5</x:v>
      </x:c>
      <x:c r="BO5" s="112" t="n">
        <x:v>3</x:v>
      </x:c>
      <x:c r="BP5" s="112" t="n">
        <x:v>5</x:v>
      </x:c>
      <x:c r="BQ5" s="112" t="n">
        <x:v>3</x:v>
      </x:c>
      <x:c r="BR5" s="112" t="n">
        <x:v>4</x:v>
      </x:c>
      <x:c r="BS5" s="112" t="n">
        <x:v>3</x:v>
      </x:c>
      <x:c r="BT5" s="112" t="n">
        <x:v>4</x:v>
      </x:c>
      <x:c r="BU5" s="112" t="n">
        <x:v>2</x:v>
      </x:c>
      <x:c r="BV5" s="112" t="n">
        <x:v>4</x:v>
      </x:c>
      <x:c r="BW5" s="112" t="n">
        <x:v>5</x:v>
      </x:c>
      <x:c r="BX5" s="112" t="n">
        <x:v>4</x:v>
      </x:c>
      <x:c r="BY5" s="112" t="n">
        <x:v>5</x:v>
      </x:c>
      <x:c r="BZ5" s="112" t="n">
        <x:v>3</x:v>
      </x:c>
      <x:c r="CA5" s="112" t="n">
        <x:v>5</x:v>
      </x:c>
      <x:c r="CB5" s="113" t="n">
        <x:v>3</x:v>
      </x:c>
      <x:c r="CC5" s="139" t="n">
        <x:f>IF(COUNT(G5:P5)=0,"",AVERAGE(G5:P5)*4)</x:f>
        <x:v>15.2</x:v>
      </x:c>
      <x:c r="CD5" s="177" t="n">
        <x:f>IF(COUNT(Q5:Z5)=0,"",AVERAGE(Q5:Z5)*4)</x:f>
        <x:v>15.6</x:v>
      </x:c>
      <x:c r="CE5" s="177" t="n">
        <x:f>IF(COUNT(AA5:AJ5)=0,"",AVERAGE(AA5:AJ5)*4)</x:f>
        <x:v>15.2</x:v>
      </x:c>
      <x:c r="CF5" s="177" t="n">
        <x:f>IF(COUNT(AK5:AR5)=0,"",AVERAGE(AK5:AR5)*4)</x:f>
        <x:v>15.5</x:v>
      </x:c>
      <x:c r="CG5" s="177" t="n">
        <x:f>IF(COUNT(AS5:AY5)=0,"",AVERAGE(AS5:AY5)*4)</x:f>
        <x:v>13.714285714285714</x:v>
      </x:c>
      <x:c r="CH5" s="177" t="n">
        <x:f>IF(COUNT(AZ5:BG5)=0,"",AVERAGE(AZ5:BG5)*4)</x:f>
        <x:v>16.5</x:v>
      </x:c>
      <x:c r="CI5" s="177" t="n">
        <x:f>IF(COUNT(BH5:BN5)=0,"",AVERAGE(BH5:BN5)*4)</x:f>
        <x:v>15.428571428571429</x:v>
      </x:c>
      <x:c r="CJ5" s="177" t="n">
        <x:f>IF(COUNT(BO5:BU5)=0,"",AVERAGE(BO5:BU5)*4)</x:f>
        <x:v>13.714285714285714</x:v>
      </x:c>
      <x:c r="CK5" s="177" t="n">
        <x:f>IF(COUNT(BV5:CB5)=0,"",AVERAGE(BV5:CB5)*4)</x:f>
        <x:v>16.571428571428573</x:v>
      </x:c>
      <x:c r="CL5" s="177" t="n">
        <x:f>IF(C5="","",IF(COUNT(G5:CB5)&lt;74,"",(CC5*'تنظیمات وزن‌دهی'!$C$5+CD5*'تنظیمات وزن‌دهی'!$C$6+CE5*'تنظیمات وزن‌دهی'!$C$7+CF5*'تنظیمات وزن‌دهی'!$C$8+CG5*'تنظیمات وزن‌دهی'!$C$9+CH5*'تنظیمات وزن‌دهی'!$C$10+CI5*'تنظیمات وزن‌دهی'!$C$11+CJ5*'تنظیمات وزن‌دهی'!$C$12+CK5*'تنظیمات وزن‌دهی'!$C$13)/100))</x:f>
        <x:v>15.327857142857143</x:v>
      </x:c>
      <x:c r="CM5" s="177" t="str">
        <x:f>IF(C5="","",IF(COUNT(G5:CB5)=0,"",IF(COUNT(G5:CB5)&lt;74,"موقت - اطلاعات ناقص",IF(CL5&gt;=17,"عالی",IF(CL5&gt;=14,"خوب",IF(CL5&gt;=10,"متوسط","ضعیف"))))))</x:f>
        <x:v>خوب</x:v>
      </x:c>
      <x:c r="CN5" s="177" t="n">
        <x:v>1</x:v>
      </x:c>
      <x:c r="CO5" s="140" t="n">
        <x:f>IF(C5="","",COUNT(G5:CB5)/74)</x:f>
        <x:v>1</x:v>
      </x:c>
      <x:c r="CP5" s="244" t="str">
        <x:v>داده نمونه کامل برای ماه تیر - دانش‌آموز شماره 1</x:v>
      </x:c>
    </x:row>
    <x:row r="6">
      <x:c r="A6" s="165" t="n">
        <x:v>2</x:v>
      </x:c>
      <x:c r="B6" s="233" t="str">
        <x:v>مرداد</x:v>
      </x:c>
      <x:c r="C6" s="233" t="n">
        <x:f>IF('دانش‌آموزان'!E5="","",'دانش‌آموزان'!B5)</x:f>
        <x:v>1</x:v>
      </x:c>
      <x:c r="D6" s="233" t="str">
        <x:f>IF('دانش‌آموزان'!C5="","",'دانش‌آموزان'!C5)</x:f>
        <x:v>4000000012</x:v>
      </x:c>
      <x:c r="E6" s="233" t="str">
        <x:f>IF('دانش‌آموزان'!E5="","",'دانش‌آموزان'!E5&amp;" "&amp;'دانش‌آموزان'!F5)</x:f>
        <x:v>علی احمدی</x:v>
      </x:c>
      <x:c r="F6" s="166" t="str">
        <x:f>IF('دانش‌آموزان'!I5="","",'دانش‌آموزان'!I5)</x:f>
        <x:v>sample-7-a</x:v>
      </x:c>
      <x:c r="G6" s="114"/>
      <x:c r="H6" s="115"/>
      <x:c r="I6" s="115"/>
      <x:c r="J6" s="115"/>
      <x:c r="K6" s="115"/>
      <x:c r="L6" s="115"/>
      <x:c r="M6" s="115"/>
      <x:c r="N6" s="115"/>
      <x:c r="O6" s="115"/>
      <x:c r="P6" s="115"/>
      <x:c r="Q6" s="115"/>
      <x:c r="R6" s="115"/>
      <x:c r="S6" s="115"/>
      <x:c r="T6" s="115"/>
      <x:c r="U6" s="115"/>
      <x:c r="V6" s="115"/>
      <x:c r="W6" s="115"/>
      <x:c r="X6" s="115"/>
      <x:c r="Y6" s="115"/>
      <x:c r="Z6" s="115"/>
      <x:c r="AA6" s="115"/>
      <x:c r="AB6" s="115"/>
      <x:c r="AC6" s="115"/>
      <x:c r="AD6" s="115"/>
      <x:c r="AE6" s="115"/>
      <x:c r="AF6" s="115"/>
      <x:c r="AG6" s="115"/>
      <x:c r="AH6" s="115"/>
      <x:c r="AI6" s="115"/>
      <x:c r="AJ6" s="115"/>
      <x:c r="AK6" s="115"/>
      <x:c r="AL6" s="115"/>
      <x:c r="AM6" s="115"/>
      <x:c r="AN6" s="115"/>
      <x:c r="AO6" s="115"/>
      <x:c r="AP6" s="115"/>
      <x:c r="AQ6" s="115"/>
      <x:c r="AR6" s="115"/>
      <x:c r="AS6" s="115"/>
      <x:c r="AT6" s="115"/>
      <x:c r="AU6" s="115"/>
      <x:c r="AV6" s="115"/>
      <x:c r="AW6" s="115"/>
      <x:c r="AX6" s="115"/>
      <x:c r="AY6" s="115"/>
      <x:c r="AZ6" s="115"/>
      <x:c r="BA6" s="115"/>
      <x:c r="BB6" s="115"/>
      <x:c r="BC6" s="115"/>
      <x:c r="BD6" s="115"/>
      <x:c r="BE6" s="115"/>
      <x:c r="BF6" s="115"/>
      <x:c r="BG6" s="115"/>
      <x:c r="BH6" s="115"/>
      <x:c r="BI6" s="115"/>
      <x:c r="BJ6" s="115"/>
      <x:c r="BK6" s="115"/>
      <x:c r="BL6" s="115"/>
      <x:c r="BM6" s="115"/>
      <x:c r="BN6" s="115"/>
      <x:c r="BO6" s="115"/>
      <x:c r="BP6" s="115"/>
      <x:c r="BQ6" s="115"/>
      <x:c r="BR6" s="115"/>
      <x:c r="BS6" s="115"/>
      <x:c r="BT6" s="115"/>
      <x:c r="BU6" s="115"/>
      <x:c r="BV6" s="115"/>
      <x:c r="BW6" s="115"/>
      <x:c r="BX6" s="115"/>
      <x:c r="BY6" s="115"/>
      <x:c r="BZ6" s="115"/>
      <x:c r="CA6" s="115"/>
      <x:c r="CB6" s="116"/>
      <x:c r="CC6" s="141" t="str">
        <x:f>IF(COUNT(G6:P6)=0,"",AVERAGE(G6:P6)*4)</x:f>
      </x:c>
      <x:c r="CD6" s="178" t="str">
        <x:f>IF(COUNT(Q6:Z6)=0,"",AVERAGE(Q6:Z6)*4)</x:f>
      </x:c>
      <x:c r="CE6" s="178" t="str">
        <x:f>IF(COUNT(AA6:AJ6)=0,"",AVERAGE(AA6:AJ6)*4)</x:f>
      </x:c>
      <x:c r="CF6" s="178" t="str">
        <x:f>IF(COUNT(AK6:AR6)=0,"",AVERAGE(AK6:AR6)*4)</x:f>
      </x:c>
      <x:c r="CG6" s="178" t="str">
        <x:f>IF(COUNT(AS6:AY6)=0,"",AVERAGE(AS6:AY6)*4)</x:f>
      </x:c>
      <x:c r="CH6" s="178" t="str">
        <x:f>IF(COUNT(AZ6:BG6)=0,"",AVERAGE(AZ6:BG6)*4)</x:f>
      </x:c>
      <x:c r="CI6" s="178" t="str">
        <x:f>IF(COUNT(BH6:BN6)=0,"",AVERAGE(BH6:BN6)*4)</x:f>
      </x:c>
      <x:c r="CJ6" s="178" t="str">
        <x:f>IF(COUNT(BO6:BU6)=0,"",AVERAGE(BO6:BU6)*4)</x:f>
      </x:c>
      <x:c r="CK6" s="178" t="str">
        <x:f>IF(COUNT(BV6:CB6)=0,"",AVERAGE(BV6:CB6)*4)</x:f>
      </x:c>
      <x:c r="CL6" s="178" t="str">
        <x:f>IF(C6="","",IF(COUNT(G6:CB6)&lt;74,"",(CC6*'تنظیمات وزن‌دهی'!$C$5+CD6*'تنظیمات وزن‌دهی'!$C$6+CE6*'تنظیمات وزن‌دهی'!$C$7+CF6*'تنظیمات وزن‌دهی'!$C$8+CG6*'تنظیمات وزن‌دهی'!$C$9+CH6*'تنظیمات وزن‌دهی'!$C$10+CI6*'تنظیمات وزن‌دهی'!$C$11+CJ6*'تنظیمات وزن‌دهی'!$C$12+CK6*'تنظیمات وزن‌دهی'!$C$13)/100))</x:f>
      </x:c>
      <x:c r="CM6" s="178" t="str">
        <x:f>IF(C6="","",IF(COUNT(G6:CB6)=0,"",IF(COUNT(G6:CB6)&lt;74,"موقت - اطلاعات ناقص",IF(CL6&gt;=17,"عالی",IF(CL6&gt;=14,"خوب",IF(CL6&gt;=10,"متوسط","ضعیف"))))))</x:f>
      </x:c>
      <x:c r="CN6" s="178" t="n">
        <x:v>2</x:v>
      </x:c>
      <x:c r="CO6" s="142" t="n">
        <x:f>IF(C6="","",COUNT(G6:CB6)/74)</x:f>
        <x:v>0</x:v>
      </x:c>
      <x:c r="CP6" s="245"/>
    </x:row>
    <x:row r="7">
      <x:c r="A7" s="165" t="n">
        <x:v>3</x:v>
      </x:c>
      <x:c r="B7" s="233" t="str">
        <x:v>شهریور</x:v>
      </x:c>
      <x:c r="C7" s="233" t="n">
        <x:f>IF('دانش‌آموزان'!E5="","",'دانش‌آموزان'!B5)</x:f>
        <x:v>1</x:v>
      </x:c>
      <x:c r="D7" s="233" t="str">
        <x:f>IF('دانش‌آموزان'!C5="","",'دانش‌آموزان'!C5)</x:f>
        <x:v>4000000012</x:v>
      </x:c>
      <x:c r="E7" s="233" t="str">
        <x:f>IF('دانش‌آموزان'!E5="","",'دانش‌آموزان'!E5&amp;" "&amp;'دانش‌آموزان'!F5)</x:f>
        <x:v>علی احمدی</x:v>
      </x:c>
      <x:c r="F7" s="166" t="str">
        <x:f>IF('دانش‌آموزان'!I5="","",'دانش‌آموزان'!I5)</x:f>
        <x:v>sample-7-a</x:v>
      </x:c>
      <x:c r="G7" s="114"/>
      <x:c r="H7" s="115"/>
      <x:c r="I7" s="115"/>
      <x:c r="J7" s="115"/>
      <x:c r="K7" s="115"/>
      <x:c r="L7" s="115"/>
      <x:c r="M7" s="115"/>
      <x:c r="N7" s="115"/>
      <x:c r="O7" s="115"/>
      <x:c r="P7" s="115"/>
      <x:c r="Q7" s="115"/>
      <x:c r="R7" s="115"/>
      <x:c r="S7" s="115"/>
      <x:c r="T7" s="115"/>
      <x:c r="U7" s="115"/>
      <x:c r="V7" s="115"/>
      <x:c r="W7" s="115"/>
      <x:c r="X7" s="115"/>
      <x:c r="Y7" s="115"/>
      <x:c r="Z7" s="115"/>
      <x:c r="AA7" s="115"/>
      <x:c r="AB7" s="115"/>
      <x:c r="AC7" s="115"/>
      <x:c r="AD7" s="115"/>
      <x:c r="AE7" s="115"/>
      <x:c r="AF7" s="115"/>
      <x:c r="AG7" s="115"/>
      <x:c r="AH7" s="115"/>
      <x:c r="AI7" s="115"/>
      <x:c r="AJ7" s="115"/>
      <x:c r="AK7" s="115"/>
      <x:c r="AL7" s="115"/>
      <x:c r="AM7" s="115"/>
      <x:c r="AN7" s="115"/>
      <x:c r="AO7" s="115"/>
      <x:c r="AP7" s="115"/>
      <x:c r="AQ7" s="115"/>
      <x:c r="AR7" s="115"/>
      <x:c r="AS7" s="115"/>
      <x:c r="AT7" s="115"/>
      <x:c r="AU7" s="115"/>
      <x:c r="AV7" s="115"/>
      <x:c r="AW7" s="115"/>
      <x:c r="AX7" s="115"/>
      <x:c r="AY7" s="115"/>
      <x:c r="AZ7" s="115"/>
      <x:c r="BA7" s="115"/>
      <x:c r="BB7" s="115"/>
      <x:c r="BC7" s="115"/>
      <x:c r="BD7" s="115"/>
      <x:c r="BE7" s="115"/>
      <x:c r="BF7" s="115"/>
      <x:c r="BG7" s="115"/>
      <x:c r="BH7" s="115"/>
      <x:c r="BI7" s="115"/>
      <x:c r="BJ7" s="115"/>
      <x:c r="BK7" s="115"/>
      <x:c r="BL7" s="115"/>
      <x:c r="BM7" s="115"/>
      <x:c r="BN7" s="115"/>
      <x:c r="BO7" s="115"/>
      <x:c r="BP7" s="115"/>
      <x:c r="BQ7" s="115"/>
      <x:c r="BR7" s="115"/>
      <x:c r="BS7" s="115"/>
      <x:c r="BT7" s="115"/>
      <x:c r="BU7" s="115"/>
      <x:c r="BV7" s="115"/>
      <x:c r="BW7" s="115"/>
      <x:c r="BX7" s="115"/>
      <x:c r="BY7" s="115"/>
      <x:c r="BZ7" s="115"/>
      <x:c r="CA7" s="115"/>
      <x:c r="CB7" s="116"/>
      <x:c r="CC7" s="141" t="str">
        <x:f>IF(COUNT(G7:P7)=0,"",AVERAGE(G7:P7)*4)</x:f>
      </x:c>
      <x:c r="CD7" s="178" t="str">
        <x:f>IF(COUNT(Q7:Z7)=0,"",AVERAGE(Q7:Z7)*4)</x:f>
      </x:c>
      <x:c r="CE7" s="178" t="str">
        <x:f>IF(COUNT(AA7:AJ7)=0,"",AVERAGE(AA7:AJ7)*4)</x:f>
      </x:c>
      <x:c r="CF7" s="178" t="str">
        <x:f>IF(COUNT(AK7:AR7)=0,"",AVERAGE(AK7:AR7)*4)</x:f>
      </x:c>
      <x:c r="CG7" s="178" t="str">
        <x:f>IF(COUNT(AS7:AY7)=0,"",AVERAGE(AS7:AY7)*4)</x:f>
      </x:c>
      <x:c r="CH7" s="178" t="str">
        <x:f>IF(COUNT(AZ7:BG7)=0,"",AVERAGE(AZ7:BG7)*4)</x:f>
      </x:c>
      <x:c r="CI7" s="178" t="str">
        <x:f>IF(COUNT(BH7:BN7)=0,"",AVERAGE(BH7:BN7)*4)</x:f>
      </x:c>
      <x:c r="CJ7" s="178" t="str">
        <x:f>IF(COUNT(BO7:BU7)=0,"",AVERAGE(BO7:BU7)*4)</x:f>
      </x:c>
      <x:c r="CK7" s="178" t="str">
        <x:f>IF(COUNT(BV7:CB7)=0,"",AVERAGE(BV7:CB7)*4)</x:f>
      </x:c>
      <x:c r="CL7" s="178" t="str">
        <x:f>IF(C7="","",IF(COUNT(G7:CB7)&lt;74,"",(CC7*'تنظیمات وزن‌دهی'!$C$5+CD7*'تنظیمات وزن‌دهی'!$C$6+CE7*'تنظیمات وزن‌دهی'!$C$7+CF7*'تنظیمات وزن‌دهی'!$C$8+CG7*'تنظیمات وزن‌دهی'!$C$9+CH7*'تنظیمات وزن‌دهی'!$C$10+CI7*'تنظیمات وزن‌دهی'!$C$11+CJ7*'تنظیمات وزن‌دهی'!$C$12+CK7*'تنظیمات وزن‌دهی'!$C$13)/100))</x:f>
      </x:c>
      <x:c r="CM7" s="178" t="str">
        <x:f>IF(C7="","",IF(COUNT(G7:CB7)=0,"",IF(COUNT(G7:CB7)&lt;74,"موقت - اطلاعات ناقص",IF(CL7&gt;=17,"عالی",IF(CL7&gt;=14,"خوب",IF(CL7&gt;=10,"متوسط","ضعیف"))))))</x:f>
      </x:c>
      <x:c r="CN7" s="178" t="n">
        <x:v>3</x:v>
      </x:c>
      <x:c r="CO7" s="142" t="n">
        <x:f>IF(C7="","",COUNT(G7:CB7)/74)</x:f>
        <x:v>0</x:v>
      </x:c>
      <x:c r="CP7" s="245"/>
    </x:row>
    <x:row r="8">
      <x:c r="A8" s="165" t="n">
        <x:v>4</x:v>
      </x:c>
      <x:c r="B8" s="233" t="str">
        <x:v>مهر</x:v>
      </x:c>
      <x:c r="C8" s="233" t="n">
        <x:f>IF('دانش‌آموزان'!E5="","",'دانش‌آموزان'!B5)</x:f>
        <x:v>1</x:v>
      </x:c>
      <x:c r="D8" s="233" t="str">
        <x:f>IF('دانش‌آموزان'!C5="","",'دانش‌آموزان'!C5)</x:f>
        <x:v>4000000012</x:v>
      </x:c>
      <x:c r="E8" s="233" t="str">
        <x:f>IF('دانش‌آموزان'!E5="","",'دانش‌آموزان'!E5&amp;" "&amp;'دانش‌آموزان'!F5)</x:f>
        <x:v>علی احمدی</x:v>
      </x:c>
      <x:c r="F8" s="166" t="str">
        <x:f>IF('دانش‌آموزان'!I5="","",'دانش‌آموزان'!I5)</x:f>
        <x:v>sample-7-a</x:v>
      </x:c>
      <x:c r="G8" s="114"/>
      <x:c r="H8" s="115"/>
      <x:c r="I8" s="115"/>
      <x:c r="J8" s="115"/>
      <x:c r="K8" s="115"/>
      <x:c r="L8" s="115"/>
      <x:c r="M8" s="115"/>
      <x:c r="N8" s="115"/>
      <x:c r="O8" s="115"/>
      <x:c r="P8" s="115"/>
      <x:c r="Q8" s="115"/>
      <x:c r="R8" s="115"/>
      <x:c r="S8" s="115"/>
      <x:c r="T8" s="115"/>
      <x:c r="U8" s="115"/>
      <x:c r="V8" s="115"/>
      <x:c r="W8" s="115"/>
      <x:c r="X8" s="115"/>
      <x:c r="Y8" s="115"/>
      <x:c r="Z8" s="115"/>
      <x:c r="AA8" s="115"/>
      <x:c r="AB8" s="115"/>
      <x:c r="AC8" s="115"/>
      <x:c r="AD8" s="115"/>
      <x:c r="AE8" s="115"/>
      <x:c r="AF8" s="115"/>
      <x:c r="AG8" s="115"/>
      <x:c r="AH8" s="115"/>
      <x:c r="AI8" s="115"/>
      <x:c r="AJ8" s="115"/>
      <x:c r="AK8" s="115"/>
      <x:c r="AL8" s="115"/>
      <x:c r="AM8" s="115"/>
      <x:c r="AN8" s="115"/>
      <x:c r="AO8" s="115"/>
      <x:c r="AP8" s="115"/>
      <x:c r="AQ8" s="115"/>
      <x:c r="AR8" s="115"/>
      <x:c r="AS8" s="115"/>
      <x:c r="AT8" s="115"/>
      <x:c r="AU8" s="115"/>
      <x:c r="AV8" s="115"/>
      <x:c r="AW8" s="115"/>
      <x:c r="AX8" s="115"/>
      <x:c r="AY8" s="115"/>
      <x:c r="AZ8" s="115"/>
      <x:c r="BA8" s="115"/>
      <x:c r="BB8" s="115"/>
      <x:c r="BC8" s="115"/>
      <x:c r="BD8" s="115"/>
      <x:c r="BE8" s="115"/>
      <x:c r="BF8" s="115"/>
      <x:c r="BG8" s="115"/>
      <x:c r="BH8" s="115"/>
      <x:c r="BI8" s="115"/>
      <x:c r="BJ8" s="115"/>
      <x:c r="BK8" s="115"/>
      <x:c r="BL8" s="115"/>
      <x:c r="BM8" s="115"/>
      <x:c r="BN8" s="115"/>
      <x:c r="BO8" s="115"/>
      <x:c r="BP8" s="115"/>
      <x:c r="BQ8" s="115"/>
      <x:c r="BR8" s="115"/>
      <x:c r="BS8" s="115"/>
      <x:c r="BT8" s="115"/>
      <x:c r="BU8" s="115"/>
      <x:c r="BV8" s="115"/>
      <x:c r="BW8" s="115"/>
      <x:c r="BX8" s="115"/>
      <x:c r="BY8" s="115"/>
      <x:c r="BZ8" s="115"/>
      <x:c r="CA8" s="115"/>
      <x:c r="CB8" s="116"/>
      <x:c r="CC8" s="141" t="str">
        <x:f>IF(COUNT(G8:P8)=0,"",AVERAGE(G8:P8)*4)</x:f>
      </x:c>
      <x:c r="CD8" s="178" t="str">
        <x:f>IF(COUNT(Q8:Z8)=0,"",AVERAGE(Q8:Z8)*4)</x:f>
      </x:c>
      <x:c r="CE8" s="178" t="str">
        <x:f>IF(COUNT(AA8:AJ8)=0,"",AVERAGE(AA8:AJ8)*4)</x:f>
      </x:c>
      <x:c r="CF8" s="178" t="str">
        <x:f>IF(COUNT(AK8:AR8)=0,"",AVERAGE(AK8:AR8)*4)</x:f>
      </x:c>
      <x:c r="CG8" s="178" t="str">
        <x:f>IF(COUNT(AS8:AY8)=0,"",AVERAGE(AS8:AY8)*4)</x:f>
      </x:c>
      <x:c r="CH8" s="178" t="str">
        <x:f>IF(COUNT(AZ8:BG8)=0,"",AVERAGE(AZ8:BG8)*4)</x:f>
      </x:c>
      <x:c r="CI8" s="178" t="str">
        <x:f>IF(COUNT(BH8:BN8)=0,"",AVERAGE(BH8:BN8)*4)</x:f>
      </x:c>
      <x:c r="CJ8" s="178" t="str">
        <x:f>IF(COUNT(BO8:BU8)=0,"",AVERAGE(BO8:BU8)*4)</x:f>
      </x:c>
      <x:c r="CK8" s="178" t="str">
        <x:f>IF(COUNT(BV8:CB8)=0,"",AVERAGE(BV8:CB8)*4)</x:f>
      </x:c>
      <x:c r="CL8" s="178" t="str">
        <x:f>IF(C8="","",IF(COUNT(G8:CB8)&lt;74,"",(CC8*'تنظیمات وزن‌دهی'!$C$5+CD8*'تنظیمات وزن‌دهی'!$C$6+CE8*'تنظیمات وزن‌دهی'!$C$7+CF8*'تنظیمات وزن‌دهی'!$C$8+CG8*'تنظیمات وزن‌دهی'!$C$9+CH8*'تنظیمات وزن‌دهی'!$C$10+CI8*'تنظیمات وزن‌دهی'!$C$11+CJ8*'تنظیمات وزن‌دهی'!$C$12+CK8*'تنظیمات وزن‌دهی'!$C$13)/100))</x:f>
      </x:c>
      <x:c r="CM8" s="178" t="str">
        <x:f>IF(C8="","",IF(COUNT(G8:CB8)=0,"",IF(COUNT(G8:CB8)&lt;74,"موقت - اطلاعات ناقص",IF(CL8&gt;=17,"عالی",IF(CL8&gt;=14,"خوب",IF(CL8&gt;=10,"متوسط","ضعیف"))))))</x:f>
      </x:c>
      <x:c r="CN8" s="178" t="n">
        <x:v>4</x:v>
      </x:c>
      <x:c r="CO8" s="142" t="n">
        <x:f>IF(C8="","",COUNT(G8:CB8)/74)</x:f>
        <x:v>0</x:v>
      </x:c>
      <x:c r="CP8" s="245"/>
    </x:row>
    <x:row r="9">
      <x:c r="A9" s="165" t="n">
        <x:v>5</x:v>
      </x:c>
      <x:c r="B9" s="233" t="str">
        <x:v>آبان</x:v>
      </x:c>
      <x:c r="C9" s="233" t="n">
        <x:f>IF('دانش‌آموزان'!E5="","",'دانش‌آموزان'!B5)</x:f>
        <x:v>1</x:v>
      </x:c>
      <x:c r="D9" s="233" t="str">
        <x:f>IF('دانش‌آموزان'!C5="","",'دانش‌آموزان'!C5)</x:f>
        <x:v>4000000012</x:v>
      </x:c>
      <x:c r="E9" s="233" t="str">
        <x:f>IF('دانش‌آموزان'!E5="","",'دانش‌آموزان'!E5&amp;" "&amp;'دانش‌آموزان'!F5)</x:f>
        <x:v>علی احمدی</x:v>
      </x:c>
      <x:c r="F9" s="166" t="str">
        <x:f>IF('دانش‌آموزان'!I5="","",'دانش‌آموزان'!I5)</x:f>
        <x:v>sample-7-a</x:v>
      </x:c>
      <x:c r="G9" s="114"/>
      <x:c r="H9" s="115"/>
      <x:c r="I9" s="115"/>
      <x:c r="J9" s="115"/>
      <x:c r="K9" s="115"/>
      <x:c r="L9" s="115"/>
      <x:c r="M9" s="115"/>
      <x:c r="N9" s="115"/>
      <x:c r="O9" s="115"/>
      <x:c r="P9" s="115"/>
      <x:c r="Q9" s="115"/>
      <x:c r="R9" s="115"/>
      <x:c r="S9" s="115"/>
      <x:c r="T9" s="115"/>
      <x:c r="U9" s="115"/>
      <x:c r="V9" s="115"/>
      <x:c r="W9" s="115"/>
      <x:c r="X9" s="115"/>
      <x:c r="Y9" s="115"/>
      <x:c r="Z9" s="115"/>
      <x:c r="AA9" s="115"/>
      <x:c r="AB9" s="115"/>
      <x:c r="AC9" s="115"/>
      <x:c r="AD9" s="115"/>
      <x:c r="AE9" s="115"/>
      <x:c r="AF9" s="115"/>
      <x:c r="AG9" s="115"/>
      <x:c r="AH9" s="115"/>
      <x:c r="AI9" s="115"/>
      <x:c r="AJ9" s="115"/>
      <x:c r="AK9" s="115"/>
      <x:c r="AL9" s="115"/>
      <x:c r="AM9" s="115"/>
      <x:c r="AN9" s="115"/>
      <x:c r="AO9" s="115"/>
      <x:c r="AP9" s="115"/>
      <x:c r="AQ9" s="115"/>
      <x:c r="AR9" s="115"/>
      <x:c r="AS9" s="115"/>
      <x:c r="AT9" s="115"/>
      <x:c r="AU9" s="115"/>
      <x:c r="AV9" s="115"/>
      <x:c r="AW9" s="115"/>
      <x:c r="AX9" s="115"/>
      <x:c r="AY9" s="115"/>
      <x:c r="AZ9" s="115"/>
      <x:c r="BA9" s="115"/>
      <x:c r="BB9" s="115"/>
      <x:c r="BC9" s="115"/>
      <x:c r="BD9" s="115"/>
      <x:c r="BE9" s="115"/>
      <x:c r="BF9" s="115"/>
      <x:c r="BG9" s="115"/>
      <x:c r="BH9" s="115"/>
      <x:c r="BI9" s="115"/>
      <x:c r="BJ9" s="115"/>
      <x:c r="BK9" s="115"/>
      <x:c r="BL9" s="115"/>
      <x:c r="BM9" s="115"/>
      <x:c r="BN9" s="115"/>
      <x:c r="BO9" s="115"/>
      <x:c r="BP9" s="115"/>
      <x:c r="BQ9" s="115"/>
      <x:c r="BR9" s="115"/>
      <x:c r="BS9" s="115"/>
      <x:c r="BT9" s="115"/>
      <x:c r="BU9" s="115"/>
      <x:c r="BV9" s="115"/>
      <x:c r="BW9" s="115"/>
      <x:c r="BX9" s="115"/>
      <x:c r="BY9" s="115"/>
      <x:c r="BZ9" s="115"/>
      <x:c r="CA9" s="115"/>
      <x:c r="CB9" s="116"/>
      <x:c r="CC9" s="141" t="str">
        <x:f>IF(COUNT(G9:P9)=0,"",AVERAGE(G9:P9)*4)</x:f>
      </x:c>
      <x:c r="CD9" s="178" t="str">
        <x:f>IF(COUNT(Q9:Z9)=0,"",AVERAGE(Q9:Z9)*4)</x:f>
      </x:c>
      <x:c r="CE9" s="178" t="str">
        <x:f>IF(COUNT(AA9:AJ9)=0,"",AVERAGE(AA9:AJ9)*4)</x:f>
      </x:c>
      <x:c r="CF9" s="178" t="str">
        <x:f>IF(COUNT(AK9:AR9)=0,"",AVERAGE(AK9:AR9)*4)</x:f>
      </x:c>
      <x:c r="CG9" s="178" t="str">
        <x:f>IF(COUNT(AS9:AY9)=0,"",AVERAGE(AS9:AY9)*4)</x:f>
      </x:c>
      <x:c r="CH9" s="178" t="str">
        <x:f>IF(COUNT(AZ9:BG9)=0,"",AVERAGE(AZ9:BG9)*4)</x:f>
      </x:c>
      <x:c r="CI9" s="178" t="str">
        <x:f>IF(COUNT(BH9:BN9)=0,"",AVERAGE(BH9:BN9)*4)</x:f>
      </x:c>
      <x:c r="CJ9" s="178" t="str">
        <x:f>IF(COUNT(BO9:BU9)=0,"",AVERAGE(BO9:BU9)*4)</x:f>
      </x:c>
      <x:c r="CK9" s="178" t="str">
        <x:f>IF(COUNT(BV9:CB9)=0,"",AVERAGE(BV9:CB9)*4)</x:f>
      </x:c>
      <x:c r="CL9" s="178" t="str">
        <x:f>IF(C9="","",IF(COUNT(G9:CB9)&lt;74,"",(CC9*'تنظیمات وزن‌دهی'!$C$5+CD9*'تنظیمات وزن‌دهی'!$C$6+CE9*'تنظیمات وزن‌دهی'!$C$7+CF9*'تنظیمات وزن‌دهی'!$C$8+CG9*'تنظیمات وزن‌دهی'!$C$9+CH9*'تنظیمات وزن‌دهی'!$C$10+CI9*'تنظیمات وزن‌دهی'!$C$11+CJ9*'تنظیمات وزن‌دهی'!$C$12+CK9*'تنظیمات وزن‌دهی'!$C$13)/100))</x:f>
      </x:c>
      <x:c r="CM9" s="178" t="str">
        <x:f>IF(C9="","",IF(COUNT(G9:CB9)=0,"",IF(COUNT(G9:CB9)&lt;74,"موقت - اطلاعات ناقص",IF(CL9&gt;=17,"عالی",IF(CL9&gt;=14,"خوب",IF(CL9&gt;=10,"متوسط","ضعیف"))))))</x:f>
      </x:c>
      <x:c r="CN9" s="178" t="n">
        <x:v>5</x:v>
      </x:c>
      <x:c r="CO9" s="142" t="n">
        <x:f>IF(C9="","",COUNT(G9:CB9)/74)</x:f>
        <x:v>0</x:v>
      </x:c>
      <x:c r="CP9" s="245"/>
    </x:row>
    <x:row r="10">
      <x:c r="A10" s="165" t="n">
        <x:v>6</x:v>
      </x:c>
      <x:c r="B10" s="233" t="str">
        <x:v>آذر</x:v>
      </x:c>
      <x:c r="C10" s="233" t="n">
        <x:f>IF('دانش‌آموزان'!E5="","",'دانش‌آموزان'!B5)</x:f>
        <x:v>1</x:v>
      </x:c>
      <x:c r="D10" s="233" t="str">
        <x:f>IF('دانش‌آموزان'!C5="","",'دانش‌آموزان'!C5)</x:f>
        <x:v>4000000012</x:v>
      </x:c>
      <x:c r="E10" s="233" t="str">
        <x:f>IF('دانش‌آموزان'!E5="","",'دانش‌آموزان'!E5&amp;" "&amp;'دانش‌آموزان'!F5)</x:f>
        <x:v>علی احمدی</x:v>
      </x:c>
      <x:c r="F10" s="166" t="str">
        <x:f>IF('دانش‌آموزان'!I5="","",'دانش‌آموزان'!I5)</x:f>
        <x:v>sample-7-a</x:v>
      </x:c>
      <x:c r="G10" s="114"/>
      <x:c r="H10" s="115"/>
      <x:c r="I10" s="115"/>
      <x:c r="J10" s="115"/>
      <x:c r="K10" s="115"/>
      <x:c r="L10" s="115"/>
      <x:c r="M10" s="115"/>
      <x:c r="N10" s="115"/>
      <x:c r="O10" s="115"/>
      <x:c r="P10" s="115"/>
      <x:c r="Q10" s="115"/>
      <x:c r="R10" s="115"/>
      <x:c r="S10" s="115"/>
      <x:c r="T10" s="115"/>
      <x:c r="U10" s="115"/>
      <x:c r="V10" s="115"/>
      <x:c r="W10" s="115"/>
      <x:c r="X10" s="115"/>
      <x:c r="Y10" s="115"/>
      <x:c r="Z10" s="115"/>
      <x:c r="AA10" s="115"/>
      <x:c r="AB10" s="115"/>
      <x:c r="AC10" s="115"/>
      <x:c r="AD10" s="115"/>
      <x:c r="AE10" s="115"/>
      <x:c r="AF10" s="115"/>
      <x:c r="AG10" s="115"/>
      <x:c r="AH10" s="115"/>
      <x:c r="AI10" s="115"/>
      <x:c r="AJ10" s="115"/>
      <x:c r="AK10" s="115"/>
      <x:c r="AL10" s="115"/>
      <x:c r="AM10" s="115"/>
      <x:c r="AN10" s="115"/>
      <x:c r="AO10" s="115"/>
      <x:c r="AP10" s="115"/>
      <x:c r="AQ10" s="115"/>
      <x:c r="AR10" s="115"/>
      <x:c r="AS10" s="115"/>
      <x:c r="AT10" s="115"/>
      <x:c r="AU10" s="115"/>
      <x:c r="AV10" s="115"/>
      <x:c r="AW10" s="115"/>
      <x:c r="AX10" s="115"/>
      <x:c r="AY10" s="115"/>
      <x:c r="AZ10" s="115"/>
      <x:c r="BA10" s="115"/>
      <x:c r="BB10" s="115"/>
      <x:c r="BC10" s="115"/>
      <x:c r="BD10" s="115"/>
      <x:c r="BE10" s="115"/>
      <x:c r="BF10" s="115"/>
      <x:c r="BG10" s="115"/>
      <x:c r="BH10" s="115"/>
      <x:c r="BI10" s="115"/>
      <x:c r="BJ10" s="115"/>
      <x:c r="BK10" s="115"/>
      <x:c r="BL10" s="115"/>
      <x:c r="BM10" s="115"/>
      <x:c r="BN10" s="115"/>
      <x:c r="BO10" s="115"/>
      <x:c r="BP10" s="115"/>
      <x:c r="BQ10" s="115"/>
      <x:c r="BR10" s="115"/>
      <x:c r="BS10" s="115"/>
      <x:c r="BT10" s="115"/>
      <x:c r="BU10" s="115"/>
      <x:c r="BV10" s="115"/>
      <x:c r="BW10" s="115"/>
      <x:c r="BX10" s="115"/>
      <x:c r="BY10" s="115"/>
      <x:c r="BZ10" s="115"/>
      <x:c r="CA10" s="115"/>
      <x:c r="CB10" s="116"/>
      <x:c r="CC10" s="141" t="str">
        <x:f>IF(COUNT(G10:P10)=0,"",AVERAGE(G10:P10)*4)</x:f>
      </x:c>
      <x:c r="CD10" s="178" t="str">
        <x:f>IF(COUNT(Q10:Z10)=0,"",AVERAGE(Q10:Z10)*4)</x:f>
      </x:c>
      <x:c r="CE10" s="178" t="str">
        <x:f>IF(COUNT(AA10:AJ10)=0,"",AVERAGE(AA10:AJ10)*4)</x:f>
      </x:c>
      <x:c r="CF10" s="178" t="str">
        <x:f>IF(COUNT(AK10:AR10)=0,"",AVERAGE(AK10:AR10)*4)</x:f>
      </x:c>
      <x:c r="CG10" s="178" t="str">
        <x:f>IF(COUNT(AS10:AY10)=0,"",AVERAGE(AS10:AY10)*4)</x:f>
      </x:c>
      <x:c r="CH10" s="178" t="str">
        <x:f>IF(COUNT(AZ10:BG10)=0,"",AVERAGE(AZ10:BG10)*4)</x:f>
      </x:c>
      <x:c r="CI10" s="178" t="str">
        <x:f>IF(COUNT(BH10:BN10)=0,"",AVERAGE(BH10:BN10)*4)</x:f>
      </x:c>
      <x:c r="CJ10" s="178" t="str">
        <x:f>IF(COUNT(BO10:BU10)=0,"",AVERAGE(BO10:BU10)*4)</x:f>
      </x:c>
      <x:c r="CK10" s="178" t="str">
        <x:f>IF(COUNT(BV10:CB10)=0,"",AVERAGE(BV10:CB10)*4)</x:f>
      </x:c>
      <x:c r="CL10" s="178" t="str">
        <x:f>IF(C10="","",IF(COUNT(G10:CB10)&lt;74,"",(CC10*'تنظیمات وزن‌دهی'!$C$5+CD10*'تنظیمات وزن‌دهی'!$C$6+CE10*'تنظیمات وزن‌دهی'!$C$7+CF10*'تنظیمات وزن‌دهی'!$C$8+CG10*'تنظیمات وزن‌دهی'!$C$9+CH10*'تنظیمات وزن‌دهی'!$C$10+CI10*'تنظیمات وزن‌دهی'!$C$11+CJ10*'تنظیمات وزن‌دهی'!$C$12+CK10*'تنظیمات وزن‌دهی'!$C$13)/100))</x:f>
      </x:c>
      <x:c r="CM10" s="178" t="str">
        <x:f>IF(C10="","",IF(COUNT(G10:CB10)=0,"",IF(COUNT(G10:CB10)&lt;74,"موقت - اطلاعات ناقص",IF(CL10&gt;=17,"عالی",IF(CL10&gt;=14,"خوب",IF(CL10&gt;=10,"متوسط","ضعیف"))))))</x:f>
      </x:c>
      <x:c r="CN10" s="178" t="n">
        <x:v>6</x:v>
      </x:c>
      <x:c r="CO10" s="142" t="n">
        <x:f>IF(C10="","",COUNT(G10:CB10)/74)</x:f>
        <x:v>0</x:v>
      </x:c>
      <x:c r="CP10" s="245"/>
    </x:row>
    <x:row r="11">
      <x:c r="A11" s="165" t="n">
        <x:v>7</x:v>
      </x:c>
      <x:c r="B11" s="233" t="str">
        <x:v>دی</x:v>
      </x:c>
      <x:c r="C11" s="233" t="n">
        <x:f>IF('دانش‌آموزان'!E5="","",'دانش‌آموزان'!B5)</x:f>
        <x:v>1</x:v>
      </x:c>
      <x:c r="D11" s="233" t="str">
        <x:f>IF('دانش‌آموزان'!C5="","",'دانش‌آموزان'!C5)</x:f>
        <x:v>4000000012</x:v>
      </x:c>
      <x:c r="E11" s="233" t="str">
        <x:f>IF('دانش‌آموزان'!E5="","",'دانش‌آموزان'!E5&amp;" "&amp;'دانش‌آموزان'!F5)</x:f>
        <x:v>علی احمدی</x:v>
      </x:c>
      <x:c r="F11" s="166" t="str">
        <x:f>IF('دانش‌آموزان'!I5="","",'دانش‌آموزان'!I5)</x:f>
        <x:v>sample-7-a</x:v>
      </x:c>
      <x:c r="G11" s="114"/>
      <x:c r="H11" s="115"/>
      <x:c r="I11" s="115"/>
      <x:c r="J11" s="115"/>
      <x:c r="K11" s="115"/>
      <x:c r="L11" s="115"/>
      <x:c r="M11" s="115"/>
      <x:c r="N11" s="115"/>
      <x:c r="O11" s="115"/>
      <x:c r="P11" s="115"/>
      <x:c r="Q11" s="115"/>
      <x:c r="R11" s="115"/>
      <x:c r="S11" s="115"/>
      <x:c r="T11" s="115"/>
      <x:c r="U11" s="115"/>
      <x:c r="V11" s="115"/>
      <x:c r="W11" s="115"/>
      <x:c r="X11" s="115"/>
      <x:c r="Y11" s="115"/>
      <x:c r="Z11" s="115"/>
      <x:c r="AA11" s="115"/>
      <x:c r="AB11" s="115"/>
      <x:c r="AC11" s="115"/>
      <x:c r="AD11" s="115"/>
      <x:c r="AE11" s="115"/>
      <x:c r="AF11" s="115"/>
      <x:c r="AG11" s="115"/>
      <x:c r="AH11" s="115"/>
      <x:c r="AI11" s="115"/>
      <x:c r="AJ11" s="115"/>
      <x:c r="AK11" s="115"/>
      <x:c r="AL11" s="115"/>
      <x:c r="AM11" s="115"/>
      <x:c r="AN11" s="115"/>
      <x:c r="AO11" s="115"/>
      <x:c r="AP11" s="115"/>
      <x:c r="AQ11" s="115"/>
      <x:c r="AR11" s="115"/>
      <x:c r="AS11" s="115"/>
      <x:c r="AT11" s="115"/>
      <x:c r="AU11" s="115"/>
      <x:c r="AV11" s="115"/>
      <x:c r="AW11" s="115"/>
      <x:c r="AX11" s="115"/>
      <x:c r="AY11" s="115"/>
      <x:c r="AZ11" s="115"/>
      <x:c r="BA11" s="115"/>
      <x:c r="BB11" s="115"/>
      <x:c r="BC11" s="115"/>
      <x:c r="BD11" s="115"/>
      <x:c r="BE11" s="115"/>
      <x:c r="BF11" s="115"/>
      <x:c r="BG11" s="115"/>
      <x:c r="BH11" s="115"/>
      <x:c r="BI11" s="115"/>
      <x:c r="BJ11" s="115"/>
      <x:c r="BK11" s="115"/>
      <x:c r="BL11" s="115"/>
      <x:c r="BM11" s="115"/>
      <x:c r="BN11" s="115"/>
      <x:c r="BO11" s="115"/>
      <x:c r="BP11" s="115"/>
      <x:c r="BQ11" s="115"/>
      <x:c r="BR11" s="115"/>
      <x:c r="BS11" s="115"/>
      <x:c r="BT11" s="115"/>
      <x:c r="BU11" s="115"/>
      <x:c r="BV11" s="115"/>
      <x:c r="BW11" s="115"/>
      <x:c r="BX11" s="115"/>
      <x:c r="BY11" s="115"/>
      <x:c r="BZ11" s="115"/>
      <x:c r="CA11" s="115"/>
      <x:c r="CB11" s="116"/>
      <x:c r="CC11" s="141" t="str">
        <x:f>IF(COUNT(G11:P11)=0,"",AVERAGE(G11:P11)*4)</x:f>
      </x:c>
      <x:c r="CD11" s="178" t="str">
        <x:f>IF(COUNT(Q11:Z11)=0,"",AVERAGE(Q11:Z11)*4)</x:f>
      </x:c>
      <x:c r="CE11" s="178" t="str">
        <x:f>IF(COUNT(AA11:AJ11)=0,"",AVERAGE(AA11:AJ11)*4)</x:f>
      </x:c>
      <x:c r="CF11" s="178" t="str">
        <x:f>IF(COUNT(AK11:AR11)=0,"",AVERAGE(AK11:AR11)*4)</x:f>
      </x:c>
      <x:c r="CG11" s="178" t="str">
        <x:f>IF(COUNT(AS11:AY11)=0,"",AVERAGE(AS11:AY11)*4)</x:f>
      </x:c>
      <x:c r="CH11" s="178" t="str">
        <x:f>IF(COUNT(AZ11:BG11)=0,"",AVERAGE(AZ11:BG11)*4)</x:f>
      </x:c>
      <x:c r="CI11" s="178" t="str">
        <x:f>IF(COUNT(BH11:BN11)=0,"",AVERAGE(BH11:BN11)*4)</x:f>
      </x:c>
      <x:c r="CJ11" s="178" t="str">
        <x:f>IF(COUNT(BO11:BU11)=0,"",AVERAGE(BO11:BU11)*4)</x:f>
      </x:c>
      <x:c r="CK11" s="178" t="str">
        <x:f>IF(COUNT(BV11:CB11)=0,"",AVERAGE(BV11:CB11)*4)</x:f>
      </x:c>
      <x:c r="CL11" s="178" t="str">
        <x:f>IF(C11="","",IF(COUNT(G11:CB11)&lt;74,"",(CC11*'تنظیمات وزن‌دهی'!$C$5+CD11*'تنظیمات وزن‌دهی'!$C$6+CE11*'تنظیمات وزن‌دهی'!$C$7+CF11*'تنظیمات وزن‌دهی'!$C$8+CG11*'تنظیمات وزن‌دهی'!$C$9+CH11*'تنظیمات وزن‌دهی'!$C$10+CI11*'تنظیمات وزن‌دهی'!$C$11+CJ11*'تنظیمات وزن‌دهی'!$C$12+CK11*'تنظیمات وزن‌دهی'!$C$13)/100))</x:f>
      </x:c>
      <x:c r="CM11" s="178" t="str">
        <x:f>IF(C11="","",IF(COUNT(G11:CB11)=0,"",IF(COUNT(G11:CB11)&lt;74,"موقت - اطلاعات ناقص",IF(CL11&gt;=17,"عالی",IF(CL11&gt;=14,"خوب",IF(CL11&gt;=10,"متوسط","ضعیف"))))))</x:f>
      </x:c>
      <x:c r="CN11" s="178" t="n">
        <x:v>7</x:v>
      </x:c>
      <x:c r="CO11" s="142" t="n">
        <x:f>IF(C11="","",COUNT(G11:CB11)/74)</x:f>
        <x:v>0</x:v>
      </x:c>
      <x:c r="CP11" s="245"/>
    </x:row>
    <x:row r="12">
      <x:c r="A12" s="165" t="n">
        <x:v>8</x:v>
      </x:c>
      <x:c r="B12" s="233" t="str">
        <x:v>بهمن</x:v>
      </x:c>
      <x:c r="C12" s="233" t="n">
        <x:f>IF('دانش‌آموزان'!E5="","",'دانش‌آموزان'!B5)</x:f>
        <x:v>1</x:v>
      </x:c>
      <x:c r="D12" s="233" t="str">
        <x:f>IF('دانش‌آموزان'!C5="","",'دانش‌آموزان'!C5)</x:f>
        <x:v>4000000012</x:v>
      </x:c>
      <x:c r="E12" s="233" t="str">
        <x:f>IF('دانش‌آموزان'!E5="","",'دانش‌آموزان'!E5&amp;" "&amp;'دانش‌آموزان'!F5)</x:f>
        <x:v>علی احمدی</x:v>
      </x:c>
      <x:c r="F12" s="166" t="str">
        <x:f>IF('دانش‌آموزان'!I5="","",'دانش‌آموزان'!I5)</x:f>
        <x:v>sample-7-a</x:v>
      </x:c>
      <x:c r="G12" s="114"/>
      <x:c r="H12" s="115"/>
      <x:c r="I12" s="115"/>
      <x:c r="J12" s="115"/>
      <x:c r="K12" s="115"/>
      <x:c r="L12" s="115"/>
      <x:c r="M12" s="115"/>
      <x:c r="N12" s="115"/>
      <x:c r="O12" s="115"/>
      <x:c r="P12" s="115"/>
      <x:c r="Q12" s="115"/>
      <x:c r="R12" s="115"/>
      <x:c r="S12" s="115"/>
      <x:c r="T12" s="115"/>
      <x:c r="U12" s="115"/>
      <x:c r="V12" s="115"/>
      <x:c r="W12" s="115"/>
      <x:c r="X12" s="115"/>
      <x:c r="Y12" s="115"/>
      <x:c r="Z12" s="115"/>
      <x:c r="AA12" s="115"/>
      <x:c r="AB12" s="115"/>
      <x:c r="AC12" s="115"/>
      <x:c r="AD12" s="115"/>
      <x:c r="AE12" s="115"/>
      <x:c r="AF12" s="115"/>
      <x:c r="AG12" s="115"/>
      <x:c r="AH12" s="115"/>
      <x:c r="AI12" s="115"/>
      <x:c r="AJ12" s="115"/>
      <x:c r="AK12" s="115"/>
      <x:c r="AL12" s="115"/>
      <x:c r="AM12" s="115"/>
      <x:c r="AN12" s="115"/>
      <x:c r="AO12" s="115"/>
      <x:c r="AP12" s="115"/>
      <x:c r="AQ12" s="115"/>
      <x:c r="AR12" s="115"/>
      <x:c r="AS12" s="115"/>
      <x:c r="AT12" s="115"/>
      <x:c r="AU12" s="115"/>
      <x:c r="AV12" s="115"/>
      <x:c r="AW12" s="115"/>
      <x:c r="AX12" s="115"/>
      <x:c r="AY12" s="115"/>
      <x:c r="AZ12" s="115"/>
      <x:c r="BA12" s="115"/>
      <x:c r="BB12" s="115"/>
      <x:c r="BC12" s="115"/>
      <x:c r="BD12" s="115"/>
      <x:c r="BE12" s="115"/>
      <x:c r="BF12" s="115"/>
      <x:c r="BG12" s="115"/>
      <x:c r="BH12" s="115"/>
      <x:c r="BI12" s="115"/>
      <x:c r="BJ12" s="115"/>
      <x:c r="BK12" s="115"/>
      <x:c r="BL12" s="115"/>
      <x:c r="BM12" s="115"/>
      <x:c r="BN12" s="115"/>
      <x:c r="BO12" s="115"/>
      <x:c r="BP12" s="115"/>
      <x:c r="BQ12" s="115"/>
      <x:c r="BR12" s="115"/>
      <x:c r="BS12" s="115"/>
      <x:c r="BT12" s="115"/>
      <x:c r="BU12" s="115"/>
      <x:c r="BV12" s="115"/>
      <x:c r="BW12" s="115"/>
      <x:c r="BX12" s="115"/>
      <x:c r="BY12" s="115"/>
      <x:c r="BZ12" s="115"/>
      <x:c r="CA12" s="115"/>
      <x:c r="CB12" s="116"/>
      <x:c r="CC12" s="141" t="str">
        <x:f>IF(COUNT(G12:P12)=0,"",AVERAGE(G12:P12)*4)</x:f>
      </x:c>
      <x:c r="CD12" s="178" t="str">
        <x:f>IF(COUNT(Q12:Z12)=0,"",AVERAGE(Q12:Z12)*4)</x:f>
      </x:c>
      <x:c r="CE12" s="178" t="str">
        <x:f>IF(COUNT(AA12:AJ12)=0,"",AVERAGE(AA12:AJ12)*4)</x:f>
      </x:c>
      <x:c r="CF12" s="178" t="str">
        <x:f>IF(COUNT(AK12:AR12)=0,"",AVERAGE(AK12:AR12)*4)</x:f>
      </x:c>
      <x:c r="CG12" s="178" t="str">
        <x:f>IF(COUNT(AS12:AY12)=0,"",AVERAGE(AS12:AY12)*4)</x:f>
      </x:c>
      <x:c r="CH12" s="178" t="str">
        <x:f>IF(COUNT(AZ12:BG12)=0,"",AVERAGE(AZ12:BG12)*4)</x:f>
      </x:c>
      <x:c r="CI12" s="178" t="str">
        <x:f>IF(COUNT(BH12:BN12)=0,"",AVERAGE(BH12:BN12)*4)</x:f>
      </x:c>
      <x:c r="CJ12" s="178" t="str">
        <x:f>IF(COUNT(BO12:BU12)=0,"",AVERAGE(BO12:BU12)*4)</x:f>
      </x:c>
      <x:c r="CK12" s="178" t="str">
        <x:f>IF(COUNT(BV12:CB12)=0,"",AVERAGE(BV12:CB12)*4)</x:f>
      </x:c>
      <x:c r="CL12" s="178" t="str">
        <x:f>IF(C12="","",IF(COUNT(G12:CB12)&lt;74,"",(CC12*'تنظیمات وزن‌دهی'!$C$5+CD12*'تنظیمات وزن‌دهی'!$C$6+CE12*'تنظیمات وزن‌دهی'!$C$7+CF12*'تنظیمات وزن‌دهی'!$C$8+CG12*'تنظیمات وزن‌دهی'!$C$9+CH12*'تنظیمات وزن‌دهی'!$C$10+CI12*'تنظیمات وزن‌دهی'!$C$11+CJ12*'تنظیمات وزن‌دهی'!$C$12+CK12*'تنظیمات وزن‌دهی'!$C$13)/100))</x:f>
      </x:c>
      <x:c r="CM12" s="178" t="str">
        <x:f>IF(C12="","",IF(COUNT(G12:CB12)=0,"",IF(COUNT(G12:CB12)&lt;74,"موقت - اطلاعات ناقص",IF(CL12&gt;=17,"عالی",IF(CL12&gt;=14,"خوب",IF(CL12&gt;=10,"متوسط","ضعیف"))))))</x:f>
      </x:c>
      <x:c r="CN12" s="178" t="n">
        <x:v>8</x:v>
      </x:c>
      <x:c r="CO12" s="142" t="n">
        <x:f>IF(C12="","",COUNT(G12:CB12)/74)</x:f>
        <x:v>0</x:v>
      </x:c>
      <x:c r="CP12" s="245"/>
    </x:row>
    <x:row r="13">
      <x:c r="A13" s="165" t="n">
        <x:v>9</x:v>
      </x:c>
      <x:c r="B13" s="233" t="str">
        <x:v>اسفند</x:v>
      </x:c>
      <x:c r="C13" s="233" t="n">
        <x:f>IF('دانش‌آموزان'!E5="","",'دانش‌آموزان'!B5)</x:f>
        <x:v>1</x:v>
      </x:c>
      <x:c r="D13" s="233" t="str">
        <x:f>IF('دانش‌آموزان'!C5="","",'دانش‌آموزان'!C5)</x:f>
        <x:v>4000000012</x:v>
      </x:c>
      <x:c r="E13" s="233" t="str">
        <x:f>IF('دانش‌آموزان'!E5="","",'دانش‌آموزان'!E5&amp;" "&amp;'دانش‌آموزان'!F5)</x:f>
        <x:v>علی احمدی</x:v>
      </x:c>
      <x:c r="F13" s="166" t="str">
        <x:f>IF('دانش‌آموزان'!I5="","",'دانش‌آموزان'!I5)</x:f>
        <x:v>sample-7-a</x:v>
      </x:c>
      <x:c r="G13" s="114"/>
      <x:c r="H13" s="115"/>
      <x:c r="I13" s="115"/>
      <x:c r="J13" s="115"/>
      <x:c r="K13" s="115"/>
      <x:c r="L13" s="115"/>
      <x:c r="M13" s="115"/>
      <x:c r="N13" s="115"/>
      <x:c r="O13" s="115"/>
      <x:c r="P13" s="115"/>
      <x:c r="Q13" s="115"/>
      <x:c r="R13" s="115"/>
      <x:c r="S13" s="115"/>
      <x:c r="T13" s="115"/>
      <x:c r="U13" s="115"/>
      <x:c r="V13" s="115"/>
      <x:c r="W13" s="115"/>
      <x:c r="X13" s="115"/>
      <x:c r="Y13" s="115"/>
      <x:c r="Z13" s="115"/>
      <x:c r="AA13" s="115"/>
      <x:c r="AB13" s="115"/>
      <x:c r="AC13" s="115"/>
      <x:c r="AD13" s="115"/>
      <x:c r="AE13" s="115"/>
      <x:c r="AF13" s="115"/>
      <x:c r="AG13" s="115"/>
      <x:c r="AH13" s="115"/>
      <x:c r="AI13" s="115"/>
      <x:c r="AJ13" s="115"/>
      <x:c r="AK13" s="115"/>
      <x:c r="AL13" s="115"/>
      <x:c r="AM13" s="115"/>
      <x:c r="AN13" s="115"/>
      <x:c r="AO13" s="115"/>
      <x:c r="AP13" s="115"/>
      <x:c r="AQ13" s="115"/>
      <x:c r="AR13" s="115"/>
      <x:c r="AS13" s="115"/>
      <x:c r="AT13" s="115"/>
      <x:c r="AU13" s="115"/>
      <x:c r="AV13" s="115"/>
      <x:c r="AW13" s="115"/>
      <x:c r="AX13" s="115"/>
      <x:c r="AY13" s="115"/>
      <x:c r="AZ13" s="115"/>
      <x:c r="BA13" s="115"/>
      <x:c r="BB13" s="115"/>
      <x:c r="BC13" s="115"/>
      <x:c r="BD13" s="115"/>
      <x:c r="BE13" s="115"/>
      <x:c r="BF13" s="115"/>
      <x:c r="BG13" s="115"/>
      <x:c r="BH13" s="115"/>
      <x:c r="BI13" s="115"/>
      <x:c r="BJ13" s="115"/>
      <x:c r="BK13" s="115"/>
      <x:c r="BL13" s="115"/>
      <x:c r="BM13" s="115"/>
      <x:c r="BN13" s="115"/>
      <x:c r="BO13" s="115"/>
      <x:c r="BP13" s="115"/>
      <x:c r="BQ13" s="115"/>
      <x:c r="BR13" s="115"/>
      <x:c r="BS13" s="115"/>
      <x:c r="BT13" s="115"/>
      <x:c r="BU13" s="115"/>
      <x:c r="BV13" s="115"/>
      <x:c r="BW13" s="115"/>
      <x:c r="BX13" s="115"/>
      <x:c r="BY13" s="115"/>
      <x:c r="BZ13" s="115"/>
      <x:c r="CA13" s="115"/>
      <x:c r="CB13" s="116"/>
      <x:c r="CC13" s="141" t="str">
        <x:f>IF(COUNT(G13:P13)=0,"",AVERAGE(G13:P13)*4)</x:f>
      </x:c>
      <x:c r="CD13" s="178" t="str">
        <x:f>IF(COUNT(Q13:Z13)=0,"",AVERAGE(Q13:Z13)*4)</x:f>
      </x:c>
      <x:c r="CE13" s="178" t="str">
        <x:f>IF(COUNT(AA13:AJ13)=0,"",AVERAGE(AA13:AJ13)*4)</x:f>
      </x:c>
      <x:c r="CF13" s="178" t="str">
        <x:f>IF(COUNT(AK13:AR13)=0,"",AVERAGE(AK13:AR13)*4)</x:f>
      </x:c>
      <x:c r="CG13" s="178" t="str">
        <x:f>IF(COUNT(AS13:AY13)=0,"",AVERAGE(AS13:AY13)*4)</x:f>
      </x:c>
      <x:c r="CH13" s="178" t="str">
        <x:f>IF(COUNT(AZ13:BG13)=0,"",AVERAGE(AZ13:BG13)*4)</x:f>
      </x:c>
      <x:c r="CI13" s="178" t="str">
        <x:f>IF(COUNT(BH13:BN13)=0,"",AVERAGE(BH13:BN13)*4)</x:f>
      </x:c>
      <x:c r="CJ13" s="178" t="str">
        <x:f>IF(COUNT(BO13:BU13)=0,"",AVERAGE(BO13:BU13)*4)</x:f>
      </x:c>
      <x:c r="CK13" s="178" t="str">
        <x:f>IF(COUNT(BV13:CB13)=0,"",AVERAGE(BV13:CB13)*4)</x:f>
      </x:c>
      <x:c r="CL13" s="178" t="str">
        <x:f>IF(C13="","",IF(COUNT(G13:CB13)&lt;74,"",(CC13*'تنظیمات وزن‌دهی'!$C$5+CD13*'تنظیمات وزن‌دهی'!$C$6+CE13*'تنظیمات وزن‌دهی'!$C$7+CF13*'تنظیمات وزن‌دهی'!$C$8+CG13*'تنظیمات وزن‌دهی'!$C$9+CH13*'تنظیمات وزن‌دهی'!$C$10+CI13*'تنظیمات وزن‌دهی'!$C$11+CJ13*'تنظیمات وزن‌دهی'!$C$12+CK13*'تنظیمات وزن‌دهی'!$C$13)/100))</x:f>
      </x:c>
      <x:c r="CM13" s="178" t="str">
        <x:f>IF(C13="","",IF(COUNT(G13:CB13)=0,"",IF(COUNT(G13:CB13)&lt;74,"موقت - اطلاعات ناقص",IF(CL13&gt;=17,"عالی",IF(CL13&gt;=14,"خوب",IF(CL13&gt;=10,"متوسط","ضعیف"))))))</x:f>
      </x:c>
      <x:c r="CN13" s="178" t="n">
        <x:v>9</x:v>
      </x:c>
      <x:c r="CO13" s="142" t="n">
        <x:f>IF(C13="","",COUNT(G13:CB13)/74)</x:f>
        <x:v>0</x:v>
      </x:c>
      <x:c r="CP13" s="245"/>
    </x:row>
    <x:row r="14">
      <x:c r="A14" s="165" t="n">
        <x:v>10</x:v>
      </x:c>
      <x:c r="B14" s="233" t="str">
        <x:v>فروردین</x:v>
      </x:c>
      <x:c r="C14" s="233" t="n">
        <x:f>IF('دانش‌آموزان'!E5="","",'دانش‌آموزان'!B5)</x:f>
        <x:v>1</x:v>
      </x:c>
      <x:c r="D14" s="233" t="str">
        <x:f>IF('دانش‌آموزان'!C5="","",'دانش‌آموزان'!C5)</x:f>
        <x:v>4000000012</x:v>
      </x:c>
      <x:c r="E14" s="233" t="str">
        <x:f>IF('دانش‌آموزان'!E5="","",'دانش‌آموزان'!E5&amp;" "&amp;'دانش‌آموزان'!F5)</x:f>
        <x:v>علی احمدی</x:v>
      </x:c>
      <x:c r="F14" s="166" t="str">
        <x:f>IF('دانش‌آموزان'!I5="","",'دانش‌آموزان'!I5)</x:f>
        <x:v>sample-7-a</x:v>
      </x:c>
      <x:c r="G14" s="114"/>
      <x:c r="H14" s="115"/>
      <x:c r="I14" s="115"/>
      <x:c r="J14" s="115"/>
      <x:c r="K14" s="115"/>
      <x:c r="L14" s="115"/>
      <x:c r="M14" s="115"/>
      <x:c r="N14" s="115"/>
      <x:c r="O14" s="115"/>
      <x:c r="P14" s="115"/>
      <x:c r="Q14" s="115"/>
      <x:c r="R14" s="115"/>
      <x:c r="S14" s="115"/>
      <x:c r="T14" s="115"/>
      <x:c r="U14" s="115"/>
      <x:c r="V14" s="115"/>
      <x:c r="W14" s="115"/>
      <x:c r="X14" s="115"/>
      <x:c r="Y14" s="115"/>
      <x:c r="Z14" s="115"/>
      <x:c r="AA14" s="115"/>
      <x:c r="AB14" s="115"/>
      <x:c r="AC14" s="115"/>
      <x:c r="AD14" s="115"/>
      <x:c r="AE14" s="115"/>
      <x:c r="AF14" s="115"/>
      <x:c r="AG14" s="115"/>
      <x:c r="AH14" s="115"/>
      <x:c r="AI14" s="115"/>
      <x:c r="AJ14" s="115"/>
      <x:c r="AK14" s="115"/>
      <x:c r="AL14" s="115"/>
      <x:c r="AM14" s="115"/>
      <x:c r="AN14" s="115"/>
      <x:c r="AO14" s="115"/>
      <x:c r="AP14" s="115"/>
      <x:c r="AQ14" s="115"/>
      <x:c r="AR14" s="115"/>
      <x:c r="AS14" s="115"/>
      <x:c r="AT14" s="115"/>
      <x:c r="AU14" s="115"/>
      <x:c r="AV14" s="115"/>
      <x:c r="AW14" s="115"/>
      <x:c r="AX14" s="115"/>
      <x:c r="AY14" s="115"/>
      <x:c r="AZ14" s="115"/>
      <x:c r="BA14" s="115"/>
      <x:c r="BB14" s="115"/>
      <x:c r="BC14" s="115"/>
      <x:c r="BD14" s="115"/>
      <x:c r="BE14" s="115"/>
      <x:c r="BF14" s="115"/>
      <x:c r="BG14" s="115"/>
      <x:c r="BH14" s="115"/>
      <x:c r="BI14" s="115"/>
      <x:c r="BJ14" s="115"/>
      <x:c r="BK14" s="115"/>
      <x:c r="BL14" s="115"/>
      <x:c r="BM14" s="115"/>
      <x:c r="BN14" s="115"/>
      <x:c r="BO14" s="115"/>
      <x:c r="BP14" s="115"/>
      <x:c r="BQ14" s="115"/>
      <x:c r="BR14" s="115"/>
      <x:c r="BS14" s="115"/>
      <x:c r="BT14" s="115"/>
      <x:c r="BU14" s="115"/>
      <x:c r="BV14" s="115"/>
      <x:c r="BW14" s="115"/>
      <x:c r="BX14" s="115"/>
      <x:c r="BY14" s="115"/>
      <x:c r="BZ14" s="115"/>
      <x:c r="CA14" s="115"/>
      <x:c r="CB14" s="116"/>
      <x:c r="CC14" s="141" t="str">
        <x:f>IF(COUNT(G14:P14)=0,"",AVERAGE(G14:P14)*4)</x:f>
      </x:c>
      <x:c r="CD14" s="178" t="str">
        <x:f>IF(COUNT(Q14:Z14)=0,"",AVERAGE(Q14:Z14)*4)</x:f>
      </x:c>
      <x:c r="CE14" s="178" t="str">
        <x:f>IF(COUNT(AA14:AJ14)=0,"",AVERAGE(AA14:AJ14)*4)</x:f>
      </x:c>
      <x:c r="CF14" s="178" t="str">
        <x:f>IF(COUNT(AK14:AR14)=0,"",AVERAGE(AK14:AR14)*4)</x:f>
      </x:c>
      <x:c r="CG14" s="178" t="str">
        <x:f>IF(COUNT(AS14:AY14)=0,"",AVERAGE(AS14:AY14)*4)</x:f>
      </x:c>
      <x:c r="CH14" s="178" t="str">
        <x:f>IF(COUNT(AZ14:BG14)=0,"",AVERAGE(AZ14:BG14)*4)</x:f>
      </x:c>
      <x:c r="CI14" s="178" t="str">
        <x:f>IF(COUNT(BH14:BN14)=0,"",AVERAGE(BH14:BN14)*4)</x:f>
      </x:c>
      <x:c r="CJ14" s="178" t="str">
        <x:f>IF(COUNT(BO14:BU14)=0,"",AVERAGE(BO14:BU14)*4)</x:f>
      </x:c>
      <x:c r="CK14" s="178" t="str">
        <x:f>IF(COUNT(BV14:CB14)=0,"",AVERAGE(BV14:CB14)*4)</x:f>
      </x:c>
      <x:c r="CL14" s="178" t="str">
        <x:f>IF(C14="","",IF(COUNT(G14:CB14)&lt;74,"",(CC14*'تنظیمات وزن‌دهی'!$C$5+CD14*'تنظیمات وزن‌دهی'!$C$6+CE14*'تنظیمات وزن‌دهی'!$C$7+CF14*'تنظیمات وزن‌دهی'!$C$8+CG14*'تنظیمات وزن‌دهی'!$C$9+CH14*'تنظیمات وزن‌دهی'!$C$10+CI14*'تنظیمات وزن‌دهی'!$C$11+CJ14*'تنظیمات وزن‌دهی'!$C$12+CK14*'تنظیمات وزن‌دهی'!$C$13)/100))</x:f>
      </x:c>
      <x:c r="CM14" s="178" t="str">
        <x:f>IF(C14="","",IF(COUNT(G14:CB14)=0,"",IF(COUNT(G14:CB14)&lt;74,"موقت - اطلاعات ناقص",IF(CL14&gt;=17,"عالی",IF(CL14&gt;=14,"خوب",IF(CL14&gt;=10,"متوسط","ضعیف"))))))</x:f>
      </x:c>
      <x:c r="CN14" s="178" t="n">
        <x:v>10</x:v>
      </x:c>
      <x:c r="CO14" s="142" t="n">
        <x:f>IF(C14="","",COUNT(G14:CB14)/74)</x:f>
        <x:v>0</x:v>
      </x:c>
      <x:c r="CP14" s="245"/>
    </x:row>
    <x:row r="15">
      <x:c r="A15" s="165" t="n">
        <x:v>11</x:v>
      </x:c>
      <x:c r="B15" s="233" t="str">
        <x:v>اردیبهشت</x:v>
      </x:c>
      <x:c r="C15" s="233" t="n">
        <x:f>IF('دانش‌آموزان'!E5="","",'دانش‌آموزان'!B5)</x:f>
        <x:v>1</x:v>
      </x:c>
      <x:c r="D15" s="233" t="str">
        <x:f>IF('دانش‌آموزان'!C5="","",'دانش‌آموزان'!C5)</x:f>
        <x:v>4000000012</x:v>
      </x:c>
      <x:c r="E15" s="233" t="str">
        <x:f>IF('دانش‌آموزان'!E5="","",'دانش‌آموزان'!E5&amp;" "&amp;'دانش‌آموزان'!F5)</x:f>
        <x:v>علی احمدی</x:v>
      </x:c>
      <x:c r="F15" s="166" t="str">
        <x:f>IF('دانش‌آموزان'!I5="","",'دانش‌آموزان'!I5)</x:f>
        <x:v>sample-7-a</x:v>
      </x:c>
      <x:c r="G15" s="114"/>
      <x:c r="H15" s="115"/>
      <x:c r="I15" s="115"/>
      <x:c r="J15" s="115"/>
      <x:c r="K15" s="115"/>
      <x:c r="L15" s="115"/>
      <x:c r="M15" s="115"/>
      <x:c r="N15" s="115"/>
      <x:c r="O15" s="115"/>
      <x:c r="P15" s="115"/>
      <x:c r="Q15" s="115"/>
      <x:c r="R15" s="115"/>
      <x:c r="S15" s="115"/>
      <x:c r="T15" s="115"/>
      <x:c r="U15" s="115"/>
      <x:c r="V15" s="115"/>
      <x:c r="W15" s="115"/>
      <x:c r="X15" s="115"/>
      <x:c r="Y15" s="115"/>
      <x:c r="Z15" s="115"/>
      <x:c r="AA15" s="115"/>
      <x:c r="AB15" s="115"/>
      <x:c r="AC15" s="115"/>
      <x:c r="AD15" s="115"/>
      <x:c r="AE15" s="115"/>
      <x:c r="AF15" s="115"/>
      <x:c r="AG15" s="115"/>
      <x:c r="AH15" s="115"/>
      <x:c r="AI15" s="115"/>
      <x:c r="AJ15" s="115"/>
      <x:c r="AK15" s="115"/>
      <x:c r="AL15" s="115"/>
      <x:c r="AM15" s="115"/>
      <x:c r="AN15" s="115"/>
      <x:c r="AO15" s="115"/>
      <x:c r="AP15" s="115"/>
      <x:c r="AQ15" s="115"/>
      <x:c r="AR15" s="115"/>
      <x:c r="AS15" s="115"/>
      <x:c r="AT15" s="115"/>
      <x:c r="AU15" s="115"/>
      <x:c r="AV15" s="115"/>
      <x:c r="AW15" s="115"/>
      <x:c r="AX15" s="115"/>
      <x:c r="AY15" s="115"/>
      <x:c r="AZ15" s="115"/>
      <x:c r="BA15" s="115"/>
      <x:c r="BB15" s="115"/>
      <x:c r="BC15" s="115"/>
      <x:c r="BD15" s="115"/>
      <x:c r="BE15" s="115"/>
      <x:c r="BF15" s="115"/>
      <x:c r="BG15" s="115"/>
      <x:c r="BH15" s="115"/>
      <x:c r="BI15" s="115"/>
      <x:c r="BJ15" s="115"/>
      <x:c r="BK15" s="115"/>
      <x:c r="BL15" s="115"/>
      <x:c r="BM15" s="115"/>
      <x:c r="BN15" s="115"/>
      <x:c r="BO15" s="115"/>
      <x:c r="BP15" s="115"/>
      <x:c r="BQ15" s="115"/>
      <x:c r="BR15" s="115"/>
      <x:c r="BS15" s="115"/>
      <x:c r="BT15" s="115"/>
      <x:c r="BU15" s="115"/>
      <x:c r="BV15" s="115"/>
      <x:c r="BW15" s="115"/>
      <x:c r="BX15" s="115"/>
      <x:c r="BY15" s="115"/>
      <x:c r="BZ15" s="115"/>
      <x:c r="CA15" s="115"/>
      <x:c r="CB15" s="116"/>
      <x:c r="CC15" s="141" t="str">
        <x:f>IF(COUNT(G15:P15)=0,"",AVERAGE(G15:P15)*4)</x:f>
      </x:c>
      <x:c r="CD15" s="178" t="str">
        <x:f>IF(COUNT(Q15:Z15)=0,"",AVERAGE(Q15:Z15)*4)</x:f>
      </x:c>
      <x:c r="CE15" s="178" t="str">
        <x:f>IF(COUNT(AA15:AJ15)=0,"",AVERAGE(AA15:AJ15)*4)</x:f>
      </x:c>
      <x:c r="CF15" s="178" t="str">
        <x:f>IF(COUNT(AK15:AR15)=0,"",AVERAGE(AK15:AR15)*4)</x:f>
      </x:c>
      <x:c r="CG15" s="178" t="str">
        <x:f>IF(COUNT(AS15:AY15)=0,"",AVERAGE(AS15:AY15)*4)</x:f>
      </x:c>
      <x:c r="CH15" s="178" t="str">
        <x:f>IF(COUNT(AZ15:BG15)=0,"",AVERAGE(AZ15:BG15)*4)</x:f>
      </x:c>
      <x:c r="CI15" s="178" t="str">
        <x:f>IF(COUNT(BH15:BN15)=0,"",AVERAGE(BH15:BN15)*4)</x:f>
      </x:c>
      <x:c r="CJ15" s="178" t="str">
        <x:f>IF(COUNT(BO15:BU15)=0,"",AVERAGE(BO15:BU15)*4)</x:f>
      </x:c>
      <x:c r="CK15" s="178" t="str">
        <x:f>IF(COUNT(BV15:CB15)=0,"",AVERAGE(BV15:CB15)*4)</x:f>
      </x:c>
      <x:c r="CL15" s="178" t="str">
        <x:f>IF(C15="","",IF(COUNT(G15:CB15)&lt;74,"",(CC15*'تنظیمات وزن‌دهی'!$C$5+CD15*'تنظیمات وزن‌دهی'!$C$6+CE15*'تنظیمات وزن‌دهی'!$C$7+CF15*'تنظیمات وزن‌دهی'!$C$8+CG15*'تنظیمات وزن‌دهی'!$C$9+CH15*'تنظیمات وزن‌دهی'!$C$10+CI15*'تنظیمات وزن‌دهی'!$C$11+CJ15*'تنظیمات وزن‌دهی'!$C$12+CK15*'تنظیمات وزن‌دهی'!$C$13)/100))</x:f>
      </x:c>
      <x:c r="CM15" s="178" t="str">
        <x:f>IF(C15="","",IF(COUNT(G15:CB15)=0,"",IF(COUNT(G15:CB15)&lt;74,"موقت - اطلاعات ناقص",IF(CL15&gt;=17,"عالی",IF(CL15&gt;=14,"خوب",IF(CL15&gt;=10,"متوسط","ضعیف"))))))</x:f>
      </x:c>
      <x:c r="CN15" s="178" t="n">
        <x:v>11</x:v>
      </x:c>
      <x:c r="CO15" s="142" t="n">
        <x:f>IF(C15="","",COUNT(G15:CB15)/74)</x:f>
        <x:v>0</x:v>
      </x:c>
      <x:c r="CP15" s="245"/>
    </x:row>
    <x:row r="16">
      <x:c r="A16" s="165" t="n">
        <x:v>12</x:v>
      </x:c>
      <x:c r="B16" s="233" t="str">
        <x:v>خرداد</x:v>
      </x:c>
      <x:c r="C16" s="233" t="n">
        <x:f>IF('دانش‌آموزان'!E5="","",'دانش‌آموزان'!B5)</x:f>
        <x:v>1</x:v>
      </x:c>
      <x:c r="D16" s="233" t="str">
        <x:f>IF('دانش‌آموزان'!C5="","",'دانش‌آموزان'!C5)</x:f>
        <x:v>4000000012</x:v>
      </x:c>
      <x:c r="E16" s="233" t="str">
        <x:f>IF('دانش‌آموزان'!E5="","",'دانش‌آموزان'!E5&amp;" "&amp;'دانش‌آموزان'!F5)</x:f>
        <x:v>علی احمدی</x:v>
      </x:c>
      <x:c r="F16" s="166" t="str">
        <x:f>IF('دانش‌آموزان'!I5="","",'دانش‌آموزان'!I5)</x:f>
        <x:v>sample-7-a</x:v>
      </x:c>
      <x:c r="G16" s="114"/>
      <x:c r="H16" s="115"/>
      <x:c r="I16" s="115"/>
      <x:c r="J16" s="115"/>
      <x:c r="K16" s="115"/>
      <x:c r="L16" s="115"/>
      <x:c r="M16" s="115"/>
      <x:c r="N16" s="115"/>
      <x:c r="O16" s="115"/>
      <x:c r="P16" s="115"/>
      <x:c r="Q16" s="115"/>
      <x:c r="R16" s="115"/>
      <x:c r="S16" s="115"/>
      <x:c r="T16" s="115"/>
      <x:c r="U16" s="115"/>
      <x:c r="V16" s="115"/>
      <x:c r="W16" s="115"/>
      <x:c r="X16" s="115"/>
      <x:c r="Y16" s="115"/>
      <x:c r="Z16" s="115"/>
      <x:c r="AA16" s="115"/>
      <x:c r="AB16" s="115"/>
      <x:c r="AC16" s="115"/>
      <x:c r="AD16" s="115"/>
      <x:c r="AE16" s="115"/>
      <x:c r="AF16" s="115"/>
      <x:c r="AG16" s="115"/>
      <x:c r="AH16" s="115"/>
      <x:c r="AI16" s="115"/>
      <x:c r="AJ16" s="115"/>
      <x:c r="AK16" s="115"/>
      <x:c r="AL16" s="115"/>
      <x:c r="AM16" s="115"/>
      <x:c r="AN16" s="115"/>
      <x:c r="AO16" s="115"/>
      <x:c r="AP16" s="115"/>
      <x:c r="AQ16" s="115"/>
      <x:c r="AR16" s="115"/>
      <x:c r="AS16" s="115"/>
      <x:c r="AT16" s="115"/>
      <x:c r="AU16" s="115"/>
      <x:c r="AV16" s="115"/>
      <x:c r="AW16" s="115"/>
      <x:c r="AX16" s="115"/>
      <x:c r="AY16" s="115"/>
      <x:c r="AZ16" s="115"/>
      <x:c r="BA16" s="115"/>
      <x:c r="BB16" s="115"/>
      <x:c r="BC16" s="115"/>
      <x:c r="BD16" s="115"/>
      <x:c r="BE16" s="115"/>
      <x:c r="BF16" s="115"/>
      <x:c r="BG16" s="115"/>
      <x:c r="BH16" s="115"/>
      <x:c r="BI16" s="115"/>
      <x:c r="BJ16" s="115"/>
      <x:c r="BK16" s="115"/>
      <x:c r="BL16" s="115"/>
      <x:c r="BM16" s="115"/>
      <x:c r="BN16" s="115"/>
      <x:c r="BO16" s="115"/>
      <x:c r="BP16" s="115"/>
      <x:c r="BQ16" s="115"/>
      <x:c r="BR16" s="115"/>
      <x:c r="BS16" s="115"/>
      <x:c r="BT16" s="115"/>
      <x:c r="BU16" s="115"/>
      <x:c r="BV16" s="115"/>
      <x:c r="BW16" s="115"/>
      <x:c r="BX16" s="115"/>
      <x:c r="BY16" s="115"/>
      <x:c r="BZ16" s="115"/>
      <x:c r="CA16" s="115"/>
      <x:c r="CB16" s="116"/>
      <x:c r="CC16" s="141" t="str">
        <x:f>IF(COUNT(G16:P16)=0,"",AVERAGE(G16:P16)*4)</x:f>
      </x:c>
      <x:c r="CD16" s="178" t="str">
        <x:f>IF(COUNT(Q16:Z16)=0,"",AVERAGE(Q16:Z16)*4)</x:f>
      </x:c>
      <x:c r="CE16" s="178" t="str">
        <x:f>IF(COUNT(AA16:AJ16)=0,"",AVERAGE(AA16:AJ16)*4)</x:f>
      </x:c>
      <x:c r="CF16" s="178" t="str">
        <x:f>IF(COUNT(AK16:AR16)=0,"",AVERAGE(AK16:AR16)*4)</x:f>
      </x:c>
      <x:c r="CG16" s="178" t="str">
        <x:f>IF(COUNT(AS16:AY16)=0,"",AVERAGE(AS16:AY16)*4)</x:f>
      </x:c>
      <x:c r="CH16" s="178" t="str">
        <x:f>IF(COUNT(AZ16:BG16)=0,"",AVERAGE(AZ16:BG16)*4)</x:f>
      </x:c>
      <x:c r="CI16" s="178" t="str">
        <x:f>IF(COUNT(BH16:BN16)=0,"",AVERAGE(BH16:BN16)*4)</x:f>
      </x:c>
      <x:c r="CJ16" s="178" t="str">
        <x:f>IF(COUNT(BO16:BU16)=0,"",AVERAGE(BO16:BU16)*4)</x:f>
      </x:c>
      <x:c r="CK16" s="178" t="str">
        <x:f>IF(COUNT(BV16:CB16)=0,"",AVERAGE(BV16:CB16)*4)</x:f>
      </x:c>
      <x:c r="CL16" s="178" t="str">
        <x:f>IF(C16="","",IF(COUNT(G16:CB16)&lt;74,"",(CC16*'تنظیمات وزن‌دهی'!$C$5+CD16*'تنظیمات وزن‌دهی'!$C$6+CE16*'تنظیمات وزن‌دهی'!$C$7+CF16*'تنظیمات وزن‌دهی'!$C$8+CG16*'تنظیمات وزن‌دهی'!$C$9+CH16*'تنظیمات وزن‌دهی'!$C$10+CI16*'تنظیمات وزن‌دهی'!$C$11+CJ16*'تنظیمات وزن‌دهی'!$C$12+CK16*'تنظیمات وزن‌دهی'!$C$13)/100))</x:f>
      </x:c>
      <x:c r="CM16" s="178" t="str">
        <x:f>IF(C16="","",IF(COUNT(G16:CB16)=0,"",IF(COUNT(G16:CB16)&lt;74,"موقت - اطلاعات ناقص",IF(CL16&gt;=17,"عالی",IF(CL16&gt;=14,"خوب",IF(CL16&gt;=10,"متوسط","ضعیف"))))))</x:f>
      </x:c>
      <x:c r="CN16" s="178" t="n">
        <x:v>12</x:v>
      </x:c>
      <x:c r="CO16" s="142" t="n">
        <x:f>IF(C16="","",COUNT(G16:CB16)/74)</x:f>
        <x:v>0</x:v>
      </x:c>
      <x:c r="CP16" s="245"/>
    </x:row>
    <x:row r="17">
      <x:c r="A17" s="165" t="n">
        <x:v>13</x:v>
      </x:c>
      <x:c r="B17" s="233" t="str">
        <x:v>تیر</x:v>
      </x:c>
      <x:c r="C17" s="233" t="n">
        <x:f>IF('دانش‌آموزان'!E6="","",'دانش‌آموزان'!B6)</x:f>
        <x:v>2</x:v>
      </x:c>
      <x:c r="D17" s="233" t="str">
        <x:f>IF('دانش‌آموزان'!C6="","",'دانش‌آموزان'!C6)</x:f>
        <x:v>4000000020</x:v>
      </x:c>
      <x:c r="E17" s="233" t="str">
        <x:f>IF('دانش‌آموزان'!E6="","",'دانش‌آموزان'!E6&amp;" "&amp;'دانش‌آموزان'!F6)</x:f>
        <x:v>فاطمه اکبری</x:v>
      </x:c>
      <x:c r="F17" s="166" t="str">
        <x:f>IF('دانش‌آموزان'!I6="","",'دانش‌آموزان'!I6)</x:f>
        <x:v>sample-7-a</x:v>
      </x:c>
      <x:c r="G17" s="114" t="n">
        <x:v>3</x:v>
      </x:c>
      <x:c r="H17" s="115" t="n">
        <x:v>5</x:v>
      </x:c>
      <x:c r="I17" s="115" t="n">
        <x:v>3</x:v>
      </x:c>
      <x:c r="J17" s="115" t="n">
        <x:v>4</x:v>
      </x:c>
      <x:c r="K17" s="115" t="n">
        <x:v>3</x:v>
      </x:c>
      <x:c r="L17" s="115" t="n">
        <x:v>4</x:v>
      </x:c>
      <x:c r="M17" s="115" t="n">
        <x:v>2</x:v>
      </x:c>
      <x:c r="N17" s="115" t="n">
        <x:v>4</x:v>
      </x:c>
      <x:c r="O17" s="115" t="n">
        <x:v>5</x:v>
      </x:c>
      <x:c r="P17" s="115" t="n">
        <x:v>4</x:v>
      </x:c>
      <x:c r="Q17" s="115" t="n">
        <x:v>5</x:v>
      </x:c>
      <x:c r="R17" s="115" t="n">
        <x:v>3</x:v>
      </x:c>
      <x:c r="S17" s="115" t="n">
        <x:v>5</x:v>
      </x:c>
      <x:c r="T17" s="115" t="n">
        <x:v>3</x:v>
      </x:c>
      <x:c r="U17" s="115" t="n">
        <x:v>4</x:v>
      </x:c>
      <x:c r="V17" s="115" t="n">
        <x:v>3</x:v>
      </x:c>
      <x:c r="W17" s="115" t="n">
        <x:v>4</x:v>
      </x:c>
      <x:c r="X17" s="115" t="n">
        <x:v>2</x:v>
      </x:c>
      <x:c r="Y17" s="115" t="n">
        <x:v>4</x:v>
      </x:c>
      <x:c r="Z17" s="115" t="n">
        <x:v>5</x:v>
      </x:c>
      <x:c r="AA17" s="115" t="n">
        <x:v>4</x:v>
      </x:c>
      <x:c r="AB17" s="115" t="n">
        <x:v>5</x:v>
      </x:c>
      <x:c r="AC17" s="115" t="n">
        <x:v>3</x:v>
      </x:c>
      <x:c r="AD17" s="115" t="n">
        <x:v>5</x:v>
      </x:c>
      <x:c r="AE17" s="115" t="n">
        <x:v>3</x:v>
      </x:c>
      <x:c r="AF17" s="115" t="n">
        <x:v>4</x:v>
      </x:c>
      <x:c r="AG17" s="115" t="n">
        <x:v>3</x:v>
      </x:c>
      <x:c r="AH17" s="115" t="n">
        <x:v>4</x:v>
      </x:c>
      <x:c r="AI17" s="115" t="n">
        <x:v>2</x:v>
      </x:c>
      <x:c r="AJ17" s="115" t="n">
        <x:v>4</x:v>
      </x:c>
      <x:c r="AK17" s="115" t="n">
        <x:v>5</x:v>
      </x:c>
      <x:c r="AL17" s="115" t="n">
        <x:v>4</x:v>
      </x:c>
      <x:c r="AM17" s="115" t="n">
        <x:v>5</x:v>
      </x:c>
      <x:c r="AN17" s="115" t="n">
        <x:v>3</x:v>
      </x:c>
      <x:c r="AO17" s="115" t="n">
        <x:v>5</x:v>
      </x:c>
      <x:c r="AP17" s="115" t="n">
        <x:v>3</x:v>
      </x:c>
      <x:c r="AQ17" s="115" t="n">
        <x:v>4</x:v>
      </x:c>
      <x:c r="AR17" s="115" t="n">
        <x:v>3</x:v>
      </x:c>
      <x:c r="AS17" s="115" t="n">
        <x:v>4</x:v>
      </x:c>
      <x:c r="AT17" s="115" t="n">
        <x:v>2</x:v>
      </x:c>
      <x:c r="AU17" s="115" t="n">
        <x:v>4</x:v>
      </x:c>
      <x:c r="AV17" s="115" t="n">
        <x:v>5</x:v>
      </x:c>
      <x:c r="AW17" s="115" t="n">
        <x:v>4</x:v>
      </x:c>
      <x:c r="AX17" s="115" t="n">
        <x:v>5</x:v>
      </x:c>
      <x:c r="AY17" s="115" t="n">
        <x:v>3</x:v>
      </x:c>
      <x:c r="AZ17" s="115" t="n">
        <x:v>5</x:v>
      </x:c>
      <x:c r="BA17" s="115" t="n">
        <x:v>3</x:v>
      </x:c>
      <x:c r="BB17" s="115" t="n">
        <x:v>4</x:v>
      </x:c>
      <x:c r="BC17" s="115" t="n">
        <x:v>3</x:v>
      </x:c>
      <x:c r="BD17" s="115" t="n">
        <x:v>4</x:v>
      </x:c>
      <x:c r="BE17" s="115" t="n">
        <x:v>2</x:v>
      </x:c>
      <x:c r="BF17" s="115" t="n">
        <x:v>4</x:v>
      </x:c>
      <x:c r="BG17" s="115" t="n">
        <x:v>5</x:v>
      </x:c>
      <x:c r="BH17" s="115" t="n">
        <x:v>4</x:v>
      </x:c>
      <x:c r="BI17" s="115" t="n">
        <x:v>5</x:v>
      </x:c>
      <x:c r="BJ17" s="115" t="n">
        <x:v>3</x:v>
      </x:c>
      <x:c r="BK17" s="115" t="n">
        <x:v>5</x:v>
      </x:c>
      <x:c r="BL17" s="115" t="n">
        <x:v>3</x:v>
      </x:c>
      <x:c r="BM17" s="115" t="n">
        <x:v>4</x:v>
      </x:c>
      <x:c r="BN17" s="115" t="n">
        <x:v>3</x:v>
      </x:c>
      <x:c r="BO17" s="115" t="n">
        <x:v>4</x:v>
      </x:c>
      <x:c r="BP17" s="115" t="n">
        <x:v>2</x:v>
      </x:c>
      <x:c r="BQ17" s="115" t="n">
        <x:v>4</x:v>
      </x:c>
      <x:c r="BR17" s="115" t="n">
        <x:v>5</x:v>
      </x:c>
      <x:c r="BS17" s="115" t="n">
        <x:v>4</x:v>
      </x:c>
      <x:c r="BT17" s="115" t="n">
        <x:v>5</x:v>
      </x:c>
      <x:c r="BU17" s="115" t="n">
        <x:v>3</x:v>
      </x:c>
      <x:c r="BV17" s="115" t="n">
        <x:v>5</x:v>
      </x:c>
      <x:c r="BW17" s="115" t="n">
        <x:v>3</x:v>
      </x:c>
      <x:c r="BX17" s="115" t="n">
        <x:v>4</x:v>
      </x:c>
      <x:c r="BY17" s="115" t="n">
        <x:v>3</x:v>
      </x:c>
      <x:c r="BZ17" s="115" t="n">
        <x:v>4</x:v>
      </x:c>
      <x:c r="CA17" s="115" t="n">
        <x:v>2</x:v>
      </x:c>
      <x:c r="CB17" s="116" t="n">
        <x:v>4</x:v>
      </x:c>
      <x:c r="CC17" s="141" t="n">
        <x:f>IF(COUNT(G17:P17)=0,"",AVERAGE(G17:P17)*4)</x:f>
        <x:v>14.8</x:v>
      </x:c>
      <x:c r="CD17" s="178" t="n">
        <x:f>IF(COUNT(Q17:Z17)=0,"",AVERAGE(Q17:Z17)*4)</x:f>
        <x:v>15.2</x:v>
      </x:c>
      <x:c r="CE17" s="178" t="n">
        <x:f>IF(COUNT(AA17:AJ17)=0,"",AVERAGE(AA17:AJ17)*4)</x:f>
        <x:v>14.8</x:v>
      </x:c>
      <x:c r="CF17" s="178" t="n">
        <x:f>IF(COUNT(AK17:AR17)=0,"",AVERAGE(AK17:AR17)*4)</x:f>
        <x:v>16</x:v>
      </x:c>
      <x:c r="CG17" s="178" t="n">
        <x:f>IF(COUNT(AS17:AY17)=0,"",AVERAGE(AS17:AY17)*4)</x:f>
        <x:v>15.428571428571429</x:v>
      </x:c>
      <x:c r="CH17" s="178" t="n">
        <x:f>IF(COUNT(AZ17:BG17)=0,"",AVERAGE(AZ17:BG17)*4)</x:f>
        <x:v>15</x:v>
      </x:c>
      <x:c r="CI17" s="178" t="n">
        <x:f>IF(COUNT(BH17:BN17)=0,"",AVERAGE(BH17:BN17)*4)</x:f>
        <x:v>15.428571428571429</x:v>
      </x:c>
      <x:c r="CJ17" s="178" t="n">
        <x:f>IF(COUNT(BO17:BU17)=0,"",AVERAGE(BO17:BU17)*4)</x:f>
        <x:v>15.428571428571429</x:v>
      </x:c>
      <x:c r="CK17" s="178" t="n">
        <x:f>IF(COUNT(BV17:CB17)=0,"",AVERAGE(BV17:CB17)*4)</x:f>
        <x:v>14.285714285714286</x:v>
      </x:c>
      <x:c r="CL17" s="178" t="n">
        <x:f>IF(C17="","",IF(COUNT(G17:CB17)&lt;74,"",(CC17*'تنظیمات وزن‌دهی'!$C$5+CD17*'تنظیمات وزن‌دهی'!$C$6+CE17*'تنظیمات وزن‌دهی'!$C$7+CF17*'تنظیمات وزن‌دهی'!$C$8+CG17*'تنظیمات وزن‌دهی'!$C$9+CH17*'تنظیمات وزن‌دهی'!$C$10+CI17*'تنظیمات وزن‌دهی'!$C$11+CJ17*'تنظیمات وزن‌دهی'!$C$12+CK17*'تنظیمات وزن‌دهی'!$C$13)/100))</x:f>
        <x:v>15.145714285714286</x:v>
      </x:c>
      <x:c r="CM17" s="178" t="str">
        <x:f>IF(C17="","",IF(COUNT(G17:CB17)=0,"",IF(COUNT(G17:CB17)&lt;74,"موقت - اطلاعات ناقص",IF(CL17&gt;=17,"عالی",IF(CL17&gt;=14,"خوب",IF(CL17&gt;=10,"متوسط","ضعیف"))))))</x:f>
        <x:v>خوب</x:v>
      </x:c>
      <x:c r="CN17" s="178" t="n">
        <x:v>1</x:v>
      </x:c>
      <x:c r="CO17" s="142" t="n">
        <x:f>IF(C17="","",COUNT(G17:CB17)/74)</x:f>
        <x:v>1</x:v>
      </x:c>
      <x:c r="CP17" s="245" t="str">
        <x:v>داده نمونه کامل برای ماه تیر - دانش‌آموز شماره 2</x:v>
      </x:c>
    </x:row>
    <x:row r="18">
      <x:c r="A18" s="165" t="n">
        <x:v>14</x:v>
      </x:c>
      <x:c r="B18" s="233" t="str">
        <x:v>مرداد</x:v>
      </x:c>
      <x:c r="C18" s="233" t="n">
        <x:f>IF('دانش‌آموزان'!E6="","",'دانش‌آموزان'!B6)</x:f>
        <x:v>2</x:v>
      </x:c>
      <x:c r="D18" s="233" t="str">
        <x:f>IF('دانش‌آموزان'!C6="","",'دانش‌آموزان'!C6)</x:f>
        <x:v>4000000020</x:v>
      </x:c>
      <x:c r="E18" s="233" t="str">
        <x:f>IF('دانش‌آموزان'!E6="","",'دانش‌آموزان'!E6&amp;" "&amp;'دانش‌آموزان'!F6)</x:f>
        <x:v>فاطمه اکبری</x:v>
      </x:c>
      <x:c r="F18" s="166" t="str">
        <x:f>IF('دانش‌آموزان'!I6="","",'دانش‌آموزان'!I6)</x:f>
        <x:v>sample-7-a</x:v>
      </x:c>
      <x:c r="G18" s="114"/>
      <x:c r="H18" s="115"/>
      <x:c r="I18" s="115"/>
      <x:c r="J18" s="115"/>
      <x:c r="K18" s="115"/>
      <x:c r="L18" s="115"/>
      <x:c r="M18" s="115"/>
      <x:c r="N18" s="115"/>
      <x:c r="O18" s="115"/>
      <x:c r="P18" s="115"/>
      <x:c r="Q18" s="115"/>
      <x:c r="R18" s="115"/>
      <x:c r="S18" s="115"/>
      <x:c r="T18" s="115"/>
      <x:c r="U18" s="115"/>
      <x:c r="V18" s="115"/>
      <x:c r="W18" s="115"/>
      <x:c r="X18" s="115"/>
      <x:c r="Y18" s="115"/>
      <x:c r="Z18" s="115"/>
      <x:c r="AA18" s="115"/>
      <x:c r="AB18" s="115"/>
      <x:c r="AC18" s="115"/>
      <x:c r="AD18" s="115"/>
      <x:c r="AE18" s="115"/>
      <x:c r="AF18" s="115"/>
      <x:c r="AG18" s="115"/>
      <x:c r="AH18" s="115"/>
      <x:c r="AI18" s="115"/>
      <x:c r="AJ18" s="115"/>
      <x:c r="AK18" s="115"/>
      <x:c r="AL18" s="115"/>
      <x:c r="AM18" s="115"/>
      <x:c r="AN18" s="115"/>
      <x:c r="AO18" s="115"/>
      <x:c r="AP18" s="115"/>
      <x:c r="AQ18" s="115"/>
      <x:c r="AR18" s="115"/>
      <x:c r="AS18" s="115"/>
      <x:c r="AT18" s="115"/>
      <x:c r="AU18" s="115"/>
      <x:c r="AV18" s="115"/>
      <x:c r="AW18" s="115"/>
      <x:c r="AX18" s="115"/>
      <x:c r="AY18" s="115"/>
      <x:c r="AZ18" s="115"/>
      <x:c r="BA18" s="115"/>
      <x:c r="BB18" s="115"/>
      <x:c r="BC18" s="115"/>
      <x:c r="BD18" s="115"/>
      <x:c r="BE18" s="115"/>
      <x:c r="BF18" s="115"/>
      <x:c r="BG18" s="115"/>
      <x:c r="BH18" s="115"/>
      <x:c r="BI18" s="115"/>
      <x:c r="BJ18" s="115"/>
      <x:c r="BK18" s="115"/>
      <x:c r="BL18" s="115"/>
      <x:c r="BM18" s="115"/>
      <x:c r="BN18" s="115"/>
      <x:c r="BO18" s="115"/>
      <x:c r="BP18" s="115"/>
      <x:c r="BQ18" s="115"/>
      <x:c r="BR18" s="115"/>
      <x:c r="BS18" s="115"/>
      <x:c r="BT18" s="115"/>
      <x:c r="BU18" s="115"/>
      <x:c r="BV18" s="115"/>
      <x:c r="BW18" s="115"/>
      <x:c r="BX18" s="115"/>
      <x:c r="BY18" s="115"/>
      <x:c r="BZ18" s="115"/>
      <x:c r="CA18" s="115"/>
      <x:c r="CB18" s="116"/>
      <x:c r="CC18" s="141" t="str">
        <x:f>IF(COUNT(G18:P18)=0,"",AVERAGE(G18:P18)*4)</x:f>
      </x:c>
      <x:c r="CD18" s="178" t="str">
        <x:f>IF(COUNT(Q18:Z18)=0,"",AVERAGE(Q18:Z18)*4)</x:f>
      </x:c>
      <x:c r="CE18" s="178" t="str">
        <x:f>IF(COUNT(AA18:AJ18)=0,"",AVERAGE(AA18:AJ18)*4)</x:f>
      </x:c>
      <x:c r="CF18" s="178" t="str">
        <x:f>IF(COUNT(AK18:AR18)=0,"",AVERAGE(AK18:AR18)*4)</x:f>
      </x:c>
      <x:c r="CG18" s="178" t="str">
        <x:f>IF(COUNT(AS18:AY18)=0,"",AVERAGE(AS18:AY18)*4)</x:f>
      </x:c>
      <x:c r="CH18" s="178" t="str">
        <x:f>IF(COUNT(AZ18:BG18)=0,"",AVERAGE(AZ18:BG18)*4)</x:f>
      </x:c>
      <x:c r="CI18" s="178" t="str">
        <x:f>IF(COUNT(BH18:BN18)=0,"",AVERAGE(BH18:BN18)*4)</x:f>
      </x:c>
      <x:c r="CJ18" s="178" t="str">
        <x:f>IF(COUNT(BO18:BU18)=0,"",AVERAGE(BO18:BU18)*4)</x:f>
      </x:c>
      <x:c r="CK18" s="178" t="str">
        <x:f>IF(COUNT(BV18:CB18)=0,"",AVERAGE(BV18:CB18)*4)</x:f>
      </x:c>
      <x:c r="CL18" s="178" t="str">
        <x:f>IF(C18="","",IF(COUNT(G18:CB18)&lt;74,"",(CC18*'تنظیمات وزن‌دهی'!$C$5+CD18*'تنظیمات وزن‌دهی'!$C$6+CE18*'تنظیمات وزن‌دهی'!$C$7+CF18*'تنظیمات وزن‌دهی'!$C$8+CG18*'تنظیمات وزن‌دهی'!$C$9+CH18*'تنظیمات وزن‌دهی'!$C$10+CI18*'تنظیمات وزن‌دهی'!$C$11+CJ18*'تنظیمات وزن‌دهی'!$C$12+CK18*'تنظیمات وزن‌دهی'!$C$13)/100))</x:f>
      </x:c>
      <x:c r="CM18" s="178" t="str">
        <x:f>IF(C18="","",IF(COUNT(G18:CB18)=0,"",IF(COUNT(G18:CB18)&lt;74,"موقت - اطلاعات ناقص",IF(CL18&gt;=17,"عالی",IF(CL18&gt;=14,"خوب",IF(CL18&gt;=10,"متوسط","ضعیف"))))))</x:f>
      </x:c>
      <x:c r="CN18" s="178" t="n">
        <x:v>2</x:v>
      </x:c>
      <x:c r="CO18" s="142" t="n">
        <x:f>IF(C18="","",COUNT(G18:CB18)/74)</x:f>
        <x:v>0</x:v>
      </x:c>
      <x:c r="CP18" s="245"/>
    </x:row>
    <x:row r="19">
      <x:c r="A19" s="165" t="n">
        <x:v>15</x:v>
      </x:c>
      <x:c r="B19" s="233" t="str">
        <x:v>شهریور</x:v>
      </x:c>
      <x:c r="C19" s="233" t="n">
        <x:f>IF('دانش‌آموزان'!E6="","",'دانش‌آموزان'!B6)</x:f>
        <x:v>2</x:v>
      </x:c>
      <x:c r="D19" s="233" t="str">
        <x:f>IF('دانش‌آموزان'!C6="","",'دانش‌آموزان'!C6)</x:f>
        <x:v>4000000020</x:v>
      </x:c>
      <x:c r="E19" s="233" t="str">
        <x:f>IF('دانش‌آموزان'!E6="","",'دانش‌آموزان'!E6&amp;" "&amp;'دانش‌آموزان'!F6)</x:f>
        <x:v>فاطمه اکبری</x:v>
      </x:c>
      <x:c r="F19" s="166" t="str">
        <x:f>IF('دانش‌آموزان'!I6="","",'دانش‌آموزان'!I6)</x:f>
        <x:v>sample-7-a</x:v>
      </x:c>
      <x:c r="G19" s="114"/>
      <x:c r="H19" s="115"/>
      <x:c r="I19" s="115"/>
      <x:c r="J19" s="115"/>
      <x:c r="K19" s="115"/>
      <x:c r="L19" s="115"/>
      <x:c r="M19" s="115"/>
      <x:c r="N19" s="115"/>
      <x:c r="O19" s="115"/>
      <x:c r="P19" s="115"/>
      <x:c r="Q19" s="115"/>
      <x:c r="R19" s="115"/>
      <x:c r="S19" s="115"/>
      <x:c r="T19" s="115"/>
      <x:c r="U19" s="115"/>
      <x:c r="V19" s="115"/>
      <x:c r="W19" s="115"/>
      <x:c r="X19" s="115"/>
      <x:c r="Y19" s="115"/>
      <x:c r="Z19" s="115"/>
      <x:c r="AA19" s="115"/>
      <x:c r="AB19" s="115"/>
      <x:c r="AC19" s="115"/>
      <x:c r="AD19" s="115"/>
      <x:c r="AE19" s="115"/>
      <x:c r="AF19" s="115"/>
      <x:c r="AG19" s="115"/>
      <x:c r="AH19" s="115"/>
      <x:c r="AI19" s="115"/>
      <x:c r="AJ19" s="115"/>
      <x:c r="AK19" s="115"/>
      <x:c r="AL19" s="115"/>
      <x:c r="AM19" s="115"/>
      <x:c r="AN19" s="115"/>
      <x:c r="AO19" s="115"/>
      <x:c r="AP19" s="115"/>
      <x:c r="AQ19" s="115"/>
      <x:c r="AR19" s="115"/>
      <x:c r="AS19" s="115"/>
      <x:c r="AT19" s="115"/>
      <x:c r="AU19" s="115"/>
      <x:c r="AV19" s="115"/>
      <x:c r="AW19" s="115"/>
      <x:c r="AX19" s="115"/>
      <x:c r="AY19" s="115"/>
      <x:c r="AZ19" s="115"/>
      <x:c r="BA19" s="115"/>
      <x:c r="BB19" s="115"/>
      <x:c r="BC19" s="115"/>
      <x:c r="BD19" s="115"/>
      <x:c r="BE19" s="115"/>
      <x:c r="BF19" s="115"/>
      <x:c r="BG19" s="115"/>
      <x:c r="BH19" s="115"/>
      <x:c r="BI19" s="115"/>
      <x:c r="BJ19" s="115"/>
      <x:c r="BK19" s="115"/>
      <x:c r="BL19" s="115"/>
      <x:c r="BM19" s="115"/>
      <x:c r="BN19" s="115"/>
      <x:c r="BO19" s="115"/>
      <x:c r="BP19" s="115"/>
      <x:c r="BQ19" s="115"/>
      <x:c r="BR19" s="115"/>
      <x:c r="BS19" s="115"/>
      <x:c r="BT19" s="115"/>
      <x:c r="BU19" s="115"/>
      <x:c r="BV19" s="115"/>
      <x:c r="BW19" s="115"/>
      <x:c r="BX19" s="115"/>
      <x:c r="BY19" s="115"/>
      <x:c r="BZ19" s="115"/>
      <x:c r="CA19" s="115"/>
      <x:c r="CB19" s="116"/>
      <x:c r="CC19" s="141" t="str">
        <x:f>IF(COUNT(G19:P19)=0,"",AVERAGE(G19:P19)*4)</x:f>
      </x:c>
      <x:c r="CD19" s="178" t="str">
        <x:f>IF(COUNT(Q19:Z19)=0,"",AVERAGE(Q19:Z19)*4)</x:f>
      </x:c>
      <x:c r="CE19" s="178" t="str">
        <x:f>IF(COUNT(AA19:AJ19)=0,"",AVERAGE(AA19:AJ19)*4)</x:f>
      </x:c>
      <x:c r="CF19" s="178" t="str">
        <x:f>IF(COUNT(AK19:AR19)=0,"",AVERAGE(AK19:AR19)*4)</x:f>
      </x:c>
      <x:c r="CG19" s="178" t="str">
        <x:f>IF(COUNT(AS19:AY19)=0,"",AVERAGE(AS19:AY19)*4)</x:f>
      </x:c>
      <x:c r="CH19" s="178" t="str">
        <x:f>IF(COUNT(AZ19:BG19)=0,"",AVERAGE(AZ19:BG19)*4)</x:f>
      </x:c>
      <x:c r="CI19" s="178" t="str">
        <x:f>IF(COUNT(BH19:BN19)=0,"",AVERAGE(BH19:BN19)*4)</x:f>
      </x:c>
      <x:c r="CJ19" s="178" t="str">
        <x:f>IF(COUNT(BO19:BU19)=0,"",AVERAGE(BO19:BU19)*4)</x:f>
      </x:c>
      <x:c r="CK19" s="178" t="str">
        <x:f>IF(COUNT(BV19:CB19)=0,"",AVERAGE(BV19:CB19)*4)</x:f>
      </x:c>
      <x:c r="CL19" s="178" t="str">
        <x:f>IF(C19="","",IF(COUNT(G19:CB19)&lt;74,"",(CC19*'تنظیمات وزن‌دهی'!$C$5+CD19*'تنظیمات وزن‌دهی'!$C$6+CE19*'تنظیمات وزن‌دهی'!$C$7+CF19*'تنظیمات وزن‌دهی'!$C$8+CG19*'تنظیمات وزن‌دهی'!$C$9+CH19*'تنظیمات وزن‌دهی'!$C$10+CI19*'تنظیمات وزن‌دهی'!$C$11+CJ19*'تنظیمات وزن‌دهی'!$C$12+CK19*'تنظیمات وزن‌دهی'!$C$13)/100))</x:f>
      </x:c>
      <x:c r="CM19" s="178" t="str">
        <x:f>IF(C19="","",IF(COUNT(G19:CB19)=0,"",IF(COUNT(G19:CB19)&lt;74,"موقت - اطلاعات ناقص",IF(CL19&gt;=17,"عالی",IF(CL19&gt;=14,"خوب",IF(CL19&gt;=10,"متوسط","ضعیف"))))))</x:f>
      </x:c>
      <x:c r="CN19" s="178" t="n">
        <x:v>3</x:v>
      </x:c>
      <x:c r="CO19" s="142" t="n">
        <x:f>IF(C19="","",COUNT(G19:CB19)/74)</x:f>
        <x:v>0</x:v>
      </x:c>
      <x:c r="CP19" s="245"/>
    </x:row>
    <x:row r="20">
      <x:c r="A20" s="165" t="n">
        <x:v>16</x:v>
      </x:c>
      <x:c r="B20" s="233" t="str">
        <x:v>مهر</x:v>
      </x:c>
      <x:c r="C20" s="233" t="n">
        <x:f>IF('دانش‌آموزان'!E6="","",'دانش‌آموزان'!B6)</x:f>
        <x:v>2</x:v>
      </x:c>
      <x:c r="D20" s="233" t="str">
        <x:f>IF('دانش‌آموزان'!C6="","",'دانش‌آموزان'!C6)</x:f>
        <x:v>4000000020</x:v>
      </x:c>
      <x:c r="E20" s="233" t="str">
        <x:f>IF('دانش‌آموزان'!E6="","",'دانش‌آموزان'!E6&amp;" "&amp;'دانش‌آموزان'!F6)</x:f>
        <x:v>فاطمه اکبری</x:v>
      </x:c>
      <x:c r="F20" s="166" t="str">
        <x:f>IF('دانش‌آموزان'!I6="","",'دانش‌آموزان'!I6)</x:f>
        <x:v>sample-7-a</x:v>
      </x:c>
      <x:c r="G20" s="114"/>
      <x:c r="H20" s="115"/>
      <x:c r="I20" s="115"/>
      <x:c r="J20" s="115"/>
      <x:c r="K20" s="115"/>
      <x:c r="L20" s="115"/>
      <x:c r="M20" s="115"/>
      <x:c r="N20" s="115"/>
      <x:c r="O20" s="115"/>
      <x:c r="P20" s="115"/>
      <x:c r="Q20" s="115"/>
      <x:c r="R20" s="115"/>
      <x:c r="S20" s="115"/>
      <x:c r="T20" s="115"/>
      <x:c r="U20" s="115"/>
      <x:c r="V20" s="115"/>
      <x:c r="W20" s="115"/>
      <x:c r="X20" s="115"/>
      <x:c r="Y20" s="115"/>
      <x:c r="Z20" s="115"/>
      <x:c r="AA20" s="115"/>
      <x:c r="AB20" s="115"/>
      <x:c r="AC20" s="115"/>
      <x:c r="AD20" s="115"/>
      <x:c r="AE20" s="115"/>
      <x:c r="AF20" s="115"/>
      <x:c r="AG20" s="115"/>
      <x:c r="AH20" s="115"/>
      <x:c r="AI20" s="115"/>
      <x:c r="AJ20" s="115"/>
      <x:c r="AK20" s="115"/>
      <x:c r="AL20" s="115"/>
      <x:c r="AM20" s="115"/>
      <x:c r="AN20" s="115"/>
      <x:c r="AO20" s="115"/>
      <x:c r="AP20" s="115"/>
      <x:c r="AQ20" s="115"/>
      <x:c r="AR20" s="115"/>
      <x:c r="AS20" s="115"/>
      <x:c r="AT20" s="115"/>
      <x:c r="AU20" s="115"/>
      <x:c r="AV20" s="115"/>
      <x:c r="AW20" s="115"/>
      <x:c r="AX20" s="115"/>
      <x:c r="AY20" s="115"/>
      <x:c r="AZ20" s="115"/>
      <x:c r="BA20" s="115"/>
      <x:c r="BB20" s="115"/>
      <x:c r="BC20" s="115"/>
      <x:c r="BD20" s="115"/>
      <x:c r="BE20" s="115"/>
      <x:c r="BF20" s="115"/>
      <x:c r="BG20" s="115"/>
      <x:c r="BH20" s="115"/>
      <x:c r="BI20" s="115"/>
      <x:c r="BJ20" s="115"/>
      <x:c r="BK20" s="115"/>
      <x:c r="BL20" s="115"/>
      <x:c r="BM20" s="115"/>
      <x:c r="BN20" s="115"/>
      <x:c r="BO20" s="115"/>
      <x:c r="BP20" s="115"/>
      <x:c r="BQ20" s="115"/>
      <x:c r="BR20" s="115"/>
      <x:c r="BS20" s="115"/>
      <x:c r="BT20" s="115"/>
      <x:c r="BU20" s="115"/>
      <x:c r="BV20" s="115"/>
      <x:c r="BW20" s="115"/>
      <x:c r="BX20" s="115"/>
      <x:c r="BY20" s="115"/>
      <x:c r="BZ20" s="115"/>
      <x:c r="CA20" s="115"/>
      <x:c r="CB20" s="116"/>
      <x:c r="CC20" s="141" t="str">
        <x:f>IF(COUNT(G20:P20)=0,"",AVERAGE(G20:P20)*4)</x:f>
      </x:c>
      <x:c r="CD20" s="178" t="str">
        <x:f>IF(COUNT(Q20:Z20)=0,"",AVERAGE(Q20:Z20)*4)</x:f>
      </x:c>
      <x:c r="CE20" s="178" t="str">
        <x:f>IF(COUNT(AA20:AJ20)=0,"",AVERAGE(AA20:AJ20)*4)</x:f>
      </x:c>
      <x:c r="CF20" s="178" t="str">
        <x:f>IF(COUNT(AK20:AR20)=0,"",AVERAGE(AK20:AR20)*4)</x:f>
      </x:c>
      <x:c r="CG20" s="178" t="str">
        <x:f>IF(COUNT(AS20:AY20)=0,"",AVERAGE(AS20:AY20)*4)</x:f>
      </x:c>
      <x:c r="CH20" s="178" t="str">
        <x:f>IF(COUNT(AZ20:BG20)=0,"",AVERAGE(AZ20:BG20)*4)</x:f>
      </x:c>
      <x:c r="CI20" s="178" t="str">
        <x:f>IF(COUNT(BH20:BN20)=0,"",AVERAGE(BH20:BN20)*4)</x:f>
      </x:c>
      <x:c r="CJ20" s="178" t="str">
        <x:f>IF(COUNT(BO20:BU20)=0,"",AVERAGE(BO20:BU20)*4)</x:f>
      </x:c>
      <x:c r="CK20" s="178" t="str">
        <x:f>IF(COUNT(BV20:CB20)=0,"",AVERAGE(BV20:CB20)*4)</x:f>
      </x:c>
      <x:c r="CL20" s="178" t="str">
        <x:f>IF(C20="","",IF(COUNT(G20:CB20)&lt;74,"",(CC20*'تنظیمات وزن‌دهی'!$C$5+CD20*'تنظیمات وزن‌دهی'!$C$6+CE20*'تنظیمات وزن‌دهی'!$C$7+CF20*'تنظیمات وزن‌دهی'!$C$8+CG20*'تنظیمات وزن‌دهی'!$C$9+CH20*'تنظیمات وزن‌دهی'!$C$10+CI20*'تنظیمات وزن‌دهی'!$C$11+CJ20*'تنظیمات وزن‌دهی'!$C$12+CK20*'تنظیمات وزن‌دهی'!$C$13)/100))</x:f>
      </x:c>
      <x:c r="CM20" s="178" t="str">
        <x:f>IF(C20="","",IF(COUNT(G20:CB20)=0,"",IF(COUNT(G20:CB20)&lt;74,"موقت - اطلاعات ناقص",IF(CL20&gt;=17,"عالی",IF(CL20&gt;=14,"خوب",IF(CL20&gt;=10,"متوسط","ضعیف"))))))</x:f>
      </x:c>
      <x:c r="CN20" s="178" t="n">
        <x:v>4</x:v>
      </x:c>
      <x:c r="CO20" s="142" t="n">
        <x:f>IF(C20="","",COUNT(G20:CB20)/74)</x:f>
        <x:v>0</x:v>
      </x:c>
      <x:c r="CP20" s="245"/>
    </x:row>
    <x:row r="21">
      <x:c r="A21" s="165" t="n">
        <x:v>17</x:v>
      </x:c>
      <x:c r="B21" s="233" t="str">
        <x:v>آبان</x:v>
      </x:c>
      <x:c r="C21" s="233" t="n">
        <x:f>IF('دانش‌آموزان'!E6="","",'دانش‌آموزان'!B6)</x:f>
        <x:v>2</x:v>
      </x:c>
      <x:c r="D21" s="233" t="str">
        <x:f>IF('دانش‌آموزان'!C6="","",'دانش‌آموزان'!C6)</x:f>
        <x:v>4000000020</x:v>
      </x:c>
      <x:c r="E21" s="233" t="str">
        <x:f>IF('دانش‌آموزان'!E6="","",'دانش‌آموزان'!E6&amp;" "&amp;'دانش‌آموزان'!F6)</x:f>
        <x:v>فاطمه اکبری</x:v>
      </x:c>
      <x:c r="F21" s="166" t="str">
        <x:f>IF('دانش‌آموزان'!I6="","",'دانش‌آموزان'!I6)</x:f>
        <x:v>sample-7-a</x:v>
      </x:c>
      <x:c r="G21" s="114"/>
      <x:c r="H21" s="115"/>
      <x:c r="I21" s="115"/>
      <x:c r="J21" s="115"/>
      <x:c r="K21" s="115"/>
      <x:c r="L21" s="115"/>
      <x:c r="M21" s="115"/>
      <x:c r="N21" s="115"/>
      <x:c r="O21" s="115"/>
      <x:c r="P21" s="115"/>
      <x:c r="Q21" s="115"/>
      <x:c r="R21" s="115"/>
      <x:c r="S21" s="115"/>
      <x:c r="T21" s="115"/>
      <x:c r="U21" s="115"/>
      <x:c r="V21" s="115"/>
      <x:c r="W21" s="115"/>
      <x:c r="X21" s="115"/>
      <x:c r="Y21" s="115"/>
      <x:c r="Z21" s="115"/>
      <x:c r="AA21" s="115"/>
      <x:c r="AB21" s="115"/>
      <x:c r="AC21" s="115"/>
      <x:c r="AD21" s="115"/>
      <x:c r="AE21" s="115"/>
      <x:c r="AF21" s="115"/>
      <x:c r="AG21" s="115"/>
      <x:c r="AH21" s="115"/>
      <x:c r="AI21" s="115"/>
      <x:c r="AJ21" s="115"/>
      <x:c r="AK21" s="115"/>
      <x:c r="AL21" s="115"/>
      <x:c r="AM21" s="115"/>
      <x:c r="AN21" s="115"/>
      <x:c r="AO21" s="115"/>
      <x:c r="AP21" s="115"/>
      <x:c r="AQ21" s="115"/>
      <x:c r="AR21" s="115"/>
      <x:c r="AS21" s="115"/>
      <x:c r="AT21" s="115"/>
      <x:c r="AU21" s="115"/>
      <x:c r="AV21" s="115"/>
      <x:c r="AW21" s="115"/>
      <x:c r="AX21" s="115"/>
      <x:c r="AY21" s="115"/>
      <x:c r="AZ21" s="115"/>
      <x:c r="BA21" s="115"/>
      <x:c r="BB21" s="115"/>
      <x:c r="BC21" s="115"/>
      <x:c r="BD21" s="115"/>
      <x:c r="BE21" s="115"/>
      <x:c r="BF21" s="115"/>
      <x:c r="BG21" s="115"/>
      <x:c r="BH21" s="115"/>
      <x:c r="BI21" s="115"/>
      <x:c r="BJ21" s="115"/>
      <x:c r="BK21" s="115"/>
      <x:c r="BL21" s="115"/>
      <x:c r="BM21" s="115"/>
      <x:c r="BN21" s="115"/>
      <x:c r="BO21" s="115"/>
      <x:c r="BP21" s="115"/>
      <x:c r="BQ21" s="115"/>
      <x:c r="BR21" s="115"/>
      <x:c r="BS21" s="115"/>
      <x:c r="BT21" s="115"/>
      <x:c r="BU21" s="115"/>
      <x:c r="BV21" s="115"/>
      <x:c r="BW21" s="115"/>
      <x:c r="BX21" s="115"/>
      <x:c r="BY21" s="115"/>
      <x:c r="BZ21" s="115"/>
      <x:c r="CA21" s="115"/>
      <x:c r="CB21" s="116"/>
      <x:c r="CC21" s="141" t="str">
        <x:f>IF(COUNT(G21:P21)=0,"",AVERAGE(G21:P21)*4)</x:f>
      </x:c>
      <x:c r="CD21" s="178" t="str">
        <x:f>IF(COUNT(Q21:Z21)=0,"",AVERAGE(Q21:Z21)*4)</x:f>
      </x:c>
      <x:c r="CE21" s="178" t="str">
        <x:f>IF(COUNT(AA21:AJ21)=0,"",AVERAGE(AA21:AJ21)*4)</x:f>
      </x:c>
      <x:c r="CF21" s="178" t="str">
        <x:f>IF(COUNT(AK21:AR21)=0,"",AVERAGE(AK21:AR21)*4)</x:f>
      </x:c>
      <x:c r="CG21" s="178" t="str">
        <x:f>IF(COUNT(AS21:AY21)=0,"",AVERAGE(AS21:AY21)*4)</x:f>
      </x:c>
      <x:c r="CH21" s="178" t="str">
        <x:f>IF(COUNT(AZ21:BG21)=0,"",AVERAGE(AZ21:BG21)*4)</x:f>
      </x:c>
      <x:c r="CI21" s="178" t="str">
        <x:f>IF(COUNT(BH21:BN21)=0,"",AVERAGE(BH21:BN21)*4)</x:f>
      </x:c>
      <x:c r="CJ21" s="178" t="str">
        <x:f>IF(COUNT(BO21:BU21)=0,"",AVERAGE(BO21:BU21)*4)</x:f>
      </x:c>
      <x:c r="CK21" s="178" t="str">
        <x:f>IF(COUNT(BV21:CB21)=0,"",AVERAGE(BV21:CB21)*4)</x:f>
      </x:c>
      <x:c r="CL21" s="178" t="str">
        <x:f>IF(C21="","",IF(COUNT(G21:CB21)&lt;74,"",(CC21*'تنظیمات وزن‌دهی'!$C$5+CD21*'تنظیمات وزن‌دهی'!$C$6+CE21*'تنظیمات وزن‌دهی'!$C$7+CF21*'تنظیمات وزن‌دهی'!$C$8+CG21*'تنظیمات وزن‌دهی'!$C$9+CH21*'تنظیمات وزن‌دهی'!$C$10+CI21*'تنظیمات وزن‌دهی'!$C$11+CJ21*'تنظیمات وزن‌دهی'!$C$12+CK21*'تنظیمات وزن‌دهی'!$C$13)/100))</x:f>
      </x:c>
      <x:c r="CM21" s="178" t="str">
        <x:f>IF(C21="","",IF(COUNT(G21:CB21)=0,"",IF(COUNT(G21:CB21)&lt;74,"موقت - اطلاعات ناقص",IF(CL21&gt;=17,"عالی",IF(CL21&gt;=14,"خوب",IF(CL21&gt;=10,"متوسط","ضعیف"))))))</x:f>
      </x:c>
      <x:c r="CN21" s="178" t="n">
        <x:v>5</x:v>
      </x:c>
      <x:c r="CO21" s="142" t="n">
        <x:f>IF(C21="","",COUNT(G21:CB21)/74)</x:f>
        <x:v>0</x:v>
      </x:c>
      <x:c r="CP21" s="245"/>
    </x:row>
    <x:row r="22">
      <x:c r="A22" s="165" t="n">
        <x:v>18</x:v>
      </x:c>
      <x:c r="B22" s="233" t="str">
        <x:v>آذر</x:v>
      </x:c>
      <x:c r="C22" s="233" t="n">
        <x:f>IF('دانش‌آموزان'!E6="","",'دانش‌آموزان'!B6)</x:f>
        <x:v>2</x:v>
      </x:c>
      <x:c r="D22" s="233" t="str">
        <x:f>IF('دانش‌آموزان'!C6="","",'دانش‌آموزان'!C6)</x:f>
        <x:v>4000000020</x:v>
      </x:c>
      <x:c r="E22" s="233" t="str">
        <x:f>IF('دانش‌آموزان'!E6="","",'دانش‌آموزان'!E6&amp;" "&amp;'دانش‌آموزان'!F6)</x:f>
        <x:v>فاطمه اکبری</x:v>
      </x:c>
      <x:c r="F22" s="166" t="str">
        <x:f>IF('دانش‌آموزان'!I6="","",'دانش‌آموزان'!I6)</x:f>
        <x:v>sample-7-a</x:v>
      </x:c>
      <x:c r="G22" s="114"/>
      <x:c r="H22" s="115"/>
      <x:c r="I22" s="115"/>
      <x:c r="J22" s="115"/>
      <x:c r="K22" s="115"/>
      <x:c r="L22" s="115"/>
      <x:c r="M22" s="115"/>
      <x:c r="N22" s="115"/>
      <x:c r="O22" s="115"/>
      <x:c r="P22" s="115"/>
      <x:c r="Q22" s="115"/>
      <x:c r="R22" s="115"/>
      <x:c r="S22" s="115"/>
      <x:c r="T22" s="115"/>
      <x:c r="U22" s="115"/>
      <x:c r="V22" s="115"/>
      <x:c r="W22" s="115"/>
      <x:c r="X22" s="115"/>
      <x:c r="Y22" s="115"/>
      <x:c r="Z22" s="115"/>
      <x:c r="AA22" s="115"/>
      <x:c r="AB22" s="115"/>
      <x:c r="AC22" s="115"/>
      <x:c r="AD22" s="115"/>
      <x:c r="AE22" s="115"/>
      <x:c r="AF22" s="115"/>
      <x:c r="AG22" s="115"/>
      <x:c r="AH22" s="115"/>
      <x:c r="AI22" s="115"/>
      <x:c r="AJ22" s="115"/>
      <x:c r="AK22" s="115"/>
      <x:c r="AL22" s="115"/>
      <x:c r="AM22" s="115"/>
      <x:c r="AN22" s="115"/>
      <x:c r="AO22" s="115"/>
      <x:c r="AP22" s="115"/>
      <x:c r="AQ22" s="115"/>
      <x:c r="AR22" s="115"/>
      <x:c r="AS22" s="115"/>
      <x:c r="AT22" s="115"/>
      <x:c r="AU22" s="115"/>
      <x:c r="AV22" s="115"/>
      <x:c r="AW22" s="115"/>
      <x:c r="AX22" s="115"/>
      <x:c r="AY22" s="115"/>
      <x:c r="AZ22" s="115"/>
      <x:c r="BA22" s="115"/>
      <x:c r="BB22" s="115"/>
      <x:c r="BC22" s="115"/>
      <x:c r="BD22" s="115"/>
      <x:c r="BE22" s="115"/>
      <x:c r="BF22" s="115"/>
      <x:c r="BG22" s="115"/>
      <x:c r="BH22" s="115"/>
      <x:c r="BI22" s="115"/>
      <x:c r="BJ22" s="115"/>
      <x:c r="BK22" s="115"/>
      <x:c r="BL22" s="115"/>
      <x:c r="BM22" s="115"/>
      <x:c r="BN22" s="115"/>
      <x:c r="BO22" s="115"/>
      <x:c r="BP22" s="115"/>
      <x:c r="BQ22" s="115"/>
      <x:c r="BR22" s="115"/>
      <x:c r="BS22" s="115"/>
      <x:c r="BT22" s="115"/>
      <x:c r="BU22" s="115"/>
      <x:c r="BV22" s="115"/>
      <x:c r="BW22" s="115"/>
      <x:c r="BX22" s="115"/>
      <x:c r="BY22" s="115"/>
      <x:c r="BZ22" s="115"/>
      <x:c r="CA22" s="115"/>
      <x:c r="CB22" s="116"/>
      <x:c r="CC22" s="141" t="str">
        <x:f>IF(COUNT(G22:P22)=0,"",AVERAGE(G22:P22)*4)</x:f>
      </x:c>
      <x:c r="CD22" s="178" t="str">
        <x:f>IF(COUNT(Q22:Z22)=0,"",AVERAGE(Q22:Z22)*4)</x:f>
      </x:c>
      <x:c r="CE22" s="178" t="str">
        <x:f>IF(COUNT(AA22:AJ22)=0,"",AVERAGE(AA22:AJ22)*4)</x:f>
      </x:c>
      <x:c r="CF22" s="178" t="str">
        <x:f>IF(COUNT(AK22:AR22)=0,"",AVERAGE(AK22:AR22)*4)</x:f>
      </x:c>
      <x:c r="CG22" s="178" t="str">
        <x:f>IF(COUNT(AS22:AY22)=0,"",AVERAGE(AS22:AY22)*4)</x:f>
      </x:c>
      <x:c r="CH22" s="178" t="str">
        <x:f>IF(COUNT(AZ22:BG22)=0,"",AVERAGE(AZ22:BG22)*4)</x:f>
      </x:c>
      <x:c r="CI22" s="178" t="str">
        <x:f>IF(COUNT(BH22:BN22)=0,"",AVERAGE(BH22:BN22)*4)</x:f>
      </x:c>
      <x:c r="CJ22" s="178" t="str">
        <x:f>IF(COUNT(BO22:BU22)=0,"",AVERAGE(BO22:BU22)*4)</x:f>
      </x:c>
      <x:c r="CK22" s="178" t="str">
        <x:f>IF(COUNT(BV22:CB22)=0,"",AVERAGE(BV22:CB22)*4)</x:f>
      </x:c>
      <x:c r="CL22" s="178" t="str">
        <x:f>IF(C22="","",IF(COUNT(G22:CB22)&lt;74,"",(CC22*'تنظیمات وزن‌دهی'!$C$5+CD22*'تنظیمات وزن‌دهی'!$C$6+CE22*'تنظیمات وزن‌دهی'!$C$7+CF22*'تنظیمات وزن‌دهی'!$C$8+CG22*'تنظیمات وزن‌دهی'!$C$9+CH22*'تنظیمات وزن‌دهی'!$C$10+CI22*'تنظیمات وزن‌دهی'!$C$11+CJ22*'تنظیمات وزن‌دهی'!$C$12+CK22*'تنظیمات وزن‌دهی'!$C$13)/100))</x:f>
      </x:c>
      <x:c r="CM22" s="178" t="str">
        <x:f>IF(C22="","",IF(COUNT(G22:CB22)=0,"",IF(COUNT(G22:CB22)&lt;74,"موقت - اطلاعات ناقص",IF(CL22&gt;=17,"عالی",IF(CL22&gt;=14,"خوب",IF(CL22&gt;=10,"متوسط","ضعیف"))))))</x:f>
      </x:c>
      <x:c r="CN22" s="178" t="n">
        <x:v>6</x:v>
      </x:c>
      <x:c r="CO22" s="142" t="n">
        <x:f>IF(C22="","",COUNT(G22:CB22)/74)</x:f>
        <x:v>0</x:v>
      </x:c>
      <x:c r="CP22" s="245"/>
    </x:row>
    <x:row r="23">
      <x:c r="A23" s="165" t="n">
        <x:v>19</x:v>
      </x:c>
      <x:c r="B23" s="233" t="str">
        <x:v>دی</x:v>
      </x:c>
      <x:c r="C23" s="233" t="n">
        <x:f>IF('دانش‌آموزان'!E6="","",'دانش‌آموزان'!B6)</x:f>
        <x:v>2</x:v>
      </x:c>
      <x:c r="D23" s="233" t="str">
        <x:f>IF('دانش‌آموزان'!C6="","",'دانش‌آموزان'!C6)</x:f>
        <x:v>4000000020</x:v>
      </x:c>
      <x:c r="E23" s="233" t="str">
        <x:f>IF('دانش‌آموزان'!E6="","",'دانش‌آموزان'!E6&amp;" "&amp;'دانش‌آموزان'!F6)</x:f>
        <x:v>فاطمه اکبری</x:v>
      </x:c>
      <x:c r="F23" s="166" t="str">
        <x:f>IF('دانش‌آموزان'!I6="","",'دانش‌آموزان'!I6)</x:f>
        <x:v>sample-7-a</x:v>
      </x:c>
      <x:c r="G23" s="114"/>
      <x:c r="H23" s="115"/>
      <x:c r="I23" s="115"/>
      <x:c r="J23" s="115"/>
      <x:c r="K23" s="115"/>
      <x:c r="L23" s="115"/>
      <x:c r="M23" s="115"/>
      <x:c r="N23" s="115"/>
      <x:c r="O23" s="115"/>
      <x:c r="P23" s="115"/>
      <x:c r="Q23" s="115"/>
      <x:c r="R23" s="115"/>
      <x:c r="S23" s="115"/>
      <x:c r="T23" s="115"/>
      <x:c r="U23" s="115"/>
      <x:c r="V23" s="115"/>
      <x:c r="W23" s="115"/>
      <x:c r="X23" s="115"/>
      <x:c r="Y23" s="115"/>
      <x:c r="Z23" s="115"/>
      <x:c r="AA23" s="115"/>
      <x:c r="AB23" s="115"/>
      <x:c r="AC23" s="115"/>
      <x:c r="AD23" s="115"/>
      <x:c r="AE23" s="115"/>
      <x:c r="AF23" s="115"/>
      <x:c r="AG23" s="115"/>
      <x:c r="AH23" s="115"/>
      <x:c r="AI23" s="115"/>
      <x:c r="AJ23" s="115"/>
      <x:c r="AK23" s="115"/>
      <x:c r="AL23" s="115"/>
      <x:c r="AM23" s="115"/>
      <x:c r="AN23" s="115"/>
      <x:c r="AO23" s="115"/>
      <x:c r="AP23" s="115"/>
      <x:c r="AQ23" s="115"/>
      <x:c r="AR23" s="115"/>
      <x:c r="AS23" s="115"/>
      <x:c r="AT23" s="115"/>
      <x:c r="AU23" s="115"/>
      <x:c r="AV23" s="115"/>
      <x:c r="AW23" s="115"/>
      <x:c r="AX23" s="115"/>
      <x:c r="AY23" s="115"/>
      <x:c r="AZ23" s="115"/>
      <x:c r="BA23" s="115"/>
      <x:c r="BB23" s="115"/>
      <x:c r="BC23" s="115"/>
      <x:c r="BD23" s="115"/>
      <x:c r="BE23" s="115"/>
      <x:c r="BF23" s="115"/>
      <x:c r="BG23" s="115"/>
      <x:c r="BH23" s="115"/>
      <x:c r="BI23" s="115"/>
      <x:c r="BJ23" s="115"/>
      <x:c r="BK23" s="115"/>
      <x:c r="BL23" s="115"/>
      <x:c r="BM23" s="115"/>
      <x:c r="BN23" s="115"/>
      <x:c r="BO23" s="115"/>
      <x:c r="BP23" s="115"/>
      <x:c r="BQ23" s="115"/>
      <x:c r="BR23" s="115"/>
      <x:c r="BS23" s="115"/>
      <x:c r="BT23" s="115"/>
      <x:c r="BU23" s="115"/>
      <x:c r="BV23" s="115"/>
      <x:c r="BW23" s="115"/>
      <x:c r="BX23" s="115"/>
      <x:c r="BY23" s="115"/>
      <x:c r="BZ23" s="115"/>
      <x:c r="CA23" s="115"/>
      <x:c r="CB23" s="116"/>
      <x:c r="CC23" s="141" t="str">
        <x:f>IF(COUNT(G23:P23)=0,"",AVERAGE(G23:P23)*4)</x:f>
      </x:c>
      <x:c r="CD23" s="178" t="str">
        <x:f>IF(COUNT(Q23:Z23)=0,"",AVERAGE(Q23:Z23)*4)</x:f>
      </x:c>
      <x:c r="CE23" s="178" t="str">
        <x:f>IF(COUNT(AA23:AJ23)=0,"",AVERAGE(AA23:AJ23)*4)</x:f>
      </x:c>
      <x:c r="CF23" s="178" t="str">
        <x:f>IF(COUNT(AK23:AR23)=0,"",AVERAGE(AK23:AR23)*4)</x:f>
      </x:c>
      <x:c r="CG23" s="178" t="str">
        <x:f>IF(COUNT(AS23:AY23)=0,"",AVERAGE(AS23:AY23)*4)</x:f>
      </x:c>
      <x:c r="CH23" s="178" t="str">
        <x:f>IF(COUNT(AZ23:BG23)=0,"",AVERAGE(AZ23:BG23)*4)</x:f>
      </x:c>
      <x:c r="CI23" s="178" t="str">
        <x:f>IF(COUNT(BH23:BN23)=0,"",AVERAGE(BH23:BN23)*4)</x:f>
      </x:c>
      <x:c r="CJ23" s="178" t="str">
        <x:f>IF(COUNT(BO23:BU23)=0,"",AVERAGE(BO23:BU23)*4)</x:f>
      </x:c>
      <x:c r="CK23" s="178" t="str">
        <x:f>IF(COUNT(BV23:CB23)=0,"",AVERAGE(BV23:CB23)*4)</x:f>
      </x:c>
      <x:c r="CL23" s="178" t="str">
        <x:f>IF(C23="","",IF(COUNT(G23:CB23)&lt;74,"",(CC23*'تنظیمات وزن‌دهی'!$C$5+CD23*'تنظیمات وزن‌دهی'!$C$6+CE23*'تنظیمات وزن‌دهی'!$C$7+CF23*'تنظیمات وزن‌دهی'!$C$8+CG23*'تنظیمات وزن‌دهی'!$C$9+CH23*'تنظیمات وزن‌دهی'!$C$10+CI23*'تنظیمات وزن‌دهی'!$C$11+CJ23*'تنظیمات وزن‌دهی'!$C$12+CK23*'تنظیمات وزن‌دهی'!$C$13)/100))</x:f>
      </x:c>
      <x:c r="CM23" s="178" t="str">
        <x:f>IF(C23="","",IF(COUNT(G23:CB23)=0,"",IF(COUNT(G23:CB23)&lt;74,"موقت - اطلاعات ناقص",IF(CL23&gt;=17,"عالی",IF(CL23&gt;=14,"خوب",IF(CL23&gt;=10,"متوسط","ضعیف"))))))</x:f>
      </x:c>
      <x:c r="CN23" s="178" t="n">
        <x:v>7</x:v>
      </x:c>
      <x:c r="CO23" s="142" t="n">
        <x:f>IF(C23="","",COUNT(G23:CB23)/74)</x:f>
        <x:v>0</x:v>
      </x:c>
      <x:c r="CP23" s="245"/>
    </x:row>
    <x:row r="24">
      <x:c r="A24" s="165" t="n">
        <x:v>20</x:v>
      </x:c>
      <x:c r="B24" s="233" t="str">
        <x:v>بهمن</x:v>
      </x:c>
      <x:c r="C24" s="233" t="n">
        <x:f>IF('دانش‌آموزان'!E6="","",'دانش‌آموزان'!B6)</x:f>
        <x:v>2</x:v>
      </x:c>
      <x:c r="D24" s="233" t="str">
        <x:f>IF('دانش‌آموزان'!C6="","",'دانش‌آموزان'!C6)</x:f>
        <x:v>4000000020</x:v>
      </x:c>
      <x:c r="E24" s="233" t="str">
        <x:f>IF('دانش‌آموزان'!E6="","",'دانش‌آموزان'!E6&amp;" "&amp;'دانش‌آموزان'!F6)</x:f>
        <x:v>فاطمه اکبری</x:v>
      </x:c>
      <x:c r="F24" s="166" t="str">
        <x:f>IF('دانش‌آموزان'!I6="","",'دانش‌آموزان'!I6)</x:f>
        <x:v>sample-7-a</x:v>
      </x:c>
      <x:c r="G24" s="114"/>
      <x:c r="H24" s="115"/>
      <x:c r="I24" s="115"/>
      <x:c r="J24" s="115"/>
      <x:c r="K24" s="115"/>
      <x:c r="L24" s="115"/>
      <x:c r="M24" s="115"/>
      <x:c r="N24" s="115"/>
      <x:c r="O24" s="115"/>
      <x:c r="P24" s="115"/>
      <x:c r="Q24" s="115"/>
      <x:c r="R24" s="115"/>
      <x:c r="S24" s="115"/>
      <x:c r="T24" s="115"/>
      <x:c r="U24" s="115"/>
      <x:c r="V24" s="115"/>
      <x:c r="W24" s="115"/>
      <x:c r="X24" s="115"/>
      <x:c r="Y24" s="115"/>
      <x:c r="Z24" s="115"/>
      <x:c r="AA24" s="115"/>
      <x:c r="AB24" s="115"/>
      <x:c r="AC24" s="115"/>
      <x:c r="AD24" s="115"/>
      <x:c r="AE24" s="115"/>
      <x:c r="AF24" s="115"/>
      <x:c r="AG24" s="115"/>
      <x:c r="AH24" s="115"/>
      <x:c r="AI24" s="115"/>
      <x:c r="AJ24" s="115"/>
      <x:c r="AK24" s="115"/>
      <x:c r="AL24" s="115"/>
      <x:c r="AM24" s="115"/>
      <x:c r="AN24" s="115"/>
      <x:c r="AO24" s="115"/>
      <x:c r="AP24" s="115"/>
      <x:c r="AQ24" s="115"/>
      <x:c r="AR24" s="115"/>
      <x:c r="AS24" s="115"/>
      <x:c r="AT24" s="115"/>
      <x:c r="AU24" s="115"/>
      <x:c r="AV24" s="115"/>
      <x:c r="AW24" s="115"/>
      <x:c r="AX24" s="115"/>
      <x:c r="AY24" s="115"/>
      <x:c r="AZ24" s="115"/>
      <x:c r="BA24" s="115"/>
      <x:c r="BB24" s="115"/>
      <x:c r="BC24" s="115"/>
      <x:c r="BD24" s="115"/>
      <x:c r="BE24" s="115"/>
      <x:c r="BF24" s="115"/>
      <x:c r="BG24" s="115"/>
      <x:c r="BH24" s="115"/>
      <x:c r="BI24" s="115"/>
      <x:c r="BJ24" s="115"/>
      <x:c r="BK24" s="115"/>
      <x:c r="BL24" s="115"/>
      <x:c r="BM24" s="115"/>
      <x:c r="BN24" s="115"/>
      <x:c r="BO24" s="115"/>
      <x:c r="BP24" s="115"/>
      <x:c r="BQ24" s="115"/>
      <x:c r="BR24" s="115"/>
      <x:c r="BS24" s="115"/>
      <x:c r="BT24" s="115"/>
      <x:c r="BU24" s="115"/>
      <x:c r="BV24" s="115"/>
      <x:c r="BW24" s="115"/>
      <x:c r="BX24" s="115"/>
      <x:c r="BY24" s="115"/>
      <x:c r="BZ24" s="115"/>
      <x:c r="CA24" s="115"/>
      <x:c r="CB24" s="116"/>
      <x:c r="CC24" s="141" t="str">
        <x:f>IF(COUNT(G24:P24)=0,"",AVERAGE(G24:P24)*4)</x:f>
      </x:c>
      <x:c r="CD24" s="178" t="str">
        <x:f>IF(COUNT(Q24:Z24)=0,"",AVERAGE(Q24:Z24)*4)</x:f>
      </x:c>
      <x:c r="CE24" s="178" t="str">
        <x:f>IF(COUNT(AA24:AJ24)=0,"",AVERAGE(AA24:AJ24)*4)</x:f>
      </x:c>
      <x:c r="CF24" s="178" t="str">
        <x:f>IF(COUNT(AK24:AR24)=0,"",AVERAGE(AK24:AR24)*4)</x:f>
      </x:c>
      <x:c r="CG24" s="178" t="str">
        <x:f>IF(COUNT(AS24:AY24)=0,"",AVERAGE(AS24:AY24)*4)</x:f>
      </x:c>
      <x:c r="CH24" s="178" t="str">
        <x:f>IF(COUNT(AZ24:BG24)=0,"",AVERAGE(AZ24:BG24)*4)</x:f>
      </x:c>
      <x:c r="CI24" s="178" t="str">
        <x:f>IF(COUNT(BH24:BN24)=0,"",AVERAGE(BH24:BN24)*4)</x:f>
      </x:c>
      <x:c r="CJ24" s="178" t="str">
        <x:f>IF(COUNT(BO24:BU24)=0,"",AVERAGE(BO24:BU24)*4)</x:f>
      </x:c>
      <x:c r="CK24" s="178" t="str">
        <x:f>IF(COUNT(BV24:CB24)=0,"",AVERAGE(BV24:CB24)*4)</x:f>
      </x:c>
      <x:c r="CL24" s="178" t="str">
        <x:f>IF(C24="","",IF(COUNT(G24:CB24)&lt;74,"",(CC24*'تنظیمات وزن‌دهی'!$C$5+CD24*'تنظیمات وزن‌دهی'!$C$6+CE24*'تنظیمات وزن‌دهی'!$C$7+CF24*'تنظیمات وزن‌دهی'!$C$8+CG24*'تنظیمات وزن‌دهی'!$C$9+CH24*'تنظیمات وزن‌دهی'!$C$10+CI24*'تنظیمات وزن‌دهی'!$C$11+CJ24*'تنظیمات وزن‌دهی'!$C$12+CK24*'تنظیمات وزن‌دهی'!$C$13)/100))</x:f>
      </x:c>
      <x:c r="CM24" s="178" t="str">
        <x:f>IF(C24="","",IF(COUNT(G24:CB24)=0,"",IF(COUNT(G24:CB24)&lt;74,"موقت - اطلاعات ناقص",IF(CL24&gt;=17,"عالی",IF(CL24&gt;=14,"خوب",IF(CL24&gt;=10,"متوسط","ضعیف"))))))</x:f>
      </x:c>
      <x:c r="CN24" s="178" t="n">
        <x:v>8</x:v>
      </x:c>
      <x:c r="CO24" s="142" t="n">
        <x:f>IF(C24="","",COUNT(G24:CB24)/74)</x:f>
        <x:v>0</x:v>
      </x:c>
      <x:c r="CP24" s="245"/>
    </x:row>
    <x:row r="25">
      <x:c r="A25" s="165" t="n">
        <x:v>21</x:v>
      </x:c>
      <x:c r="B25" s="233" t="str">
        <x:v>اسفند</x:v>
      </x:c>
      <x:c r="C25" s="233" t="n">
        <x:f>IF('دانش‌آموزان'!E6="","",'دانش‌آموزان'!B6)</x:f>
        <x:v>2</x:v>
      </x:c>
      <x:c r="D25" s="233" t="str">
        <x:f>IF('دانش‌آموزان'!C6="","",'دانش‌آموزان'!C6)</x:f>
        <x:v>4000000020</x:v>
      </x:c>
      <x:c r="E25" s="233" t="str">
        <x:f>IF('دانش‌آموزان'!E6="","",'دانش‌آموزان'!E6&amp;" "&amp;'دانش‌آموزان'!F6)</x:f>
        <x:v>فاطمه اکبری</x:v>
      </x:c>
      <x:c r="F25" s="166" t="str">
        <x:f>IF('دانش‌آموزان'!I6="","",'دانش‌آموزان'!I6)</x:f>
        <x:v>sample-7-a</x:v>
      </x:c>
      <x:c r="G25" s="114"/>
      <x:c r="H25" s="115"/>
      <x:c r="I25" s="115"/>
      <x:c r="J25" s="115"/>
      <x:c r="K25" s="115"/>
      <x:c r="L25" s="115"/>
      <x:c r="M25" s="115"/>
      <x:c r="N25" s="115"/>
      <x:c r="O25" s="115"/>
      <x:c r="P25" s="115"/>
      <x:c r="Q25" s="115"/>
      <x:c r="R25" s="115"/>
      <x:c r="S25" s="115"/>
      <x:c r="T25" s="115"/>
      <x:c r="U25" s="115"/>
      <x:c r="V25" s="115"/>
      <x:c r="W25" s="115"/>
      <x:c r="X25" s="115"/>
      <x:c r="Y25" s="115"/>
      <x:c r="Z25" s="115"/>
      <x:c r="AA25" s="115"/>
      <x:c r="AB25" s="115"/>
      <x:c r="AC25" s="115"/>
      <x:c r="AD25" s="115"/>
      <x:c r="AE25" s="115"/>
      <x:c r="AF25" s="115"/>
      <x:c r="AG25" s="115"/>
      <x:c r="AH25" s="115"/>
      <x:c r="AI25" s="115"/>
      <x:c r="AJ25" s="115"/>
      <x:c r="AK25" s="115"/>
      <x:c r="AL25" s="115"/>
      <x:c r="AM25" s="115"/>
      <x:c r="AN25" s="115"/>
      <x:c r="AO25" s="115"/>
      <x:c r="AP25" s="115"/>
      <x:c r="AQ25" s="115"/>
      <x:c r="AR25" s="115"/>
      <x:c r="AS25" s="115"/>
      <x:c r="AT25" s="115"/>
      <x:c r="AU25" s="115"/>
      <x:c r="AV25" s="115"/>
      <x:c r="AW25" s="115"/>
      <x:c r="AX25" s="115"/>
      <x:c r="AY25" s="115"/>
      <x:c r="AZ25" s="115"/>
      <x:c r="BA25" s="115"/>
      <x:c r="BB25" s="115"/>
      <x:c r="BC25" s="115"/>
      <x:c r="BD25" s="115"/>
      <x:c r="BE25" s="115"/>
      <x:c r="BF25" s="115"/>
      <x:c r="BG25" s="115"/>
      <x:c r="BH25" s="115"/>
      <x:c r="BI25" s="115"/>
      <x:c r="BJ25" s="115"/>
      <x:c r="BK25" s="115"/>
      <x:c r="BL25" s="115"/>
      <x:c r="BM25" s="115"/>
      <x:c r="BN25" s="115"/>
      <x:c r="BO25" s="115"/>
      <x:c r="BP25" s="115"/>
      <x:c r="BQ25" s="115"/>
      <x:c r="BR25" s="115"/>
      <x:c r="BS25" s="115"/>
      <x:c r="BT25" s="115"/>
      <x:c r="BU25" s="115"/>
      <x:c r="BV25" s="115"/>
      <x:c r="BW25" s="115"/>
      <x:c r="BX25" s="115"/>
      <x:c r="BY25" s="115"/>
      <x:c r="BZ25" s="115"/>
      <x:c r="CA25" s="115"/>
      <x:c r="CB25" s="116"/>
      <x:c r="CC25" s="141" t="str">
        <x:f>IF(COUNT(G25:P25)=0,"",AVERAGE(G25:P25)*4)</x:f>
      </x:c>
      <x:c r="CD25" s="178" t="str">
        <x:f>IF(COUNT(Q25:Z25)=0,"",AVERAGE(Q25:Z25)*4)</x:f>
      </x:c>
      <x:c r="CE25" s="178" t="str">
        <x:f>IF(COUNT(AA25:AJ25)=0,"",AVERAGE(AA25:AJ25)*4)</x:f>
      </x:c>
      <x:c r="CF25" s="178" t="str">
        <x:f>IF(COUNT(AK25:AR25)=0,"",AVERAGE(AK25:AR25)*4)</x:f>
      </x:c>
      <x:c r="CG25" s="178" t="str">
        <x:f>IF(COUNT(AS25:AY25)=0,"",AVERAGE(AS25:AY25)*4)</x:f>
      </x:c>
      <x:c r="CH25" s="178" t="str">
        <x:f>IF(COUNT(AZ25:BG25)=0,"",AVERAGE(AZ25:BG25)*4)</x:f>
      </x:c>
      <x:c r="CI25" s="178" t="str">
        <x:f>IF(COUNT(BH25:BN25)=0,"",AVERAGE(BH25:BN25)*4)</x:f>
      </x:c>
      <x:c r="CJ25" s="178" t="str">
        <x:f>IF(COUNT(BO25:BU25)=0,"",AVERAGE(BO25:BU25)*4)</x:f>
      </x:c>
      <x:c r="CK25" s="178" t="str">
        <x:f>IF(COUNT(BV25:CB25)=0,"",AVERAGE(BV25:CB25)*4)</x:f>
      </x:c>
      <x:c r="CL25" s="178" t="str">
        <x:f>IF(C25="","",IF(COUNT(G25:CB25)&lt;74,"",(CC25*'تنظیمات وزن‌دهی'!$C$5+CD25*'تنظیمات وزن‌دهی'!$C$6+CE25*'تنظیمات وزن‌دهی'!$C$7+CF25*'تنظیمات وزن‌دهی'!$C$8+CG25*'تنظیمات وزن‌دهی'!$C$9+CH25*'تنظیمات وزن‌دهی'!$C$10+CI25*'تنظیمات وزن‌دهی'!$C$11+CJ25*'تنظیمات وزن‌دهی'!$C$12+CK25*'تنظیمات وزن‌دهی'!$C$13)/100))</x:f>
      </x:c>
      <x:c r="CM25" s="178" t="str">
        <x:f>IF(C25="","",IF(COUNT(G25:CB25)=0,"",IF(COUNT(G25:CB25)&lt;74,"موقت - اطلاعات ناقص",IF(CL25&gt;=17,"عالی",IF(CL25&gt;=14,"خوب",IF(CL25&gt;=10,"متوسط","ضعیف"))))))</x:f>
      </x:c>
      <x:c r="CN25" s="178" t="n">
        <x:v>9</x:v>
      </x:c>
      <x:c r="CO25" s="142" t="n">
        <x:f>IF(C25="","",COUNT(G25:CB25)/74)</x:f>
        <x:v>0</x:v>
      </x:c>
      <x:c r="CP25" s="245"/>
    </x:row>
    <x:row r="26">
      <x:c r="A26" s="165" t="n">
        <x:v>22</x:v>
      </x:c>
      <x:c r="B26" s="233" t="str">
        <x:v>فروردین</x:v>
      </x:c>
      <x:c r="C26" s="233" t="n">
        <x:f>IF('دانش‌آموزان'!E6="","",'دانش‌آموزان'!B6)</x:f>
        <x:v>2</x:v>
      </x:c>
      <x:c r="D26" s="233" t="str">
        <x:f>IF('دانش‌آموزان'!C6="","",'دانش‌آموزان'!C6)</x:f>
        <x:v>4000000020</x:v>
      </x:c>
      <x:c r="E26" s="233" t="str">
        <x:f>IF('دانش‌آموزان'!E6="","",'دانش‌آموزان'!E6&amp;" "&amp;'دانش‌آموزان'!F6)</x:f>
        <x:v>فاطمه اکبری</x:v>
      </x:c>
      <x:c r="F26" s="166" t="str">
        <x:f>IF('دانش‌آموزان'!I6="","",'دانش‌آموزان'!I6)</x:f>
        <x:v>sample-7-a</x:v>
      </x:c>
      <x:c r="G26" s="114"/>
      <x:c r="H26" s="115"/>
      <x:c r="I26" s="115"/>
      <x:c r="J26" s="115"/>
      <x:c r="K26" s="115"/>
      <x:c r="L26" s="115"/>
      <x:c r="M26" s="115"/>
      <x:c r="N26" s="115"/>
      <x:c r="O26" s="115"/>
      <x:c r="P26" s="115"/>
      <x:c r="Q26" s="115"/>
      <x:c r="R26" s="115"/>
      <x:c r="S26" s="115"/>
      <x:c r="T26" s="115"/>
      <x:c r="U26" s="115"/>
      <x:c r="V26" s="115"/>
      <x:c r="W26" s="115"/>
      <x:c r="X26" s="115"/>
      <x:c r="Y26" s="115"/>
      <x:c r="Z26" s="115"/>
      <x:c r="AA26" s="115"/>
      <x:c r="AB26" s="115"/>
      <x:c r="AC26" s="115"/>
      <x:c r="AD26" s="115"/>
      <x:c r="AE26" s="115"/>
      <x:c r="AF26" s="115"/>
      <x:c r="AG26" s="115"/>
      <x:c r="AH26" s="115"/>
      <x:c r="AI26" s="115"/>
      <x:c r="AJ26" s="115"/>
      <x:c r="AK26" s="115"/>
      <x:c r="AL26" s="115"/>
      <x:c r="AM26" s="115"/>
      <x:c r="AN26" s="115"/>
      <x:c r="AO26" s="115"/>
      <x:c r="AP26" s="115"/>
      <x:c r="AQ26" s="115"/>
      <x:c r="AR26" s="115"/>
      <x:c r="AS26" s="115"/>
      <x:c r="AT26" s="115"/>
      <x:c r="AU26" s="115"/>
      <x:c r="AV26" s="115"/>
      <x:c r="AW26" s="115"/>
      <x:c r="AX26" s="115"/>
      <x:c r="AY26" s="115"/>
      <x:c r="AZ26" s="115"/>
      <x:c r="BA26" s="115"/>
      <x:c r="BB26" s="115"/>
      <x:c r="BC26" s="115"/>
      <x:c r="BD26" s="115"/>
      <x:c r="BE26" s="115"/>
      <x:c r="BF26" s="115"/>
      <x:c r="BG26" s="115"/>
      <x:c r="BH26" s="115"/>
      <x:c r="BI26" s="115"/>
      <x:c r="BJ26" s="115"/>
      <x:c r="BK26" s="115"/>
      <x:c r="BL26" s="115"/>
      <x:c r="BM26" s="115"/>
      <x:c r="BN26" s="115"/>
      <x:c r="BO26" s="115"/>
      <x:c r="BP26" s="115"/>
      <x:c r="BQ26" s="115"/>
      <x:c r="BR26" s="115"/>
      <x:c r="BS26" s="115"/>
      <x:c r="BT26" s="115"/>
      <x:c r="BU26" s="115"/>
      <x:c r="BV26" s="115"/>
      <x:c r="BW26" s="115"/>
      <x:c r="BX26" s="115"/>
      <x:c r="BY26" s="115"/>
      <x:c r="BZ26" s="115"/>
      <x:c r="CA26" s="115"/>
      <x:c r="CB26" s="116"/>
      <x:c r="CC26" s="141" t="str">
        <x:f>IF(COUNT(G26:P26)=0,"",AVERAGE(G26:P26)*4)</x:f>
      </x:c>
      <x:c r="CD26" s="178" t="str">
        <x:f>IF(COUNT(Q26:Z26)=0,"",AVERAGE(Q26:Z26)*4)</x:f>
      </x:c>
      <x:c r="CE26" s="178" t="str">
        <x:f>IF(COUNT(AA26:AJ26)=0,"",AVERAGE(AA26:AJ26)*4)</x:f>
      </x:c>
      <x:c r="CF26" s="178" t="str">
        <x:f>IF(COUNT(AK26:AR26)=0,"",AVERAGE(AK26:AR26)*4)</x:f>
      </x:c>
      <x:c r="CG26" s="178" t="str">
        <x:f>IF(COUNT(AS26:AY26)=0,"",AVERAGE(AS26:AY26)*4)</x:f>
      </x:c>
      <x:c r="CH26" s="178" t="str">
        <x:f>IF(COUNT(AZ26:BG26)=0,"",AVERAGE(AZ26:BG26)*4)</x:f>
      </x:c>
      <x:c r="CI26" s="178" t="str">
        <x:f>IF(COUNT(BH26:BN26)=0,"",AVERAGE(BH26:BN26)*4)</x:f>
      </x:c>
      <x:c r="CJ26" s="178" t="str">
        <x:f>IF(COUNT(BO26:BU26)=0,"",AVERAGE(BO26:BU26)*4)</x:f>
      </x:c>
      <x:c r="CK26" s="178" t="str">
        <x:f>IF(COUNT(BV26:CB26)=0,"",AVERAGE(BV26:CB26)*4)</x:f>
      </x:c>
      <x:c r="CL26" s="178" t="str">
        <x:f>IF(C26="","",IF(COUNT(G26:CB26)&lt;74,"",(CC26*'تنظیمات وزن‌دهی'!$C$5+CD26*'تنظیمات وزن‌دهی'!$C$6+CE26*'تنظیمات وزن‌دهی'!$C$7+CF26*'تنظیمات وزن‌دهی'!$C$8+CG26*'تنظیمات وزن‌دهی'!$C$9+CH26*'تنظیمات وزن‌دهی'!$C$10+CI26*'تنظیمات وزن‌دهی'!$C$11+CJ26*'تنظیمات وزن‌دهی'!$C$12+CK26*'تنظیمات وزن‌دهی'!$C$13)/100))</x:f>
      </x:c>
      <x:c r="CM26" s="178" t="str">
        <x:f>IF(C26="","",IF(COUNT(G26:CB26)=0,"",IF(COUNT(G26:CB26)&lt;74,"موقت - اطلاعات ناقص",IF(CL26&gt;=17,"عالی",IF(CL26&gt;=14,"خوب",IF(CL26&gt;=10,"متوسط","ضعیف"))))))</x:f>
      </x:c>
      <x:c r="CN26" s="178" t="n">
        <x:v>10</x:v>
      </x:c>
      <x:c r="CO26" s="142" t="n">
        <x:f>IF(C26="","",COUNT(G26:CB26)/74)</x:f>
        <x:v>0</x:v>
      </x:c>
      <x:c r="CP26" s="245"/>
    </x:row>
    <x:row r="27">
      <x:c r="A27" s="165" t="n">
        <x:v>23</x:v>
      </x:c>
      <x:c r="B27" s="233" t="str">
        <x:v>اردیبهشت</x:v>
      </x:c>
      <x:c r="C27" s="233" t="n">
        <x:f>IF('دانش‌آموزان'!E6="","",'دانش‌آموزان'!B6)</x:f>
        <x:v>2</x:v>
      </x:c>
      <x:c r="D27" s="233" t="str">
        <x:f>IF('دانش‌آموزان'!C6="","",'دانش‌آموزان'!C6)</x:f>
        <x:v>4000000020</x:v>
      </x:c>
      <x:c r="E27" s="233" t="str">
        <x:f>IF('دانش‌آموزان'!E6="","",'دانش‌آموزان'!E6&amp;" "&amp;'دانش‌آموزان'!F6)</x:f>
        <x:v>فاطمه اکبری</x:v>
      </x:c>
      <x:c r="F27" s="166" t="str">
        <x:f>IF('دانش‌آموزان'!I6="","",'دانش‌آموزان'!I6)</x:f>
        <x:v>sample-7-a</x:v>
      </x:c>
      <x:c r="G27" s="114"/>
      <x:c r="H27" s="115"/>
      <x:c r="I27" s="115"/>
      <x:c r="J27" s="115"/>
      <x:c r="K27" s="115"/>
      <x:c r="L27" s="115"/>
      <x:c r="M27" s="115"/>
      <x:c r="N27" s="115"/>
      <x:c r="O27" s="115"/>
      <x:c r="P27" s="115"/>
      <x:c r="Q27" s="115"/>
      <x:c r="R27" s="115"/>
      <x:c r="S27" s="115"/>
      <x:c r="T27" s="115"/>
      <x:c r="U27" s="115"/>
      <x:c r="V27" s="115"/>
      <x:c r="W27" s="115"/>
      <x:c r="X27" s="115"/>
      <x:c r="Y27" s="115"/>
      <x:c r="Z27" s="115"/>
      <x:c r="AA27" s="115"/>
      <x:c r="AB27" s="115"/>
      <x:c r="AC27" s="115"/>
      <x:c r="AD27" s="115"/>
      <x:c r="AE27" s="115"/>
      <x:c r="AF27" s="115"/>
      <x:c r="AG27" s="115"/>
      <x:c r="AH27" s="115"/>
      <x:c r="AI27" s="115"/>
      <x:c r="AJ27" s="115"/>
      <x:c r="AK27" s="115"/>
      <x:c r="AL27" s="115"/>
      <x:c r="AM27" s="115"/>
      <x:c r="AN27" s="115"/>
      <x:c r="AO27" s="115"/>
      <x:c r="AP27" s="115"/>
      <x:c r="AQ27" s="115"/>
      <x:c r="AR27" s="115"/>
      <x:c r="AS27" s="115"/>
      <x:c r="AT27" s="115"/>
      <x:c r="AU27" s="115"/>
      <x:c r="AV27" s="115"/>
      <x:c r="AW27" s="115"/>
      <x:c r="AX27" s="115"/>
      <x:c r="AY27" s="115"/>
      <x:c r="AZ27" s="115"/>
      <x:c r="BA27" s="115"/>
      <x:c r="BB27" s="115"/>
      <x:c r="BC27" s="115"/>
      <x:c r="BD27" s="115"/>
      <x:c r="BE27" s="115"/>
      <x:c r="BF27" s="115"/>
      <x:c r="BG27" s="115"/>
      <x:c r="BH27" s="115"/>
      <x:c r="BI27" s="115"/>
      <x:c r="BJ27" s="115"/>
      <x:c r="BK27" s="115"/>
      <x:c r="BL27" s="115"/>
      <x:c r="BM27" s="115"/>
      <x:c r="BN27" s="115"/>
      <x:c r="BO27" s="115"/>
      <x:c r="BP27" s="115"/>
      <x:c r="BQ27" s="115"/>
      <x:c r="BR27" s="115"/>
      <x:c r="BS27" s="115"/>
      <x:c r="BT27" s="115"/>
      <x:c r="BU27" s="115"/>
      <x:c r="BV27" s="115"/>
      <x:c r="BW27" s="115"/>
      <x:c r="BX27" s="115"/>
      <x:c r="BY27" s="115"/>
      <x:c r="BZ27" s="115"/>
      <x:c r="CA27" s="115"/>
      <x:c r="CB27" s="116"/>
      <x:c r="CC27" s="141" t="str">
        <x:f>IF(COUNT(G27:P27)=0,"",AVERAGE(G27:P27)*4)</x:f>
      </x:c>
      <x:c r="CD27" s="178" t="str">
        <x:f>IF(COUNT(Q27:Z27)=0,"",AVERAGE(Q27:Z27)*4)</x:f>
      </x:c>
      <x:c r="CE27" s="178" t="str">
        <x:f>IF(COUNT(AA27:AJ27)=0,"",AVERAGE(AA27:AJ27)*4)</x:f>
      </x:c>
      <x:c r="CF27" s="178" t="str">
        <x:f>IF(COUNT(AK27:AR27)=0,"",AVERAGE(AK27:AR27)*4)</x:f>
      </x:c>
      <x:c r="CG27" s="178" t="str">
        <x:f>IF(COUNT(AS27:AY27)=0,"",AVERAGE(AS27:AY27)*4)</x:f>
      </x:c>
      <x:c r="CH27" s="178" t="str">
        <x:f>IF(COUNT(AZ27:BG27)=0,"",AVERAGE(AZ27:BG27)*4)</x:f>
      </x:c>
      <x:c r="CI27" s="178" t="str">
        <x:f>IF(COUNT(BH27:BN27)=0,"",AVERAGE(BH27:BN27)*4)</x:f>
      </x:c>
      <x:c r="CJ27" s="178" t="str">
        <x:f>IF(COUNT(BO27:BU27)=0,"",AVERAGE(BO27:BU27)*4)</x:f>
      </x:c>
      <x:c r="CK27" s="178" t="str">
        <x:f>IF(COUNT(BV27:CB27)=0,"",AVERAGE(BV27:CB27)*4)</x:f>
      </x:c>
      <x:c r="CL27" s="178" t="str">
        <x:f>IF(C27="","",IF(COUNT(G27:CB27)&lt;74,"",(CC27*'تنظیمات وزن‌دهی'!$C$5+CD27*'تنظیمات وزن‌دهی'!$C$6+CE27*'تنظیمات وزن‌دهی'!$C$7+CF27*'تنظیمات وزن‌دهی'!$C$8+CG27*'تنظیمات وزن‌دهی'!$C$9+CH27*'تنظیمات وزن‌دهی'!$C$10+CI27*'تنظیمات وزن‌دهی'!$C$11+CJ27*'تنظیمات وزن‌دهی'!$C$12+CK27*'تنظیمات وزن‌دهی'!$C$13)/100))</x:f>
      </x:c>
      <x:c r="CM27" s="178" t="str">
        <x:f>IF(C27="","",IF(COUNT(G27:CB27)=0,"",IF(COUNT(G27:CB27)&lt;74,"موقت - اطلاعات ناقص",IF(CL27&gt;=17,"عالی",IF(CL27&gt;=14,"خوب",IF(CL27&gt;=10,"متوسط","ضعیف"))))))</x:f>
      </x:c>
      <x:c r="CN27" s="178" t="n">
        <x:v>11</x:v>
      </x:c>
      <x:c r="CO27" s="142" t="n">
        <x:f>IF(C27="","",COUNT(G27:CB27)/74)</x:f>
        <x:v>0</x:v>
      </x:c>
      <x:c r="CP27" s="245"/>
    </x:row>
    <x:row r="28">
      <x:c r="A28" s="165" t="n">
        <x:v>24</x:v>
      </x:c>
      <x:c r="B28" s="233" t="str">
        <x:v>خرداد</x:v>
      </x:c>
      <x:c r="C28" s="233" t="n">
        <x:f>IF('دانش‌آموزان'!E6="","",'دانش‌آموزان'!B6)</x:f>
        <x:v>2</x:v>
      </x:c>
      <x:c r="D28" s="233" t="str">
        <x:f>IF('دانش‌آموزان'!C6="","",'دانش‌آموزان'!C6)</x:f>
        <x:v>4000000020</x:v>
      </x:c>
      <x:c r="E28" s="233" t="str">
        <x:f>IF('دانش‌آموزان'!E6="","",'دانش‌آموزان'!E6&amp;" "&amp;'دانش‌آموزان'!F6)</x:f>
        <x:v>فاطمه اکبری</x:v>
      </x:c>
      <x:c r="F28" s="166" t="str">
        <x:f>IF('دانش‌آموزان'!I6="","",'دانش‌آموزان'!I6)</x:f>
        <x:v>sample-7-a</x:v>
      </x:c>
      <x:c r="G28" s="114"/>
      <x:c r="H28" s="115"/>
      <x:c r="I28" s="115"/>
      <x:c r="J28" s="115"/>
      <x:c r="K28" s="115"/>
      <x:c r="L28" s="115"/>
      <x:c r="M28" s="115"/>
      <x:c r="N28" s="115"/>
      <x:c r="O28" s="115"/>
      <x:c r="P28" s="115"/>
      <x:c r="Q28" s="115"/>
      <x:c r="R28" s="115"/>
      <x:c r="S28" s="115"/>
      <x:c r="T28" s="115"/>
      <x:c r="U28" s="115"/>
      <x:c r="V28" s="115"/>
      <x:c r="W28" s="115"/>
      <x:c r="X28" s="115"/>
      <x:c r="Y28" s="115"/>
      <x:c r="Z28" s="115"/>
      <x:c r="AA28" s="115"/>
      <x:c r="AB28" s="115"/>
      <x:c r="AC28" s="115"/>
      <x:c r="AD28" s="115"/>
      <x:c r="AE28" s="115"/>
      <x:c r="AF28" s="115"/>
      <x:c r="AG28" s="115"/>
      <x:c r="AH28" s="115"/>
      <x:c r="AI28" s="115"/>
      <x:c r="AJ28" s="115"/>
      <x:c r="AK28" s="115"/>
      <x:c r="AL28" s="115"/>
      <x:c r="AM28" s="115"/>
      <x:c r="AN28" s="115"/>
      <x:c r="AO28" s="115"/>
      <x:c r="AP28" s="115"/>
      <x:c r="AQ28" s="115"/>
      <x:c r="AR28" s="115"/>
      <x:c r="AS28" s="115"/>
      <x:c r="AT28" s="115"/>
      <x:c r="AU28" s="115"/>
      <x:c r="AV28" s="115"/>
      <x:c r="AW28" s="115"/>
      <x:c r="AX28" s="115"/>
      <x:c r="AY28" s="115"/>
      <x:c r="AZ28" s="115"/>
      <x:c r="BA28" s="115"/>
      <x:c r="BB28" s="115"/>
      <x:c r="BC28" s="115"/>
      <x:c r="BD28" s="115"/>
      <x:c r="BE28" s="115"/>
      <x:c r="BF28" s="115"/>
      <x:c r="BG28" s="115"/>
      <x:c r="BH28" s="115"/>
      <x:c r="BI28" s="115"/>
      <x:c r="BJ28" s="115"/>
      <x:c r="BK28" s="115"/>
      <x:c r="BL28" s="115"/>
      <x:c r="BM28" s="115"/>
      <x:c r="BN28" s="115"/>
      <x:c r="BO28" s="115"/>
      <x:c r="BP28" s="115"/>
      <x:c r="BQ28" s="115"/>
      <x:c r="BR28" s="115"/>
      <x:c r="BS28" s="115"/>
      <x:c r="BT28" s="115"/>
      <x:c r="BU28" s="115"/>
      <x:c r="BV28" s="115"/>
      <x:c r="BW28" s="115"/>
      <x:c r="BX28" s="115"/>
      <x:c r="BY28" s="115"/>
      <x:c r="BZ28" s="115"/>
      <x:c r="CA28" s="115"/>
      <x:c r="CB28" s="116"/>
      <x:c r="CC28" s="141" t="str">
        <x:f>IF(COUNT(G28:P28)=0,"",AVERAGE(G28:P28)*4)</x:f>
      </x:c>
      <x:c r="CD28" s="178" t="str">
        <x:f>IF(COUNT(Q28:Z28)=0,"",AVERAGE(Q28:Z28)*4)</x:f>
      </x:c>
      <x:c r="CE28" s="178" t="str">
        <x:f>IF(COUNT(AA28:AJ28)=0,"",AVERAGE(AA28:AJ28)*4)</x:f>
      </x:c>
      <x:c r="CF28" s="178" t="str">
        <x:f>IF(COUNT(AK28:AR28)=0,"",AVERAGE(AK28:AR28)*4)</x:f>
      </x:c>
      <x:c r="CG28" s="178" t="str">
        <x:f>IF(COUNT(AS28:AY28)=0,"",AVERAGE(AS28:AY28)*4)</x:f>
      </x:c>
      <x:c r="CH28" s="178" t="str">
        <x:f>IF(COUNT(AZ28:BG28)=0,"",AVERAGE(AZ28:BG28)*4)</x:f>
      </x:c>
      <x:c r="CI28" s="178" t="str">
        <x:f>IF(COUNT(BH28:BN28)=0,"",AVERAGE(BH28:BN28)*4)</x:f>
      </x:c>
      <x:c r="CJ28" s="178" t="str">
        <x:f>IF(COUNT(BO28:BU28)=0,"",AVERAGE(BO28:BU28)*4)</x:f>
      </x:c>
      <x:c r="CK28" s="178" t="str">
        <x:f>IF(COUNT(BV28:CB28)=0,"",AVERAGE(BV28:CB28)*4)</x:f>
      </x:c>
      <x:c r="CL28" s="178" t="str">
        <x:f>IF(C28="","",IF(COUNT(G28:CB28)&lt;74,"",(CC28*'تنظیمات وزن‌دهی'!$C$5+CD28*'تنظیمات وزن‌دهی'!$C$6+CE28*'تنظیمات وزن‌دهی'!$C$7+CF28*'تنظیمات وزن‌دهی'!$C$8+CG28*'تنظیمات وزن‌دهی'!$C$9+CH28*'تنظیمات وزن‌دهی'!$C$10+CI28*'تنظیمات وزن‌دهی'!$C$11+CJ28*'تنظیمات وزن‌دهی'!$C$12+CK28*'تنظیمات وزن‌دهی'!$C$13)/100))</x:f>
      </x:c>
      <x:c r="CM28" s="178" t="str">
        <x:f>IF(C28="","",IF(COUNT(G28:CB28)=0,"",IF(COUNT(G28:CB28)&lt;74,"موقت - اطلاعات ناقص",IF(CL28&gt;=17,"عالی",IF(CL28&gt;=14,"خوب",IF(CL28&gt;=10,"متوسط","ضعیف"))))))</x:f>
      </x:c>
      <x:c r="CN28" s="178" t="n">
        <x:v>12</x:v>
      </x:c>
      <x:c r="CO28" s="142" t="n">
        <x:f>IF(C28="","",COUNT(G28:CB28)/74)</x:f>
        <x:v>0</x:v>
      </x:c>
      <x:c r="CP28" s="245"/>
    </x:row>
    <x:row r="29">
      <x:c r="A29" s="165" t="n">
        <x:v>25</x:v>
      </x:c>
      <x:c r="B29" s="233" t="str">
        <x:v>تیر</x:v>
      </x:c>
      <x:c r="C29" s="233" t="n">
        <x:f>IF('دانش‌آموزان'!E7="","",'دانش‌آموزان'!B7)</x:f>
        <x:v>3</x:v>
      </x:c>
      <x:c r="D29" s="233" t="str">
        <x:f>IF('دانش‌آموزان'!C7="","",'دانش‌آموزان'!C7)</x:f>
        <x:v>4000000039</x:v>
      </x:c>
      <x:c r="E29" s="233" t="str">
        <x:f>IF('دانش‌آموزان'!E7="","",'دانش‌آموزان'!E7&amp;" "&amp;'دانش‌آموزان'!F7)</x:f>
        <x:v>امیرحسین طاهری</x:v>
      </x:c>
      <x:c r="F29" s="166" t="str">
        <x:f>IF('دانش‌آموزان'!I7="","",'دانش‌آموزان'!I7)</x:f>
        <x:v>sample-7-a</x:v>
      </x:c>
      <x:c r="G29" s="114" t="n">
        <x:v>4</x:v>
      </x:c>
      <x:c r="H29" s="115" t="n">
        <x:v>2</x:v>
      </x:c>
      <x:c r="I29" s="115" t="n">
        <x:v>4</x:v>
      </x:c>
      <x:c r="J29" s="115" t="n">
        <x:v>5</x:v>
      </x:c>
      <x:c r="K29" s="115" t="n">
        <x:v>4</x:v>
      </x:c>
      <x:c r="L29" s="115" t="n">
        <x:v>5</x:v>
      </x:c>
      <x:c r="M29" s="115" t="n">
        <x:v>3</x:v>
      </x:c>
      <x:c r="N29" s="115" t="n">
        <x:v>5</x:v>
      </x:c>
      <x:c r="O29" s="115" t="n">
        <x:v>3</x:v>
      </x:c>
      <x:c r="P29" s="115" t="n">
        <x:v>4</x:v>
      </x:c>
      <x:c r="Q29" s="115" t="n">
        <x:v>3</x:v>
      </x:c>
      <x:c r="R29" s="115" t="n">
        <x:v>4</x:v>
      </x:c>
      <x:c r="S29" s="115" t="n">
        <x:v>2</x:v>
      </x:c>
      <x:c r="T29" s="115" t="n">
        <x:v>4</x:v>
      </x:c>
      <x:c r="U29" s="115" t="n">
        <x:v>5</x:v>
      </x:c>
      <x:c r="V29" s="115" t="n">
        <x:v>4</x:v>
      </x:c>
      <x:c r="W29" s="115" t="n">
        <x:v>5</x:v>
      </x:c>
      <x:c r="X29" s="115" t="n">
        <x:v>3</x:v>
      </x:c>
      <x:c r="Y29" s="115" t="n">
        <x:v>5</x:v>
      </x:c>
      <x:c r="Z29" s="115" t="n">
        <x:v>3</x:v>
      </x:c>
      <x:c r="AA29" s="115" t="n">
        <x:v>4</x:v>
      </x:c>
      <x:c r="AB29" s="115" t="n">
        <x:v>3</x:v>
      </x:c>
      <x:c r="AC29" s="115" t="n">
        <x:v>4</x:v>
      </x:c>
      <x:c r="AD29" s="115" t="n">
        <x:v>2</x:v>
      </x:c>
      <x:c r="AE29" s="115" t="n">
        <x:v>4</x:v>
      </x:c>
      <x:c r="AF29" s="115" t="n">
        <x:v>5</x:v>
      </x:c>
      <x:c r="AG29" s="115" t="n">
        <x:v>4</x:v>
      </x:c>
      <x:c r="AH29" s="115" t="n">
        <x:v>5</x:v>
      </x:c>
      <x:c r="AI29" s="115" t="n">
        <x:v>3</x:v>
      </x:c>
      <x:c r="AJ29" s="115" t="n">
        <x:v>5</x:v>
      </x:c>
      <x:c r="AK29" s="115" t="n">
        <x:v>3</x:v>
      </x:c>
      <x:c r="AL29" s="115" t="n">
        <x:v>4</x:v>
      </x:c>
      <x:c r="AM29" s="115" t="n">
        <x:v>3</x:v>
      </x:c>
      <x:c r="AN29" s="115" t="n">
        <x:v>4</x:v>
      </x:c>
      <x:c r="AO29" s="115" t="n">
        <x:v>2</x:v>
      </x:c>
      <x:c r="AP29" s="115" t="n">
        <x:v>4</x:v>
      </x:c>
      <x:c r="AQ29" s="115" t="n">
        <x:v>5</x:v>
      </x:c>
      <x:c r="AR29" s="115" t="n">
        <x:v>4</x:v>
      </x:c>
      <x:c r="AS29" s="115" t="n">
        <x:v>5</x:v>
      </x:c>
      <x:c r="AT29" s="115" t="n">
        <x:v>3</x:v>
      </x:c>
      <x:c r="AU29" s="115" t="n">
        <x:v>5</x:v>
      </x:c>
      <x:c r="AV29" s="115" t="n">
        <x:v>3</x:v>
      </x:c>
      <x:c r="AW29" s="115" t="n">
        <x:v>4</x:v>
      </x:c>
      <x:c r="AX29" s="115" t="n">
        <x:v>3</x:v>
      </x:c>
      <x:c r="AY29" s="115" t="n">
        <x:v>4</x:v>
      </x:c>
      <x:c r="AZ29" s="115" t="n">
        <x:v>2</x:v>
      </x:c>
      <x:c r="BA29" s="115" t="n">
        <x:v>4</x:v>
      </x:c>
      <x:c r="BB29" s="115" t="n">
        <x:v>5</x:v>
      </x:c>
      <x:c r="BC29" s="115" t="n">
        <x:v>4</x:v>
      </x:c>
      <x:c r="BD29" s="115" t="n">
        <x:v>5</x:v>
      </x:c>
      <x:c r="BE29" s="115" t="n">
        <x:v>3</x:v>
      </x:c>
      <x:c r="BF29" s="115" t="n">
        <x:v>5</x:v>
      </x:c>
      <x:c r="BG29" s="115" t="n">
        <x:v>3</x:v>
      </x:c>
      <x:c r="BH29" s="115" t="n">
        <x:v>4</x:v>
      </x:c>
      <x:c r="BI29" s="115" t="n">
        <x:v>3</x:v>
      </x:c>
      <x:c r="BJ29" s="115" t="n">
        <x:v>4</x:v>
      </x:c>
      <x:c r="BK29" s="115" t="n">
        <x:v>2</x:v>
      </x:c>
      <x:c r="BL29" s="115" t="n">
        <x:v>4</x:v>
      </x:c>
      <x:c r="BM29" s="115" t="n">
        <x:v>5</x:v>
      </x:c>
      <x:c r="BN29" s="115" t="n">
        <x:v>4</x:v>
      </x:c>
      <x:c r="BO29" s="115" t="n">
        <x:v>5</x:v>
      </x:c>
      <x:c r="BP29" s="115" t="n">
        <x:v>3</x:v>
      </x:c>
      <x:c r="BQ29" s="115" t="n">
        <x:v>5</x:v>
      </x:c>
      <x:c r="BR29" s="115" t="n">
        <x:v>3</x:v>
      </x:c>
      <x:c r="BS29" s="115" t="n">
        <x:v>4</x:v>
      </x:c>
      <x:c r="BT29" s="115" t="n">
        <x:v>3</x:v>
      </x:c>
      <x:c r="BU29" s="115" t="n">
        <x:v>4</x:v>
      </x:c>
      <x:c r="BV29" s="115" t="n">
        <x:v>2</x:v>
      </x:c>
      <x:c r="BW29" s="115" t="n">
        <x:v>4</x:v>
      </x:c>
      <x:c r="BX29" s="115" t="n">
        <x:v>5</x:v>
      </x:c>
      <x:c r="BY29" s="115" t="n">
        <x:v>4</x:v>
      </x:c>
      <x:c r="BZ29" s="115" t="n">
        <x:v>5</x:v>
      </x:c>
      <x:c r="CA29" s="115" t="n">
        <x:v>3</x:v>
      </x:c>
      <x:c r="CB29" s="116" t="n">
        <x:v>5</x:v>
      </x:c>
      <x:c r="CC29" s="141" t="n">
        <x:f>IF(COUNT(G29:P29)=0,"",AVERAGE(G29:P29)*4)</x:f>
        <x:v>15.6</x:v>
      </x:c>
      <x:c r="CD29" s="178" t="n">
        <x:f>IF(COUNT(Q29:Z29)=0,"",AVERAGE(Q29:Z29)*4)</x:f>
        <x:v>15.2</x:v>
      </x:c>
      <x:c r="CE29" s="178" t="n">
        <x:f>IF(COUNT(AA29:AJ29)=0,"",AVERAGE(AA29:AJ29)*4)</x:f>
        <x:v>15.6</x:v>
      </x:c>
      <x:c r="CF29" s="178" t="n">
        <x:f>IF(COUNT(AK29:AR29)=0,"",AVERAGE(AK29:AR29)*4)</x:f>
        <x:v>14.5</x:v>
      </x:c>
      <x:c r="CG29" s="178" t="n">
        <x:f>IF(COUNT(AS29:AY29)=0,"",AVERAGE(AS29:AY29)*4)</x:f>
        <x:v>15.428571428571429</x:v>
      </x:c>
      <x:c r="CH29" s="178" t="n">
        <x:f>IF(COUNT(AZ29:BG29)=0,"",AVERAGE(AZ29:BG29)*4)</x:f>
        <x:v>15.5</x:v>
      </x:c>
      <x:c r="CI29" s="178" t="n">
        <x:f>IF(COUNT(BH29:BN29)=0,"",AVERAGE(BH29:BN29)*4)</x:f>
        <x:v>14.857142857142858</x:v>
      </x:c>
      <x:c r="CJ29" s="178" t="n">
        <x:f>IF(COUNT(BO29:BU29)=0,"",AVERAGE(BO29:BU29)*4)</x:f>
        <x:v>15.428571428571429</x:v>
      </x:c>
      <x:c r="CK29" s="178" t="n">
        <x:f>IF(COUNT(BV29:CB29)=0,"",AVERAGE(BV29:CB29)*4)</x:f>
        <x:v>16</x:v>
      </x:c>
      <x:c r="CL29" s="178" t="n">
        <x:f>IF(C29="","",IF(COUNT(G29:CB29)&lt;74,"",(CC29*'تنظیمات وزن‌دهی'!$C$5+CD29*'تنظیمات وزن‌دهی'!$C$6+CE29*'تنظیمات وزن‌دهی'!$C$7+CF29*'تنظیمات وزن‌دهی'!$C$8+CG29*'تنظیمات وزن‌دهی'!$C$9+CH29*'تنظیمات وزن‌دهی'!$C$10+CI29*'تنظیمات وزن‌دهی'!$C$11+CJ29*'تنظیمات وزن‌دهی'!$C$12+CK29*'تنظیمات وزن‌دهی'!$C$13)/100))</x:f>
        <x:v>15.320714285714287</x:v>
      </x:c>
      <x:c r="CM29" s="178" t="str">
        <x:f>IF(C29="","",IF(COUNT(G29:CB29)=0,"",IF(COUNT(G29:CB29)&lt;74,"موقت - اطلاعات ناقص",IF(CL29&gt;=17,"عالی",IF(CL29&gt;=14,"خوب",IF(CL29&gt;=10,"متوسط","ضعیف"))))))</x:f>
        <x:v>خوب</x:v>
      </x:c>
      <x:c r="CN29" s="178" t="n">
        <x:v>1</x:v>
      </x:c>
      <x:c r="CO29" s="142" t="n">
        <x:f>IF(C29="","",COUNT(G29:CB29)/74)</x:f>
        <x:v>1</x:v>
      </x:c>
      <x:c r="CP29" s="245" t="str">
        <x:v>داده نمونه کامل برای ماه تیر - دانش‌آموز شماره 3</x:v>
      </x:c>
    </x:row>
    <x:row r="30">
      <x:c r="A30" s="165" t="n">
        <x:v>26</x:v>
      </x:c>
      <x:c r="B30" s="233" t="str">
        <x:v>مرداد</x:v>
      </x:c>
      <x:c r="C30" s="233" t="n">
        <x:f>IF('دانش‌آموزان'!E7="","",'دانش‌آموزان'!B7)</x:f>
        <x:v>3</x:v>
      </x:c>
      <x:c r="D30" s="233" t="str">
        <x:f>IF('دانش‌آموزان'!C7="","",'دانش‌آموزان'!C7)</x:f>
        <x:v>4000000039</x:v>
      </x:c>
      <x:c r="E30" s="233" t="str">
        <x:f>IF('دانش‌آموزان'!E7="","",'دانش‌آموزان'!E7&amp;" "&amp;'دانش‌آموزان'!F7)</x:f>
        <x:v>امیرحسین طاهری</x:v>
      </x:c>
      <x:c r="F30" s="166" t="str">
        <x:f>IF('دانش‌آموزان'!I7="","",'دانش‌آموزان'!I7)</x:f>
        <x:v>sample-7-a</x:v>
      </x:c>
      <x:c r="G30" s="114"/>
      <x:c r="H30" s="115"/>
      <x:c r="I30" s="115"/>
      <x:c r="J30" s="115"/>
      <x:c r="K30" s="115"/>
      <x:c r="L30" s="115"/>
      <x:c r="M30" s="115"/>
      <x:c r="N30" s="115"/>
      <x:c r="O30" s="115"/>
      <x:c r="P30" s="115"/>
      <x:c r="Q30" s="115"/>
      <x:c r="R30" s="115"/>
      <x:c r="S30" s="115"/>
      <x:c r="T30" s="115"/>
      <x:c r="U30" s="115"/>
      <x:c r="V30" s="115"/>
      <x:c r="W30" s="115"/>
      <x:c r="X30" s="115"/>
      <x:c r="Y30" s="115"/>
      <x:c r="Z30" s="115"/>
      <x:c r="AA30" s="115"/>
      <x:c r="AB30" s="115"/>
      <x:c r="AC30" s="115"/>
      <x:c r="AD30" s="115"/>
      <x:c r="AE30" s="115"/>
      <x:c r="AF30" s="115"/>
      <x:c r="AG30" s="115"/>
      <x:c r="AH30" s="115"/>
      <x:c r="AI30" s="115"/>
      <x:c r="AJ30" s="115"/>
      <x:c r="AK30" s="115"/>
      <x:c r="AL30" s="115"/>
      <x:c r="AM30" s="115"/>
      <x:c r="AN30" s="115"/>
      <x:c r="AO30" s="115"/>
      <x:c r="AP30" s="115"/>
      <x:c r="AQ30" s="115"/>
      <x:c r="AR30" s="115"/>
      <x:c r="AS30" s="115"/>
      <x:c r="AT30" s="115"/>
      <x:c r="AU30" s="115"/>
      <x:c r="AV30" s="115"/>
      <x:c r="AW30" s="115"/>
      <x:c r="AX30" s="115"/>
      <x:c r="AY30" s="115"/>
      <x:c r="AZ30" s="115"/>
      <x:c r="BA30" s="115"/>
      <x:c r="BB30" s="115"/>
      <x:c r="BC30" s="115"/>
      <x:c r="BD30" s="115"/>
      <x:c r="BE30" s="115"/>
      <x:c r="BF30" s="115"/>
      <x:c r="BG30" s="115"/>
      <x:c r="BH30" s="115"/>
      <x:c r="BI30" s="115"/>
      <x:c r="BJ30" s="115"/>
      <x:c r="BK30" s="115"/>
      <x:c r="BL30" s="115"/>
      <x:c r="BM30" s="115"/>
      <x:c r="BN30" s="115"/>
      <x:c r="BO30" s="115"/>
      <x:c r="BP30" s="115"/>
      <x:c r="BQ30" s="115"/>
      <x:c r="BR30" s="115"/>
      <x:c r="BS30" s="115"/>
      <x:c r="BT30" s="115"/>
      <x:c r="BU30" s="115"/>
      <x:c r="BV30" s="115"/>
      <x:c r="BW30" s="115"/>
      <x:c r="BX30" s="115"/>
      <x:c r="BY30" s="115"/>
      <x:c r="BZ30" s="115"/>
      <x:c r="CA30" s="115"/>
      <x:c r="CB30" s="116"/>
      <x:c r="CC30" s="141" t="str">
        <x:f>IF(COUNT(G30:P30)=0,"",AVERAGE(G30:P30)*4)</x:f>
      </x:c>
      <x:c r="CD30" s="178" t="str">
        <x:f>IF(COUNT(Q30:Z30)=0,"",AVERAGE(Q30:Z30)*4)</x:f>
      </x:c>
      <x:c r="CE30" s="178" t="str">
        <x:f>IF(COUNT(AA30:AJ30)=0,"",AVERAGE(AA30:AJ30)*4)</x:f>
      </x:c>
      <x:c r="CF30" s="178" t="str">
        <x:f>IF(COUNT(AK30:AR30)=0,"",AVERAGE(AK30:AR30)*4)</x:f>
      </x:c>
      <x:c r="CG30" s="178" t="str">
        <x:f>IF(COUNT(AS30:AY30)=0,"",AVERAGE(AS30:AY30)*4)</x:f>
      </x:c>
      <x:c r="CH30" s="178" t="str">
        <x:f>IF(COUNT(AZ30:BG30)=0,"",AVERAGE(AZ30:BG30)*4)</x:f>
      </x:c>
      <x:c r="CI30" s="178" t="str">
        <x:f>IF(COUNT(BH30:BN30)=0,"",AVERAGE(BH30:BN30)*4)</x:f>
      </x:c>
      <x:c r="CJ30" s="178" t="str">
        <x:f>IF(COUNT(BO30:BU30)=0,"",AVERAGE(BO30:BU30)*4)</x:f>
      </x:c>
      <x:c r="CK30" s="178" t="str">
        <x:f>IF(COUNT(BV30:CB30)=0,"",AVERAGE(BV30:CB30)*4)</x:f>
      </x:c>
      <x:c r="CL30" s="178" t="str">
        <x:f>IF(C30="","",IF(COUNT(G30:CB30)&lt;74,"",(CC30*'تنظیمات وزن‌دهی'!$C$5+CD30*'تنظیمات وزن‌دهی'!$C$6+CE30*'تنظیمات وزن‌دهی'!$C$7+CF30*'تنظیمات وزن‌دهی'!$C$8+CG30*'تنظیمات وزن‌دهی'!$C$9+CH30*'تنظیمات وزن‌دهی'!$C$10+CI30*'تنظیمات وزن‌دهی'!$C$11+CJ30*'تنظیمات وزن‌دهی'!$C$12+CK30*'تنظیمات وزن‌دهی'!$C$13)/100))</x:f>
      </x:c>
      <x:c r="CM30" s="178" t="str">
        <x:f>IF(C30="","",IF(COUNT(G30:CB30)=0,"",IF(COUNT(G30:CB30)&lt;74,"موقت - اطلاعات ناقص",IF(CL30&gt;=17,"عالی",IF(CL30&gt;=14,"خوب",IF(CL30&gt;=10,"متوسط","ضعیف"))))))</x:f>
      </x:c>
      <x:c r="CN30" s="178" t="n">
        <x:v>2</x:v>
      </x:c>
      <x:c r="CO30" s="142" t="n">
        <x:f>IF(C30="","",COUNT(G30:CB30)/74)</x:f>
        <x:v>0</x:v>
      </x:c>
      <x:c r="CP30" s="245"/>
    </x:row>
    <x:row r="31">
      <x:c r="A31" s="165" t="n">
        <x:v>27</x:v>
      </x:c>
      <x:c r="B31" s="233" t="str">
        <x:v>شهریور</x:v>
      </x:c>
      <x:c r="C31" s="233" t="n">
        <x:f>IF('دانش‌آموزان'!E7="","",'دانش‌آموزان'!B7)</x:f>
        <x:v>3</x:v>
      </x:c>
      <x:c r="D31" s="233" t="str">
        <x:f>IF('دانش‌آموزان'!C7="","",'دانش‌آموزان'!C7)</x:f>
        <x:v>4000000039</x:v>
      </x:c>
      <x:c r="E31" s="233" t="str">
        <x:f>IF('دانش‌آموزان'!E7="","",'دانش‌آموزان'!E7&amp;" "&amp;'دانش‌آموزان'!F7)</x:f>
        <x:v>امیرحسین طاهری</x:v>
      </x:c>
      <x:c r="F31" s="166" t="str">
        <x:f>IF('دانش‌آموزان'!I7="","",'دانش‌آموزان'!I7)</x:f>
        <x:v>sample-7-a</x:v>
      </x:c>
      <x:c r="G31" s="114"/>
      <x:c r="H31" s="115"/>
      <x:c r="I31" s="115"/>
      <x:c r="J31" s="115"/>
      <x:c r="K31" s="115"/>
      <x:c r="L31" s="115"/>
      <x:c r="M31" s="115"/>
      <x:c r="N31" s="115"/>
      <x:c r="O31" s="115"/>
      <x:c r="P31" s="115"/>
      <x:c r="Q31" s="115"/>
      <x:c r="R31" s="115"/>
      <x:c r="S31" s="115"/>
      <x:c r="T31" s="115"/>
      <x:c r="U31" s="115"/>
      <x:c r="V31" s="115"/>
      <x:c r="W31" s="115"/>
      <x:c r="X31" s="115"/>
      <x:c r="Y31" s="115"/>
      <x:c r="Z31" s="115"/>
      <x:c r="AA31" s="115"/>
      <x:c r="AB31" s="115"/>
      <x:c r="AC31" s="115"/>
      <x:c r="AD31" s="115"/>
      <x:c r="AE31" s="115"/>
      <x:c r="AF31" s="115"/>
      <x:c r="AG31" s="115"/>
      <x:c r="AH31" s="115"/>
      <x:c r="AI31" s="115"/>
      <x:c r="AJ31" s="115"/>
      <x:c r="AK31" s="115"/>
      <x:c r="AL31" s="115"/>
      <x:c r="AM31" s="115"/>
      <x:c r="AN31" s="115"/>
      <x:c r="AO31" s="115"/>
      <x:c r="AP31" s="115"/>
      <x:c r="AQ31" s="115"/>
      <x:c r="AR31" s="115"/>
      <x:c r="AS31" s="115"/>
      <x:c r="AT31" s="115"/>
      <x:c r="AU31" s="115"/>
      <x:c r="AV31" s="115"/>
      <x:c r="AW31" s="115"/>
      <x:c r="AX31" s="115"/>
      <x:c r="AY31" s="115"/>
      <x:c r="AZ31" s="115"/>
      <x:c r="BA31" s="115"/>
      <x:c r="BB31" s="115"/>
      <x:c r="BC31" s="115"/>
      <x:c r="BD31" s="115"/>
      <x:c r="BE31" s="115"/>
      <x:c r="BF31" s="115"/>
      <x:c r="BG31" s="115"/>
      <x:c r="BH31" s="115"/>
      <x:c r="BI31" s="115"/>
      <x:c r="BJ31" s="115"/>
      <x:c r="BK31" s="115"/>
      <x:c r="BL31" s="115"/>
      <x:c r="BM31" s="115"/>
      <x:c r="BN31" s="115"/>
      <x:c r="BO31" s="115"/>
      <x:c r="BP31" s="115"/>
      <x:c r="BQ31" s="115"/>
      <x:c r="BR31" s="115"/>
      <x:c r="BS31" s="115"/>
      <x:c r="BT31" s="115"/>
      <x:c r="BU31" s="115"/>
      <x:c r="BV31" s="115"/>
      <x:c r="BW31" s="115"/>
      <x:c r="BX31" s="115"/>
      <x:c r="BY31" s="115"/>
      <x:c r="BZ31" s="115"/>
      <x:c r="CA31" s="115"/>
      <x:c r="CB31" s="116"/>
      <x:c r="CC31" s="141" t="str">
        <x:f>IF(COUNT(G31:P31)=0,"",AVERAGE(G31:P31)*4)</x:f>
      </x:c>
      <x:c r="CD31" s="178" t="str">
        <x:f>IF(COUNT(Q31:Z31)=0,"",AVERAGE(Q31:Z31)*4)</x:f>
      </x:c>
      <x:c r="CE31" s="178" t="str">
        <x:f>IF(COUNT(AA31:AJ31)=0,"",AVERAGE(AA31:AJ31)*4)</x:f>
      </x:c>
      <x:c r="CF31" s="178" t="str">
        <x:f>IF(COUNT(AK31:AR31)=0,"",AVERAGE(AK31:AR31)*4)</x:f>
      </x:c>
      <x:c r="CG31" s="178" t="str">
        <x:f>IF(COUNT(AS31:AY31)=0,"",AVERAGE(AS31:AY31)*4)</x:f>
      </x:c>
      <x:c r="CH31" s="178" t="str">
        <x:f>IF(COUNT(AZ31:BG31)=0,"",AVERAGE(AZ31:BG31)*4)</x:f>
      </x:c>
      <x:c r="CI31" s="178" t="str">
        <x:f>IF(COUNT(BH31:BN31)=0,"",AVERAGE(BH31:BN31)*4)</x:f>
      </x:c>
      <x:c r="CJ31" s="178" t="str">
        <x:f>IF(COUNT(BO31:BU31)=0,"",AVERAGE(BO31:BU31)*4)</x:f>
      </x:c>
      <x:c r="CK31" s="178" t="str">
        <x:f>IF(COUNT(BV31:CB31)=0,"",AVERAGE(BV31:CB31)*4)</x:f>
      </x:c>
      <x:c r="CL31" s="178" t="str">
        <x:f>IF(C31="","",IF(COUNT(G31:CB31)&lt;74,"",(CC31*'تنظیمات وزن‌دهی'!$C$5+CD31*'تنظیمات وزن‌دهی'!$C$6+CE31*'تنظیمات وزن‌دهی'!$C$7+CF31*'تنظیمات وزن‌دهی'!$C$8+CG31*'تنظیمات وزن‌دهی'!$C$9+CH31*'تنظیمات وزن‌دهی'!$C$10+CI31*'تنظیمات وزن‌دهی'!$C$11+CJ31*'تنظیمات وزن‌دهی'!$C$12+CK31*'تنظیمات وزن‌دهی'!$C$13)/100))</x:f>
      </x:c>
      <x:c r="CM31" s="178" t="str">
        <x:f>IF(C31="","",IF(COUNT(G31:CB31)=0,"",IF(COUNT(G31:CB31)&lt;74,"موقت - اطلاعات ناقص",IF(CL31&gt;=17,"عالی",IF(CL31&gt;=14,"خوب",IF(CL31&gt;=10,"متوسط","ضعیف"))))))</x:f>
      </x:c>
      <x:c r="CN31" s="178" t="n">
        <x:v>3</x:v>
      </x:c>
      <x:c r="CO31" s="142" t="n">
        <x:f>IF(C31="","",COUNT(G31:CB31)/74)</x:f>
        <x:v>0</x:v>
      </x:c>
      <x:c r="CP31" s="245"/>
    </x:row>
    <x:row r="32">
      <x:c r="A32" s="165" t="n">
        <x:v>28</x:v>
      </x:c>
      <x:c r="B32" s="233" t="str">
        <x:v>مهر</x:v>
      </x:c>
      <x:c r="C32" s="233" t="n">
        <x:f>IF('دانش‌آموزان'!E7="","",'دانش‌آموزان'!B7)</x:f>
        <x:v>3</x:v>
      </x:c>
      <x:c r="D32" s="233" t="str">
        <x:f>IF('دانش‌آموزان'!C7="","",'دانش‌آموزان'!C7)</x:f>
        <x:v>4000000039</x:v>
      </x:c>
      <x:c r="E32" s="233" t="str">
        <x:f>IF('دانش‌آموزان'!E7="","",'دانش‌آموزان'!E7&amp;" "&amp;'دانش‌آموزان'!F7)</x:f>
        <x:v>امیرحسین طاهری</x:v>
      </x:c>
      <x:c r="F32" s="166" t="str">
        <x:f>IF('دانش‌آموزان'!I7="","",'دانش‌آموزان'!I7)</x:f>
        <x:v>sample-7-a</x:v>
      </x:c>
      <x:c r="G32" s="114"/>
      <x:c r="H32" s="115"/>
      <x:c r="I32" s="115"/>
      <x:c r="J32" s="115"/>
      <x:c r="K32" s="115"/>
      <x:c r="L32" s="115"/>
      <x:c r="M32" s="115"/>
      <x:c r="N32" s="115"/>
      <x:c r="O32" s="115"/>
      <x:c r="P32" s="115"/>
      <x:c r="Q32" s="115"/>
      <x:c r="R32" s="115"/>
      <x:c r="S32" s="115"/>
      <x:c r="T32" s="115"/>
      <x:c r="U32" s="115"/>
      <x:c r="V32" s="115"/>
      <x:c r="W32" s="115"/>
      <x:c r="X32" s="115"/>
      <x:c r="Y32" s="115"/>
      <x:c r="Z32" s="115"/>
      <x:c r="AA32" s="115"/>
      <x:c r="AB32" s="115"/>
      <x:c r="AC32" s="115"/>
      <x:c r="AD32" s="115"/>
      <x:c r="AE32" s="115"/>
      <x:c r="AF32" s="115"/>
      <x:c r="AG32" s="115"/>
      <x:c r="AH32" s="115"/>
      <x:c r="AI32" s="115"/>
      <x:c r="AJ32" s="115"/>
      <x:c r="AK32" s="115"/>
      <x:c r="AL32" s="115"/>
      <x:c r="AM32" s="115"/>
      <x:c r="AN32" s="115"/>
      <x:c r="AO32" s="115"/>
      <x:c r="AP32" s="115"/>
      <x:c r="AQ32" s="115"/>
      <x:c r="AR32" s="115"/>
      <x:c r="AS32" s="115"/>
      <x:c r="AT32" s="115"/>
      <x:c r="AU32" s="115"/>
      <x:c r="AV32" s="115"/>
      <x:c r="AW32" s="115"/>
      <x:c r="AX32" s="115"/>
      <x:c r="AY32" s="115"/>
      <x:c r="AZ32" s="115"/>
      <x:c r="BA32" s="115"/>
      <x:c r="BB32" s="115"/>
      <x:c r="BC32" s="115"/>
      <x:c r="BD32" s="115"/>
      <x:c r="BE32" s="115"/>
      <x:c r="BF32" s="115"/>
      <x:c r="BG32" s="115"/>
      <x:c r="BH32" s="115"/>
      <x:c r="BI32" s="115"/>
      <x:c r="BJ32" s="115"/>
      <x:c r="BK32" s="115"/>
      <x:c r="BL32" s="115"/>
      <x:c r="BM32" s="115"/>
      <x:c r="BN32" s="115"/>
      <x:c r="BO32" s="115"/>
      <x:c r="BP32" s="115"/>
      <x:c r="BQ32" s="115"/>
      <x:c r="BR32" s="115"/>
      <x:c r="BS32" s="115"/>
      <x:c r="BT32" s="115"/>
      <x:c r="BU32" s="115"/>
      <x:c r="BV32" s="115"/>
      <x:c r="BW32" s="115"/>
      <x:c r="BX32" s="115"/>
      <x:c r="BY32" s="115"/>
      <x:c r="BZ32" s="115"/>
      <x:c r="CA32" s="115"/>
      <x:c r="CB32" s="116"/>
      <x:c r="CC32" s="141" t="str">
        <x:f>IF(COUNT(G32:P32)=0,"",AVERAGE(G32:P32)*4)</x:f>
      </x:c>
      <x:c r="CD32" s="178" t="str">
        <x:f>IF(COUNT(Q32:Z32)=0,"",AVERAGE(Q32:Z32)*4)</x:f>
      </x:c>
      <x:c r="CE32" s="178" t="str">
        <x:f>IF(COUNT(AA32:AJ32)=0,"",AVERAGE(AA32:AJ32)*4)</x:f>
      </x:c>
      <x:c r="CF32" s="178" t="str">
        <x:f>IF(COUNT(AK32:AR32)=0,"",AVERAGE(AK32:AR32)*4)</x:f>
      </x:c>
      <x:c r="CG32" s="178" t="str">
        <x:f>IF(COUNT(AS32:AY32)=0,"",AVERAGE(AS32:AY32)*4)</x:f>
      </x:c>
      <x:c r="CH32" s="178" t="str">
        <x:f>IF(COUNT(AZ32:BG32)=0,"",AVERAGE(AZ32:BG32)*4)</x:f>
      </x:c>
      <x:c r="CI32" s="178" t="str">
        <x:f>IF(COUNT(BH32:BN32)=0,"",AVERAGE(BH32:BN32)*4)</x:f>
      </x:c>
      <x:c r="CJ32" s="178" t="str">
        <x:f>IF(COUNT(BO32:BU32)=0,"",AVERAGE(BO32:BU32)*4)</x:f>
      </x:c>
      <x:c r="CK32" s="178" t="str">
        <x:f>IF(COUNT(BV32:CB32)=0,"",AVERAGE(BV32:CB32)*4)</x:f>
      </x:c>
      <x:c r="CL32" s="178" t="str">
        <x:f>IF(C32="","",IF(COUNT(G32:CB32)&lt;74,"",(CC32*'تنظیمات وزن‌دهی'!$C$5+CD32*'تنظیمات وزن‌دهی'!$C$6+CE32*'تنظیمات وزن‌دهی'!$C$7+CF32*'تنظیمات وزن‌دهی'!$C$8+CG32*'تنظیمات وزن‌دهی'!$C$9+CH32*'تنظیمات وزن‌دهی'!$C$10+CI32*'تنظیمات وزن‌دهی'!$C$11+CJ32*'تنظیمات وزن‌دهی'!$C$12+CK32*'تنظیمات وزن‌دهی'!$C$13)/100))</x:f>
      </x:c>
      <x:c r="CM32" s="178" t="str">
        <x:f>IF(C32="","",IF(COUNT(G32:CB32)=0,"",IF(COUNT(G32:CB32)&lt;74,"موقت - اطلاعات ناقص",IF(CL32&gt;=17,"عالی",IF(CL32&gt;=14,"خوب",IF(CL32&gt;=10,"متوسط","ضعیف"))))))</x:f>
      </x:c>
      <x:c r="CN32" s="178" t="n">
        <x:v>4</x:v>
      </x:c>
      <x:c r="CO32" s="142" t="n">
        <x:f>IF(C32="","",COUNT(G32:CB32)/74)</x:f>
        <x:v>0</x:v>
      </x:c>
      <x:c r="CP32" s="245"/>
    </x:row>
    <x:row r="33">
      <x:c r="A33" s="165" t="n">
        <x:v>29</x:v>
      </x:c>
      <x:c r="B33" s="233" t="str">
        <x:v>آبان</x:v>
      </x:c>
      <x:c r="C33" s="233" t="n">
        <x:f>IF('دانش‌آموزان'!E7="","",'دانش‌آموزان'!B7)</x:f>
        <x:v>3</x:v>
      </x:c>
      <x:c r="D33" s="233" t="str">
        <x:f>IF('دانش‌آموزان'!C7="","",'دانش‌آموزان'!C7)</x:f>
        <x:v>4000000039</x:v>
      </x:c>
      <x:c r="E33" s="233" t="str">
        <x:f>IF('دانش‌آموزان'!E7="","",'دانش‌آموزان'!E7&amp;" "&amp;'دانش‌آموزان'!F7)</x:f>
        <x:v>امیرحسین طاهری</x:v>
      </x:c>
      <x:c r="F33" s="166" t="str">
        <x:f>IF('دانش‌آموزان'!I7="","",'دانش‌آموزان'!I7)</x:f>
        <x:v>sample-7-a</x:v>
      </x:c>
      <x:c r="G33" s="114"/>
      <x:c r="H33" s="115"/>
      <x:c r="I33" s="115"/>
      <x:c r="J33" s="115"/>
      <x:c r="K33" s="115"/>
      <x:c r="L33" s="115"/>
      <x:c r="M33" s="115"/>
      <x:c r="N33" s="115"/>
      <x:c r="O33" s="115"/>
      <x:c r="P33" s="115"/>
      <x:c r="Q33" s="115"/>
      <x:c r="R33" s="115"/>
      <x:c r="S33" s="115"/>
      <x:c r="T33" s="115"/>
      <x:c r="U33" s="115"/>
      <x:c r="V33" s="115"/>
      <x:c r="W33" s="115"/>
      <x:c r="X33" s="115"/>
      <x:c r="Y33" s="115"/>
      <x:c r="Z33" s="115"/>
      <x:c r="AA33" s="115"/>
      <x:c r="AB33" s="115"/>
      <x:c r="AC33" s="115"/>
      <x:c r="AD33" s="115"/>
      <x:c r="AE33" s="115"/>
      <x:c r="AF33" s="115"/>
      <x:c r="AG33" s="115"/>
      <x:c r="AH33" s="115"/>
      <x:c r="AI33" s="115"/>
      <x:c r="AJ33" s="115"/>
      <x:c r="AK33" s="115"/>
      <x:c r="AL33" s="115"/>
      <x:c r="AM33" s="115"/>
      <x:c r="AN33" s="115"/>
      <x:c r="AO33" s="115"/>
      <x:c r="AP33" s="115"/>
      <x:c r="AQ33" s="115"/>
      <x:c r="AR33" s="115"/>
      <x:c r="AS33" s="115"/>
      <x:c r="AT33" s="115"/>
      <x:c r="AU33" s="115"/>
      <x:c r="AV33" s="115"/>
      <x:c r="AW33" s="115"/>
      <x:c r="AX33" s="115"/>
      <x:c r="AY33" s="115"/>
      <x:c r="AZ33" s="115"/>
      <x:c r="BA33" s="115"/>
      <x:c r="BB33" s="115"/>
      <x:c r="BC33" s="115"/>
      <x:c r="BD33" s="115"/>
      <x:c r="BE33" s="115"/>
      <x:c r="BF33" s="115"/>
      <x:c r="BG33" s="115"/>
      <x:c r="BH33" s="115"/>
      <x:c r="BI33" s="115"/>
      <x:c r="BJ33" s="115"/>
      <x:c r="BK33" s="115"/>
      <x:c r="BL33" s="115"/>
      <x:c r="BM33" s="115"/>
      <x:c r="BN33" s="115"/>
      <x:c r="BO33" s="115"/>
      <x:c r="BP33" s="115"/>
      <x:c r="BQ33" s="115"/>
      <x:c r="BR33" s="115"/>
      <x:c r="BS33" s="115"/>
      <x:c r="BT33" s="115"/>
      <x:c r="BU33" s="115"/>
      <x:c r="BV33" s="115"/>
      <x:c r="BW33" s="115"/>
      <x:c r="BX33" s="115"/>
      <x:c r="BY33" s="115"/>
      <x:c r="BZ33" s="115"/>
      <x:c r="CA33" s="115"/>
      <x:c r="CB33" s="116"/>
      <x:c r="CC33" s="141" t="str">
        <x:f>IF(COUNT(G33:P33)=0,"",AVERAGE(G33:P33)*4)</x:f>
      </x:c>
      <x:c r="CD33" s="178" t="str">
        <x:f>IF(COUNT(Q33:Z33)=0,"",AVERAGE(Q33:Z33)*4)</x:f>
      </x:c>
      <x:c r="CE33" s="178" t="str">
        <x:f>IF(COUNT(AA33:AJ33)=0,"",AVERAGE(AA33:AJ33)*4)</x:f>
      </x:c>
      <x:c r="CF33" s="178" t="str">
        <x:f>IF(COUNT(AK33:AR33)=0,"",AVERAGE(AK33:AR33)*4)</x:f>
      </x:c>
      <x:c r="CG33" s="178" t="str">
        <x:f>IF(COUNT(AS33:AY33)=0,"",AVERAGE(AS33:AY33)*4)</x:f>
      </x:c>
      <x:c r="CH33" s="178" t="str">
        <x:f>IF(COUNT(AZ33:BG33)=0,"",AVERAGE(AZ33:BG33)*4)</x:f>
      </x:c>
      <x:c r="CI33" s="178" t="str">
        <x:f>IF(COUNT(BH33:BN33)=0,"",AVERAGE(BH33:BN33)*4)</x:f>
      </x:c>
      <x:c r="CJ33" s="178" t="str">
        <x:f>IF(COUNT(BO33:BU33)=0,"",AVERAGE(BO33:BU33)*4)</x:f>
      </x:c>
      <x:c r="CK33" s="178" t="str">
        <x:f>IF(COUNT(BV33:CB33)=0,"",AVERAGE(BV33:CB33)*4)</x:f>
      </x:c>
      <x:c r="CL33" s="178" t="str">
        <x:f>IF(C33="","",IF(COUNT(G33:CB33)&lt;74,"",(CC33*'تنظیمات وزن‌دهی'!$C$5+CD33*'تنظیمات وزن‌دهی'!$C$6+CE33*'تنظیمات وزن‌دهی'!$C$7+CF33*'تنظیمات وزن‌دهی'!$C$8+CG33*'تنظیمات وزن‌دهی'!$C$9+CH33*'تنظیمات وزن‌دهی'!$C$10+CI33*'تنظیمات وزن‌دهی'!$C$11+CJ33*'تنظیمات وزن‌دهی'!$C$12+CK33*'تنظیمات وزن‌دهی'!$C$13)/100))</x:f>
      </x:c>
      <x:c r="CM33" s="178" t="str">
        <x:f>IF(C33="","",IF(COUNT(G33:CB33)=0,"",IF(COUNT(G33:CB33)&lt;74,"موقت - اطلاعات ناقص",IF(CL33&gt;=17,"عالی",IF(CL33&gt;=14,"خوب",IF(CL33&gt;=10,"متوسط","ضعیف"))))))</x:f>
      </x:c>
      <x:c r="CN33" s="178" t="n">
        <x:v>5</x:v>
      </x:c>
      <x:c r="CO33" s="142" t="n">
        <x:f>IF(C33="","",COUNT(G33:CB33)/74)</x:f>
        <x:v>0</x:v>
      </x:c>
      <x:c r="CP33" s="245"/>
    </x:row>
    <x:row r="34">
      <x:c r="A34" s="165" t="n">
        <x:v>30</x:v>
      </x:c>
      <x:c r="B34" s="233" t="str">
        <x:v>آذر</x:v>
      </x:c>
      <x:c r="C34" s="233" t="n">
        <x:f>IF('دانش‌آموزان'!E7="","",'دانش‌آموزان'!B7)</x:f>
        <x:v>3</x:v>
      </x:c>
      <x:c r="D34" s="233" t="str">
        <x:f>IF('دانش‌آموزان'!C7="","",'دانش‌آموزان'!C7)</x:f>
        <x:v>4000000039</x:v>
      </x:c>
      <x:c r="E34" s="233" t="str">
        <x:f>IF('دانش‌آموزان'!E7="","",'دانش‌آموزان'!E7&amp;" "&amp;'دانش‌آموزان'!F7)</x:f>
        <x:v>امیرحسین طاهری</x:v>
      </x:c>
      <x:c r="F34" s="166" t="str">
        <x:f>IF('دانش‌آموزان'!I7="","",'دانش‌آموزان'!I7)</x:f>
        <x:v>sample-7-a</x:v>
      </x:c>
      <x:c r="G34" s="114"/>
      <x:c r="H34" s="115"/>
      <x:c r="I34" s="115"/>
      <x:c r="J34" s="115"/>
      <x:c r="K34" s="115"/>
      <x:c r="L34" s="115"/>
      <x:c r="M34" s="115"/>
      <x:c r="N34" s="115"/>
      <x:c r="O34" s="115"/>
      <x:c r="P34" s="115"/>
      <x:c r="Q34" s="115"/>
      <x:c r="R34" s="115"/>
      <x:c r="S34" s="115"/>
      <x:c r="T34" s="115"/>
      <x:c r="U34" s="115"/>
      <x:c r="V34" s="115"/>
      <x:c r="W34" s="115"/>
      <x:c r="X34" s="115"/>
      <x:c r="Y34" s="115"/>
      <x:c r="Z34" s="115"/>
      <x:c r="AA34" s="115"/>
      <x:c r="AB34" s="115"/>
      <x:c r="AC34" s="115"/>
      <x:c r="AD34" s="115"/>
      <x:c r="AE34" s="115"/>
      <x:c r="AF34" s="115"/>
      <x:c r="AG34" s="115"/>
      <x:c r="AH34" s="115"/>
      <x:c r="AI34" s="115"/>
      <x:c r="AJ34" s="115"/>
      <x:c r="AK34" s="115"/>
      <x:c r="AL34" s="115"/>
      <x:c r="AM34" s="115"/>
      <x:c r="AN34" s="115"/>
      <x:c r="AO34" s="115"/>
      <x:c r="AP34" s="115"/>
      <x:c r="AQ34" s="115"/>
      <x:c r="AR34" s="115"/>
      <x:c r="AS34" s="115"/>
      <x:c r="AT34" s="115"/>
      <x:c r="AU34" s="115"/>
      <x:c r="AV34" s="115"/>
      <x:c r="AW34" s="115"/>
      <x:c r="AX34" s="115"/>
      <x:c r="AY34" s="115"/>
      <x:c r="AZ34" s="115"/>
      <x:c r="BA34" s="115"/>
      <x:c r="BB34" s="115"/>
      <x:c r="BC34" s="115"/>
      <x:c r="BD34" s="115"/>
      <x:c r="BE34" s="115"/>
      <x:c r="BF34" s="115"/>
      <x:c r="BG34" s="115"/>
      <x:c r="BH34" s="115"/>
      <x:c r="BI34" s="115"/>
      <x:c r="BJ34" s="115"/>
      <x:c r="BK34" s="115"/>
      <x:c r="BL34" s="115"/>
      <x:c r="BM34" s="115"/>
      <x:c r="BN34" s="115"/>
      <x:c r="BO34" s="115"/>
      <x:c r="BP34" s="115"/>
      <x:c r="BQ34" s="115"/>
      <x:c r="BR34" s="115"/>
      <x:c r="BS34" s="115"/>
      <x:c r="BT34" s="115"/>
      <x:c r="BU34" s="115"/>
      <x:c r="BV34" s="115"/>
      <x:c r="BW34" s="115"/>
      <x:c r="BX34" s="115"/>
      <x:c r="BY34" s="115"/>
      <x:c r="BZ34" s="115"/>
      <x:c r="CA34" s="115"/>
      <x:c r="CB34" s="116"/>
      <x:c r="CC34" s="141" t="str">
        <x:f>IF(COUNT(G34:P34)=0,"",AVERAGE(G34:P34)*4)</x:f>
      </x:c>
      <x:c r="CD34" s="178" t="str">
        <x:f>IF(COUNT(Q34:Z34)=0,"",AVERAGE(Q34:Z34)*4)</x:f>
      </x:c>
      <x:c r="CE34" s="178" t="str">
        <x:f>IF(COUNT(AA34:AJ34)=0,"",AVERAGE(AA34:AJ34)*4)</x:f>
      </x:c>
      <x:c r="CF34" s="178" t="str">
        <x:f>IF(COUNT(AK34:AR34)=0,"",AVERAGE(AK34:AR34)*4)</x:f>
      </x:c>
      <x:c r="CG34" s="178" t="str">
        <x:f>IF(COUNT(AS34:AY34)=0,"",AVERAGE(AS34:AY34)*4)</x:f>
      </x:c>
      <x:c r="CH34" s="178" t="str">
        <x:f>IF(COUNT(AZ34:BG34)=0,"",AVERAGE(AZ34:BG34)*4)</x:f>
      </x:c>
      <x:c r="CI34" s="178" t="str">
        <x:f>IF(COUNT(BH34:BN34)=0,"",AVERAGE(BH34:BN34)*4)</x:f>
      </x:c>
      <x:c r="CJ34" s="178" t="str">
        <x:f>IF(COUNT(BO34:BU34)=0,"",AVERAGE(BO34:BU34)*4)</x:f>
      </x:c>
      <x:c r="CK34" s="178" t="str">
        <x:f>IF(COUNT(BV34:CB34)=0,"",AVERAGE(BV34:CB34)*4)</x:f>
      </x:c>
      <x:c r="CL34" s="178" t="str">
        <x:f>IF(C34="","",IF(COUNT(G34:CB34)&lt;74,"",(CC34*'تنظیمات وزن‌دهی'!$C$5+CD34*'تنظیمات وزن‌دهی'!$C$6+CE34*'تنظیمات وزن‌دهی'!$C$7+CF34*'تنظیمات وزن‌دهی'!$C$8+CG34*'تنظیمات وزن‌دهی'!$C$9+CH34*'تنظیمات وزن‌دهی'!$C$10+CI34*'تنظیمات وزن‌دهی'!$C$11+CJ34*'تنظیمات وزن‌دهی'!$C$12+CK34*'تنظیمات وزن‌دهی'!$C$13)/100))</x:f>
      </x:c>
      <x:c r="CM34" s="178" t="str">
        <x:f>IF(C34="","",IF(COUNT(G34:CB34)=0,"",IF(COUNT(G34:CB34)&lt;74,"موقت - اطلاعات ناقص",IF(CL34&gt;=17,"عالی",IF(CL34&gt;=14,"خوب",IF(CL34&gt;=10,"متوسط","ضعیف"))))))</x:f>
      </x:c>
      <x:c r="CN34" s="178" t="n">
        <x:v>6</x:v>
      </x:c>
      <x:c r="CO34" s="142" t="n">
        <x:f>IF(C34="","",COUNT(G34:CB34)/74)</x:f>
        <x:v>0</x:v>
      </x:c>
      <x:c r="CP34" s="245"/>
    </x:row>
    <x:row r="35">
      <x:c r="A35" s="165" t="n">
        <x:v>31</x:v>
      </x:c>
      <x:c r="B35" s="233" t="str">
        <x:v>دی</x:v>
      </x:c>
      <x:c r="C35" s="233" t="n">
        <x:f>IF('دانش‌آموزان'!E7="","",'دانش‌آموزان'!B7)</x:f>
        <x:v>3</x:v>
      </x:c>
      <x:c r="D35" s="233" t="str">
        <x:f>IF('دانش‌آموزان'!C7="","",'دانش‌آموزان'!C7)</x:f>
        <x:v>4000000039</x:v>
      </x:c>
      <x:c r="E35" s="233" t="str">
        <x:f>IF('دانش‌آموزان'!E7="","",'دانش‌آموزان'!E7&amp;" "&amp;'دانش‌آموزان'!F7)</x:f>
        <x:v>امیرحسین طاهری</x:v>
      </x:c>
      <x:c r="F35" s="166" t="str">
        <x:f>IF('دانش‌آموزان'!I7="","",'دانش‌آموزان'!I7)</x:f>
        <x:v>sample-7-a</x:v>
      </x:c>
      <x:c r="G35" s="114"/>
      <x:c r="H35" s="115"/>
      <x:c r="I35" s="115"/>
      <x:c r="J35" s="115"/>
      <x:c r="K35" s="115"/>
      <x:c r="L35" s="115"/>
      <x:c r="M35" s="115"/>
      <x:c r="N35" s="115"/>
      <x:c r="O35" s="115"/>
      <x:c r="P35" s="115"/>
      <x:c r="Q35" s="115"/>
      <x:c r="R35" s="115"/>
      <x:c r="S35" s="115"/>
      <x:c r="T35" s="115"/>
      <x:c r="U35" s="115"/>
      <x:c r="V35" s="115"/>
      <x:c r="W35" s="115"/>
      <x:c r="X35" s="115"/>
      <x:c r="Y35" s="115"/>
      <x:c r="Z35" s="115"/>
      <x:c r="AA35" s="115"/>
      <x:c r="AB35" s="115"/>
      <x:c r="AC35" s="115"/>
      <x:c r="AD35" s="115"/>
      <x:c r="AE35" s="115"/>
      <x:c r="AF35" s="115"/>
      <x:c r="AG35" s="115"/>
      <x:c r="AH35" s="115"/>
      <x:c r="AI35" s="115"/>
      <x:c r="AJ35" s="115"/>
      <x:c r="AK35" s="115"/>
      <x:c r="AL35" s="115"/>
      <x:c r="AM35" s="115"/>
      <x:c r="AN35" s="115"/>
      <x:c r="AO35" s="115"/>
      <x:c r="AP35" s="115"/>
      <x:c r="AQ35" s="115"/>
      <x:c r="AR35" s="115"/>
      <x:c r="AS35" s="115"/>
      <x:c r="AT35" s="115"/>
      <x:c r="AU35" s="115"/>
      <x:c r="AV35" s="115"/>
      <x:c r="AW35" s="115"/>
      <x:c r="AX35" s="115"/>
      <x:c r="AY35" s="115"/>
      <x:c r="AZ35" s="115"/>
      <x:c r="BA35" s="115"/>
      <x:c r="BB35" s="115"/>
      <x:c r="BC35" s="115"/>
      <x:c r="BD35" s="115"/>
      <x:c r="BE35" s="115"/>
      <x:c r="BF35" s="115"/>
      <x:c r="BG35" s="115"/>
      <x:c r="BH35" s="115"/>
      <x:c r="BI35" s="115"/>
      <x:c r="BJ35" s="115"/>
      <x:c r="BK35" s="115"/>
      <x:c r="BL35" s="115"/>
      <x:c r="BM35" s="115"/>
      <x:c r="BN35" s="115"/>
      <x:c r="BO35" s="115"/>
      <x:c r="BP35" s="115"/>
      <x:c r="BQ35" s="115"/>
      <x:c r="BR35" s="115"/>
      <x:c r="BS35" s="115"/>
      <x:c r="BT35" s="115"/>
      <x:c r="BU35" s="115"/>
      <x:c r="BV35" s="115"/>
      <x:c r="BW35" s="115"/>
      <x:c r="BX35" s="115"/>
      <x:c r="BY35" s="115"/>
      <x:c r="BZ35" s="115"/>
      <x:c r="CA35" s="115"/>
      <x:c r="CB35" s="116"/>
      <x:c r="CC35" s="141" t="str">
        <x:f>IF(COUNT(G35:P35)=0,"",AVERAGE(G35:P35)*4)</x:f>
      </x:c>
      <x:c r="CD35" s="178" t="str">
        <x:f>IF(COUNT(Q35:Z35)=0,"",AVERAGE(Q35:Z35)*4)</x:f>
      </x:c>
      <x:c r="CE35" s="178" t="str">
        <x:f>IF(COUNT(AA35:AJ35)=0,"",AVERAGE(AA35:AJ35)*4)</x:f>
      </x:c>
      <x:c r="CF35" s="178" t="str">
        <x:f>IF(COUNT(AK35:AR35)=0,"",AVERAGE(AK35:AR35)*4)</x:f>
      </x:c>
      <x:c r="CG35" s="178" t="str">
        <x:f>IF(COUNT(AS35:AY35)=0,"",AVERAGE(AS35:AY35)*4)</x:f>
      </x:c>
      <x:c r="CH35" s="178" t="str">
        <x:f>IF(COUNT(AZ35:BG35)=0,"",AVERAGE(AZ35:BG35)*4)</x:f>
      </x:c>
      <x:c r="CI35" s="178" t="str">
        <x:f>IF(COUNT(BH35:BN35)=0,"",AVERAGE(BH35:BN35)*4)</x:f>
      </x:c>
      <x:c r="CJ35" s="178" t="str">
        <x:f>IF(COUNT(BO35:BU35)=0,"",AVERAGE(BO35:BU35)*4)</x:f>
      </x:c>
      <x:c r="CK35" s="178" t="str">
        <x:f>IF(COUNT(BV35:CB35)=0,"",AVERAGE(BV35:CB35)*4)</x:f>
      </x:c>
      <x:c r="CL35" s="178" t="str">
        <x:f>IF(C35="","",IF(COUNT(G35:CB35)&lt;74,"",(CC35*'تنظیمات وزن‌دهی'!$C$5+CD35*'تنظیمات وزن‌دهی'!$C$6+CE35*'تنظیمات وزن‌دهی'!$C$7+CF35*'تنظیمات وزن‌دهی'!$C$8+CG35*'تنظیمات وزن‌دهی'!$C$9+CH35*'تنظیمات وزن‌دهی'!$C$10+CI35*'تنظیمات وزن‌دهی'!$C$11+CJ35*'تنظیمات وزن‌دهی'!$C$12+CK35*'تنظیمات وزن‌دهی'!$C$13)/100))</x:f>
      </x:c>
      <x:c r="CM35" s="178" t="str">
        <x:f>IF(C35="","",IF(COUNT(G35:CB35)=0,"",IF(COUNT(G35:CB35)&lt;74,"موقت - اطلاعات ناقص",IF(CL35&gt;=17,"عالی",IF(CL35&gt;=14,"خوب",IF(CL35&gt;=10,"متوسط","ضعیف"))))))</x:f>
      </x:c>
      <x:c r="CN35" s="178" t="n">
        <x:v>7</x:v>
      </x:c>
      <x:c r="CO35" s="142" t="n">
        <x:f>IF(C35="","",COUNT(G35:CB35)/74)</x:f>
        <x:v>0</x:v>
      </x:c>
      <x:c r="CP35" s="245"/>
    </x:row>
    <x:row r="36">
      <x:c r="A36" s="165" t="n">
        <x:v>32</x:v>
      </x:c>
      <x:c r="B36" s="233" t="str">
        <x:v>بهمن</x:v>
      </x:c>
      <x:c r="C36" s="233" t="n">
        <x:f>IF('دانش‌آموزان'!E7="","",'دانش‌آموزان'!B7)</x:f>
        <x:v>3</x:v>
      </x:c>
      <x:c r="D36" s="233" t="str">
        <x:f>IF('دانش‌آموزان'!C7="","",'دانش‌آموزان'!C7)</x:f>
        <x:v>4000000039</x:v>
      </x:c>
      <x:c r="E36" s="233" t="str">
        <x:f>IF('دانش‌آموزان'!E7="","",'دانش‌آموزان'!E7&amp;" "&amp;'دانش‌آموزان'!F7)</x:f>
        <x:v>امیرحسین طاهری</x:v>
      </x:c>
      <x:c r="F36" s="166" t="str">
        <x:f>IF('دانش‌آموزان'!I7="","",'دانش‌آموزان'!I7)</x:f>
        <x:v>sample-7-a</x:v>
      </x:c>
      <x:c r="G36" s="114"/>
      <x:c r="H36" s="115"/>
      <x:c r="I36" s="115"/>
      <x:c r="J36" s="115"/>
      <x:c r="K36" s="115"/>
      <x:c r="L36" s="115"/>
      <x:c r="M36" s="115"/>
      <x:c r="N36" s="115"/>
      <x:c r="O36" s="115"/>
      <x:c r="P36" s="115"/>
      <x:c r="Q36" s="115"/>
      <x:c r="R36" s="115"/>
      <x:c r="S36" s="115"/>
      <x:c r="T36" s="115"/>
      <x:c r="U36" s="115"/>
      <x:c r="V36" s="115"/>
      <x:c r="W36" s="115"/>
      <x:c r="X36" s="115"/>
      <x:c r="Y36" s="115"/>
      <x:c r="Z36" s="115"/>
      <x:c r="AA36" s="115"/>
      <x:c r="AB36" s="115"/>
      <x:c r="AC36" s="115"/>
      <x:c r="AD36" s="115"/>
      <x:c r="AE36" s="115"/>
      <x:c r="AF36" s="115"/>
      <x:c r="AG36" s="115"/>
      <x:c r="AH36" s="115"/>
      <x:c r="AI36" s="115"/>
      <x:c r="AJ36" s="115"/>
      <x:c r="AK36" s="115"/>
      <x:c r="AL36" s="115"/>
      <x:c r="AM36" s="115"/>
      <x:c r="AN36" s="115"/>
      <x:c r="AO36" s="115"/>
      <x:c r="AP36" s="115"/>
      <x:c r="AQ36" s="115"/>
      <x:c r="AR36" s="115"/>
      <x:c r="AS36" s="115"/>
      <x:c r="AT36" s="115"/>
      <x:c r="AU36" s="115"/>
      <x:c r="AV36" s="115"/>
      <x:c r="AW36" s="115"/>
      <x:c r="AX36" s="115"/>
      <x:c r="AY36" s="115"/>
      <x:c r="AZ36" s="115"/>
      <x:c r="BA36" s="115"/>
      <x:c r="BB36" s="115"/>
      <x:c r="BC36" s="115"/>
      <x:c r="BD36" s="115"/>
      <x:c r="BE36" s="115"/>
      <x:c r="BF36" s="115"/>
      <x:c r="BG36" s="115"/>
      <x:c r="BH36" s="115"/>
      <x:c r="BI36" s="115"/>
      <x:c r="BJ36" s="115"/>
      <x:c r="BK36" s="115"/>
      <x:c r="BL36" s="115"/>
      <x:c r="BM36" s="115"/>
      <x:c r="BN36" s="115"/>
      <x:c r="BO36" s="115"/>
      <x:c r="BP36" s="115"/>
      <x:c r="BQ36" s="115"/>
      <x:c r="BR36" s="115"/>
      <x:c r="BS36" s="115"/>
      <x:c r="BT36" s="115"/>
      <x:c r="BU36" s="115"/>
      <x:c r="BV36" s="115"/>
      <x:c r="BW36" s="115"/>
      <x:c r="BX36" s="115"/>
      <x:c r="BY36" s="115"/>
      <x:c r="BZ36" s="115"/>
      <x:c r="CA36" s="115"/>
      <x:c r="CB36" s="116"/>
      <x:c r="CC36" s="141" t="str">
        <x:f>IF(COUNT(G36:P36)=0,"",AVERAGE(G36:P36)*4)</x:f>
      </x:c>
      <x:c r="CD36" s="178" t="str">
        <x:f>IF(COUNT(Q36:Z36)=0,"",AVERAGE(Q36:Z36)*4)</x:f>
      </x:c>
      <x:c r="CE36" s="178" t="str">
        <x:f>IF(COUNT(AA36:AJ36)=0,"",AVERAGE(AA36:AJ36)*4)</x:f>
      </x:c>
      <x:c r="CF36" s="178" t="str">
        <x:f>IF(COUNT(AK36:AR36)=0,"",AVERAGE(AK36:AR36)*4)</x:f>
      </x:c>
      <x:c r="CG36" s="178" t="str">
        <x:f>IF(COUNT(AS36:AY36)=0,"",AVERAGE(AS36:AY36)*4)</x:f>
      </x:c>
      <x:c r="CH36" s="178" t="str">
        <x:f>IF(COUNT(AZ36:BG36)=0,"",AVERAGE(AZ36:BG36)*4)</x:f>
      </x:c>
      <x:c r="CI36" s="178" t="str">
        <x:f>IF(COUNT(BH36:BN36)=0,"",AVERAGE(BH36:BN36)*4)</x:f>
      </x:c>
      <x:c r="CJ36" s="178" t="str">
        <x:f>IF(COUNT(BO36:BU36)=0,"",AVERAGE(BO36:BU36)*4)</x:f>
      </x:c>
      <x:c r="CK36" s="178" t="str">
        <x:f>IF(COUNT(BV36:CB36)=0,"",AVERAGE(BV36:CB36)*4)</x:f>
      </x:c>
      <x:c r="CL36" s="178" t="str">
        <x:f>IF(C36="","",IF(COUNT(G36:CB36)&lt;74,"",(CC36*'تنظیمات وزن‌دهی'!$C$5+CD36*'تنظیمات وزن‌دهی'!$C$6+CE36*'تنظیمات وزن‌دهی'!$C$7+CF36*'تنظیمات وزن‌دهی'!$C$8+CG36*'تنظیمات وزن‌دهی'!$C$9+CH36*'تنظیمات وزن‌دهی'!$C$10+CI36*'تنظیمات وزن‌دهی'!$C$11+CJ36*'تنظیمات وزن‌دهی'!$C$12+CK36*'تنظیمات وزن‌دهی'!$C$13)/100))</x:f>
      </x:c>
      <x:c r="CM36" s="178" t="str">
        <x:f>IF(C36="","",IF(COUNT(G36:CB36)=0,"",IF(COUNT(G36:CB36)&lt;74,"موقت - اطلاعات ناقص",IF(CL36&gt;=17,"عالی",IF(CL36&gt;=14,"خوب",IF(CL36&gt;=10,"متوسط","ضعیف"))))))</x:f>
      </x:c>
      <x:c r="CN36" s="178" t="n">
        <x:v>8</x:v>
      </x:c>
      <x:c r="CO36" s="142" t="n">
        <x:f>IF(C36="","",COUNT(G36:CB36)/74)</x:f>
        <x:v>0</x:v>
      </x:c>
      <x:c r="CP36" s="245"/>
    </x:row>
    <x:row r="37">
      <x:c r="A37" s="165" t="n">
        <x:v>33</x:v>
      </x:c>
      <x:c r="B37" s="233" t="str">
        <x:v>اسفند</x:v>
      </x:c>
      <x:c r="C37" s="233" t="n">
        <x:f>IF('دانش‌آموزان'!E7="","",'دانش‌آموزان'!B7)</x:f>
        <x:v>3</x:v>
      </x:c>
      <x:c r="D37" s="233" t="str">
        <x:f>IF('دانش‌آموزان'!C7="","",'دانش‌آموزان'!C7)</x:f>
        <x:v>4000000039</x:v>
      </x:c>
      <x:c r="E37" s="233" t="str">
        <x:f>IF('دانش‌آموزان'!E7="","",'دانش‌آموزان'!E7&amp;" "&amp;'دانش‌آموزان'!F7)</x:f>
        <x:v>امیرحسین طاهری</x:v>
      </x:c>
      <x:c r="F37" s="166" t="str">
        <x:f>IF('دانش‌آموزان'!I7="","",'دانش‌آموزان'!I7)</x:f>
        <x:v>sample-7-a</x:v>
      </x:c>
      <x:c r="G37" s="114"/>
      <x:c r="H37" s="115"/>
      <x:c r="I37" s="115"/>
      <x:c r="J37" s="115"/>
      <x:c r="K37" s="115"/>
      <x:c r="L37" s="115"/>
      <x:c r="M37" s="115"/>
      <x:c r="N37" s="115"/>
      <x:c r="O37" s="115"/>
      <x:c r="P37" s="115"/>
      <x:c r="Q37" s="115"/>
      <x:c r="R37" s="115"/>
      <x:c r="S37" s="115"/>
      <x:c r="T37" s="115"/>
      <x:c r="U37" s="115"/>
      <x:c r="V37" s="115"/>
      <x:c r="W37" s="115"/>
      <x:c r="X37" s="115"/>
      <x:c r="Y37" s="115"/>
      <x:c r="Z37" s="115"/>
      <x:c r="AA37" s="115"/>
      <x:c r="AB37" s="115"/>
      <x:c r="AC37" s="115"/>
      <x:c r="AD37" s="115"/>
      <x:c r="AE37" s="115"/>
      <x:c r="AF37" s="115"/>
      <x:c r="AG37" s="115"/>
      <x:c r="AH37" s="115"/>
      <x:c r="AI37" s="115"/>
      <x:c r="AJ37" s="115"/>
      <x:c r="AK37" s="115"/>
      <x:c r="AL37" s="115"/>
      <x:c r="AM37" s="115"/>
      <x:c r="AN37" s="115"/>
      <x:c r="AO37" s="115"/>
      <x:c r="AP37" s="115"/>
      <x:c r="AQ37" s="115"/>
      <x:c r="AR37" s="115"/>
      <x:c r="AS37" s="115"/>
      <x:c r="AT37" s="115"/>
      <x:c r="AU37" s="115"/>
      <x:c r="AV37" s="115"/>
      <x:c r="AW37" s="115"/>
      <x:c r="AX37" s="115"/>
      <x:c r="AY37" s="115"/>
      <x:c r="AZ37" s="115"/>
      <x:c r="BA37" s="115"/>
      <x:c r="BB37" s="115"/>
      <x:c r="BC37" s="115"/>
      <x:c r="BD37" s="115"/>
      <x:c r="BE37" s="115"/>
      <x:c r="BF37" s="115"/>
      <x:c r="BG37" s="115"/>
      <x:c r="BH37" s="115"/>
      <x:c r="BI37" s="115"/>
      <x:c r="BJ37" s="115"/>
      <x:c r="BK37" s="115"/>
      <x:c r="BL37" s="115"/>
      <x:c r="BM37" s="115"/>
      <x:c r="BN37" s="115"/>
      <x:c r="BO37" s="115"/>
      <x:c r="BP37" s="115"/>
      <x:c r="BQ37" s="115"/>
      <x:c r="BR37" s="115"/>
      <x:c r="BS37" s="115"/>
      <x:c r="BT37" s="115"/>
      <x:c r="BU37" s="115"/>
      <x:c r="BV37" s="115"/>
      <x:c r="BW37" s="115"/>
      <x:c r="BX37" s="115"/>
      <x:c r="BY37" s="115"/>
      <x:c r="BZ37" s="115"/>
      <x:c r="CA37" s="115"/>
      <x:c r="CB37" s="116"/>
      <x:c r="CC37" s="141" t="str">
        <x:f>IF(COUNT(G37:P37)=0,"",AVERAGE(G37:P37)*4)</x:f>
      </x:c>
      <x:c r="CD37" s="178" t="str">
        <x:f>IF(COUNT(Q37:Z37)=0,"",AVERAGE(Q37:Z37)*4)</x:f>
      </x:c>
      <x:c r="CE37" s="178" t="str">
        <x:f>IF(COUNT(AA37:AJ37)=0,"",AVERAGE(AA37:AJ37)*4)</x:f>
      </x:c>
      <x:c r="CF37" s="178" t="str">
        <x:f>IF(COUNT(AK37:AR37)=0,"",AVERAGE(AK37:AR37)*4)</x:f>
      </x:c>
      <x:c r="CG37" s="178" t="str">
        <x:f>IF(COUNT(AS37:AY37)=0,"",AVERAGE(AS37:AY37)*4)</x:f>
      </x:c>
      <x:c r="CH37" s="178" t="str">
        <x:f>IF(COUNT(AZ37:BG37)=0,"",AVERAGE(AZ37:BG37)*4)</x:f>
      </x:c>
      <x:c r="CI37" s="178" t="str">
        <x:f>IF(COUNT(BH37:BN37)=0,"",AVERAGE(BH37:BN37)*4)</x:f>
      </x:c>
      <x:c r="CJ37" s="178" t="str">
        <x:f>IF(COUNT(BO37:BU37)=0,"",AVERAGE(BO37:BU37)*4)</x:f>
      </x:c>
      <x:c r="CK37" s="178" t="str">
        <x:f>IF(COUNT(BV37:CB37)=0,"",AVERAGE(BV37:CB37)*4)</x:f>
      </x:c>
      <x:c r="CL37" s="178" t="str">
        <x:f>IF(C37="","",IF(COUNT(G37:CB37)&lt;74,"",(CC37*'تنظیمات وزن‌دهی'!$C$5+CD37*'تنظیمات وزن‌دهی'!$C$6+CE37*'تنظیمات وزن‌دهی'!$C$7+CF37*'تنظیمات وزن‌دهی'!$C$8+CG37*'تنظیمات وزن‌دهی'!$C$9+CH37*'تنظیمات وزن‌دهی'!$C$10+CI37*'تنظیمات وزن‌دهی'!$C$11+CJ37*'تنظیمات وزن‌دهی'!$C$12+CK37*'تنظیمات وزن‌دهی'!$C$13)/100))</x:f>
      </x:c>
      <x:c r="CM37" s="178" t="str">
        <x:f>IF(C37="","",IF(COUNT(G37:CB37)=0,"",IF(COUNT(G37:CB37)&lt;74,"موقت - اطلاعات ناقص",IF(CL37&gt;=17,"عالی",IF(CL37&gt;=14,"خوب",IF(CL37&gt;=10,"متوسط","ضعیف"))))))</x:f>
      </x:c>
      <x:c r="CN37" s="178" t="n">
        <x:v>9</x:v>
      </x:c>
      <x:c r="CO37" s="142" t="n">
        <x:f>IF(C37="","",COUNT(G37:CB37)/74)</x:f>
        <x:v>0</x:v>
      </x:c>
      <x:c r="CP37" s="245"/>
    </x:row>
    <x:row r="38">
      <x:c r="A38" s="165" t="n">
        <x:v>34</x:v>
      </x:c>
      <x:c r="B38" s="233" t="str">
        <x:v>فروردین</x:v>
      </x:c>
      <x:c r="C38" s="233" t="n">
        <x:f>IF('دانش‌آموزان'!E7="","",'دانش‌آموزان'!B7)</x:f>
        <x:v>3</x:v>
      </x:c>
      <x:c r="D38" s="233" t="str">
        <x:f>IF('دانش‌آموزان'!C7="","",'دانش‌آموزان'!C7)</x:f>
        <x:v>4000000039</x:v>
      </x:c>
      <x:c r="E38" s="233" t="str">
        <x:f>IF('دانش‌آموزان'!E7="","",'دانش‌آموزان'!E7&amp;" "&amp;'دانش‌آموزان'!F7)</x:f>
        <x:v>امیرحسین طاهری</x:v>
      </x:c>
      <x:c r="F38" s="166" t="str">
        <x:f>IF('دانش‌آموزان'!I7="","",'دانش‌آموزان'!I7)</x:f>
        <x:v>sample-7-a</x:v>
      </x:c>
      <x:c r="G38" s="114"/>
      <x:c r="H38" s="115"/>
      <x:c r="I38" s="115"/>
      <x:c r="J38" s="115"/>
      <x:c r="K38" s="115"/>
      <x:c r="L38" s="115"/>
      <x:c r="M38" s="115"/>
      <x:c r="N38" s="115"/>
      <x:c r="O38" s="115"/>
      <x:c r="P38" s="115"/>
      <x:c r="Q38" s="115"/>
      <x:c r="R38" s="115"/>
      <x:c r="S38" s="115"/>
      <x:c r="T38" s="115"/>
      <x:c r="U38" s="115"/>
      <x:c r="V38" s="115"/>
      <x:c r="W38" s="115"/>
      <x:c r="X38" s="115"/>
      <x:c r="Y38" s="115"/>
      <x:c r="Z38" s="115"/>
      <x:c r="AA38" s="115"/>
      <x:c r="AB38" s="115"/>
      <x:c r="AC38" s="115"/>
      <x:c r="AD38" s="115"/>
      <x:c r="AE38" s="115"/>
      <x:c r="AF38" s="115"/>
      <x:c r="AG38" s="115"/>
      <x:c r="AH38" s="115"/>
      <x:c r="AI38" s="115"/>
      <x:c r="AJ38" s="115"/>
      <x:c r="AK38" s="115"/>
      <x:c r="AL38" s="115"/>
      <x:c r="AM38" s="115"/>
      <x:c r="AN38" s="115"/>
      <x:c r="AO38" s="115"/>
      <x:c r="AP38" s="115"/>
      <x:c r="AQ38" s="115"/>
      <x:c r="AR38" s="115"/>
      <x:c r="AS38" s="115"/>
      <x:c r="AT38" s="115"/>
      <x:c r="AU38" s="115"/>
      <x:c r="AV38" s="115"/>
      <x:c r="AW38" s="115"/>
      <x:c r="AX38" s="115"/>
      <x:c r="AY38" s="115"/>
      <x:c r="AZ38" s="115"/>
      <x:c r="BA38" s="115"/>
      <x:c r="BB38" s="115"/>
      <x:c r="BC38" s="115"/>
      <x:c r="BD38" s="115"/>
      <x:c r="BE38" s="115"/>
      <x:c r="BF38" s="115"/>
      <x:c r="BG38" s="115"/>
      <x:c r="BH38" s="115"/>
      <x:c r="BI38" s="115"/>
      <x:c r="BJ38" s="115"/>
      <x:c r="BK38" s="115"/>
      <x:c r="BL38" s="115"/>
      <x:c r="BM38" s="115"/>
      <x:c r="BN38" s="115"/>
      <x:c r="BO38" s="115"/>
      <x:c r="BP38" s="115"/>
      <x:c r="BQ38" s="115"/>
      <x:c r="BR38" s="115"/>
      <x:c r="BS38" s="115"/>
      <x:c r="BT38" s="115"/>
      <x:c r="BU38" s="115"/>
      <x:c r="BV38" s="115"/>
      <x:c r="BW38" s="115"/>
      <x:c r="BX38" s="115"/>
      <x:c r="BY38" s="115"/>
      <x:c r="BZ38" s="115"/>
      <x:c r="CA38" s="115"/>
      <x:c r="CB38" s="116"/>
      <x:c r="CC38" s="141" t="str">
        <x:f>IF(COUNT(G38:P38)=0,"",AVERAGE(G38:P38)*4)</x:f>
      </x:c>
      <x:c r="CD38" s="178" t="str">
        <x:f>IF(COUNT(Q38:Z38)=0,"",AVERAGE(Q38:Z38)*4)</x:f>
      </x:c>
      <x:c r="CE38" s="178" t="str">
        <x:f>IF(COUNT(AA38:AJ38)=0,"",AVERAGE(AA38:AJ38)*4)</x:f>
      </x:c>
      <x:c r="CF38" s="178" t="str">
        <x:f>IF(COUNT(AK38:AR38)=0,"",AVERAGE(AK38:AR38)*4)</x:f>
      </x:c>
      <x:c r="CG38" s="178" t="str">
        <x:f>IF(COUNT(AS38:AY38)=0,"",AVERAGE(AS38:AY38)*4)</x:f>
      </x:c>
      <x:c r="CH38" s="178" t="str">
        <x:f>IF(COUNT(AZ38:BG38)=0,"",AVERAGE(AZ38:BG38)*4)</x:f>
      </x:c>
      <x:c r="CI38" s="178" t="str">
        <x:f>IF(COUNT(BH38:BN38)=0,"",AVERAGE(BH38:BN38)*4)</x:f>
      </x:c>
      <x:c r="CJ38" s="178" t="str">
        <x:f>IF(COUNT(BO38:BU38)=0,"",AVERAGE(BO38:BU38)*4)</x:f>
      </x:c>
      <x:c r="CK38" s="178" t="str">
        <x:f>IF(COUNT(BV38:CB38)=0,"",AVERAGE(BV38:CB38)*4)</x:f>
      </x:c>
      <x:c r="CL38" s="178" t="str">
        <x:f>IF(C38="","",IF(COUNT(G38:CB38)&lt;74,"",(CC38*'تنظیمات وزن‌دهی'!$C$5+CD38*'تنظیمات وزن‌دهی'!$C$6+CE38*'تنظیمات وزن‌دهی'!$C$7+CF38*'تنظیمات وزن‌دهی'!$C$8+CG38*'تنظیمات وزن‌دهی'!$C$9+CH38*'تنظیمات وزن‌دهی'!$C$10+CI38*'تنظیمات وزن‌دهی'!$C$11+CJ38*'تنظیمات وزن‌دهی'!$C$12+CK38*'تنظیمات وزن‌دهی'!$C$13)/100))</x:f>
      </x:c>
      <x:c r="CM38" s="178" t="str">
        <x:f>IF(C38="","",IF(COUNT(G38:CB38)=0,"",IF(COUNT(G38:CB38)&lt;74,"موقت - اطلاعات ناقص",IF(CL38&gt;=17,"عالی",IF(CL38&gt;=14,"خوب",IF(CL38&gt;=10,"متوسط","ضعیف"))))))</x:f>
      </x:c>
      <x:c r="CN38" s="178" t="n">
        <x:v>10</x:v>
      </x:c>
      <x:c r="CO38" s="142" t="n">
        <x:f>IF(C38="","",COUNT(G38:CB38)/74)</x:f>
        <x:v>0</x:v>
      </x:c>
      <x:c r="CP38" s="245"/>
    </x:row>
    <x:row r="39">
      <x:c r="A39" s="165" t="n">
        <x:v>35</x:v>
      </x:c>
      <x:c r="B39" s="233" t="str">
        <x:v>اردیبهشت</x:v>
      </x:c>
      <x:c r="C39" s="233" t="n">
        <x:f>IF('دانش‌آموزان'!E7="","",'دانش‌آموزان'!B7)</x:f>
        <x:v>3</x:v>
      </x:c>
      <x:c r="D39" s="233" t="str">
        <x:f>IF('دانش‌آموزان'!C7="","",'دانش‌آموزان'!C7)</x:f>
        <x:v>4000000039</x:v>
      </x:c>
      <x:c r="E39" s="233" t="str">
        <x:f>IF('دانش‌آموزان'!E7="","",'دانش‌آموزان'!E7&amp;" "&amp;'دانش‌آموزان'!F7)</x:f>
        <x:v>امیرحسین طاهری</x:v>
      </x:c>
      <x:c r="F39" s="166" t="str">
        <x:f>IF('دانش‌آموزان'!I7="","",'دانش‌آموزان'!I7)</x:f>
        <x:v>sample-7-a</x:v>
      </x:c>
      <x:c r="G39" s="114"/>
      <x:c r="H39" s="115"/>
      <x:c r="I39" s="115"/>
      <x:c r="J39" s="115"/>
      <x:c r="K39" s="115"/>
      <x:c r="L39" s="115"/>
      <x:c r="M39" s="115"/>
      <x:c r="N39" s="115"/>
      <x:c r="O39" s="115"/>
      <x:c r="P39" s="115"/>
      <x:c r="Q39" s="115"/>
      <x:c r="R39" s="115"/>
      <x:c r="S39" s="115"/>
      <x:c r="T39" s="115"/>
      <x:c r="U39" s="115"/>
      <x:c r="V39" s="115"/>
      <x:c r="W39" s="115"/>
      <x:c r="X39" s="115"/>
      <x:c r="Y39" s="115"/>
      <x:c r="Z39" s="115"/>
      <x:c r="AA39" s="115"/>
      <x:c r="AB39" s="115"/>
      <x:c r="AC39" s="115"/>
      <x:c r="AD39" s="115"/>
      <x:c r="AE39" s="115"/>
      <x:c r="AF39" s="115"/>
      <x:c r="AG39" s="115"/>
      <x:c r="AH39" s="115"/>
      <x:c r="AI39" s="115"/>
      <x:c r="AJ39" s="115"/>
      <x:c r="AK39" s="115"/>
      <x:c r="AL39" s="115"/>
      <x:c r="AM39" s="115"/>
      <x:c r="AN39" s="115"/>
      <x:c r="AO39" s="115"/>
      <x:c r="AP39" s="115"/>
      <x:c r="AQ39" s="115"/>
      <x:c r="AR39" s="115"/>
      <x:c r="AS39" s="115"/>
      <x:c r="AT39" s="115"/>
      <x:c r="AU39" s="115"/>
      <x:c r="AV39" s="115"/>
      <x:c r="AW39" s="115"/>
      <x:c r="AX39" s="115"/>
      <x:c r="AY39" s="115"/>
      <x:c r="AZ39" s="115"/>
      <x:c r="BA39" s="115"/>
      <x:c r="BB39" s="115"/>
      <x:c r="BC39" s="115"/>
      <x:c r="BD39" s="115"/>
      <x:c r="BE39" s="115"/>
      <x:c r="BF39" s="115"/>
      <x:c r="BG39" s="115"/>
      <x:c r="BH39" s="115"/>
      <x:c r="BI39" s="115"/>
      <x:c r="BJ39" s="115"/>
      <x:c r="BK39" s="115"/>
      <x:c r="BL39" s="115"/>
      <x:c r="BM39" s="115"/>
      <x:c r="BN39" s="115"/>
      <x:c r="BO39" s="115"/>
      <x:c r="BP39" s="115"/>
      <x:c r="BQ39" s="115"/>
      <x:c r="BR39" s="115"/>
      <x:c r="BS39" s="115"/>
      <x:c r="BT39" s="115"/>
      <x:c r="BU39" s="115"/>
      <x:c r="BV39" s="115"/>
      <x:c r="BW39" s="115"/>
      <x:c r="BX39" s="115"/>
      <x:c r="BY39" s="115"/>
      <x:c r="BZ39" s="115"/>
      <x:c r="CA39" s="115"/>
      <x:c r="CB39" s="116"/>
      <x:c r="CC39" s="141" t="str">
        <x:f>IF(COUNT(G39:P39)=0,"",AVERAGE(G39:P39)*4)</x:f>
      </x:c>
      <x:c r="CD39" s="178" t="str">
        <x:f>IF(COUNT(Q39:Z39)=0,"",AVERAGE(Q39:Z39)*4)</x:f>
      </x:c>
      <x:c r="CE39" s="178" t="str">
        <x:f>IF(COUNT(AA39:AJ39)=0,"",AVERAGE(AA39:AJ39)*4)</x:f>
      </x:c>
      <x:c r="CF39" s="178" t="str">
        <x:f>IF(COUNT(AK39:AR39)=0,"",AVERAGE(AK39:AR39)*4)</x:f>
      </x:c>
      <x:c r="CG39" s="178" t="str">
        <x:f>IF(COUNT(AS39:AY39)=0,"",AVERAGE(AS39:AY39)*4)</x:f>
      </x:c>
      <x:c r="CH39" s="178" t="str">
        <x:f>IF(COUNT(AZ39:BG39)=0,"",AVERAGE(AZ39:BG39)*4)</x:f>
      </x:c>
      <x:c r="CI39" s="178" t="str">
        <x:f>IF(COUNT(BH39:BN39)=0,"",AVERAGE(BH39:BN39)*4)</x:f>
      </x:c>
      <x:c r="CJ39" s="178" t="str">
        <x:f>IF(COUNT(BO39:BU39)=0,"",AVERAGE(BO39:BU39)*4)</x:f>
      </x:c>
      <x:c r="CK39" s="178" t="str">
        <x:f>IF(COUNT(BV39:CB39)=0,"",AVERAGE(BV39:CB39)*4)</x:f>
      </x:c>
      <x:c r="CL39" s="178" t="str">
        <x:f>IF(C39="","",IF(COUNT(G39:CB39)&lt;74,"",(CC39*'تنظیمات وزن‌دهی'!$C$5+CD39*'تنظیمات وزن‌دهی'!$C$6+CE39*'تنظیمات وزن‌دهی'!$C$7+CF39*'تنظیمات وزن‌دهی'!$C$8+CG39*'تنظیمات وزن‌دهی'!$C$9+CH39*'تنظیمات وزن‌دهی'!$C$10+CI39*'تنظیمات وزن‌دهی'!$C$11+CJ39*'تنظیمات وزن‌دهی'!$C$12+CK39*'تنظیمات وزن‌دهی'!$C$13)/100))</x:f>
      </x:c>
      <x:c r="CM39" s="178" t="str">
        <x:f>IF(C39="","",IF(COUNT(G39:CB39)=0,"",IF(COUNT(G39:CB39)&lt;74,"موقت - اطلاعات ناقص",IF(CL39&gt;=17,"عالی",IF(CL39&gt;=14,"خوب",IF(CL39&gt;=10,"متوسط","ضعیف"))))))</x:f>
      </x:c>
      <x:c r="CN39" s="178" t="n">
        <x:v>11</x:v>
      </x:c>
      <x:c r="CO39" s="142" t="n">
        <x:f>IF(C39="","",COUNT(G39:CB39)/74)</x:f>
        <x:v>0</x:v>
      </x:c>
      <x:c r="CP39" s="245"/>
    </x:row>
    <x:row r="40">
      <x:c r="A40" s="165" t="n">
        <x:v>36</x:v>
      </x:c>
      <x:c r="B40" s="233" t="str">
        <x:v>خرداد</x:v>
      </x:c>
      <x:c r="C40" s="233" t="n">
        <x:f>IF('دانش‌آموزان'!E7="","",'دانش‌آموزان'!B7)</x:f>
        <x:v>3</x:v>
      </x:c>
      <x:c r="D40" s="233" t="str">
        <x:f>IF('دانش‌آموزان'!C7="","",'دانش‌آموزان'!C7)</x:f>
        <x:v>4000000039</x:v>
      </x:c>
      <x:c r="E40" s="233" t="str">
        <x:f>IF('دانش‌آموزان'!E7="","",'دانش‌آموزان'!E7&amp;" "&amp;'دانش‌آموزان'!F7)</x:f>
        <x:v>امیرحسین طاهری</x:v>
      </x:c>
      <x:c r="F40" s="166" t="str">
        <x:f>IF('دانش‌آموزان'!I7="","",'دانش‌آموزان'!I7)</x:f>
        <x:v>sample-7-a</x:v>
      </x:c>
      <x:c r="G40" s="114"/>
      <x:c r="H40" s="115"/>
      <x:c r="I40" s="115"/>
      <x:c r="J40" s="115"/>
      <x:c r="K40" s="115"/>
      <x:c r="L40" s="115"/>
      <x:c r="M40" s="115"/>
      <x:c r="N40" s="115"/>
      <x:c r="O40" s="115"/>
      <x:c r="P40" s="115"/>
      <x:c r="Q40" s="115"/>
      <x:c r="R40" s="115"/>
      <x:c r="S40" s="115"/>
      <x:c r="T40" s="115"/>
      <x:c r="U40" s="115"/>
      <x:c r="V40" s="115"/>
      <x:c r="W40" s="115"/>
      <x:c r="X40" s="115"/>
      <x:c r="Y40" s="115"/>
      <x:c r="Z40" s="115"/>
      <x:c r="AA40" s="115"/>
      <x:c r="AB40" s="115"/>
      <x:c r="AC40" s="115"/>
      <x:c r="AD40" s="115"/>
      <x:c r="AE40" s="115"/>
      <x:c r="AF40" s="115"/>
      <x:c r="AG40" s="115"/>
      <x:c r="AH40" s="115"/>
      <x:c r="AI40" s="115"/>
      <x:c r="AJ40" s="115"/>
      <x:c r="AK40" s="115"/>
      <x:c r="AL40" s="115"/>
      <x:c r="AM40" s="115"/>
      <x:c r="AN40" s="115"/>
      <x:c r="AO40" s="115"/>
      <x:c r="AP40" s="115"/>
      <x:c r="AQ40" s="115"/>
      <x:c r="AR40" s="115"/>
      <x:c r="AS40" s="115"/>
      <x:c r="AT40" s="115"/>
      <x:c r="AU40" s="115"/>
      <x:c r="AV40" s="115"/>
      <x:c r="AW40" s="115"/>
      <x:c r="AX40" s="115"/>
      <x:c r="AY40" s="115"/>
      <x:c r="AZ40" s="115"/>
      <x:c r="BA40" s="115"/>
      <x:c r="BB40" s="115"/>
      <x:c r="BC40" s="115"/>
      <x:c r="BD40" s="115"/>
      <x:c r="BE40" s="115"/>
      <x:c r="BF40" s="115"/>
      <x:c r="BG40" s="115"/>
      <x:c r="BH40" s="115"/>
      <x:c r="BI40" s="115"/>
      <x:c r="BJ40" s="115"/>
      <x:c r="BK40" s="115"/>
      <x:c r="BL40" s="115"/>
      <x:c r="BM40" s="115"/>
      <x:c r="BN40" s="115"/>
      <x:c r="BO40" s="115"/>
      <x:c r="BP40" s="115"/>
      <x:c r="BQ40" s="115"/>
      <x:c r="BR40" s="115"/>
      <x:c r="BS40" s="115"/>
      <x:c r="BT40" s="115"/>
      <x:c r="BU40" s="115"/>
      <x:c r="BV40" s="115"/>
      <x:c r="BW40" s="115"/>
      <x:c r="BX40" s="115"/>
      <x:c r="BY40" s="115"/>
      <x:c r="BZ40" s="115"/>
      <x:c r="CA40" s="115"/>
      <x:c r="CB40" s="116"/>
      <x:c r="CC40" s="141" t="str">
        <x:f>IF(COUNT(G40:P40)=0,"",AVERAGE(G40:P40)*4)</x:f>
      </x:c>
      <x:c r="CD40" s="178" t="str">
        <x:f>IF(COUNT(Q40:Z40)=0,"",AVERAGE(Q40:Z40)*4)</x:f>
      </x:c>
      <x:c r="CE40" s="178" t="str">
        <x:f>IF(COUNT(AA40:AJ40)=0,"",AVERAGE(AA40:AJ40)*4)</x:f>
      </x:c>
      <x:c r="CF40" s="178" t="str">
        <x:f>IF(COUNT(AK40:AR40)=0,"",AVERAGE(AK40:AR40)*4)</x:f>
      </x:c>
      <x:c r="CG40" s="178" t="str">
        <x:f>IF(COUNT(AS40:AY40)=0,"",AVERAGE(AS40:AY40)*4)</x:f>
      </x:c>
      <x:c r="CH40" s="178" t="str">
        <x:f>IF(COUNT(AZ40:BG40)=0,"",AVERAGE(AZ40:BG40)*4)</x:f>
      </x:c>
      <x:c r="CI40" s="178" t="str">
        <x:f>IF(COUNT(BH40:BN40)=0,"",AVERAGE(BH40:BN40)*4)</x:f>
      </x:c>
      <x:c r="CJ40" s="178" t="str">
        <x:f>IF(COUNT(BO40:BU40)=0,"",AVERAGE(BO40:BU40)*4)</x:f>
      </x:c>
      <x:c r="CK40" s="178" t="str">
        <x:f>IF(COUNT(BV40:CB40)=0,"",AVERAGE(BV40:CB40)*4)</x:f>
      </x:c>
      <x:c r="CL40" s="178" t="str">
        <x:f>IF(C40="","",IF(COUNT(G40:CB40)&lt;74,"",(CC40*'تنظیمات وزن‌دهی'!$C$5+CD40*'تنظیمات وزن‌دهی'!$C$6+CE40*'تنظیمات وزن‌دهی'!$C$7+CF40*'تنظیمات وزن‌دهی'!$C$8+CG40*'تنظیمات وزن‌دهی'!$C$9+CH40*'تنظیمات وزن‌دهی'!$C$10+CI40*'تنظیمات وزن‌دهی'!$C$11+CJ40*'تنظیمات وزن‌دهی'!$C$12+CK40*'تنظیمات وزن‌دهی'!$C$13)/100))</x:f>
      </x:c>
      <x:c r="CM40" s="178" t="str">
        <x:f>IF(C40="","",IF(COUNT(G40:CB40)=0,"",IF(COUNT(G40:CB40)&lt;74,"موقت - اطلاعات ناقص",IF(CL40&gt;=17,"عالی",IF(CL40&gt;=14,"خوب",IF(CL40&gt;=10,"متوسط","ضعیف"))))))</x:f>
      </x:c>
      <x:c r="CN40" s="178" t="n">
        <x:v>12</x:v>
      </x:c>
      <x:c r="CO40" s="142" t="n">
        <x:f>IF(C40="","",COUNT(G40:CB40)/74)</x:f>
        <x:v>0</x:v>
      </x:c>
      <x:c r="CP40" s="245"/>
    </x:row>
    <x:row r="41">
      <x:c r="A41" s="165" t="n">
        <x:v>37</x:v>
      </x:c>
      <x:c r="B41" s="233" t="str">
        <x:v>تیر</x:v>
      </x:c>
      <x:c r="C41" s="233" t="n">
        <x:f>IF('دانش‌آموزان'!E8="","",'دانش‌آموزان'!B8)</x:f>
        <x:v>4</x:v>
      </x:c>
      <x:c r="D41" s="233" t="str">
        <x:f>IF('دانش‌آموزان'!C8="","",'دانش‌آموزان'!C8)</x:f>
        <x:v>4000000047</x:v>
      </x:c>
      <x:c r="E41" s="233" t="str">
        <x:f>IF('دانش‌آموزان'!E8="","",'دانش‌آموزان'!E8&amp;" "&amp;'دانش‌آموزان'!F8)</x:f>
        <x:v>زهرا محمدی</x:v>
      </x:c>
      <x:c r="F41" s="166" t="str">
        <x:f>IF('دانش‌آموزان'!I8="","",'دانش‌آموزان'!I8)</x:f>
        <x:v>sample-7-a</x:v>
      </x:c>
      <x:c r="G41" s="114" t="n">
        <x:v>5</x:v>
      </x:c>
      <x:c r="H41" s="115" t="n">
        <x:v>3</x:v>
      </x:c>
      <x:c r="I41" s="115" t="n">
        <x:v>5</x:v>
      </x:c>
      <x:c r="J41" s="115" t="n">
        <x:v>3</x:v>
      </x:c>
      <x:c r="K41" s="115" t="n">
        <x:v>4</x:v>
      </x:c>
      <x:c r="L41" s="115" t="n">
        <x:v>3</x:v>
      </x:c>
      <x:c r="M41" s="115" t="n">
        <x:v>4</x:v>
      </x:c>
      <x:c r="N41" s="115" t="n">
        <x:v>2</x:v>
      </x:c>
      <x:c r="O41" s="115" t="n">
        <x:v>4</x:v>
      </x:c>
      <x:c r="P41" s="115" t="n">
        <x:v>5</x:v>
      </x:c>
      <x:c r="Q41" s="115" t="n">
        <x:v>4</x:v>
      </x:c>
      <x:c r="R41" s="115" t="n">
        <x:v>5</x:v>
      </x:c>
      <x:c r="S41" s="115" t="n">
        <x:v>3</x:v>
      </x:c>
      <x:c r="T41" s="115" t="n">
        <x:v>5</x:v>
      </x:c>
      <x:c r="U41" s="115" t="n">
        <x:v>3</x:v>
      </x:c>
      <x:c r="V41" s="115" t="n">
        <x:v>4</x:v>
      </x:c>
      <x:c r="W41" s="115" t="n">
        <x:v>3</x:v>
      </x:c>
      <x:c r="X41" s="115" t="n">
        <x:v>4</x:v>
      </x:c>
      <x:c r="Y41" s="115" t="n">
        <x:v>2</x:v>
      </x:c>
      <x:c r="Z41" s="115" t="n">
        <x:v>4</x:v>
      </x:c>
      <x:c r="AA41" s="115" t="n">
        <x:v>5</x:v>
      </x:c>
      <x:c r="AB41" s="115" t="n">
        <x:v>4</x:v>
      </x:c>
      <x:c r="AC41" s="115" t="n">
        <x:v>5</x:v>
      </x:c>
      <x:c r="AD41" s="115" t="n">
        <x:v>3</x:v>
      </x:c>
      <x:c r="AE41" s="115" t="n">
        <x:v>5</x:v>
      </x:c>
      <x:c r="AF41" s="115" t="n">
        <x:v>3</x:v>
      </x:c>
      <x:c r="AG41" s="115" t="n">
        <x:v>4</x:v>
      </x:c>
      <x:c r="AH41" s="115" t="n">
        <x:v>3</x:v>
      </x:c>
      <x:c r="AI41" s="115" t="n">
        <x:v>4</x:v>
      </x:c>
      <x:c r="AJ41" s="115" t="n">
        <x:v>2</x:v>
      </x:c>
      <x:c r="AK41" s="115" t="n">
        <x:v>4</x:v>
      </x:c>
      <x:c r="AL41" s="115" t="n">
        <x:v>5</x:v>
      </x:c>
      <x:c r="AM41" s="115" t="n">
        <x:v>4</x:v>
      </x:c>
      <x:c r="AN41" s="115" t="n">
        <x:v>5</x:v>
      </x:c>
      <x:c r="AO41" s="115" t="n">
        <x:v>3</x:v>
      </x:c>
      <x:c r="AP41" s="115" t="n">
        <x:v>5</x:v>
      </x:c>
      <x:c r="AQ41" s="115" t="n">
        <x:v>3</x:v>
      </x:c>
      <x:c r="AR41" s="115" t="n">
        <x:v>4</x:v>
      </x:c>
      <x:c r="AS41" s="115" t="n">
        <x:v>3</x:v>
      </x:c>
      <x:c r="AT41" s="115" t="n">
        <x:v>4</x:v>
      </x:c>
      <x:c r="AU41" s="115" t="n">
        <x:v>2</x:v>
      </x:c>
      <x:c r="AV41" s="115" t="n">
        <x:v>4</x:v>
      </x:c>
      <x:c r="AW41" s="115" t="n">
        <x:v>5</x:v>
      </x:c>
      <x:c r="AX41" s="115" t="n">
        <x:v>4</x:v>
      </x:c>
      <x:c r="AY41" s="115" t="n">
        <x:v>5</x:v>
      </x:c>
      <x:c r="AZ41" s="115" t="n">
        <x:v>3</x:v>
      </x:c>
      <x:c r="BA41" s="115" t="n">
        <x:v>5</x:v>
      </x:c>
      <x:c r="BB41" s="115" t="n">
        <x:v>3</x:v>
      </x:c>
      <x:c r="BC41" s="115" t="n">
        <x:v>4</x:v>
      </x:c>
      <x:c r="BD41" s="115" t="n">
        <x:v>3</x:v>
      </x:c>
      <x:c r="BE41" s="115" t="n">
        <x:v>4</x:v>
      </x:c>
      <x:c r="BF41" s="115" t="n">
        <x:v>2</x:v>
      </x:c>
      <x:c r="BG41" s="115" t="n">
        <x:v>4</x:v>
      </x:c>
      <x:c r="BH41" s="115" t="n">
        <x:v>5</x:v>
      </x:c>
      <x:c r="BI41" s="115" t="n">
        <x:v>4</x:v>
      </x:c>
      <x:c r="BJ41" s="115" t="n">
        <x:v>5</x:v>
      </x:c>
      <x:c r="BK41" s="115" t="n">
        <x:v>3</x:v>
      </x:c>
      <x:c r="BL41" s="115" t="n">
        <x:v>5</x:v>
      </x:c>
      <x:c r="BM41" s="115" t="n">
        <x:v>3</x:v>
      </x:c>
      <x:c r="BN41" s="115" t="n">
        <x:v>4</x:v>
      </x:c>
      <x:c r="BO41" s="115" t="n">
        <x:v>3</x:v>
      </x:c>
      <x:c r="BP41" s="115" t="n">
        <x:v>4</x:v>
      </x:c>
      <x:c r="BQ41" s="115" t="n">
        <x:v>2</x:v>
      </x:c>
      <x:c r="BR41" s="115" t="n">
        <x:v>4</x:v>
      </x:c>
      <x:c r="BS41" s="115" t="n">
        <x:v>5</x:v>
      </x:c>
      <x:c r="BT41" s="115" t="n">
        <x:v>4</x:v>
      </x:c>
      <x:c r="BU41" s="115" t="n">
        <x:v>5</x:v>
      </x:c>
      <x:c r="BV41" s="115" t="n">
        <x:v>3</x:v>
      </x:c>
      <x:c r="BW41" s="115" t="n">
        <x:v>5</x:v>
      </x:c>
      <x:c r="BX41" s="115" t="n">
        <x:v>3</x:v>
      </x:c>
      <x:c r="BY41" s="115" t="n">
        <x:v>4</x:v>
      </x:c>
      <x:c r="BZ41" s="115" t="n">
        <x:v>3</x:v>
      </x:c>
      <x:c r="CA41" s="115" t="n">
        <x:v>4</x:v>
      </x:c>
      <x:c r="CB41" s="116" t="n">
        <x:v>2</x:v>
      </x:c>
      <x:c r="CC41" s="141" t="n">
        <x:f>IF(COUNT(G41:P41)=0,"",AVERAGE(G41:P41)*4)</x:f>
        <x:v>15.2</x:v>
      </x:c>
      <x:c r="CD41" s="178" t="n">
        <x:f>IF(COUNT(Q41:Z41)=0,"",AVERAGE(Q41:Z41)*4)</x:f>
        <x:v>14.8</x:v>
      </x:c>
      <x:c r="CE41" s="178" t="n">
        <x:f>IF(COUNT(AA41:AJ41)=0,"",AVERAGE(AA41:AJ41)*4)</x:f>
        <x:v>15.2</x:v>
      </x:c>
      <x:c r="CF41" s="178" t="n">
        <x:f>IF(COUNT(AK41:AR41)=0,"",AVERAGE(AK41:AR41)*4)</x:f>
        <x:v>16.5</x:v>
      </x:c>
      <x:c r="CG41" s="178" t="n">
        <x:f>IF(COUNT(AS41:AY41)=0,"",AVERAGE(AS41:AY41)*4)</x:f>
        <x:v>15.428571428571429</x:v>
      </x:c>
      <x:c r="CH41" s="178" t="n">
        <x:f>IF(COUNT(AZ41:BG41)=0,"",AVERAGE(AZ41:BG41)*4)</x:f>
        <x:v>14</x:v>
      </x:c>
      <x:c r="CI41" s="178" t="n">
        <x:f>IF(COUNT(BH41:BN41)=0,"",AVERAGE(BH41:BN41)*4)</x:f>
        <x:v>16.571428571428573</x:v>
      </x:c>
      <x:c r="CJ41" s="178" t="n">
        <x:f>IF(COUNT(BO41:BU41)=0,"",AVERAGE(BO41:BU41)*4)</x:f>
        <x:v>15.428571428571429</x:v>
      </x:c>
      <x:c r="CK41" s="178" t="n">
        <x:f>IF(COUNT(BV41:CB41)=0,"",AVERAGE(BV41:CB41)*4)</x:f>
        <x:v>13.714285714285714</x:v>
      </x:c>
      <x:c r="CL41" s="178" t="n">
        <x:f>IF(C41="","",IF(COUNT(G41:CB41)&lt;74,"",(CC41*'تنظیمات وزن‌دهی'!$C$5+CD41*'تنظیمات وزن‌دهی'!$C$6+CE41*'تنظیمات وزن‌دهی'!$C$7+CF41*'تنظیمات وزن‌دهی'!$C$8+CG41*'تنظیمات وزن‌دهی'!$C$9+CH41*'تنظیمات وزن‌دهی'!$C$10+CI41*'تنظیمات وزن‌دهی'!$C$11+CJ41*'تنظیمات وزن‌دهی'!$C$12+CK41*'تنظیمات وزن‌دهی'!$C$13)/100))</x:f>
        <x:v>15.260714285714286</x:v>
      </x:c>
      <x:c r="CM41" s="178" t="str">
        <x:f>IF(C41="","",IF(COUNT(G41:CB41)=0,"",IF(COUNT(G41:CB41)&lt;74,"موقت - اطلاعات ناقص",IF(CL41&gt;=17,"عالی",IF(CL41&gt;=14,"خوب",IF(CL41&gt;=10,"متوسط","ضعیف"))))))</x:f>
        <x:v>خوب</x:v>
      </x:c>
      <x:c r="CN41" s="178" t="n">
        <x:v>1</x:v>
      </x:c>
      <x:c r="CO41" s="142" t="n">
        <x:f>IF(C41="","",COUNT(G41:CB41)/74)</x:f>
        <x:v>1</x:v>
      </x:c>
      <x:c r="CP41" s="245" t="str">
        <x:v>داده نمونه کامل برای ماه تیر - دانش‌آموز شماره 4</x:v>
      </x:c>
    </x:row>
    <x:row r="42">
      <x:c r="A42" s="165" t="n">
        <x:v>38</x:v>
      </x:c>
      <x:c r="B42" s="233" t="str">
        <x:v>مرداد</x:v>
      </x:c>
      <x:c r="C42" s="233" t="n">
        <x:f>IF('دانش‌آموزان'!E8="","",'دانش‌آموزان'!B8)</x:f>
        <x:v>4</x:v>
      </x:c>
      <x:c r="D42" s="233" t="str">
        <x:f>IF('دانش‌آموزان'!C8="","",'دانش‌آموزان'!C8)</x:f>
        <x:v>4000000047</x:v>
      </x:c>
      <x:c r="E42" s="233" t="str">
        <x:f>IF('دانش‌آموزان'!E8="","",'دانش‌آموزان'!E8&amp;" "&amp;'دانش‌آموزان'!F8)</x:f>
        <x:v>زهرا محمدی</x:v>
      </x:c>
      <x:c r="F42" s="166" t="str">
        <x:f>IF('دانش‌آموزان'!I8="","",'دانش‌آموزان'!I8)</x:f>
        <x:v>sample-7-a</x:v>
      </x:c>
      <x:c r="G42" s="114"/>
      <x:c r="H42" s="115"/>
      <x:c r="I42" s="115"/>
      <x:c r="J42" s="115"/>
      <x:c r="K42" s="115"/>
      <x:c r="L42" s="115"/>
      <x:c r="M42" s="115"/>
      <x:c r="N42" s="115"/>
      <x:c r="O42" s="115"/>
      <x:c r="P42" s="115"/>
      <x:c r="Q42" s="115"/>
      <x:c r="R42" s="115"/>
      <x:c r="S42" s="115"/>
      <x:c r="T42" s="115"/>
      <x:c r="U42" s="115"/>
      <x:c r="V42" s="115"/>
      <x:c r="W42" s="115"/>
      <x:c r="X42" s="115"/>
      <x:c r="Y42" s="115"/>
      <x:c r="Z42" s="115"/>
      <x:c r="AA42" s="115"/>
      <x:c r="AB42" s="115"/>
      <x:c r="AC42" s="115"/>
      <x:c r="AD42" s="115"/>
      <x:c r="AE42" s="115"/>
      <x:c r="AF42" s="115"/>
      <x:c r="AG42" s="115"/>
      <x:c r="AH42" s="115"/>
      <x:c r="AI42" s="115"/>
      <x:c r="AJ42" s="115"/>
      <x:c r="AK42" s="115"/>
      <x:c r="AL42" s="115"/>
      <x:c r="AM42" s="115"/>
      <x:c r="AN42" s="115"/>
      <x:c r="AO42" s="115"/>
      <x:c r="AP42" s="115"/>
      <x:c r="AQ42" s="115"/>
      <x:c r="AR42" s="115"/>
      <x:c r="AS42" s="115"/>
      <x:c r="AT42" s="115"/>
      <x:c r="AU42" s="115"/>
      <x:c r="AV42" s="115"/>
      <x:c r="AW42" s="115"/>
      <x:c r="AX42" s="115"/>
      <x:c r="AY42" s="115"/>
      <x:c r="AZ42" s="115"/>
      <x:c r="BA42" s="115"/>
      <x:c r="BB42" s="115"/>
      <x:c r="BC42" s="115"/>
      <x:c r="BD42" s="115"/>
      <x:c r="BE42" s="115"/>
      <x:c r="BF42" s="115"/>
      <x:c r="BG42" s="115"/>
      <x:c r="BH42" s="115"/>
      <x:c r="BI42" s="115"/>
      <x:c r="BJ42" s="115"/>
      <x:c r="BK42" s="115"/>
      <x:c r="BL42" s="115"/>
      <x:c r="BM42" s="115"/>
      <x:c r="BN42" s="115"/>
      <x:c r="BO42" s="115"/>
      <x:c r="BP42" s="115"/>
      <x:c r="BQ42" s="115"/>
      <x:c r="BR42" s="115"/>
      <x:c r="BS42" s="115"/>
      <x:c r="BT42" s="115"/>
      <x:c r="BU42" s="115"/>
      <x:c r="BV42" s="115"/>
      <x:c r="BW42" s="115"/>
      <x:c r="BX42" s="115"/>
      <x:c r="BY42" s="115"/>
      <x:c r="BZ42" s="115"/>
      <x:c r="CA42" s="115"/>
      <x:c r="CB42" s="116"/>
      <x:c r="CC42" s="141" t="str">
        <x:f>IF(COUNT(G42:P42)=0,"",AVERAGE(G42:P42)*4)</x:f>
      </x:c>
      <x:c r="CD42" s="178" t="str">
        <x:f>IF(COUNT(Q42:Z42)=0,"",AVERAGE(Q42:Z42)*4)</x:f>
      </x:c>
      <x:c r="CE42" s="178" t="str">
        <x:f>IF(COUNT(AA42:AJ42)=0,"",AVERAGE(AA42:AJ42)*4)</x:f>
      </x:c>
      <x:c r="CF42" s="178" t="str">
        <x:f>IF(COUNT(AK42:AR42)=0,"",AVERAGE(AK42:AR42)*4)</x:f>
      </x:c>
      <x:c r="CG42" s="178" t="str">
        <x:f>IF(COUNT(AS42:AY42)=0,"",AVERAGE(AS42:AY42)*4)</x:f>
      </x:c>
      <x:c r="CH42" s="178" t="str">
        <x:f>IF(COUNT(AZ42:BG42)=0,"",AVERAGE(AZ42:BG42)*4)</x:f>
      </x:c>
      <x:c r="CI42" s="178" t="str">
        <x:f>IF(COUNT(BH42:BN42)=0,"",AVERAGE(BH42:BN42)*4)</x:f>
      </x:c>
      <x:c r="CJ42" s="178" t="str">
        <x:f>IF(COUNT(BO42:BU42)=0,"",AVERAGE(BO42:BU42)*4)</x:f>
      </x:c>
      <x:c r="CK42" s="178" t="str">
        <x:f>IF(COUNT(BV42:CB42)=0,"",AVERAGE(BV42:CB42)*4)</x:f>
      </x:c>
      <x:c r="CL42" s="178" t="str">
        <x:f>IF(C42="","",IF(COUNT(G42:CB42)&lt;74,"",(CC42*'تنظیمات وزن‌دهی'!$C$5+CD42*'تنظیمات وزن‌دهی'!$C$6+CE42*'تنظیمات وزن‌دهی'!$C$7+CF42*'تنظیمات وزن‌دهی'!$C$8+CG42*'تنظیمات وزن‌دهی'!$C$9+CH42*'تنظیمات وزن‌دهی'!$C$10+CI42*'تنظیمات وزن‌دهی'!$C$11+CJ42*'تنظیمات وزن‌دهی'!$C$12+CK42*'تنظیمات وزن‌دهی'!$C$13)/100))</x:f>
      </x:c>
      <x:c r="CM42" s="178" t="str">
        <x:f>IF(C42="","",IF(COUNT(G42:CB42)=0,"",IF(COUNT(G42:CB42)&lt;74,"موقت - اطلاعات ناقص",IF(CL42&gt;=17,"عالی",IF(CL42&gt;=14,"خوب",IF(CL42&gt;=10,"متوسط","ضعیف"))))))</x:f>
      </x:c>
      <x:c r="CN42" s="178" t="n">
        <x:v>2</x:v>
      </x:c>
      <x:c r="CO42" s="142" t="n">
        <x:f>IF(C42="","",COUNT(G42:CB42)/74)</x:f>
        <x:v>0</x:v>
      </x:c>
      <x:c r="CP42" s="245"/>
    </x:row>
    <x:row r="43">
      <x:c r="A43" s="165" t="n">
        <x:v>39</x:v>
      </x:c>
      <x:c r="B43" s="233" t="str">
        <x:v>شهریور</x:v>
      </x:c>
      <x:c r="C43" s="233" t="n">
        <x:f>IF('دانش‌آموزان'!E8="","",'دانش‌آموزان'!B8)</x:f>
        <x:v>4</x:v>
      </x:c>
      <x:c r="D43" s="233" t="str">
        <x:f>IF('دانش‌آموزان'!C8="","",'دانش‌آموزان'!C8)</x:f>
        <x:v>4000000047</x:v>
      </x:c>
      <x:c r="E43" s="233" t="str">
        <x:f>IF('دانش‌آموزان'!E8="","",'دانش‌آموزان'!E8&amp;" "&amp;'دانش‌آموزان'!F8)</x:f>
        <x:v>زهرا محمدی</x:v>
      </x:c>
      <x:c r="F43" s="166" t="str">
        <x:f>IF('دانش‌آموزان'!I8="","",'دانش‌آموزان'!I8)</x:f>
        <x:v>sample-7-a</x:v>
      </x:c>
      <x:c r="G43" s="114"/>
      <x:c r="H43" s="115"/>
      <x:c r="I43" s="115"/>
      <x:c r="J43" s="115"/>
      <x:c r="K43" s="115"/>
      <x:c r="L43" s="115"/>
      <x:c r="M43" s="115"/>
      <x:c r="N43" s="115"/>
      <x:c r="O43" s="115"/>
      <x:c r="P43" s="115"/>
      <x:c r="Q43" s="115"/>
      <x:c r="R43" s="115"/>
      <x:c r="S43" s="115"/>
      <x:c r="T43" s="115"/>
      <x:c r="U43" s="115"/>
      <x:c r="V43" s="115"/>
      <x:c r="W43" s="115"/>
      <x:c r="X43" s="115"/>
      <x:c r="Y43" s="115"/>
      <x:c r="Z43" s="115"/>
      <x:c r="AA43" s="115"/>
      <x:c r="AB43" s="115"/>
      <x:c r="AC43" s="115"/>
      <x:c r="AD43" s="115"/>
      <x:c r="AE43" s="115"/>
      <x:c r="AF43" s="115"/>
      <x:c r="AG43" s="115"/>
      <x:c r="AH43" s="115"/>
      <x:c r="AI43" s="115"/>
      <x:c r="AJ43" s="115"/>
      <x:c r="AK43" s="115"/>
      <x:c r="AL43" s="115"/>
      <x:c r="AM43" s="115"/>
      <x:c r="AN43" s="115"/>
      <x:c r="AO43" s="115"/>
      <x:c r="AP43" s="115"/>
      <x:c r="AQ43" s="115"/>
      <x:c r="AR43" s="115"/>
      <x:c r="AS43" s="115"/>
      <x:c r="AT43" s="115"/>
      <x:c r="AU43" s="115"/>
      <x:c r="AV43" s="115"/>
      <x:c r="AW43" s="115"/>
      <x:c r="AX43" s="115"/>
      <x:c r="AY43" s="115"/>
      <x:c r="AZ43" s="115"/>
      <x:c r="BA43" s="115"/>
      <x:c r="BB43" s="115"/>
      <x:c r="BC43" s="115"/>
      <x:c r="BD43" s="115"/>
      <x:c r="BE43" s="115"/>
      <x:c r="BF43" s="115"/>
      <x:c r="BG43" s="115"/>
      <x:c r="BH43" s="115"/>
      <x:c r="BI43" s="115"/>
      <x:c r="BJ43" s="115"/>
      <x:c r="BK43" s="115"/>
      <x:c r="BL43" s="115"/>
      <x:c r="BM43" s="115"/>
      <x:c r="BN43" s="115"/>
      <x:c r="BO43" s="115"/>
      <x:c r="BP43" s="115"/>
      <x:c r="BQ43" s="115"/>
      <x:c r="BR43" s="115"/>
      <x:c r="BS43" s="115"/>
      <x:c r="BT43" s="115"/>
      <x:c r="BU43" s="115"/>
      <x:c r="BV43" s="115"/>
      <x:c r="BW43" s="115"/>
      <x:c r="BX43" s="115"/>
      <x:c r="BY43" s="115"/>
      <x:c r="BZ43" s="115"/>
      <x:c r="CA43" s="115"/>
      <x:c r="CB43" s="116"/>
      <x:c r="CC43" s="141" t="str">
        <x:f>IF(COUNT(G43:P43)=0,"",AVERAGE(G43:P43)*4)</x:f>
      </x:c>
      <x:c r="CD43" s="178" t="str">
        <x:f>IF(COUNT(Q43:Z43)=0,"",AVERAGE(Q43:Z43)*4)</x:f>
      </x:c>
      <x:c r="CE43" s="178" t="str">
        <x:f>IF(COUNT(AA43:AJ43)=0,"",AVERAGE(AA43:AJ43)*4)</x:f>
      </x:c>
      <x:c r="CF43" s="178" t="str">
        <x:f>IF(COUNT(AK43:AR43)=0,"",AVERAGE(AK43:AR43)*4)</x:f>
      </x:c>
      <x:c r="CG43" s="178" t="str">
        <x:f>IF(COUNT(AS43:AY43)=0,"",AVERAGE(AS43:AY43)*4)</x:f>
      </x:c>
      <x:c r="CH43" s="178" t="str">
        <x:f>IF(COUNT(AZ43:BG43)=0,"",AVERAGE(AZ43:BG43)*4)</x:f>
      </x:c>
      <x:c r="CI43" s="178" t="str">
        <x:f>IF(COUNT(BH43:BN43)=0,"",AVERAGE(BH43:BN43)*4)</x:f>
      </x:c>
      <x:c r="CJ43" s="178" t="str">
        <x:f>IF(COUNT(BO43:BU43)=0,"",AVERAGE(BO43:BU43)*4)</x:f>
      </x:c>
      <x:c r="CK43" s="178" t="str">
        <x:f>IF(COUNT(BV43:CB43)=0,"",AVERAGE(BV43:CB43)*4)</x:f>
      </x:c>
      <x:c r="CL43" s="178" t="str">
        <x:f>IF(C43="","",IF(COUNT(G43:CB43)&lt;74,"",(CC43*'تنظیمات وزن‌دهی'!$C$5+CD43*'تنظیمات وزن‌دهی'!$C$6+CE43*'تنظیمات وزن‌دهی'!$C$7+CF43*'تنظیمات وزن‌دهی'!$C$8+CG43*'تنظیمات وزن‌دهی'!$C$9+CH43*'تنظیمات وزن‌دهی'!$C$10+CI43*'تنظیمات وزن‌دهی'!$C$11+CJ43*'تنظیمات وزن‌دهی'!$C$12+CK43*'تنظیمات وزن‌دهی'!$C$13)/100))</x:f>
      </x:c>
      <x:c r="CM43" s="178" t="str">
        <x:f>IF(C43="","",IF(COUNT(G43:CB43)=0,"",IF(COUNT(G43:CB43)&lt;74,"موقت - اطلاعات ناقص",IF(CL43&gt;=17,"عالی",IF(CL43&gt;=14,"خوب",IF(CL43&gt;=10,"متوسط","ضعیف"))))))</x:f>
      </x:c>
      <x:c r="CN43" s="178" t="n">
        <x:v>3</x:v>
      </x:c>
      <x:c r="CO43" s="142" t="n">
        <x:f>IF(C43="","",COUNT(G43:CB43)/74)</x:f>
        <x:v>0</x:v>
      </x:c>
      <x:c r="CP43" s="245"/>
    </x:row>
    <x:row r="44">
      <x:c r="A44" s="165" t="n">
        <x:v>40</x:v>
      </x:c>
      <x:c r="B44" s="233" t="str">
        <x:v>مهر</x:v>
      </x:c>
      <x:c r="C44" s="233" t="n">
        <x:f>IF('دانش‌آموزان'!E8="","",'دانش‌آموزان'!B8)</x:f>
        <x:v>4</x:v>
      </x:c>
      <x:c r="D44" s="233" t="str">
        <x:f>IF('دانش‌آموزان'!C8="","",'دانش‌آموزان'!C8)</x:f>
        <x:v>4000000047</x:v>
      </x:c>
      <x:c r="E44" s="233" t="str">
        <x:f>IF('دانش‌آموزان'!E8="","",'دانش‌آموزان'!E8&amp;" "&amp;'دانش‌آموزان'!F8)</x:f>
        <x:v>زهرا محمدی</x:v>
      </x:c>
      <x:c r="F44" s="166" t="str">
        <x:f>IF('دانش‌آموزان'!I8="","",'دانش‌آموزان'!I8)</x:f>
        <x:v>sample-7-a</x:v>
      </x:c>
      <x:c r="G44" s="114"/>
      <x:c r="H44" s="115"/>
      <x:c r="I44" s="115"/>
      <x:c r="J44" s="115"/>
      <x:c r="K44" s="115"/>
      <x:c r="L44" s="115"/>
      <x:c r="M44" s="115"/>
      <x:c r="N44" s="115"/>
      <x:c r="O44" s="115"/>
      <x:c r="P44" s="115"/>
      <x:c r="Q44" s="115"/>
      <x:c r="R44" s="115"/>
      <x:c r="S44" s="115"/>
      <x:c r="T44" s="115"/>
      <x:c r="U44" s="115"/>
      <x:c r="V44" s="115"/>
      <x:c r="W44" s="115"/>
      <x:c r="X44" s="115"/>
      <x:c r="Y44" s="115"/>
      <x:c r="Z44" s="115"/>
      <x:c r="AA44" s="115"/>
      <x:c r="AB44" s="115"/>
      <x:c r="AC44" s="115"/>
      <x:c r="AD44" s="115"/>
      <x:c r="AE44" s="115"/>
      <x:c r="AF44" s="115"/>
      <x:c r="AG44" s="115"/>
      <x:c r="AH44" s="115"/>
      <x:c r="AI44" s="115"/>
      <x:c r="AJ44" s="115"/>
      <x:c r="AK44" s="115"/>
      <x:c r="AL44" s="115"/>
      <x:c r="AM44" s="115"/>
      <x:c r="AN44" s="115"/>
      <x:c r="AO44" s="115"/>
      <x:c r="AP44" s="115"/>
      <x:c r="AQ44" s="115"/>
      <x:c r="AR44" s="115"/>
      <x:c r="AS44" s="115"/>
      <x:c r="AT44" s="115"/>
      <x:c r="AU44" s="115"/>
      <x:c r="AV44" s="115"/>
      <x:c r="AW44" s="115"/>
      <x:c r="AX44" s="115"/>
      <x:c r="AY44" s="115"/>
      <x:c r="AZ44" s="115"/>
      <x:c r="BA44" s="115"/>
      <x:c r="BB44" s="115"/>
      <x:c r="BC44" s="115"/>
      <x:c r="BD44" s="115"/>
      <x:c r="BE44" s="115"/>
      <x:c r="BF44" s="115"/>
      <x:c r="BG44" s="115"/>
      <x:c r="BH44" s="115"/>
      <x:c r="BI44" s="115"/>
      <x:c r="BJ44" s="115"/>
      <x:c r="BK44" s="115"/>
      <x:c r="BL44" s="115"/>
      <x:c r="BM44" s="115"/>
      <x:c r="BN44" s="115"/>
      <x:c r="BO44" s="115"/>
      <x:c r="BP44" s="115"/>
      <x:c r="BQ44" s="115"/>
      <x:c r="BR44" s="115"/>
      <x:c r="BS44" s="115"/>
      <x:c r="BT44" s="115"/>
      <x:c r="BU44" s="115"/>
      <x:c r="BV44" s="115"/>
      <x:c r="BW44" s="115"/>
      <x:c r="BX44" s="115"/>
      <x:c r="BY44" s="115"/>
      <x:c r="BZ44" s="115"/>
      <x:c r="CA44" s="115"/>
      <x:c r="CB44" s="116"/>
      <x:c r="CC44" s="141" t="str">
        <x:f>IF(COUNT(G44:P44)=0,"",AVERAGE(G44:P44)*4)</x:f>
      </x:c>
      <x:c r="CD44" s="178" t="str">
        <x:f>IF(COUNT(Q44:Z44)=0,"",AVERAGE(Q44:Z44)*4)</x:f>
      </x:c>
      <x:c r="CE44" s="178" t="str">
        <x:f>IF(COUNT(AA44:AJ44)=0,"",AVERAGE(AA44:AJ44)*4)</x:f>
      </x:c>
      <x:c r="CF44" s="178" t="str">
        <x:f>IF(COUNT(AK44:AR44)=0,"",AVERAGE(AK44:AR44)*4)</x:f>
      </x:c>
      <x:c r="CG44" s="178" t="str">
        <x:f>IF(COUNT(AS44:AY44)=0,"",AVERAGE(AS44:AY44)*4)</x:f>
      </x:c>
      <x:c r="CH44" s="178" t="str">
        <x:f>IF(COUNT(AZ44:BG44)=0,"",AVERAGE(AZ44:BG44)*4)</x:f>
      </x:c>
      <x:c r="CI44" s="178" t="str">
        <x:f>IF(COUNT(BH44:BN44)=0,"",AVERAGE(BH44:BN44)*4)</x:f>
      </x:c>
      <x:c r="CJ44" s="178" t="str">
        <x:f>IF(COUNT(BO44:BU44)=0,"",AVERAGE(BO44:BU44)*4)</x:f>
      </x:c>
      <x:c r="CK44" s="178" t="str">
        <x:f>IF(COUNT(BV44:CB44)=0,"",AVERAGE(BV44:CB44)*4)</x:f>
      </x:c>
      <x:c r="CL44" s="178" t="str">
        <x:f>IF(C44="","",IF(COUNT(G44:CB44)&lt;74,"",(CC44*'تنظیمات وزن‌دهی'!$C$5+CD44*'تنظیمات وزن‌دهی'!$C$6+CE44*'تنظیمات وزن‌دهی'!$C$7+CF44*'تنظیمات وزن‌دهی'!$C$8+CG44*'تنظیمات وزن‌دهی'!$C$9+CH44*'تنظیمات وزن‌دهی'!$C$10+CI44*'تنظیمات وزن‌دهی'!$C$11+CJ44*'تنظیمات وزن‌دهی'!$C$12+CK44*'تنظیمات وزن‌دهی'!$C$13)/100))</x:f>
      </x:c>
      <x:c r="CM44" s="178" t="str">
        <x:f>IF(C44="","",IF(COUNT(G44:CB44)=0,"",IF(COUNT(G44:CB44)&lt;74,"موقت - اطلاعات ناقص",IF(CL44&gt;=17,"عالی",IF(CL44&gt;=14,"خوب",IF(CL44&gt;=10,"متوسط","ضعیف"))))))</x:f>
      </x:c>
      <x:c r="CN44" s="178" t="n">
        <x:v>4</x:v>
      </x:c>
      <x:c r="CO44" s="142" t="n">
        <x:f>IF(C44="","",COUNT(G44:CB44)/74)</x:f>
        <x:v>0</x:v>
      </x:c>
      <x:c r="CP44" s="245"/>
    </x:row>
    <x:row r="45">
      <x:c r="A45" s="165" t="n">
        <x:v>41</x:v>
      </x:c>
      <x:c r="B45" s="233" t="str">
        <x:v>آبان</x:v>
      </x:c>
      <x:c r="C45" s="233" t="n">
        <x:f>IF('دانش‌آموزان'!E8="","",'دانش‌آموزان'!B8)</x:f>
        <x:v>4</x:v>
      </x:c>
      <x:c r="D45" s="233" t="str">
        <x:f>IF('دانش‌آموزان'!C8="","",'دانش‌آموزان'!C8)</x:f>
        <x:v>4000000047</x:v>
      </x:c>
      <x:c r="E45" s="233" t="str">
        <x:f>IF('دانش‌آموزان'!E8="","",'دانش‌آموزان'!E8&amp;" "&amp;'دانش‌آموزان'!F8)</x:f>
        <x:v>زهرا محمدی</x:v>
      </x:c>
      <x:c r="F45" s="166" t="str">
        <x:f>IF('دانش‌آموزان'!I8="","",'دانش‌آموزان'!I8)</x:f>
        <x:v>sample-7-a</x:v>
      </x:c>
      <x:c r="G45" s="114"/>
      <x:c r="H45" s="115"/>
      <x:c r="I45" s="115"/>
      <x:c r="J45" s="115"/>
      <x:c r="K45" s="115"/>
      <x:c r="L45" s="115"/>
      <x:c r="M45" s="115"/>
      <x:c r="N45" s="115"/>
      <x:c r="O45" s="115"/>
      <x:c r="P45" s="115"/>
      <x:c r="Q45" s="115"/>
      <x:c r="R45" s="115"/>
      <x:c r="S45" s="115"/>
      <x:c r="T45" s="115"/>
      <x:c r="U45" s="115"/>
      <x:c r="V45" s="115"/>
      <x:c r="W45" s="115"/>
      <x:c r="X45" s="115"/>
      <x:c r="Y45" s="115"/>
      <x:c r="Z45" s="115"/>
      <x:c r="AA45" s="115"/>
      <x:c r="AB45" s="115"/>
      <x:c r="AC45" s="115"/>
      <x:c r="AD45" s="115"/>
      <x:c r="AE45" s="115"/>
      <x:c r="AF45" s="115"/>
      <x:c r="AG45" s="115"/>
      <x:c r="AH45" s="115"/>
      <x:c r="AI45" s="115"/>
      <x:c r="AJ45" s="115"/>
      <x:c r="AK45" s="115"/>
      <x:c r="AL45" s="115"/>
      <x:c r="AM45" s="115"/>
      <x:c r="AN45" s="115"/>
      <x:c r="AO45" s="115"/>
      <x:c r="AP45" s="115"/>
      <x:c r="AQ45" s="115"/>
      <x:c r="AR45" s="115"/>
      <x:c r="AS45" s="115"/>
      <x:c r="AT45" s="115"/>
      <x:c r="AU45" s="115"/>
      <x:c r="AV45" s="115"/>
      <x:c r="AW45" s="115"/>
      <x:c r="AX45" s="115"/>
      <x:c r="AY45" s="115"/>
      <x:c r="AZ45" s="115"/>
      <x:c r="BA45" s="115"/>
      <x:c r="BB45" s="115"/>
      <x:c r="BC45" s="115"/>
      <x:c r="BD45" s="115"/>
      <x:c r="BE45" s="115"/>
      <x:c r="BF45" s="115"/>
      <x:c r="BG45" s="115"/>
      <x:c r="BH45" s="115"/>
      <x:c r="BI45" s="115"/>
      <x:c r="BJ45" s="115"/>
      <x:c r="BK45" s="115"/>
      <x:c r="BL45" s="115"/>
      <x:c r="BM45" s="115"/>
      <x:c r="BN45" s="115"/>
      <x:c r="BO45" s="115"/>
      <x:c r="BP45" s="115"/>
      <x:c r="BQ45" s="115"/>
      <x:c r="BR45" s="115"/>
      <x:c r="BS45" s="115"/>
      <x:c r="BT45" s="115"/>
      <x:c r="BU45" s="115"/>
      <x:c r="BV45" s="115"/>
      <x:c r="BW45" s="115"/>
      <x:c r="BX45" s="115"/>
      <x:c r="BY45" s="115"/>
      <x:c r="BZ45" s="115"/>
      <x:c r="CA45" s="115"/>
      <x:c r="CB45" s="116"/>
      <x:c r="CC45" s="141" t="str">
        <x:f>IF(COUNT(G45:P45)=0,"",AVERAGE(G45:P45)*4)</x:f>
      </x:c>
      <x:c r="CD45" s="178" t="str">
        <x:f>IF(COUNT(Q45:Z45)=0,"",AVERAGE(Q45:Z45)*4)</x:f>
      </x:c>
      <x:c r="CE45" s="178" t="str">
        <x:f>IF(COUNT(AA45:AJ45)=0,"",AVERAGE(AA45:AJ45)*4)</x:f>
      </x:c>
      <x:c r="CF45" s="178" t="str">
        <x:f>IF(COUNT(AK45:AR45)=0,"",AVERAGE(AK45:AR45)*4)</x:f>
      </x:c>
      <x:c r="CG45" s="178" t="str">
        <x:f>IF(COUNT(AS45:AY45)=0,"",AVERAGE(AS45:AY45)*4)</x:f>
      </x:c>
      <x:c r="CH45" s="178" t="str">
        <x:f>IF(COUNT(AZ45:BG45)=0,"",AVERAGE(AZ45:BG45)*4)</x:f>
      </x:c>
      <x:c r="CI45" s="178" t="str">
        <x:f>IF(COUNT(BH45:BN45)=0,"",AVERAGE(BH45:BN45)*4)</x:f>
      </x:c>
      <x:c r="CJ45" s="178" t="str">
        <x:f>IF(COUNT(BO45:BU45)=0,"",AVERAGE(BO45:BU45)*4)</x:f>
      </x:c>
      <x:c r="CK45" s="178" t="str">
        <x:f>IF(COUNT(BV45:CB45)=0,"",AVERAGE(BV45:CB45)*4)</x:f>
      </x:c>
      <x:c r="CL45" s="178" t="str">
        <x:f>IF(C45="","",IF(COUNT(G45:CB45)&lt;74,"",(CC45*'تنظیمات وزن‌دهی'!$C$5+CD45*'تنظیمات وزن‌دهی'!$C$6+CE45*'تنظیمات وزن‌دهی'!$C$7+CF45*'تنظیمات وزن‌دهی'!$C$8+CG45*'تنظیمات وزن‌دهی'!$C$9+CH45*'تنظیمات وزن‌دهی'!$C$10+CI45*'تنظیمات وزن‌دهی'!$C$11+CJ45*'تنظیمات وزن‌دهی'!$C$12+CK45*'تنظیمات وزن‌دهی'!$C$13)/100))</x:f>
      </x:c>
      <x:c r="CM45" s="178" t="str">
        <x:f>IF(C45="","",IF(COUNT(G45:CB45)=0,"",IF(COUNT(G45:CB45)&lt;74,"موقت - اطلاعات ناقص",IF(CL45&gt;=17,"عالی",IF(CL45&gt;=14,"خوب",IF(CL45&gt;=10,"متوسط","ضعیف"))))))</x:f>
      </x:c>
      <x:c r="CN45" s="178" t="n">
        <x:v>5</x:v>
      </x:c>
      <x:c r="CO45" s="142" t="n">
        <x:f>IF(C45="","",COUNT(G45:CB45)/74)</x:f>
        <x:v>0</x:v>
      </x:c>
      <x:c r="CP45" s="245"/>
    </x:row>
    <x:row r="46">
      <x:c r="A46" s="165" t="n">
        <x:v>42</x:v>
      </x:c>
      <x:c r="B46" s="233" t="str">
        <x:v>آذر</x:v>
      </x:c>
      <x:c r="C46" s="233" t="n">
        <x:f>IF('دانش‌آموزان'!E8="","",'دانش‌آموزان'!B8)</x:f>
        <x:v>4</x:v>
      </x:c>
      <x:c r="D46" s="233" t="str">
        <x:f>IF('دانش‌آموزان'!C8="","",'دانش‌آموزان'!C8)</x:f>
        <x:v>4000000047</x:v>
      </x:c>
      <x:c r="E46" s="233" t="str">
        <x:f>IF('دانش‌آموزان'!E8="","",'دانش‌آموزان'!E8&amp;" "&amp;'دانش‌آموزان'!F8)</x:f>
        <x:v>زهرا محمدی</x:v>
      </x:c>
      <x:c r="F46" s="166" t="str">
        <x:f>IF('دانش‌آموزان'!I8="","",'دانش‌آموزان'!I8)</x:f>
        <x:v>sample-7-a</x:v>
      </x:c>
      <x:c r="G46" s="114"/>
      <x:c r="H46" s="115"/>
      <x:c r="I46" s="115"/>
      <x:c r="J46" s="115"/>
      <x:c r="K46" s="115"/>
      <x:c r="L46" s="115"/>
      <x:c r="M46" s="115"/>
      <x:c r="N46" s="115"/>
      <x:c r="O46" s="115"/>
      <x:c r="P46" s="115"/>
      <x:c r="Q46" s="115"/>
      <x:c r="R46" s="115"/>
      <x:c r="S46" s="115"/>
      <x:c r="T46" s="115"/>
      <x:c r="U46" s="115"/>
      <x:c r="V46" s="115"/>
      <x:c r="W46" s="115"/>
      <x:c r="X46" s="115"/>
      <x:c r="Y46" s="115"/>
      <x:c r="Z46" s="115"/>
      <x:c r="AA46" s="115"/>
      <x:c r="AB46" s="115"/>
      <x:c r="AC46" s="115"/>
      <x:c r="AD46" s="115"/>
      <x:c r="AE46" s="115"/>
      <x:c r="AF46" s="115"/>
      <x:c r="AG46" s="115"/>
      <x:c r="AH46" s="115"/>
      <x:c r="AI46" s="115"/>
      <x:c r="AJ46" s="115"/>
      <x:c r="AK46" s="115"/>
      <x:c r="AL46" s="115"/>
      <x:c r="AM46" s="115"/>
      <x:c r="AN46" s="115"/>
      <x:c r="AO46" s="115"/>
      <x:c r="AP46" s="115"/>
      <x:c r="AQ46" s="115"/>
      <x:c r="AR46" s="115"/>
      <x:c r="AS46" s="115"/>
      <x:c r="AT46" s="115"/>
      <x:c r="AU46" s="115"/>
      <x:c r="AV46" s="115"/>
      <x:c r="AW46" s="115"/>
      <x:c r="AX46" s="115"/>
      <x:c r="AY46" s="115"/>
      <x:c r="AZ46" s="115"/>
      <x:c r="BA46" s="115"/>
      <x:c r="BB46" s="115"/>
      <x:c r="BC46" s="115"/>
      <x:c r="BD46" s="115"/>
      <x:c r="BE46" s="115"/>
      <x:c r="BF46" s="115"/>
      <x:c r="BG46" s="115"/>
      <x:c r="BH46" s="115"/>
      <x:c r="BI46" s="115"/>
      <x:c r="BJ46" s="115"/>
      <x:c r="BK46" s="115"/>
      <x:c r="BL46" s="115"/>
      <x:c r="BM46" s="115"/>
      <x:c r="BN46" s="115"/>
      <x:c r="BO46" s="115"/>
      <x:c r="BP46" s="115"/>
      <x:c r="BQ46" s="115"/>
      <x:c r="BR46" s="115"/>
      <x:c r="BS46" s="115"/>
      <x:c r="BT46" s="115"/>
      <x:c r="BU46" s="115"/>
      <x:c r="BV46" s="115"/>
      <x:c r="BW46" s="115"/>
      <x:c r="BX46" s="115"/>
      <x:c r="BY46" s="115"/>
      <x:c r="BZ46" s="115"/>
      <x:c r="CA46" s="115"/>
      <x:c r="CB46" s="116"/>
      <x:c r="CC46" s="141" t="str">
        <x:f>IF(COUNT(G46:P46)=0,"",AVERAGE(G46:P46)*4)</x:f>
      </x:c>
      <x:c r="CD46" s="178" t="str">
        <x:f>IF(COUNT(Q46:Z46)=0,"",AVERAGE(Q46:Z46)*4)</x:f>
      </x:c>
      <x:c r="CE46" s="178" t="str">
        <x:f>IF(COUNT(AA46:AJ46)=0,"",AVERAGE(AA46:AJ46)*4)</x:f>
      </x:c>
      <x:c r="CF46" s="178" t="str">
        <x:f>IF(COUNT(AK46:AR46)=0,"",AVERAGE(AK46:AR46)*4)</x:f>
      </x:c>
      <x:c r="CG46" s="178" t="str">
        <x:f>IF(COUNT(AS46:AY46)=0,"",AVERAGE(AS46:AY46)*4)</x:f>
      </x:c>
      <x:c r="CH46" s="178" t="str">
        <x:f>IF(COUNT(AZ46:BG46)=0,"",AVERAGE(AZ46:BG46)*4)</x:f>
      </x:c>
      <x:c r="CI46" s="178" t="str">
        <x:f>IF(COUNT(BH46:BN46)=0,"",AVERAGE(BH46:BN46)*4)</x:f>
      </x:c>
      <x:c r="CJ46" s="178" t="str">
        <x:f>IF(COUNT(BO46:BU46)=0,"",AVERAGE(BO46:BU46)*4)</x:f>
      </x:c>
      <x:c r="CK46" s="178" t="str">
        <x:f>IF(COUNT(BV46:CB46)=0,"",AVERAGE(BV46:CB46)*4)</x:f>
      </x:c>
      <x:c r="CL46" s="178" t="str">
        <x:f>IF(C46="","",IF(COUNT(G46:CB46)&lt;74,"",(CC46*'تنظیمات وزن‌دهی'!$C$5+CD46*'تنظیمات وزن‌دهی'!$C$6+CE46*'تنظیمات وزن‌دهی'!$C$7+CF46*'تنظیمات وزن‌دهی'!$C$8+CG46*'تنظیمات وزن‌دهی'!$C$9+CH46*'تنظیمات وزن‌دهی'!$C$10+CI46*'تنظیمات وزن‌دهی'!$C$11+CJ46*'تنظیمات وزن‌دهی'!$C$12+CK46*'تنظیمات وزن‌دهی'!$C$13)/100))</x:f>
      </x:c>
      <x:c r="CM46" s="178" t="str">
        <x:f>IF(C46="","",IF(COUNT(G46:CB46)=0,"",IF(COUNT(G46:CB46)&lt;74,"موقت - اطلاعات ناقص",IF(CL46&gt;=17,"عالی",IF(CL46&gt;=14,"خوب",IF(CL46&gt;=10,"متوسط","ضعیف"))))))</x:f>
      </x:c>
      <x:c r="CN46" s="178" t="n">
        <x:v>6</x:v>
      </x:c>
      <x:c r="CO46" s="142" t="n">
        <x:f>IF(C46="","",COUNT(G46:CB46)/74)</x:f>
        <x:v>0</x:v>
      </x:c>
      <x:c r="CP46" s="245"/>
    </x:row>
    <x:row r="47">
      <x:c r="A47" s="165" t="n">
        <x:v>43</x:v>
      </x:c>
      <x:c r="B47" s="233" t="str">
        <x:v>دی</x:v>
      </x:c>
      <x:c r="C47" s="233" t="n">
        <x:f>IF('دانش‌آموزان'!E8="","",'دانش‌آموزان'!B8)</x:f>
        <x:v>4</x:v>
      </x:c>
      <x:c r="D47" s="233" t="str">
        <x:f>IF('دانش‌آموزان'!C8="","",'دانش‌آموزان'!C8)</x:f>
        <x:v>4000000047</x:v>
      </x:c>
      <x:c r="E47" s="233" t="str">
        <x:f>IF('دانش‌آموزان'!E8="","",'دانش‌آموزان'!E8&amp;" "&amp;'دانش‌آموزان'!F8)</x:f>
        <x:v>زهرا محمدی</x:v>
      </x:c>
      <x:c r="F47" s="166" t="str">
        <x:f>IF('دانش‌آموزان'!I8="","",'دانش‌آموزان'!I8)</x:f>
        <x:v>sample-7-a</x:v>
      </x:c>
      <x:c r="G47" s="114"/>
      <x:c r="H47" s="115"/>
      <x:c r="I47" s="115"/>
      <x:c r="J47" s="115"/>
      <x:c r="K47" s="115"/>
      <x:c r="L47" s="115"/>
      <x:c r="M47" s="115"/>
      <x:c r="N47" s="115"/>
      <x:c r="O47" s="115"/>
      <x:c r="P47" s="115"/>
      <x:c r="Q47" s="115"/>
      <x:c r="R47" s="115"/>
      <x:c r="S47" s="115"/>
      <x:c r="T47" s="115"/>
      <x:c r="U47" s="115"/>
      <x:c r="V47" s="115"/>
      <x:c r="W47" s="115"/>
      <x:c r="X47" s="115"/>
      <x:c r="Y47" s="115"/>
      <x:c r="Z47" s="115"/>
      <x:c r="AA47" s="115"/>
      <x:c r="AB47" s="115"/>
      <x:c r="AC47" s="115"/>
      <x:c r="AD47" s="115"/>
      <x:c r="AE47" s="115"/>
      <x:c r="AF47" s="115"/>
      <x:c r="AG47" s="115"/>
      <x:c r="AH47" s="115"/>
      <x:c r="AI47" s="115"/>
      <x:c r="AJ47" s="115"/>
      <x:c r="AK47" s="115"/>
      <x:c r="AL47" s="115"/>
      <x:c r="AM47" s="115"/>
      <x:c r="AN47" s="115"/>
      <x:c r="AO47" s="115"/>
      <x:c r="AP47" s="115"/>
      <x:c r="AQ47" s="115"/>
      <x:c r="AR47" s="115"/>
      <x:c r="AS47" s="115"/>
      <x:c r="AT47" s="115"/>
      <x:c r="AU47" s="115"/>
      <x:c r="AV47" s="115"/>
      <x:c r="AW47" s="115"/>
      <x:c r="AX47" s="115"/>
      <x:c r="AY47" s="115"/>
      <x:c r="AZ47" s="115"/>
      <x:c r="BA47" s="115"/>
      <x:c r="BB47" s="115"/>
      <x:c r="BC47" s="115"/>
      <x:c r="BD47" s="115"/>
      <x:c r="BE47" s="115"/>
      <x:c r="BF47" s="115"/>
      <x:c r="BG47" s="115"/>
      <x:c r="BH47" s="115"/>
      <x:c r="BI47" s="115"/>
      <x:c r="BJ47" s="115"/>
      <x:c r="BK47" s="115"/>
      <x:c r="BL47" s="115"/>
      <x:c r="BM47" s="115"/>
      <x:c r="BN47" s="115"/>
      <x:c r="BO47" s="115"/>
      <x:c r="BP47" s="115"/>
      <x:c r="BQ47" s="115"/>
      <x:c r="BR47" s="115"/>
      <x:c r="BS47" s="115"/>
      <x:c r="BT47" s="115"/>
      <x:c r="BU47" s="115"/>
      <x:c r="BV47" s="115"/>
      <x:c r="BW47" s="115"/>
      <x:c r="BX47" s="115"/>
      <x:c r="BY47" s="115"/>
      <x:c r="BZ47" s="115"/>
      <x:c r="CA47" s="115"/>
      <x:c r="CB47" s="116"/>
      <x:c r="CC47" s="141" t="str">
        <x:f>IF(COUNT(G47:P47)=0,"",AVERAGE(G47:P47)*4)</x:f>
      </x:c>
      <x:c r="CD47" s="178" t="str">
        <x:f>IF(COUNT(Q47:Z47)=0,"",AVERAGE(Q47:Z47)*4)</x:f>
      </x:c>
      <x:c r="CE47" s="178" t="str">
        <x:f>IF(COUNT(AA47:AJ47)=0,"",AVERAGE(AA47:AJ47)*4)</x:f>
      </x:c>
      <x:c r="CF47" s="178" t="str">
        <x:f>IF(COUNT(AK47:AR47)=0,"",AVERAGE(AK47:AR47)*4)</x:f>
      </x:c>
      <x:c r="CG47" s="178" t="str">
        <x:f>IF(COUNT(AS47:AY47)=0,"",AVERAGE(AS47:AY47)*4)</x:f>
      </x:c>
      <x:c r="CH47" s="178" t="str">
        <x:f>IF(COUNT(AZ47:BG47)=0,"",AVERAGE(AZ47:BG47)*4)</x:f>
      </x:c>
      <x:c r="CI47" s="178" t="str">
        <x:f>IF(COUNT(BH47:BN47)=0,"",AVERAGE(BH47:BN47)*4)</x:f>
      </x:c>
      <x:c r="CJ47" s="178" t="str">
        <x:f>IF(COUNT(BO47:BU47)=0,"",AVERAGE(BO47:BU47)*4)</x:f>
      </x:c>
      <x:c r="CK47" s="178" t="str">
        <x:f>IF(COUNT(BV47:CB47)=0,"",AVERAGE(BV47:CB47)*4)</x:f>
      </x:c>
      <x:c r="CL47" s="178" t="str">
        <x:f>IF(C47="","",IF(COUNT(G47:CB47)&lt;74,"",(CC47*'تنظیمات وزن‌دهی'!$C$5+CD47*'تنظیمات وزن‌دهی'!$C$6+CE47*'تنظیمات وزن‌دهی'!$C$7+CF47*'تنظیمات وزن‌دهی'!$C$8+CG47*'تنظیمات وزن‌دهی'!$C$9+CH47*'تنظیمات وزن‌دهی'!$C$10+CI47*'تنظیمات وزن‌دهی'!$C$11+CJ47*'تنظیمات وزن‌دهی'!$C$12+CK47*'تنظیمات وزن‌دهی'!$C$13)/100))</x:f>
      </x:c>
      <x:c r="CM47" s="178" t="str">
        <x:f>IF(C47="","",IF(COUNT(G47:CB47)=0,"",IF(COUNT(G47:CB47)&lt;74,"موقت - اطلاعات ناقص",IF(CL47&gt;=17,"عالی",IF(CL47&gt;=14,"خوب",IF(CL47&gt;=10,"متوسط","ضعیف"))))))</x:f>
      </x:c>
      <x:c r="CN47" s="178" t="n">
        <x:v>7</x:v>
      </x:c>
      <x:c r="CO47" s="142" t="n">
        <x:f>IF(C47="","",COUNT(G47:CB47)/74)</x:f>
        <x:v>0</x:v>
      </x:c>
      <x:c r="CP47" s="245"/>
    </x:row>
    <x:row r="48">
      <x:c r="A48" s="165" t="n">
        <x:v>44</x:v>
      </x:c>
      <x:c r="B48" s="233" t="str">
        <x:v>بهمن</x:v>
      </x:c>
      <x:c r="C48" s="233" t="n">
        <x:f>IF('دانش‌آموزان'!E8="","",'دانش‌آموزان'!B8)</x:f>
        <x:v>4</x:v>
      </x:c>
      <x:c r="D48" s="233" t="str">
        <x:f>IF('دانش‌آموزان'!C8="","",'دانش‌آموزان'!C8)</x:f>
        <x:v>4000000047</x:v>
      </x:c>
      <x:c r="E48" s="233" t="str">
        <x:f>IF('دانش‌آموزان'!E8="","",'دانش‌آموزان'!E8&amp;" "&amp;'دانش‌آموزان'!F8)</x:f>
        <x:v>زهرا محمدی</x:v>
      </x:c>
      <x:c r="F48" s="166" t="str">
        <x:f>IF('دانش‌آموزان'!I8="","",'دانش‌آموزان'!I8)</x:f>
        <x:v>sample-7-a</x:v>
      </x:c>
      <x:c r="G48" s="114"/>
      <x:c r="H48" s="115"/>
      <x:c r="I48" s="115"/>
      <x:c r="J48" s="115"/>
      <x:c r="K48" s="115"/>
      <x:c r="L48" s="115"/>
      <x:c r="M48" s="115"/>
      <x:c r="N48" s="115"/>
      <x:c r="O48" s="115"/>
      <x:c r="P48" s="115"/>
      <x:c r="Q48" s="115"/>
      <x:c r="R48" s="115"/>
      <x:c r="S48" s="115"/>
      <x:c r="T48" s="115"/>
      <x:c r="U48" s="115"/>
      <x:c r="V48" s="115"/>
      <x:c r="W48" s="115"/>
      <x:c r="X48" s="115"/>
      <x:c r="Y48" s="115"/>
      <x:c r="Z48" s="115"/>
      <x:c r="AA48" s="115"/>
      <x:c r="AB48" s="115"/>
      <x:c r="AC48" s="115"/>
      <x:c r="AD48" s="115"/>
      <x:c r="AE48" s="115"/>
      <x:c r="AF48" s="115"/>
      <x:c r="AG48" s="115"/>
      <x:c r="AH48" s="115"/>
      <x:c r="AI48" s="115"/>
      <x:c r="AJ48" s="115"/>
      <x:c r="AK48" s="115"/>
      <x:c r="AL48" s="115"/>
      <x:c r="AM48" s="115"/>
      <x:c r="AN48" s="115"/>
      <x:c r="AO48" s="115"/>
      <x:c r="AP48" s="115"/>
      <x:c r="AQ48" s="115"/>
      <x:c r="AR48" s="115"/>
      <x:c r="AS48" s="115"/>
      <x:c r="AT48" s="115"/>
      <x:c r="AU48" s="115"/>
      <x:c r="AV48" s="115"/>
      <x:c r="AW48" s="115"/>
      <x:c r="AX48" s="115"/>
      <x:c r="AY48" s="115"/>
      <x:c r="AZ48" s="115"/>
      <x:c r="BA48" s="115"/>
      <x:c r="BB48" s="115"/>
      <x:c r="BC48" s="115"/>
      <x:c r="BD48" s="115"/>
      <x:c r="BE48" s="115"/>
      <x:c r="BF48" s="115"/>
      <x:c r="BG48" s="115"/>
      <x:c r="BH48" s="115"/>
      <x:c r="BI48" s="115"/>
      <x:c r="BJ48" s="115"/>
      <x:c r="BK48" s="115"/>
      <x:c r="BL48" s="115"/>
      <x:c r="BM48" s="115"/>
      <x:c r="BN48" s="115"/>
      <x:c r="BO48" s="115"/>
      <x:c r="BP48" s="115"/>
      <x:c r="BQ48" s="115"/>
      <x:c r="BR48" s="115"/>
      <x:c r="BS48" s="115"/>
      <x:c r="BT48" s="115"/>
      <x:c r="BU48" s="115"/>
      <x:c r="BV48" s="115"/>
      <x:c r="BW48" s="115"/>
      <x:c r="BX48" s="115"/>
      <x:c r="BY48" s="115"/>
      <x:c r="BZ48" s="115"/>
      <x:c r="CA48" s="115"/>
      <x:c r="CB48" s="116"/>
      <x:c r="CC48" s="141" t="str">
        <x:f>IF(COUNT(G48:P48)=0,"",AVERAGE(G48:P48)*4)</x:f>
      </x:c>
      <x:c r="CD48" s="178" t="str">
        <x:f>IF(COUNT(Q48:Z48)=0,"",AVERAGE(Q48:Z48)*4)</x:f>
      </x:c>
      <x:c r="CE48" s="178" t="str">
        <x:f>IF(COUNT(AA48:AJ48)=0,"",AVERAGE(AA48:AJ48)*4)</x:f>
      </x:c>
      <x:c r="CF48" s="178" t="str">
        <x:f>IF(COUNT(AK48:AR48)=0,"",AVERAGE(AK48:AR48)*4)</x:f>
      </x:c>
      <x:c r="CG48" s="178" t="str">
        <x:f>IF(COUNT(AS48:AY48)=0,"",AVERAGE(AS48:AY48)*4)</x:f>
      </x:c>
      <x:c r="CH48" s="178" t="str">
        <x:f>IF(COUNT(AZ48:BG48)=0,"",AVERAGE(AZ48:BG48)*4)</x:f>
      </x:c>
      <x:c r="CI48" s="178" t="str">
        <x:f>IF(COUNT(BH48:BN48)=0,"",AVERAGE(BH48:BN48)*4)</x:f>
      </x:c>
      <x:c r="CJ48" s="178" t="str">
        <x:f>IF(COUNT(BO48:BU48)=0,"",AVERAGE(BO48:BU48)*4)</x:f>
      </x:c>
      <x:c r="CK48" s="178" t="str">
        <x:f>IF(COUNT(BV48:CB48)=0,"",AVERAGE(BV48:CB48)*4)</x:f>
      </x:c>
      <x:c r="CL48" s="178" t="str">
        <x:f>IF(C48="","",IF(COUNT(G48:CB48)&lt;74,"",(CC48*'تنظیمات وزن‌دهی'!$C$5+CD48*'تنظیمات وزن‌دهی'!$C$6+CE48*'تنظیمات وزن‌دهی'!$C$7+CF48*'تنظیمات وزن‌دهی'!$C$8+CG48*'تنظیمات وزن‌دهی'!$C$9+CH48*'تنظیمات وزن‌دهی'!$C$10+CI48*'تنظیمات وزن‌دهی'!$C$11+CJ48*'تنظیمات وزن‌دهی'!$C$12+CK48*'تنظیمات وزن‌دهی'!$C$13)/100))</x:f>
      </x:c>
      <x:c r="CM48" s="178" t="str">
        <x:f>IF(C48="","",IF(COUNT(G48:CB48)=0,"",IF(COUNT(G48:CB48)&lt;74,"موقت - اطلاعات ناقص",IF(CL48&gt;=17,"عالی",IF(CL48&gt;=14,"خوب",IF(CL48&gt;=10,"متوسط","ضعیف"))))))</x:f>
      </x:c>
      <x:c r="CN48" s="178" t="n">
        <x:v>8</x:v>
      </x:c>
      <x:c r="CO48" s="142" t="n">
        <x:f>IF(C48="","",COUNT(G48:CB48)/74)</x:f>
        <x:v>0</x:v>
      </x:c>
      <x:c r="CP48" s="245"/>
    </x:row>
    <x:row r="49">
      <x:c r="A49" s="165" t="n">
        <x:v>45</x:v>
      </x:c>
      <x:c r="B49" s="233" t="str">
        <x:v>اسفند</x:v>
      </x:c>
      <x:c r="C49" s="233" t="n">
        <x:f>IF('دانش‌آموزان'!E8="","",'دانش‌آموزان'!B8)</x:f>
        <x:v>4</x:v>
      </x:c>
      <x:c r="D49" s="233" t="str">
        <x:f>IF('دانش‌آموزان'!C8="","",'دانش‌آموزان'!C8)</x:f>
        <x:v>4000000047</x:v>
      </x:c>
      <x:c r="E49" s="233" t="str">
        <x:f>IF('دانش‌آموزان'!E8="","",'دانش‌آموزان'!E8&amp;" "&amp;'دانش‌آموزان'!F8)</x:f>
        <x:v>زهرا محمدی</x:v>
      </x:c>
      <x:c r="F49" s="166" t="str">
        <x:f>IF('دانش‌آموزان'!I8="","",'دانش‌آموزان'!I8)</x:f>
        <x:v>sample-7-a</x:v>
      </x:c>
      <x:c r="G49" s="114"/>
      <x:c r="H49" s="115"/>
      <x:c r="I49" s="115"/>
      <x:c r="J49" s="115"/>
      <x:c r="K49" s="115"/>
      <x:c r="L49" s="115"/>
      <x:c r="M49" s="115"/>
      <x:c r="N49" s="115"/>
      <x:c r="O49" s="115"/>
      <x:c r="P49" s="115"/>
      <x:c r="Q49" s="115"/>
      <x:c r="R49" s="115"/>
      <x:c r="S49" s="115"/>
      <x:c r="T49" s="115"/>
      <x:c r="U49" s="115"/>
      <x:c r="V49" s="115"/>
      <x:c r="W49" s="115"/>
      <x:c r="X49" s="115"/>
      <x:c r="Y49" s="115"/>
      <x:c r="Z49" s="115"/>
      <x:c r="AA49" s="115"/>
      <x:c r="AB49" s="115"/>
      <x:c r="AC49" s="115"/>
      <x:c r="AD49" s="115"/>
      <x:c r="AE49" s="115"/>
      <x:c r="AF49" s="115"/>
      <x:c r="AG49" s="115"/>
      <x:c r="AH49" s="115"/>
      <x:c r="AI49" s="115"/>
      <x:c r="AJ49" s="115"/>
      <x:c r="AK49" s="115"/>
      <x:c r="AL49" s="115"/>
      <x:c r="AM49" s="115"/>
      <x:c r="AN49" s="115"/>
      <x:c r="AO49" s="115"/>
      <x:c r="AP49" s="115"/>
      <x:c r="AQ49" s="115"/>
      <x:c r="AR49" s="115"/>
      <x:c r="AS49" s="115"/>
      <x:c r="AT49" s="115"/>
      <x:c r="AU49" s="115"/>
      <x:c r="AV49" s="115"/>
      <x:c r="AW49" s="115"/>
      <x:c r="AX49" s="115"/>
      <x:c r="AY49" s="115"/>
      <x:c r="AZ49" s="115"/>
      <x:c r="BA49" s="115"/>
      <x:c r="BB49" s="115"/>
      <x:c r="BC49" s="115"/>
      <x:c r="BD49" s="115"/>
      <x:c r="BE49" s="115"/>
      <x:c r="BF49" s="115"/>
      <x:c r="BG49" s="115"/>
      <x:c r="BH49" s="115"/>
      <x:c r="BI49" s="115"/>
      <x:c r="BJ49" s="115"/>
      <x:c r="BK49" s="115"/>
      <x:c r="BL49" s="115"/>
      <x:c r="BM49" s="115"/>
      <x:c r="BN49" s="115"/>
      <x:c r="BO49" s="115"/>
      <x:c r="BP49" s="115"/>
      <x:c r="BQ49" s="115"/>
      <x:c r="BR49" s="115"/>
      <x:c r="BS49" s="115"/>
      <x:c r="BT49" s="115"/>
      <x:c r="BU49" s="115"/>
      <x:c r="BV49" s="115"/>
      <x:c r="BW49" s="115"/>
      <x:c r="BX49" s="115"/>
      <x:c r="BY49" s="115"/>
      <x:c r="BZ49" s="115"/>
      <x:c r="CA49" s="115"/>
      <x:c r="CB49" s="116"/>
      <x:c r="CC49" s="141" t="str">
        <x:f>IF(COUNT(G49:P49)=0,"",AVERAGE(G49:P49)*4)</x:f>
      </x:c>
      <x:c r="CD49" s="178" t="str">
        <x:f>IF(COUNT(Q49:Z49)=0,"",AVERAGE(Q49:Z49)*4)</x:f>
      </x:c>
      <x:c r="CE49" s="178" t="str">
        <x:f>IF(COUNT(AA49:AJ49)=0,"",AVERAGE(AA49:AJ49)*4)</x:f>
      </x:c>
      <x:c r="CF49" s="178" t="str">
        <x:f>IF(COUNT(AK49:AR49)=0,"",AVERAGE(AK49:AR49)*4)</x:f>
      </x:c>
      <x:c r="CG49" s="178" t="str">
        <x:f>IF(COUNT(AS49:AY49)=0,"",AVERAGE(AS49:AY49)*4)</x:f>
      </x:c>
      <x:c r="CH49" s="178" t="str">
        <x:f>IF(COUNT(AZ49:BG49)=0,"",AVERAGE(AZ49:BG49)*4)</x:f>
      </x:c>
      <x:c r="CI49" s="178" t="str">
        <x:f>IF(COUNT(BH49:BN49)=0,"",AVERAGE(BH49:BN49)*4)</x:f>
      </x:c>
      <x:c r="CJ49" s="178" t="str">
        <x:f>IF(COUNT(BO49:BU49)=0,"",AVERAGE(BO49:BU49)*4)</x:f>
      </x:c>
      <x:c r="CK49" s="178" t="str">
        <x:f>IF(COUNT(BV49:CB49)=0,"",AVERAGE(BV49:CB49)*4)</x:f>
      </x:c>
      <x:c r="CL49" s="178" t="str">
        <x:f>IF(C49="","",IF(COUNT(G49:CB49)&lt;74,"",(CC49*'تنظیمات وزن‌دهی'!$C$5+CD49*'تنظیمات وزن‌دهی'!$C$6+CE49*'تنظیمات وزن‌دهی'!$C$7+CF49*'تنظیمات وزن‌دهی'!$C$8+CG49*'تنظیمات وزن‌دهی'!$C$9+CH49*'تنظیمات وزن‌دهی'!$C$10+CI49*'تنظیمات وزن‌دهی'!$C$11+CJ49*'تنظیمات وزن‌دهی'!$C$12+CK49*'تنظیمات وزن‌دهی'!$C$13)/100))</x:f>
      </x:c>
      <x:c r="CM49" s="178" t="str">
        <x:f>IF(C49="","",IF(COUNT(G49:CB49)=0,"",IF(COUNT(G49:CB49)&lt;74,"موقت - اطلاعات ناقص",IF(CL49&gt;=17,"عالی",IF(CL49&gt;=14,"خوب",IF(CL49&gt;=10,"متوسط","ضعیف"))))))</x:f>
      </x:c>
      <x:c r="CN49" s="178" t="n">
        <x:v>9</x:v>
      </x:c>
      <x:c r="CO49" s="142" t="n">
        <x:f>IF(C49="","",COUNT(G49:CB49)/74)</x:f>
        <x:v>0</x:v>
      </x:c>
      <x:c r="CP49" s="245"/>
    </x:row>
    <x:row r="50">
      <x:c r="A50" s="165" t="n">
        <x:v>46</x:v>
      </x:c>
      <x:c r="B50" s="233" t="str">
        <x:v>فروردین</x:v>
      </x:c>
      <x:c r="C50" s="233" t="n">
        <x:f>IF('دانش‌آموزان'!E8="","",'دانش‌آموزان'!B8)</x:f>
        <x:v>4</x:v>
      </x:c>
      <x:c r="D50" s="233" t="str">
        <x:f>IF('دانش‌آموزان'!C8="","",'دانش‌آموزان'!C8)</x:f>
        <x:v>4000000047</x:v>
      </x:c>
      <x:c r="E50" s="233" t="str">
        <x:f>IF('دانش‌آموزان'!E8="","",'دانش‌آموزان'!E8&amp;" "&amp;'دانش‌آموزان'!F8)</x:f>
        <x:v>زهرا محمدی</x:v>
      </x:c>
      <x:c r="F50" s="166" t="str">
        <x:f>IF('دانش‌آموزان'!I8="","",'دانش‌آموزان'!I8)</x:f>
        <x:v>sample-7-a</x:v>
      </x:c>
      <x:c r="G50" s="114"/>
      <x:c r="H50" s="115"/>
      <x:c r="I50" s="115"/>
      <x:c r="J50" s="115"/>
      <x:c r="K50" s="115"/>
      <x:c r="L50" s="115"/>
      <x:c r="M50" s="115"/>
      <x:c r="N50" s="115"/>
      <x:c r="O50" s="115"/>
      <x:c r="P50" s="115"/>
      <x:c r="Q50" s="115"/>
      <x:c r="R50" s="115"/>
      <x:c r="S50" s="115"/>
      <x:c r="T50" s="115"/>
      <x:c r="U50" s="115"/>
      <x:c r="V50" s="115"/>
      <x:c r="W50" s="115"/>
      <x:c r="X50" s="115"/>
      <x:c r="Y50" s="115"/>
      <x:c r="Z50" s="115"/>
      <x:c r="AA50" s="115"/>
      <x:c r="AB50" s="115"/>
      <x:c r="AC50" s="115"/>
      <x:c r="AD50" s="115"/>
      <x:c r="AE50" s="115"/>
      <x:c r="AF50" s="115"/>
      <x:c r="AG50" s="115"/>
      <x:c r="AH50" s="115"/>
      <x:c r="AI50" s="115"/>
      <x:c r="AJ50" s="115"/>
      <x:c r="AK50" s="115"/>
      <x:c r="AL50" s="115"/>
      <x:c r="AM50" s="115"/>
      <x:c r="AN50" s="115"/>
      <x:c r="AO50" s="115"/>
      <x:c r="AP50" s="115"/>
      <x:c r="AQ50" s="115"/>
      <x:c r="AR50" s="115"/>
      <x:c r="AS50" s="115"/>
      <x:c r="AT50" s="115"/>
      <x:c r="AU50" s="115"/>
      <x:c r="AV50" s="115"/>
      <x:c r="AW50" s="115"/>
      <x:c r="AX50" s="115"/>
      <x:c r="AY50" s="115"/>
      <x:c r="AZ50" s="115"/>
      <x:c r="BA50" s="115"/>
      <x:c r="BB50" s="115"/>
      <x:c r="BC50" s="115"/>
      <x:c r="BD50" s="115"/>
      <x:c r="BE50" s="115"/>
      <x:c r="BF50" s="115"/>
      <x:c r="BG50" s="115"/>
      <x:c r="BH50" s="115"/>
      <x:c r="BI50" s="115"/>
      <x:c r="BJ50" s="115"/>
      <x:c r="BK50" s="115"/>
      <x:c r="BL50" s="115"/>
      <x:c r="BM50" s="115"/>
      <x:c r="BN50" s="115"/>
      <x:c r="BO50" s="115"/>
      <x:c r="BP50" s="115"/>
      <x:c r="BQ50" s="115"/>
      <x:c r="BR50" s="115"/>
      <x:c r="BS50" s="115"/>
      <x:c r="BT50" s="115"/>
      <x:c r="BU50" s="115"/>
      <x:c r="BV50" s="115"/>
      <x:c r="BW50" s="115"/>
      <x:c r="BX50" s="115"/>
      <x:c r="BY50" s="115"/>
      <x:c r="BZ50" s="115"/>
      <x:c r="CA50" s="115"/>
      <x:c r="CB50" s="116"/>
      <x:c r="CC50" s="141" t="str">
        <x:f>IF(COUNT(G50:P50)=0,"",AVERAGE(G50:P50)*4)</x:f>
      </x:c>
      <x:c r="CD50" s="178" t="str">
        <x:f>IF(COUNT(Q50:Z50)=0,"",AVERAGE(Q50:Z50)*4)</x:f>
      </x:c>
      <x:c r="CE50" s="178" t="str">
        <x:f>IF(COUNT(AA50:AJ50)=0,"",AVERAGE(AA50:AJ50)*4)</x:f>
      </x:c>
      <x:c r="CF50" s="178" t="str">
        <x:f>IF(COUNT(AK50:AR50)=0,"",AVERAGE(AK50:AR50)*4)</x:f>
      </x:c>
      <x:c r="CG50" s="178" t="str">
        <x:f>IF(COUNT(AS50:AY50)=0,"",AVERAGE(AS50:AY50)*4)</x:f>
      </x:c>
      <x:c r="CH50" s="178" t="str">
        <x:f>IF(COUNT(AZ50:BG50)=0,"",AVERAGE(AZ50:BG50)*4)</x:f>
      </x:c>
      <x:c r="CI50" s="178" t="str">
        <x:f>IF(COUNT(BH50:BN50)=0,"",AVERAGE(BH50:BN50)*4)</x:f>
      </x:c>
      <x:c r="CJ50" s="178" t="str">
        <x:f>IF(COUNT(BO50:BU50)=0,"",AVERAGE(BO50:BU50)*4)</x:f>
      </x:c>
      <x:c r="CK50" s="178" t="str">
        <x:f>IF(COUNT(BV50:CB50)=0,"",AVERAGE(BV50:CB50)*4)</x:f>
      </x:c>
      <x:c r="CL50" s="178" t="str">
        <x:f>IF(C50="","",IF(COUNT(G50:CB50)&lt;74,"",(CC50*'تنظیمات وزن‌دهی'!$C$5+CD50*'تنظیمات وزن‌دهی'!$C$6+CE50*'تنظیمات وزن‌دهی'!$C$7+CF50*'تنظیمات وزن‌دهی'!$C$8+CG50*'تنظیمات وزن‌دهی'!$C$9+CH50*'تنظیمات وزن‌دهی'!$C$10+CI50*'تنظیمات وزن‌دهی'!$C$11+CJ50*'تنظیمات وزن‌دهی'!$C$12+CK50*'تنظیمات وزن‌دهی'!$C$13)/100))</x:f>
      </x:c>
      <x:c r="CM50" s="178" t="str">
        <x:f>IF(C50="","",IF(COUNT(G50:CB50)=0,"",IF(COUNT(G50:CB50)&lt;74,"موقت - اطلاعات ناقص",IF(CL50&gt;=17,"عالی",IF(CL50&gt;=14,"خوب",IF(CL50&gt;=10,"متوسط","ضعیف"))))))</x:f>
      </x:c>
      <x:c r="CN50" s="178" t="n">
        <x:v>10</x:v>
      </x:c>
      <x:c r="CO50" s="142" t="n">
        <x:f>IF(C50="","",COUNT(G50:CB50)/74)</x:f>
        <x:v>0</x:v>
      </x:c>
      <x:c r="CP50" s="245"/>
    </x:row>
    <x:row r="51">
      <x:c r="A51" s="165" t="n">
        <x:v>47</x:v>
      </x:c>
      <x:c r="B51" s="233" t="str">
        <x:v>اردیبهشت</x:v>
      </x:c>
      <x:c r="C51" s="233" t="n">
        <x:f>IF('دانش‌آموزان'!E8="","",'دانش‌آموزان'!B8)</x:f>
        <x:v>4</x:v>
      </x:c>
      <x:c r="D51" s="233" t="str">
        <x:f>IF('دانش‌آموزان'!C8="","",'دانش‌آموزان'!C8)</x:f>
        <x:v>4000000047</x:v>
      </x:c>
      <x:c r="E51" s="233" t="str">
        <x:f>IF('دانش‌آموزان'!E8="","",'دانش‌آموزان'!E8&amp;" "&amp;'دانش‌آموزان'!F8)</x:f>
        <x:v>زهرا محمدی</x:v>
      </x:c>
      <x:c r="F51" s="166" t="str">
        <x:f>IF('دانش‌آموزان'!I8="","",'دانش‌آموزان'!I8)</x:f>
        <x:v>sample-7-a</x:v>
      </x:c>
      <x:c r="G51" s="114"/>
      <x:c r="H51" s="115"/>
      <x:c r="I51" s="115"/>
      <x:c r="J51" s="115"/>
      <x:c r="K51" s="115"/>
      <x:c r="L51" s="115"/>
      <x:c r="M51" s="115"/>
      <x:c r="N51" s="115"/>
      <x:c r="O51" s="115"/>
      <x:c r="P51" s="115"/>
      <x:c r="Q51" s="115"/>
      <x:c r="R51" s="115"/>
      <x:c r="S51" s="115"/>
      <x:c r="T51" s="115"/>
      <x:c r="U51" s="115"/>
      <x:c r="V51" s="115"/>
      <x:c r="W51" s="115"/>
      <x:c r="X51" s="115"/>
      <x:c r="Y51" s="115"/>
      <x:c r="Z51" s="115"/>
      <x:c r="AA51" s="115"/>
      <x:c r="AB51" s="115"/>
      <x:c r="AC51" s="115"/>
      <x:c r="AD51" s="115"/>
      <x:c r="AE51" s="115"/>
      <x:c r="AF51" s="115"/>
      <x:c r="AG51" s="115"/>
      <x:c r="AH51" s="115"/>
      <x:c r="AI51" s="115"/>
      <x:c r="AJ51" s="115"/>
      <x:c r="AK51" s="115"/>
      <x:c r="AL51" s="115"/>
      <x:c r="AM51" s="115"/>
      <x:c r="AN51" s="115"/>
      <x:c r="AO51" s="115"/>
      <x:c r="AP51" s="115"/>
      <x:c r="AQ51" s="115"/>
      <x:c r="AR51" s="115"/>
      <x:c r="AS51" s="115"/>
      <x:c r="AT51" s="115"/>
      <x:c r="AU51" s="115"/>
      <x:c r="AV51" s="115"/>
      <x:c r="AW51" s="115"/>
      <x:c r="AX51" s="115"/>
      <x:c r="AY51" s="115"/>
      <x:c r="AZ51" s="115"/>
      <x:c r="BA51" s="115"/>
      <x:c r="BB51" s="115"/>
      <x:c r="BC51" s="115"/>
      <x:c r="BD51" s="115"/>
      <x:c r="BE51" s="115"/>
      <x:c r="BF51" s="115"/>
      <x:c r="BG51" s="115"/>
      <x:c r="BH51" s="115"/>
      <x:c r="BI51" s="115"/>
      <x:c r="BJ51" s="115"/>
      <x:c r="BK51" s="115"/>
      <x:c r="BL51" s="115"/>
      <x:c r="BM51" s="115"/>
      <x:c r="BN51" s="115"/>
      <x:c r="BO51" s="115"/>
      <x:c r="BP51" s="115"/>
      <x:c r="BQ51" s="115"/>
      <x:c r="BR51" s="115"/>
      <x:c r="BS51" s="115"/>
      <x:c r="BT51" s="115"/>
      <x:c r="BU51" s="115"/>
      <x:c r="BV51" s="115"/>
      <x:c r="BW51" s="115"/>
      <x:c r="BX51" s="115"/>
      <x:c r="BY51" s="115"/>
      <x:c r="BZ51" s="115"/>
      <x:c r="CA51" s="115"/>
      <x:c r="CB51" s="116"/>
      <x:c r="CC51" s="141" t="str">
        <x:f>IF(COUNT(G51:P51)=0,"",AVERAGE(G51:P51)*4)</x:f>
      </x:c>
      <x:c r="CD51" s="178" t="str">
        <x:f>IF(COUNT(Q51:Z51)=0,"",AVERAGE(Q51:Z51)*4)</x:f>
      </x:c>
      <x:c r="CE51" s="178" t="str">
        <x:f>IF(COUNT(AA51:AJ51)=0,"",AVERAGE(AA51:AJ51)*4)</x:f>
      </x:c>
      <x:c r="CF51" s="178" t="str">
        <x:f>IF(COUNT(AK51:AR51)=0,"",AVERAGE(AK51:AR51)*4)</x:f>
      </x:c>
      <x:c r="CG51" s="178" t="str">
        <x:f>IF(COUNT(AS51:AY51)=0,"",AVERAGE(AS51:AY51)*4)</x:f>
      </x:c>
      <x:c r="CH51" s="178" t="str">
        <x:f>IF(COUNT(AZ51:BG51)=0,"",AVERAGE(AZ51:BG51)*4)</x:f>
      </x:c>
      <x:c r="CI51" s="178" t="str">
        <x:f>IF(COUNT(BH51:BN51)=0,"",AVERAGE(BH51:BN51)*4)</x:f>
      </x:c>
      <x:c r="CJ51" s="178" t="str">
        <x:f>IF(COUNT(BO51:BU51)=0,"",AVERAGE(BO51:BU51)*4)</x:f>
      </x:c>
      <x:c r="CK51" s="178" t="str">
        <x:f>IF(COUNT(BV51:CB51)=0,"",AVERAGE(BV51:CB51)*4)</x:f>
      </x:c>
      <x:c r="CL51" s="178" t="str">
        <x:f>IF(C51="","",IF(COUNT(G51:CB51)&lt;74,"",(CC51*'تنظیمات وزن‌دهی'!$C$5+CD51*'تنظیمات وزن‌دهی'!$C$6+CE51*'تنظیمات وزن‌دهی'!$C$7+CF51*'تنظیمات وزن‌دهی'!$C$8+CG51*'تنظیمات وزن‌دهی'!$C$9+CH51*'تنظیمات وزن‌دهی'!$C$10+CI51*'تنظیمات وزن‌دهی'!$C$11+CJ51*'تنظیمات وزن‌دهی'!$C$12+CK51*'تنظیمات وزن‌دهی'!$C$13)/100))</x:f>
      </x:c>
      <x:c r="CM51" s="178" t="str">
        <x:f>IF(C51="","",IF(COUNT(G51:CB51)=0,"",IF(COUNT(G51:CB51)&lt;74,"موقت - اطلاعات ناقص",IF(CL51&gt;=17,"عالی",IF(CL51&gt;=14,"خوب",IF(CL51&gt;=10,"متوسط","ضعیف"))))))</x:f>
      </x:c>
      <x:c r="CN51" s="178" t="n">
        <x:v>11</x:v>
      </x:c>
      <x:c r="CO51" s="142" t="n">
        <x:f>IF(C51="","",COUNT(G51:CB51)/74)</x:f>
        <x:v>0</x:v>
      </x:c>
      <x:c r="CP51" s="245"/>
    </x:row>
    <x:row r="52">
      <x:c r="A52" s="165" t="n">
        <x:v>48</x:v>
      </x:c>
      <x:c r="B52" s="233" t="str">
        <x:v>خرداد</x:v>
      </x:c>
      <x:c r="C52" s="233" t="n">
        <x:f>IF('دانش‌آموزان'!E8="","",'دانش‌آموزان'!B8)</x:f>
        <x:v>4</x:v>
      </x:c>
      <x:c r="D52" s="233" t="str">
        <x:f>IF('دانش‌آموزان'!C8="","",'دانش‌آموزان'!C8)</x:f>
        <x:v>4000000047</x:v>
      </x:c>
      <x:c r="E52" s="233" t="str">
        <x:f>IF('دانش‌آموزان'!E8="","",'دانش‌آموزان'!E8&amp;" "&amp;'دانش‌آموزان'!F8)</x:f>
        <x:v>زهرا محمدی</x:v>
      </x:c>
      <x:c r="F52" s="166" t="str">
        <x:f>IF('دانش‌آموزان'!I8="","",'دانش‌آموزان'!I8)</x:f>
        <x:v>sample-7-a</x:v>
      </x:c>
      <x:c r="G52" s="114"/>
      <x:c r="H52" s="115"/>
      <x:c r="I52" s="115"/>
      <x:c r="J52" s="115"/>
      <x:c r="K52" s="115"/>
      <x:c r="L52" s="115"/>
      <x:c r="M52" s="115"/>
      <x:c r="N52" s="115"/>
      <x:c r="O52" s="115"/>
      <x:c r="P52" s="115"/>
      <x:c r="Q52" s="115"/>
      <x:c r="R52" s="115"/>
      <x:c r="S52" s="115"/>
      <x:c r="T52" s="115"/>
      <x:c r="U52" s="115"/>
      <x:c r="V52" s="115"/>
      <x:c r="W52" s="115"/>
      <x:c r="X52" s="115"/>
      <x:c r="Y52" s="115"/>
      <x:c r="Z52" s="115"/>
      <x:c r="AA52" s="115"/>
      <x:c r="AB52" s="115"/>
      <x:c r="AC52" s="115"/>
      <x:c r="AD52" s="115"/>
      <x:c r="AE52" s="115"/>
      <x:c r="AF52" s="115"/>
      <x:c r="AG52" s="115"/>
      <x:c r="AH52" s="115"/>
      <x:c r="AI52" s="115"/>
      <x:c r="AJ52" s="115"/>
      <x:c r="AK52" s="115"/>
      <x:c r="AL52" s="115"/>
      <x:c r="AM52" s="115"/>
      <x:c r="AN52" s="115"/>
      <x:c r="AO52" s="115"/>
      <x:c r="AP52" s="115"/>
      <x:c r="AQ52" s="115"/>
      <x:c r="AR52" s="115"/>
      <x:c r="AS52" s="115"/>
      <x:c r="AT52" s="115"/>
      <x:c r="AU52" s="115"/>
      <x:c r="AV52" s="115"/>
      <x:c r="AW52" s="115"/>
      <x:c r="AX52" s="115"/>
      <x:c r="AY52" s="115"/>
      <x:c r="AZ52" s="115"/>
      <x:c r="BA52" s="115"/>
      <x:c r="BB52" s="115"/>
      <x:c r="BC52" s="115"/>
      <x:c r="BD52" s="115"/>
      <x:c r="BE52" s="115"/>
      <x:c r="BF52" s="115"/>
      <x:c r="BG52" s="115"/>
      <x:c r="BH52" s="115"/>
      <x:c r="BI52" s="115"/>
      <x:c r="BJ52" s="115"/>
      <x:c r="BK52" s="115"/>
      <x:c r="BL52" s="115"/>
      <x:c r="BM52" s="115"/>
      <x:c r="BN52" s="115"/>
      <x:c r="BO52" s="115"/>
      <x:c r="BP52" s="115"/>
      <x:c r="BQ52" s="115"/>
      <x:c r="BR52" s="115"/>
      <x:c r="BS52" s="115"/>
      <x:c r="BT52" s="115"/>
      <x:c r="BU52" s="115"/>
      <x:c r="BV52" s="115"/>
      <x:c r="BW52" s="115"/>
      <x:c r="BX52" s="115"/>
      <x:c r="BY52" s="115"/>
      <x:c r="BZ52" s="115"/>
      <x:c r="CA52" s="115"/>
      <x:c r="CB52" s="116"/>
      <x:c r="CC52" s="141" t="str">
        <x:f>IF(COUNT(G52:P52)=0,"",AVERAGE(G52:P52)*4)</x:f>
      </x:c>
      <x:c r="CD52" s="178" t="str">
        <x:f>IF(COUNT(Q52:Z52)=0,"",AVERAGE(Q52:Z52)*4)</x:f>
      </x:c>
      <x:c r="CE52" s="178" t="str">
        <x:f>IF(COUNT(AA52:AJ52)=0,"",AVERAGE(AA52:AJ52)*4)</x:f>
      </x:c>
      <x:c r="CF52" s="178" t="str">
        <x:f>IF(COUNT(AK52:AR52)=0,"",AVERAGE(AK52:AR52)*4)</x:f>
      </x:c>
      <x:c r="CG52" s="178" t="str">
        <x:f>IF(COUNT(AS52:AY52)=0,"",AVERAGE(AS52:AY52)*4)</x:f>
      </x:c>
      <x:c r="CH52" s="178" t="str">
        <x:f>IF(COUNT(AZ52:BG52)=0,"",AVERAGE(AZ52:BG52)*4)</x:f>
      </x:c>
      <x:c r="CI52" s="178" t="str">
        <x:f>IF(COUNT(BH52:BN52)=0,"",AVERAGE(BH52:BN52)*4)</x:f>
      </x:c>
      <x:c r="CJ52" s="178" t="str">
        <x:f>IF(COUNT(BO52:BU52)=0,"",AVERAGE(BO52:BU52)*4)</x:f>
      </x:c>
      <x:c r="CK52" s="178" t="str">
        <x:f>IF(COUNT(BV52:CB52)=0,"",AVERAGE(BV52:CB52)*4)</x:f>
      </x:c>
      <x:c r="CL52" s="178" t="str">
        <x:f>IF(C52="","",IF(COUNT(G52:CB52)&lt;74,"",(CC52*'تنظیمات وزن‌دهی'!$C$5+CD52*'تنظیمات وزن‌دهی'!$C$6+CE52*'تنظیمات وزن‌دهی'!$C$7+CF52*'تنظیمات وزن‌دهی'!$C$8+CG52*'تنظیمات وزن‌دهی'!$C$9+CH52*'تنظیمات وزن‌دهی'!$C$10+CI52*'تنظیمات وزن‌دهی'!$C$11+CJ52*'تنظیمات وزن‌دهی'!$C$12+CK52*'تنظیمات وزن‌دهی'!$C$13)/100))</x:f>
      </x:c>
      <x:c r="CM52" s="178" t="str">
        <x:f>IF(C52="","",IF(COUNT(G52:CB52)=0,"",IF(COUNT(G52:CB52)&lt;74,"موقت - اطلاعات ناقص",IF(CL52&gt;=17,"عالی",IF(CL52&gt;=14,"خوب",IF(CL52&gt;=10,"متوسط","ضعیف"))))))</x:f>
      </x:c>
      <x:c r="CN52" s="178" t="n">
        <x:v>12</x:v>
      </x:c>
      <x:c r="CO52" s="142" t="n">
        <x:f>IF(C52="","",COUNT(G52:CB52)/74)</x:f>
        <x:v>0</x:v>
      </x:c>
      <x:c r="CP52" s="245"/>
    </x:row>
    <x:row r="53">
      <x:c r="A53" s="165" t="n">
        <x:v>49</x:v>
      </x:c>
      <x:c r="B53" s="233" t="str">
        <x:v>تیر</x:v>
      </x:c>
      <x:c r="C53" s="233" t="n">
        <x:f>IF('دانش‌آموزان'!E9="","",'دانش‌آموزان'!B9)</x:f>
        <x:v>5</x:v>
      </x:c>
      <x:c r="D53" s="233" t="str">
        <x:f>IF('دانش‌آموزان'!C9="","",'دانش‌آموزان'!C9)</x:f>
        <x:v>4000000055</x:v>
      </x:c>
      <x:c r="E53" s="233" t="str">
        <x:f>IF('دانش‌آموزان'!E9="","",'دانش‌آموزان'!E9&amp;" "&amp;'دانش‌آموزان'!F9)</x:f>
        <x:v>محمد قاسمی</x:v>
      </x:c>
      <x:c r="F53" s="166" t="str">
        <x:f>IF('دانش‌آموزان'!I9="","",'دانش‌آموزان'!I9)</x:f>
        <x:v>sample-7-a</x:v>
      </x:c>
      <x:c r="G53" s="114" t="n">
        <x:v>3</x:v>
      </x:c>
      <x:c r="H53" s="115" t="n">
        <x:v>4</x:v>
      </x:c>
      <x:c r="I53" s="115" t="n">
        <x:v>2</x:v>
      </x:c>
      <x:c r="J53" s="115" t="n">
        <x:v>4</x:v>
      </x:c>
      <x:c r="K53" s="115" t="n">
        <x:v>5</x:v>
      </x:c>
      <x:c r="L53" s="115" t="n">
        <x:v>4</x:v>
      </x:c>
      <x:c r="M53" s="115" t="n">
        <x:v>5</x:v>
      </x:c>
      <x:c r="N53" s="115" t="n">
        <x:v>3</x:v>
      </x:c>
      <x:c r="O53" s="115" t="n">
        <x:v>5</x:v>
      </x:c>
      <x:c r="P53" s="115" t="n">
        <x:v>3</x:v>
      </x:c>
      <x:c r="Q53" s="115" t="n">
        <x:v>4</x:v>
      </x:c>
      <x:c r="R53" s="115" t="n">
        <x:v>3</x:v>
      </x:c>
      <x:c r="S53" s="115" t="n">
        <x:v>4</x:v>
      </x:c>
      <x:c r="T53" s="115" t="n">
        <x:v>2</x:v>
      </x:c>
      <x:c r="U53" s="115" t="n">
        <x:v>4</x:v>
      </x:c>
      <x:c r="V53" s="115" t="n">
        <x:v>5</x:v>
      </x:c>
      <x:c r="W53" s="115" t="n">
        <x:v>4</x:v>
      </x:c>
      <x:c r="X53" s="115" t="n">
        <x:v>5</x:v>
      </x:c>
      <x:c r="Y53" s="115" t="n">
        <x:v>3</x:v>
      </x:c>
      <x:c r="Z53" s="115" t="n">
        <x:v>5</x:v>
      </x:c>
      <x:c r="AA53" s="115" t="n">
        <x:v>3</x:v>
      </x:c>
      <x:c r="AB53" s="115" t="n">
        <x:v>4</x:v>
      </x:c>
      <x:c r="AC53" s="115" t="n">
        <x:v>3</x:v>
      </x:c>
      <x:c r="AD53" s="115" t="n">
        <x:v>4</x:v>
      </x:c>
      <x:c r="AE53" s="115" t="n">
        <x:v>2</x:v>
      </x:c>
      <x:c r="AF53" s="115" t="n">
        <x:v>4</x:v>
      </x:c>
      <x:c r="AG53" s="115" t="n">
        <x:v>5</x:v>
      </x:c>
      <x:c r="AH53" s="115" t="n">
        <x:v>4</x:v>
      </x:c>
      <x:c r="AI53" s="115" t="n">
        <x:v>5</x:v>
      </x:c>
      <x:c r="AJ53" s="115" t="n">
        <x:v>3</x:v>
      </x:c>
      <x:c r="AK53" s="115" t="n">
        <x:v>5</x:v>
      </x:c>
      <x:c r="AL53" s="115" t="n">
        <x:v>3</x:v>
      </x:c>
      <x:c r="AM53" s="115" t="n">
        <x:v>4</x:v>
      </x:c>
      <x:c r="AN53" s="115" t="n">
        <x:v>3</x:v>
      </x:c>
      <x:c r="AO53" s="115" t="n">
        <x:v>4</x:v>
      </x:c>
      <x:c r="AP53" s="115" t="n">
        <x:v>2</x:v>
      </x:c>
      <x:c r="AQ53" s="115" t="n">
        <x:v>4</x:v>
      </x:c>
      <x:c r="AR53" s="115" t="n">
        <x:v>5</x:v>
      </x:c>
      <x:c r="AS53" s="115" t="n">
        <x:v>4</x:v>
      </x:c>
      <x:c r="AT53" s="115" t="n">
        <x:v>5</x:v>
      </x:c>
      <x:c r="AU53" s="115" t="n">
        <x:v>3</x:v>
      </x:c>
      <x:c r="AV53" s="115" t="n">
        <x:v>5</x:v>
      </x:c>
      <x:c r="AW53" s="115" t="n">
        <x:v>3</x:v>
      </x:c>
      <x:c r="AX53" s="115" t="n">
        <x:v>4</x:v>
      </x:c>
      <x:c r="AY53" s="115" t="n">
        <x:v>3</x:v>
      </x:c>
      <x:c r="AZ53" s="115" t="n">
        <x:v>4</x:v>
      </x:c>
      <x:c r="BA53" s="115" t="n">
        <x:v>2</x:v>
      </x:c>
      <x:c r="BB53" s="115" t="n">
        <x:v>4</x:v>
      </x:c>
      <x:c r="BC53" s="115" t="n">
        <x:v>5</x:v>
      </x:c>
      <x:c r="BD53" s="115" t="n">
        <x:v>4</x:v>
      </x:c>
      <x:c r="BE53" s="115" t="n">
        <x:v>5</x:v>
      </x:c>
      <x:c r="BF53" s="115" t="n">
        <x:v>3</x:v>
      </x:c>
      <x:c r="BG53" s="115" t="n">
        <x:v>5</x:v>
      </x:c>
      <x:c r="BH53" s="115" t="n">
        <x:v>3</x:v>
      </x:c>
      <x:c r="BI53" s="115" t="n">
        <x:v>4</x:v>
      </x:c>
      <x:c r="BJ53" s="115" t="n">
        <x:v>3</x:v>
      </x:c>
      <x:c r="BK53" s="115" t="n">
        <x:v>4</x:v>
      </x:c>
      <x:c r="BL53" s="115" t="n">
        <x:v>2</x:v>
      </x:c>
      <x:c r="BM53" s="115" t="n">
        <x:v>4</x:v>
      </x:c>
      <x:c r="BN53" s="115" t="n">
        <x:v>5</x:v>
      </x:c>
      <x:c r="BO53" s="115" t="n">
        <x:v>4</x:v>
      </x:c>
      <x:c r="BP53" s="115" t="n">
        <x:v>5</x:v>
      </x:c>
      <x:c r="BQ53" s="115" t="n">
        <x:v>3</x:v>
      </x:c>
      <x:c r="BR53" s="115" t="n">
        <x:v>5</x:v>
      </x:c>
      <x:c r="BS53" s="115" t="n">
        <x:v>3</x:v>
      </x:c>
      <x:c r="BT53" s="115" t="n">
        <x:v>4</x:v>
      </x:c>
      <x:c r="BU53" s="115" t="n">
        <x:v>3</x:v>
      </x:c>
      <x:c r="BV53" s="115" t="n">
        <x:v>4</x:v>
      </x:c>
      <x:c r="BW53" s="115" t="n">
        <x:v>2</x:v>
      </x:c>
      <x:c r="BX53" s="115" t="n">
        <x:v>4</x:v>
      </x:c>
      <x:c r="BY53" s="115" t="n">
        <x:v>5</x:v>
      </x:c>
      <x:c r="BZ53" s="115" t="n">
        <x:v>4</x:v>
      </x:c>
      <x:c r="CA53" s="115" t="n">
        <x:v>5</x:v>
      </x:c>
      <x:c r="CB53" s="116" t="n">
        <x:v>3</x:v>
      </x:c>
      <x:c r="CC53" s="141" t="n">
        <x:f>IF(COUNT(G53:P53)=0,"",AVERAGE(G53:P53)*4)</x:f>
        <x:v>15.2</x:v>
      </x:c>
      <x:c r="CD53" s="178" t="n">
        <x:f>IF(COUNT(Q53:Z53)=0,"",AVERAGE(Q53:Z53)*4)</x:f>
        <x:v>15.6</x:v>
      </x:c>
      <x:c r="CE53" s="178" t="n">
        <x:f>IF(COUNT(AA53:AJ53)=0,"",AVERAGE(AA53:AJ53)*4)</x:f>
        <x:v>14.8</x:v>
      </x:c>
      <x:c r="CF53" s="178" t="n">
        <x:f>IF(COUNT(AK53:AR53)=0,"",AVERAGE(AK53:AR53)*4)</x:f>
        <x:v>15</x:v>
      </x:c>
      <x:c r="CG53" s="178" t="n">
        <x:f>IF(COUNT(AS53:AY53)=0,"",AVERAGE(AS53:AY53)*4)</x:f>
        <x:v>15.428571428571429</x:v>
      </x:c>
      <x:c r="CH53" s="178" t="n">
        <x:f>IF(COUNT(AZ53:BG53)=0,"",AVERAGE(AZ53:BG53)*4)</x:f>
        <x:v>16</x:v>
      </x:c>
      <x:c r="CI53" s="178" t="n">
        <x:f>IF(COUNT(BH53:BN53)=0,"",AVERAGE(BH53:BN53)*4)</x:f>
        <x:v>14.285714285714286</x:v>
      </x:c>
      <x:c r="CJ53" s="178" t="n">
        <x:f>IF(COUNT(BO53:BU53)=0,"",AVERAGE(BO53:BU53)*4)</x:f>
        <x:v>15.428571428571429</x:v>
      </x:c>
      <x:c r="CK53" s="178" t="n">
        <x:f>IF(COUNT(BV53:CB53)=0,"",AVERAGE(BV53:CB53)*4)</x:f>
        <x:v>15.428571428571429</x:v>
      </x:c>
      <x:c r="CL53" s="178" t="n">
        <x:f>IF(C53="","",IF(COUNT(G53:CB53)&lt;74,"",(CC53*'تنظیمات وزن‌دهی'!$C$5+CD53*'تنظیمات وزن‌دهی'!$C$6+CE53*'تنظیمات وزن‌دهی'!$C$7+CF53*'تنظیمات وزن‌دهی'!$C$8+CG53*'تنظیمات وزن‌دهی'!$C$9+CH53*'تنظیمات وزن‌دهی'!$C$10+CI53*'تنظیمات وزن‌دهی'!$C$11+CJ53*'تنظیمات وزن‌دهی'!$C$12+CK53*'تنظیمات وزن‌دهی'!$C$13)/100))</x:f>
        <x:v>15.215714285714286</x:v>
      </x:c>
      <x:c r="CM53" s="178" t="str">
        <x:f>IF(C53="","",IF(COUNT(G53:CB53)=0,"",IF(COUNT(G53:CB53)&lt;74,"موقت - اطلاعات ناقص",IF(CL53&gt;=17,"عالی",IF(CL53&gt;=14,"خوب",IF(CL53&gt;=10,"متوسط","ضعیف"))))))</x:f>
        <x:v>خوب</x:v>
      </x:c>
      <x:c r="CN53" s="178" t="n">
        <x:v>1</x:v>
      </x:c>
      <x:c r="CO53" s="142" t="n">
        <x:f>IF(C53="","",COUNT(G53:CB53)/74)</x:f>
        <x:v>1</x:v>
      </x:c>
      <x:c r="CP53" s="245" t="str">
        <x:v>داده نمونه کامل برای ماه تیر - دانش‌آموز شماره 5</x:v>
      </x:c>
    </x:row>
    <x:row r="54">
      <x:c r="A54" s="165" t="n">
        <x:v>50</x:v>
      </x:c>
      <x:c r="B54" s="233" t="str">
        <x:v>مرداد</x:v>
      </x:c>
      <x:c r="C54" s="233" t="n">
        <x:f>IF('دانش‌آموزان'!E9="","",'دانش‌آموزان'!B9)</x:f>
        <x:v>5</x:v>
      </x:c>
      <x:c r="D54" s="233" t="str">
        <x:f>IF('دانش‌آموزان'!C9="","",'دانش‌آموزان'!C9)</x:f>
        <x:v>4000000055</x:v>
      </x:c>
      <x:c r="E54" s="233" t="str">
        <x:f>IF('دانش‌آموزان'!E9="","",'دانش‌آموزان'!E9&amp;" "&amp;'دانش‌آموزان'!F9)</x:f>
        <x:v>محمد قاسمی</x:v>
      </x:c>
      <x:c r="F54" s="166" t="str">
        <x:f>IF('دانش‌آموزان'!I9="","",'دانش‌آموزان'!I9)</x:f>
        <x:v>sample-7-a</x:v>
      </x:c>
      <x:c r="G54" s="114"/>
      <x:c r="H54" s="115"/>
      <x:c r="I54" s="115"/>
      <x:c r="J54" s="115"/>
      <x:c r="K54" s="115"/>
      <x:c r="L54" s="115"/>
      <x:c r="M54" s="115"/>
      <x:c r="N54" s="115"/>
      <x:c r="O54" s="115"/>
      <x:c r="P54" s="115"/>
      <x:c r="Q54" s="115"/>
      <x:c r="R54" s="115"/>
      <x:c r="S54" s="115"/>
      <x:c r="T54" s="115"/>
      <x:c r="U54" s="115"/>
      <x:c r="V54" s="115"/>
      <x:c r="W54" s="115"/>
      <x:c r="X54" s="115"/>
      <x:c r="Y54" s="115"/>
      <x:c r="Z54" s="115"/>
      <x:c r="AA54" s="115"/>
      <x:c r="AB54" s="115"/>
      <x:c r="AC54" s="115"/>
      <x:c r="AD54" s="115"/>
      <x:c r="AE54" s="115"/>
      <x:c r="AF54" s="115"/>
      <x:c r="AG54" s="115"/>
      <x:c r="AH54" s="115"/>
      <x:c r="AI54" s="115"/>
      <x:c r="AJ54" s="115"/>
      <x:c r="AK54" s="115"/>
      <x:c r="AL54" s="115"/>
      <x:c r="AM54" s="115"/>
      <x:c r="AN54" s="115"/>
      <x:c r="AO54" s="115"/>
      <x:c r="AP54" s="115"/>
      <x:c r="AQ54" s="115"/>
      <x:c r="AR54" s="115"/>
      <x:c r="AS54" s="115"/>
      <x:c r="AT54" s="115"/>
      <x:c r="AU54" s="115"/>
      <x:c r="AV54" s="115"/>
      <x:c r="AW54" s="115"/>
      <x:c r="AX54" s="115"/>
      <x:c r="AY54" s="115"/>
      <x:c r="AZ54" s="115"/>
      <x:c r="BA54" s="115"/>
      <x:c r="BB54" s="115"/>
      <x:c r="BC54" s="115"/>
      <x:c r="BD54" s="115"/>
      <x:c r="BE54" s="115"/>
      <x:c r="BF54" s="115"/>
      <x:c r="BG54" s="115"/>
      <x:c r="BH54" s="115"/>
      <x:c r="BI54" s="115"/>
      <x:c r="BJ54" s="115"/>
      <x:c r="BK54" s="115"/>
      <x:c r="BL54" s="115"/>
      <x:c r="BM54" s="115"/>
      <x:c r="BN54" s="115"/>
      <x:c r="BO54" s="115"/>
      <x:c r="BP54" s="115"/>
      <x:c r="BQ54" s="115"/>
      <x:c r="BR54" s="115"/>
      <x:c r="BS54" s="115"/>
      <x:c r="BT54" s="115"/>
      <x:c r="BU54" s="115"/>
      <x:c r="BV54" s="115"/>
      <x:c r="BW54" s="115"/>
      <x:c r="BX54" s="115"/>
      <x:c r="BY54" s="115"/>
      <x:c r="BZ54" s="115"/>
      <x:c r="CA54" s="115"/>
      <x:c r="CB54" s="116"/>
      <x:c r="CC54" s="141" t="str">
        <x:f>IF(COUNT(G54:P54)=0,"",AVERAGE(G54:P54)*4)</x:f>
      </x:c>
      <x:c r="CD54" s="178" t="str">
        <x:f>IF(COUNT(Q54:Z54)=0,"",AVERAGE(Q54:Z54)*4)</x:f>
      </x:c>
      <x:c r="CE54" s="178" t="str">
        <x:f>IF(COUNT(AA54:AJ54)=0,"",AVERAGE(AA54:AJ54)*4)</x:f>
      </x:c>
      <x:c r="CF54" s="178" t="str">
        <x:f>IF(COUNT(AK54:AR54)=0,"",AVERAGE(AK54:AR54)*4)</x:f>
      </x:c>
      <x:c r="CG54" s="178" t="str">
        <x:f>IF(COUNT(AS54:AY54)=0,"",AVERAGE(AS54:AY54)*4)</x:f>
      </x:c>
      <x:c r="CH54" s="178" t="str">
        <x:f>IF(COUNT(AZ54:BG54)=0,"",AVERAGE(AZ54:BG54)*4)</x:f>
      </x:c>
      <x:c r="CI54" s="178" t="str">
        <x:f>IF(COUNT(BH54:BN54)=0,"",AVERAGE(BH54:BN54)*4)</x:f>
      </x:c>
      <x:c r="CJ54" s="178" t="str">
        <x:f>IF(COUNT(BO54:BU54)=0,"",AVERAGE(BO54:BU54)*4)</x:f>
      </x:c>
      <x:c r="CK54" s="178" t="str">
        <x:f>IF(COUNT(BV54:CB54)=0,"",AVERAGE(BV54:CB54)*4)</x:f>
      </x:c>
      <x:c r="CL54" s="178" t="str">
        <x:f>IF(C54="","",IF(COUNT(G54:CB54)&lt;74,"",(CC54*'تنظیمات وزن‌دهی'!$C$5+CD54*'تنظیمات وزن‌دهی'!$C$6+CE54*'تنظیمات وزن‌دهی'!$C$7+CF54*'تنظیمات وزن‌دهی'!$C$8+CG54*'تنظیمات وزن‌دهی'!$C$9+CH54*'تنظیمات وزن‌دهی'!$C$10+CI54*'تنظیمات وزن‌دهی'!$C$11+CJ54*'تنظیمات وزن‌دهی'!$C$12+CK54*'تنظیمات وزن‌دهی'!$C$13)/100))</x:f>
      </x:c>
      <x:c r="CM54" s="178" t="str">
        <x:f>IF(C54="","",IF(COUNT(G54:CB54)=0,"",IF(COUNT(G54:CB54)&lt;74,"موقت - اطلاعات ناقص",IF(CL54&gt;=17,"عالی",IF(CL54&gt;=14,"خوب",IF(CL54&gt;=10,"متوسط","ضعیف"))))))</x:f>
      </x:c>
      <x:c r="CN54" s="178" t="n">
        <x:v>2</x:v>
      </x:c>
      <x:c r="CO54" s="142" t="n">
        <x:f>IF(C54="","",COUNT(G54:CB54)/74)</x:f>
        <x:v>0</x:v>
      </x:c>
      <x:c r="CP54" s="245"/>
    </x:row>
    <x:row r="55">
      <x:c r="A55" s="165" t="n">
        <x:v>51</x:v>
      </x:c>
      <x:c r="B55" s="233" t="str">
        <x:v>شهریور</x:v>
      </x:c>
      <x:c r="C55" s="233" t="n">
        <x:f>IF('دانش‌آموزان'!E9="","",'دانش‌آموزان'!B9)</x:f>
        <x:v>5</x:v>
      </x:c>
      <x:c r="D55" s="233" t="str">
        <x:f>IF('دانش‌آموزان'!C9="","",'دانش‌آموزان'!C9)</x:f>
        <x:v>4000000055</x:v>
      </x:c>
      <x:c r="E55" s="233" t="str">
        <x:f>IF('دانش‌آموزان'!E9="","",'دانش‌آموزان'!E9&amp;" "&amp;'دانش‌آموزان'!F9)</x:f>
        <x:v>محمد قاسمی</x:v>
      </x:c>
      <x:c r="F55" s="166" t="str">
        <x:f>IF('دانش‌آموزان'!I9="","",'دانش‌آموزان'!I9)</x:f>
        <x:v>sample-7-a</x:v>
      </x:c>
      <x:c r="G55" s="114"/>
      <x:c r="H55" s="115"/>
      <x:c r="I55" s="115"/>
      <x:c r="J55" s="115"/>
      <x:c r="K55" s="115"/>
      <x:c r="L55" s="115"/>
      <x:c r="M55" s="115"/>
      <x:c r="N55" s="115"/>
      <x:c r="O55" s="115"/>
      <x:c r="P55" s="115"/>
      <x:c r="Q55" s="115"/>
      <x:c r="R55" s="115"/>
      <x:c r="S55" s="115"/>
      <x:c r="T55" s="115"/>
      <x:c r="U55" s="115"/>
      <x:c r="V55" s="115"/>
      <x:c r="W55" s="115"/>
      <x:c r="X55" s="115"/>
      <x:c r="Y55" s="115"/>
      <x:c r="Z55" s="115"/>
      <x:c r="AA55" s="115"/>
      <x:c r="AB55" s="115"/>
      <x:c r="AC55" s="115"/>
      <x:c r="AD55" s="115"/>
      <x:c r="AE55" s="115"/>
      <x:c r="AF55" s="115"/>
      <x:c r="AG55" s="115"/>
      <x:c r="AH55" s="115"/>
      <x:c r="AI55" s="115"/>
      <x:c r="AJ55" s="115"/>
      <x:c r="AK55" s="115"/>
      <x:c r="AL55" s="115"/>
      <x:c r="AM55" s="115"/>
      <x:c r="AN55" s="115"/>
      <x:c r="AO55" s="115"/>
      <x:c r="AP55" s="115"/>
      <x:c r="AQ55" s="115"/>
      <x:c r="AR55" s="115"/>
      <x:c r="AS55" s="115"/>
      <x:c r="AT55" s="115"/>
      <x:c r="AU55" s="115"/>
      <x:c r="AV55" s="115"/>
      <x:c r="AW55" s="115"/>
      <x:c r="AX55" s="115"/>
      <x:c r="AY55" s="115"/>
      <x:c r="AZ55" s="115"/>
      <x:c r="BA55" s="115"/>
      <x:c r="BB55" s="115"/>
      <x:c r="BC55" s="115"/>
      <x:c r="BD55" s="115"/>
      <x:c r="BE55" s="115"/>
      <x:c r="BF55" s="115"/>
      <x:c r="BG55" s="115"/>
      <x:c r="BH55" s="115"/>
      <x:c r="BI55" s="115"/>
      <x:c r="BJ55" s="115"/>
      <x:c r="BK55" s="115"/>
      <x:c r="BL55" s="115"/>
      <x:c r="BM55" s="115"/>
      <x:c r="BN55" s="115"/>
      <x:c r="BO55" s="115"/>
      <x:c r="BP55" s="115"/>
      <x:c r="BQ55" s="115"/>
      <x:c r="BR55" s="115"/>
      <x:c r="BS55" s="115"/>
      <x:c r="BT55" s="115"/>
      <x:c r="BU55" s="115"/>
      <x:c r="BV55" s="115"/>
      <x:c r="BW55" s="115"/>
      <x:c r="BX55" s="115"/>
      <x:c r="BY55" s="115"/>
      <x:c r="BZ55" s="115"/>
      <x:c r="CA55" s="115"/>
      <x:c r="CB55" s="116"/>
      <x:c r="CC55" s="141" t="str">
        <x:f>IF(COUNT(G55:P55)=0,"",AVERAGE(G55:P55)*4)</x:f>
      </x:c>
      <x:c r="CD55" s="178" t="str">
        <x:f>IF(COUNT(Q55:Z55)=0,"",AVERAGE(Q55:Z55)*4)</x:f>
      </x:c>
      <x:c r="CE55" s="178" t="str">
        <x:f>IF(COUNT(AA55:AJ55)=0,"",AVERAGE(AA55:AJ55)*4)</x:f>
      </x:c>
      <x:c r="CF55" s="178" t="str">
        <x:f>IF(COUNT(AK55:AR55)=0,"",AVERAGE(AK55:AR55)*4)</x:f>
      </x:c>
      <x:c r="CG55" s="178" t="str">
        <x:f>IF(COUNT(AS55:AY55)=0,"",AVERAGE(AS55:AY55)*4)</x:f>
      </x:c>
      <x:c r="CH55" s="178" t="str">
        <x:f>IF(COUNT(AZ55:BG55)=0,"",AVERAGE(AZ55:BG55)*4)</x:f>
      </x:c>
      <x:c r="CI55" s="178" t="str">
        <x:f>IF(COUNT(BH55:BN55)=0,"",AVERAGE(BH55:BN55)*4)</x:f>
      </x:c>
      <x:c r="CJ55" s="178" t="str">
        <x:f>IF(COUNT(BO55:BU55)=0,"",AVERAGE(BO55:BU55)*4)</x:f>
      </x:c>
      <x:c r="CK55" s="178" t="str">
        <x:f>IF(COUNT(BV55:CB55)=0,"",AVERAGE(BV55:CB55)*4)</x:f>
      </x:c>
      <x:c r="CL55" s="178" t="str">
        <x:f>IF(C55="","",IF(COUNT(G55:CB55)&lt;74,"",(CC55*'تنظیمات وزن‌دهی'!$C$5+CD55*'تنظیمات وزن‌دهی'!$C$6+CE55*'تنظیمات وزن‌دهی'!$C$7+CF55*'تنظیمات وزن‌دهی'!$C$8+CG55*'تنظیمات وزن‌دهی'!$C$9+CH55*'تنظیمات وزن‌دهی'!$C$10+CI55*'تنظیمات وزن‌دهی'!$C$11+CJ55*'تنظیمات وزن‌دهی'!$C$12+CK55*'تنظیمات وزن‌دهی'!$C$13)/100))</x:f>
      </x:c>
      <x:c r="CM55" s="178" t="str">
        <x:f>IF(C55="","",IF(COUNT(G55:CB55)=0,"",IF(COUNT(G55:CB55)&lt;74,"موقت - اطلاعات ناقص",IF(CL55&gt;=17,"عالی",IF(CL55&gt;=14,"خوب",IF(CL55&gt;=10,"متوسط","ضعیف"))))))</x:f>
      </x:c>
      <x:c r="CN55" s="178" t="n">
        <x:v>3</x:v>
      </x:c>
      <x:c r="CO55" s="142" t="n">
        <x:f>IF(C55="","",COUNT(G55:CB55)/74)</x:f>
        <x:v>0</x:v>
      </x:c>
      <x:c r="CP55" s="245"/>
    </x:row>
    <x:row r="56">
      <x:c r="A56" s="165" t="n">
        <x:v>52</x:v>
      </x:c>
      <x:c r="B56" s="233" t="str">
        <x:v>مهر</x:v>
      </x:c>
      <x:c r="C56" s="233" t="n">
        <x:f>IF('دانش‌آموزان'!E9="","",'دانش‌آموزان'!B9)</x:f>
        <x:v>5</x:v>
      </x:c>
      <x:c r="D56" s="233" t="str">
        <x:f>IF('دانش‌آموزان'!C9="","",'دانش‌آموزان'!C9)</x:f>
        <x:v>4000000055</x:v>
      </x:c>
      <x:c r="E56" s="233" t="str">
        <x:f>IF('دانش‌آموزان'!E9="","",'دانش‌آموزان'!E9&amp;" "&amp;'دانش‌آموزان'!F9)</x:f>
        <x:v>محمد قاسمی</x:v>
      </x:c>
      <x:c r="F56" s="166" t="str">
        <x:f>IF('دانش‌آموزان'!I9="","",'دانش‌آموزان'!I9)</x:f>
        <x:v>sample-7-a</x:v>
      </x:c>
      <x:c r="G56" s="114"/>
      <x:c r="H56" s="115"/>
      <x:c r="I56" s="115"/>
      <x:c r="J56" s="115"/>
      <x:c r="K56" s="115"/>
      <x:c r="L56" s="115"/>
      <x:c r="M56" s="115"/>
      <x:c r="N56" s="115"/>
      <x:c r="O56" s="115"/>
      <x:c r="P56" s="115"/>
      <x:c r="Q56" s="115"/>
      <x:c r="R56" s="115"/>
      <x:c r="S56" s="115"/>
      <x:c r="T56" s="115"/>
      <x:c r="U56" s="115"/>
      <x:c r="V56" s="115"/>
      <x:c r="W56" s="115"/>
      <x:c r="X56" s="115"/>
      <x:c r="Y56" s="115"/>
      <x:c r="Z56" s="115"/>
      <x:c r="AA56" s="115"/>
      <x:c r="AB56" s="115"/>
      <x:c r="AC56" s="115"/>
      <x:c r="AD56" s="115"/>
      <x:c r="AE56" s="115"/>
      <x:c r="AF56" s="115"/>
      <x:c r="AG56" s="115"/>
      <x:c r="AH56" s="115"/>
      <x:c r="AI56" s="115"/>
      <x:c r="AJ56" s="115"/>
      <x:c r="AK56" s="115"/>
      <x:c r="AL56" s="115"/>
      <x:c r="AM56" s="115"/>
      <x:c r="AN56" s="115"/>
      <x:c r="AO56" s="115"/>
      <x:c r="AP56" s="115"/>
      <x:c r="AQ56" s="115"/>
      <x:c r="AR56" s="115"/>
      <x:c r="AS56" s="115"/>
      <x:c r="AT56" s="115"/>
      <x:c r="AU56" s="115"/>
      <x:c r="AV56" s="115"/>
      <x:c r="AW56" s="115"/>
      <x:c r="AX56" s="115"/>
      <x:c r="AY56" s="115"/>
      <x:c r="AZ56" s="115"/>
      <x:c r="BA56" s="115"/>
      <x:c r="BB56" s="115"/>
      <x:c r="BC56" s="115"/>
      <x:c r="BD56" s="115"/>
      <x:c r="BE56" s="115"/>
      <x:c r="BF56" s="115"/>
      <x:c r="BG56" s="115"/>
      <x:c r="BH56" s="115"/>
      <x:c r="BI56" s="115"/>
      <x:c r="BJ56" s="115"/>
      <x:c r="BK56" s="115"/>
      <x:c r="BL56" s="115"/>
      <x:c r="BM56" s="115"/>
      <x:c r="BN56" s="115"/>
      <x:c r="BO56" s="115"/>
      <x:c r="BP56" s="115"/>
      <x:c r="BQ56" s="115"/>
      <x:c r="BR56" s="115"/>
      <x:c r="BS56" s="115"/>
      <x:c r="BT56" s="115"/>
      <x:c r="BU56" s="115"/>
      <x:c r="BV56" s="115"/>
      <x:c r="BW56" s="115"/>
      <x:c r="BX56" s="115"/>
      <x:c r="BY56" s="115"/>
      <x:c r="BZ56" s="115"/>
      <x:c r="CA56" s="115"/>
      <x:c r="CB56" s="116"/>
      <x:c r="CC56" s="141" t="str">
        <x:f>IF(COUNT(G56:P56)=0,"",AVERAGE(G56:P56)*4)</x:f>
      </x:c>
      <x:c r="CD56" s="178" t="str">
        <x:f>IF(COUNT(Q56:Z56)=0,"",AVERAGE(Q56:Z56)*4)</x:f>
      </x:c>
      <x:c r="CE56" s="178" t="str">
        <x:f>IF(COUNT(AA56:AJ56)=0,"",AVERAGE(AA56:AJ56)*4)</x:f>
      </x:c>
      <x:c r="CF56" s="178" t="str">
        <x:f>IF(COUNT(AK56:AR56)=0,"",AVERAGE(AK56:AR56)*4)</x:f>
      </x:c>
      <x:c r="CG56" s="178" t="str">
        <x:f>IF(COUNT(AS56:AY56)=0,"",AVERAGE(AS56:AY56)*4)</x:f>
      </x:c>
      <x:c r="CH56" s="178" t="str">
        <x:f>IF(COUNT(AZ56:BG56)=0,"",AVERAGE(AZ56:BG56)*4)</x:f>
      </x:c>
      <x:c r="CI56" s="178" t="str">
        <x:f>IF(COUNT(BH56:BN56)=0,"",AVERAGE(BH56:BN56)*4)</x:f>
      </x:c>
      <x:c r="CJ56" s="178" t="str">
        <x:f>IF(COUNT(BO56:BU56)=0,"",AVERAGE(BO56:BU56)*4)</x:f>
      </x:c>
      <x:c r="CK56" s="178" t="str">
        <x:f>IF(COUNT(BV56:CB56)=0,"",AVERAGE(BV56:CB56)*4)</x:f>
      </x:c>
      <x:c r="CL56" s="178" t="str">
        <x:f>IF(C56="","",IF(COUNT(G56:CB56)&lt;74,"",(CC56*'تنظیمات وزن‌دهی'!$C$5+CD56*'تنظیمات وزن‌دهی'!$C$6+CE56*'تنظیمات وزن‌دهی'!$C$7+CF56*'تنظیمات وزن‌دهی'!$C$8+CG56*'تنظیمات وزن‌دهی'!$C$9+CH56*'تنظیمات وزن‌دهی'!$C$10+CI56*'تنظیمات وزن‌دهی'!$C$11+CJ56*'تنظیمات وزن‌دهی'!$C$12+CK56*'تنظیمات وزن‌دهی'!$C$13)/100))</x:f>
      </x:c>
      <x:c r="CM56" s="178" t="str">
        <x:f>IF(C56="","",IF(COUNT(G56:CB56)=0,"",IF(COUNT(G56:CB56)&lt;74,"موقت - اطلاعات ناقص",IF(CL56&gt;=17,"عالی",IF(CL56&gt;=14,"خوب",IF(CL56&gt;=10,"متوسط","ضعیف"))))))</x:f>
      </x:c>
      <x:c r="CN56" s="178" t="n">
        <x:v>4</x:v>
      </x:c>
      <x:c r="CO56" s="142" t="n">
        <x:f>IF(C56="","",COUNT(G56:CB56)/74)</x:f>
        <x:v>0</x:v>
      </x:c>
      <x:c r="CP56" s="245"/>
    </x:row>
    <x:row r="57">
      <x:c r="A57" s="165" t="n">
        <x:v>53</x:v>
      </x:c>
      <x:c r="B57" s="233" t="str">
        <x:v>آبان</x:v>
      </x:c>
      <x:c r="C57" s="233" t="n">
        <x:f>IF('دانش‌آموزان'!E9="","",'دانش‌آموزان'!B9)</x:f>
        <x:v>5</x:v>
      </x:c>
      <x:c r="D57" s="233" t="str">
        <x:f>IF('دانش‌آموزان'!C9="","",'دانش‌آموزان'!C9)</x:f>
        <x:v>4000000055</x:v>
      </x:c>
      <x:c r="E57" s="233" t="str">
        <x:f>IF('دانش‌آموزان'!E9="","",'دانش‌آموزان'!E9&amp;" "&amp;'دانش‌آموزان'!F9)</x:f>
        <x:v>محمد قاسمی</x:v>
      </x:c>
      <x:c r="F57" s="166" t="str">
        <x:f>IF('دانش‌آموزان'!I9="","",'دانش‌آموزان'!I9)</x:f>
        <x:v>sample-7-a</x:v>
      </x:c>
      <x:c r="G57" s="114"/>
      <x:c r="H57" s="115"/>
      <x:c r="I57" s="115"/>
      <x:c r="J57" s="115"/>
      <x:c r="K57" s="115"/>
      <x:c r="L57" s="115"/>
      <x:c r="M57" s="115"/>
      <x:c r="N57" s="115"/>
      <x:c r="O57" s="115"/>
      <x:c r="P57" s="115"/>
      <x:c r="Q57" s="115"/>
      <x:c r="R57" s="115"/>
      <x:c r="S57" s="115"/>
      <x:c r="T57" s="115"/>
      <x:c r="U57" s="115"/>
      <x:c r="V57" s="115"/>
      <x:c r="W57" s="115"/>
      <x:c r="X57" s="115"/>
      <x:c r="Y57" s="115"/>
      <x:c r="Z57" s="115"/>
      <x:c r="AA57" s="115"/>
      <x:c r="AB57" s="115"/>
      <x:c r="AC57" s="115"/>
      <x:c r="AD57" s="115"/>
      <x:c r="AE57" s="115"/>
      <x:c r="AF57" s="115"/>
      <x:c r="AG57" s="115"/>
      <x:c r="AH57" s="115"/>
      <x:c r="AI57" s="115"/>
      <x:c r="AJ57" s="115"/>
      <x:c r="AK57" s="115"/>
      <x:c r="AL57" s="115"/>
      <x:c r="AM57" s="115"/>
      <x:c r="AN57" s="115"/>
      <x:c r="AO57" s="115"/>
      <x:c r="AP57" s="115"/>
      <x:c r="AQ57" s="115"/>
      <x:c r="AR57" s="115"/>
      <x:c r="AS57" s="115"/>
      <x:c r="AT57" s="115"/>
      <x:c r="AU57" s="115"/>
      <x:c r="AV57" s="115"/>
      <x:c r="AW57" s="115"/>
      <x:c r="AX57" s="115"/>
      <x:c r="AY57" s="115"/>
      <x:c r="AZ57" s="115"/>
      <x:c r="BA57" s="115"/>
      <x:c r="BB57" s="115"/>
      <x:c r="BC57" s="115"/>
      <x:c r="BD57" s="115"/>
      <x:c r="BE57" s="115"/>
      <x:c r="BF57" s="115"/>
      <x:c r="BG57" s="115"/>
      <x:c r="BH57" s="115"/>
      <x:c r="BI57" s="115"/>
      <x:c r="BJ57" s="115"/>
      <x:c r="BK57" s="115"/>
      <x:c r="BL57" s="115"/>
      <x:c r="BM57" s="115"/>
      <x:c r="BN57" s="115"/>
      <x:c r="BO57" s="115"/>
      <x:c r="BP57" s="115"/>
      <x:c r="BQ57" s="115"/>
      <x:c r="BR57" s="115"/>
      <x:c r="BS57" s="115"/>
      <x:c r="BT57" s="115"/>
      <x:c r="BU57" s="115"/>
      <x:c r="BV57" s="115"/>
      <x:c r="BW57" s="115"/>
      <x:c r="BX57" s="115"/>
      <x:c r="BY57" s="115"/>
      <x:c r="BZ57" s="115"/>
      <x:c r="CA57" s="115"/>
      <x:c r="CB57" s="116"/>
      <x:c r="CC57" s="141" t="str">
        <x:f>IF(COUNT(G57:P57)=0,"",AVERAGE(G57:P57)*4)</x:f>
      </x:c>
      <x:c r="CD57" s="178" t="str">
        <x:f>IF(COUNT(Q57:Z57)=0,"",AVERAGE(Q57:Z57)*4)</x:f>
      </x:c>
      <x:c r="CE57" s="178" t="str">
        <x:f>IF(COUNT(AA57:AJ57)=0,"",AVERAGE(AA57:AJ57)*4)</x:f>
      </x:c>
      <x:c r="CF57" s="178" t="str">
        <x:f>IF(COUNT(AK57:AR57)=0,"",AVERAGE(AK57:AR57)*4)</x:f>
      </x:c>
      <x:c r="CG57" s="178" t="str">
        <x:f>IF(COUNT(AS57:AY57)=0,"",AVERAGE(AS57:AY57)*4)</x:f>
      </x:c>
      <x:c r="CH57" s="178" t="str">
        <x:f>IF(COUNT(AZ57:BG57)=0,"",AVERAGE(AZ57:BG57)*4)</x:f>
      </x:c>
      <x:c r="CI57" s="178" t="str">
        <x:f>IF(COUNT(BH57:BN57)=0,"",AVERAGE(BH57:BN57)*4)</x:f>
      </x:c>
      <x:c r="CJ57" s="178" t="str">
        <x:f>IF(COUNT(BO57:BU57)=0,"",AVERAGE(BO57:BU57)*4)</x:f>
      </x:c>
      <x:c r="CK57" s="178" t="str">
        <x:f>IF(COUNT(BV57:CB57)=0,"",AVERAGE(BV57:CB57)*4)</x:f>
      </x:c>
      <x:c r="CL57" s="178" t="str">
        <x:f>IF(C57="","",IF(COUNT(G57:CB57)&lt;74,"",(CC57*'تنظیمات وزن‌دهی'!$C$5+CD57*'تنظیمات وزن‌دهی'!$C$6+CE57*'تنظیمات وزن‌دهی'!$C$7+CF57*'تنظیمات وزن‌دهی'!$C$8+CG57*'تنظیمات وزن‌دهی'!$C$9+CH57*'تنظیمات وزن‌دهی'!$C$10+CI57*'تنظیمات وزن‌دهی'!$C$11+CJ57*'تنظیمات وزن‌دهی'!$C$12+CK57*'تنظیمات وزن‌دهی'!$C$13)/100))</x:f>
      </x:c>
      <x:c r="CM57" s="178" t="str">
        <x:f>IF(C57="","",IF(COUNT(G57:CB57)=0,"",IF(COUNT(G57:CB57)&lt;74,"موقت - اطلاعات ناقص",IF(CL57&gt;=17,"عالی",IF(CL57&gt;=14,"خوب",IF(CL57&gt;=10,"متوسط","ضعیف"))))))</x:f>
      </x:c>
      <x:c r="CN57" s="178" t="n">
        <x:v>5</x:v>
      </x:c>
      <x:c r="CO57" s="142" t="n">
        <x:f>IF(C57="","",COUNT(G57:CB57)/74)</x:f>
        <x:v>0</x:v>
      </x:c>
      <x:c r="CP57" s="245"/>
    </x:row>
    <x:row r="58">
      <x:c r="A58" s="165" t="n">
        <x:v>54</x:v>
      </x:c>
      <x:c r="B58" s="233" t="str">
        <x:v>آذر</x:v>
      </x:c>
      <x:c r="C58" s="233" t="n">
        <x:f>IF('دانش‌آموزان'!E9="","",'دانش‌آموزان'!B9)</x:f>
        <x:v>5</x:v>
      </x:c>
      <x:c r="D58" s="233" t="str">
        <x:f>IF('دانش‌آموزان'!C9="","",'دانش‌آموزان'!C9)</x:f>
        <x:v>4000000055</x:v>
      </x:c>
      <x:c r="E58" s="233" t="str">
        <x:f>IF('دانش‌آموزان'!E9="","",'دانش‌آموزان'!E9&amp;" "&amp;'دانش‌آموزان'!F9)</x:f>
        <x:v>محمد قاسمی</x:v>
      </x:c>
      <x:c r="F58" s="166" t="str">
        <x:f>IF('دانش‌آموزان'!I9="","",'دانش‌آموزان'!I9)</x:f>
        <x:v>sample-7-a</x:v>
      </x:c>
      <x:c r="G58" s="114"/>
      <x:c r="H58" s="115"/>
      <x:c r="I58" s="115"/>
      <x:c r="J58" s="115"/>
      <x:c r="K58" s="115"/>
      <x:c r="L58" s="115"/>
      <x:c r="M58" s="115"/>
      <x:c r="N58" s="115"/>
      <x:c r="O58" s="115"/>
      <x:c r="P58" s="115"/>
      <x:c r="Q58" s="115"/>
      <x:c r="R58" s="115"/>
      <x:c r="S58" s="115"/>
      <x:c r="T58" s="115"/>
      <x:c r="U58" s="115"/>
      <x:c r="V58" s="115"/>
      <x:c r="W58" s="115"/>
      <x:c r="X58" s="115"/>
      <x:c r="Y58" s="115"/>
      <x:c r="Z58" s="115"/>
      <x:c r="AA58" s="115"/>
      <x:c r="AB58" s="115"/>
      <x:c r="AC58" s="115"/>
      <x:c r="AD58" s="115"/>
      <x:c r="AE58" s="115"/>
      <x:c r="AF58" s="115"/>
      <x:c r="AG58" s="115"/>
      <x:c r="AH58" s="115"/>
      <x:c r="AI58" s="115"/>
      <x:c r="AJ58" s="115"/>
      <x:c r="AK58" s="115"/>
      <x:c r="AL58" s="115"/>
      <x:c r="AM58" s="115"/>
      <x:c r="AN58" s="115"/>
      <x:c r="AO58" s="115"/>
      <x:c r="AP58" s="115"/>
      <x:c r="AQ58" s="115"/>
      <x:c r="AR58" s="115"/>
      <x:c r="AS58" s="115"/>
      <x:c r="AT58" s="115"/>
      <x:c r="AU58" s="115"/>
      <x:c r="AV58" s="115"/>
      <x:c r="AW58" s="115"/>
      <x:c r="AX58" s="115"/>
      <x:c r="AY58" s="115"/>
      <x:c r="AZ58" s="115"/>
      <x:c r="BA58" s="115"/>
      <x:c r="BB58" s="115"/>
      <x:c r="BC58" s="115"/>
      <x:c r="BD58" s="115"/>
      <x:c r="BE58" s="115"/>
      <x:c r="BF58" s="115"/>
      <x:c r="BG58" s="115"/>
      <x:c r="BH58" s="115"/>
      <x:c r="BI58" s="115"/>
      <x:c r="BJ58" s="115"/>
      <x:c r="BK58" s="115"/>
      <x:c r="BL58" s="115"/>
      <x:c r="BM58" s="115"/>
      <x:c r="BN58" s="115"/>
      <x:c r="BO58" s="115"/>
      <x:c r="BP58" s="115"/>
      <x:c r="BQ58" s="115"/>
      <x:c r="BR58" s="115"/>
      <x:c r="BS58" s="115"/>
      <x:c r="BT58" s="115"/>
      <x:c r="BU58" s="115"/>
      <x:c r="BV58" s="115"/>
      <x:c r="BW58" s="115"/>
      <x:c r="BX58" s="115"/>
      <x:c r="BY58" s="115"/>
      <x:c r="BZ58" s="115"/>
      <x:c r="CA58" s="115"/>
      <x:c r="CB58" s="116"/>
      <x:c r="CC58" s="141" t="str">
        <x:f>IF(COUNT(G58:P58)=0,"",AVERAGE(G58:P58)*4)</x:f>
      </x:c>
      <x:c r="CD58" s="178" t="str">
        <x:f>IF(COUNT(Q58:Z58)=0,"",AVERAGE(Q58:Z58)*4)</x:f>
      </x:c>
      <x:c r="CE58" s="178" t="str">
        <x:f>IF(COUNT(AA58:AJ58)=0,"",AVERAGE(AA58:AJ58)*4)</x:f>
      </x:c>
      <x:c r="CF58" s="178" t="str">
        <x:f>IF(COUNT(AK58:AR58)=0,"",AVERAGE(AK58:AR58)*4)</x:f>
      </x:c>
      <x:c r="CG58" s="178" t="str">
        <x:f>IF(COUNT(AS58:AY58)=0,"",AVERAGE(AS58:AY58)*4)</x:f>
      </x:c>
      <x:c r="CH58" s="178" t="str">
        <x:f>IF(COUNT(AZ58:BG58)=0,"",AVERAGE(AZ58:BG58)*4)</x:f>
      </x:c>
      <x:c r="CI58" s="178" t="str">
        <x:f>IF(COUNT(BH58:BN58)=0,"",AVERAGE(BH58:BN58)*4)</x:f>
      </x:c>
      <x:c r="CJ58" s="178" t="str">
        <x:f>IF(COUNT(BO58:BU58)=0,"",AVERAGE(BO58:BU58)*4)</x:f>
      </x:c>
      <x:c r="CK58" s="178" t="str">
        <x:f>IF(COUNT(BV58:CB58)=0,"",AVERAGE(BV58:CB58)*4)</x:f>
      </x:c>
      <x:c r="CL58" s="178" t="str">
        <x:f>IF(C58="","",IF(COUNT(G58:CB58)&lt;74,"",(CC58*'تنظیمات وزن‌دهی'!$C$5+CD58*'تنظیمات وزن‌دهی'!$C$6+CE58*'تنظیمات وزن‌دهی'!$C$7+CF58*'تنظیمات وزن‌دهی'!$C$8+CG58*'تنظیمات وزن‌دهی'!$C$9+CH58*'تنظیمات وزن‌دهی'!$C$10+CI58*'تنظیمات وزن‌دهی'!$C$11+CJ58*'تنظیمات وزن‌دهی'!$C$12+CK58*'تنظیمات وزن‌دهی'!$C$13)/100))</x:f>
      </x:c>
      <x:c r="CM58" s="178" t="str">
        <x:f>IF(C58="","",IF(COUNT(G58:CB58)=0,"",IF(COUNT(G58:CB58)&lt;74,"موقت - اطلاعات ناقص",IF(CL58&gt;=17,"عالی",IF(CL58&gt;=14,"خوب",IF(CL58&gt;=10,"متوسط","ضعیف"))))))</x:f>
      </x:c>
      <x:c r="CN58" s="178" t="n">
        <x:v>6</x:v>
      </x:c>
      <x:c r="CO58" s="142" t="n">
        <x:f>IF(C58="","",COUNT(G58:CB58)/74)</x:f>
        <x:v>0</x:v>
      </x:c>
      <x:c r="CP58" s="245"/>
    </x:row>
    <x:row r="59">
      <x:c r="A59" s="165" t="n">
        <x:v>55</x:v>
      </x:c>
      <x:c r="B59" s="233" t="str">
        <x:v>دی</x:v>
      </x:c>
      <x:c r="C59" s="233" t="n">
        <x:f>IF('دانش‌آموزان'!E9="","",'دانش‌آموزان'!B9)</x:f>
        <x:v>5</x:v>
      </x:c>
      <x:c r="D59" s="233" t="str">
        <x:f>IF('دانش‌آموزان'!C9="","",'دانش‌آموزان'!C9)</x:f>
        <x:v>4000000055</x:v>
      </x:c>
      <x:c r="E59" s="233" t="str">
        <x:f>IF('دانش‌آموزان'!E9="","",'دانش‌آموزان'!E9&amp;" "&amp;'دانش‌آموزان'!F9)</x:f>
        <x:v>محمد قاسمی</x:v>
      </x:c>
      <x:c r="F59" s="166" t="str">
        <x:f>IF('دانش‌آموزان'!I9="","",'دانش‌آموزان'!I9)</x:f>
        <x:v>sample-7-a</x:v>
      </x:c>
      <x:c r="G59" s="114"/>
      <x:c r="H59" s="115"/>
      <x:c r="I59" s="115"/>
      <x:c r="J59" s="115"/>
      <x:c r="K59" s="115"/>
      <x:c r="L59" s="115"/>
      <x:c r="M59" s="115"/>
      <x:c r="N59" s="115"/>
      <x:c r="O59" s="115"/>
      <x:c r="P59" s="115"/>
      <x:c r="Q59" s="115"/>
      <x:c r="R59" s="115"/>
      <x:c r="S59" s="115"/>
      <x:c r="T59" s="115"/>
      <x:c r="U59" s="115"/>
      <x:c r="V59" s="115"/>
      <x:c r="W59" s="115"/>
      <x:c r="X59" s="115"/>
      <x:c r="Y59" s="115"/>
      <x:c r="Z59" s="115"/>
      <x:c r="AA59" s="115"/>
      <x:c r="AB59" s="115"/>
      <x:c r="AC59" s="115"/>
      <x:c r="AD59" s="115"/>
      <x:c r="AE59" s="115"/>
      <x:c r="AF59" s="115"/>
      <x:c r="AG59" s="115"/>
      <x:c r="AH59" s="115"/>
      <x:c r="AI59" s="115"/>
      <x:c r="AJ59" s="115"/>
      <x:c r="AK59" s="115"/>
      <x:c r="AL59" s="115"/>
      <x:c r="AM59" s="115"/>
      <x:c r="AN59" s="115"/>
      <x:c r="AO59" s="115"/>
      <x:c r="AP59" s="115"/>
      <x:c r="AQ59" s="115"/>
      <x:c r="AR59" s="115"/>
      <x:c r="AS59" s="115"/>
      <x:c r="AT59" s="115"/>
      <x:c r="AU59" s="115"/>
      <x:c r="AV59" s="115"/>
      <x:c r="AW59" s="115"/>
      <x:c r="AX59" s="115"/>
      <x:c r="AY59" s="115"/>
      <x:c r="AZ59" s="115"/>
      <x:c r="BA59" s="115"/>
      <x:c r="BB59" s="115"/>
      <x:c r="BC59" s="115"/>
      <x:c r="BD59" s="115"/>
      <x:c r="BE59" s="115"/>
      <x:c r="BF59" s="115"/>
      <x:c r="BG59" s="115"/>
      <x:c r="BH59" s="115"/>
      <x:c r="BI59" s="115"/>
      <x:c r="BJ59" s="115"/>
      <x:c r="BK59" s="115"/>
      <x:c r="BL59" s="115"/>
      <x:c r="BM59" s="115"/>
      <x:c r="BN59" s="115"/>
      <x:c r="BO59" s="115"/>
      <x:c r="BP59" s="115"/>
      <x:c r="BQ59" s="115"/>
      <x:c r="BR59" s="115"/>
      <x:c r="BS59" s="115"/>
      <x:c r="BT59" s="115"/>
      <x:c r="BU59" s="115"/>
      <x:c r="BV59" s="115"/>
      <x:c r="BW59" s="115"/>
      <x:c r="BX59" s="115"/>
      <x:c r="BY59" s="115"/>
      <x:c r="BZ59" s="115"/>
      <x:c r="CA59" s="115"/>
      <x:c r="CB59" s="116"/>
      <x:c r="CC59" s="141" t="str">
        <x:f>IF(COUNT(G59:P59)=0,"",AVERAGE(G59:P59)*4)</x:f>
      </x:c>
      <x:c r="CD59" s="178" t="str">
        <x:f>IF(COUNT(Q59:Z59)=0,"",AVERAGE(Q59:Z59)*4)</x:f>
      </x:c>
      <x:c r="CE59" s="178" t="str">
        <x:f>IF(COUNT(AA59:AJ59)=0,"",AVERAGE(AA59:AJ59)*4)</x:f>
      </x:c>
      <x:c r="CF59" s="178" t="str">
        <x:f>IF(COUNT(AK59:AR59)=0,"",AVERAGE(AK59:AR59)*4)</x:f>
      </x:c>
      <x:c r="CG59" s="178" t="str">
        <x:f>IF(COUNT(AS59:AY59)=0,"",AVERAGE(AS59:AY59)*4)</x:f>
      </x:c>
      <x:c r="CH59" s="178" t="str">
        <x:f>IF(COUNT(AZ59:BG59)=0,"",AVERAGE(AZ59:BG59)*4)</x:f>
      </x:c>
      <x:c r="CI59" s="178" t="str">
        <x:f>IF(COUNT(BH59:BN59)=0,"",AVERAGE(BH59:BN59)*4)</x:f>
      </x:c>
      <x:c r="CJ59" s="178" t="str">
        <x:f>IF(COUNT(BO59:BU59)=0,"",AVERAGE(BO59:BU59)*4)</x:f>
      </x:c>
      <x:c r="CK59" s="178" t="str">
        <x:f>IF(COUNT(BV59:CB59)=0,"",AVERAGE(BV59:CB59)*4)</x:f>
      </x:c>
      <x:c r="CL59" s="178" t="str">
        <x:f>IF(C59="","",IF(COUNT(G59:CB59)&lt;74,"",(CC59*'تنظیمات وزن‌دهی'!$C$5+CD59*'تنظیمات وزن‌دهی'!$C$6+CE59*'تنظیمات وزن‌دهی'!$C$7+CF59*'تنظیمات وزن‌دهی'!$C$8+CG59*'تنظیمات وزن‌دهی'!$C$9+CH59*'تنظیمات وزن‌دهی'!$C$10+CI59*'تنظیمات وزن‌دهی'!$C$11+CJ59*'تنظیمات وزن‌دهی'!$C$12+CK59*'تنظیمات وزن‌دهی'!$C$13)/100))</x:f>
      </x:c>
      <x:c r="CM59" s="178" t="str">
        <x:f>IF(C59="","",IF(COUNT(G59:CB59)=0,"",IF(COUNT(G59:CB59)&lt;74,"موقت - اطلاعات ناقص",IF(CL59&gt;=17,"عالی",IF(CL59&gt;=14,"خوب",IF(CL59&gt;=10,"متوسط","ضعیف"))))))</x:f>
      </x:c>
      <x:c r="CN59" s="178" t="n">
        <x:v>7</x:v>
      </x:c>
      <x:c r="CO59" s="142" t="n">
        <x:f>IF(C59="","",COUNT(G59:CB59)/74)</x:f>
        <x:v>0</x:v>
      </x:c>
      <x:c r="CP59" s="245"/>
    </x:row>
    <x:row r="60">
      <x:c r="A60" s="165" t="n">
        <x:v>56</x:v>
      </x:c>
      <x:c r="B60" s="233" t="str">
        <x:v>بهمن</x:v>
      </x:c>
      <x:c r="C60" s="233" t="n">
        <x:f>IF('دانش‌آموزان'!E9="","",'دانش‌آموزان'!B9)</x:f>
        <x:v>5</x:v>
      </x:c>
      <x:c r="D60" s="233" t="str">
        <x:f>IF('دانش‌آموزان'!C9="","",'دانش‌آموزان'!C9)</x:f>
        <x:v>4000000055</x:v>
      </x:c>
      <x:c r="E60" s="233" t="str">
        <x:f>IF('دانش‌آموزان'!E9="","",'دانش‌آموزان'!E9&amp;" "&amp;'دانش‌آموزان'!F9)</x:f>
        <x:v>محمد قاسمی</x:v>
      </x:c>
      <x:c r="F60" s="166" t="str">
        <x:f>IF('دانش‌آموزان'!I9="","",'دانش‌آموزان'!I9)</x:f>
        <x:v>sample-7-a</x:v>
      </x:c>
      <x:c r="G60" s="114"/>
      <x:c r="H60" s="115"/>
      <x:c r="I60" s="115"/>
      <x:c r="J60" s="115"/>
      <x:c r="K60" s="115"/>
      <x:c r="L60" s="115"/>
      <x:c r="M60" s="115"/>
      <x:c r="N60" s="115"/>
      <x:c r="O60" s="115"/>
      <x:c r="P60" s="115"/>
      <x:c r="Q60" s="115"/>
      <x:c r="R60" s="115"/>
      <x:c r="S60" s="115"/>
      <x:c r="T60" s="115"/>
      <x:c r="U60" s="115"/>
      <x:c r="V60" s="115"/>
      <x:c r="W60" s="115"/>
      <x:c r="X60" s="115"/>
      <x:c r="Y60" s="115"/>
      <x:c r="Z60" s="115"/>
      <x:c r="AA60" s="115"/>
      <x:c r="AB60" s="115"/>
      <x:c r="AC60" s="115"/>
      <x:c r="AD60" s="115"/>
      <x:c r="AE60" s="115"/>
      <x:c r="AF60" s="115"/>
      <x:c r="AG60" s="115"/>
      <x:c r="AH60" s="115"/>
      <x:c r="AI60" s="115"/>
      <x:c r="AJ60" s="115"/>
      <x:c r="AK60" s="115"/>
      <x:c r="AL60" s="115"/>
      <x:c r="AM60" s="115"/>
      <x:c r="AN60" s="115"/>
      <x:c r="AO60" s="115"/>
      <x:c r="AP60" s="115"/>
      <x:c r="AQ60" s="115"/>
      <x:c r="AR60" s="115"/>
      <x:c r="AS60" s="115"/>
      <x:c r="AT60" s="115"/>
      <x:c r="AU60" s="115"/>
      <x:c r="AV60" s="115"/>
      <x:c r="AW60" s="115"/>
      <x:c r="AX60" s="115"/>
      <x:c r="AY60" s="115"/>
      <x:c r="AZ60" s="115"/>
      <x:c r="BA60" s="115"/>
      <x:c r="BB60" s="115"/>
      <x:c r="BC60" s="115"/>
      <x:c r="BD60" s="115"/>
      <x:c r="BE60" s="115"/>
      <x:c r="BF60" s="115"/>
      <x:c r="BG60" s="115"/>
      <x:c r="BH60" s="115"/>
      <x:c r="BI60" s="115"/>
      <x:c r="BJ60" s="115"/>
      <x:c r="BK60" s="115"/>
      <x:c r="BL60" s="115"/>
      <x:c r="BM60" s="115"/>
      <x:c r="BN60" s="115"/>
      <x:c r="BO60" s="115"/>
      <x:c r="BP60" s="115"/>
      <x:c r="BQ60" s="115"/>
      <x:c r="BR60" s="115"/>
      <x:c r="BS60" s="115"/>
      <x:c r="BT60" s="115"/>
      <x:c r="BU60" s="115"/>
      <x:c r="BV60" s="115"/>
      <x:c r="BW60" s="115"/>
      <x:c r="BX60" s="115"/>
      <x:c r="BY60" s="115"/>
      <x:c r="BZ60" s="115"/>
      <x:c r="CA60" s="115"/>
      <x:c r="CB60" s="116"/>
      <x:c r="CC60" s="141" t="str">
        <x:f>IF(COUNT(G60:P60)=0,"",AVERAGE(G60:P60)*4)</x:f>
      </x:c>
      <x:c r="CD60" s="178" t="str">
        <x:f>IF(COUNT(Q60:Z60)=0,"",AVERAGE(Q60:Z60)*4)</x:f>
      </x:c>
      <x:c r="CE60" s="178" t="str">
        <x:f>IF(COUNT(AA60:AJ60)=0,"",AVERAGE(AA60:AJ60)*4)</x:f>
      </x:c>
      <x:c r="CF60" s="178" t="str">
        <x:f>IF(COUNT(AK60:AR60)=0,"",AVERAGE(AK60:AR60)*4)</x:f>
      </x:c>
      <x:c r="CG60" s="178" t="str">
        <x:f>IF(COUNT(AS60:AY60)=0,"",AVERAGE(AS60:AY60)*4)</x:f>
      </x:c>
      <x:c r="CH60" s="178" t="str">
        <x:f>IF(COUNT(AZ60:BG60)=0,"",AVERAGE(AZ60:BG60)*4)</x:f>
      </x:c>
      <x:c r="CI60" s="178" t="str">
        <x:f>IF(COUNT(BH60:BN60)=0,"",AVERAGE(BH60:BN60)*4)</x:f>
      </x:c>
      <x:c r="CJ60" s="178" t="str">
        <x:f>IF(COUNT(BO60:BU60)=0,"",AVERAGE(BO60:BU60)*4)</x:f>
      </x:c>
      <x:c r="CK60" s="178" t="str">
        <x:f>IF(COUNT(BV60:CB60)=0,"",AVERAGE(BV60:CB60)*4)</x:f>
      </x:c>
      <x:c r="CL60" s="178" t="str">
        <x:f>IF(C60="","",IF(COUNT(G60:CB60)&lt;74,"",(CC60*'تنظیمات وزن‌دهی'!$C$5+CD60*'تنظیمات وزن‌دهی'!$C$6+CE60*'تنظیمات وزن‌دهی'!$C$7+CF60*'تنظیمات وزن‌دهی'!$C$8+CG60*'تنظیمات وزن‌دهی'!$C$9+CH60*'تنظیمات وزن‌دهی'!$C$10+CI60*'تنظیمات وزن‌دهی'!$C$11+CJ60*'تنظیمات وزن‌دهی'!$C$12+CK60*'تنظیمات وزن‌دهی'!$C$13)/100))</x:f>
      </x:c>
      <x:c r="CM60" s="178" t="str">
        <x:f>IF(C60="","",IF(COUNT(G60:CB60)=0,"",IF(COUNT(G60:CB60)&lt;74,"موقت - اطلاعات ناقص",IF(CL60&gt;=17,"عالی",IF(CL60&gt;=14,"خوب",IF(CL60&gt;=10,"متوسط","ضعیف"))))))</x:f>
      </x:c>
      <x:c r="CN60" s="178" t="n">
        <x:v>8</x:v>
      </x:c>
      <x:c r="CO60" s="142" t="n">
        <x:f>IF(C60="","",COUNT(G60:CB60)/74)</x:f>
        <x:v>0</x:v>
      </x:c>
      <x:c r="CP60" s="245"/>
    </x:row>
    <x:row r="61">
      <x:c r="A61" s="165" t="n">
        <x:v>57</x:v>
      </x:c>
      <x:c r="B61" s="233" t="str">
        <x:v>اسفند</x:v>
      </x:c>
      <x:c r="C61" s="233" t="n">
        <x:f>IF('دانش‌آموزان'!E9="","",'دانش‌آموزان'!B9)</x:f>
        <x:v>5</x:v>
      </x:c>
      <x:c r="D61" s="233" t="str">
        <x:f>IF('دانش‌آموزان'!C9="","",'دانش‌آموزان'!C9)</x:f>
        <x:v>4000000055</x:v>
      </x:c>
      <x:c r="E61" s="233" t="str">
        <x:f>IF('دانش‌آموزان'!E9="","",'دانش‌آموزان'!E9&amp;" "&amp;'دانش‌آموزان'!F9)</x:f>
        <x:v>محمد قاسمی</x:v>
      </x:c>
      <x:c r="F61" s="166" t="str">
        <x:f>IF('دانش‌آموزان'!I9="","",'دانش‌آموزان'!I9)</x:f>
        <x:v>sample-7-a</x:v>
      </x:c>
      <x:c r="G61" s="114"/>
      <x:c r="H61" s="115"/>
      <x:c r="I61" s="115"/>
      <x:c r="J61" s="115"/>
      <x:c r="K61" s="115"/>
      <x:c r="L61" s="115"/>
      <x:c r="M61" s="115"/>
      <x:c r="N61" s="115"/>
      <x:c r="O61" s="115"/>
      <x:c r="P61" s="115"/>
      <x:c r="Q61" s="115"/>
      <x:c r="R61" s="115"/>
      <x:c r="S61" s="115"/>
      <x:c r="T61" s="115"/>
      <x:c r="U61" s="115"/>
      <x:c r="V61" s="115"/>
      <x:c r="W61" s="115"/>
      <x:c r="X61" s="115"/>
      <x:c r="Y61" s="115"/>
      <x:c r="Z61" s="115"/>
      <x:c r="AA61" s="115"/>
      <x:c r="AB61" s="115"/>
      <x:c r="AC61" s="115"/>
      <x:c r="AD61" s="115"/>
      <x:c r="AE61" s="115"/>
      <x:c r="AF61" s="115"/>
      <x:c r="AG61" s="115"/>
      <x:c r="AH61" s="115"/>
      <x:c r="AI61" s="115"/>
      <x:c r="AJ61" s="115"/>
      <x:c r="AK61" s="115"/>
      <x:c r="AL61" s="115"/>
      <x:c r="AM61" s="115"/>
      <x:c r="AN61" s="115"/>
      <x:c r="AO61" s="115"/>
      <x:c r="AP61" s="115"/>
      <x:c r="AQ61" s="115"/>
      <x:c r="AR61" s="115"/>
      <x:c r="AS61" s="115"/>
      <x:c r="AT61" s="115"/>
      <x:c r="AU61" s="115"/>
      <x:c r="AV61" s="115"/>
      <x:c r="AW61" s="115"/>
      <x:c r="AX61" s="115"/>
      <x:c r="AY61" s="115"/>
      <x:c r="AZ61" s="115"/>
      <x:c r="BA61" s="115"/>
      <x:c r="BB61" s="115"/>
      <x:c r="BC61" s="115"/>
      <x:c r="BD61" s="115"/>
      <x:c r="BE61" s="115"/>
      <x:c r="BF61" s="115"/>
      <x:c r="BG61" s="115"/>
      <x:c r="BH61" s="115"/>
      <x:c r="BI61" s="115"/>
      <x:c r="BJ61" s="115"/>
      <x:c r="BK61" s="115"/>
      <x:c r="BL61" s="115"/>
      <x:c r="BM61" s="115"/>
      <x:c r="BN61" s="115"/>
      <x:c r="BO61" s="115"/>
      <x:c r="BP61" s="115"/>
      <x:c r="BQ61" s="115"/>
      <x:c r="BR61" s="115"/>
      <x:c r="BS61" s="115"/>
      <x:c r="BT61" s="115"/>
      <x:c r="BU61" s="115"/>
      <x:c r="BV61" s="115"/>
      <x:c r="BW61" s="115"/>
      <x:c r="BX61" s="115"/>
      <x:c r="BY61" s="115"/>
      <x:c r="BZ61" s="115"/>
      <x:c r="CA61" s="115"/>
      <x:c r="CB61" s="116"/>
      <x:c r="CC61" s="141" t="str">
        <x:f>IF(COUNT(G61:P61)=0,"",AVERAGE(G61:P61)*4)</x:f>
      </x:c>
      <x:c r="CD61" s="178" t="str">
        <x:f>IF(COUNT(Q61:Z61)=0,"",AVERAGE(Q61:Z61)*4)</x:f>
      </x:c>
      <x:c r="CE61" s="178" t="str">
        <x:f>IF(COUNT(AA61:AJ61)=0,"",AVERAGE(AA61:AJ61)*4)</x:f>
      </x:c>
      <x:c r="CF61" s="178" t="str">
        <x:f>IF(COUNT(AK61:AR61)=0,"",AVERAGE(AK61:AR61)*4)</x:f>
      </x:c>
      <x:c r="CG61" s="178" t="str">
        <x:f>IF(COUNT(AS61:AY61)=0,"",AVERAGE(AS61:AY61)*4)</x:f>
      </x:c>
      <x:c r="CH61" s="178" t="str">
        <x:f>IF(COUNT(AZ61:BG61)=0,"",AVERAGE(AZ61:BG61)*4)</x:f>
      </x:c>
      <x:c r="CI61" s="178" t="str">
        <x:f>IF(COUNT(BH61:BN61)=0,"",AVERAGE(BH61:BN61)*4)</x:f>
      </x:c>
      <x:c r="CJ61" s="178" t="str">
        <x:f>IF(COUNT(BO61:BU61)=0,"",AVERAGE(BO61:BU61)*4)</x:f>
      </x:c>
      <x:c r="CK61" s="178" t="str">
        <x:f>IF(COUNT(BV61:CB61)=0,"",AVERAGE(BV61:CB61)*4)</x:f>
      </x:c>
      <x:c r="CL61" s="178" t="str">
        <x:f>IF(C61="","",IF(COUNT(G61:CB61)&lt;74,"",(CC61*'تنظیمات وزن‌دهی'!$C$5+CD61*'تنظیمات وزن‌دهی'!$C$6+CE61*'تنظیمات وزن‌دهی'!$C$7+CF61*'تنظیمات وزن‌دهی'!$C$8+CG61*'تنظیمات وزن‌دهی'!$C$9+CH61*'تنظیمات وزن‌دهی'!$C$10+CI61*'تنظیمات وزن‌دهی'!$C$11+CJ61*'تنظیمات وزن‌دهی'!$C$12+CK61*'تنظیمات وزن‌دهی'!$C$13)/100))</x:f>
      </x:c>
      <x:c r="CM61" s="178" t="str">
        <x:f>IF(C61="","",IF(COUNT(G61:CB61)=0,"",IF(COUNT(G61:CB61)&lt;74,"موقت - اطلاعات ناقص",IF(CL61&gt;=17,"عالی",IF(CL61&gt;=14,"خوب",IF(CL61&gt;=10,"متوسط","ضعیف"))))))</x:f>
      </x:c>
      <x:c r="CN61" s="178" t="n">
        <x:v>9</x:v>
      </x:c>
      <x:c r="CO61" s="142" t="n">
        <x:f>IF(C61="","",COUNT(G61:CB61)/74)</x:f>
        <x:v>0</x:v>
      </x:c>
      <x:c r="CP61" s="245"/>
    </x:row>
    <x:row r="62">
      <x:c r="A62" s="165" t="n">
        <x:v>58</x:v>
      </x:c>
      <x:c r="B62" s="233" t="str">
        <x:v>فروردین</x:v>
      </x:c>
      <x:c r="C62" s="233" t="n">
        <x:f>IF('دانش‌آموزان'!E9="","",'دانش‌آموزان'!B9)</x:f>
        <x:v>5</x:v>
      </x:c>
      <x:c r="D62" s="233" t="str">
        <x:f>IF('دانش‌آموزان'!C9="","",'دانش‌آموزان'!C9)</x:f>
        <x:v>4000000055</x:v>
      </x:c>
      <x:c r="E62" s="233" t="str">
        <x:f>IF('دانش‌آموزان'!E9="","",'دانش‌آموزان'!E9&amp;" "&amp;'دانش‌آموزان'!F9)</x:f>
        <x:v>محمد قاسمی</x:v>
      </x:c>
      <x:c r="F62" s="166" t="str">
        <x:f>IF('دانش‌آموزان'!I9="","",'دانش‌آموزان'!I9)</x:f>
        <x:v>sample-7-a</x:v>
      </x:c>
      <x:c r="G62" s="114"/>
      <x:c r="H62" s="115"/>
      <x:c r="I62" s="115"/>
      <x:c r="J62" s="115"/>
      <x:c r="K62" s="115"/>
      <x:c r="L62" s="115"/>
      <x:c r="M62" s="115"/>
      <x:c r="N62" s="115"/>
      <x:c r="O62" s="115"/>
      <x:c r="P62" s="115"/>
      <x:c r="Q62" s="115"/>
      <x:c r="R62" s="115"/>
      <x:c r="S62" s="115"/>
      <x:c r="T62" s="115"/>
      <x:c r="U62" s="115"/>
      <x:c r="V62" s="115"/>
      <x:c r="W62" s="115"/>
      <x:c r="X62" s="115"/>
      <x:c r="Y62" s="115"/>
      <x:c r="Z62" s="115"/>
      <x:c r="AA62" s="115"/>
      <x:c r="AB62" s="115"/>
      <x:c r="AC62" s="115"/>
      <x:c r="AD62" s="115"/>
      <x:c r="AE62" s="115"/>
      <x:c r="AF62" s="115"/>
      <x:c r="AG62" s="115"/>
      <x:c r="AH62" s="115"/>
      <x:c r="AI62" s="115"/>
      <x:c r="AJ62" s="115"/>
      <x:c r="AK62" s="115"/>
      <x:c r="AL62" s="115"/>
      <x:c r="AM62" s="115"/>
      <x:c r="AN62" s="115"/>
      <x:c r="AO62" s="115"/>
      <x:c r="AP62" s="115"/>
      <x:c r="AQ62" s="115"/>
      <x:c r="AR62" s="115"/>
      <x:c r="AS62" s="115"/>
      <x:c r="AT62" s="115"/>
      <x:c r="AU62" s="115"/>
      <x:c r="AV62" s="115"/>
      <x:c r="AW62" s="115"/>
      <x:c r="AX62" s="115"/>
      <x:c r="AY62" s="115"/>
      <x:c r="AZ62" s="115"/>
      <x:c r="BA62" s="115"/>
      <x:c r="BB62" s="115"/>
      <x:c r="BC62" s="115"/>
      <x:c r="BD62" s="115"/>
      <x:c r="BE62" s="115"/>
      <x:c r="BF62" s="115"/>
      <x:c r="BG62" s="115"/>
      <x:c r="BH62" s="115"/>
      <x:c r="BI62" s="115"/>
      <x:c r="BJ62" s="115"/>
      <x:c r="BK62" s="115"/>
      <x:c r="BL62" s="115"/>
      <x:c r="BM62" s="115"/>
      <x:c r="BN62" s="115"/>
      <x:c r="BO62" s="115"/>
      <x:c r="BP62" s="115"/>
      <x:c r="BQ62" s="115"/>
      <x:c r="BR62" s="115"/>
      <x:c r="BS62" s="115"/>
      <x:c r="BT62" s="115"/>
      <x:c r="BU62" s="115"/>
      <x:c r="BV62" s="115"/>
      <x:c r="BW62" s="115"/>
      <x:c r="BX62" s="115"/>
      <x:c r="BY62" s="115"/>
      <x:c r="BZ62" s="115"/>
      <x:c r="CA62" s="115"/>
      <x:c r="CB62" s="116"/>
      <x:c r="CC62" s="141" t="str">
        <x:f>IF(COUNT(G62:P62)=0,"",AVERAGE(G62:P62)*4)</x:f>
      </x:c>
      <x:c r="CD62" s="178" t="str">
        <x:f>IF(COUNT(Q62:Z62)=0,"",AVERAGE(Q62:Z62)*4)</x:f>
      </x:c>
      <x:c r="CE62" s="178" t="str">
        <x:f>IF(COUNT(AA62:AJ62)=0,"",AVERAGE(AA62:AJ62)*4)</x:f>
      </x:c>
      <x:c r="CF62" s="178" t="str">
        <x:f>IF(COUNT(AK62:AR62)=0,"",AVERAGE(AK62:AR62)*4)</x:f>
      </x:c>
      <x:c r="CG62" s="178" t="str">
        <x:f>IF(COUNT(AS62:AY62)=0,"",AVERAGE(AS62:AY62)*4)</x:f>
      </x:c>
      <x:c r="CH62" s="178" t="str">
        <x:f>IF(COUNT(AZ62:BG62)=0,"",AVERAGE(AZ62:BG62)*4)</x:f>
      </x:c>
      <x:c r="CI62" s="178" t="str">
        <x:f>IF(COUNT(BH62:BN62)=0,"",AVERAGE(BH62:BN62)*4)</x:f>
      </x:c>
      <x:c r="CJ62" s="178" t="str">
        <x:f>IF(COUNT(BO62:BU62)=0,"",AVERAGE(BO62:BU62)*4)</x:f>
      </x:c>
      <x:c r="CK62" s="178" t="str">
        <x:f>IF(COUNT(BV62:CB62)=0,"",AVERAGE(BV62:CB62)*4)</x:f>
      </x:c>
      <x:c r="CL62" s="178" t="str">
        <x:f>IF(C62="","",IF(COUNT(G62:CB62)&lt;74,"",(CC62*'تنظیمات وزن‌دهی'!$C$5+CD62*'تنظیمات وزن‌دهی'!$C$6+CE62*'تنظیمات وزن‌دهی'!$C$7+CF62*'تنظیمات وزن‌دهی'!$C$8+CG62*'تنظیمات وزن‌دهی'!$C$9+CH62*'تنظیمات وزن‌دهی'!$C$10+CI62*'تنظیمات وزن‌دهی'!$C$11+CJ62*'تنظیمات وزن‌دهی'!$C$12+CK62*'تنظیمات وزن‌دهی'!$C$13)/100))</x:f>
      </x:c>
      <x:c r="CM62" s="178" t="str">
        <x:f>IF(C62="","",IF(COUNT(G62:CB62)=0,"",IF(COUNT(G62:CB62)&lt;74,"موقت - اطلاعات ناقص",IF(CL62&gt;=17,"عالی",IF(CL62&gt;=14,"خوب",IF(CL62&gt;=10,"متوسط","ضعیف"))))))</x:f>
      </x:c>
      <x:c r="CN62" s="178" t="n">
        <x:v>10</x:v>
      </x:c>
      <x:c r="CO62" s="142" t="n">
        <x:f>IF(C62="","",COUNT(G62:CB62)/74)</x:f>
        <x:v>0</x:v>
      </x:c>
      <x:c r="CP62" s="245"/>
    </x:row>
    <x:row r="63">
      <x:c r="A63" s="165" t="n">
        <x:v>59</x:v>
      </x:c>
      <x:c r="B63" s="233" t="str">
        <x:v>اردیبهشت</x:v>
      </x:c>
      <x:c r="C63" s="233" t="n">
        <x:f>IF('دانش‌آموزان'!E9="","",'دانش‌آموزان'!B9)</x:f>
        <x:v>5</x:v>
      </x:c>
      <x:c r="D63" s="233" t="str">
        <x:f>IF('دانش‌آموزان'!C9="","",'دانش‌آموزان'!C9)</x:f>
        <x:v>4000000055</x:v>
      </x:c>
      <x:c r="E63" s="233" t="str">
        <x:f>IF('دانش‌آموزان'!E9="","",'دانش‌آموزان'!E9&amp;" "&amp;'دانش‌آموزان'!F9)</x:f>
        <x:v>محمد قاسمی</x:v>
      </x:c>
      <x:c r="F63" s="166" t="str">
        <x:f>IF('دانش‌آموزان'!I9="","",'دانش‌آموزان'!I9)</x:f>
        <x:v>sample-7-a</x:v>
      </x:c>
      <x:c r="G63" s="114"/>
      <x:c r="H63" s="115"/>
      <x:c r="I63" s="115"/>
      <x:c r="J63" s="115"/>
      <x:c r="K63" s="115"/>
      <x:c r="L63" s="115"/>
      <x:c r="M63" s="115"/>
      <x:c r="N63" s="115"/>
      <x:c r="O63" s="115"/>
      <x:c r="P63" s="115"/>
      <x:c r="Q63" s="115"/>
      <x:c r="R63" s="115"/>
      <x:c r="S63" s="115"/>
      <x:c r="T63" s="115"/>
      <x:c r="U63" s="115"/>
      <x:c r="V63" s="115"/>
      <x:c r="W63" s="115"/>
      <x:c r="X63" s="115"/>
      <x:c r="Y63" s="115"/>
      <x:c r="Z63" s="115"/>
      <x:c r="AA63" s="115"/>
      <x:c r="AB63" s="115"/>
      <x:c r="AC63" s="115"/>
      <x:c r="AD63" s="115"/>
      <x:c r="AE63" s="115"/>
      <x:c r="AF63" s="115"/>
      <x:c r="AG63" s="115"/>
      <x:c r="AH63" s="115"/>
      <x:c r="AI63" s="115"/>
      <x:c r="AJ63" s="115"/>
      <x:c r="AK63" s="115"/>
      <x:c r="AL63" s="115"/>
      <x:c r="AM63" s="115"/>
      <x:c r="AN63" s="115"/>
      <x:c r="AO63" s="115"/>
      <x:c r="AP63" s="115"/>
      <x:c r="AQ63" s="115"/>
      <x:c r="AR63" s="115"/>
      <x:c r="AS63" s="115"/>
      <x:c r="AT63" s="115"/>
      <x:c r="AU63" s="115"/>
      <x:c r="AV63" s="115"/>
      <x:c r="AW63" s="115"/>
      <x:c r="AX63" s="115"/>
      <x:c r="AY63" s="115"/>
      <x:c r="AZ63" s="115"/>
      <x:c r="BA63" s="115"/>
      <x:c r="BB63" s="115"/>
      <x:c r="BC63" s="115"/>
      <x:c r="BD63" s="115"/>
      <x:c r="BE63" s="115"/>
      <x:c r="BF63" s="115"/>
      <x:c r="BG63" s="115"/>
      <x:c r="BH63" s="115"/>
      <x:c r="BI63" s="115"/>
      <x:c r="BJ63" s="115"/>
      <x:c r="BK63" s="115"/>
      <x:c r="BL63" s="115"/>
      <x:c r="BM63" s="115"/>
      <x:c r="BN63" s="115"/>
      <x:c r="BO63" s="115"/>
      <x:c r="BP63" s="115"/>
      <x:c r="BQ63" s="115"/>
      <x:c r="BR63" s="115"/>
      <x:c r="BS63" s="115"/>
      <x:c r="BT63" s="115"/>
      <x:c r="BU63" s="115"/>
      <x:c r="BV63" s="115"/>
      <x:c r="BW63" s="115"/>
      <x:c r="BX63" s="115"/>
      <x:c r="BY63" s="115"/>
      <x:c r="BZ63" s="115"/>
      <x:c r="CA63" s="115"/>
      <x:c r="CB63" s="116"/>
      <x:c r="CC63" s="141" t="str">
        <x:f>IF(COUNT(G63:P63)=0,"",AVERAGE(G63:P63)*4)</x:f>
      </x:c>
      <x:c r="CD63" s="178" t="str">
        <x:f>IF(COUNT(Q63:Z63)=0,"",AVERAGE(Q63:Z63)*4)</x:f>
      </x:c>
      <x:c r="CE63" s="178" t="str">
        <x:f>IF(COUNT(AA63:AJ63)=0,"",AVERAGE(AA63:AJ63)*4)</x:f>
      </x:c>
      <x:c r="CF63" s="178" t="str">
        <x:f>IF(COUNT(AK63:AR63)=0,"",AVERAGE(AK63:AR63)*4)</x:f>
      </x:c>
      <x:c r="CG63" s="178" t="str">
        <x:f>IF(COUNT(AS63:AY63)=0,"",AVERAGE(AS63:AY63)*4)</x:f>
      </x:c>
      <x:c r="CH63" s="178" t="str">
        <x:f>IF(COUNT(AZ63:BG63)=0,"",AVERAGE(AZ63:BG63)*4)</x:f>
      </x:c>
      <x:c r="CI63" s="178" t="str">
        <x:f>IF(COUNT(BH63:BN63)=0,"",AVERAGE(BH63:BN63)*4)</x:f>
      </x:c>
      <x:c r="CJ63" s="178" t="str">
        <x:f>IF(COUNT(BO63:BU63)=0,"",AVERAGE(BO63:BU63)*4)</x:f>
      </x:c>
      <x:c r="CK63" s="178" t="str">
        <x:f>IF(COUNT(BV63:CB63)=0,"",AVERAGE(BV63:CB63)*4)</x:f>
      </x:c>
      <x:c r="CL63" s="178" t="str">
        <x:f>IF(C63="","",IF(COUNT(G63:CB63)&lt;74,"",(CC63*'تنظیمات وزن‌دهی'!$C$5+CD63*'تنظیمات وزن‌دهی'!$C$6+CE63*'تنظیمات وزن‌دهی'!$C$7+CF63*'تنظیمات وزن‌دهی'!$C$8+CG63*'تنظیمات وزن‌دهی'!$C$9+CH63*'تنظیمات وزن‌دهی'!$C$10+CI63*'تنظیمات وزن‌دهی'!$C$11+CJ63*'تنظیمات وزن‌دهی'!$C$12+CK63*'تنظیمات وزن‌دهی'!$C$13)/100))</x:f>
      </x:c>
      <x:c r="CM63" s="178" t="str">
        <x:f>IF(C63="","",IF(COUNT(G63:CB63)=0,"",IF(COUNT(G63:CB63)&lt;74,"موقت - اطلاعات ناقص",IF(CL63&gt;=17,"عالی",IF(CL63&gt;=14,"خوب",IF(CL63&gt;=10,"متوسط","ضعیف"))))))</x:f>
      </x:c>
      <x:c r="CN63" s="178" t="n">
        <x:v>11</x:v>
      </x:c>
      <x:c r="CO63" s="142" t="n">
        <x:f>IF(C63="","",COUNT(G63:CB63)/74)</x:f>
        <x:v>0</x:v>
      </x:c>
      <x:c r="CP63" s="245"/>
    </x:row>
    <x:row r="64">
      <x:c r="A64" s="165" t="n">
        <x:v>60</x:v>
      </x:c>
      <x:c r="B64" s="233" t="str">
        <x:v>خرداد</x:v>
      </x:c>
      <x:c r="C64" s="233" t="n">
        <x:f>IF('دانش‌آموزان'!E9="","",'دانش‌آموزان'!B9)</x:f>
        <x:v>5</x:v>
      </x:c>
      <x:c r="D64" s="233" t="str">
        <x:f>IF('دانش‌آموزان'!C9="","",'دانش‌آموزان'!C9)</x:f>
        <x:v>4000000055</x:v>
      </x:c>
      <x:c r="E64" s="233" t="str">
        <x:f>IF('دانش‌آموزان'!E9="","",'دانش‌آموزان'!E9&amp;" "&amp;'دانش‌آموزان'!F9)</x:f>
        <x:v>محمد قاسمی</x:v>
      </x:c>
      <x:c r="F64" s="166" t="str">
        <x:f>IF('دانش‌آموزان'!I9="","",'دانش‌آموزان'!I9)</x:f>
        <x:v>sample-7-a</x:v>
      </x:c>
      <x:c r="G64" s="114"/>
      <x:c r="H64" s="115"/>
      <x:c r="I64" s="115"/>
      <x:c r="J64" s="115"/>
      <x:c r="K64" s="115"/>
      <x:c r="L64" s="115"/>
      <x:c r="M64" s="115"/>
      <x:c r="N64" s="115"/>
      <x:c r="O64" s="115"/>
      <x:c r="P64" s="115"/>
      <x:c r="Q64" s="115"/>
      <x:c r="R64" s="115"/>
      <x:c r="S64" s="115"/>
      <x:c r="T64" s="115"/>
      <x:c r="U64" s="115"/>
      <x:c r="V64" s="115"/>
      <x:c r="W64" s="115"/>
      <x:c r="X64" s="115"/>
      <x:c r="Y64" s="115"/>
      <x:c r="Z64" s="115"/>
      <x:c r="AA64" s="115"/>
      <x:c r="AB64" s="115"/>
      <x:c r="AC64" s="115"/>
      <x:c r="AD64" s="115"/>
      <x:c r="AE64" s="115"/>
      <x:c r="AF64" s="115"/>
      <x:c r="AG64" s="115"/>
      <x:c r="AH64" s="115"/>
      <x:c r="AI64" s="115"/>
      <x:c r="AJ64" s="115"/>
      <x:c r="AK64" s="115"/>
      <x:c r="AL64" s="115"/>
      <x:c r="AM64" s="115"/>
      <x:c r="AN64" s="115"/>
      <x:c r="AO64" s="115"/>
      <x:c r="AP64" s="115"/>
      <x:c r="AQ64" s="115"/>
      <x:c r="AR64" s="115"/>
      <x:c r="AS64" s="115"/>
      <x:c r="AT64" s="115"/>
      <x:c r="AU64" s="115"/>
      <x:c r="AV64" s="115"/>
      <x:c r="AW64" s="115"/>
      <x:c r="AX64" s="115"/>
      <x:c r="AY64" s="115"/>
      <x:c r="AZ64" s="115"/>
      <x:c r="BA64" s="115"/>
      <x:c r="BB64" s="115"/>
      <x:c r="BC64" s="115"/>
      <x:c r="BD64" s="115"/>
      <x:c r="BE64" s="115"/>
      <x:c r="BF64" s="115"/>
      <x:c r="BG64" s="115"/>
      <x:c r="BH64" s="115"/>
      <x:c r="BI64" s="115"/>
      <x:c r="BJ64" s="115"/>
      <x:c r="BK64" s="115"/>
      <x:c r="BL64" s="115"/>
      <x:c r="BM64" s="115"/>
      <x:c r="BN64" s="115"/>
      <x:c r="BO64" s="115"/>
      <x:c r="BP64" s="115"/>
      <x:c r="BQ64" s="115"/>
      <x:c r="BR64" s="115"/>
      <x:c r="BS64" s="115"/>
      <x:c r="BT64" s="115"/>
      <x:c r="BU64" s="115"/>
      <x:c r="BV64" s="115"/>
      <x:c r="BW64" s="115"/>
      <x:c r="BX64" s="115"/>
      <x:c r="BY64" s="115"/>
      <x:c r="BZ64" s="115"/>
      <x:c r="CA64" s="115"/>
      <x:c r="CB64" s="116"/>
      <x:c r="CC64" s="141" t="str">
        <x:f>IF(COUNT(G64:P64)=0,"",AVERAGE(G64:P64)*4)</x:f>
      </x:c>
      <x:c r="CD64" s="178" t="str">
        <x:f>IF(COUNT(Q64:Z64)=0,"",AVERAGE(Q64:Z64)*4)</x:f>
      </x:c>
      <x:c r="CE64" s="178" t="str">
        <x:f>IF(COUNT(AA64:AJ64)=0,"",AVERAGE(AA64:AJ64)*4)</x:f>
      </x:c>
      <x:c r="CF64" s="178" t="str">
        <x:f>IF(COUNT(AK64:AR64)=0,"",AVERAGE(AK64:AR64)*4)</x:f>
      </x:c>
      <x:c r="CG64" s="178" t="str">
        <x:f>IF(COUNT(AS64:AY64)=0,"",AVERAGE(AS64:AY64)*4)</x:f>
      </x:c>
      <x:c r="CH64" s="178" t="str">
        <x:f>IF(COUNT(AZ64:BG64)=0,"",AVERAGE(AZ64:BG64)*4)</x:f>
      </x:c>
      <x:c r="CI64" s="178" t="str">
        <x:f>IF(COUNT(BH64:BN64)=0,"",AVERAGE(BH64:BN64)*4)</x:f>
      </x:c>
      <x:c r="CJ64" s="178" t="str">
        <x:f>IF(COUNT(BO64:BU64)=0,"",AVERAGE(BO64:BU64)*4)</x:f>
      </x:c>
      <x:c r="CK64" s="178" t="str">
        <x:f>IF(COUNT(BV64:CB64)=0,"",AVERAGE(BV64:CB64)*4)</x:f>
      </x:c>
      <x:c r="CL64" s="178" t="str">
        <x:f>IF(C64="","",IF(COUNT(G64:CB64)&lt;74,"",(CC64*'تنظیمات وزن‌دهی'!$C$5+CD64*'تنظیمات وزن‌دهی'!$C$6+CE64*'تنظیمات وزن‌دهی'!$C$7+CF64*'تنظیمات وزن‌دهی'!$C$8+CG64*'تنظیمات وزن‌دهی'!$C$9+CH64*'تنظیمات وزن‌دهی'!$C$10+CI64*'تنظیمات وزن‌دهی'!$C$11+CJ64*'تنظیمات وزن‌دهی'!$C$12+CK64*'تنظیمات وزن‌دهی'!$C$13)/100))</x:f>
      </x:c>
      <x:c r="CM64" s="178" t="str">
        <x:f>IF(C64="","",IF(COUNT(G64:CB64)=0,"",IF(COUNT(G64:CB64)&lt;74,"موقت - اطلاعات ناقص",IF(CL64&gt;=17,"عالی",IF(CL64&gt;=14,"خوب",IF(CL64&gt;=10,"متوسط","ضعیف"))))))</x:f>
      </x:c>
      <x:c r="CN64" s="178" t="n">
        <x:v>12</x:v>
      </x:c>
      <x:c r="CO64" s="142" t="n">
        <x:f>IF(C64="","",COUNT(G64:CB64)/74)</x:f>
        <x:v>0</x:v>
      </x:c>
      <x:c r="CP64" s="245"/>
    </x:row>
    <x:row r="65">
      <x:c r="A65" s="165" t="n">
        <x:v>61</x:v>
      </x:c>
      <x:c r="B65" s="233" t="str">
        <x:v>تیر</x:v>
      </x:c>
      <x:c r="C65" s="233" t="n">
        <x:f>IF('دانش‌آموزان'!E10="","",'دانش‌آموزان'!B10)</x:f>
        <x:v>6</x:v>
      </x:c>
      <x:c r="D65" s="233" t="str">
        <x:f>IF('دانش‌آموزان'!C10="","",'دانش‌آموزان'!C10)</x:f>
        <x:v>4000000063</x:v>
      </x:c>
      <x:c r="E65" s="233" t="str">
        <x:f>IF('دانش‌آموزان'!E10="","",'دانش‌آموزان'!E10&amp;" "&amp;'دانش‌آموزان'!F10)</x:f>
        <x:v>سارا خلیلی</x:v>
      </x:c>
      <x:c r="F65" s="166" t="str">
        <x:f>IF('دانش‌آموزان'!I10="","",'دانش‌آموزان'!I10)</x:f>
        <x:v>sample-7-a</x:v>
      </x:c>
      <x:c r="G65" s="114" t="n">
        <x:v>4</x:v>
      </x:c>
      <x:c r="H65" s="115" t="n">
        <x:v>5</x:v>
      </x:c>
      <x:c r="I65" s="115" t="n">
        <x:v>3</x:v>
      </x:c>
      <x:c r="J65" s="115" t="n">
        <x:v>5</x:v>
      </x:c>
      <x:c r="K65" s="115" t="n">
        <x:v>3</x:v>
      </x:c>
      <x:c r="L65" s="115" t="n">
        <x:v>4</x:v>
      </x:c>
      <x:c r="M65" s="115" t="n">
        <x:v>3</x:v>
      </x:c>
      <x:c r="N65" s="115" t="n">
        <x:v>4</x:v>
      </x:c>
      <x:c r="O65" s="115" t="n">
        <x:v>2</x:v>
      </x:c>
      <x:c r="P65" s="115" t="n">
        <x:v>4</x:v>
      </x:c>
      <x:c r="Q65" s="115" t="n">
        <x:v>5</x:v>
      </x:c>
      <x:c r="R65" s="115" t="n">
        <x:v>4</x:v>
      </x:c>
      <x:c r="S65" s="115" t="n">
        <x:v>5</x:v>
      </x:c>
      <x:c r="T65" s="115" t="n">
        <x:v>3</x:v>
      </x:c>
      <x:c r="U65" s="115" t="n">
        <x:v>5</x:v>
      </x:c>
      <x:c r="V65" s="115" t="n">
        <x:v>3</x:v>
      </x:c>
      <x:c r="W65" s="115" t="n">
        <x:v>4</x:v>
      </x:c>
      <x:c r="X65" s="115" t="n">
        <x:v>3</x:v>
      </x:c>
      <x:c r="Y65" s="115" t="n">
        <x:v>4</x:v>
      </x:c>
      <x:c r="Z65" s="115" t="n">
        <x:v>2</x:v>
      </x:c>
      <x:c r="AA65" s="115" t="n">
        <x:v>4</x:v>
      </x:c>
      <x:c r="AB65" s="115" t="n">
        <x:v>5</x:v>
      </x:c>
      <x:c r="AC65" s="115" t="n">
        <x:v>4</x:v>
      </x:c>
      <x:c r="AD65" s="115" t="n">
        <x:v>5</x:v>
      </x:c>
      <x:c r="AE65" s="115" t="n">
        <x:v>3</x:v>
      </x:c>
      <x:c r="AF65" s="115" t="n">
        <x:v>5</x:v>
      </x:c>
      <x:c r="AG65" s="115" t="n">
        <x:v>3</x:v>
      </x:c>
      <x:c r="AH65" s="115" t="n">
        <x:v>4</x:v>
      </x:c>
      <x:c r="AI65" s="115" t="n">
        <x:v>3</x:v>
      </x:c>
      <x:c r="AJ65" s="115" t="n">
        <x:v>4</x:v>
      </x:c>
      <x:c r="AK65" s="115" t="n">
        <x:v>2</x:v>
      </x:c>
      <x:c r="AL65" s="115" t="n">
        <x:v>4</x:v>
      </x:c>
      <x:c r="AM65" s="115" t="n">
        <x:v>5</x:v>
      </x:c>
      <x:c r="AN65" s="115" t="n">
        <x:v>4</x:v>
      </x:c>
      <x:c r="AO65" s="115" t="n">
        <x:v>5</x:v>
      </x:c>
      <x:c r="AP65" s="115" t="n">
        <x:v>3</x:v>
      </x:c>
      <x:c r="AQ65" s="115" t="n">
        <x:v>5</x:v>
      </x:c>
      <x:c r="AR65" s="115" t="n">
        <x:v>3</x:v>
      </x:c>
      <x:c r="AS65" s="115" t="n">
        <x:v>4</x:v>
      </x:c>
      <x:c r="AT65" s="115" t="n">
        <x:v>3</x:v>
      </x:c>
      <x:c r="AU65" s="115" t="n">
        <x:v>4</x:v>
      </x:c>
      <x:c r="AV65" s="115" t="n">
        <x:v>2</x:v>
      </x:c>
      <x:c r="AW65" s="115" t="n">
        <x:v>4</x:v>
      </x:c>
      <x:c r="AX65" s="115" t="n">
        <x:v>5</x:v>
      </x:c>
      <x:c r="AY65" s="115" t="n">
        <x:v>4</x:v>
      </x:c>
      <x:c r="AZ65" s="115" t="n">
        <x:v>5</x:v>
      </x:c>
      <x:c r="BA65" s="115" t="n">
        <x:v>3</x:v>
      </x:c>
      <x:c r="BB65" s="115" t="n">
        <x:v>5</x:v>
      </x:c>
      <x:c r="BC65" s="115" t="n">
        <x:v>3</x:v>
      </x:c>
      <x:c r="BD65" s="115" t="n">
        <x:v>4</x:v>
      </x:c>
      <x:c r="BE65" s="115" t="n">
        <x:v>3</x:v>
      </x:c>
      <x:c r="BF65" s="115" t="n">
        <x:v>4</x:v>
      </x:c>
      <x:c r="BG65" s="115" t="n">
        <x:v>2</x:v>
      </x:c>
      <x:c r="BH65" s="115" t="n">
        <x:v>4</x:v>
      </x:c>
      <x:c r="BI65" s="115" t="n">
        <x:v>5</x:v>
      </x:c>
      <x:c r="BJ65" s="115" t="n">
        <x:v>4</x:v>
      </x:c>
      <x:c r="BK65" s="115" t="n">
        <x:v>5</x:v>
      </x:c>
      <x:c r="BL65" s="115" t="n">
        <x:v>3</x:v>
      </x:c>
      <x:c r="BM65" s="115" t="n">
        <x:v>5</x:v>
      </x:c>
      <x:c r="BN65" s="115" t="n">
        <x:v>3</x:v>
      </x:c>
      <x:c r="BO65" s="115" t="n">
        <x:v>4</x:v>
      </x:c>
      <x:c r="BP65" s="115" t="n">
        <x:v>3</x:v>
      </x:c>
      <x:c r="BQ65" s="115" t="n">
        <x:v>4</x:v>
      </x:c>
      <x:c r="BR65" s="115" t="n">
        <x:v>2</x:v>
      </x:c>
      <x:c r="BS65" s="115" t="n">
        <x:v>4</x:v>
      </x:c>
      <x:c r="BT65" s="115" t="n">
        <x:v>5</x:v>
      </x:c>
      <x:c r="BU65" s="115" t="n">
        <x:v>4</x:v>
      </x:c>
      <x:c r="BV65" s="115" t="n">
        <x:v>5</x:v>
      </x:c>
      <x:c r="BW65" s="115" t="n">
        <x:v>3</x:v>
      </x:c>
      <x:c r="BX65" s="115" t="n">
        <x:v>5</x:v>
      </x:c>
      <x:c r="BY65" s="115" t="n">
        <x:v>3</x:v>
      </x:c>
      <x:c r="BZ65" s="115" t="n">
        <x:v>4</x:v>
      </x:c>
      <x:c r="CA65" s="115" t="n">
        <x:v>3</x:v>
      </x:c>
      <x:c r="CB65" s="116" t="n">
        <x:v>4</x:v>
      </x:c>
      <x:c r="CC65" s="141" t="n">
        <x:f>IF(COUNT(G65:P65)=0,"",AVERAGE(G65:P65)*4)</x:f>
        <x:v>14.8</x:v>
      </x:c>
      <x:c r="CD65" s="178" t="n">
        <x:f>IF(COUNT(Q65:Z65)=0,"",AVERAGE(Q65:Z65)*4)</x:f>
        <x:v>15.2</x:v>
      </x:c>
      <x:c r="CE65" s="178" t="n">
        <x:f>IF(COUNT(AA65:AJ65)=0,"",AVERAGE(AA65:AJ65)*4)</x:f>
        <x:v>16</x:v>
      </x:c>
      <x:c r="CF65" s="178" t="n">
        <x:f>IF(COUNT(AK65:AR65)=0,"",AVERAGE(AK65:AR65)*4)</x:f>
        <x:v>15.5</x:v>
      </x:c>
      <x:c r="CG65" s="178" t="n">
        <x:f>IF(COUNT(AS65:AY65)=0,"",AVERAGE(AS65:AY65)*4)</x:f>
        <x:v>14.857142857142858</x:v>
      </x:c>
      <x:c r="CH65" s="178" t="n">
        <x:f>IF(COUNT(AZ65:BG65)=0,"",AVERAGE(AZ65:BG65)*4)</x:f>
        <x:v>14.5</x:v>
      </x:c>
      <x:c r="CI65" s="178" t="n">
        <x:f>IF(COUNT(BH65:BN65)=0,"",AVERAGE(BH65:BN65)*4)</x:f>
        <x:v>16.571428571428573</x:v>
      </x:c>
      <x:c r="CJ65" s="178" t="n">
        <x:f>IF(COUNT(BO65:BU65)=0,"",AVERAGE(BO65:BU65)*4)</x:f>
        <x:v>14.857142857142858</x:v>
      </x:c>
      <x:c r="CK65" s="178" t="n">
        <x:f>IF(COUNT(BV65:CB65)=0,"",AVERAGE(BV65:CB65)*4)</x:f>
        <x:v>15.428571428571429</x:v>
      </x:c>
      <x:c r="CL65" s="178" t="n">
        <x:f>IF(C65="","",IF(COUNT(G65:CB65)&lt;74,"",(CC65*'تنظیمات وزن‌دهی'!$C$5+CD65*'تنظیمات وزن‌دهی'!$C$6+CE65*'تنظیمات وزن‌دهی'!$C$7+CF65*'تنظیمات وزن‌دهی'!$C$8+CG65*'تنظیمات وزن‌دهی'!$C$9+CH65*'تنظیمات وزن‌دهی'!$C$10+CI65*'تنظیمات وزن‌دهی'!$C$11+CJ65*'تنظیمات وزن‌دهی'!$C$12+CK65*'تنظیمات وزن‌دهی'!$C$13)/100))</x:f>
        <x:v>15.29642857142857</x:v>
      </x:c>
      <x:c r="CM65" s="178" t="str">
        <x:f>IF(C65="","",IF(COUNT(G65:CB65)=0,"",IF(COUNT(G65:CB65)&lt;74,"موقت - اطلاعات ناقص",IF(CL65&gt;=17,"عالی",IF(CL65&gt;=14,"خوب",IF(CL65&gt;=10,"متوسط","ضعیف"))))))</x:f>
        <x:v>خوب</x:v>
      </x:c>
      <x:c r="CN65" s="178" t="n">
        <x:v>1</x:v>
      </x:c>
      <x:c r="CO65" s="142" t="n">
        <x:f>IF(C65="","",COUNT(G65:CB65)/74)</x:f>
        <x:v>1</x:v>
      </x:c>
      <x:c r="CP65" s="245" t="str">
        <x:v>داده نمونه کامل برای ماه تیر - دانش‌آموز شماره 6</x:v>
      </x:c>
    </x:row>
    <x:row r="66">
      <x:c r="A66" s="165" t="n">
        <x:v>62</x:v>
      </x:c>
      <x:c r="B66" s="233" t="str">
        <x:v>مرداد</x:v>
      </x:c>
      <x:c r="C66" s="233" t="n">
        <x:f>IF('دانش‌آموزان'!E10="","",'دانش‌آموزان'!B10)</x:f>
        <x:v>6</x:v>
      </x:c>
      <x:c r="D66" s="233" t="str">
        <x:f>IF('دانش‌آموزان'!C10="","",'دانش‌آموزان'!C10)</x:f>
        <x:v>4000000063</x:v>
      </x:c>
      <x:c r="E66" s="233" t="str">
        <x:f>IF('دانش‌آموزان'!E10="","",'دانش‌آموزان'!E10&amp;" "&amp;'دانش‌آموزان'!F10)</x:f>
        <x:v>سارا خلیلی</x:v>
      </x:c>
      <x:c r="F66" s="166" t="str">
        <x:f>IF('دانش‌آموزان'!I10="","",'دانش‌آموزان'!I10)</x:f>
        <x:v>sample-7-a</x:v>
      </x:c>
      <x:c r="G66" s="114"/>
      <x:c r="H66" s="115"/>
      <x:c r="I66" s="115"/>
      <x:c r="J66" s="115"/>
      <x:c r="K66" s="115"/>
      <x:c r="L66" s="115"/>
      <x:c r="M66" s="115"/>
      <x:c r="N66" s="115"/>
      <x:c r="O66" s="115"/>
      <x:c r="P66" s="115"/>
      <x:c r="Q66" s="115"/>
      <x:c r="R66" s="115"/>
      <x:c r="S66" s="115"/>
      <x:c r="T66" s="115"/>
      <x:c r="U66" s="115"/>
      <x:c r="V66" s="115"/>
      <x:c r="W66" s="115"/>
      <x:c r="X66" s="115"/>
      <x:c r="Y66" s="115"/>
      <x:c r="Z66" s="115"/>
      <x:c r="AA66" s="115"/>
      <x:c r="AB66" s="115"/>
      <x:c r="AC66" s="115"/>
      <x:c r="AD66" s="115"/>
      <x:c r="AE66" s="115"/>
      <x:c r="AF66" s="115"/>
      <x:c r="AG66" s="115"/>
      <x:c r="AH66" s="115"/>
      <x:c r="AI66" s="115"/>
      <x:c r="AJ66" s="115"/>
      <x:c r="AK66" s="115"/>
      <x:c r="AL66" s="115"/>
      <x:c r="AM66" s="115"/>
      <x:c r="AN66" s="115"/>
      <x:c r="AO66" s="115"/>
      <x:c r="AP66" s="115"/>
      <x:c r="AQ66" s="115"/>
      <x:c r="AR66" s="115"/>
      <x:c r="AS66" s="115"/>
      <x:c r="AT66" s="115"/>
      <x:c r="AU66" s="115"/>
      <x:c r="AV66" s="115"/>
      <x:c r="AW66" s="115"/>
      <x:c r="AX66" s="115"/>
      <x:c r="AY66" s="115"/>
      <x:c r="AZ66" s="115"/>
      <x:c r="BA66" s="115"/>
      <x:c r="BB66" s="115"/>
      <x:c r="BC66" s="115"/>
      <x:c r="BD66" s="115"/>
      <x:c r="BE66" s="115"/>
      <x:c r="BF66" s="115"/>
      <x:c r="BG66" s="115"/>
      <x:c r="BH66" s="115"/>
      <x:c r="BI66" s="115"/>
      <x:c r="BJ66" s="115"/>
      <x:c r="BK66" s="115"/>
      <x:c r="BL66" s="115"/>
      <x:c r="BM66" s="115"/>
      <x:c r="BN66" s="115"/>
      <x:c r="BO66" s="115"/>
      <x:c r="BP66" s="115"/>
      <x:c r="BQ66" s="115"/>
      <x:c r="BR66" s="115"/>
      <x:c r="BS66" s="115"/>
      <x:c r="BT66" s="115"/>
      <x:c r="BU66" s="115"/>
      <x:c r="BV66" s="115"/>
      <x:c r="BW66" s="115"/>
      <x:c r="BX66" s="115"/>
      <x:c r="BY66" s="115"/>
      <x:c r="BZ66" s="115"/>
      <x:c r="CA66" s="115"/>
      <x:c r="CB66" s="116"/>
      <x:c r="CC66" s="141" t="str">
        <x:f>IF(COUNT(G66:P66)=0,"",AVERAGE(G66:P66)*4)</x:f>
      </x:c>
      <x:c r="CD66" s="178" t="str">
        <x:f>IF(COUNT(Q66:Z66)=0,"",AVERAGE(Q66:Z66)*4)</x:f>
      </x:c>
      <x:c r="CE66" s="178" t="str">
        <x:f>IF(COUNT(AA66:AJ66)=0,"",AVERAGE(AA66:AJ66)*4)</x:f>
      </x:c>
      <x:c r="CF66" s="178" t="str">
        <x:f>IF(COUNT(AK66:AR66)=0,"",AVERAGE(AK66:AR66)*4)</x:f>
      </x:c>
      <x:c r="CG66" s="178" t="str">
        <x:f>IF(COUNT(AS66:AY66)=0,"",AVERAGE(AS66:AY66)*4)</x:f>
      </x:c>
      <x:c r="CH66" s="178" t="str">
        <x:f>IF(COUNT(AZ66:BG66)=0,"",AVERAGE(AZ66:BG66)*4)</x:f>
      </x:c>
      <x:c r="CI66" s="178" t="str">
        <x:f>IF(COUNT(BH66:BN66)=0,"",AVERAGE(BH66:BN66)*4)</x:f>
      </x:c>
      <x:c r="CJ66" s="178" t="str">
        <x:f>IF(COUNT(BO66:BU66)=0,"",AVERAGE(BO66:BU66)*4)</x:f>
      </x:c>
      <x:c r="CK66" s="178" t="str">
        <x:f>IF(COUNT(BV66:CB66)=0,"",AVERAGE(BV66:CB66)*4)</x:f>
      </x:c>
      <x:c r="CL66" s="178" t="str">
        <x:f>IF(C66="","",IF(COUNT(G66:CB66)&lt;74,"",(CC66*'تنظیمات وزن‌دهی'!$C$5+CD66*'تنظیمات وزن‌دهی'!$C$6+CE66*'تنظیمات وزن‌دهی'!$C$7+CF66*'تنظیمات وزن‌دهی'!$C$8+CG66*'تنظیمات وزن‌دهی'!$C$9+CH66*'تنظیمات وزن‌دهی'!$C$10+CI66*'تنظیمات وزن‌دهی'!$C$11+CJ66*'تنظیمات وزن‌دهی'!$C$12+CK66*'تنظیمات وزن‌دهی'!$C$13)/100))</x:f>
      </x:c>
      <x:c r="CM66" s="178" t="str">
        <x:f>IF(C66="","",IF(COUNT(G66:CB66)=0,"",IF(COUNT(G66:CB66)&lt;74,"موقت - اطلاعات ناقص",IF(CL66&gt;=17,"عالی",IF(CL66&gt;=14,"خوب",IF(CL66&gt;=10,"متوسط","ضعیف"))))))</x:f>
      </x:c>
      <x:c r="CN66" s="178" t="n">
        <x:v>2</x:v>
      </x:c>
      <x:c r="CO66" s="142" t="n">
        <x:f>IF(C66="","",COUNT(G66:CB66)/74)</x:f>
        <x:v>0</x:v>
      </x:c>
      <x:c r="CP66" s="245"/>
    </x:row>
    <x:row r="67">
      <x:c r="A67" s="165" t="n">
        <x:v>63</x:v>
      </x:c>
      <x:c r="B67" s="233" t="str">
        <x:v>شهریور</x:v>
      </x:c>
      <x:c r="C67" s="233" t="n">
        <x:f>IF('دانش‌آموزان'!E10="","",'دانش‌آموزان'!B10)</x:f>
        <x:v>6</x:v>
      </x:c>
      <x:c r="D67" s="233" t="str">
        <x:f>IF('دانش‌آموزان'!C10="","",'دانش‌آموزان'!C10)</x:f>
        <x:v>4000000063</x:v>
      </x:c>
      <x:c r="E67" s="233" t="str">
        <x:f>IF('دانش‌آموزان'!E10="","",'دانش‌آموزان'!E10&amp;" "&amp;'دانش‌آموزان'!F10)</x:f>
        <x:v>سارا خلیلی</x:v>
      </x:c>
      <x:c r="F67" s="166" t="str">
        <x:f>IF('دانش‌آموزان'!I10="","",'دانش‌آموزان'!I10)</x:f>
        <x:v>sample-7-a</x:v>
      </x:c>
      <x:c r="G67" s="114"/>
      <x:c r="H67" s="115"/>
      <x:c r="I67" s="115"/>
      <x:c r="J67" s="115"/>
      <x:c r="K67" s="115"/>
      <x:c r="L67" s="115"/>
      <x:c r="M67" s="115"/>
      <x:c r="N67" s="115"/>
      <x:c r="O67" s="115"/>
      <x:c r="P67" s="115"/>
      <x:c r="Q67" s="115"/>
      <x:c r="R67" s="115"/>
      <x:c r="S67" s="115"/>
      <x:c r="T67" s="115"/>
      <x:c r="U67" s="115"/>
      <x:c r="V67" s="115"/>
      <x:c r="W67" s="115"/>
      <x:c r="X67" s="115"/>
      <x:c r="Y67" s="115"/>
      <x:c r="Z67" s="115"/>
      <x:c r="AA67" s="115"/>
      <x:c r="AB67" s="115"/>
      <x:c r="AC67" s="115"/>
      <x:c r="AD67" s="115"/>
      <x:c r="AE67" s="115"/>
      <x:c r="AF67" s="115"/>
      <x:c r="AG67" s="115"/>
      <x:c r="AH67" s="115"/>
      <x:c r="AI67" s="115"/>
      <x:c r="AJ67" s="115"/>
      <x:c r="AK67" s="115"/>
      <x:c r="AL67" s="115"/>
      <x:c r="AM67" s="115"/>
      <x:c r="AN67" s="115"/>
      <x:c r="AO67" s="115"/>
      <x:c r="AP67" s="115"/>
      <x:c r="AQ67" s="115"/>
      <x:c r="AR67" s="115"/>
      <x:c r="AS67" s="115"/>
      <x:c r="AT67" s="115"/>
      <x:c r="AU67" s="115"/>
      <x:c r="AV67" s="115"/>
      <x:c r="AW67" s="115"/>
      <x:c r="AX67" s="115"/>
      <x:c r="AY67" s="115"/>
      <x:c r="AZ67" s="115"/>
      <x:c r="BA67" s="115"/>
      <x:c r="BB67" s="115"/>
      <x:c r="BC67" s="115"/>
      <x:c r="BD67" s="115"/>
      <x:c r="BE67" s="115"/>
      <x:c r="BF67" s="115"/>
      <x:c r="BG67" s="115"/>
      <x:c r="BH67" s="115"/>
      <x:c r="BI67" s="115"/>
      <x:c r="BJ67" s="115"/>
      <x:c r="BK67" s="115"/>
      <x:c r="BL67" s="115"/>
      <x:c r="BM67" s="115"/>
      <x:c r="BN67" s="115"/>
      <x:c r="BO67" s="115"/>
      <x:c r="BP67" s="115"/>
      <x:c r="BQ67" s="115"/>
      <x:c r="BR67" s="115"/>
      <x:c r="BS67" s="115"/>
      <x:c r="BT67" s="115"/>
      <x:c r="BU67" s="115"/>
      <x:c r="BV67" s="115"/>
      <x:c r="BW67" s="115"/>
      <x:c r="BX67" s="115"/>
      <x:c r="BY67" s="115"/>
      <x:c r="BZ67" s="115"/>
      <x:c r="CA67" s="115"/>
      <x:c r="CB67" s="116"/>
      <x:c r="CC67" s="141" t="str">
        <x:f>IF(COUNT(G67:P67)=0,"",AVERAGE(G67:P67)*4)</x:f>
      </x:c>
      <x:c r="CD67" s="178" t="str">
        <x:f>IF(COUNT(Q67:Z67)=0,"",AVERAGE(Q67:Z67)*4)</x:f>
      </x:c>
      <x:c r="CE67" s="178" t="str">
        <x:f>IF(COUNT(AA67:AJ67)=0,"",AVERAGE(AA67:AJ67)*4)</x:f>
      </x:c>
      <x:c r="CF67" s="178" t="str">
        <x:f>IF(COUNT(AK67:AR67)=0,"",AVERAGE(AK67:AR67)*4)</x:f>
      </x:c>
      <x:c r="CG67" s="178" t="str">
        <x:f>IF(COUNT(AS67:AY67)=0,"",AVERAGE(AS67:AY67)*4)</x:f>
      </x:c>
      <x:c r="CH67" s="178" t="str">
        <x:f>IF(COUNT(AZ67:BG67)=0,"",AVERAGE(AZ67:BG67)*4)</x:f>
      </x:c>
      <x:c r="CI67" s="178" t="str">
        <x:f>IF(COUNT(BH67:BN67)=0,"",AVERAGE(BH67:BN67)*4)</x:f>
      </x:c>
      <x:c r="CJ67" s="178" t="str">
        <x:f>IF(COUNT(BO67:BU67)=0,"",AVERAGE(BO67:BU67)*4)</x:f>
      </x:c>
      <x:c r="CK67" s="178" t="str">
        <x:f>IF(COUNT(BV67:CB67)=0,"",AVERAGE(BV67:CB67)*4)</x:f>
      </x:c>
      <x:c r="CL67" s="178" t="str">
        <x:f>IF(C67="","",IF(COUNT(G67:CB67)&lt;74,"",(CC67*'تنظیمات وزن‌دهی'!$C$5+CD67*'تنظیمات وزن‌دهی'!$C$6+CE67*'تنظیمات وزن‌دهی'!$C$7+CF67*'تنظیمات وزن‌دهی'!$C$8+CG67*'تنظیمات وزن‌دهی'!$C$9+CH67*'تنظیمات وزن‌دهی'!$C$10+CI67*'تنظیمات وزن‌دهی'!$C$11+CJ67*'تنظیمات وزن‌دهی'!$C$12+CK67*'تنظیمات وزن‌دهی'!$C$13)/100))</x:f>
      </x:c>
      <x:c r="CM67" s="178" t="str">
        <x:f>IF(C67="","",IF(COUNT(G67:CB67)=0,"",IF(COUNT(G67:CB67)&lt;74,"موقت - اطلاعات ناقص",IF(CL67&gt;=17,"عالی",IF(CL67&gt;=14,"خوب",IF(CL67&gt;=10,"متوسط","ضعیف"))))))</x:f>
      </x:c>
      <x:c r="CN67" s="178" t="n">
        <x:v>3</x:v>
      </x:c>
      <x:c r="CO67" s="142" t="n">
        <x:f>IF(C67="","",COUNT(G67:CB67)/74)</x:f>
        <x:v>0</x:v>
      </x:c>
      <x:c r="CP67" s="245"/>
    </x:row>
    <x:row r="68">
      <x:c r="A68" s="165" t="n">
        <x:v>64</x:v>
      </x:c>
      <x:c r="B68" s="233" t="str">
        <x:v>مهر</x:v>
      </x:c>
      <x:c r="C68" s="233" t="n">
        <x:f>IF('دانش‌آموزان'!E10="","",'دانش‌آموزان'!B10)</x:f>
        <x:v>6</x:v>
      </x:c>
      <x:c r="D68" s="233" t="str">
        <x:f>IF('دانش‌آموزان'!C10="","",'دانش‌آموزان'!C10)</x:f>
        <x:v>4000000063</x:v>
      </x:c>
      <x:c r="E68" s="233" t="str">
        <x:f>IF('دانش‌آموزان'!E10="","",'دانش‌آموزان'!E10&amp;" "&amp;'دانش‌آموزان'!F10)</x:f>
        <x:v>سارا خلیلی</x:v>
      </x:c>
      <x:c r="F68" s="166" t="str">
        <x:f>IF('دانش‌آموزان'!I10="","",'دانش‌آموزان'!I10)</x:f>
        <x:v>sample-7-a</x:v>
      </x:c>
      <x:c r="G68" s="114"/>
      <x:c r="H68" s="115"/>
      <x:c r="I68" s="115"/>
      <x:c r="J68" s="115"/>
      <x:c r="K68" s="115"/>
      <x:c r="L68" s="115"/>
      <x:c r="M68" s="115"/>
      <x:c r="N68" s="115"/>
      <x:c r="O68" s="115"/>
      <x:c r="P68" s="115"/>
      <x:c r="Q68" s="115"/>
      <x:c r="R68" s="115"/>
      <x:c r="S68" s="115"/>
      <x:c r="T68" s="115"/>
      <x:c r="U68" s="115"/>
      <x:c r="V68" s="115"/>
      <x:c r="W68" s="115"/>
      <x:c r="X68" s="115"/>
      <x:c r="Y68" s="115"/>
      <x:c r="Z68" s="115"/>
      <x:c r="AA68" s="115"/>
      <x:c r="AB68" s="115"/>
      <x:c r="AC68" s="115"/>
      <x:c r="AD68" s="115"/>
      <x:c r="AE68" s="115"/>
      <x:c r="AF68" s="115"/>
      <x:c r="AG68" s="115"/>
      <x:c r="AH68" s="115"/>
      <x:c r="AI68" s="115"/>
      <x:c r="AJ68" s="115"/>
      <x:c r="AK68" s="115"/>
      <x:c r="AL68" s="115"/>
      <x:c r="AM68" s="115"/>
      <x:c r="AN68" s="115"/>
      <x:c r="AO68" s="115"/>
      <x:c r="AP68" s="115"/>
      <x:c r="AQ68" s="115"/>
      <x:c r="AR68" s="115"/>
      <x:c r="AS68" s="115"/>
      <x:c r="AT68" s="115"/>
      <x:c r="AU68" s="115"/>
      <x:c r="AV68" s="115"/>
      <x:c r="AW68" s="115"/>
      <x:c r="AX68" s="115"/>
      <x:c r="AY68" s="115"/>
      <x:c r="AZ68" s="115"/>
      <x:c r="BA68" s="115"/>
      <x:c r="BB68" s="115"/>
      <x:c r="BC68" s="115"/>
      <x:c r="BD68" s="115"/>
      <x:c r="BE68" s="115"/>
      <x:c r="BF68" s="115"/>
      <x:c r="BG68" s="115"/>
      <x:c r="BH68" s="115"/>
      <x:c r="BI68" s="115"/>
      <x:c r="BJ68" s="115"/>
      <x:c r="BK68" s="115"/>
      <x:c r="BL68" s="115"/>
      <x:c r="BM68" s="115"/>
      <x:c r="BN68" s="115"/>
      <x:c r="BO68" s="115"/>
      <x:c r="BP68" s="115"/>
      <x:c r="BQ68" s="115"/>
      <x:c r="BR68" s="115"/>
      <x:c r="BS68" s="115"/>
      <x:c r="BT68" s="115"/>
      <x:c r="BU68" s="115"/>
      <x:c r="BV68" s="115"/>
      <x:c r="BW68" s="115"/>
      <x:c r="BX68" s="115"/>
      <x:c r="BY68" s="115"/>
      <x:c r="BZ68" s="115"/>
      <x:c r="CA68" s="115"/>
      <x:c r="CB68" s="116"/>
      <x:c r="CC68" s="141" t="str">
        <x:f>IF(COUNT(G68:P68)=0,"",AVERAGE(G68:P68)*4)</x:f>
      </x:c>
      <x:c r="CD68" s="178" t="str">
        <x:f>IF(COUNT(Q68:Z68)=0,"",AVERAGE(Q68:Z68)*4)</x:f>
      </x:c>
      <x:c r="CE68" s="178" t="str">
        <x:f>IF(COUNT(AA68:AJ68)=0,"",AVERAGE(AA68:AJ68)*4)</x:f>
      </x:c>
      <x:c r="CF68" s="178" t="str">
        <x:f>IF(COUNT(AK68:AR68)=0,"",AVERAGE(AK68:AR68)*4)</x:f>
      </x:c>
      <x:c r="CG68" s="178" t="str">
        <x:f>IF(COUNT(AS68:AY68)=0,"",AVERAGE(AS68:AY68)*4)</x:f>
      </x:c>
      <x:c r="CH68" s="178" t="str">
        <x:f>IF(COUNT(AZ68:BG68)=0,"",AVERAGE(AZ68:BG68)*4)</x:f>
      </x:c>
      <x:c r="CI68" s="178" t="str">
        <x:f>IF(COUNT(BH68:BN68)=0,"",AVERAGE(BH68:BN68)*4)</x:f>
      </x:c>
      <x:c r="CJ68" s="178" t="str">
        <x:f>IF(COUNT(BO68:BU68)=0,"",AVERAGE(BO68:BU68)*4)</x:f>
      </x:c>
      <x:c r="CK68" s="178" t="str">
        <x:f>IF(COUNT(BV68:CB68)=0,"",AVERAGE(BV68:CB68)*4)</x:f>
      </x:c>
      <x:c r="CL68" s="178" t="str">
        <x:f>IF(C68="","",IF(COUNT(G68:CB68)&lt;74,"",(CC68*'تنظیمات وزن‌دهی'!$C$5+CD68*'تنظیمات وزن‌دهی'!$C$6+CE68*'تنظیمات وزن‌دهی'!$C$7+CF68*'تنظیمات وزن‌دهی'!$C$8+CG68*'تنظیمات وزن‌دهی'!$C$9+CH68*'تنظیمات وزن‌دهی'!$C$10+CI68*'تنظیمات وزن‌دهی'!$C$11+CJ68*'تنظیمات وزن‌دهی'!$C$12+CK68*'تنظیمات وزن‌دهی'!$C$13)/100))</x:f>
      </x:c>
      <x:c r="CM68" s="178" t="str">
        <x:f>IF(C68="","",IF(COUNT(G68:CB68)=0,"",IF(COUNT(G68:CB68)&lt;74,"موقت - اطلاعات ناقص",IF(CL68&gt;=17,"عالی",IF(CL68&gt;=14,"خوب",IF(CL68&gt;=10,"متوسط","ضعیف"))))))</x:f>
      </x:c>
      <x:c r="CN68" s="178" t="n">
        <x:v>4</x:v>
      </x:c>
      <x:c r="CO68" s="142" t="n">
        <x:f>IF(C68="","",COUNT(G68:CB68)/74)</x:f>
        <x:v>0</x:v>
      </x:c>
      <x:c r="CP68" s="245"/>
    </x:row>
    <x:row r="69">
      <x:c r="A69" s="165" t="n">
        <x:v>65</x:v>
      </x:c>
      <x:c r="B69" s="233" t="str">
        <x:v>آبان</x:v>
      </x:c>
      <x:c r="C69" s="233" t="n">
        <x:f>IF('دانش‌آموزان'!E10="","",'دانش‌آموزان'!B10)</x:f>
        <x:v>6</x:v>
      </x:c>
      <x:c r="D69" s="233" t="str">
        <x:f>IF('دانش‌آموزان'!C10="","",'دانش‌آموزان'!C10)</x:f>
        <x:v>4000000063</x:v>
      </x:c>
      <x:c r="E69" s="233" t="str">
        <x:f>IF('دانش‌آموزان'!E10="","",'دانش‌آموزان'!E10&amp;" "&amp;'دانش‌آموزان'!F10)</x:f>
        <x:v>سارا خلیلی</x:v>
      </x:c>
      <x:c r="F69" s="166" t="str">
        <x:f>IF('دانش‌آموزان'!I10="","",'دانش‌آموزان'!I10)</x:f>
        <x:v>sample-7-a</x:v>
      </x:c>
      <x:c r="G69" s="114"/>
      <x:c r="H69" s="115"/>
      <x:c r="I69" s="115"/>
      <x:c r="J69" s="115"/>
      <x:c r="K69" s="115"/>
      <x:c r="L69" s="115"/>
      <x:c r="M69" s="115"/>
      <x:c r="N69" s="115"/>
      <x:c r="O69" s="115"/>
      <x:c r="P69" s="115"/>
      <x:c r="Q69" s="115"/>
      <x:c r="R69" s="115"/>
      <x:c r="S69" s="115"/>
      <x:c r="T69" s="115"/>
      <x:c r="U69" s="115"/>
      <x:c r="V69" s="115"/>
      <x:c r="W69" s="115"/>
      <x:c r="X69" s="115"/>
      <x:c r="Y69" s="115"/>
      <x:c r="Z69" s="115"/>
      <x:c r="AA69" s="115"/>
      <x:c r="AB69" s="115"/>
      <x:c r="AC69" s="115"/>
      <x:c r="AD69" s="115"/>
      <x:c r="AE69" s="115"/>
      <x:c r="AF69" s="115"/>
      <x:c r="AG69" s="115"/>
      <x:c r="AH69" s="115"/>
      <x:c r="AI69" s="115"/>
      <x:c r="AJ69" s="115"/>
      <x:c r="AK69" s="115"/>
      <x:c r="AL69" s="115"/>
      <x:c r="AM69" s="115"/>
      <x:c r="AN69" s="115"/>
      <x:c r="AO69" s="115"/>
      <x:c r="AP69" s="115"/>
      <x:c r="AQ69" s="115"/>
      <x:c r="AR69" s="115"/>
      <x:c r="AS69" s="115"/>
      <x:c r="AT69" s="115"/>
      <x:c r="AU69" s="115"/>
      <x:c r="AV69" s="115"/>
      <x:c r="AW69" s="115"/>
      <x:c r="AX69" s="115"/>
      <x:c r="AY69" s="115"/>
      <x:c r="AZ69" s="115"/>
      <x:c r="BA69" s="115"/>
      <x:c r="BB69" s="115"/>
      <x:c r="BC69" s="115"/>
      <x:c r="BD69" s="115"/>
      <x:c r="BE69" s="115"/>
      <x:c r="BF69" s="115"/>
      <x:c r="BG69" s="115"/>
      <x:c r="BH69" s="115"/>
      <x:c r="BI69" s="115"/>
      <x:c r="BJ69" s="115"/>
      <x:c r="BK69" s="115"/>
      <x:c r="BL69" s="115"/>
      <x:c r="BM69" s="115"/>
      <x:c r="BN69" s="115"/>
      <x:c r="BO69" s="115"/>
      <x:c r="BP69" s="115"/>
      <x:c r="BQ69" s="115"/>
      <x:c r="BR69" s="115"/>
      <x:c r="BS69" s="115"/>
      <x:c r="BT69" s="115"/>
      <x:c r="BU69" s="115"/>
      <x:c r="BV69" s="115"/>
      <x:c r="BW69" s="115"/>
      <x:c r="BX69" s="115"/>
      <x:c r="BY69" s="115"/>
      <x:c r="BZ69" s="115"/>
      <x:c r="CA69" s="115"/>
      <x:c r="CB69" s="116"/>
      <x:c r="CC69" s="141" t="str">
        <x:f>IF(COUNT(G69:P69)=0,"",AVERAGE(G69:P69)*4)</x:f>
      </x:c>
      <x:c r="CD69" s="178" t="str">
        <x:f>IF(COUNT(Q69:Z69)=0,"",AVERAGE(Q69:Z69)*4)</x:f>
      </x:c>
      <x:c r="CE69" s="178" t="str">
        <x:f>IF(COUNT(AA69:AJ69)=0,"",AVERAGE(AA69:AJ69)*4)</x:f>
      </x:c>
      <x:c r="CF69" s="178" t="str">
        <x:f>IF(COUNT(AK69:AR69)=0,"",AVERAGE(AK69:AR69)*4)</x:f>
      </x:c>
      <x:c r="CG69" s="178" t="str">
        <x:f>IF(COUNT(AS69:AY69)=0,"",AVERAGE(AS69:AY69)*4)</x:f>
      </x:c>
      <x:c r="CH69" s="178" t="str">
        <x:f>IF(COUNT(AZ69:BG69)=0,"",AVERAGE(AZ69:BG69)*4)</x:f>
      </x:c>
      <x:c r="CI69" s="178" t="str">
        <x:f>IF(COUNT(BH69:BN69)=0,"",AVERAGE(BH69:BN69)*4)</x:f>
      </x:c>
      <x:c r="CJ69" s="178" t="str">
        <x:f>IF(COUNT(BO69:BU69)=0,"",AVERAGE(BO69:BU69)*4)</x:f>
      </x:c>
      <x:c r="CK69" s="178" t="str">
        <x:f>IF(COUNT(BV69:CB69)=0,"",AVERAGE(BV69:CB69)*4)</x:f>
      </x:c>
      <x:c r="CL69" s="178" t="str">
        <x:f>IF(C69="","",IF(COUNT(G69:CB69)&lt;74,"",(CC69*'تنظیمات وزن‌دهی'!$C$5+CD69*'تنظیمات وزن‌دهی'!$C$6+CE69*'تنظیمات وزن‌دهی'!$C$7+CF69*'تنظیمات وزن‌دهی'!$C$8+CG69*'تنظیمات وزن‌دهی'!$C$9+CH69*'تنظیمات وزن‌دهی'!$C$10+CI69*'تنظیمات وزن‌دهی'!$C$11+CJ69*'تنظیمات وزن‌دهی'!$C$12+CK69*'تنظیمات وزن‌دهی'!$C$13)/100))</x:f>
      </x:c>
      <x:c r="CM69" s="178" t="str">
        <x:f>IF(C69="","",IF(COUNT(G69:CB69)=0,"",IF(COUNT(G69:CB69)&lt;74,"موقت - اطلاعات ناقص",IF(CL69&gt;=17,"عالی",IF(CL69&gt;=14,"خوب",IF(CL69&gt;=10,"متوسط","ضعیف"))))))</x:f>
      </x:c>
      <x:c r="CN69" s="178" t="n">
        <x:v>5</x:v>
      </x:c>
      <x:c r="CO69" s="142" t="n">
        <x:f>IF(C69="","",COUNT(G69:CB69)/74)</x:f>
        <x:v>0</x:v>
      </x:c>
      <x:c r="CP69" s="245"/>
    </x:row>
    <x:row r="70">
      <x:c r="A70" s="165" t="n">
        <x:v>66</x:v>
      </x:c>
      <x:c r="B70" s="233" t="str">
        <x:v>آذر</x:v>
      </x:c>
      <x:c r="C70" s="233" t="n">
        <x:f>IF('دانش‌آموزان'!E10="","",'دانش‌آموزان'!B10)</x:f>
        <x:v>6</x:v>
      </x:c>
      <x:c r="D70" s="233" t="str">
        <x:f>IF('دانش‌آموزان'!C10="","",'دانش‌آموزان'!C10)</x:f>
        <x:v>4000000063</x:v>
      </x:c>
      <x:c r="E70" s="233" t="str">
        <x:f>IF('دانش‌آموزان'!E10="","",'دانش‌آموزان'!E10&amp;" "&amp;'دانش‌آموزان'!F10)</x:f>
        <x:v>سارا خلیلی</x:v>
      </x:c>
      <x:c r="F70" s="166" t="str">
        <x:f>IF('دانش‌آموزان'!I10="","",'دانش‌آموزان'!I10)</x:f>
        <x:v>sample-7-a</x:v>
      </x:c>
      <x:c r="G70" s="114"/>
      <x:c r="H70" s="115"/>
      <x:c r="I70" s="115"/>
      <x:c r="J70" s="115"/>
      <x:c r="K70" s="115"/>
      <x:c r="L70" s="115"/>
      <x:c r="M70" s="115"/>
      <x:c r="N70" s="115"/>
      <x:c r="O70" s="115"/>
      <x:c r="P70" s="115"/>
      <x:c r="Q70" s="115"/>
      <x:c r="R70" s="115"/>
      <x:c r="S70" s="115"/>
      <x:c r="T70" s="115"/>
      <x:c r="U70" s="115"/>
      <x:c r="V70" s="115"/>
      <x:c r="W70" s="115"/>
      <x:c r="X70" s="115"/>
      <x:c r="Y70" s="115"/>
      <x:c r="Z70" s="115"/>
      <x:c r="AA70" s="115"/>
      <x:c r="AB70" s="115"/>
      <x:c r="AC70" s="115"/>
      <x:c r="AD70" s="115"/>
      <x:c r="AE70" s="115"/>
      <x:c r="AF70" s="115"/>
      <x:c r="AG70" s="115"/>
      <x:c r="AH70" s="115"/>
      <x:c r="AI70" s="115"/>
      <x:c r="AJ70" s="115"/>
      <x:c r="AK70" s="115"/>
      <x:c r="AL70" s="115"/>
      <x:c r="AM70" s="115"/>
      <x:c r="AN70" s="115"/>
      <x:c r="AO70" s="115"/>
      <x:c r="AP70" s="115"/>
      <x:c r="AQ70" s="115"/>
      <x:c r="AR70" s="115"/>
      <x:c r="AS70" s="115"/>
      <x:c r="AT70" s="115"/>
      <x:c r="AU70" s="115"/>
      <x:c r="AV70" s="115"/>
      <x:c r="AW70" s="115"/>
      <x:c r="AX70" s="115"/>
      <x:c r="AY70" s="115"/>
      <x:c r="AZ70" s="115"/>
      <x:c r="BA70" s="115"/>
      <x:c r="BB70" s="115"/>
      <x:c r="BC70" s="115"/>
      <x:c r="BD70" s="115"/>
      <x:c r="BE70" s="115"/>
      <x:c r="BF70" s="115"/>
      <x:c r="BG70" s="115"/>
      <x:c r="BH70" s="115"/>
      <x:c r="BI70" s="115"/>
      <x:c r="BJ70" s="115"/>
      <x:c r="BK70" s="115"/>
      <x:c r="BL70" s="115"/>
      <x:c r="BM70" s="115"/>
      <x:c r="BN70" s="115"/>
      <x:c r="BO70" s="115"/>
      <x:c r="BP70" s="115"/>
      <x:c r="BQ70" s="115"/>
      <x:c r="BR70" s="115"/>
      <x:c r="BS70" s="115"/>
      <x:c r="BT70" s="115"/>
      <x:c r="BU70" s="115"/>
      <x:c r="BV70" s="115"/>
      <x:c r="BW70" s="115"/>
      <x:c r="BX70" s="115"/>
      <x:c r="BY70" s="115"/>
      <x:c r="BZ70" s="115"/>
      <x:c r="CA70" s="115"/>
      <x:c r="CB70" s="116"/>
      <x:c r="CC70" s="141" t="str">
        <x:f>IF(COUNT(G70:P70)=0,"",AVERAGE(G70:P70)*4)</x:f>
      </x:c>
      <x:c r="CD70" s="178" t="str">
        <x:f>IF(COUNT(Q70:Z70)=0,"",AVERAGE(Q70:Z70)*4)</x:f>
      </x:c>
      <x:c r="CE70" s="178" t="str">
        <x:f>IF(COUNT(AA70:AJ70)=0,"",AVERAGE(AA70:AJ70)*4)</x:f>
      </x:c>
      <x:c r="CF70" s="178" t="str">
        <x:f>IF(COUNT(AK70:AR70)=0,"",AVERAGE(AK70:AR70)*4)</x:f>
      </x:c>
      <x:c r="CG70" s="178" t="str">
        <x:f>IF(COUNT(AS70:AY70)=0,"",AVERAGE(AS70:AY70)*4)</x:f>
      </x:c>
      <x:c r="CH70" s="178" t="str">
        <x:f>IF(COUNT(AZ70:BG70)=0,"",AVERAGE(AZ70:BG70)*4)</x:f>
      </x:c>
      <x:c r="CI70" s="178" t="str">
        <x:f>IF(COUNT(BH70:BN70)=0,"",AVERAGE(BH70:BN70)*4)</x:f>
      </x:c>
      <x:c r="CJ70" s="178" t="str">
        <x:f>IF(COUNT(BO70:BU70)=0,"",AVERAGE(BO70:BU70)*4)</x:f>
      </x:c>
      <x:c r="CK70" s="178" t="str">
        <x:f>IF(COUNT(BV70:CB70)=0,"",AVERAGE(BV70:CB70)*4)</x:f>
      </x:c>
      <x:c r="CL70" s="178" t="str">
        <x:f>IF(C70="","",IF(COUNT(G70:CB70)&lt;74,"",(CC70*'تنظیمات وزن‌دهی'!$C$5+CD70*'تنظیمات وزن‌دهی'!$C$6+CE70*'تنظیمات وزن‌دهی'!$C$7+CF70*'تنظیمات وزن‌دهی'!$C$8+CG70*'تنظیمات وزن‌دهی'!$C$9+CH70*'تنظیمات وزن‌دهی'!$C$10+CI70*'تنظیمات وزن‌دهی'!$C$11+CJ70*'تنظیمات وزن‌دهی'!$C$12+CK70*'تنظیمات وزن‌دهی'!$C$13)/100))</x:f>
      </x:c>
      <x:c r="CM70" s="178" t="str">
        <x:f>IF(C70="","",IF(COUNT(G70:CB70)=0,"",IF(COUNT(G70:CB70)&lt;74,"موقت - اطلاعات ناقص",IF(CL70&gt;=17,"عالی",IF(CL70&gt;=14,"خوب",IF(CL70&gt;=10,"متوسط","ضعیف"))))))</x:f>
      </x:c>
      <x:c r="CN70" s="178" t="n">
        <x:v>6</x:v>
      </x:c>
      <x:c r="CO70" s="142" t="n">
        <x:f>IF(C70="","",COUNT(G70:CB70)/74)</x:f>
        <x:v>0</x:v>
      </x:c>
      <x:c r="CP70" s="245"/>
    </x:row>
    <x:row r="71">
      <x:c r="A71" s="165" t="n">
        <x:v>67</x:v>
      </x:c>
      <x:c r="B71" s="233" t="str">
        <x:v>دی</x:v>
      </x:c>
      <x:c r="C71" s="233" t="n">
        <x:f>IF('دانش‌آموزان'!E10="","",'دانش‌آموزان'!B10)</x:f>
        <x:v>6</x:v>
      </x:c>
      <x:c r="D71" s="233" t="str">
        <x:f>IF('دانش‌آموزان'!C10="","",'دانش‌آموزان'!C10)</x:f>
        <x:v>4000000063</x:v>
      </x:c>
      <x:c r="E71" s="233" t="str">
        <x:f>IF('دانش‌آموزان'!E10="","",'دانش‌آموزان'!E10&amp;" "&amp;'دانش‌آموزان'!F10)</x:f>
        <x:v>سارا خلیلی</x:v>
      </x:c>
      <x:c r="F71" s="166" t="str">
        <x:f>IF('دانش‌آموزان'!I10="","",'دانش‌آموزان'!I10)</x:f>
        <x:v>sample-7-a</x:v>
      </x:c>
      <x:c r="G71" s="114"/>
      <x:c r="H71" s="115"/>
      <x:c r="I71" s="115"/>
      <x:c r="J71" s="115"/>
      <x:c r="K71" s="115"/>
      <x:c r="L71" s="115"/>
      <x:c r="M71" s="115"/>
      <x:c r="N71" s="115"/>
      <x:c r="O71" s="115"/>
      <x:c r="P71" s="115"/>
      <x:c r="Q71" s="115"/>
      <x:c r="R71" s="115"/>
      <x:c r="S71" s="115"/>
      <x:c r="T71" s="115"/>
      <x:c r="U71" s="115"/>
      <x:c r="V71" s="115"/>
      <x:c r="W71" s="115"/>
      <x:c r="X71" s="115"/>
      <x:c r="Y71" s="115"/>
      <x:c r="Z71" s="115"/>
      <x:c r="AA71" s="115"/>
      <x:c r="AB71" s="115"/>
      <x:c r="AC71" s="115"/>
      <x:c r="AD71" s="115"/>
      <x:c r="AE71" s="115"/>
      <x:c r="AF71" s="115"/>
      <x:c r="AG71" s="115"/>
      <x:c r="AH71" s="115"/>
      <x:c r="AI71" s="115"/>
      <x:c r="AJ71" s="115"/>
      <x:c r="AK71" s="115"/>
      <x:c r="AL71" s="115"/>
      <x:c r="AM71" s="115"/>
      <x:c r="AN71" s="115"/>
      <x:c r="AO71" s="115"/>
      <x:c r="AP71" s="115"/>
      <x:c r="AQ71" s="115"/>
      <x:c r="AR71" s="115"/>
      <x:c r="AS71" s="115"/>
      <x:c r="AT71" s="115"/>
      <x:c r="AU71" s="115"/>
      <x:c r="AV71" s="115"/>
      <x:c r="AW71" s="115"/>
      <x:c r="AX71" s="115"/>
      <x:c r="AY71" s="115"/>
      <x:c r="AZ71" s="115"/>
      <x:c r="BA71" s="115"/>
      <x:c r="BB71" s="115"/>
      <x:c r="BC71" s="115"/>
      <x:c r="BD71" s="115"/>
      <x:c r="BE71" s="115"/>
      <x:c r="BF71" s="115"/>
      <x:c r="BG71" s="115"/>
      <x:c r="BH71" s="115"/>
      <x:c r="BI71" s="115"/>
      <x:c r="BJ71" s="115"/>
      <x:c r="BK71" s="115"/>
      <x:c r="BL71" s="115"/>
      <x:c r="BM71" s="115"/>
      <x:c r="BN71" s="115"/>
      <x:c r="BO71" s="115"/>
      <x:c r="BP71" s="115"/>
      <x:c r="BQ71" s="115"/>
      <x:c r="BR71" s="115"/>
      <x:c r="BS71" s="115"/>
      <x:c r="BT71" s="115"/>
      <x:c r="BU71" s="115"/>
      <x:c r="BV71" s="115"/>
      <x:c r="BW71" s="115"/>
      <x:c r="BX71" s="115"/>
      <x:c r="BY71" s="115"/>
      <x:c r="BZ71" s="115"/>
      <x:c r="CA71" s="115"/>
      <x:c r="CB71" s="116"/>
      <x:c r="CC71" s="141" t="str">
        <x:f>IF(COUNT(G71:P71)=0,"",AVERAGE(G71:P71)*4)</x:f>
      </x:c>
      <x:c r="CD71" s="178" t="str">
        <x:f>IF(COUNT(Q71:Z71)=0,"",AVERAGE(Q71:Z71)*4)</x:f>
      </x:c>
      <x:c r="CE71" s="178" t="str">
        <x:f>IF(COUNT(AA71:AJ71)=0,"",AVERAGE(AA71:AJ71)*4)</x:f>
      </x:c>
      <x:c r="CF71" s="178" t="str">
        <x:f>IF(COUNT(AK71:AR71)=0,"",AVERAGE(AK71:AR71)*4)</x:f>
      </x:c>
      <x:c r="CG71" s="178" t="str">
        <x:f>IF(COUNT(AS71:AY71)=0,"",AVERAGE(AS71:AY71)*4)</x:f>
      </x:c>
      <x:c r="CH71" s="178" t="str">
        <x:f>IF(COUNT(AZ71:BG71)=0,"",AVERAGE(AZ71:BG71)*4)</x:f>
      </x:c>
      <x:c r="CI71" s="178" t="str">
        <x:f>IF(COUNT(BH71:BN71)=0,"",AVERAGE(BH71:BN71)*4)</x:f>
      </x:c>
      <x:c r="CJ71" s="178" t="str">
        <x:f>IF(COUNT(BO71:BU71)=0,"",AVERAGE(BO71:BU71)*4)</x:f>
      </x:c>
      <x:c r="CK71" s="178" t="str">
        <x:f>IF(COUNT(BV71:CB71)=0,"",AVERAGE(BV71:CB71)*4)</x:f>
      </x:c>
      <x:c r="CL71" s="178" t="str">
        <x:f>IF(C71="","",IF(COUNT(G71:CB71)&lt;74,"",(CC71*'تنظیمات وزن‌دهی'!$C$5+CD71*'تنظیمات وزن‌دهی'!$C$6+CE71*'تنظیمات وزن‌دهی'!$C$7+CF71*'تنظیمات وزن‌دهی'!$C$8+CG71*'تنظیمات وزن‌دهی'!$C$9+CH71*'تنظیمات وزن‌دهی'!$C$10+CI71*'تنظیمات وزن‌دهی'!$C$11+CJ71*'تنظیمات وزن‌دهی'!$C$12+CK71*'تنظیمات وزن‌دهی'!$C$13)/100))</x:f>
      </x:c>
      <x:c r="CM71" s="178" t="str">
        <x:f>IF(C71="","",IF(COUNT(G71:CB71)=0,"",IF(COUNT(G71:CB71)&lt;74,"موقت - اطلاعات ناقص",IF(CL71&gt;=17,"عالی",IF(CL71&gt;=14,"خوب",IF(CL71&gt;=10,"متوسط","ضعیف"))))))</x:f>
      </x:c>
      <x:c r="CN71" s="178" t="n">
        <x:v>7</x:v>
      </x:c>
      <x:c r="CO71" s="142" t="n">
        <x:f>IF(C71="","",COUNT(G71:CB71)/74)</x:f>
        <x:v>0</x:v>
      </x:c>
      <x:c r="CP71" s="245"/>
    </x:row>
    <x:row r="72">
      <x:c r="A72" s="165" t="n">
        <x:v>68</x:v>
      </x:c>
      <x:c r="B72" s="233" t="str">
        <x:v>بهمن</x:v>
      </x:c>
      <x:c r="C72" s="233" t="n">
        <x:f>IF('دانش‌آموزان'!E10="","",'دانش‌آموزان'!B10)</x:f>
        <x:v>6</x:v>
      </x:c>
      <x:c r="D72" s="233" t="str">
        <x:f>IF('دانش‌آموزان'!C10="","",'دانش‌آموزان'!C10)</x:f>
        <x:v>4000000063</x:v>
      </x:c>
      <x:c r="E72" s="233" t="str">
        <x:f>IF('دانش‌آموزان'!E10="","",'دانش‌آموزان'!E10&amp;" "&amp;'دانش‌آموزان'!F10)</x:f>
        <x:v>سارا خلیلی</x:v>
      </x:c>
      <x:c r="F72" s="166" t="str">
        <x:f>IF('دانش‌آموزان'!I10="","",'دانش‌آموزان'!I10)</x:f>
        <x:v>sample-7-a</x:v>
      </x:c>
      <x:c r="G72" s="114"/>
      <x:c r="H72" s="115"/>
      <x:c r="I72" s="115"/>
      <x:c r="J72" s="115"/>
      <x:c r="K72" s="115"/>
      <x:c r="L72" s="115"/>
      <x:c r="M72" s="115"/>
      <x:c r="N72" s="115"/>
      <x:c r="O72" s="115"/>
      <x:c r="P72" s="115"/>
      <x:c r="Q72" s="115"/>
      <x:c r="R72" s="115"/>
      <x:c r="S72" s="115"/>
      <x:c r="T72" s="115"/>
      <x:c r="U72" s="115"/>
      <x:c r="V72" s="115"/>
      <x:c r="W72" s="115"/>
      <x:c r="X72" s="115"/>
      <x:c r="Y72" s="115"/>
      <x:c r="Z72" s="115"/>
      <x:c r="AA72" s="115"/>
      <x:c r="AB72" s="115"/>
      <x:c r="AC72" s="115"/>
      <x:c r="AD72" s="115"/>
      <x:c r="AE72" s="115"/>
      <x:c r="AF72" s="115"/>
      <x:c r="AG72" s="115"/>
      <x:c r="AH72" s="115"/>
      <x:c r="AI72" s="115"/>
      <x:c r="AJ72" s="115"/>
      <x:c r="AK72" s="115"/>
      <x:c r="AL72" s="115"/>
      <x:c r="AM72" s="115"/>
      <x:c r="AN72" s="115"/>
      <x:c r="AO72" s="115"/>
      <x:c r="AP72" s="115"/>
      <x:c r="AQ72" s="115"/>
      <x:c r="AR72" s="115"/>
      <x:c r="AS72" s="115"/>
      <x:c r="AT72" s="115"/>
      <x:c r="AU72" s="115"/>
      <x:c r="AV72" s="115"/>
      <x:c r="AW72" s="115"/>
      <x:c r="AX72" s="115"/>
      <x:c r="AY72" s="115"/>
      <x:c r="AZ72" s="115"/>
      <x:c r="BA72" s="115"/>
      <x:c r="BB72" s="115"/>
      <x:c r="BC72" s="115"/>
      <x:c r="BD72" s="115"/>
      <x:c r="BE72" s="115"/>
      <x:c r="BF72" s="115"/>
      <x:c r="BG72" s="115"/>
      <x:c r="BH72" s="115"/>
      <x:c r="BI72" s="115"/>
      <x:c r="BJ72" s="115"/>
      <x:c r="BK72" s="115"/>
      <x:c r="BL72" s="115"/>
      <x:c r="BM72" s="115"/>
      <x:c r="BN72" s="115"/>
      <x:c r="BO72" s="115"/>
      <x:c r="BP72" s="115"/>
      <x:c r="BQ72" s="115"/>
      <x:c r="BR72" s="115"/>
      <x:c r="BS72" s="115"/>
      <x:c r="BT72" s="115"/>
      <x:c r="BU72" s="115"/>
      <x:c r="BV72" s="115"/>
      <x:c r="BW72" s="115"/>
      <x:c r="BX72" s="115"/>
      <x:c r="BY72" s="115"/>
      <x:c r="BZ72" s="115"/>
      <x:c r="CA72" s="115"/>
      <x:c r="CB72" s="116"/>
      <x:c r="CC72" s="141" t="str">
        <x:f>IF(COUNT(G72:P72)=0,"",AVERAGE(G72:P72)*4)</x:f>
      </x:c>
      <x:c r="CD72" s="178" t="str">
        <x:f>IF(COUNT(Q72:Z72)=0,"",AVERAGE(Q72:Z72)*4)</x:f>
      </x:c>
      <x:c r="CE72" s="178" t="str">
        <x:f>IF(COUNT(AA72:AJ72)=0,"",AVERAGE(AA72:AJ72)*4)</x:f>
      </x:c>
      <x:c r="CF72" s="178" t="str">
        <x:f>IF(COUNT(AK72:AR72)=0,"",AVERAGE(AK72:AR72)*4)</x:f>
      </x:c>
      <x:c r="CG72" s="178" t="str">
        <x:f>IF(COUNT(AS72:AY72)=0,"",AVERAGE(AS72:AY72)*4)</x:f>
      </x:c>
      <x:c r="CH72" s="178" t="str">
        <x:f>IF(COUNT(AZ72:BG72)=0,"",AVERAGE(AZ72:BG72)*4)</x:f>
      </x:c>
      <x:c r="CI72" s="178" t="str">
        <x:f>IF(COUNT(BH72:BN72)=0,"",AVERAGE(BH72:BN72)*4)</x:f>
      </x:c>
      <x:c r="CJ72" s="178" t="str">
        <x:f>IF(COUNT(BO72:BU72)=0,"",AVERAGE(BO72:BU72)*4)</x:f>
      </x:c>
      <x:c r="CK72" s="178" t="str">
        <x:f>IF(COUNT(BV72:CB72)=0,"",AVERAGE(BV72:CB72)*4)</x:f>
      </x:c>
      <x:c r="CL72" s="178" t="str">
        <x:f>IF(C72="","",IF(COUNT(G72:CB72)&lt;74,"",(CC72*'تنظیمات وزن‌دهی'!$C$5+CD72*'تنظیمات وزن‌دهی'!$C$6+CE72*'تنظیمات وزن‌دهی'!$C$7+CF72*'تنظیمات وزن‌دهی'!$C$8+CG72*'تنظیمات وزن‌دهی'!$C$9+CH72*'تنظیمات وزن‌دهی'!$C$10+CI72*'تنظیمات وزن‌دهی'!$C$11+CJ72*'تنظیمات وزن‌دهی'!$C$12+CK72*'تنظیمات وزن‌دهی'!$C$13)/100))</x:f>
      </x:c>
      <x:c r="CM72" s="178" t="str">
        <x:f>IF(C72="","",IF(COUNT(G72:CB72)=0,"",IF(COUNT(G72:CB72)&lt;74,"موقت - اطلاعات ناقص",IF(CL72&gt;=17,"عالی",IF(CL72&gt;=14,"خوب",IF(CL72&gt;=10,"متوسط","ضعیف"))))))</x:f>
      </x:c>
      <x:c r="CN72" s="178" t="n">
        <x:v>8</x:v>
      </x:c>
      <x:c r="CO72" s="142" t="n">
        <x:f>IF(C72="","",COUNT(G72:CB72)/74)</x:f>
        <x:v>0</x:v>
      </x:c>
      <x:c r="CP72" s="245"/>
    </x:row>
    <x:row r="73">
      <x:c r="A73" s="165" t="n">
        <x:v>69</x:v>
      </x:c>
      <x:c r="B73" s="233" t="str">
        <x:v>اسفند</x:v>
      </x:c>
      <x:c r="C73" s="233" t="n">
        <x:f>IF('دانش‌آموزان'!E10="","",'دانش‌آموزان'!B10)</x:f>
        <x:v>6</x:v>
      </x:c>
      <x:c r="D73" s="233" t="str">
        <x:f>IF('دانش‌آموزان'!C10="","",'دانش‌آموزان'!C10)</x:f>
        <x:v>4000000063</x:v>
      </x:c>
      <x:c r="E73" s="233" t="str">
        <x:f>IF('دانش‌آموزان'!E10="","",'دانش‌آموزان'!E10&amp;" "&amp;'دانش‌آموزان'!F10)</x:f>
        <x:v>سارا خلیلی</x:v>
      </x:c>
      <x:c r="F73" s="166" t="str">
        <x:f>IF('دانش‌آموزان'!I10="","",'دانش‌آموزان'!I10)</x:f>
        <x:v>sample-7-a</x:v>
      </x:c>
      <x:c r="G73" s="114"/>
      <x:c r="H73" s="115"/>
      <x:c r="I73" s="115"/>
      <x:c r="J73" s="115"/>
      <x:c r="K73" s="115"/>
      <x:c r="L73" s="115"/>
      <x:c r="M73" s="115"/>
      <x:c r="N73" s="115"/>
      <x:c r="O73" s="115"/>
      <x:c r="P73" s="115"/>
      <x:c r="Q73" s="115"/>
      <x:c r="R73" s="115"/>
      <x:c r="S73" s="115"/>
      <x:c r="T73" s="115"/>
      <x:c r="U73" s="115"/>
      <x:c r="V73" s="115"/>
      <x:c r="W73" s="115"/>
      <x:c r="X73" s="115"/>
      <x:c r="Y73" s="115"/>
      <x:c r="Z73" s="115"/>
      <x:c r="AA73" s="115"/>
      <x:c r="AB73" s="115"/>
      <x:c r="AC73" s="115"/>
      <x:c r="AD73" s="115"/>
      <x:c r="AE73" s="115"/>
      <x:c r="AF73" s="115"/>
      <x:c r="AG73" s="115"/>
      <x:c r="AH73" s="115"/>
      <x:c r="AI73" s="115"/>
      <x:c r="AJ73" s="115"/>
      <x:c r="AK73" s="115"/>
      <x:c r="AL73" s="115"/>
      <x:c r="AM73" s="115"/>
      <x:c r="AN73" s="115"/>
      <x:c r="AO73" s="115"/>
      <x:c r="AP73" s="115"/>
      <x:c r="AQ73" s="115"/>
      <x:c r="AR73" s="115"/>
      <x:c r="AS73" s="115"/>
      <x:c r="AT73" s="115"/>
      <x:c r="AU73" s="115"/>
      <x:c r="AV73" s="115"/>
      <x:c r="AW73" s="115"/>
      <x:c r="AX73" s="115"/>
      <x:c r="AY73" s="115"/>
      <x:c r="AZ73" s="115"/>
      <x:c r="BA73" s="115"/>
      <x:c r="BB73" s="115"/>
      <x:c r="BC73" s="115"/>
      <x:c r="BD73" s="115"/>
      <x:c r="BE73" s="115"/>
      <x:c r="BF73" s="115"/>
      <x:c r="BG73" s="115"/>
      <x:c r="BH73" s="115"/>
      <x:c r="BI73" s="115"/>
      <x:c r="BJ73" s="115"/>
      <x:c r="BK73" s="115"/>
      <x:c r="BL73" s="115"/>
      <x:c r="BM73" s="115"/>
      <x:c r="BN73" s="115"/>
      <x:c r="BO73" s="115"/>
      <x:c r="BP73" s="115"/>
      <x:c r="BQ73" s="115"/>
      <x:c r="BR73" s="115"/>
      <x:c r="BS73" s="115"/>
      <x:c r="BT73" s="115"/>
      <x:c r="BU73" s="115"/>
      <x:c r="BV73" s="115"/>
      <x:c r="BW73" s="115"/>
      <x:c r="BX73" s="115"/>
      <x:c r="BY73" s="115"/>
      <x:c r="BZ73" s="115"/>
      <x:c r="CA73" s="115"/>
      <x:c r="CB73" s="116"/>
      <x:c r="CC73" s="141" t="str">
        <x:f>IF(COUNT(G73:P73)=0,"",AVERAGE(G73:P73)*4)</x:f>
      </x:c>
      <x:c r="CD73" s="178" t="str">
        <x:f>IF(COUNT(Q73:Z73)=0,"",AVERAGE(Q73:Z73)*4)</x:f>
      </x:c>
      <x:c r="CE73" s="178" t="str">
        <x:f>IF(COUNT(AA73:AJ73)=0,"",AVERAGE(AA73:AJ73)*4)</x:f>
      </x:c>
      <x:c r="CF73" s="178" t="str">
        <x:f>IF(COUNT(AK73:AR73)=0,"",AVERAGE(AK73:AR73)*4)</x:f>
      </x:c>
      <x:c r="CG73" s="178" t="str">
        <x:f>IF(COUNT(AS73:AY73)=0,"",AVERAGE(AS73:AY73)*4)</x:f>
      </x:c>
      <x:c r="CH73" s="178" t="str">
        <x:f>IF(COUNT(AZ73:BG73)=0,"",AVERAGE(AZ73:BG73)*4)</x:f>
      </x:c>
      <x:c r="CI73" s="178" t="str">
        <x:f>IF(COUNT(BH73:BN73)=0,"",AVERAGE(BH73:BN73)*4)</x:f>
      </x:c>
      <x:c r="CJ73" s="178" t="str">
        <x:f>IF(COUNT(BO73:BU73)=0,"",AVERAGE(BO73:BU73)*4)</x:f>
      </x:c>
      <x:c r="CK73" s="178" t="str">
        <x:f>IF(COUNT(BV73:CB73)=0,"",AVERAGE(BV73:CB73)*4)</x:f>
      </x:c>
      <x:c r="CL73" s="178" t="str">
        <x:f>IF(C73="","",IF(COUNT(G73:CB73)&lt;74,"",(CC73*'تنظیمات وزن‌دهی'!$C$5+CD73*'تنظیمات وزن‌دهی'!$C$6+CE73*'تنظیمات وزن‌دهی'!$C$7+CF73*'تنظیمات وزن‌دهی'!$C$8+CG73*'تنظیمات وزن‌دهی'!$C$9+CH73*'تنظیمات وزن‌دهی'!$C$10+CI73*'تنظیمات وزن‌دهی'!$C$11+CJ73*'تنظیمات وزن‌دهی'!$C$12+CK73*'تنظیمات وزن‌دهی'!$C$13)/100))</x:f>
      </x:c>
      <x:c r="CM73" s="178" t="str">
        <x:f>IF(C73="","",IF(COUNT(G73:CB73)=0,"",IF(COUNT(G73:CB73)&lt;74,"موقت - اطلاعات ناقص",IF(CL73&gt;=17,"عالی",IF(CL73&gt;=14,"خوب",IF(CL73&gt;=10,"متوسط","ضعیف"))))))</x:f>
      </x:c>
      <x:c r="CN73" s="178" t="n">
        <x:v>9</x:v>
      </x:c>
      <x:c r="CO73" s="142" t="n">
        <x:f>IF(C73="","",COUNT(G73:CB73)/74)</x:f>
        <x:v>0</x:v>
      </x:c>
      <x:c r="CP73" s="245"/>
    </x:row>
    <x:row r="74">
      <x:c r="A74" s="165" t="n">
        <x:v>70</x:v>
      </x:c>
      <x:c r="B74" s="233" t="str">
        <x:v>فروردین</x:v>
      </x:c>
      <x:c r="C74" s="233" t="n">
        <x:f>IF('دانش‌آموزان'!E10="","",'دانش‌آموزان'!B10)</x:f>
        <x:v>6</x:v>
      </x:c>
      <x:c r="D74" s="233" t="str">
        <x:f>IF('دانش‌آموزان'!C10="","",'دانش‌آموزان'!C10)</x:f>
        <x:v>4000000063</x:v>
      </x:c>
      <x:c r="E74" s="233" t="str">
        <x:f>IF('دانش‌آموزان'!E10="","",'دانش‌آموزان'!E10&amp;" "&amp;'دانش‌آموزان'!F10)</x:f>
        <x:v>سارا خلیلی</x:v>
      </x:c>
      <x:c r="F74" s="166" t="str">
        <x:f>IF('دانش‌آموزان'!I10="","",'دانش‌آموزان'!I10)</x:f>
        <x:v>sample-7-a</x:v>
      </x:c>
      <x:c r="G74" s="114"/>
      <x:c r="H74" s="115"/>
      <x:c r="I74" s="115"/>
      <x:c r="J74" s="115"/>
      <x:c r="K74" s="115"/>
      <x:c r="L74" s="115"/>
      <x:c r="M74" s="115"/>
      <x:c r="N74" s="115"/>
      <x:c r="O74" s="115"/>
      <x:c r="P74" s="115"/>
      <x:c r="Q74" s="115"/>
      <x:c r="R74" s="115"/>
      <x:c r="S74" s="115"/>
      <x:c r="T74" s="115"/>
      <x:c r="U74" s="115"/>
      <x:c r="V74" s="115"/>
      <x:c r="W74" s="115"/>
      <x:c r="X74" s="115"/>
      <x:c r="Y74" s="115"/>
      <x:c r="Z74" s="115"/>
      <x:c r="AA74" s="115"/>
      <x:c r="AB74" s="115"/>
      <x:c r="AC74" s="115"/>
      <x:c r="AD74" s="115"/>
      <x:c r="AE74" s="115"/>
      <x:c r="AF74" s="115"/>
      <x:c r="AG74" s="115"/>
      <x:c r="AH74" s="115"/>
      <x:c r="AI74" s="115"/>
      <x:c r="AJ74" s="115"/>
      <x:c r="AK74" s="115"/>
      <x:c r="AL74" s="115"/>
      <x:c r="AM74" s="115"/>
      <x:c r="AN74" s="115"/>
      <x:c r="AO74" s="115"/>
      <x:c r="AP74" s="115"/>
      <x:c r="AQ74" s="115"/>
      <x:c r="AR74" s="115"/>
      <x:c r="AS74" s="115"/>
      <x:c r="AT74" s="115"/>
      <x:c r="AU74" s="115"/>
      <x:c r="AV74" s="115"/>
      <x:c r="AW74" s="115"/>
      <x:c r="AX74" s="115"/>
      <x:c r="AY74" s="115"/>
      <x:c r="AZ74" s="115"/>
      <x:c r="BA74" s="115"/>
      <x:c r="BB74" s="115"/>
      <x:c r="BC74" s="115"/>
      <x:c r="BD74" s="115"/>
      <x:c r="BE74" s="115"/>
      <x:c r="BF74" s="115"/>
      <x:c r="BG74" s="115"/>
      <x:c r="BH74" s="115"/>
      <x:c r="BI74" s="115"/>
      <x:c r="BJ74" s="115"/>
      <x:c r="BK74" s="115"/>
      <x:c r="BL74" s="115"/>
      <x:c r="BM74" s="115"/>
      <x:c r="BN74" s="115"/>
      <x:c r="BO74" s="115"/>
      <x:c r="BP74" s="115"/>
      <x:c r="BQ74" s="115"/>
      <x:c r="BR74" s="115"/>
      <x:c r="BS74" s="115"/>
      <x:c r="BT74" s="115"/>
      <x:c r="BU74" s="115"/>
      <x:c r="BV74" s="115"/>
      <x:c r="BW74" s="115"/>
      <x:c r="BX74" s="115"/>
      <x:c r="BY74" s="115"/>
      <x:c r="BZ74" s="115"/>
      <x:c r="CA74" s="115"/>
      <x:c r="CB74" s="116"/>
      <x:c r="CC74" s="141" t="str">
        <x:f>IF(COUNT(G74:P74)=0,"",AVERAGE(G74:P74)*4)</x:f>
      </x:c>
      <x:c r="CD74" s="178" t="str">
        <x:f>IF(COUNT(Q74:Z74)=0,"",AVERAGE(Q74:Z74)*4)</x:f>
      </x:c>
      <x:c r="CE74" s="178" t="str">
        <x:f>IF(COUNT(AA74:AJ74)=0,"",AVERAGE(AA74:AJ74)*4)</x:f>
      </x:c>
      <x:c r="CF74" s="178" t="str">
        <x:f>IF(COUNT(AK74:AR74)=0,"",AVERAGE(AK74:AR74)*4)</x:f>
      </x:c>
      <x:c r="CG74" s="178" t="str">
        <x:f>IF(COUNT(AS74:AY74)=0,"",AVERAGE(AS74:AY74)*4)</x:f>
      </x:c>
      <x:c r="CH74" s="178" t="str">
        <x:f>IF(COUNT(AZ74:BG74)=0,"",AVERAGE(AZ74:BG74)*4)</x:f>
      </x:c>
      <x:c r="CI74" s="178" t="str">
        <x:f>IF(COUNT(BH74:BN74)=0,"",AVERAGE(BH74:BN74)*4)</x:f>
      </x:c>
      <x:c r="CJ74" s="178" t="str">
        <x:f>IF(COUNT(BO74:BU74)=0,"",AVERAGE(BO74:BU74)*4)</x:f>
      </x:c>
      <x:c r="CK74" s="178" t="str">
        <x:f>IF(COUNT(BV74:CB74)=0,"",AVERAGE(BV74:CB74)*4)</x:f>
      </x:c>
      <x:c r="CL74" s="178" t="str">
        <x:f>IF(C74="","",IF(COUNT(G74:CB74)&lt;74,"",(CC74*'تنظیمات وزن‌دهی'!$C$5+CD74*'تنظیمات وزن‌دهی'!$C$6+CE74*'تنظیمات وزن‌دهی'!$C$7+CF74*'تنظیمات وزن‌دهی'!$C$8+CG74*'تنظیمات وزن‌دهی'!$C$9+CH74*'تنظیمات وزن‌دهی'!$C$10+CI74*'تنظیمات وزن‌دهی'!$C$11+CJ74*'تنظیمات وزن‌دهی'!$C$12+CK74*'تنظیمات وزن‌دهی'!$C$13)/100))</x:f>
      </x:c>
      <x:c r="CM74" s="178" t="str">
        <x:f>IF(C74="","",IF(COUNT(G74:CB74)=0,"",IF(COUNT(G74:CB74)&lt;74,"موقت - اطلاعات ناقص",IF(CL74&gt;=17,"عالی",IF(CL74&gt;=14,"خوب",IF(CL74&gt;=10,"متوسط","ضعیف"))))))</x:f>
      </x:c>
      <x:c r="CN74" s="178" t="n">
        <x:v>10</x:v>
      </x:c>
      <x:c r="CO74" s="142" t="n">
        <x:f>IF(C74="","",COUNT(G74:CB74)/74)</x:f>
        <x:v>0</x:v>
      </x:c>
      <x:c r="CP74" s="245"/>
    </x:row>
    <x:row r="75">
      <x:c r="A75" s="165" t="n">
        <x:v>71</x:v>
      </x:c>
      <x:c r="B75" s="233" t="str">
        <x:v>اردیبهشت</x:v>
      </x:c>
      <x:c r="C75" s="233" t="n">
        <x:f>IF('دانش‌آموزان'!E10="","",'دانش‌آموزان'!B10)</x:f>
        <x:v>6</x:v>
      </x:c>
      <x:c r="D75" s="233" t="str">
        <x:f>IF('دانش‌آموزان'!C10="","",'دانش‌آموزان'!C10)</x:f>
        <x:v>4000000063</x:v>
      </x:c>
      <x:c r="E75" s="233" t="str">
        <x:f>IF('دانش‌آموزان'!E10="","",'دانش‌آموزان'!E10&amp;" "&amp;'دانش‌آموزان'!F10)</x:f>
        <x:v>سارا خلیلی</x:v>
      </x:c>
      <x:c r="F75" s="166" t="str">
        <x:f>IF('دانش‌آموزان'!I10="","",'دانش‌آموزان'!I10)</x:f>
        <x:v>sample-7-a</x:v>
      </x:c>
      <x:c r="G75" s="114"/>
      <x:c r="H75" s="115"/>
      <x:c r="I75" s="115"/>
      <x:c r="J75" s="115"/>
      <x:c r="K75" s="115"/>
      <x:c r="L75" s="115"/>
      <x:c r="M75" s="115"/>
      <x:c r="N75" s="115"/>
      <x:c r="O75" s="115"/>
      <x:c r="P75" s="115"/>
      <x:c r="Q75" s="115"/>
      <x:c r="R75" s="115"/>
      <x:c r="S75" s="115"/>
      <x:c r="T75" s="115"/>
      <x:c r="U75" s="115"/>
      <x:c r="V75" s="115"/>
      <x:c r="W75" s="115"/>
      <x:c r="X75" s="115"/>
      <x:c r="Y75" s="115"/>
      <x:c r="Z75" s="115"/>
      <x:c r="AA75" s="115"/>
      <x:c r="AB75" s="115"/>
      <x:c r="AC75" s="115"/>
      <x:c r="AD75" s="115"/>
      <x:c r="AE75" s="115"/>
      <x:c r="AF75" s="115"/>
      <x:c r="AG75" s="115"/>
      <x:c r="AH75" s="115"/>
      <x:c r="AI75" s="115"/>
      <x:c r="AJ75" s="115"/>
      <x:c r="AK75" s="115"/>
      <x:c r="AL75" s="115"/>
      <x:c r="AM75" s="115"/>
      <x:c r="AN75" s="115"/>
      <x:c r="AO75" s="115"/>
      <x:c r="AP75" s="115"/>
      <x:c r="AQ75" s="115"/>
      <x:c r="AR75" s="115"/>
      <x:c r="AS75" s="115"/>
      <x:c r="AT75" s="115"/>
      <x:c r="AU75" s="115"/>
      <x:c r="AV75" s="115"/>
      <x:c r="AW75" s="115"/>
      <x:c r="AX75" s="115"/>
      <x:c r="AY75" s="115"/>
      <x:c r="AZ75" s="115"/>
      <x:c r="BA75" s="115"/>
      <x:c r="BB75" s="115"/>
      <x:c r="BC75" s="115"/>
      <x:c r="BD75" s="115"/>
      <x:c r="BE75" s="115"/>
      <x:c r="BF75" s="115"/>
      <x:c r="BG75" s="115"/>
      <x:c r="BH75" s="115"/>
      <x:c r="BI75" s="115"/>
      <x:c r="BJ75" s="115"/>
      <x:c r="BK75" s="115"/>
      <x:c r="BL75" s="115"/>
      <x:c r="BM75" s="115"/>
      <x:c r="BN75" s="115"/>
      <x:c r="BO75" s="115"/>
      <x:c r="BP75" s="115"/>
      <x:c r="BQ75" s="115"/>
      <x:c r="BR75" s="115"/>
      <x:c r="BS75" s="115"/>
      <x:c r="BT75" s="115"/>
      <x:c r="BU75" s="115"/>
      <x:c r="BV75" s="115"/>
      <x:c r="BW75" s="115"/>
      <x:c r="BX75" s="115"/>
      <x:c r="BY75" s="115"/>
      <x:c r="BZ75" s="115"/>
      <x:c r="CA75" s="115"/>
      <x:c r="CB75" s="116"/>
      <x:c r="CC75" s="141" t="str">
        <x:f>IF(COUNT(G75:P75)=0,"",AVERAGE(G75:P75)*4)</x:f>
      </x:c>
      <x:c r="CD75" s="178" t="str">
        <x:f>IF(COUNT(Q75:Z75)=0,"",AVERAGE(Q75:Z75)*4)</x:f>
      </x:c>
      <x:c r="CE75" s="178" t="str">
        <x:f>IF(COUNT(AA75:AJ75)=0,"",AVERAGE(AA75:AJ75)*4)</x:f>
      </x:c>
      <x:c r="CF75" s="178" t="str">
        <x:f>IF(COUNT(AK75:AR75)=0,"",AVERAGE(AK75:AR75)*4)</x:f>
      </x:c>
      <x:c r="CG75" s="178" t="str">
        <x:f>IF(COUNT(AS75:AY75)=0,"",AVERAGE(AS75:AY75)*4)</x:f>
      </x:c>
      <x:c r="CH75" s="178" t="str">
        <x:f>IF(COUNT(AZ75:BG75)=0,"",AVERAGE(AZ75:BG75)*4)</x:f>
      </x:c>
      <x:c r="CI75" s="178" t="str">
        <x:f>IF(COUNT(BH75:BN75)=0,"",AVERAGE(BH75:BN75)*4)</x:f>
      </x:c>
      <x:c r="CJ75" s="178" t="str">
        <x:f>IF(COUNT(BO75:BU75)=0,"",AVERAGE(BO75:BU75)*4)</x:f>
      </x:c>
      <x:c r="CK75" s="178" t="str">
        <x:f>IF(COUNT(BV75:CB75)=0,"",AVERAGE(BV75:CB75)*4)</x:f>
      </x:c>
      <x:c r="CL75" s="178" t="str">
        <x:f>IF(C75="","",IF(COUNT(G75:CB75)&lt;74,"",(CC75*'تنظیمات وزن‌دهی'!$C$5+CD75*'تنظیمات وزن‌دهی'!$C$6+CE75*'تنظیمات وزن‌دهی'!$C$7+CF75*'تنظیمات وزن‌دهی'!$C$8+CG75*'تنظیمات وزن‌دهی'!$C$9+CH75*'تنظیمات وزن‌دهی'!$C$10+CI75*'تنظیمات وزن‌دهی'!$C$11+CJ75*'تنظیمات وزن‌دهی'!$C$12+CK75*'تنظیمات وزن‌دهی'!$C$13)/100))</x:f>
      </x:c>
      <x:c r="CM75" s="178" t="str">
        <x:f>IF(C75="","",IF(COUNT(G75:CB75)=0,"",IF(COUNT(G75:CB75)&lt;74,"موقت - اطلاعات ناقص",IF(CL75&gt;=17,"عالی",IF(CL75&gt;=14,"خوب",IF(CL75&gt;=10,"متوسط","ضعیف"))))))</x:f>
      </x:c>
      <x:c r="CN75" s="178" t="n">
        <x:v>11</x:v>
      </x:c>
      <x:c r="CO75" s="142" t="n">
        <x:f>IF(C75="","",COUNT(G75:CB75)/74)</x:f>
        <x:v>0</x:v>
      </x:c>
      <x:c r="CP75" s="245"/>
    </x:row>
    <x:row r="76">
      <x:c r="A76" s="165" t="n">
        <x:v>72</x:v>
      </x:c>
      <x:c r="B76" s="233" t="str">
        <x:v>خرداد</x:v>
      </x:c>
      <x:c r="C76" s="233" t="n">
        <x:f>IF('دانش‌آموزان'!E10="","",'دانش‌آموزان'!B10)</x:f>
        <x:v>6</x:v>
      </x:c>
      <x:c r="D76" s="233" t="str">
        <x:f>IF('دانش‌آموزان'!C10="","",'دانش‌آموزان'!C10)</x:f>
        <x:v>4000000063</x:v>
      </x:c>
      <x:c r="E76" s="233" t="str">
        <x:f>IF('دانش‌آموزان'!E10="","",'دانش‌آموزان'!E10&amp;" "&amp;'دانش‌آموزان'!F10)</x:f>
        <x:v>سارا خلیلی</x:v>
      </x:c>
      <x:c r="F76" s="166" t="str">
        <x:f>IF('دانش‌آموزان'!I10="","",'دانش‌آموزان'!I10)</x:f>
        <x:v>sample-7-a</x:v>
      </x:c>
      <x:c r="G76" s="114"/>
      <x:c r="H76" s="115"/>
      <x:c r="I76" s="115"/>
      <x:c r="J76" s="115"/>
      <x:c r="K76" s="115"/>
      <x:c r="L76" s="115"/>
      <x:c r="M76" s="115"/>
      <x:c r="N76" s="115"/>
      <x:c r="O76" s="115"/>
      <x:c r="P76" s="115"/>
      <x:c r="Q76" s="115"/>
      <x:c r="R76" s="115"/>
      <x:c r="S76" s="115"/>
      <x:c r="T76" s="115"/>
      <x:c r="U76" s="115"/>
      <x:c r="V76" s="115"/>
      <x:c r="W76" s="115"/>
      <x:c r="X76" s="115"/>
      <x:c r="Y76" s="115"/>
      <x:c r="Z76" s="115"/>
      <x:c r="AA76" s="115"/>
      <x:c r="AB76" s="115"/>
      <x:c r="AC76" s="115"/>
      <x:c r="AD76" s="115"/>
      <x:c r="AE76" s="115"/>
      <x:c r="AF76" s="115"/>
      <x:c r="AG76" s="115"/>
      <x:c r="AH76" s="115"/>
      <x:c r="AI76" s="115"/>
      <x:c r="AJ76" s="115"/>
      <x:c r="AK76" s="115"/>
      <x:c r="AL76" s="115"/>
      <x:c r="AM76" s="115"/>
      <x:c r="AN76" s="115"/>
      <x:c r="AO76" s="115"/>
      <x:c r="AP76" s="115"/>
      <x:c r="AQ76" s="115"/>
      <x:c r="AR76" s="115"/>
      <x:c r="AS76" s="115"/>
      <x:c r="AT76" s="115"/>
      <x:c r="AU76" s="115"/>
      <x:c r="AV76" s="115"/>
      <x:c r="AW76" s="115"/>
      <x:c r="AX76" s="115"/>
      <x:c r="AY76" s="115"/>
      <x:c r="AZ76" s="115"/>
      <x:c r="BA76" s="115"/>
      <x:c r="BB76" s="115"/>
      <x:c r="BC76" s="115"/>
      <x:c r="BD76" s="115"/>
      <x:c r="BE76" s="115"/>
      <x:c r="BF76" s="115"/>
      <x:c r="BG76" s="115"/>
      <x:c r="BH76" s="115"/>
      <x:c r="BI76" s="115"/>
      <x:c r="BJ76" s="115"/>
      <x:c r="BK76" s="115"/>
      <x:c r="BL76" s="115"/>
      <x:c r="BM76" s="115"/>
      <x:c r="BN76" s="115"/>
      <x:c r="BO76" s="115"/>
      <x:c r="BP76" s="115"/>
      <x:c r="BQ76" s="115"/>
      <x:c r="BR76" s="115"/>
      <x:c r="BS76" s="115"/>
      <x:c r="BT76" s="115"/>
      <x:c r="BU76" s="115"/>
      <x:c r="BV76" s="115"/>
      <x:c r="BW76" s="115"/>
      <x:c r="BX76" s="115"/>
      <x:c r="BY76" s="115"/>
      <x:c r="BZ76" s="115"/>
      <x:c r="CA76" s="115"/>
      <x:c r="CB76" s="116"/>
      <x:c r="CC76" s="141" t="str">
        <x:f>IF(COUNT(G76:P76)=0,"",AVERAGE(G76:P76)*4)</x:f>
      </x:c>
      <x:c r="CD76" s="178" t="str">
        <x:f>IF(COUNT(Q76:Z76)=0,"",AVERAGE(Q76:Z76)*4)</x:f>
      </x:c>
      <x:c r="CE76" s="178" t="str">
        <x:f>IF(COUNT(AA76:AJ76)=0,"",AVERAGE(AA76:AJ76)*4)</x:f>
      </x:c>
      <x:c r="CF76" s="178" t="str">
        <x:f>IF(COUNT(AK76:AR76)=0,"",AVERAGE(AK76:AR76)*4)</x:f>
      </x:c>
      <x:c r="CG76" s="178" t="str">
        <x:f>IF(COUNT(AS76:AY76)=0,"",AVERAGE(AS76:AY76)*4)</x:f>
      </x:c>
      <x:c r="CH76" s="178" t="str">
        <x:f>IF(COUNT(AZ76:BG76)=0,"",AVERAGE(AZ76:BG76)*4)</x:f>
      </x:c>
      <x:c r="CI76" s="178" t="str">
        <x:f>IF(COUNT(BH76:BN76)=0,"",AVERAGE(BH76:BN76)*4)</x:f>
      </x:c>
      <x:c r="CJ76" s="178" t="str">
        <x:f>IF(COUNT(BO76:BU76)=0,"",AVERAGE(BO76:BU76)*4)</x:f>
      </x:c>
      <x:c r="CK76" s="178" t="str">
        <x:f>IF(COUNT(BV76:CB76)=0,"",AVERAGE(BV76:CB76)*4)</x:f>
      </x:c>
      <x:c r="CL76" s="178" t="str">
        <x:f>IF(C76="","",IF(COUNT(G76:CB76)&lt;74,"",(CC76*'تنظیمات وزن‌دهی'!$C$5+CD76*'تنظیمات وزن‌دهی'!$C$6+CE76*'تنظیمات وزن‌دهی'!$C$7+CF76*'تنظیمات وزن‌دهی'!$C$8+CG76*'تنظیمات وزن‌دهی'!$C$9+CH76*'تنظیمات وزن‌دهی'!$C$10+CI76*'تنظیمات وزن‌دهی'!$C$11+CJ76*'تنظیمات وزن‌دهی'!$C$12+CK76*'تنظیمات وزن‌دهی'!$C$13)/100))</x:f>
      </x:c>
      <x:c r="CM76" s="178" t="str">
        <x:f>IF(C76="","",IF(COUNT(G76:CB76)=0,"",IF(COUNT(G76:CB76)&lt;74,"موقت - اطلاعات ناقص",IF(CL76&gt;=17,"عالی",IF(CL76&gt;=14,"خوب",IF(CL76&gt;=10,"متوسط","ضعیف"))))))</x:f>
      </x:c>
      <x:c r="CN76" s="178" t="n">
        <x:v>12</x:v>
      </x:c>
      <x:c r="CO76" s="142" t="n">
        <x:f>IF(C76="","",COUNT(G76:CB76)/74)</x:f>
        <x:v>0</x:v>
      </x:c>
      <x:c r="CP76" s="245"/>
    </x:row>
    <x:row r="77">
      <x:c r="A77" s="165" t="n">
        <x:v>73</x:v>
      </x:c>
      <x:c r="B77" s="233" t="str">
        <x:v>تیر</x:v>
      </x:c>
      <x:c r="C77" s="233" t="n">
        <x:f>IF('دانش‌آموزان'!E11="","",'دانش‌آموزان'!B11)</x:f>
        <x:v>7</x:v>
      </x:c>
      <x:c r="D77" s="233" t="str">
        <x:f>IF('دانش‌آموزان'!C11="","",'دانش‌آموزان'!C11)</x:f>
        <x:v>4000000071</x:v>
      </x:c>
      <x:c r="E77" s="233" t="str">
        <x:f>IF('دانش‌آموزان'!E11="","",'دانش‌آموزان'!E11&amp;" "&amp;'دانش‌آموزان'!F11)</x:f>
        <x:v>آراد حسینی</x:v>
      </x:c>
      <x:c r="F77" s="166" t="str">
        <x:f>IF('دانش‌آموزان'!I11="","",'دانش‌آموزان'!I11)</x:f>
        <x:v>sample-7-a</x:v>
      </x:c>
      <x:c r="G77" s="114" t="n">
        <x:v>4</x:v>
      </x:c>
      <x:c r="H77" s="115" t="n">
        <x:v>3</x:v>
      </x:c>
      <x:c r="I77" s="115" t="n">
        <x:v>4</x:v>
      </x:c>
      <x:c r="J77" s="115" t="n">
        <x:v>2</x:v>
      </x:c>
      <x:c r="K77" s="115" t="n">
        <x:v>4</x:v>
      </x:c>
      <x:c r="L77" s="115" t="n">
        <x:v>5</x:v>
      </x:c>
      <x:c r="M77" s="115" t="n">
        <x:v>4</x:v>
      </x:c>
      <x:c r="N77" s="115" t="n">
        <x:v>5</x:v>
      </x:c>
      <x:c r="O77" s="115" t="n">
        <x:v>3</x:v>
      </x:c>
      <x:c r="P77" s="115" t="n">
        <x:v>5</x:v>
      </x:c>
      <x:c r="Q77" s="115" t="n">
        <x:v>3</x:v>
      </x:c>
      <x:c r="R77" s="115" t="n">
        <x:v>4</x:v>
      </x:c>
      <x:c r="S77" s="115" t="n">
        <x:v>3</x:v>
      </x:c>
      <x:c r="T77" s="115" t="n">
        <x:v>4</x:v>
      </x:c>
      <x:c r="U77" s="115" t="n">
        <x:v>2</x:v>
      </x:c>
      <x:c r="V77" s="115" t="n">
        <x:v>4</x:v>
      </x:c>
      <x:c r="W77" s="115" t="n">
        <x:v>5</x:v>
      </x:c>
      <x:c r="X77" s="115" t="n">
        <x:v>4</x:v>
      </x:c>
      <x:c r="Y77" s="115" t="n">
        <x:v>5</x:v>
      </x:c>
      <x:c r="Z77" s="115" t="n">
        <x:v>3</x:v>
      </x:c>
      <x:c r="AA77" s="115" t="n">
        <x:v>5</x:v>
      </x:c>
      <x:c r="AB77" s="115" t="n">
        <x:v>3</x:v>
      </x:c>
      <x:c r="AC77" s="115" t="n">
        <x:v>4</x:v>
      </x:c>
      <x:c r="AD77" s="115" t="n">
        <x:v>3</x:v>
      </x:c>
      <x:c r="AE77" s="115" t="n">
        <x:v>4</x:v>
      </x:c>
      <x:c r="AF77" s="115" t="n">
        <x:v>2</x:v>
      </x:c>
      <x:c r="AG77" s="115" t="n">
        <x:v>4</x:v>
      </x:c>
      <x:c r="AH77" s="115" t="n">
        <x:v>5</x:v>
      </x:c>
      <x:c r="AI77" s="115" t="n">
        <x:v>4</x:v>
      </x:c>
      <x:c r="AJ77" s="115" t="n">
        <x:v>5</x:v>
      </x:c>
      <x:c r="AK77" s="115" t="n">
        <x:v>3</x:v>
      </x:c>
      <x:c r="AL77" s="115" t="n">
        <x:v>5</x:v>
      </x:c>
      <x:c r="AM77" s="115" t="n">
        <x:v>3</x:v>
      </x:c>
      <x:c r="AN77" s="115" t="n">
        <x:v>4</x:v>
      </x:c>
      <x:c r="AO77" s="115" t="n">
        <x:v>3</x:v>
      </x:c>
      <x:c r="AP77" s="115" t="n">
        <x:v>4</x:v>
      </x:c>
      <x:c r="AQ77" s="115" t="n">
        <x:v>2</x:v>
      </x:c>
      <x:c r="AR77" s="115" t="n">
        <x:v>4</x:v>
      </x:c>
      <x:c r="AS77" s="115" t="n">
        <x:v>5</x:v>
      </x:c>
      <x:c r="AT77" s="115" t="n">
        <x:v>4</x:v>
      </x:c>
      <x:c r="AU77" s="115" t="n">
        <x:v>5</x:v>
      </x:c>
      <x:c r="AV77" s="115" t="n">
        <x:v>3</x:v>
      </x:c>
      <x:c r="AW77" s="115" t="n">
        <x:v>5</x:v>
      </x:c>
      <x:c r="AX77" s="115" t="n">
        <x:v>3</x:v>
      </x:c>
      <x:c r="AY77" s="115" t="n">
        <x:v>4</x:v>
      </x:c>
      <x:c r="AZ77" s="115" t="n">
        <x:v>3</x:v>
      </x:c>
      <x:c r="BA77" s="115" t="n">
        <x:v>4</x:v>
      </x:c>
      <x:c r="BB77" s="115" t="n">
        <x:v>2</x:v>
      </x:c>
      <x:c r="BC77" s="115" t="n">
        <x:v>4</x:v>
      </x:c>
      <x:c r="BD77" s="115" t="n">
        <x:v>5</x:v>
      </x:c>
      <x:c r="BE77" s="115" t="n">
        <x:v>4</x:v>
      </x:c>
      <x:c r="BF77" s="115" t="n">
        <x:v>5</x:v>
      </x:c>
      <x:c r="BG77" s="115" t="n">
        <x:v>3</x:v>
      </x:c>
      <x:c r="BH77" s="115" t="n">
        <x:v>5</x:v>
      </x:c>
      <x:c r="BI77" s="115" t="n">
        <x:v>3</x:v>
      </x:c>
      <x:c r="BJ77" s="115" t="n">
        <x:v>4</x:v>
      </x:c>
      <x:c r="BK77" s="115" t="n">
        <x:v>3</x:v>
      </x:c>
      <x:c r="BL77" s="115" t="n">
        <x:v>4</x:v>
      </x:c>
      <x:c r="BM77" s="115" t="n">
        <x:v>2</x:v>
      </x:c>
      <x:c r="BN77" s="115" t="n">
        <x:v>4</x:v>
      </x:c>
      <x:c r="BO77" s="115" t="n">
        <x:v>5</x:v>
      </x:c>
      <x:c r="BP77" s="115" t="n">
        <x:v>4</x:v>
      </x:c>
      <x:c r="BQ77" s="115" t="n">
        <x:v>5</x:v>
      </x:c>
      <x:c r="BR77" s="115" t="n">
        <x:v>3</x:v>
      </x:c>
      <x:c r="BS77" s="115" t="n">
        <x:v>5</x:v>
      </x:c>
      <x:c r="BT77" s="115" t="n">
        <x:v>3</x:v>
      </x:c>
      <x:c r="BU77" s="115" t="n">
        <x:v>4</x:v>
      </x:c>
      <x:c r="BV77" s="115" t="n">
        <x:v>3</x:v>
      </x:c>
      <x:c r="BW77" s="115" t="n">
        <x:v>4</x:v>
      </x:c>
      <x:c r="BX77" s="115" t="n">
        <x:v>2</x:v>
      </x:c>
      <x:c r="BY77" s="115" t="n">
        <x:v>4</x:v>
      </x:c>
      <x:c r="BZ77" s="115" t="n">
        <x:v>5</x:v>
      </x:c>
      <x:c r="CA77" s="115" t="n">
        <x:v>4</x:v>
      </x:c>
      <x:c r="CB77" s="116" t="n">
        <x:v>5</x:v>
      </x:c>
      <x:c r="CC77" s="141" t="n">
        <x:f>IF(COUNT(G77:P77)=0,"",AVERAGE(G77:P77)*4)</x:f>
        <x:v>15.6</x:v>
      </x:c>
      <x:c r="CD77" s="178" t="n">
        <x:f>IF(COUNT(Q77:Z77)=0,"",AVERAGE(Q77:Z77)*4)</x:f>
        <x:v>14.8</x:v>
      </x:c>
      <x:c r="CE77" s="178" t="n">
        <x:f>IF(COUNT(AA77:AJ77)=0,"",AVERAGE(AA77:AJ77)*4)</x:f>
        <x:v>15.6</x:v>
      </x:c>
      <x:c r="CF77" s="178" t="n">
        <x:f>IF(COUNT(AK77:AR77)=0,"",AVERAGE(AK77:AR77)*4)</x:f>
        <x:v>14</x:v>
      </x:c>
      <x:c r="CG77" s="178" t="n">
        <x:f>IF(COUNT(AS77:AY77)=0,"",AVERAGE(AS77:AY77)*4)</x:f>
        <x:v>16.571428571428573</x:v>
      </x:c>
      <x:c r="CH77" s="178" t="n">
        <x:f>IF(COUNT(AZ77:BG77)=0,"",AVERAGE(AZ77:BG77)*4)</x:f>
        <x:v>15</x:v>
      </x:c>
      <x:c r="CI77" s="178" t="n">
        <x:f>IF(COUNT(BH77:BN77)=0,"",AVERAGE(BH77:BN77)*4)</x:f>
        <x:v>14.285714285714286</x:v>
      </x:c>
      <x:c r="CJ77" s="178" t="n">
        <x:f>IF(COUNT(BO77:BU77)=0,"",AVERAGE(BO77:BU77)*4)</x:f>
        <x:v>16.571428571428573</x:v>
      </x:c>
      <x:c r="CK77" s="178" t="n">
        <x:f>IF(COUNT(BV77:CB77)=0,"",AVERAGE(BV77:CB77)*4)</x:f>
        <x:v>15.428571428571429</x:v>
      </x:c>
      <x:c r="CL77" s="178" t="n">
        <x:f>IF(C77="","",IF(COUNT(G77:CB77)&lt;74,"",(CC77*'تنظیمات وزن‌دهی'!$C$5+CD77*'تنظیمات وزن‌دهی'!$C$6+CE77*'تنظیمات وزن‌دهی'!$C$7+CF77*'تنظیمات وزن‌دهی'!$C$8+CG77*'تنظیمات وزن‌دهی'!$C$9+CH77*'تنظیمات وزن‌دهی'!$C$10+CI77*'تنظیمات وزن‌دهی'!$C$11+CJ77*'تنظیمات وزن‌دهی'!$C$12+CK77*'تنظیمات وزن‌دهی'!$C$13)/100))</x:f>
        <x:v>15.214285714285715</x:v>
      </x:c>
      <x:c r="CM77" s="178" t="str">
        <x:f>IF(C77="","",IF(COUNT(G77:CB77)=0,"",IF(COUNT(G77:CB77)&lt;74,"موقت - اطلاعات ناقص",IF(CL77&gt;=17,"عالی",IF(CL77&gt;=14,"خوب",IF(CL77&gt;=10,"متوسط","ضعیف"))))))</x:f>
        <x:v>خوب</x:v>
      </x:c>
      <x:c r="CN77" s="178" t="n">
        <x:v>1</x:v>
      </x:c>
      <x:c r="CO77" s="142" t="n">
        <x:f>IF(C77="","",COUNT(G77:CB77)/74)</x:f>
        <x:v>1</x:v>
      </x:c>
      <x:c r="CP77" s="245" t="str">
        <x:v>داده نمونه کامل برای ماه تیر - دانش‌آموز شماره 7</x:v>
      </x:c>
    </x:row>
    <x:row r="78">
      <x:c r="A78" s="165" t="n">
        <x:v>74</x:v>
      </x:c>
      <x:c r="B78" s="233" t="str">
        <x:v>مرداد</x:v>
      </x:c>
      <x:c r="C78" s="233" t="n">
        <x:f>IF('دانش‌آموزان'!E11="","",'دانش‌آموزان'!B11)</x:f>
        <x:v>7</x:v>
      </x:c>
      <x:c r="D78" s="233" t="str">
        <x:f>IF('دانش‌آموزان'!C11="","",'دانش‌آموزان'!C11)</x:f>
        <x:v>4000000071</x:v>
      </x:c>
      <x:c r="E78" s="233" t="str">
        <x:f>IF('دانش‌آموزان'!E11="","",'دانش‌آموزان'!E11&amp;" "&amp;'دانش‌آموزان'!F11)</x:f>
        <x:v>آراد حسینی</x:v>
      </x:c>
      <x:c r="F78" s="166" t="str">
        <x:f>IF('دانش‌آموزان'!I11="","",'دانش‌آموزان'!I11)</x:f>
        <x:v>sample-7-a</x:v>
      </x:c>
      <x:c r="G78" s="114"/>
      <x:c r="H78" s="115"/>
      <x:c r="I78" s="115"/>
      <x:c r="J78" s="115"/>
      <x:c r="K78" s="115"/>
      <x:c r="L78" s="115"/>
      <x:c r="M78" s="115"/>
      <x:c r="N78" s="115"/>
      <x:c r="O78" s="115"/>
      <x:c r="P78" s="115"/>
      <x:c r="Q78" s="115"/>
      <x:c r="R78" s="115"/>
      <x:c r="S78" s="115"/>
      <x:c r="T78" s="115"/>
      <x:c r="U78" s="115"/>
      <x:c r="V78" s="115"/>
      <x:c r="W78" s="115"/>
      <x:c r="X78" s="115"/>
      <x:c r="Y78" s="115"/>
      <x:c r="Z78" s="115"/>
      <x:c r="AA78" s="115"/>
      <x:c r="AB78" s="115"/>
      <x:c r="AC78" s="115"/>
      <x:c r="AD78" s="115"/>
      <x:c r="AE78" s="115"/>
      <x:c r="AF78" s="115"/>
      <x:c r="AG78" s="115"/>
      <x:c r="AH78" s="115"/>
      <x:c r="AI78" s="115"/>
      <x:c r="AJ78" s="115"/>
      <x:c r="AK78" s="115"/>
      <x:c r="AL78" s="115"/>
      <x:c r="AM78" s="115"/>
      <x:c r="AN78" s="115"/>
      <x:c r="AO78" s="115"/>
      <x:c r="AP78" s="115"/>
      <x:c r="AQ78" s="115"/>
      <x:c r="AR78" s="115"/>
      <x:c r="AS78" s="115"/>
      <x:c r="AT78" s="115"/>
      <x:c r="AU78" s="115"/>
      <x:c r="AV78" s="115"/>
      <x:c r="AW78" s="115"/>
      <x:c r="AX78" s="115"/>
      <x:c r="AY78" s="115"/>
      <x:c r="AZ78" s="115"/>
      <x:c r="BA78" s="115"/>
      <x:c r="BB78" s="115"/>
      <x:c r="BC78" s="115"/>
      <x:c r="BD78" s="115"/>
      <x:c r="BE78" s="115"/>
      <x:c r="BF78" s="115"/>
      <x:c r="BG78" s="115"/>
      <x:c r="BH78" s="115"/>
      <x:c r="BI78" s="115"/>
      <x:c r="BJ78" s="115"/>
      <x:c r="BK78" s="115"/>
      <x:c r="BL78" s="115"/>
      <x:c r="BM78" s="115"/>
      <x:c r="BN78" s="115"/>
      <x:c r="BO78" s="115"/>
      <x:c r="BP78" s="115"/>
      <x:c r="BQ78" s="115"/>
      <x:c r="BR78" s="115"/>
      <x:c r="BS78" s="115"/>
      <x:c r="BT78" s="115"/>
      <x:c r="BU78" s="115"/>
      <x:c r="BV78" s="115"/>
      <x:c r="BW78" s="115"/>
      <x:c r="BX78" s="115"/>
      <x:c r="BY78" s="115"/>
      <x:c r="BZ78" s="115"/>
      <x:c r="CA78" s="115"/>
      <x:c r="CB78" s="116"/>
      <x:c r="CC78" s="141" t="str">
        <x:f>IF(COUNT(G78:P78)=0,"",AVERAGE(G78:P78)*4)</x:f>
      </x:c>
      <x:c r="CD78" s="178" t="str">
        <x:f>IF(COUNT(Q78:Z78)=0,"",AVERAGE(Q78:Z78)*4)</x:f>
      </x:c>
      <x:c r="CE78" s="178" t="str">
        <x:f>IF(COUNT(AA78:AJ78)=0,"",AVERAGE(AA78:AJ78)*4)</x:f>
      </x:c>
      <x:c r="CF78" s="178" t="str">
        <x:f>IF(COUNT(AK78:AR78)=0,"",AVERAGE(AK78:AR78)*4)</x:f>
      </x:c>
      <x:c r="CG78" s="178" t="str">
        <x:f>IF(COUNT(AS78:AY78)=0,"",AVERAGE(AS78:AY78)*4)</x:f>
      </x:c>
      <x:c r="CH78" s="178" t="str">
        <x:f>IF(COUNT(AZ78:BG78)=0,"",AVERAGE(AZ78:BG78)*4)</x:f>
      </x:c>
      <x:c r="CI78" s="178" t="str">
        <x:f>IF(COUNT(BH78:BN78)=0,"",AVERAGE(BH78:BN78)*4)</x:f>
      </x:c>
      <x:c r="CJ78" s="178" t="str">
        <x:f>IF(COUNT(BO78:BU78)=0,"",AVERAGE(BO78:BU78)*4)</x:f>
      </x:c>
      <x:c r="CK78" s="178" t="str">
        <x:f>IF(COUNT(BV78:CB78)=0,"",AVERAGE(BV78:CB78)*4)</x:f>
      </x:c>
      <x:c r="CL78" s="178" t="str">
        <x:f>IF(C78="","",IF(COUNT(G78:CB78)&lt;74,"",(CC78*'تنظیمات وزن‌دهی'!$C$5+CD78*'تنظیمات وزن‌دهی'!$C$6+CE78*'تنظیمات وزن‌دهی'!$C$7+CF78*'تنظیمات وزن‌دهی'!$C$8+CG78*'تنظیمات وزن‌دهی'!$C$9+CH78*'تنظیمات وزن‌دهی'!$C$10+CI78*'تنظیمات وزن‌دهی'!$C$11+CJ78*'تنظیمات وزن‌دهی'!$C$12+CK78*'تنظیمات وزن‌دهی'!$C$13)/100))</x:f>
      </x:c>
      <x:c r="CM78" s="178" t="str">
        <x:f>IF(C78="","",IF(COUNT(G78:CB78)=0,"",IF(COUNT(G78:CB78)&lt;74,"موقت - اطلاعات ناقص",IF(CL78&gt;=17,"عالی",IF(CL78&gt;=14,"خوب",IF(CL78&gt;=10,"متوسط","ضعیف"))))))</x:f>
      </x:c>
      <x:c r="CN78" s="178" t="n">
        <x:v>2</x:v>
      </x:c>
      <x:c r="CO78" s="142" t="n">
        <x:f>IF(C78="","",COUNT(G78:CB78)/74)</x:f>
        <x:v>0</x:v>
      </x:c>
      <x:c r="CP78" s="245"/>
    </x:row>
    <x:row r="79">
      <x:c r="A79" s="165" t="n">
        <x:v>75</x:v>
      </x:c>
      <x:c r="B79" s="233" t="str">
        <x:v>شهریور</x:v>
      </x:c>
      <x:c r="C79" s="233" t="n">
        <x:f>IF('دانش‌آموزان'!E11="","",'دانش‌آموزان'!B11)</x:f>
        <x:v>7</x:v>
      </x:c>
      <x:c r="D79" s="233" t="str">
        <x:f>IF('دانش‌آموزان'!C11="","",'دانش‌آموزان'!C11)</x:f>
        <x:v>4000000071</x:v>
      </x:c>
      <x:c r="E79" s="233" t="str">
        <x:f>IF('دانش‌آموزان'!E11="","",'دانش‌آموزان'!E11&amp;" "&amp;'دانش‌آموزان'!F11)</x:f>
        <x:v>آراد حسینی</x:v>
      </x:c>
      <x:c r="F79" s="166" t="str">
        <x:f>IF('دانش‌آموزان'!I11="","",'دانش‌آموزان'!I11)</x:f>
        <x:v>sample-7-a</x:v>
      </x:c>
      <x:c r="G79" s="114"/>
      <x:c r="H79" s="115"/>
      <x:c r="I79" s="115"/>
      <x:c r="J79" s="115"/>
      <x:c r="K79" s="115"/>
      <x:c r="L79" s="115"/>
      <x:c r="M79" s="115"/>
      <x:c r="N79" s="115"/>
      <x:c r="O79" s="115"/>
      <x:c r="P79" s="115"/>
      <x:c r="Q79" s="115"/>
      <x:c r="R79" s="115"/>
      <x:c r="S79" s="115"/>
      <x:c r="T79" s="115"/>
      <x:c r="U79" s="115"/>
      <x:c r="V79" s="115"/>
      <x:c r="W79" s="115"/>
      <x:c r="X79" s="115"/>
      <x:c r="Y79" s="115"/>
      <x:c r="Z79" s="115"/>
      <x:c r="AA79" s="115"/>
      <x:c r="AB79" s="115"/>
      <x:c r="AC79" s="115"/>
      <x:c r="AD79" s="115"/>
      <x:c r="AE79" s="115"/>
      <x:c r="AF79" s="115"/>
      <x:c r="AG79" s="115"/>
      <x:c r="AH79" s="115"/>
      <x:c r="AI79" s="115"/>
      <x:c r="AJ79" s="115"/>
      <x:c r="AK79" s="115"/>
      <x:c r="AL79" s="115"/>
      <x:c r="AM79" s="115"/>
      <x:c r="AN79" s="115"/>
      <x:c r="AO79" s="115"/>
      <x:c r="AP79" s="115"/>
      <x:c r="AQ79" s="115"/>
      <x:c r="AR79" s="115"/>
      <x:c r="AS79" s="115"/>
      <x:c r="AT79" s="115"/>
      <x:c r="AU79" s="115"/>
      <x:c r="AV79" s="115"/>
      <x:c r="AW79" s="115"/>
      <x:c r="AX79" s="115"/>
      <x:c r="AY79" s="115"/>
      <x:c r="AZ79" s="115"/>
      <x:c r="BA79" s="115"/>
      <x:c r="BB79" s="115"/>
      <x:c r="BC79" s="115"/>
      <x:c r="BD79" s="115"/>
      <x:c r="BE79" s="115"/>
      <x:c r="BF79" s="115"/>
      <x:c r="BG79" s="115"/>
      <x:c r="BH79" s="115"/>
      <x:c r="BI79" s="115"/>
      <x:c r="BJ79" s="115"/>
      <x:c r="BK79" s="115"/>
      <x:c r="BL79" s="115"/>
      <x:c r="BM79" s="115"/>
      <x:c r="BN79" s="115"/>
      <x:c r="BO79" s="115"/>
      <x:c r="BP79" s="115"/>
      <x:c r="BQ79" s="115"/>
      <x:c r="BR79" s="115"/>
      <x:c r="BS79" s="115"/>
      <x:c r="BT79" s="115"/>
      <x:c r="BU79" s="115"/>
      <x:c r="BV79" s="115"/>
      <x:c r="BW79" s="115"/>
      <x:c r="BX79" s="115"/>
      <x:c r="BY79" s="115"/>
      <x:c r="BZ79" s="115"/>
      <x:c r="CA79" s="115"/>
      <x:c r="CB79" s="116"/>
      <x:c r="CC79" s="141" t="str">
        <x:f>IF(COUNT(G79:P79)=0,"",AVERAGE(G79:P79)*4)</x:f>
      </x:c>
      <x:c r="CD79" s="178" t="str">
        <x:f>IF(COUNT(Q79:Z79)=0,"",AVERAGE(Q79:Z79)*4)</x:f>
      </x:c>
      <x:c r="CE79" s="178" t="str">
        <x:f>IF(COUNT(AA79:AJ79)=0,"",AVERAGE(AA79:AJ79)*4)</x:f>
      </x:c>
      <x:c r="CF79" s="178" t="str">
        <x:f>IF(COUNT(AK79:AR79)=0,"",AVERAGE(AK79:AR79)*4)</x:f>
      </x:c>
      <x:c r="CG79" s="178" t="str">
        <x:f>IF(COUNT(AS79:AY79)=0,"",AVERAGE(AS79:AY79)*4)</x:f>
      </x:c>
      <x:c r="CH79" s="178" t="str">
        <x:f>IF(COUNT(AZ79:BG79)=0,"",AVERAGE(AZ79:BG79)*4)</x:f>
      </x:c>
      <x:c r="CI79" s="178" t="str">
        <x:f>IF(COUNT(BH79:BN79)=0,"",AVERAGE(BH79:BN79)*4)</x:f>
      </x:c>
      <x:c r="CJ79" s="178" t="str">
        <x:f>IF(COUNT(BO79:BU79)=0,"",AVERAGE(BO79:BU79)*4)</x:f>
      </x:c>
      <x:c r="CK79" s="178" t="str">
        <x:f>IF(COUNT(BV79:CB79)=0,"",AVERAGE(BV79:CB79)*4)</x:f>
      </x:c>
      <x:c r="CL79" s="178" t="str">
        <x:f>IF(C79="","",IF(COUNT(G79:CB79)&lt;74,"",(CC79*'تنظیمات وزن‌دهی'!$C$5+CD79*'تنظیمات وزن‌دهی'!$C$6+CE79*'تنظیمات وزن‌دهی'!$C$7+CF79*'تنظیمات وزن‌دهی'!$C$8+CG79*'تنظیمات وزن‌دهی'!$C$9+CH79*'تنظیمات وزن‌دهی'!$C$10+CI79*'تنظیمات وزن‌دهی'!$C$11+CJ79*'تنظیمات وزن‌دهی'!$C$12+CK79*'تنظیمات وزن‌دهی'!$C$13)/100))</x:f>
      </x:c>
      <x:c r="CM79" s="178" t="str">
        <x:f>IF(C79="","",IF(COUNT(G79:CB79)=0,"",IF(COUNT(G79:CB79)&lt;74,"موقت - اطلاعات ناقص",IF(CL79&gt;=17,"عالی",IF(CL79&gt;=14,"خوب",IF(CL79&gt;=10,"متوسط","ضعیف"))))))</x:f>
      </x:c>
      <x:c r="CN79" s="178" t="n">
        <x:v>3</x:v>
      </x:c>
      <x:c r="CO79" s="142" t="n">
        <x:f>IF(C79="","",COUNT(G79:CB79)/74)</x:f>
        <x:v>0</x:v>
      </x:c>
      <x:c r="CP79" s="245"/>
    </x:row>
    <x:row r="80">
      <x:c r="A80" s="165" t="n">
        <x:v>76</x:v>
      </x:c>
      <x:c r="B80" s="233" t="str">
        <x:v>مهر</x:v>
      </x:c>
      <x:c r="C80" s="233" t="n">
        <x:f>IF('دانش‌آموزان'!E11="","",'دانش‌آموزان'!B11)</x:f>
        <x:v>7</x:v>
      </x:c>
      <x:c r="D80" s="233" t="str">
        <x:f>IF('دانش‌آموزان'!C11="","",'دانش‌آموزان'!C11)</x:f>
        <x:v>4000000071</x:v>
      </x:c>
      <x:c r="E80" s="233" t="str">
        <x:f>IF('دانش‌آموزان'!E11="","",'دانش‌آموزان'!E11&amp;" "&amp;'دانش‌آموزان'!F11)</x:f>
        <x:v>آراد حسینی</x:v>
      </x:c>
      <x:c r="F80" s="166" t="str">
        <x:f>IF('دانش‌آموزان'!I11="","",'دانش‌آموزان'!I11)</x:f>
        <x:v>sample-7-a</x:v>
      </x:c>
      <x:c r="G80" s="114"/>
      <x:c r="H80" s="115"/>
      <x:c r="I80" s="115"/>
      <x:c r="J80" s="115"/>
      <x:c r="K80" s="115"/>
      <x:c r="L80" s="115"/>
      <x:c r="M80" s="115"/>
      <x:c r="N80" s="115"/>
      <x:c r="O80" s="115"/>
      <x:c r="P80" s="115"/>
      <x:c r="Q80" s="115"/>
      <x:c r="R80" s="115"/>
      <x:c r="S80" s="115"/>
      <x:c r="T80" s="115"/>
      <x:c r="U80" s="115"/>
      <x:c r="V80" s="115"/>
      <x:c r="W80" s="115"/>
      <x:c r="X80" s="115"/>
      <x:c r="Y80" s="115"/>
      <x:c r="Z80" s="115"/>
      <x:c r="AA80" s="115"/>
      <x:c r="AB80" s="115"/>
      <x:c r="AC80" s="115"/>
      <x:c r="AD80" s="115"/>
      <x:c r="AE80" s="115"/>
      <x:c r="AF80" s="115"/>
      <x:c r="AG80" s="115"/>
      <x:c r="AH80" s="115"/>
      <x:c r="AI80" s="115"/>
      <x:c r="AJ80" s="115"/>
      <x:c r="AK80" s="115"/>
      <x:c r="AL80" s="115"/>
      <x:c r="AM80" s="115"/>
      <x:c r="AN80" s="115"/>
      <x:c r="AO80" s="115"/>
      <x:c r="AP80" s="115"/>
      <x:c r="AQ80" s="115"/>
      <x:c r="AR80" s="115"/>
      <x:c r="AS80" s="115"/>
      <x:c r="AT80" s="115"/>
      <x:c r="AU80" s="115"/>
      <x:c r="AV80" s="115"/>
      <x:c r="AW80" s="115"/>
      <x:c r="AX80" s="115"/>
      <x:c r="AY80" s="115"/>
      <x:c r="AZ80" s="115"/>
      <x:c r="BA80" s="115"/>
      <x:c r="BB80" s="115"/>
      <x:c r="BC80" s="115"/>
      <x:c r="BD80" s="115"/>
      <x:c r="BE80" s="115"/>
      <x:c r="BF80" s="115"/>
      <x:c r="BG80" s="115"/>
      <x:c r="BH80" s="115"/>
      <x:c r="BI80" s="115"/>
      <x:c r="BJ80" s="115"/>
      <x:c r="BK80" s="115"/>
      <x:c r="BL80" s="115"/>
      <x:c r="BM80" s="115"/>
      <x:c r="BN80" s="115"/>
      <x:c r="BO80" s="115"/>
      <x:c r="BP80" s="115"/>
      <x:c r="BQ80" s="115"/>
      <x:c r="BR80" s="115"/>
      <x:c r="BS80" s="115"/>
      <x:c r="BT80" s="115"/>
      <x:c r="BU80" s="115"/>
      <x:c r="BV80" s="115"/>
      <x:c r="BW80" s="115"/>
      <x:c r="BX80" s="115"/>
      <x:c r="BY80" s="115"/>
      <x:c r="BZ80" s="115"/>
      <x:c r="CA80" s="115"/>
      <x:c r="CB80" s="116"/>
      <x:c r="CC80" s="141" t="str">
        <x:f>IF(COUNT(G80:P80)=0,"",AVERAGE(G80:P80)*4)</x:f>
      </x:c>
      <x:c r="CD80" s="178" t="str">
        <x:f>IF(COUNT(Q80:Z80)=0,"",AVERAGE(Q80:Z80)*4)</x:f>
      </x:c>
      <x:c r="CE80" s="178" t="str">
        <x:f>IF(COUNT(AA80:AJ80)=0,"",AVERAGE(AA80:AJ80)*4)</x:f>
      </x:c>
      <x:c r="CF80" s="178" t="str">
        <x:f>IF(COUNT(AK80:AR80)=0,"",AVERAGE(AK80:AR80)*4)</x:f>
      </x:c>
      <x:c r="CG80" s="178" t="str">
        <x:f>IF(COUNT(AS80:AY80)=0,"",AVERAGE(AS80:AY80)*4)</x:f>
      </x:c>
      <x:c r="CH80" s="178" t="str">
        <x:f>IF(COUNT(AZ80:BG80)=0,"",AVERAGE(AZ80:BG80)*4)</x:f>
      </x:c>
      <x:c r="CI80" s="178" t="str">
        <x:f>IF(COUNT(BH80:BN80)=0,"",AVERAGE(BH80:BN80)*4)</x:f>
      </x:c>
      <x:c r="CJ80" s="178" t="str">
        <x:f>IF(COUNT(BO80:BU80)=0,"",AVERAGE(BO80:BU80)*4)</x:f>
      </x:c>
      <x:c r="CK80" s="178" t="str">
        <x:f>IF(COUNT(BV80:CB80)=0,"",AVERAGE(BV80:CB80)*4)</x:f>
      </x:c>
      <x:c r="CL80" s="178" t="str">
        <x:f>IF(C80="","",IF(COUNT(G80:CB80)&lt;74,"",(CC80*'تنظیمات وزن‌دهی'!$C$5+CD80*'تنظیمات وزن‌دهی'!$C$6+CE80*'تنظیمات وزن‌دهی'!$C$7+CF80*'تنظیمات وزن‌دهی'!$C$8+CG80*'تنظیمات وزن‌دهی'!$C$9+CH80*'تنظیمات وزن‌دهی'!$C$10+CI80*'تنظیمات وزن‌دهی'!$C$11+CJ80*'تنظیمات وزن‌دهی'!$C$12+CK80*'تنظیمات وزن‌دهی'!$C$13)/100))</x:f>
      </x:c>
      <x:c r="CM80" s="178" t="str">
        <x:f>IF(C80="","",IF(COUNT(G80:CB80)=0,"",IF(COUNT(G80:CB80)&lt;74,"موقت - اطلاعات ناقص",IF(CL80&gt;=17,"عالی",IF(CL80&gt;=14,"خوب",IF(CL80&gt;=10,"متوسط","ضعیف"))))))</x:f>
      </x:c>
      <x:c r="CN80" s="178" t="n">
        <x:v>4</x:v>
      </x:c>
      <x:c r="CO80" s="142" t="n">
        <x:f>IF(C80="","",COUNT(G80:CB80)/74)</x:f>
        <x:v>0</x:v>
      </x:c>
      <x:c r="CP80" s="245"/>
    </x:row>
    <x:row r="81">
      <x:c r="A81" s="165" t="n">
        <x:v>77</x:v>
      </x:c>
      <x:c r="B81" s="233" t="str">
        <x:v>آبان</x:v>
      </x:c>
      <x:c r="C81" s="233" t="n">
        <x:f>IF('دانش‌آموزان'!E11="","",'دانش‌آموزان'!B11)</x:f>
        <x:v>7</x:v>
      </x:c>
      <x:c r="D81" s="233" t="str">
        <x:f>IF('دانش‌آموزان'!C11="","",'دانش‌آموزان'!C11)</x:f>
        <x:v>4000000071</x:v>
      </x:c>
      <x:c r="E81" s="233" t="str">
        <x:f>IF('دانش‌آموزان'!E11="","",'دانش‌آموزان'!E11&amp;" "&amp;'دانش‌آموزان'!F11)</x:f>
        <x:v>آراد حسینی</x:v>
      </x:c>
      <x:c r="F81" s="166" t="str">
        <x:f>IF('دانش‌آموزان'!I11="","",'دانش‌آموزان'!I11)</x:f>
        <x:v>sample-7-a</x:v>
      </x:c>
      <x:c r="G81" s="114"/>
      <x:c r="H81" s="115"/>
      <x:c r="I81" s="115"/>
      <x:c r="J81" s="115"/>
      <x:c r="K81" s="115"/>
      <x:c r="L81" s="115"/>
      <x:c r="M81" s="115"/>
      <x:c r="N81" s="115"/>
      <x:c r="O81" s="115"/>
      <x:c r="P81" s="115"/>
      <x:c r="Q81" s="115"/>
      <x:c r="R81" s="115"/>
      <x:c r="S81" s="115"/>
      <x:c r="T81" s="115"/>
      <x:c r="U81" s="115"/>
      <x:c r="V81" s="115"/>
      <x:c r="W81" s="115"/>
      <x:c r="X81" s="115"/>
      <x:c r="Y81" s="115"/>
      <x:c r="Z81" s="115"/>
      <x:c r="AA81" s="115"/>
      <x:c r="AB81" s="115"/>
      <x:c r="AC81" s="115"/>
      <x:c r="AD81" s="115"/>
      <x:c r="AE81" s="115"/>
      <x:c r="AF81" s="115"/>
      <x:c r="AG81" s="115"/>
      <x:c r="AH81" s="115"/>
      <x:c r="AI81" s="115"/>
      <x:c r="AJ81" s="115"/>
      <x:c r="AK81" s="115"/>
      <x:c r="AL81" s="115"/>
      <x:c r="AM81" s="115"/>
      <x:c r="AN81" s="115"/>
      <x:c r="AO81" s="115"/>
      <x:c r="AP81" s="115"/>
      <x:c r="AQ81" s="115"/>
      <x:c r="AR81" s="115"/>
      <x:c r="AS81" s="115"/>
      <x:c r="AT81" s="115"/>
      <x:c r="AU81" s="115"/>
      <x:c r="AV81" s="115"/>
      <x:c r="AW81" s="115"/>
      <x:c r="AX81" s="115"/>
      <x:c r="AY81" s="115"/>
      <x:c r="AZ81" s="115"/>
      <x:c r="BA81" s="115"/>
      <x:c r="BB81" s="115"/>
      <x:c r="BC81" s="115"/>
      <x:c r="BD81" s="115"/>
      <x:c r="BE81" s="115"/>
      <x:c r="BF81" s="115"/>
      <x:c r="BG81" s="115"/>
      <x:c r="BH81" s="115"/>
      <x:c r="BI81" s="115"/>
      <x:c r="BJ81" s="115"/>
      <x:c r="BK81" s="115"/>
      <x:c r="BL81" s="115"/>
      <x:c r="BM81" s="115"/>
      <x:c r="BN81" s="115"/>
      <x:c r="BO81" s="115"/>
      <x:c r="BP81" s="115"/>
      <x:c r="BQ81" s="115"/>
      <x:c r="BR81" s="115"/>
      <x:c r="BS81" s="115"/>
      <x:c r="BT81" s="115"/>
      <x:c r="BU81" s="115"/>
      <x:c r="BV81" s="115"/>
      <x:c r="BW81" s="115"/>
      <x:c r="BX81" s="115"/>
      <x:c r="BY81" s="115"/>
      <x:c r="BZ81" s="115"/>
      <x:c r="CA81" s="115"/>
      <x:c r="CB81" s="116"/>
      <x:c r="CC81" s="141" t="str">
        <x:f>IF(COUNT(G81:P81)=0,"",AVERAGE(G81:P81)*4)</x:f>
      </x:c>
      <x:c r="CD81" s="178" t="str">
        <x:f>IF(COUNT(Q81:Z81)=0,"",AVERAGE(Q81:Z81)*4)</x:f>
      </x:c>
      <x:c r="CE81" s="178" t="str">
        <x:f>IF(COUNT(AA81:AJ81)=0,"",AVERAGE(AA81:AJ81)*4)</x:f>
      </x:c>
      <x:c r="CF81" s="178" t="str">
        <x:f>IF(COUNT(AK81:AR81)=0,"",AVERAGE(AK81:AR81)*4)</x:f>
      </x:c>
      <x:c r="CG81" s="178" t="str">
        <x:f>IF(COUNT(AS81:AY81)=0,"",AVERAGE(AS81:AY81)*4)</x:f>
      </x:c>
      <x:c r="CH81" s="178" t="str">
        <x:f>IF(COUNT(AZ81:BG81)=0,"",AVERAGE(AZ81:BG81)*4)</x:f>
      </x:c>
      <x:c r="CI81" s="178" t="str">
        <x:f>IF(COUNT(BH81:BN81)=0,"",AVERAGE(BH81:BN81)*4)</x:f>
      </x:c>
      <x:c r="CJ81" s="178" t="str">
        <x:f>IF(COUNT(BO81:BU81)=0,"",AVERAGE(BO81:BU81)*4)</x:f>
      </x:c>
      <x:c r="CK81" s="178" t="str">
        <x:f>IF(COUNT(BV81:CB81)=0,"",AVERAGE(BV81:CB81)*4)</x:f>
      </x:c>
      <x:c r="CL81" s="178" t="str">
        <x:f>IF(C81="","",IF(COUNT(G81:CB81)&lt;74,"",(CC81*'تنظیمات وزن‌دهی'!$C$5+CD81*'تنظیمات وزن‌دهی'!$C$6+CE81*'تنظیمات وزن‌دهی'!$C$7+CF81*'تنظیمات وزن‌دهی'!$C$8+CG81*'تنظیمات وزن‌دهی'!$C$9+CH81*'تنظیمات وزن‌دهی'!$C$10+CI81*'تنظیمات وزن‌دهی'!$C$11+CJ81*'تنظیمات وزن‌دهی'!$C$12+CK81*'تنظیمات وزن‌دهی'!$C$13)/100))</x:f>
      </x:c>
      <x:c r="CM81" s="178" t="str">
        <x:f>IF(C81="","",IF(COUNT(G81:CB81)=0,"",IF(COUNT(G81:CB81)&lt;74,"موقت - اطلاعات ناقص",IF(CL81&gt;=17,"عالی",IF(CL81&gt;=14,"خوب",IF(CL81&gt;=10,"متوسط","ضعیف"))))))</x:f>
      </x:c>
      <x:c r="CN81" s="178" t="n">
        <x:v>5</x:v>
      </x:c>
      <x:c r="CO81" s="142" t="n">
        <x:f>IF(C81="","",COUNT(G81:CB81)/74)</x:f>
        <x:v>0</x:v>
      </x:c>
      <x:c r="CP81" s="245"/>
    </x:row>
    <x:row r="82">
      <x:c r="A82" s="165" t="n">
        <x:v>78</x:v>
      </x:c>
      <x:c r="B82" s="233" t="str">
        <x:v>آذر</x:v>
      </x:c>
      <x:c r="C82" s="233" t="n">
        <x:f>IF('دانش‌آموزان'!E11="","",'دانش‌آموزان'!B11)</x:f>
        <x:v>7</x:v>
      </x:c>
      <x:c r="D82" s="233" t="str">
        <x:f>IF('دانش‌آموزان'!C11="","",'دانش‌آموزان'!C11)</x:f>
        <x:v>4000000071</x:v>
      </x:c>
      <x:c r="E82" s="233" t="str">
        <x:f>IF('دانش‌آموزان'!E11="","",'دانش‌آموزان'!E11&amp;" "&amp;'دانش‌آموزان'!F11)</x:f>
        <x:v>آراد حسینی</x:v>
      </x:c>
      <x:c r="F82" s="166" t="str">
        <x:f>IF('دانش‌آموزان'!I11="","",'دانش‌آموزان'!I11)</x:f>
        <x:v>sample-7-a</x:v>
      </x:c>
      <x:c r="G82" s="114"/>
      <x:c r="H82" s="115"/>
      <x:c r="I82" s="115"/>
      <x:c r="J82" s="115"/>
      <x:c r="K82" s="115"/>
      <x:c r="L82" s="115"/>
      <x:c r="M82" s="115"/>
      <x:c r="N82" s="115"/>
      <x:c r="O82" s="115"/>
      <x:c r="P82" s="115"/>
      <x:c r="Q82" s="115"/>
      <x:c r="R82" s="115"/>
      <x:c r="S82" s="115"/>
      <x:c r="T82" s="115"/>
      <x:c r="U82" s="115"/>
      <x:c r="V82" s="115"/>
      <x:c r="W82" s="115"/>
      <x:c r="X82" s="115"/>
      <x:c r="Y82" s="115"/>
      <x:c r="Z82" s="115"/>
      <x:c r="AA82" s="115"/>
      <x:c r="AB82" s="115"/>
      <x:c r="AC82" s="115"/>
      <x:c r="AD82" s="115"/>
      <x:c r="AE82" s="115"/>
      <x:c r="AF82" s="115"/>
      <x:c r="AG82" s="115"/>
      <x:c r="AH82" s="115"/>
      <x:c r="AI82" s="115"/>
      <x:c r="AJ82" s="115"/>
      <x:c r="AK82" s="115"/>
      <x:c r="AL82" s="115"/>
      <x:c r="AM82" s="115"/>
      <x:c r="AN82" s="115"/>
      <x:c r="AO82" s="115"/>
      <x:c r="AP82" s="115"/>
      <x:c r="AQ82" s="115"/>
      <x:c r="AR82" s="115"/>
      <x:c r="AS82" s="115"/>
      <x:c r="AT82" s="115"/>
      <x:c r="AU82" s="115"/>
      <x:c r="AV82" s="115"/>
      <x:c r="AW82" s="115"/>
      <x:c r="AX82" s="115"/>
      <x:c r="AY82" s="115"/>
      <x:c r="AZ82" s="115"/>
      <x:c r="BA82" s="115"/>
      <x:c r="BB82" s="115"/>
      <x:c r="BC82" s="115"/>
      <x:c r="BD82" s="115"/>
      <x:c r="BE82" s="115"/>
      <x:c r="BF82" s="115"/>
      <x:c r="BG82" s="115"/>
      <x:c r="BH82" s="115"/>
      <x:c r="BI82" s="115"/>
      <x:c r="BJ82" s="115"/>
      <x:c r="BK82" s="115"/>
      <x:c r="BL82" s="115"/>
      <x:c r="BM82" s="115"/>
      <x:c r="BN82" s="115"/>
      <x:c r="BO82" s="115"/>
      <x:c r="BP82" s="115"/>
      <x:c r="BQ82" s="115"/>
      <x:c r="BR82" s="115"/>
      <x:c r="BS82" s="115"/>
      <x:c r="BT82" s="115"/>
      <x:c r="BU82" s="115"/>
      <x:c r="BV82" s="115"/>
      <x:c r="BW82" s="115"/>
      <x:c r="BX82" s="115"/>
      <x:c r="BY82" s="115"/>
      <x:c r="BZ82" s="115"/>
      <x:c r="CA82" s="115"/>
      <x:c r="CB82" s="116"/>
      <x:c r="CC82" s="141" t="str">
        <x:f>IF(COUNT(G82:P82)=0,"",AVERAGE(G82:P82)*4)</x:f>
      </x:c>
      <x:c r="CD82" s="178" t="str">
        <x:f>IF(COUNT(Q82:Z82)=0,"",AVERAGE(Q82:Z82)*4)</x:f>
      </x:c>
      <x:c r="CE82" s="178" t="str">
        <x:f>IF(COUNT(AA82:AJ82)=0,"",AVERAGE(AA82:AJ82)*4)</x:f>
      </x:c>
      <x:c r="CF82" s="178" t="str">
        <x:f>IF(COUNT(AK82:AR82)=0,"",AVERAGE(AK82:AR82)*4)</x:f>
      </x:c>
      <x:c r="CG82" s="178" t="str">
        <x:f>IF(COUNT(AS82:AY82)=0,"",AVERAGE(AS82:AY82)*4)</x:f>
      </x:c>
      <x:c r="CH82" s="178" t="str">
        <x:f>IF(COUNT(AZ82:BG82)=0,"",AVERAGE(AZ82:BG82)*4)</x:f>
      </x:c>
      <x:c r="CI82" s="178" t="str">
        <x:f>IF(COUNT(BH82:BN82)=0,"",AVERAGE(BH82:BN82)*4)</x:f>
      </x:c>
      <x:c r="CJ82" s="178" t="str">
        <x:f>IF(COUNT(BO82:BU82)=0,"",AVERAGE(BO82:BU82)*4)</x:f>
      </x:c>
      <x:c r="CK82" s="178" t="str">
        <x:f>IF(COUNT(BV82:CB82)=0,"",AVERAGE(BV82:CB82)*4)</x:f>
      </x:c>
      <x:c r="CL82" s="178" t="str">
        <x:f>IF(C82="","",IF(COUNT(G82:CB82)&lt;74,"",(CC82*'تنظیمات وزن‌دهی'!$C$5+CD82*'تنظیمات وزن‌دهی'!$C$6+CE82*'تنظیمات وزن‌دهی'!$C$7+CF82*'تنظیمات وزن‌دهی'!$C$8+CG82*'تنظیمات وزن‌دهی'!$C$9+CH82*'تنظیمات وزن‌دهی'!$C$10+CI82*'تنظیمات وزن‌دهی'!$C$11+CJ82*'تنظیمات وزن‌دهی'!$C$12+CK82*'تنظیمات وزن‌دهی'!$C$13)/100))</x:f>
      </x:c>
      <x:c r="CM82" s="178" t="str">
        <x:f>IF(C82="","",IF(COUNT(G82:CB82)=0,"",IF(COUNT(G82:CB82)&lt;74,"موقت - اطلاعات ناقص",IF(CL82&gt;=17,"عالی",IF(CL82&gt;=14,"خوب",IF(CL82&gt;=10,"متوسط","ضعیف"))))))</x:f>
      </x:c>
      <x:c r="CN82" s="178" t="n">
        <x:v>6</x:v>
      </x:c>
      <x:c r="CO82" s="142" t="n">
        <x:f>IF(C82="","",COUNT(G82:CB82)/74)</x:f>
        <x:v>0</x:v>
      </x:c>
      <x:c r="CP82" s="245"/>
    </x:row>
    <x:row r="83">
      <x:c r="A83" s="165" t="n">
        <x:v>79</x:v>
      </x:c>
      <x:c r="B83" s="233" t="str">
        <x:v>دی</x:v>
      </x:c>
      <x:c r="C83" s="233" t="n">
        <x:f>IF('دانش‌آموزان'!E11="","",'دانش‌آموزان'!B11)</x:f>
        <x:v>7</x:v>
      </x:c>
      <x:c r="D83" s="233" t="str">
        <x:f>IF('دانش‌آموزان'!C11="","",'دانش‌آموزان'!C11)</x:f>
        <x:v>4000000071</x:v>
      </x:c>
      <x:c r="E83" s="233" t="str">
        <x:f>IF('دانش‌آموزان'!E11="","",'دانش‌آموزان'!E11&amp;" "&amp;'دانش‌آموزان'!F11)</x:f>
        <x:v>آراد حسینی</x:v>
      </x:c>
      <x:c r="F83" s="166" t="str">
        <x:f>IF('دانش‌آموزان'!I11="","",'دانش‌آموزان'!I11)</x:f>
        <x:v>sample-7-a</x:v>
      </x:c>
      <x:c r="G83" s="114"/>
      <x:c r="H83" s="115"/>
      <x:c r="I83" s="115"/>
      <x:c r="J83" s="115"/>
      <x:c r="K83" s="115"/>
      <x:c r="L83" s="115"/>
      <x:c r="M83" s="115"/>
      <x:c r="N83" s="115"/>
      <x:c r="O83" s="115"/>
      <x:c r="P83" s="115"/>
      <x:c r="Q83" s="115"/>
      <x:c r="R83" s="115"/>
      <x:c r="S83" s="115"/>
      <x:c r="T83" s="115"/>
      <x:c r="U83" s="115"/>
      <x:c r="V83" s="115"/>
      <x:c r="W83" s="115"/>
      <x:c r="X83" s="115"/>
      <x:c r="Y83" s="115"/>
      <x:c r="Z83" s="115"/>
      <x:c r="AA83" s="115"/>
      <x:c r="AB83" s="115"/>
      <x:c r="AC83" s="115"/>
      <x:c r="AD83" s="115"/>
      <x:c r="AE83" s="115"/>
      <x:c r="AF83" s="115"/>
      <x:c r="AG83" s="115"/>
      <x:c r="AH83" s="115"/>
      <x:c r="AI83" s="115"/>
      <x:c r="AJ83" s="115"/>
      <x:c r="AK83" s="115"/>
      <x:c r="AL83" s="115"/>
      <x:c r="AM83" s="115"/>
      <x:c r="AN83" s="115"/>
      <x:c r="AO83" s="115"/>
      <x:c r="AP83" s="115"/>
      <x:c r="AQ83" s="115"/>
      <x:c r="AR83" s="115"/>
      <x:c r="AS83" s="115"/>
      <x:c r="AT83" s="115"/>
      <x:c r="AU83" s="115"/>
      <x:c r="AV83" s="115"/>
      <x:c r="AW83" s="115"/>
      <x:c r="AX83" s="115"/>
      <x:c r="AY83" s="115"/>
      <x:c r="AZ83" s="115"/>
      <x:c r="BA83" s="115"/>
      <x:c r="BB83" s="115"/>
      <x:c r="BC83" s="115"/>
      <x:c r="BD83" s="115"/>
      <x:c r="BE83" s="115"/>
      <x:c r="BF83" s="115"/>
      <x:c r="BG83" s="115"/>
      <x:c r="BH83" s="115"/>
      <x:c r="BI83" s="115"/>
      <x:c r="BJ83" s="115"/>
      <x:c r="BK83" s="115"/>
      <x:c r="BL83" s="115"/>
      <x:c r="BM83" s="115"/>
      <x:c r="BN83" s="115"/>
      <x:c r="BO83" s="115"/>
      <x:c r="BP83" s="115"/>
      <x:c r="BQ83" s="115"/>
      <x:c r="BR83" s="115"/>
      <x:c r="BS83" s="115"/>
      <x:c r="BT83" s="115"/>
      <x:c r="BU83" s="115"/>
      <x:c r="BV83" s="115"/>
      <x:c r="BW83" s="115"/>
      <x:c r="BX83" s="115"/>
      <x:c r="BY83" s="115"/>
      <x:c r="BZ83" s="115"/>
      <x:c r="CA83" s="115"/>
      <x:c r="CB83" s="116"/>
      <x:c r="CC83" s="141" t="str">
        <x:f>IF(COUNT(G83:P83)=0,"",AVERAGE(G83:P83)*4)</x:f>
      </x:c>
      <x:c r="CD83" s="178" t="str">
        <x:f>IF(COUNT(Q83:Z83)=0,"",AVERAGE(Q83:Z83)*4)</x:f>
      </x:c>
      <x:c r="CE83" s="178" t="str">
        <x:f>IF(COUNT(AA83:AJ83)=0,"",AVERAGE(AA83:AJ83)*4)</x:f>
      </x:c>
      <x:c r="CF83" s="178" t="str">
        <x:f>IF(COUNT(AK83:AR83)=0,"",AVERAGE(AK83:AR83)*4)</x:f>
      </x:c>
      <x:c r="CG83" s="178" t="str">
        <x:f>IF(COUNT(AS83:AY83)=0,"",AVERAGE(AS83:AY83)*4)</x:f>
      </x:c>
      <x:c r="CH83" s="178" t="str">
        <x:f>IF(COUNT(AZ83:BG83)=0,"",AVERAGE(AZ83:BG83)*4)</x:f>
      </x:c>
      <x:c r="CI83" s="178" t="str">
        <x:f>IF(COUNT(BH83:BN83)=0,"",AVERAGE(BH83:BN83)*4)</x:f>
      </x:c>
      <x:c r="CJ83" s="178" t="str">
        <x:f>IF(COUNT(BO83:BU83)=0,"",AVERAGE(BO83:BU83)*4)</x:f>
      </x:c>
      <x:c r="CK83" s="178" t="str">
        <x:f>IF(COUNT(BV83:CB83)=0,"",AVERAGE(BV83:CB83)*4)</x:f>
      </x:c>
      <x:c r="CL83" s="178" t="str">
        <x:f>IF(C83="","",IF(COUNT(G83:CB83)&lt;74,"",(CC83*'تنظیمات وزن‌دهی'!$C$5+CD83*'تنظیمات وزن‌دهی'!$C$6+CE83*'تنظیمات وزن‌دهی'!$C$7+CF83*'تنظیمات وزن‌دهی'!$C$8+CG83*'تنظیمات وزن‌دهی'!$C$9+CH83*'تنظیمات وزن‌دهی'!$C$10+CI83*'تنظیمات وزن‌دهی'!$C$11+CJ83*'تنظیمات وزن‌دهی'!$C$12+CK83*'تنظیمات وزن‌دهی'!$C$13)/100))</x:f>
      </x:c>
      <x:c r="CM83" s="178" t="str">
        <x:f>IF(C83="","",IF(COUNT(G83:CB83)=0,"",IF(COUNT(G83:CB83)&lt;74,"موقت - اطلاعات ناقص",IF(CL83&gt;=17,"عالی",IF(CL83&gt;=14,"خوب",IF(CL83&gt;=10,"متوسط","ضعیف"))))))</x:f>
      </x:c>
      <x:c r="CN83" s="178" t="n">
        <x:v>7</x:v>
      </x:c>
      <x:c r="CO83" s="142" t="n">
        <x:f>IF(C83="","",COUNT(G83:CB83)/74)</x:f>
        <x:v>0</x:v>
      </x:c>
      <x:c r="CP83" s="245"/>
    </x:row>
    <x:row r="84">
      <x:c r="A84" s="165" t="n">
        <x:v>80</x:v>
      </x:c>
      <x:c r="B84" s="233" t="str">
        <x:v>بهمن</x:v>
      </x:c>
      <x:c r="C84" s="233" t="n">
        <x:f>IF('دانش‌آموزان'!E11="","",'دانش‌آموزان'!B11)</x:f>
        <x:v>7</x:v>
      </x:c>
      <x:c r="D84" s="233" t="str">
        <x:f>IF('دانش‌آموزان'!C11="","",'دانش‌آموزان'!C11)</x:f>
        <x:v>4000000071</x:v>
      </x:c>
      <x:c r="E84" s="233" t="str">
        <x:f>IF('دانش‌آموزان'!E11="","",'دانش‌آموزان'!E11&amp;" "&amp;'دانش‌آموزان'!F11)</x:f>
        <x:v>آراد حسینی</x:v>
      </x:c>
      <x:c r="F84" s="166" t="str">
        <x:f>IF('دانش‌آموزان'!I11="","",'دانش‌آموزان'!I11)</x:f>
        <x:v>sample-7-a</x:v>
      </x:c>
      <x:c r="G84" s="114"/>
      <x:c r="H84" s="115"/>
      <x:c r="I84" s="115"/>
      <x:c r="J84" s="115"/>
      <x:c r="K84" s="115"/>
      <x:c r="L84" s="115"/>
      <x:c r="M84" s="115"/>
      <x:c r="N84" s="115"/>
      <x:c r="O84" s="115"/>
      <x:c r="P84" s="115"/>
      <x:c r="Q84" s="115"/>
      <x:c r="R84" s="115"/>
      <x:c r="S84" s="115"/>
      <x:c r="T84" s="115"/>
      <x:c r="U84" s="115"/>
      <x:c r="V84" s="115"/>
      <x:c r="W84" s="115"/>
      <x:c r="X84" s="115"/>
      <x:c r="Y84" s="115"/>
      <x:c r="Z84" s="115"/>
      <x:c r="AA84" s="115"/>
      <x:c r="AB84" s="115"/>
      <x:c r="AC84" s="115"/>
      <x:c r="AD84" s="115"/>
      <x:c r="AE84" s="115"/>
      <x:c r="AF84" s="115"/>
      <x:c r="AG84" s="115"/>
      <x:c r="AH84" s="115"/>
      <x:c r="AI84" s="115"/>
      <x:c r="AJ84" s="115"/>
      <x:c r="AK84" s="115"/>
      <x:c r="AL84" s="115"/>
      <x:c r="AM84" s="115"/>
      <x:c r="AN84" s="115"/>
      <x:c r="AO84" s="115"/>
      <x:c r="AP84" s="115"/>
      <x:c r="AQ84" s="115"/>
      <x:c r="AR84" s="115"/>
      <x:c r="AS84" s="115"/>
      <x:c r="AT84" s="115"/>
      <x:c r="AU84" s="115"/>
      <x:c r="AV84" s="115"/>
      <x:c r="AW84" s="115"/>
      <x:c r="AX84" s="115"/>
      <x:c r="AY84" s="115"/>
      <x:c r="AZ84" s="115"/>
      <x:c r="BA84" s="115"/>
      <x:c r="BB84" s="115"/>
      <x:c r="BC84" s="115"/>
      <x:c r="BD84" s="115"/>
      <x:c r="BE84" s="115"/>
      <x:c r="BF84" s="115"/>
      <x:c r="BG84" s="115"/>
      <x:c r="BH84" s="115"/>
      <x:c r="BI84" s="115"/>
      <x:c r="BJ84" s="115"/>
      <x:c r="BK84" s="115"/>
      <x:c r="BL84" s="115"/>
      <x:c r="BM84" s="115"/>
      <x:c r="BN84" s="115"/>
      <x:c r="BO84" s="115"/>
      <x:c r="BP84" s="115"/>
      <x:c r="BQ84" s="115"/>
      <x:c r="BR84" s="115"/>
      <x:c r="BS84" s="115"/>
      <x:c r="BT84" s="115"/>
      <x:c r="BU84" s="115"/>
      <x:c r="BV84" s="115"/>
      <x:c r="BW84" s="115"/>
      <x:c r="BX84" s="115"/>
      <x:c r="BY84" s="115"/>
      <x:c r="BZ84" s="115"/>
      <x:c r="CA84" s="115"/>
      <x:c r="CB84" s="116"/>
      <x:c r="CC84" s="141" t="str">
        <x:f>IF(COUNT(G84:P84)=0,"",AVERAGE(G84:P84)*4)</x:f>
      </x:c>
      <x:c r="CD84" s="178" t="str">
        <x:f>IF(COUNT(Q84:Z84)=0,"",AVERAGE(Q84:Z84)*4)</x:f>
      </x:c>
      <x:c r="CE84" s="178" t="str">
        <x:f>IF(COUNT(AA84:AJ84)=0,"",AVERAGE(AA84:AJ84)*4)</x:f>
      </x:c>
      <x:c r="CF84" s="178" t="str">
        <x:f>IF(COUNT(AK84:AR84)=0,"",AVERAGE(AK84:AR84)*4)</x:f>
      </x:c>
      <x:c r="CG84" s="178" t="str">
        <x:f>IF(COUNT(AS84:AY84)=0,"",AVERAGE(AS84:AY84)*4)</x:f>
      </x:c>
      <x:c r="CH84" s="178" t="str">
        <x:f>IF(COUNT(AZ84:BG84)=0,"",AVERAGE(AZ84:BG84)*4)</x:f>
      </x:c>
      <x:c r="CI84" s="178" t="str">
        <x:f>IF(COUNT(BH84:BN84)=0,"",AVERAGE(BH84:BN84)*4)</x:f>
      </x:c>
      <x:c r="CJ84" s="178" t="str">
        <x:f>IF(COUNT(BO84:BU84)=0,"",AVERAGE(BO84:BU84)*4)</x:f>
      </x:c>
      <x:c r="CK84" s="178" t="str">
        <x:f>IF(COUNT(BV84:CB84)=0,"",AVERAGE(BV84:CB84)*4)</x:f>
      </x:c>
      <x:c r="CL84" s="178" t="str">
        <x:f>IF(C84="","",IF(COUNT(G84:CB84)&lt;74,"",(CC84*'تنظیمات وزن‌دهی'!$C$5+CD84*'تنظیمات وزن‌دهی'!$C$6+CE84*'تنظیمات وزن‌دهی'!$C$7+CF84*'تنظیمات وزن‌دهی'!$C$8+CG84*'تنظیمات وزن‌دهی'!$C$9+CH84*'تنظیمات وزن‌دهی'!$C$10+CI84*'تنظیمات وزن‌دهی'!$C$11+CJ84*'تنظیمات وزن‌دهی'!$C$12+CK84*'تنظیمات وزن‌دهی'!$C$13)/100))</x:f>
      </x:c>
      <x:c r="CM84" s="178" t="str">
        <x:f>IF(C84="","",IF(COUNT(G84:CB84)=0,"",IF(COUNT(G84:CB84)&lt;74,"موقت - اطلاعات ناقص",IF(CL84&gt;=17,"عالی",IF(CL84&gt;=14,"خوب",IF(CL84&gt;=10,"متوسط","ضعیف"))))))</x:f>
      </x:c>
      <x:c r="CN84" s="178" t="n">
        <x:v>8</x:v>
      </x:c>
      <x:c r="CO84" s="142" t="n">
        <x:f>IF(C84="","",COUNT(G84:CB84)/74)</x:f>
        <x:v>0</x:v>
      </x:c>
      <x:c r="CP84" s="245"/>
    </x:row>
    <x:row r="85">
      <x:c r="A85" s="165" t="n">
        <x:v>81</x:v>
      </x:c>
      <x:c r="B85" s="233" t="str">
        <x:v>اسفند</x:v>
      </x:c>
      <x:c r="C85" s="233" t="n">
        <x:f>IF('دانش‌آموزان'!E11="","",'دانش‌آموزان'!B11)</x:f>
        <x:v>7</x:v>
      </x:c>
      <x:c r="D85" s="233" t="str">
        <x:f>IF('دانش‌آموزان'!C11="","",'دانش‌آموزان'!C11)</x:f>
        <x:v>4000000071</x:v>
      </x:c>
      <x:c r="E85" s="233" t="str">
        <x:f>IF('دانش‌آموزان'!E11="","",'دانش‌آموزان'!E11&amp;" "&amp;'دانش‌آموزان'!F11)</x:f>
        <x:v>آراد حسینی</x:v>
      </x:c>
      <x:c r="F85" s="166" t="str">
        <x:f>IF('دانش‌آموزان'!I11="","",'دانش‌آموزان'!I11)</x:f>
        <x:v>sample-7-a</x:v>
      </x:c>
      <x:c r="G85" s="114"/>
      <x:c r="H85" s="115"/>
      <x:c r="I85" s="115"/>
      <x:c r="J85" s="115"/>
      <x:c r="K85" s="115"/>
      <x:c r="L85" s="115"/>
      <x:c r="M85" s="115"/>
      <x:c r="N85" s="115"/>
      <x:c r="O85" s="115"/>
      <x:c r="P85" s="115"/>
      <x:c r="Q85" s="115"/>
      <x:c r="R85" s="115"/>
      <x:c r="S85" s="115"/>
      <x:c r="T85" s="115"/>
      <x:c r="U85" s="115"/>
      <x:c r="V85" s="115"/>
      <x:c r="W85" s="115"/>
      <x:c r="X85" s="115"/>
      <x:c r="Y85" s="115"/>
      <x:c r="Z85" s="115"/>
      <x:c r="AA85" s="115"/>
      <x:c r="AB85" s="115"/>
      <x:c r="AC85" s="115"/>
      <x:c r="AD85" s="115"/>
      <x:c r="AE85" s="115"/>
      <x:c r="AF85" s="115"/>
      <x:c r="AG85" s="115"/>
      <x:c r="AH85" s="115"/>
      <x:c r="AI85" s="115"/>
      <x:c r="AJ85" s="115"/>
      <x:c r="AK85" s="115"/>
      <x:c r="AL85" s="115"/>
      <x:c r="AM85" s="115"/>
      <x:c r="AN85" s="115"/>
      <x:c r="AO85" s="115"/>
      <x:c r="AP85" s="115"/>
      <x:c r="AQ85" s="115"/>
      <x:c r="AR85" s="115"/>
      <x:c r="AS85" s="115"/>
      <x:c r="AT85" s="115"/>
      <x:c r="AU85" s="115"/>
      <x:c r="AV85" s="115"/>
      <x:c r="AW85" s="115"/>
      <x:c r="AX85" s="115"/>
      <x:c r="AY85" s="115"/>
      <x:c r="AZ85" s="115"/>
      <x:c r="BA85" s="115"/>
      <x:c r="BB85" s="115"/>
      <x:c r="BC85" s="115"/>
      <x:c r="BD85" s="115"/>
      <x:c r="BE85" s="115"/>
      <x:c r="BF85" s="115"/>
      <x:c r="BG85" s="115"/>
      <x:c r="BH85" s="115"/>
      <x:c r="BI85" s="115"/>
      <x:c r="BJ85" s="115"/>
      <x:c r="BK85" s="115"/>
      <x:c r="BL85" s="115"/>
      <x:c r="BM85" s="115"/>
      <x:c r="BN85" s="115"/>
      <x:c r="BO85" s="115"/>
      <x:c r="BP85" s="115"/>
      <x:c r="BQ85" s="115"/>
      <x:c r="BR85" s="115"/>
      <x:c r="BS85" s="115"/>
      <x:c r="BT85" s="115"/>
      <x:c r="BU85" s="115"/>
      <x:c r="BV85" s="115"/>
      <x:c r="BW85" s="115"/>
      <x:c r="BX85" s="115"/>
      <x:c r="BY85" s="115"/>
      <x:c r="BZ85" s="115"/>
      <x:c r="CA85" s="115"/>
      <x:c r="CB85" s="116"/>
      <x:c r="CC85" s="141" t="str">
        <x:f>IF(COUNT(G85:P85)=0,"",AVERAGE(G85:P85)*4)</x:f>
      </x:c>
      <x:c r="CD85" s="178" t="str">
        <x:f>IF(COUNT(Q85:Z85)=0,"",AVERAGE(Q85:Z85)*4)</x:f>
      </x:c>
      <x:c r="CE85" s="178" t="str">
        <x:f>IF(COUNT(AA85:AJ85)=0,"",AVERAGE(AA85:AJ85)*4)</x:f>
      </x:c>
      <x:c r="CF85" s="178" t="str">
        <x:f>IF(COUNT(AK85:AR85)=0,"",AVERAGE(AK85:AR85)*4)</x:f>
      </x:c>
      <x:c r="CG85" s="178" t="str">
        <x:f>IF(COUNT(AS85:AY85)=0,"",AVERAGE(AS85:AY85)*4)</x:f>
      </x:c>
      <x:c r="CH85" s="178" t="str">
        <x:f>IF(COUNT(AZ85:BG85)=0,"",AVERAGE(AZ85:BG85)*4)</x:f>
      </x:c>
      <x:c r="CI85" s="178" t="str">
        <x:f>IF(COUNT(BH85:BN85)=0,"",AVERAGE(BH85:BN85)*4)</x:f>
      </x:c>
      <x:c r="CJ85" s="178" t="str">
        <x:f>IF(COUNT(BO85:BU85)=0,"",AVERAGE(BO85:BU85)*4)</x:f>
      </x:c>
      <x:c r="CK85" s="178" t="str">
        <x:f>IF(COUNT(BV85:CB85)=0,"",AVERAGE(BV85:CB85)*4)</x:f>
      </x:c>
      <x:c r="CL85" s="178" t="str">
        <x:f>IF(C85="","",IF(COUNT(G85:CB85)&lt;74,"",(CC85*'تنظیمات وزن‌دهی'!$C$5+CD85*'تنظیمات وزن‌دهی'!$C$6+CE85*'تنظیمات وزن‌دهی'!$C$7+CF85*'تنظیمات وزن‌دهی'!$C$8+CG85*'تنظیمات وزن‌دهی'!$C$9+CH85*'تنظیمات وزن‌دهی'!$C$10+CI85*'تنظیمات وزن‌دهی'!$C$11+CJ85*'تنظیمات وزن‌دهی'!$C$12+CK85*'تنظیمات وزن‌دهی'!$C$13)/100))</x:f>
      </x:c>
      <x:c r="CM85" s="178" t="str">
        <x:f>IF(C85="","",IF(COUNT(G85:CB85)=0,"",IF(COUNT(G85:CB85)&lt;74,"موقت - اطلاعات ناقص",IF(CL85&gt;=17,"عالی",IF(CL85&gt;=14,"خوب",IF(CL85&gt;=10,"متوسط","ضعیف"))))))</x:f>
      </x:c>
      <x:c r="CN85" s="178" t="n">
        <x:v>9</x:v>
      </x:c>
      <x:c r="CO85" s="142" t="n">
        <x:f>IF(C85="","",COUNT(G85:CB85)/74)</x:f>
        <x:v>0</x:v>
      </x:c>
      <x:c r="CP85" s="245"/>
    </x:row>
    <x:row r="86">
      <x:c r="A86" s="165" t="n">
        <x:v>82</x:v>
      </x:c>
      <x:c r="B86" s="233" t="str">
        <x:v>فروردین</x:v>
      </x:c>
      <x:c r="C86" s="233" t="n">
        <x:f>IF('دانش‌آموزان'!E11="","",'دانش‌آموزان'!B11)</x:f>
        <x:v>7</x:v>
      </x:c>
      <x:c r="D86" s="233" t="str">
        <x:f>IF('دانش‌آموزان'!C11="","",'دانش‌آموزان'!C11)</x:f>
        <x:v>4000000071</x:v>
      </x:c>
      <x:c r="E86" s="233" t="str">
        <x:f>IF('دانش‌آموزان'!E11="","",'دانش‌آموزان'!E11&amp;" "&amp;'دانش‌آموزان'!F11)</x:f>
        <x:v>آراد حسینی</x:v>
      </x:c>
      <x:c r="F86" s="166" t="str">
        <x:f>IF('دانش‌آموزان'!I11="","",'دانش‌آموزان'!I11)</x:f>
        <x:v>sample-7-a</x:v>
      </x:c>
      <x:c r="G86" s="114"/>
      <x:c r="H86" s="115"/>
      <x:c r="I86" s="115"/>
      <x:c r="J86" s="115"/>
      <x:c r="K86" s="115"/>
      <x:c r="L86" s="115"/>
      <x:c r="M86" s="115"/>
      <x:c r="N86" s="115"/>
      <x:c r="O86" s="115"/>
      <x:c r="P86" s="115"/>
      <x:c r="Q86" s="115"/>
      <x:c r="R86" s="115"/>
      <x:c r="S86" s="115"/>
      <x:c r="T86" s="115"/>
      <x:c r="U86" s="115"/>
      <x:c r="V86" s="115"/>
      <x:c r="W86" s="115"/>
      <x:c r="X86" s="115"/>
      <x:c r="Y86" s="115"/>
      <x:c r="Z86" s="115"/>
      <x:c r="AA86" s="115"/>
      <x:c r="AB86" s="115"/>
      <x:c r="AC86" s="115"/>
      <x:c r="AD86" s="115"/>
      <x:c r="AE86" s="115"/>
      <x:c r="AF86" s="115"/>
      <x:c r="AG86" s="115"/>
      <x:c r="AH86" s="115"/>
      <x:c r="AI86" s="115"/>
      <x:c r="AJ86" s="115"/>
      <x:c r="AK86" s="115"/>
      <x:c r="AL86" s="115"/>
      <x:c r="AM86" s="115"/>
      <x:c r="AN86" s="115"/>
      <x:c r="AO86" s="115"/>
      <x:c r="AP86" s="115"/>
      <x:c r="AQ86" s="115"/>
      <x:c r="AR86" s="115"/>
      <x:c r="AS86" s="115"/>
      <x:c r="AT86" s="115"/>
      <x:c r="AU86" s="115"/>
      <x:c r="AV86" s="115"/>
      <x:c r="AW86" s="115"/>
      <x:c r="AX86" s="115"/>
      <x:c r="AY86" s="115"/>
      <x:c r="AZ86" s="115"/>
      <x:c r="BA86" s="115"/>
      <x:c r="BB86" s="115"/>
      <x:c r="BC86" s="115"/>
      <x:c r="BD86" s="115"/>
      <x:c r="BE86" s="115"/>
      <x:c r="BF86" s="115"/>
      <x:c r="BG86" s="115"/>
      <x:c r="BH86" s="115"/>
      <x:c r="BI86" s="115"/>
      <x:c r="BJ86" s="115"/>
      <x:c r="BK86" s="115"/>
      <x:c r="BL86" s="115"/>
      <x:c r="BM86" s="115"/>
      <x:c r="BN86" s="115"/>
      <x:c r="BO86" s="115"/>
      <x:c r="BP86" s="115"/>
      <x:c r="BQ86" s="115"/>
      <x:c r="BR86" s="115"/>
      <x:c r="BS86" s="115"/>
      <x:c r="BT86" s="115"/>
      <x:c r="BU86" s="115"/>
      <x:c r="BV86" s="115"/>
      <x:c r="BW86" s="115"/>
      <x:c r="BX86" s="115"/>
      <x:c r="BY86" s="115"/>
      <x:c r="BZ86" s="115"/>
      <x:c r="CA86" s="115"/>
      <x:c r="CB86" s="116"/>
      <x:c r="CC86" s="141" t="str">
        <x:f>IF(COUNT(G86:P86)=0,"",AVERAGE(G86:P86)*4)</x:f>
      </x:c>
      <x:c r="CD86" s="178" t="str">
        <x:f>IF(COUNT(Q86:Z86)=0,"",AVERAGE(Q86:Z86)*4)</x:f>
      </x:c>
      <x:c r="CE86" s="178" t="str">
        <x:f>IF(COUNT(AA86:AJ86)=0,"",AVERAGE(AA86:AJ86)*4)</x:f>
      </x:c>
      <x:c r="CF86" s="178" t="str">
        <x:f>IF(COUNT(AK86:AR86)=0,"",AVERAGE(AK86:AR86)*4)</x:f>
      </x:c>
      <x:c r="CG86" s="178" t="str">
        <x:f>IF(COUNT(AS86:AY86)=0,"",AVERAGE(AS86:AY86)*4)</x:f>
      </x:c>
      <x:c r="CH86" s="178" t="str">
        <x:f>IF(COUNT(AZ86:BG86)=0,"",AVERAGE(AZ86:BG86)*4)</x:f>
      </x:c>
      <x:c r="CI86" s="178" t="str">
        <x:f>IF(COUNT(BH86:BN86)=0,"",AVERAGE(BH86:BN86)*4)</x:f>
      </x:c>
      <x:c r="CJ86" s="178" t="str">
        <x:f>IF(COUNT(BO86:BU86)=0,"",AVERAGE(BO86:BU86)*4)</x:f>
      </x:c>
      <x:c r="CK86" s="178" t="str">
        <x:f>IF(COUNT(BV86:CB86)=0,"",AVERAGE(BV86:CB86)*4)</x:f>
      </x:c>
      <x:c r="CL86" s="178" t="str">
        <x:f>IF(C86="","",IF(COUNT(G86:CB86)&lt;74,"",(CC86*'تنظیمات وزن‌دهی'!$C$5+CD86*'تنظیمات وزن‌دهی'!$C$6+CE86*'تنظیمات وزن‌دهی'!$C$7+CF86*'تنظیمات وزن‌دهی'!$C$8+CG86*'تنظیمات وزن‌دهی'!$C$9+CH86*'تنظیمات وزن‌دهی'!$C$10+CI86*'تنظیمات وزن‌دهی'!$C$11+CJ86*'تنظیمات وزن‌دهی'!$C$12+CK86*'تنظیمات وزن‌دهی'!$C$13)/100))</x:f>
      </x:c>
      <x:c r="CM86" s="178" t="str">
        <x:f>IF(C86="","",IF(COUNT(G86:CB86)=0,"",IF(COUNT(G86:CB86)&lt;74,"موقت - اطلاعات ناقص",IF(CL86&gt;=17,"عالی",IF(CL86&gt;=14,"خوب",IF(CL86&gt;=10,"متوسط","ضعیف"))))))</x:f>
      </x:c>
      <x:c r="CN86" s="178" t="n">
        <x:v>10</x:v>
      </x:c>
      <x:c r="CO86" s="142" t="n">
        <x:f>IF(C86="","",COUNT(G86:CB86)/74)</x:f>
        <x:v>0</x:v>
      </x:c>
      <x:c r="CP86" s="245"/>
    </x:row>
    <x:row r="87">
      <x:c r="A87" s="165" t="n">
        <x:v>83</x:v>
      </x:c>
      <x:c r="B87" s="233" t="str">
        <x:v>اردیبهشت</x:v>
      </x:c>
      <x:c r="C87" s="233" t="n">
        <x:f>IF('دانش‌آموزان'!E11="","",'دانش‌آموزان'!B11)</x:f>
        <x:v>7</x:v>
      </x:c>
      <x:c r="D87" s="233" t="str">
        <x:f>IF('دانش‌آموزان'!C11="","",'دانش‌آموزان'!C11)</x:f>
        <x:v>4000000071</x:v>
      </x:c>
      <x:c r="E87" s="233" t="str">
        <x:f>IF('دانش‌آموزان'!E11="","",'دانش‌آموزان'!E11&amp;" "&amp;'دانش‌آموزان'!F11)</x:f>
        <x:v>آراد حسینی</x:v>
      </x:c>
      <x:c r="F87" s="166" t="str">
        <x:f>IF('دانش‌آموزان'!I11="","",'دانش‌آموزان'!I11)</x:f>
        <x:v>sample-7-a</x:v>
      </x:c>
      <x:c r="G87" s="114"/>
      <x:c r="H87" s="115"/>
      <x:c r="I87" s="115"/>
      <x:c r="J87" s="115"/>
      <x:c r="K87" s="115"/>
      <x:c r="L87" s="115"/>
      <x:c r="M87" s="115"/>
      <x:c r="N87" s="115"/>
      <x:c r="O87" s="115"/>
      <x:c r="P87" s="115"/>
      <x:c r="Q87" s="115"/>
      <x:c r="R87" s="115"/>
      <x:c r="S87" s="115"/>
      <x:c r="T87" s="115"/>
      <x:c r="U87" s="115"/>
      <x:c r="V87" s="115"/>
      <x:c r="W87" s="115"/>
      <x:c r="X87" s="115"/>
      <x:c r="Y87" s="115"/>
      <x:c r="Z87" s="115"/>
      <x:c r="AA87" s="115"/>
      <x:c r="AB87" s="115"/>
      <x:c r="AC87" s="115"/>
      <x:c r="AD87" s="115"/>
      <x:c r="AE87" s="115"/>
      <x:c r="AF87" s="115"/>
      <x:c r="AG87" s="115"/>
      <x:c r="AH87" s="115"/>
      <x:c r="AI87" s="115"/>
      <x:c r="AJ87" s="115"/>
      <x:c r="AK87" s="115"/>
      <x:c r="AL87" s="115"/>
      <x:c r="AM87" s="115"/>
      <x:c r="AN87" s="115"/>
      <x:c r="AO87" s="115"/>
      <x:c r="AP87" s="115"/>
      <x:c r="AQ87" s="115"/>
      <x:c r="AR87" s="115"/>
      <x:c r="AS87" s="115"/>
      <x:c r="AT87" s="115"/>
      <x:c r="AU87" s="115"/>
      <x:c r="AV87" s="115"/>
      <x:c r="AW87" s="115"/>
      <x:c r="AX87" s="115"/>
      <x:c r="AY87" s="115"/>
      <x:c r="AZ87" s="115"/>
      <x:c r="BA87" s="115"/>
      <x:c r="BB87" s="115"/>
      <x:c r="BC87" s="115"/>
      <x:c r="BD87" s="115"/>
      <x:c r="BE87" s="115"/>
      <x:c r="BF87" s="115"/>
      <x:c r="BG87" s="115"/>
      <x:c r="BH87" s="115"/>
      <x:c r="BI87" s="115"/>
      <x:c r="BJ87" s="115"/>
      <x:c r="BK87" s="115"/>
      <x:c r="BL87" s="115"/>
      <x:c r="BM87" s="115"/>
      <x:c r="BN87" s="115"/>
      <x:c r="BO87" s="115"/>
      <x:c r="BP87" s="115"/>
      <x:c r="BQ87" s="115"/>
      <x:c r="BR87" s="115"/>
      <x:c r="BS87" s="115"/>
      <x:c r="BT87" s="115"/>
      <x:c r="BU87" s="115"/>
      <x:c r="BV87" s="115"/>
      <x:c r="BW87" s="115"/>
      <x:c r="BX87" s="115"/>
      <x:c r="BY87" s="115"/>
      <x:c r="BZ87" s="115"/>
      <x:c r="CA87" s="115"/>
      <x:c r="CB87" s="116"/>
      <x:c r="CC87" s="141" t="str">
        <x:f>IF(COUNT(G87:P87)=0,"",AVERAGE(G87:P87)*4)</x:f>
      </x:c>
      <x:c r="CD87" s="178" t="str">
        <x:f>IF(COUNT(Q87:Z87)=0,"",AVERAGE(Q87:Z87)*4)</x:f>
      </x:c>
      <x:c r="CE87" s="178" t="str">
        <x:f>IF(COUNT(AA87:AJ87)=0,"",AVERAGE(AA87:AJ87)*4)</x:f>
      </x:c>
      <x:c r="CF87" s="178" t="str">
        <x:f>IF(COUNT(AK87:AR87)=0,"",AVERAGE(AK87:AR87)*4)</x:f>
      </x:c>
      <x:c r="CG87" s="178" t="str">
        <x:f>IF(COUNT(AS87:AY87)=0,"",AVERAGE(AS87:AY87)*4)</x:f>
      </x:c>
      <x:c r="CH87" s="178" t="str">
        <x:f>IF(COUNT(AZ87:BG87)=0,"",AVERAGE(AZ87:BG87)*4)</x:f>
      </x:c>
      <x:c r="CI87" s="178" t="str">
        <x:f>IF(COUNT(BH87:BN87)=0,"",AVERAGE(BH87:BN87)*4)</x:f>
      </x:c>
      <x:c r="CJ87" s="178" t="str">
        <x:f>IF(COUNT(BO87:BU87)=0,"",AVERAGE(BO87:BU87)*4)</x:f>
      </x:c>
      <x:c r="CK87" s="178" t="str">
        <x:f>IF(COUNT(BV87:CB87)=0,"",AVERAGE(BV87:CB87)*4)</x:f>
      </x:c>
      <x:c r="CL87" s="178" t="str">
        <x:f>IF(C87="","",IF(COUNT(G87:CB87)&lt;74,"",(CC87*'تنظیمات وزن‌دهی'!$C$5+CD87*'تنظیمات وزن‌دهی'!$C$6+CE87*'تنظیمات وزن‌دهی'!$C$7+CF87*'تنظیمات وزن‌دهی'!$C$8+CG87*'تنظیمات وزن‌دهی'!$C$9+CH87*'تنظیمات وزن‌دهی'!$C$10+CI87*'تنظیمات وزن‌دهی'!$C$11+CJ87*'تنظیمات وزن‌دهی'!$C$12+CK87*'تنظیمات وزن‌دهی'!$C$13)/100))</x:f>
      </x:c>
      <x:c r="CM87" s="178" t="str">
        <x:f>IF(C87="","",IF(COUNT(G87:CB87)=0,"",IF(COUNT(G87:CB87)&lt;74,"موقت - اطلاعات ناقص",IF(CL87&gt;=17,"عالی",IF(CL87&gt;=14,"خوب",IF(CL87&gt;=10,"متوسط","ضعیف"))))))</x:f>
      </x:c>
      <x:c r="CN87" s="178" t="n">
        <x:v>11</x:v>
      </x:c>
      <x:c r="CO87" s="142" t="n">
        <x:f>IF(C87="","",COUNT(G87:CB87)/74)</x:f>
        <x:v>0</x:v>
      </x:c>
      <x:c r="CP87" s="245"/>
    </x:row>
    <x:row r="88">
      <x:c r="A88" s="165" t="n">
        <x:v>84</x:v>
      </x:c>
      <x:c r="B88" s="233" t="str">
        <x:v>خرداد</x:v>
      </x:c>
      <x:c r="C88" s="233" t="n">
        <x:f>IF('دانش‌آموزان'!E11="","",'دانش‌آموزان'!B11)</x:f>
        <x:v>7</x:v>
      </x:c>
      <x:c r="D88" s="233" t="str">
        <x:f>IF('دانش‌آموزان'!C11="","",'دانش‌آموزان'!C11)</x:f>
        <x:v>4000000071</x:v>
      </x:c>
      <x:c r="E88" s="233" t="str">
        <x:f>IF('دانش‌آموزان'!E11="","",'دانش‌آموزان'!E11&amp;" "&amp;'دانش‌آموزان'!F11)</x:f>
        <x:v>آراد حسینی</x:v>
      </x:c>
      <x:c r="F88" s="166" t="str">
        <x:f>IF('دانش‌آموزان'!I11="","",'دانش‌آموزان'!I11)</x:f>
        <x:v>sample-7-a</x:v>
      </x:c>
      <x:c r="G88" s="114"/>
      <x:c r="H88" s="115"/>
      <x:c r="I88" s="115"/>
      <x:c r="J88" s="115"/>
      <x:c r="K88" s="115"/>
      <x:c r="L88" s="115"/>
      <x:c r="M88" s="115"/>
      <x:c r="N88" s="115"/>
      <x:c r="O88" s="115"/>
      <x:c r="P88" s="115"/>
      <x:c r="Q88" s="115"/>
      <x:c r="R88" s="115"/>
      <x:c r="S88" s="115"/>
      <x:c r="T88" s="115"/>
      <x:c r="U88" s="115"/>
      <x:c r="V88" s="115"/>
      <x:c r="W88" s="115"/>
      <x:c r="X88" s="115"/>
      <x:c r="Y88" s="115"/>
      <x:c r="Z88" s="115"/>
      <x:c r="AA88" s="115"/>
      <x:c r="AB88" s="115"/>
      <x:c r="AC88" s="115"/>
      <x:c r="AD88" s="115"/>
      <x:c r="AE88" s="115"/>
      <x:c r="AF88" s="115"/>
      <x:c r="AG88" s="115"/>
      <x:c r="AH88" s="115"/>
      <x:c r="AI88" s="115"/>
      <x:c r="AJ88" s="115"/>
      <x:c r="AK88" s="115"/>
      <x:c r="AL88" s="115"/>
      <x:c r="AM88" s="115"/>
      <x:c r="AN88" s="115"/>
      <x:c r="AO88" s="115"/>
      <x:c r="AP88" s="115"/>
      <x:c r="AQ88" s="115"/>
      <x:c r="AR88" s="115"/>
      <x:c r="AS88" s="115"/>
      <x:c r="AT88" s="115"/>
      <x:c r="AU88" s="115"/>
      <x:c r="AV88" s="115"/>
      <x:c r="AW88" s="115"/>
      <x:c r="AX88" s="115"/>
      <x:c r="AY88" s="115"/>
      <x:c r="AZ88" s="115"/>
      <x:c r="BA88" s="115"/>
      <x:c r="BB88" s="115"/>
      <x:c r="BC88" s="115"/>
      <x:c r="BD88" s="115"/>
      <x:c r="BE88" s="115"/>
      <x:c r="BF88" s="115"/>
      <x:c r="BG88" s="115"/>
      <x:c r="BH88" s="115"/>
      <x:c r="BI88" s="115"/>
      <x:c r="BJ88" s="115"/>
      <x:c r="BK88" s="115"/>
      <x:c r="BL88" s="115"/>
      <x:c r="BM88" s="115"/>
      <x:c r="BN88" s="115"/>
      <x:c r="BO88" s="115"/>
      <x:c r="BP88" s="115"/>
      <x:c r="BQ88" s="115"/>
      <x:c r="BR88" s="115"/>
      <x:c r="BS88" s="115"/>
      <x:c r="BT88" s="115"/>
      <x:c r="BU88" s="115"/>
      <x:c r="BV88" s="115"/>
      <x:c r="BW88" s="115"/>
      <x:c r="BX88" s="115"/>
      <x:c r="BY88" s="115"/>
      <x:c r="BZ88" s="115"/>
      <x:c r="CA88" s="115"/>
      <x:c r="CB88" s="116"/>
      <x:c r="CC88" s="141" t="str">
        <x:f>IF(COUNT(G88:P88)=0,"",AVERAGE(G88:P88)*4)</x:f>
      </x:c>
      <x:c r="CD88" s="178" t="str">
        <x:f>IF(COUNT(Q88:Z88)=0,"",AVERAGE(Q88:Z88)*4)</x:f>
      </x:c>
      <x:c r="CE88" s="178" t="str">
        <x:f>IF(COUNT(AA88:AJ88)=0,"",AVERAGE(AA88:AJ88)*4)</x:f>
      </x:c>
      <x:c r="CF88" s="178" t="str">
        <x:f>IF(COUNT(AK88:AR88)=0,"",AVERAGE(AK88:AR88)*4)</x:f>
      </x:c>
      <x:c r="CG88" s="178" t="str">
        <x:f>IF(COUNT(AS88:AY88)=0,"",AVERAGE(AS88:AY88)*4)</x:f>
      </x:c>
      <x:c r="CH88" s="178" t="str">
        <x:f>IF(COUNT(AZ88:BG88)=0,"",AVERAGE(AZ88:BG88)*4)</x:f>
      </x:c>
      <x:c r="CI88" s="178" t="str">
        <x:f>IF(COUNT(BH88:BN88)=0,"",AVERAGE(BH88:BN88)*4)</x:f>
      </x:c>
      <x:c r="CJ88" s="178" t="str">
        <x:f>IF(COUNT(BO88:BU88)=0,"",AVERAGE(BO88:BU88)*4)</x:f>
      </x:c>
      <x:c r="CK88" s="178" t="str">
        <x:f>IF(COUNT(BV88:CB88)=0,"",AVERAGE(BV88:CB88)*4)</x:f>
      </x:c>
      <x:c r="CL88" s="178" t="str">
        <x:f>IF(C88="","",IF(COUNT(G88:CB88)&lt;74,"",(CC88*'تنظیمات وزن‌دهی'!$C$5+CD88*'تنظیمات وزن‌دهی'!$C$6+CE88*'تنظیمات وزن‌دهی'!$C$7+CF88*'تنظیمات وزن‌دهی'!$C$8+CG88*'تنظیمات وزن‌دهی'!$C$9+CH88*'تنظیمات وزن‌دهی'!$C$10+CI88*'تنظیمات وزن‌دهی'!$C$11+CJ88*'تنظیمات وزن‌دهی'!$C$12+CK88*'تنظیمات وزن‌دهی'!$C$13)/100))</x:f>
      </x:c>
      <x:c r="CM88" s="178" t="str">
        <x:f>IF(C88="","",IF(COUNT(G88:CB88)=0,"",IF(COUNT(G88:CB88)&lt;74,"موقت - اطلاعات ناقص",IF(CL88&gt;=17,"عالی",IF(CL88&gt;=14,"خوب",IF(CL88&gt;=10,"متوسط","ضعیف"))))))</x:f>
      </x:c>
      <x:c r="CN88" s="178" t="n">
        <x:v>12</x:v>
      </x:c>
      <x:c r="CO88" s="142" t="n">
        <x:f>IF(C88="","",COUNT(G88:CB88)/74)</x:f>
        <x:v>0</x:v>
      </x:c>
      <x:c r="CP88" s="245"/>
    </x:row>
    <x:row r="89">
      <x:c r="A89" s="165" t="n">
        <x:v>85</x:v>
      </x:c>
      <x:c r="B89" s="233" t="str">
        <x:v>تیر</x:v>
      </x:c>
      <x:c r="C89" s="233" t="n">
        <x:f>IF('دانش‌آموزان'!E12="","",'دانش‌آموزان'!B12)</x:f>
        <x:v>8</x:v>
      </x:c>
      <x:c r="D89" s="233" t="str">
        <x:f>IF('دانش‌آموزان'!C12="","",'دانش‌آموزان'!C12)</x:f>
        <x:v>4000000081</x:v>
      </x:c>
      <x:c r="E89" s="233" t="str">
        <x:f>IF('دانش‌آموزان'!E12="","",'دانش‌آموزان'!E12&amp;" "&amp;'دانش‌آموزان'!F12)</x:f>
        <x:v>نگار جعفری</x:v>
      </x:c>
      <x:c r="F89" s="166" t="str">
        <x:f>IF('دانش‌آموزان'!I12="","",'دانش‌آموزان'!I12)</x:f>
        <x:v>sample-7-a</x:v>
      </x:c>
      <x:c r="G89" s="114" t="n">
        <x:v>5</x:v>
      </x:c>
      <x:c r="H89" s="115" t="n">
        <x:v>4</x:v>
      </x:c>
      <x:c r="I89" s="115" t="n">
        <x:v>5</x:v>
      </x:c>
      <x:c r="J89" s="115" t="n">
        <x:v>3</x:v>
      </x:c>
      <x:c r="K89" s="115" t="n">
        <x:v>5</x:v>
      </x:c>
      <x:c r="L89" s="115" t="n">
        <x:v>3</x:v>
      </x:c>
      <x:c r="M89" s="115" t="n">
        <x:v>4</x:v>
      </x:c>
      <x:c r="N89" s="115" t="n">
        <x:v>3</x:v>
      </x:c>
      <x:c r="O89" s="115" t="n">
        <x:v>4</x:v>
      </x:c>
      <x:c r="P89" s="115" t="n">
        <x:v>2</x:v>
      </x:c>
      <x:c r="Q89" s="115" t="n">
        <x:v>4</x:v>
      </x:c>
      <x:c r="R89" s="115" t="n">
        <x:v>5</x:v>
      </x:c>
      <x:c r="S89" s="115" t="n">
        <x:v>4</x:v>
      </x:c>
      <x:c r="T89" s="115" t="n">
        <x:v>5</x:v>
      </x:c>
      <x:c r="U89" s="115" t="n">
        <x:v>3</x:v>
      </x:c>
      <x:c r="V89" s="115" t="n">
        <x:v>5</x:v>
      </x:c>
      <x:c r="W89" s="115" t="n">
        <x:v>3</x:v>
      </x:c>
      <x:c r="X89" s="115" t="n">
        <x:v>4</x:v>
      </x:c>
      <x:c r="Y89" s="115" t="n">
        <x:v>3</x:v>
      </x:c>
      <x:c r="Z89" s="115" t="n">
        <x:v>4</x:v>
      </x:c>
      <x:c r="AA89" s="115" t="n">
        <x:v>2</x:v>
      </x:c>
      <x:c r="AB89" s="115" t="n">
        <x:v>4</x:v>
      </x:c>
      <x:c r="AC89" s="115" t="n">
        <x:v>5</x:v>
      </x:c>
      <x:c r="AD89" s="115" t="n">
        <x:v>4</x:v>
      </x:c>
      <x:c r="AE89" s="115" t="n">
        <x:v>5</x:v>
      </x:c>
      <x:c r="AF89" s="115" t="n">
        <x:v>3</x:v>
      </x:c>
      <x:c r="AG89" s="115" t="n">
        <x:v>5</x:v>
      </x:c>
      <x:c r="AH89" s="115" t="n">
        <x:v>3</x:v>
      </x:c>
      <x:c r="AI89" s="115" t="n">
        <x:v>4</x:v>
      </x:c>
      <x:c r="AJ89" s="115" t="n">
        <x:v>3</x:v>
      </x:c>
      <x:c r="AK89" s="115" t="n">
        <x:v>4</x:v>
      </x:c>
      <x:c r="AL89" s="115" t="n">
        <x:v>2</x:v>
      </x:c>
      <x:c r="AM89" s="115" t="n">
        <x:v>4</x:v>
      </x:c>
      <x:c r="AN89" s="115" t="n">
        <x:v>5</x:v>
      </x:c>
      <x:c r="AO89" s="115" t="n">
        <x:v>4</x:v>
      </x:c>
      <x:c r="AP89" s="115" t="n">
        <x:v>5</x:v>
      </x:c>
      <x:c r="AQ89" s="115" t="n">
        <x:v>3</x:v>
      </x:c>
      <x:c r="AR89" s="115" t="n">
        <x:v>5</x:v>
      </x:c>
      <x:c r="AS89" s="115" t="n">
        <x:v>3</x:v>
      </x:c>
      <x:c r="AT89" s="115" t="n">
        <x:v>4</x:v>
      </x:c>
      <x:c r="AU89" s="115" t="n">
        <x:v>3</x:v>
      </x:c>
      <x:c r="AV89" s="115" t="n">
        <x:v>4</x:v>
      </x:c>
      <x:c r="AW89" s="115" t="n">
        <x:v>2</x:v>
      </x:c>
      <x:c r="AX89" s="115" t="n">
        <x:v>4</x:v>
      </x:c>
      <x:c r="AY89" s="115" t="n">
        <x:v>5</x:v>
      </x:c>
      <x:c r="AZ89" s="115" t="n">
        <x:v>4</x:v>
      </x:c>
      <x:c r="BA89" s="115" t="n">
        <x:v>5</x:v>
      </x:c>
      <x:c r="BB89" s="115" t="n">
        <x:v>3</x:v>
      </x:c>
      <x:c r="BC89" s="115" t="n">
        <x:v>5</x:v>
      </x:c>
      <x:c r="BD89" s="115" t="n">
        <x:v>3</x:v>
      </x:c>
      <x:c r="BE89" s="115" t="n">
        <x:v>4</x:v>
      </x:c>
      <x:c r="BF89" s="115" t="n">
        <x:v>3</x:v>
      </x:c>
      <x:c r="BG89" s="115" t="n">
        <x:v>4</x:v>
      </x:c>
      <x:c r="BH89" s="115" t="n">
        <x:v>2</x:v>
      </x:c>
      <x:c r="BI89" s="115" t="n">
        <x:v>4</x:v>
      </x:c>
      <x:c r="BJ89" s="115" t="n">
        <x:v>5</x:v>
      </x:c>
      <x:c r="BK89" s="115" t="n">
        <x:v>4</x:v>
      </x:c>
      <x:c r="BL89" s="115" t="n">
        <x:v>5</x:v>
      </x:c>
      <x:c r="BM89" s="115" t="n">
        <x:v>3</x:v>
      </x:c>
      <x:c r="BN89" s="115" t="n">
        <x:v>5</x:v>
      </x:c>
      <x:c r="BO89" s="115" t="n">
        <x:v>3</x:v>
      </x:c>
      <x:c r="BP89" s="115" t="n">
        <x:v>4</x:v>
      </x:c>
      <x:c r="BQ89" s="115" t="n">
        <x:v>3</x:v>
      </x:c>
      <x:c r="BR89" s="115" t="n">
        <x:v>4</x:v>
      </x:c>
      <x:c r="BS89" s="115" t="n">
        <x:v>2</x:v>
      </x:c>
      <x:c r="BT89" s="115" t="n">
        <x:v>4</x:v>
      </x:c>
      <x:c r="BU89" s="115" t="n">
        <x:v>5</x:v>
      </x:c>
      <x:c r="BV89" s="115" t="n">
        <x:v>4</x:v>
      </x:c>
      <x:c r="BW89" s="115" t="n">
        <x:v>5</x:v>
      </x:c>
      <x:c r="BX89" s="115" t="n">
        <x:v>3</x:v>
      </x:c>
      <x:c r="BY89" s="115" t="n">
        <x:v>5</x:v>
      </x:c>
      <x:c r="BZ89" s="115" t="n">
        <x:v>3</x:v>
      </x:c>
      <x:c r="CA89" s="115" t="n">
        <x:v>4</x:v>
      </x:c>
      <x:c r="CB89" s="116" t="n">
        <x:v>3</x:v>
      </x:c>
      <x:c r="CC89" s="141" t="n">
        <x:f>IF(COUNT(G89:P89)=0,"",AVERAGE(G89:P89)*4)</x:f>
        <x:v>15.2</x:v>
      </x:c>
      <x:c r="CD89" s="178" t="n">
        <x:f>IF(COUNT(Q89:Z89)=0,"",AVERAGE(Q89:Z89)*4)</x:f>
        <x:v>16</x:v>
      </x:c>
      <x:c r="CE89" s="178" t="n">
        <x:f>IF(COUNT(AA89:AJ89)=0,"",AVERAGE(AA89:AJ89)*4)</x:f>
        <x:v>15.2</x:v>
      </x:c>
      <x:c r="CF89" s="178" t="n">
        <x:f>IF(COUNT(AK89:AR89)=0,"",AVERAGE(AK89:AR89)*4)</x:f>
        <x:v>16</x:v>
      </x:c>
      <x:c r="CG89" s="178" t="n">
        <x:f>IF(COUNT(AS89:AY89)=0,"",AVERAGE(AS89:AY89)*4)</x:f>
        <x:v>14.285714285714286</x:v>
      </x:c>
      <x:c r="CH89" s="178" t="n">
        <x:f>IF(COUNT(AZ89:BG89)=0,"",AVERAGE(AZ89:BG89)*4)</x:f>
        <x:v>15.5</x:v>
      </x:c>
      <x:c r="CI89" s="178" t="n">
        <x:f>IF(COUNT(BH89:BN89)=0,"",AVERAGE(BH89:BN89)*4)</x:f>
        <x:v>16</x:v>
      </x:c>
      <x:c r="CJ89" s="178" t="n">
        <x:f>IF(COUNT(BO89:BU89)=0,"",AVERAGE(BO89:BU89)*4)</x:f>
        <x:v>14.285714285714286</x:v>
      </x:c>
      <x:c r="CK89" s="178" t="n">
        <x:f>IF(COUNT(BV89:CB89)=0,"",AVERAGE(BV89:CB89)*4)</x:f>
        <x:v>15.428571428571429</x:v>
      </x:c>
      <x:c r="CL89" s="178" t="n">
        <x:f>IF(C89="","",IF(COUNT(G89:CB89)&lt;74,"",(CC89*'تنظیمات وزن‌دهی'!$C$5+CD89*'تنظیمات وزن‌دهی'!$C$6+CE89*'تنظیمات وزن‌دهی'!$C$7+CF89*'تنظیمات وزن‌دهی'!$C$8+CG89*'تنظیمات وزن‌دهی'!$C$9+CH89*'تنظیمات وزن‌دهی'!$C$10+CI89*'تنظیمات وزن‌دهی'!$C$11+CJ89*'تنظیمات وزن‌دهی'!$C$12+CK89*'تنظیمات وزن‌دهی'!$C$13)/100))</x:f>
        <x:v>15.417142857142858</x:v>
      </x:c>
      <x:c r="CM89" s="178" t="str">
        <x:f>IF(C89="","",IF(COUNT(G89:CB89)=0,"",IF(COUNT(G89:CB89)&lt;74,"موقت - اطلاعات ناقص",IF(CL89&gt;=17,"عالی",IF(CL89&gt;=14,"خوب",IF(CL89&gt;=10,"متوسط","ضعیف"))))))</x:f>
        <x:v>خوب</x:v>
      </x:c>
      <x:c r="CN89" s="178" t="n">
        <x:v>1</x:v>
      </x:c>
      <x:c r="CO89" s="142" t="n">
        <x:f>IF(C89="","",COUNT(G89:CB89)/74)</x:f>
        <x:v>1</x:v>
      </x:c>
      <x:c r="CP89" s="245" t="str">
        <x:v>داده نمونه کامل برای ماه تیر - دانش‌آموز شماره 8</x:v>
      </x:c>
    </x:row>
    <x:row r="90">
      <x:c r="A90" s="165" t="n">
        <x:v>86</x:v>
      </x:c>
      <x:c r="B90" s="233" t="str">
        <x:v>مرداد</x:v>
      </x:c>
      <x:c r="C90" s="233" t="n">
        <x:f>IF('دانش‌آموزان'!E12="","",'دانش‌آموزان'!B12)</x:f>
        <x:v>8</x:v>
      </x:c>
      <x:c r="D90" s="233" t="str">
        <x:f>IF('دانش‌آموزان'!C12="","",'دانش‌آموزان'!C12)</x:f>
        <x:v>4000000081</x:v>
      </x:c>
      <x:c r="E90" s="233" t="str">
        <x:f>IF('دانش‌آموزان'!E12="","",'دانش‌آموزان'!E12&amp;" "&amp;'دانش‌آموزان'!F12)</x:f>
        <x:v>نگار جعفری</x:v>
      </x:c>
      <x:c r="F90" s="166" t="str">
        <x:f>IF('دانش‌آموزان'!I12="","",'دانش‌آموزان'!I12)</x:f>
        <x:v>sample-7-a</x:v>
      </x:c>
      <x:c r="G90" s="114"/>
      <x:c r="H90" s="115"/>
      <x:c r="I90" s="115"/>
      <x:c r="J90" s="115"/>
      <x:c r="K90" s="115"/>
      <x:c r="L90" s="115"/>
      <x:c r="M90" s="115"/>
      <x:c r="N90" s="115"/>
      <x:c r="O90" s="115"/>
      <x:c r="P90" s="115"/>
      <x:c r="Q90" s="115"/>
      <x:c r="R90" s="115"/>
      <x:c r="S90" s="115"/>
      <x:c r="T90" s="115"/>
      <x:c r="U90" s="115"/>
      <x:c r="V90" s="115"/>
      <x:c r="W90" s="115"/>
      <x:c r="X90" s="115"/>
      <x:c r="Y90" s="115"/>
      <x:c r="Z90" s="115"/>
      <x:c r="AA90" s="115"/>
      <x:c r="AB90" s="115"/>
      <x:c r="AC90" s="115"/>
      <x:c r="AD90" s="115"/>
      <x:c r="AE90" s="115"/>
      <x:c r="AF90" s="115"/>
      <x:c r="AG90" s="115"/>
      <x:c r="AH90" s="115"/>
      <x:c r="AI90" s="115"/>
      <x:c r="AJ90" s="115"/>
      <x:c r="AK90" s="115"/>
      <x:c r="AL90" s="115"/>
      <x:c r="AM90" s="115"/>
      <x:c r="AN90" s="115"/>
      <x:c r="AO90" s="115"/>
      <x:c r="AP90" s="115"/>
      <x:c r="AQ90" s="115"/>
      <x:c r="AR90" s="115"/>
      <x:c r="AS90" s="115"/>
      <x:c r="AT90" s="115"/>
      <x:c r="AU90" s="115"/>
      <x:c r="AV90" s="115"/>
      <x:c r="AW90" s="115"/>
      <x:c r="AX90" s="115"/>
      <x:c r="AY90" s="115"/>
      <x:c r="AZ90" s="115"/>
      <x:c r="BA90" s="115"/>
      <x:c r="BB90" s="115"/>
      <x:c r="BC90" s="115"/>
      <x:c r="BD90" s="115"/>
      <x:c r="BE90" s="115"/>
      <x:c r="BF90" s="115"/>
      <x:c r="BG90" s="115"/>
      <x:c r="BH90" s="115"/>
      <x:c r="BI90" s="115"/>
      <x:c r="BJ90" s="115"/>
      <x:c r="BK90" s="115"/>
      <x:c r="BL90" s="115"/>
      <x:c r="BM90" s="115"/>
      <x:c r="BN90" s="115"/>
      <x:c r="BO90" s="115"/>
      <x:c r="BP90" s="115"/>
      <x:c r="BQ90" s="115"/>
      <x:c r="BR90" s="115"/>
      <x:c r="BS90" s="115"/>
      <x:c r="BT90" s="115"/>
      <x:c r="BU90" s="115"/>
      <x:c r="BV90" s="115"/>
      <x:c r="BW90" s="115"/>
      <x:c r="BX90" s="115"/>
      <x:c r="BY90" s="115"/>
      <x:c r="BZ90" s="115"/>
      <x:c r="CA90" s="115"/>
      <x:c r="CB90" s="116"/>
      <x:c r="CC90" s="141" t="str">
        <x:f>IF(COUNT(G90:P90)=0,"",AVERAGE(G90:P90)*4)</x:f>
      </x:c>
      <x:c r="CD90" s="178" t="str">
        <x:f>IF(COUNT(Q90:Z90)=0,"",AVERAGE(Q90:Z90)*4)</x:f>
      </x:c>
      <x:c r="CE90" s="178" t="str">
        <x:f>IF(COUNT(AA90:AJ90)=0,"",AVERAGE(AA90:AJ90)*4)</x:f>
      </x:c>
      <x:c r="CF90" s="178" t="str">
        <x:f>IF(COUNT(AK90:AR90)=0,"",AVERAGE(AK90:AR90)*4)</x:f>
      </x:c>
      <x:c r="CG90" s="178" t="str">
        <x:f>IF(COUNT(AS90:AY90)=0,"",AVERAGE(AS90:AY90)*4)</x:f>
      </x:c>
      <x:c r="CH90" s="178" t="str">
        <x:f>IF(COUNT(AZ90:BG90)=0,"",AVERAGE(AZ90:BG90)*4)</x:f>
      </x:c>
      <x:c r="CI90" s="178" t="str">
        <x:f>IF(COUNT(BH90:BN90)=0,"",AVERAGE(BH90:BN90)*4)</x:f>
      </x:c>
      <x:c r="CJ90" s="178" t="str">
        <x:f>IF(COUNT(BO90:BU90)=0,"",AVERAGE(BO90:BU90)*4)</x:f>
      </x:c>
      <x:c r="CK90" s="178" t="str">
        <x:f>IF(COUNT(BV90:CB90)=0,"",AVERAGE(BV90:CB90)*4)</x:f>
      </x:c>
      <x:c r="CL90" s="178" t="str">
        <x:f>IF(C90="","",IF(COUNT(G90:CB90)&lt;74,"",(CC90*'تنظیمات وزن‌دهی'!$C$5+CD90*'تنظیمات وزن‌دهی'!$C$6+CE90*'تنظیمات وزن‌دهی'!$C$7+CF90*'تنظیمات وزن‌دهی'!$C$8+CG90*'تنظیمات وزن‌دهی'!$C$9+CH90*'تنظیمات وزن‌دهی'!$C$10+CI90*'تنظیمات وزن‌دهی'!$C$11+CJ90*'تنظیمات وزن‌دهی'!$C$12+CK90*'تنظیمات وزن‌دهی'!$C$13)/100))</x:f>
      </x:c>
      <x:c r="CM90" s="178" t="str">
        <x:f>IF(C90="","",IF(COUNT(G90:CB90)=0,"",IF(COUNT(G90:CB90)&lt;74,"موقت - اطلاعات ناقص",IF(CL90&gt;=17,"عالی",IF(CL90&gt;=14,"خوب",IF(CL90&gt;=10,"متوسط","ضعیف"))))))</x:f>
      </x:c>
      <x:c r="CN90" s="178" t="n">
        <x:v>2</x:v>
      </x:c>
      <x:c r="CO90" s="142" t="n">
        <x:f>IF(C90="","",COUNT(G90:CB90)/74)</x:f>
        <x:v>0</x:v>
      </x:c>
      <x:c r="CP90" s="245"/>
    </x:row>
    <x:row r="91">
      <x:c r="A91" s="165" t="n">
        <x:v>87</x:v>
      </x:c>
      <x:c r="B91" s="233" t="str">
        <x:v>شهریور</x:v>
      </x:c>
      <x:c r="C91" s="233" t="n">
        <x:f>IF('دانش‌آموزان'!E12="","",'دانش‌آموزان'!B12)</x:f>
        <x:v>8</x:v>
      </x:c>
      <x:c r="D91" s="233" t="str">
        <x:f>IF('دانش‌آموزان'!C12="","",'دانش‌آموزان'!C12)</x:f>
        <x:v>4000000081</x:v>
      </x:c>
      <x:c r="E91" s="233" t="str">
        <x:f>IF('دانش‌آموزان'!E12="","",'دانش‌آموزان'!E12&amp;" "&amp;'دانش‌آموزان'!F12)</x:f>
        <x:v>نگار جعفری</x:v>
      </x:c>
      <x:c r="F91" s="166" t="str">
        <x:f>IF('دانش‌آموزان'!I12="","",'دانش‌آموزان'!I12)</x:f>
        <x:v>sample-7-a</x:v>
      </x:c>
      <x:c r="G91" s="114"/>
      <x:c r="H91" s="115"/>
      <x:c r="I91" s="115"/>
      <x:c r="J91" s="115"/>
      <x:c r="K91" s="115"/>
      <x:c r="L91" s="115"/>
      <x:c r="M91" s="115"/>
      <x:c r="N91" s="115"/>
      <x:c r="O91" s="115"/>
      <x:c r="P91" s="115"/>
      <x:c r="Q91" s="115"/>
      <x:c r="R91" s="115"/>
      <x:c r="S91" s="115"/>
      <x:c r="T91" s="115"/>
      <x:c r="U91" s="115"/>
      <x:c r="V91" s="115"/>
      <x:c r="W91" s="115"/>
      <x:c r="X91" s="115"/>
      <x:c r="Y91" s="115"/>
      <x:c r="Z91" s="115"/>
      <x:c r="AA91" s="115"/>
      <x:c r="AB91" s="115"/>
      <x:c r="AC91" s="115"/>
      <x:c r="AD91" s="115"/>
      <x:c r="AE91" s="115"/>
      <x:c r="AF91" s="115"/>
      <x:c r="AG91" s="115"/>
      <x:c r="AH91" s="115"/>
      <x:c r="AI91" s="115"/>
      <x:c r="AJ91" s="115"/>
      <x:c r="AK91" s="115"/>
      <x:c r="AL91" s="115"/>
      <x:c r="AM91" s="115"/>
      <x:c r="AN91" s="115"/>
      <x:c r="AO91" s="115"/>
      <x:c r="AP91" s="115"/>
      <x:c r="AQ91" s="115"/>
      <x:c r="AR91" s="115"/>
      <x:c r="AS91" s="115"/>
      <x:c r="AT91" s="115"/>
      <x:c r="AU91" s="115"/>
      <x:c r="AV91" s="115"/>
      <x:c r="AW91" s="115"/>
      <x:c r="AX91" s="115"/>
      <x:c r="AY91" s="115"/>
      <x:c r="AZ91" s="115"/>
      <x:c r="BA91" s="115"/>
      <x:c r="BB91" s="115"/>
      <x:c r="BC91" s="115"/>
      <x:c r="BD91" s="115"/>
      <x:c r="BE91" s="115"/>
      <x:c r="BF91" s="115"/>
      <x:c r="BG91" s="115"/>
      <x:c r="BH91" s="115"/>
      <x:c r="BI91" s="115"/>
      <x:c r="BJ91" s="115"/>
      <x:c r="BK91" s="115"/>
      <x:c r="BL91" s="115"/>
      <x:c r="BM91" s="115"/>
      <x:c r="BN91" s="115"/>
      <x:c r="BO91" s="115"/>
      <x:c r="BP91" s="115"/>
      <x:c r="BQ91" s="115"/>
      <x:c r="BR91" s="115"/>
      <x:c r="BS91" s="115"/>
      <x:c r="BT91" s="115"/>
      <x:c r="BU91" s="115"/>
      <x:c r="BV91" s="115"/>
      <x:c r="BW91" s="115"/>
      <x:c r="BX91" s="115"/>
      <x:c r="BY91" s="115"/>
      <x:c r="BZ91" s="115"/>
      <x:c r="CA91" s="115"/>
      <x:c r="CB91" s="116"/>
      <x:c r="CC91" s="141" t="str">
        <x:f>IF(COUNT(G91:P91)=0,"",AVERAGE(G91:P91)*4)</x:f>
      </x:c>
      <x:c r="CD91" s="178" t="str">
        <x:f>IF(COUNT(Q91:Z91)=0,"",AVERAGE(Q91:Z91)*4)</x:f>
      </x:c>
      <x:c r="CE91" s="178" t="str">
        <x:f>IF(COUNT(AA91:AJ91)=0,"",AVERAGE(AA91:AJ91)*4)</x:f>
      </x:c>
      <x:c r="CF91" s="178" t="str">
        <x:f>IF(COUNT(AK91:AR91)=0,"",AVERAGE(AK91:AR91)*4)</x:f>
      </x:c>
      <x:c r="CG91" s="178" t="str">
        <x:f>IF(COUNT(AS91:AY91)=0,"",AVERAGE(AS91:AY91)*4)</x:f>
      </x:c>
      <x:c r="CH91" s="178" t="str">
        <x:f>IF(COUNT(AZ91:BG91)=0,"",AVERAGE(AZ91:BG91)*4)</x:f>
      </x:c>
      <x:c r="CI91" s="178" t="str">
        <x:f>IF(COUNT(BH91:BN91)=0,"",AVERAGE(BH91:BN91)*4)</x:f>
      </x:c>
      <x:c r="CJ91" s="178" t="str">
        <x:f>IF(COUNT(BO91:BU91)=0,"",AVERAGE(BO91:BU91)*4)</x:f>
      </x:c>
      <x:c r="CK91" s="178" t="str">
        <x:f>IF(COUNT(BV91:CB91)=0,"",AVERAGE(BV91:CB91)*4)</x:f>
      </x:c>
      <x:c r="CL91" s="178" t="str">
        <x:f>IF(C91="","",IF(COUNT(G91:CB91)&lt;74,"",(CC91*'تنظیمات وزن‌دهی'!$C$5+CD91*'تنظیمات وزن‌دهی'!$C$6+CE91*'تنظیمات وزن‌دهی'!$C$7+CF91*'تنظیمات وزن‌دهی'!$C$8+CG91*'تنظیمات وزن‌دهی'!$C$9+CH91*'تنظیمات وزن‌دهی'!$C$10+CI91*'تنظیمات وزن‌دهی'!$C$11+CJ91*'تنظیمات وزن‌دهی'!$C$12+CK91*'تنظیمات وزن‌دهی'!$C$13)/100))</x:f>
      </x:c>
      <x:c r="CM91" s="178" t="str">
        <x:f>IF(C91="","",IF(COUNT(G91:CB91)=0,"",IF(COUNT(G91:CB91)&lt;74,"موقت - اطلاعات ناقص",IF(CL91&gt;=17,"عالی",IF(CL91&gt;=14,"خوب",IF(CL91&gt;=10,"متوسط","ضعیف"))))))</x:f>
      </x:c>
      <x:c r="CN91" s="178" t="n">
        <x:v>3</x:v>
      </x:c>
      <x:c r="CO91" s="142" t="n">
        <x:f>IF(C91="","",COUNT(G91:CB91)/74)</x:f>
        <x:v>0</x:v>
      </x:c>
      <x:c r="CP91" s="245"/>
    </x:row>
    <x:row r="92">
      <x:c r="A92" s="165" t="n">
        <x:v>88</x:v>
      </x:c>
      <x:c r="B92" s="233" t="str">
        <x:v>مهر</x:v>
      </x:c>
      <x:c r="C92" s="233" t="n">
        <x:f>IF('دانش‌آموزان'!E12="","",'دانش‌آموزان'!B12)</x:f>
        <x:v>8</x:v>
      </x:c>
      <x:c r="D92" s="233" t="str">
        <x:f>IF('دانش‌آموزان'!C12="","",'دانش‌آموزان'!C12)</x:f>
        <x:v>4000000081</x:v>
      </x:c>
      <x:c r="E92" s="233" t="str">
        <x:f>IF('دانش‌آموزان'!E12="","",'دانش‌آموزان'!E12&amp;" "&amp;'دانش‌آموزان'!F12)</x:f>
        <x:v>نگار جعفری</x:v>
      </x:c>
      <x:c r="F92" s="166" t="str">
        <x:f>IF('دانش‌آموزان'!I12="","",'دانش‌آموزان'!I12)</x:f>
        <x:v>sample-7-a</x:v>
      </x:c>
      <x:c r="G92" s="114"/>
      <x:c r="H92" s="115"/>
      <x:c r="I92" s="115"/>
      <x:c r="J92" s="115"/>
      <x:c r="K92" s="115"/>
      <x:c r="L92" s="115"/>
      <x:c r="M92" s="115"/>
      <x:c r="N92" s="115"/>
      <x:c r="O92" s="115"/>
      <x:c r="P92" s="115"/>
      <x:c r="Q92" s="115"/>
      <x:c r="R92" s="115"/>
      <x:c r="S92" s="115"/>
      <x:c r="T92" s="115"/>
      <x:c r="U92" s="115"/>
      <x:c r="V92" s="115"/>
      <x:c r="W92" s="115"/>
      <x:c r="X92" s="115"/>
      <x:c r="Y92" s="115"/>
      <x:c r="Z92" s="115"/>
      <x:c r="AA92" s="115"/>
      <x:c r="AB92" s="115"/>
      <x:c r="AC92" s="115"/>
      <x:c r="AD92" s="115"/>
      <x:c r="AE92" s="115"/>
      <x:c r="AF92" s="115"/>
      <x:c r="AG92" s="115"/>
      <x:c r="AH92" s="115"/>
      <x:c r="AI92" s="115"/>
      <x:c r="AJ92" s="115"/>
      <x:c r="AK92" s="115"/>
      <x:c r="AL92" s="115"/>
      <x:c r="AM92" s="115"/>
      <x:c r="AN92" s="115"/>
      <x:c r="AO92" s="115"/>
      <x:c r="AP92" s="115"/>
      <x:c r="AQ92" s="115"/>
      <x:c r="AR92" s="115"/>
      <x:c r="AS92" s="115"/>
      <x:c r="AT92" s="115"/>
      <x:c r="AU92" s="115"/>
      <x:c r="AV92" s="115"/>
      <x:c r="AW92" s="115"/>
      <x:c r="AX92" s="115"/>
      <x:c r="AY92" s="115"/>
      <x:c r="AZ92" s="115"/>
      <x:c r="BA92" s="115"/>
      <x:c r="BB92" s="115"/>
      <x:c r="BC92" s="115"/>
      <x:c r="BD92" s="115"/>
      <x:c r="BE92" s="115"/>
      <x:c r="BF92" s="115"/>
      <x:c r="BG92" s="115"/>
      <x:c r="BH92" s="115"/>
      <x:c r="BI92" s="115"/>
      <x:c r="BJ92" s="115"/>
      <x:c r="BK92" s="115"/>
      <x:c r="BL92" s="115"/>
      <x:c r="BM92" s="115"/>
      <x:c r="BN92" s="115"/>
      <x:c r="BO92" s="115"/>
      <x:c r="BP92" s="115"/>
      <x:c r="BQ92" s="115"/>
      <x:c r="BR92" s="115"/>
      <x:c r="BS92" s="115"/>
      <x:c r="BT92" s="115"/>
      <x:c r="BU92" s="115"/>
      <x:c r="BV92" s="115"/>
      <x:c r="BW92" s="115"/>
      <x:c r="BX92" s="115"/>
      <x:c r="BY92" s="115"/>
      <x:c r="BZ92" s="115"/>
      <x:c r="CA92" s="115"/>
      <x:c r="CB92" s="116"/>
      <x:c r="CC92" s="141" t="str">
        <x:f>IF(COUNT(G92:P92)=0,"",AVERAGE(G92:P92)*4)</x:f>
      </x:c>
      <x:c r="CD92" s="178" t="str">
        <x:f>IF(COUNT(Q92:Z92)=0,"",AVERAGE(Q92:Z92)*4)</x:f>
      </x:c>
      <x:c r="CE92" s="178" t="str">
        <x:f>IF(COUNT(AA92:AJ92)=0,"",AVERAGE(AA92:AJ92)*4)</x:f>
      </x:c>
      <x:c r="CF92" s="178" t="str">
        <x:f>IF(COUNT(AK92:AR92)=0,"",AVERAGE(AK92:AR92)*4)</x:f>
      </x:c>
      <x:c r="CG92" s="178" t="str">
        <x:f>IF(COUNT(AS92:AY92)=0,"",AVERAGE(AS92:AY92)*4)</x:f>
      </x:c>
      <x:c r="CH92" s="178" t="str">
        <x:f>IF(COUNT(AZ92:BG92)=0,"",AVERAGE(AZ92:BG92)*4)</x:f>
      </x:c>
      <x:c r="CI92" s="178" t="str">
        <x:f>IF(COUNT(BH92:BN92)=0,"",AVERAGE(BH92:BN92)*4)</x:f>
      </x:c>
      <x:c r="CJ92" s="178" t="str">
        <x:f>IF(COUNT(BO92:BU92)=0,"",AVERAGE(BO92:BU92)*4)</x:f>
      </x:c>
      <x:c r="CK92" s="178" t="str">
        <x:f>IF(COUNT(BV92:CB92)=0,"",AVERAGE(BV92:CB92)*4)</x:f>
      </x:c>
      <x:c r="CL92" s="178" t="str">
        <x:f>IF(C92="","",IF(COUNT(G92:CB92)&lt;74,"",(CC92*'تنظیمات وزن‌دهی'!$C$5+CD92*'تنظیمات وزن‌دهی'!$C$6+CE92*'تنظیمات وزن‌دهی'!$C$7+CF92*'تنظیمات وزن‌دهی'!$C$8+CG92*'تنظیمات وزن‌دهی'!$C$9+CH92*'تنظیمات وزن‌دهی'!$C$10+CI92*'تنظیمات وزن‌دهی'!$C$11+CJ92*'تنظیمات وزن‌دهی'!$C$12+CK92*'تنظیمات وزن‌دهی'!$C$13)/100))</x:f>
      </x:c>
      <x:c r="CM92" s="178" t="str">
        <x:f>IF(C92="","",IF(COUNT(G92:CB92)=0,"",IF(COUNT(G92:CB92)&lt;74,"موقت - اطلاعات ناقص",IF(CL92&gt;=17,"عالی",IF(CL92&gt;=14,"خوب",IF(CL92&gt;=10,"متوسط","ضعیف"))))))</x:f>
      </x:c>
      <x:c r="CN92" s="178" t="n">
        <x:v>4</x:v>
      </x:c>
      <x:c r="CO92" s="142" t="n">
        <x:f>IF(C92="","",COUNT(G92:CB92)/74)</x:f>
        <x:v>0</x:v>
      </x:c>
      <x:c r="CP92" s="245"/>
    </x:row>
    <x:row r="93">
      <x:c r="A93" s="165" t="n">
        <x:v>89</x:v>
      </x:c>
      <x:c r="B93" s="233" t="str">
        <x:v>آبان</x:v>
      </x:c>
      <x:c r="C93" s="233" t="n">
        <x:f>IF('دانش‌آموزان'!E12="","",'دانش‌آموزان'!B12)</x:f>
        <x:v>8</x:v>
      </x:c>
      <x:c r="D93" s="233" t="str">
        <x:f>IF('دانش‌آموزان'!C12="","",'دانش‌آموزان'!C12)</x:f>
        <x:v>4000000081</x:v>
      </x:c>
      <x:c r="E93" s="233" t="str">
        <x:f>IF('دانش‌آموزان'!E12="","",'دانش‌آموزان'!E12&amp;" "&amp;'دانش‌آموزان'!F12)</x:f>
        <x:v>نگار جعفری</x:v>
      </x:c>
      <x:c r="F93" s="166" t="str">
        <x:f>IF('دانش‌آموزان'!I12="","",'دانش‌آموزان'!I12)</x:f>
        <x:v>sample-7-a</x:v>
      </x:c>
      <x:c r="G93" s="114"/>
      <x:c r="H93" s="115"/>
      <x:c r="I93" s="115"/>
      <x:c r="J93" s="115"/>
      <x:c r="K93" s="115"/>
      <x:c r="L93" s="115"/>
      <x:c r="M93" s="115"/>
      <x:c r="N93" s="115"/>
      <x:c r="O93" s="115"/>
      <x:c r="P93" s="115"/>
      <x:c r="Q93" s="115"/>
      <x:c r="R93" s="115"/>
      <x:c r="S93" s="115"/>
      <x:c r="T93" s="115"/>
      <x:c r="U93" s="115"/>
      <x:c r="V93" s="115"/>
      <x:c r="W93" s="115"/>
      <x:c r="X93" s="115"/>
      <x:c r="Y93" s="115"/>
      <x:c r="Z93" s="115"/>
      <x:c r="AA93" s="115"/>
      <x:c r="AB93" s="115"/>
      <x:c r="AC93" s="115"/>
      <x:c r="AD93" s="115"/>
      <x:c r="AE93" s="115"/>
      <x:c r="AF93" s="115"/>
      <x:c r="AG93" s="115"/>
      <x:c r="AH93" s="115"/>
      <x:c r="AI93" s="115"/>
      <x:c r="AJ93" s="115"/>
      <x:c r="AK93" s="115"/>
      <x:c r="AL93" s="115"/>
      <x:c r="AM93" s="115"/>
      <x:c r="AN93" s="115"/>
      <x:c r="AO93" s="115"/>
      <x:c r="AP93" s="115"/>
      <x:c r="AQ93" s="115"/>
      <x:c r="AR93" s="115"/>
      <x:c r="AS93" s="115"/>
      <x:c r="AT93" s="115"/>
      <x:c r="AU93" s="115"/>
      <x:c r="AV93" s="115"/>
      <x:c r="AW93" s="115"/>
      <x:c r="AX93" s="115"/>
      <x:c r="AY93" s="115"/>
      <x:c r="AZ93" s="115"/>
      <x:c r="BA93" s="115"/>
      <x:c r="BB93" s="115"/>
      <x:c r="BC93" s="115"/>
      <x:c r="BD93" s="115"/>
      <x:c r="BE93" s="115"/>
      <x:c r="BF93" s="115"/>
      <x:c r="BG93" s="115"/>
      <x:c r="BH93" s="115"/>
      <x:c r="BI93" s="115"/>
      <x:c r="BJ93" s="115"/>
      <x:c r="BK93" s="115"/>
      <x:c r="BL93" s="115"/>
      <x:c r="BM93" s="115"/>
      <x:c r="BN93" s="115"/>
      <x:c r="BO93" s="115"/>
      <x:c r="BP93" s="115"/>
      <x:c r="BQ93" s="115"/>
      <x:c r="BR93" s="115"/>
      <x:c r="BS93" s="115"/>
      <x:c r="BT93" s="115"/>
      <x:c r="BU93" s="115"/>
      <x:c r="BV93" s="115"/>
      <x:c r="BW93" s="115"/>
      <x:c r="BX93" s="115"/>
      <x:c r="BY93" s="115"/>
      <x:c r="BZ93" s="115"/>
      <x:c r="CA93" s="115"/>
      <x:c r="CB93" s="116"/>
      <x:c r="CC93" s="141" t="str">
        <x:f>IF(COUNT(G93:P93)=0,"",AVERAGE(G93:P93)*4)</x:f>
      </x:c>
      <x:c r="CD93" s="178" t="str">
        <x:f>IF(COUNT(Q93:Z93)=0,"",AVERAGE(Q93:Z93)*4)</x:f>
      </x:c>
      <x:c r="CE93" s="178" t="str">
        <x:f>IF(COUNT(AA93:AJ93)=0,"",AVERAGE(AA93:AJ93)*4)</x:f>
      </x:c>
      <x:c r="CF93" s="178" t="str">
        <x:f>IF(COUNT(AK93:AR93)=0,"",AVERAGE(AK93:AR93)*4)</x:f>
      </x:c>
      <x:c r="CG93" s="178" t="str">
        <x:f>IF(COUNT(AS93:AY93)=0,"",AVERAGE(AS93:AY93)*4)</x:f>
      </x:c>
      <x:c r="CH93" s="178" t="str">
        <x:f>IF(COUNT(AZ93:BG93)=0,"",AVERAGE(AZ93:BG93)*4)</x:f>
      </x:c>
      <x:c r="CI93" s="178" t="str">
        <x:f>IF(COUNT(BH93:BN93)=0,"",AVERAGE(BH93:BN93)*4)</x:f>
      </x:c>
      <x:c r="CJ93" s="178" t="str">
        <x:f>IF(COUNT(BO93:BU93)=0,"",AVERAGE(BO93:BU93)*4)</x:f>
      </x:c>
      <x:c r="CK93" s="178" t="str">
        <x:f>IF(COUNT(BV93:CB93)=0,"",AVERAGE(BV93:CB93)*4)</x:f>
      </x:c>
      <x:c r="CL93" s="178" t="str">
        <x:f>IF(C93="","",IF(COUNT(G93:CB93)&lt;74,"",(CC93*'تنظیمات وزن‌دهی'!$C$5+CD93*'تنظیمات وزن‌دهی'!$C$6+CE93*'تنظیمات وزن‌دهی'!$C$7+CF93*'تنظیمات وزن‌دهی'!$C$8+CG93*'تنظیمات وزن‌دهی'!$C$9+CH93*'تنظیمات وزن‌دهی'!$C$10+CI93*'تنظیمات وزن‌دهی'!$C$11+CJ93*'تنظیمات وزن‌دهی'!$C$12+CK93*'تنظیمات وزن‌دهی'!$C$13)/100))</x:f>
      </x:c>
      <x:c r="CM93" s="178" t="str">
        <x:f>IF(C93="","",IF(COUNT(G93:CB93)=0,"",IF(COUNT(G93:CB93)&lt;74,"موقت - اطلاعات ناقص",IF(CL93&gt;=17,"عالی",IF(CL93&gt;=14,"خوب",IF(CL93&gt;=10,"متوسط","ضعیف"))))))</x:f>
      </x:c>
      <x:c r="CN93" s="178" t="n">
        <x:v>5</x:v>
      </x:c>
      <x:c r="CO93" s="142" t="n">
        <x:f>IF(C93="","",COUNT(G93:CB93)/74)</x:f>
        <x:v>0</x:v>
      </x:c>
      <x:c r="CP93" s="245"/>
    </x:row>
    <x:row r="94">
      <x:c r="A94" s="165" t="n">
        <x:v>90</x:v>
      </x:c>
      <x:c r="B94" s="233" t="str">
        <x:v>آذر</x:v>
      </x:c>
      <x:c r="C94" s="233" t="n">
        <x:f>IF('دانش‌آموزان'!E12="","",'دانش‌آموزان'!B12)</x:f>
        <x:v>8</x:v>
      </x:c>
      <x:c r="D94" s="233" t="str">
        <x:f>IF('دانش‌آموزان'!C12="","",'دانش‌آموزان'!C12)</x:f>
        <x:v>4000000081</x:v>
      </x:c>
      <x:c r="E94" s="233" t="str">
        <x:f>IF('دانش‌آموزان'!E12="","",'دانش‌آموزان'!E12&amp;" "&amp;'دانش‌آموزان'!F12)</x:f>
        <x:v>نگار جعفری</x:v>
      </x:c>
      <x:c r="F94" s="166" t="str">
        <x:f>IF('دانش‌آموزان'!I12="","",'دانش‌آموزان'!I12)</x:f>
        <x:v>sample-7-a</x:v>
      </x:c>
      <x:c r="G94" s="114"/>
      <x:c r="H94" s="115"/>
      <x:c r="I94" s="115"/>
      <x:c r="J94" s="115"/>
      <x:c r="K94" s="115"/>
      <x:c r="L94" s="115"/>
      <x:c r="M94" s="115"/>
      <x:c r="N94" s="115"/>
      <x:c r="O94" s="115"/>
      <x:c r="P94" s="115"/>
      <x:c r="Q94" s="115"/>
      <x:c r="R94" s="115"/>
      <x:c r="S94" s="115"/>
      <x:c r="T94" s="115"/>
      <x:c r="U94" s="115"/>
      <x:c r="V94" s="115"/>
      <x:c r="W94" s="115"/>
      <x:c r="X94" s="115"/>
      <x:c r="Y94" s="115"/>
      <x:c r="Z94" s="115"/>
      <x:c r="AA94" s="115"/>
      <x:c r="AB94" s="115"/>
      <x:c r="AC94" s="115"/>
      <x:c r="AD94" s="115"/>
      <x:c r="AE94" s="115"/>
      <x:c r="AF94" s="115"/>
      <x:c r="AG94" s="115"/>
      <x:c r="AH94" s="115"/>
      <x:c r="AI94" s="115"/>
      <x:c r="AJ94" s="115"/>
      <x:c r="AK94" s="115"/>
      <x:c r="AL94" s="115"/>
      <x:c r="AM94" s="115"/>
      <x:c r="AN94" s="115"/>
      <x:c r="AO94" s="115"/>
      <x:c r="AP94" s="115"/>
      <x:c r="AQ94" s="115"/>
      <x:c r="AR94" s="115"/>
      <x:c r="AS94" s="115"/>
      <x:c r="AT94" s="115"/>
      <x:c r="AU94" s="115"/>
      <x:c r="AV94" s="115"/>
      <x:c r="AW94" s="115"/>
      <x:c r="AX94" s="115"/>
      <x:c r="AY94" s="115"/>
      <x:c r="AZ94" s="115"/>
      <x:c r="BA94" s="115"/>
      <x:c r="BB94" s="115"/>
      <x:c r="BC94" s="115"/>
      <x:c r="BD94" s="115"/>
      <x:c r="BE94" s="115"/>
      <x:c r="BF94" s="115"/>
      <x:c r="BG94" s="115"/>
      <x:c r="BH94" s="115"/>
      <x:c r="BI94" s="115"/>
      <x:c r="BJ94" s="115"/>
      <x:c r="BK94" s="115"/>
      <x:c r="BL94" s="115"/>
      <x:c r="BM94" s="115"/>
      <x:c r="BN94" s="115"/>
      <x:c r="BO94" s="115"/>
      <x:c r="BP94" s="115"/>
      <x:c r="BQ94" s="115"/>
      <x:c r="BR94" s="115"/>
      <x:c r="BS94" s="115"/>
      <x:c r="BT94" s="115"/>
      <x:c r="BU94" s="115"/>
      <x:c r="BV94" s="115"/>
      <x:c r="BW94" s="115"/>
      <x:c r="BX94" s="115"/>
      <x:c r="BY94" s="115"/>
      <x:c r="BZ94" s="115"/>
      <x:c r="CA94" s="115"/>
      <x:c r="CB94" s="116"/>
      <x:c r="CC94" s="141" t="str">
        <x:f>IF(COUNT(G94:P94)=0,"",AVERAGE(G94:P94)*4)</x:f>
      </x:c>
      <x:c r="CD94" s="178" t="str">
        <x:f>IF(COUNT(Q94:Z94)=0,"",AVERAGE(Q94:Z94)*4)</x:f>
      </x:c>
      <x:c r="CE94" s="178" t="str">
        <x:f>IF(COUNT(AA94:AJ94)=0,"",AVERAGE(AA94:AJ94)*4)</x:f>
      </x:c>
      <x:c r="CF94" s="178" t="str">
        <x:f>IF(COUNT(AK94:AR94)=0,"",AVERAGE(AK94:AR94)*4)</x:f>
      </x:c>
      <x:c r="CG94" s="178" t="str">
        <x:f>IF(COUNT(AS94:AY94)=0,"",AVERAGE(AS94:AY94)*4)</x:f>
      </x:c>
      <x:c r="CH94" s="178" t="str">
        <x:f>IF(COUNT(AZ94:BG94)=0,"",AVERAGE(AZ94:BG94)*4)</x:f>
      </x:c>
      <x:c r="CI94" s="178" t="str">
        <x:f>IF(COUNT(BH94:BN94)=0,"",AVERAGE(BH94:BN94)*4)</x:f>
      </x:c>
      <x:c r="CJ94" s="178" t="str">
        <x:f>IF(COUNT(BO94:BU94)=0,"",AVERAGE(BO94:BU94)*4)</x:f>
      </x:c>
      <x:c r="CK94" s="178" t="str">
        <x:f>IF(COUNT(BV94:CB94)=0,"",AVERAGE(BV94:CB94)*4)</x:f>
      </x:c>
      <x:c r="CL94" s="178" t="str">
        <x:f>IF(C94="","",IF(COUNT(G94:CB94)&lt;74,"",(CC94*'تنظیمات وزن‌دهی'!$C$5+CD94*'تنظیمات وزن‌دهی'!$C$6+CE94*'تنظیمات وزن‌دهی'!$C$7+CF94*'تنظیمات وزن‌دهی'!$C$8+CG94*'تنظیمات وزن‌دهی'!$C$9+CH94*'تنظیمات وزن‌دهی'!$C$10+CI94*'تنظیمات وزن‌دهی'!$C$11+CJ94*'تنظیمات وزن‌دهی'!$C$12+CK94*'تنظیمات وزن‌دهی'!$C$13)/100))</x:f>
      </x:c>
      <x:c r="CM94" s="178" t="str">
        <x:f>IF(C94="","",IF(COUNT(G94:CB94)=0,"",IF(COUNT(G94:CB94)&lt;74,"موقت - اطلاعات ناقص",IF(CL94&gt;=17,"عالی",IF(CL94&gt;=14,"خوب",IF(CL94&gt;=10,"متوسط","ضعیف"))))))</x:f>
      </x:c>
      <x:c r="CN94" s="178" t="n">
        <x:v>6</x:v>
      </x:c>
      <x:c r="CO94" s="142" t="n">
        <x:f>IF(C94="","",COUNT(G94:CB94)/74)</x:f>
        <x:v>0</x:v>
      </x:c>
      <x:c r="CP94" s="245"/>
    </x:row>
    <x:row r="95">
      <x:c r="A95" s="165" t="n">
        <x:v>91</x:v>
      </x:c>
      <x:c r="B95" s="233" t="str">
        <x:v>دی</x:v>
      </x:c>
      <x:c r="C95" s="233" t="n">
        <x:f>IF('دانش‌آموزان'!E12="","",'دانش‌آموزان'!B12)</x:f>
        <x:v>8</x:v>
      </x:c>
      <x:c r="D95" s="233" t="str">
        <x:f>IF('دانش‌آموزان'!C12="","",'دانش‌آموزان'!C12)</x:f>
        <x:v>4000000081</x:v>
      </x:c>
      <x:c r="E95" s="233" t="str">
        <x:f>IF('دانش‌آموزان'!E12="","",'دانش‌آموزان'!E12&amp;" "&amp;'دانش‌آموزان'!F12)</x:f>
        <x:v>نگار جعفری</x:v>
      </x:c>
      <x:c r="F95" s="166" t="str">
        <x:f>IF('دانش‌آموزان'!I12="","",'دانش‌آموزان'!I12)</x:f>
        <x:v>sample-7-a</x:v>
      </x:c>
      <x:c r="G95" s="114"/>
      <x:c r="H95" s="115"/>
      <x:c r="I95" s="115"/>
      <x:c r="J95" s="115"/>
      <x:c r="K95" s="115"/>
      <x:c r="L95" s="115"/>
      <x:c r="M95" s="115"/>
      <x:c r="N95" s="115"/>
      <x:c r="O95" s="115"/>
      <x:c r="P95" s="115"/>
      <x:c r="Q95" s="115"/>
      <x:c r="R95" s="115"/>
      <x:c r="S95" s="115"/>
      <x:c r="T95" s="115"/>
      <x:c r="U95" s="115"/>
      <x:c r="V95" s="115"/>
      <x:c r="W95" s="115"/>
      <x:c r="X95" s="115"/>
      <x:c r="Y95" s="115"/>
      <x:c r="Z95" s="115"/>
      <x:c r="AA95" s="115"/>
      <x:c r="AB95" s="115"/>
      <x:c r="AC95" s="115"/>
      <x:c r="AD95" s="115"/>
      <x:c r="AE95" s="115"/>
      <x:c r="AF95" s="115"/>
      <x:c r="AG95" s="115"/>
      <x:c r="AH95" s="115"/>
      <x:c r="AI95" s="115"/>
      <x:c r="AJ95" s="115"/>
      <x:c r="AK95" s="115"/>
      <x:c r="AL95" s="115"/>
      <x:c r="AM95" s="115"/>
      <x:c r="AN95" s="115"/>
      <x:c r="AO95" s="115"/>
      <x:c r="AP95" s="115"/>
      <x:c r="AQ95" s="115"/>
      <x:c r="AR95" s="115"/>
      <x:c r="AS95" s="115"/>
      <x:c r="AT95" s="115"/>
      <x:c r="AU95" s="115"/>
      <x:c r="AV95" s="115"/>
      <x:c r="AW95" s="115"/>
      <x:c r="AX95" s="115"/>
      <x:c r="AY95" s="115"/>
      <x:c r="AZ95" s="115"/>
      <x:c r="BA95" s="115"/>
      <x:c r="BB95" s="115"/>
      <x:c r="BC95" s="115"/>
      <x:c r="BD95" s="115"/>
      <x:c r="BE95" s="115"/>
      <x:c r="BF95" s="115"/>
      <x:c r="BG95" s="115"/>
      <x:c r="BH95" s="115"/>
      <x:c r="BI95" s="115"/>
      <x:c r="BJ95" s="115"/>
      <x:c r="BK95" s="115"/>
      <x:c r="BL95" s="115"/>
      <x:c r="BM95" s="115"/>
      <x:c r="BN95" s="115"/>
      <x:c r="BO95" s="115"/>
      <x:c r="BP95" s="115"/>
      <x:c r="BQ95" s="115"/>
      <x:c r="BR95" s="115"/>
      <x:c r="BS95" s="115"/>
      <x:c r="BT95" s="115"/>
      <x:c r="BU95" s="115"/>
      <x:c r="BV95" s="115"/>
      <x:c r="BW95" s="115"/>
      <x:c r="BX95" s="115"/>
      <x:c r="BY95" s="115"/>
      <x:c r="BZ95" s="115"/>
      <x:c r="CA95" s="115"/>
      <x:c r="CB95" s="116"/>
      <x:c r="CC95" s="141" t="str">
        <x:f>IF(COUNT(G95:P95)=0,"",AVERAGE(G95:P95)*4)</x:f>
      </x:c>
      <x:c r="CD95" s="178" t="str">
        <x:f>IF(COUNT(Q95:Z95)=0,"",AVERAGE(Q95:Z95)*4)</x:f>
      </x:c>
      <x:c r="CE95" s="178" t="str">
        <x:f>IF(COUNT(AA95:AJ95)=0,"",AVERAGE(AA95:AJ95)*4)</x:f>
      </x:c>
      <x:c r="CF95" s="178" t="str">
        <x:f>IF(COUNT(AK95:AR95)=0,"",AVERAGE(AK95:AR95)*4)</x:f>
      </x:c>
      <x:c r="CG95" s="178" t="str">
        <x:f>IF(COUNT(AS95:AY95)=0,"",AVERAGE(AS95:AY95)*4)</x:f>
      </x:c>
      <x:c r="CH95" s="178" t="str">
        <x:f>IF(COUNT(AZ95:BG95)=0,"",AVERAGE(AZ95:BG95)*4)</x:f>
      </x:c>
      <x:c r="CI95" s="178" t="str">
        <x:f>IF(COUNT(BH95:BN95)=0,"",AVERAGE(BH95:BN95)*4)</x:f>
      </x:c>
      <x:c r="CJ95" s="178" t="str">
        <x:f>IF(COUNT(BO95:BU95)=0,"",AVERAGE(BO95:BU95)*4)</x:f>
      </x:c>
      <x:c r="CK95" s="178" t="str">
        <x:f>IF(COUNT(BV95:CB95)=0,"",AVERAGE(BV95:CB95)*4)</x:f>
      </x:c>
      <x:c r="CL95" s="178" t="str">
        <x:f>IF(C95="","",IF(COUNT(G95:CB95)&lt;74,"",(CC95*'تنظیمات وزن‌دهی'!$C$5+CD95*'تنظیمات وزن‌دهی'!$C$6+CE95*'تنظیمات وزن‌دهی'!$C$7+CF95*'تنظیمات وزن‌دهی'!$C$8+CG95*'تنظیمات وزن‌دهی'!$C$9+CH95*'تنظیمات وزن‌دهی'!$C$10+CI95*'تنظیمات وزن‌دهی'!$C$11+CJ95*'تنظیمات وزن‌دهی'!$C$12+CK95*'تنظیمات وزن‌دهی'!$C$13)/100))</x:f>
      </x:c>
      <x:c r="CM95" s="178" t="str">
        <x:f>IF(C95="","",IF(COUNT(G95:CB95)=0,"",IF(COUNT(G95:CB95)&lt;74,"موقت - اطلاعات ناقص",IF(CL95&gt;=17,"عالی",IF(CL95&gt;=14,"خوب",IF(CL95&gt;=10,"متوسط","ضعیف"))))))</x:f>
      </x:c>
      <x:c r="CN95" s="178" t="n">
        <x:v>7</x:v>
      </x:c>
      <x:c r="CO95" s="142" t="n">
        <x:f>IF(C95="","",COUNT(G95:CB95)/74)</x:f>
        <x:v>0</x:v>
      </x:c>
      <x:c r="CP95" s="245"/>
    </x:row>
    <x:row r="96">
      <x:c r="A96" s="165" t="n">
        <x:v>92</x:v>
      </x:c>
      <x:c r="B96" s="233" t="str">
        <x:v>بهمن</x:v>
      </x:c>
      <x:c r="C96" s="233" t="n">
        <x:f>IF('دانش‌آموزان'!E12="","",'دانش‌آموزان'!B12)</x:f>
        <x:v>8</x:v>
      </x:c>
      <x:c r="D96" s="233" t="str">
        <x:f>IF('دانش‌آموزان'!C12="","",'دانش‌آموزان'!C12)</x:f>
        <x:v>4000000081</x:v>
      </x:c>
      <x:c r="E96" s="233" t="str">
        <x:f>IF('دانش‌آموزان'!E12="","",'دانش‌آموزان'!E12&amp;" "&amp;'دانش‌آموزان'!F12)</x:f>
        <x:v>نگار جعفری</x:v>
      </x:c>
      <x:c r="F96" s="166" t="str">
        <x:f>IF('دانش‌آموزان'!I12="","",'دانش‌آموزان'!I12)</x:f>
        <x:v>sample-7-a</x:v>
      </x:c>
      <x:c r="G96" s="114"/>
      <x:c r="H96" s="115"/>
      <x:c r="I96" s="115"/>
      <x:c r="J96" s="115"/>
      <x:c r="K96" s="115"/>
      <x:c r="L96" s="115"/>
      <x:c r="M96" s="115"/>
      <x:c r="N96" s="115"/>
      <x:c r="O96" s="115"/>
      <x:c r="P96" s="115"/>
      <x:c r="Q96" s="115"/>
      <x:c r="R96" s="115"/>
      <x:c r="S96" s="115"/>
      <x:c r="T96" s="115"/>
      <x:c r="U96" s="115"/>
      <x:c r="V96" s="115"/>
      <x:c r="W96" s="115"/>
      <x:c r="X96" s="115"/>
      <x:c r="Y96" s="115"/>
      <x:c r="Z96" s="115"/>
      <x:c r="AA96" s="115"/>
      <x:c r="AB96" s="115"/>
      <x:c r="AC96" s="115"/>
      <x:c r="AD96" s="115"/>
      <x:c r="AE96" s="115"/>
      <x:c r="AF96" s="115"/>
      <x:c r="AG96" s="115"/>
      <x:c r="AH96" s="115"/>
      <x:c r="AI96" s="115"/>
      <x:c r="AJ96" s="115"/>
      <x:c r="AK96" s="115"/>
      <x:c r="AL96" s="115"/>
      <x:c r="AM96" s="115"/>
      <x:c r="AN96" s="115"/>
      <x:c r="AO96" s="115"/>
      <x:c r="AP96" s="115"/>
      <x:c r="AQ96" s="115"/>
      <x:c r="AR96" s="115"/>
      <x:c r="AS96" s="115"/>
      <x:c r="AT96" s="115"/>
      <x:c r="AU96" s="115"/>
      <x:c r="AV96" s="115"/>
      <x:c r="AW96" s="115"/>
      <x:c r="AX96" s="115"/>
      <x:c r="AY96" s="115"/>
      <x:c r="AZ96" s="115"/>
      <x:c r="BA96" s="115"/>
      <x:c r="BB96" s="115"/>
      <x:c r="BC96" s="115"/>
      <x:c r="BD96" s="115"/>
      <x:c r="BE96" s="115"/>
      <x:c r="BF96" s="115"/>
      <x:c r="BG96" s="115"/>
      <x:c r="BH96" s="115"/>
      <x:c r="BI96" s="115"/>
      <x:c r="BJ96" s="115"/>
      <x:c r="BK96" s="115"/>
      <x:c r="BL96" s="115"/>
      <x:c r="BM96" s="115"/>
      <x:c r="BN96" s="115"/>
      <x:c r="BO96" s="115"/>
      <x:c r="BP96" s="115"/>
      <x:c r="BQ96" s="115"/>
      <x:c r="BR96" s="115"/>
      <x:c r="BS96" s="115"/>
      <x:c r="BT96" s="115"/>
      <x:c r="BU96" s="115"/>
      <x:c r="BV96" s="115"/>
      <x:c r="BW96" s="115"/>
      <x:c r="BX96" s="115"/>
      <x:c r="BY96" s="115"/>
      <x:c r="BZ96" s="115"/>
      <x:c r="CA96" s="115"/>
      <x:c r="CB96" s="116"/>
      <x:c r="CC96" s="141" t="str">
        <x:f>IF(COUNT(G96:P96)=0,"",AVERAGE(G96:P96)*4)</x:f>
      </x:c>
      <x:c r="CD96" s="178" t="str">
        <x:f>IF(COUNT(Q96:Z96)=0,"",AVERAGE(Q96:Z96)*4)</x:f>
      </x:c>
      <x:c r="CE96" s="178" t="str">
        <x:f>IF(COUNT(AA96:AJ96)=0,"",AVERAGE(AA96:AJ96)*4)</x:f>
      </x:c>
      <x:c r="CF96" s="178" t="str">
        <x:f>IF(COUNT(AK96:AR96)=0,"",AVERAGE(AK96:AR96)*4)</x:f>
      </x:c>
      <x:c r="CG96" s="178" t="str">
        <x:f>IF(COUNT(AS96:AY96)=0,"",AVERAGE(AS96:AY96)*4)</x:f>
      </x:c>
      <x:c r="CH96" s="178" t="str">
        <x:f>IF(COUNT(AZ96:BG96)=0,"",AVERAGE(AZ96:BG96)*4)</x:f>
      </x:c>
      <x:c r="CI96" s="178" t="str">
        <x:f>IF(COUNT(BH96:BN96)=0,"",AVERAGE(BH96:BN96)*4)</x:f>
      </x:c>
      <x:c r="CJ96" s="178" t="str">
        <x:f>IF(COUNT(BO96:BU96)=0,"",AVERAGE(BO96:BU96)*4)</x:f>
      </x:c>
      <x:c r="CK96" s="178" t="str">
        <x:f>IF(COUNT(BV96:CB96)=0,"",AVERAGE(BV96:CB96)*4)</x:f>
      </x:c>
      <x:c r="CL96" s="178" t="str">
        <x:f>IF(C96="","",IF(COUNT(G96:CB96)&lt;74,"",(CC96*'تنظیمات وزن‌دهی'!$C$5+CD96*'تنظیمات وزن‌دهی'!$C$6+CE96*'تنظیمات وزن‌دهی'!$C$7+CF96*'تنظیمات وزن‌دهی'!$C$8+CG96*'تنظیمات وزن‌دهی'!$C$9+CH96*'تنظیمات وزن‌دهی'!$C$10+CI96*'تنظیمات وزن‌دهی'!$C$11+CJ96*'تنظیمات وزن‌دهی'!$C$12+CK96*'تنظیمات وزن‌دهی'!$C$13)/100))</x:f>
      </x:c>
      <x:c r="CM96" s="178" t="str">
        <x:f>IF(C96="","",IF(COUNT(G96:CB96)=0,"",IF(COUNT(G96:CB96)&lt;74,"موقت - اطلاعات ناقص",IF(CL96&gt;=17,"عالی",IF(CL96&gt;=14,"خوب",IF(CL96&gt;=10,"متوسط","ضعیف"))))))</x:f>
      </x:c>
      <x:c r="CN96" s="178" t="n">
        <x:v>8</x:v>
      </x:c>
      <x:c r="CO96" s="142" t="n">
        <x:f>IF(C96="","",COUNT(G96:CB96)/74)</x:f>
        <x:v>0</x:v>
      </x:c>
      <x:c r="CP96" s="245"/>
    </x:row>
    <x:row r="97">
      <x:c r="A97" s="165" t="n">
        <x:v>93</x:v>
      </x:c>
      <x:c r="B97" s="233" t="str">
        <x:v>اسفند</x:v>
      </x:c>
      <x:c r="C97" s="233" t="n">
        <x:f>IF('دانش‌آموزان'!E12="","",'دانش‌آموزان'!B12)</x:f>
        <x:v>8</x:v>
      </x:c>
      <x:c r="D97" s="233" t="str">
        <x:f>IF('دانش‌آموزان'!C12="","",'دانش‌آموزان'!C12)</x:f>
        <x:v>4000000081</x:v>
      </x:c>
      <x:c r="E97" s="233" t="str">
        <x:f>IF('دانش‌آموزان'!E12="","",'دانش‌آموزان'!E12&amp;" "&amp;'دانش‌آموزان'!F12)</x:f>
        <x:v>نگار جعفری</x:v>
      </x:c>
      <x:c r="F97" s="166" t="str">
        <x:f>IF('دانش‌آموزان'!I12="","",'دانش‌آموزان'!I12)</x:f>
        <x:v>sample-7-a</x:v>
      </x:c>
      <x:c r="G97" s="114"/>
      <x:c r="H97" s="115"/>
      <x:c r="I97" s="115"/>
      <x:c r="J97" s="115"/>
      <x:c r="K97" s="115"/>
      <x:c r="L97" s="115"/>
      <x:c r="M97" s="115"/>
      <x:c r="N97" s="115"/>
      <x:c r="O97" s="115"/>
      <x:c r="P97" s="115"/>
      <x:c r="Q97" s="115"/>
      <x:c r="R97" s="115"/>
      <x:c r="S97" s="115"/>
      <x:c r="T97" s="115"/>
      <x:c r="U97" s="115"/>
      <x:c r="V97" s="115"/>
      <x:c r="W97" s="115"/>
      <x:c r="X97" s="115"/>
      <x:c r="Y97" s="115"/>
      <x:c r="Z97" s="115"/>
      <x:c r="AA97" s="115"/>
      <x:c r="AB97" s="115"/>
      <x:c r="AC97" s="115"/>
      <x:c r="AD97" s="115"/>
      <x:c r="AE97" s="115"/>
      <x:c r="AF97" s="115"/>
      <x:c r="AG97" s="115"/>
      <x:c r="AH97" s="115"/>
      <x:c r="AI97" s="115"/>
      <x:c r="AJ97" s="115"/>
      <x:c r="AK97" s="115"/>
      <x:c r="AL97" s="115"/>
      <x:c r="AM97" s="115"/>
      <x:c r="AN97" s="115"/>
      <x:c r="AO97" s="115"/>
      <x:c r="AP97" s="115"/>
      <x:c r="AQ97" s="115"/>
      <x:c r="AR97" s="115"/>
      <x:c r="AS97" s="115"/>
      <x:c r="AT97" s="115"/>
      <x:c r="AU97" s="115"/>
      <x:c r="AV97" s="115"/>
      <x:c r="AW97" s="115"/>
      <x:c r="AX97" s="115"/>
      <x:c r="AY97" s="115"/>
      <x:c r="AZ97" s="115"/>
      <x:c r="BA97" s="115"/>
      <x:c r="BB97" s="115"/>
      <x:c r="BC97" s="115"/>
      <x:c r="BD97" s="115"/>
      <x:c r="BE97" s="115"/>
      <x:c r="BF97" s="115"/>
      <x:c r="BG97" s="115"/>
      <x:c r="BH97" s="115"/>
      <x:c r="BI97" s="115"/>
      <x:c r="BJ97" s="115"/>
      <x:c r="BK97" s="115"/>
      <x:c r="BL97" s="115"/>
      <x:c r="BM97" s="115"/>
      <x:c r="BN97" s="115"/>
      <x:c r="BO97" s="115"/>
      <x:c r="BP97" s="115"/>
      <x:c r="BQ97" s="115"/>
      <x:c r="BR97" s="115"/>
      <x:c r="BS97" s="115"/>
      <x:c r="BT97" s="115"/>
      <x:c r="BU97" s="115"/>
      <x:c r="BV97" s="115"/>
      <x:c r="BW97" s="115"/>
      <x:c r="BX97" s="115"/>
      <x:c r="BY97" s="115"/>
      <x:c r="BZ97" s="115"/>
      <x:c r="CA97" s="115"/>
      <x:c r="CB97" s="116"/>
      <x:c r="CC97" s="141" t="str">
        <x:f>IF(COUNT(G97:P97)=0,"",AVERAGE(G97:P97)*4)</x:f>
      </x:c>
      <x:c r="CD97" s="178" t="str">
        <x:f>IF(COUNT(Q97:Z97)=0,"",AVERAGE(Q97:Z97)*4)</x:f>
      </x:c>
      <x:c r="CE97" s="178" t="str">
        <x:f>IF(COUNT(AA97:AJ97)=0,"",AVERAGE(AA97:AJ97)*4)</x:f>
      </x:c>
      <x:c r="CF97" s="178" t="str">
        <x:f>IF(COUNT(AK97:AR97)=0,"",AVERAGE(AK97:AR97)*4)</x:f>
      </x:c>
      <x:c r="CG97" s="178" t="str">
        <x:f>IF(COUNT(AS97:AY97)=0,"",AVERAGE(AS97:AY97)*4)</x:f>
      </x:c>
      <x:c r="CH97" s="178" t="str">
        <x:f>IF(COUNT(AZ97:BG97)=0,"",AVERAGE(AZ97:BG97)*4)</x:f>
      </x:c>
      <x:c r="CI97" s="178" t="str">
        <x:f>IF(COUNT(BH97:BN97)=0,"",AVERAGE(BH97:BN97)*4)</x:f>
      </x:c>
      <x:c r="CJ97" s="178" t="str">
        <x:f>IF(COUNT(BO97:BU97)=0,"",AVERAGE(BO97:BU97)*4)</x:f>
      </x:c>
      <x:c r="CK97" s="178" t="str">
        <x:f>IF(COUNT(BV97:CB97)=0,"",AVERAGE(BV97:CB97)*4)</x:f>
      </x:c>
      <x:c r="CL97" s="178" t="str">
        <x:f>IF(C97="","",IF(COUNT(G97:CB97)&lt;74,"",(CC97*'تنظیمات وزن‌دهی'!$C$5+CD97*'تنظیمات وزن‌دهی'!$C$6+CE97*'تنظیمات وزن‌دهی'!$C$7+CF97*'تنظیمات وزن‌دهی'!$C$8+CG97*'تنظیمات وزن‌دهی'!$C$9+CH97*'تنظیمات وزن‌دهی'!$C$10+CI97*'تنظیمات وزن‌دهی'!$C$11+CJ97*'تنظیمات وزن‌دهی'!$C$12+CK97*'تنظیمات وزن‌دهی'!$C$13)/100))</x:f>
      </x:c>
      <x:c r="CM97" s="178" t="str">
        <x:f>IF(C97="","",IF(COUNT(G97:CB97)=0,"",IF(COUNT(G97:CB97)&lt;74,"موقت - اطلاعات ناقص",IF(CL97&gt;=17,"عالی",IF(CL97&gt;=14,"خوب",IF(CL97&gt;=10,"متوسط","ضعیف"))))))</x:f>
      </x:c>
      <x:c r="CN97" s="178" t="n">
        <x:v>9</x:v>
      </x:c>
      <x:c r="CO97" s="142" t="n">
        <x:f>IF(C97="","",COUNT(G97:CB97)/74)</x:f>
        <x:v>0</x:v>
      </x:c>
      <x:c r="CP97" s="245"/>
    </x:row>
    <x:row r="98">
      <x:c r="A98" s="165" t="n">
        <x:v>94</x:v>
      </x:c>
      <x:c r="B98" s="233" t="str">
        <x:v>فروردین</x:v>
      </x:c>
      <x:c r="C98" s="233" t="n">
        <x:f>IF('دانش‌آموزان'!E12="","",'دانش‌آموزان'!B12)</x:f>
        <x:v>8</x:v>
      </x:c>
      <x:c r="D98" s="233" t="str">
        <x:f>IF('دانش‌آموزان'!C12="","",'دانش‌آموزان'!C12)</x:f>
        <x:v>4000000081</x:v>
      </x:c>
      <x:c r="E98" s="233" t="str">
        <x:f>IF('دانش‌آموزان'!E12="","",'دانش‌آموزان'!E12&amp;" "&amp;'دانش‌آموزان'!F12)</x:f>
        <x:v>نگار جعفری</x:v>
      </x:c>
      <x:c r="F98" s="166" t="str">
        <x:f>IF('دانش‌آموزان'!I12="","",'دانش‌آموزان'!I12)</x:f>
        <x:v>sample-7-a</x:v>
      </x:c>
      <x:c r="G98" s="114"/>
      <x:c r="H98" s="115"/>
      <x:c r="I98" s="115"/>
      <x:c r="J98" s="115"/>
      <x:c r="K98" s="115"/>
      <x:c r="L98" s="115"/>
      <x:c r="M98" s="115"/>
      <x:c r="N98" s="115"/>
      <x:c r="O98" s="115"/>
      <x:c r="P98" s="115"/>
      <x:c r="Q98" s="115"/>
      <x:c r="R98" s="115"/>
      <x:c r="S98" s="115"/>
      <x:c r="T98" s="115"/>
      <x:c r="U98" s="115"/>
      <x:c r="V98" s="115"/>
      <x:c r="W98" s="115"/>
      <x:c r="X98" s="115"/>
      <x:c r="Y98" s="115"/>
      <x:c r="Z98" s="115"/>
      <x:c r="AA98" s="115"/>
      <x:c r="AB98" s="115"/>
      <x:c r="AC98" s="115"/>
      <x:c r="AD98" s="115"/>
      <x:c r="AE98" s="115"/>
      <x:c r="AF98" s="115"/>
      <x:c r="AG98" s="115"/>
      <x:c r="AH98" s="115"/>
      <x:c r="AI98" s="115"/>
      <x:c r="AJ98" s="115"/>
      <x:c r="AK98" s="115"/>
      <x:c r="AL98" s="115"/>
      <x:c r="AM98" s="115"/>
      <x:c r="AN98" s="115"/>
      <x:c r="AO98" s="115"/>
      <x:c r="AP98" s="115"/>
      <x:c r="AQ98" s="115"/>
      <x:c r="AR98" s="115"/>
      <x:c r="AS98" s="115"/>
      <x:c r="AT98" s="115"/>
      <x:c r="AU98" s="115"/>
      <x:c r="AV98" s="115"/>
      <x:c r="AW98" s="115"/>
      <x:c r="AX98" s="115"/>
      <x:c r="AY98" s="115"/>
      <x:c r="AZ98" s="115"/>
      <x:c r="BA98" s="115"/>
      <x:c r="BB98" s="115"/>
      <x:c r="BC98" s="115"/>
      <x:c r="BD98" s="115"/>
      <x:c r="BE98" s="115"/>
      <x:c r="BF98" s="115"/>
      <x:c r="BG98" s="115"/>
      <x:c r="BH98" s="115"/>
      <x:c r="BI98" s="115"/>
      <x:c r="BJ98" s="115"/>
      <x:c r="BK98" s="115"/>
      <x:c r="BL98" s="115"/>
      <x:c r="BM98" s="115"/>
      <x:c r="BN98" s="115"/>
      <x:c r="BO98" s="115"/>
      <x:c r="BP98" s="115"/>
      <x:c r="BQ98" s="115"/>
      <x:c r="BR98" s="115"/>
      <x:c r="BS98" s="115"/>
      <x:c r="BT98" s="115"/>
      <x:c r="BU98" s="115"/>
      <x:c r="BV98" s="115"/>
      <x:c r="BW98" s="115"/>
      <x:c r="BX98" s="115"/>
      <x:c r="BY98" s="115"/>
      <x:c r="BZ98" s="115"/>
      <x:c r="CA98" s="115"/>
      <x:c r="CB98" s="116"/>
      <x:c r="CC98" s="141" t="str">
        <x:f>IF(COUNT(G98:P98)=0,"",AVERAGE(G98:P98)*4)</x:f>
      </x:c>
      <x:c r="CD98" s="178" t="str">
        <x:f>IF(COUNT(Q98:Z98)=0,"",AVERAGE(Q98:Z98)*4)</x:f>
      </x:c>
      <x:c r="CE98" s="178" t="str">
        <x:f>IF(COUNT(AA98:AJ98)=0,"",AVERAGE(AA98:AJ98)*4)</x:f>
      </x:c>
      <x:c r="CF98" s="178" t="str">
        <x:f>IF(COUNT(AK98:AR98)=0,"",AVERAGE(AK98:AR98)*4)</x:f>
      </x:c>
      <x:c r="CG98" s="178" t="str">
        <x:f>IF(COUNT(AS98:AY98)=0,"",AVERAGE(AS98:AY98)*4)</x:f>
      </x:c>
      <x:c r="CH98" s="178" t="str">
        <x:f>IF(COUNT(AZ98:BG98)=0,"",AVERAGE(AZ98:BG98)*4)</x:f>
      </x:c>
      <x:c r="CI98" s="178" t="str">
        <x:f>IF(COUNT(BH98:BN98)=0,"",AVERAGE(BH98:BN98)*4)</x:f>
      </x:c>
      <x:c r="CJ98" s="178" t="str">
        <x:f>IF(COUNT(BO98:BU98)=0,"",AVERAGE(BO98:BU98)*4)</x:f>
      </x:c>
      <x:c r="CK98" s="178" t="str">
        <x:f>IF(COUNT(BV98:CB98)=0,"",AVERAGE(BV98:CB98)*4)</x:f>
      </x:c>
      <x:c r="CL98" s="178" t="str">
        <x:f>IF(C98="","",IF(COUNT(G98:CB98)&lt;74,"",(CC98*'تنظیمات وزن‌دهی'!$C$5+CD98*'تنظیمات وزن‌دهی'!$C$6+CE98*'تنظیمات وزن‌دهی'!$C$7+CF98*'تنظیمات وزن‌دهی'!$C$8+CG98*'تنظیمات وزن‌دهی'!$C$9+CH98*'تنظیمات وزن‌دهی'!$C$10+CI98*'تنظیمات وزن‌دهی'!$C$11+CJ98*'تنظیمات وزن‌دهی'!$C$12+CK98*'تنظیمات وزن‌دهی'!$C$13)/100))</x:f>
      </x:c>
      <x:c r="CM98" s="178" t="str">
        <x:f>IF(C98="","",IF(COUNT(G98:CB98)=0,"",IF(COUNT(G98:CB98)&lt;74,"موقت - اطلاعات ناقص",IF(CL98&gt;=17,"عالی",IF(CL98&gt;=14,"خوب",IF(CL98&gt;=10,"متوسط","ضعیف"))))))</x:f>
      </x:c>
      <x:c r="CN98" s="178" t="n">
        <x:v>10</x:v>
      </x:c>
      <x:c r="CO98" s="142" t="n">
        <x:f>IF(C98="","",COUNT(G98:CB98)/74)</x:f>
        <x:v>0</x:v>
      </x:c>
      <x:c r="CP98" s="245"/>
    </x:row>
    <x:row r="99">
      <x:c r="A99" s="165" t="n">
        <x:v>95</x:v>
      </x:c>
      <x:c r="B99" s="233" t="str">
        <x:v>اردیبهشت</x:v>
      </x:c>
      <x:c r="C99" s="233" t="n">
        <x:f>IF('دانش‌آموزان'!E12="","",'دانش‌آموزان'!B12)</x:f>
        <x:v>8</x:v>
      </x:c>
      <x:c r="D99" s="233" t="str">
        <x:f>IF('دانش‌آموزان'!C12="","",'دانش‌آموزان'!C12)</x:f>
        <x:v>4000000081</x:v>
      </x:c>
      <x:c r="E99" s="233" t="str">
        <x:f>IF('دانش‌آموزان'!E12="","",'دانش‌آموزان'!E12&amp;" "&amp;'دانش‌آموزان'!F12)</x:f>
        <x:v>نگار جعفری</x:v>
      </x:c>
      <x:c r="F99" s="166" t="str">
        <x:f>IF('دانش‌آموزان'!I12="","",'دانش‌آموزان'!I12)</x:f>
        <x:v>sample-7-a</x:v>
      </x:c>
      <x:c r="G99" s="114"/>
      <x:c r="H99" s="115"/>
      <x:c r="I99" s="115"/>
      <x:c r="J99" s="115"/>
      <x:c r="K99" s="115"/>
      <x:c r="L99" s="115"/>
      <x:c r="M99" s="115"/>
      <x:c r="N99" s="115"/>
      <x:c r="O99" s="115"/>
      <x:c r="P99" s="115"/>
      <x:c r="Q99" s="115"/>
      <x:c r="R99" s="115"/>
      <x:c r="S99" s="115"/>
      <x:c r="T99" s="115"/>
      <x:c r="U99" s="115"/>
      <x:c r="V99" s="115"/>
      <x:c r="W99" s="115"/>
      <x:c r="X99" s="115"/>
      <x:c r="Y99" s="115"/>
      <x:c r="Z99" s="115"/>
      <x:c r="AA99" s="115"/>
      <x:c r="AB99" s="115"/>
      <x:c r="AC99" s="115"/>
      <x:c r="AD99" s="115"/>
      <x:c r="AE99" s="115"/>
      <x:c r="AF99" s="115"/>
      <x:c r="AG99" s="115"/>
      <x:c r="AH99" s="115"/>
      <x:c r="AI99" s="115"/>
      <x:c r="AJ99" s="115"/>
      <x:c r="AK99" s="115"/>
      <x:c r="AL99" s="115"/>
      <x:c r="AM99" s="115"/>
      <x:c r="AN99" s="115"/>
      <x:c r="AO99" s="115"/>
      <x:c r="AP99" s="115"/>
      <x:c r="AQ99" s="115"/>
      <x:c r="AR99" s="115"/>
      <x:c r="AS99" s="115"/>
      <x:c r="AT99" s="115"/>
      <x:c r="AU99" s="115"/>
      <x:c r="AV99" s="115"/>
      <x:c r="AW99" s="115"/>
      <x:c r="AX99" s="115"/>
      <x:c r="AY99" s="115"/>
      <x:c r="AZ99" s="115"/>
      <x:c r="BA99" s="115"/>
      <x:c r="BB99" s="115"/>
      <x:c r="BC99" s="115"/>
      <x:c r="BD99" s="115"/>
      <x:c r="BE99" s="115"/>
      <x:c r="BF99" s="115"/>
      <x:c r="BG99" s="115"/>
      <x:c r="BH99" s="115"/>
      <x:c r="BI99" s="115"/>
      <x:c r="BJ99" s="115"/>
      <x:c r="BK99" s="115"/>
      <x:c r="BL99" s="115"/>
      <x:c r="BM99" s="115"/>
      <x:c r="BN99" s="115"/>
      <x:c r="BO99" s="115"/>
      <x:c r="BP99" s="115"/>
      <x:c r="BQ99" s="115"/>
      <x:c r="BR99" s="115"/>
      <x:c r="BS99" s="115"/>
      <x:c r="BT99" s="115"/>
      <x:c r="BU99" s="115"/>
      <x:c r="BV99" s="115"/>
      <x:c r="BW99" s="115"/>
      <x:c r="BX99" s="115"/>
      <x:c r="BY99" s="115"/>
      <x:c r="BZ99" s="115"/>
      <x:c r="CA99" s="115"/>
      <x:c r="CB99" s="116"/>
      <x:c r="CC99" s="141" t="str">
        <x:f>IF(COUNT(G99:P99)=0,"",AVERAGE(G99:P99)*4)</x:f>
      </x:c>
      <x:c r="CD99" s="178" t="str">
        <x:f>IF(COUNT(Q99:Z99)=0,"",AVERAGE(Q99:Z99)*4)</x:f>
      </x:c>
      <x:c r="CE99" s="178" t="str">
        <x:f>IF(COUNT(AA99:AJ99)=0,"",AVERAGE(AA99:AJ99)*4)</x:f>
      </x:c>
      <x:c r="CF99" s="178" t="str">
        <x:f>IF(COUNT(AK99:AR99)=0,"",AVERAGE(AK99:AR99)*4)</x:f>
      </x:c>
      <x:c r="CG99" s="178" t="str">
        <x:f>IF(COUNT(AS99:AY99)=0,"",AVERAGE(AS99:AY99)*4)</x:f>
      </x:c>
      <x:c r="CH99" s="178" t="str">
        <x:f>IF(COUNT(AZ99:BG99)=0,"",AVERAGE(AZ99:BG99)*4)</x:f>
      </x:c>
      <x:c r="CI99" s="178" t="str">
        <x:f>IF(COUNT(BH99:BN99)=0,"",AVERAGE(BH99:BN99)*4)</x:f>
      </x:c>
      <x:c r="CJ99" s="178" t="str">
        <x:f>IF(COUNT(BO99:BU99)=0,"",AVERAGE(BO99:BU99)*4)</x:f>
      </x:c>
      <x:c r="CK99" s="178" t="str">
        <x:f>IF(COUNT(BV99:CB99)=0,"",AVERAGE(BV99:CB99)*4)</x:f>
      </x:c>
      <x:c r="CL99" s="178" t="str">
        <x:f>IF(C99="","",IF(COUNT(G99:CB99)&lt;74,"",(CC99*'تنظیمات وزن‌دهی'!$C$5+CD99*'تنظیمات وزن‌دهی'!$C$6+CE99*'تنظیمات وزن‌دهی'!$C$7+CF99*'تنظیمات وزن‌دهی'!$C$8+CG99*'تنظیمات وزن‌دهی'!$C$9+CH99*'تنظیمات وزن‌دهی'!$C$10+CI99*'تنظیمات وزن‌دهی'!$C$11+CJ99*'تنظیمات وزن‌دهی'!$C$12+CK99*'تنظیمات وزن‌دهی'!$C$13)/100))</x:f>
      </x:c>
      <x:c r="CM99" s="178" t="str">
        <x:f>IF(C99="","",IF(COUNT(G99:CB99)=0,"",IF(COUNT(G99:CB99)&lt;74,"موقت - اطلاعات ناقص",IF(CL99&gt;=17,"عالی",IF(CL99&gt;=14,"خوب",IF(CL99&gt;=10,"متوسط","ضعیف"))))))</x:f>
      </x:c>
      <x:c r="CN99" s="178" t="n">
        <x:v>11</x:v>
      </x:c>
      <x:c r="CO99" s="142" t="n">
        <x:f>IF(C99="","",COUNT(G99:CB99)/74)</x:f>
        <x:v>0</x:v>
      </x:c>
      <x:c r="CP99" s="245"/>
    </x:row>
    <x:row r="100">
      <x:c r="A100" s="165" t="n">
        <x:v>96</x:v>
      </x:c>
      <x:c r="B100" s="233" t="str">
        <x:v>خرداد</x:v>
      </x:c>
      <x:c r="C100" s="233" t="n">
        <x:f>IF('دانش‌آموزان'!E12="","",'دانش‌آموزان'!B12)</x:f>
        <x:v>8</x:v>
      </x:c>
      <x:c r="D100" s="233" t="str">
        <x:f>IF('دانش‌آموزان'!C12="","",'دانش‌آموزان'!C12)</x:f>
        <x:v>4000000081</x:v>
      </x:c>
      <x:c r="E100" s="233" t="str">
        <x:f>IF('دانش‌آموزان'!E12="","",'دانش‌آموزان'!E12&amp;" "&amp;'دانش‌آموزان'!F12)</x:f>
        <x:v>نگار جعفری</x:v>
      </x:c>
      <x:c r="F100" s="166" t="str">
        <x:f>IF('دانش‌آموزان'!I12="","",'دانش‌آموزان'!I12)</x:f>
        <x:v>sample-7-a</x:v>
      </x:c>
      <x:c r="G100" s="114"/>
      <x:c r="H100" s="115"/>
      <x:c r="I100" s="115"/>
      <x:c r="J100" s="115"/>
      <x:c r="K100" s="115"/>
      <x:c r="L100" s="115"/>
      <x:c r="M100" s="115"/>
      <x:c r="N100" s="115"/>
      <x:c r="O100" s="115"/>
      <x:c r="P100" s="115"/>
      <x:c r="Q100" s="115"/>
      <x:c r="R100" s="115"/>
      <x:c r="S100" s="115"/>
      <x:c r="T100" s="115"/>
      <x:c r="U100" s="115"/>
      <x:c r="V100" s="115"/>
      <x:c r="W100" s="115"/>
      <x:c r="X100" s="115"/>
      <x:c r="Y100" s="115"/>
      <x:c r="Z100" s="115"/>
      <x:c r="AA100" s="115"/>
      <x:c r="AB100" s="115"/>
      <x:c r="AC100" s="115"/>
      <x:c r="AD100" s="115"/>
      <x:c r="AE100" s="115"/>
      <x:c r="AF100" s="115"/>
      <x:c r="AG100" s="115"/>
      <x:c r="AH100" s="115"/>
      <x:c r="AI100" s="115"/>
      <x:c r="AJ100" s="115"/>
      <x:c r="AK100" s="115"/>
      <x:c r="AL100" s="115"/>
      <x:c r="AM100" s="115"/>
      <x:c r="AN100" s="115"/>
      <x:c r="AO100" s="115"/>
      <x:c r="AP100" s="115"/>
      <x:c r="AQ100" s="115"/>
      <x:c r="AR100" s="115"/>
      <x:c r="AS100" s="115"/>
      <x:c r="AT100" s="115"/>
      <x:c r="AU100" s="115"/>
      <x:c r="AV100" s="115"/>
      <x:c r="AW100" s="115"/>
      <x:c r="AX100" s="115"/>
      <x:c r="AY100" s="115"/>
      <x:c r="AZ100" s="115"/>
      <x:c r="BA100" s="115"/>
      <x:c r="BB100" s="115"/>
      <x:c r="BC100" s="115"/>
      <x:c r="BD100" s="115"/>
      <x:c r="BE100" s="115"/>
      <x:c r="BF100" s="115"/>
      <x:c r="BG100" s="115"/>
      <x:c r="BH100" s="115"/>
      <x:c r="BI100" s="115"/>
      <x:c r="BJ100" s="115"/>
      <x:c r="BK100" s="115"/>
      <x:c r="BL100" s="115"/>
      <x:c r="BM100" s="115"/>
      <x:c r="BN100" s="115"/>
      <x:c r="BO100" s="115"/>
      <x:c r="BP100" s="115"/>
      <x:c r="BQ100" s="115"/>
      <x:c r="BR100" s="115"/>
      <x:c r="BS100" s="115"/>
      <x:c r="BT100" s="115"/>
      <x:c r="BU100" s="115"/>
      <x:c r="BV100" s="115"/>
      <x:c r="BW100" s="115"/>
      <x:c r="BX100" s="115"/>
      <x:c r="BY100" s="115"/>
      <x:c r="BZ100" s="115"/>
      <x:c r="CA100" s="115"/>
      <x:c r="CB100" s="116"/>
      <x:c r="CC100" s="141" t="str">
        <x:f>IF(COUNT(G100:P100)=0,"",AVERAGE(G100:P100)*4)</x:f>
      </x:c>
      <x:c r="CD100" s="178" t="str">
        <x:f>IF(COUNT(Q100:Z100)=0,"",AVERAGE(Q100:Z100)*4)</x:f>
      </x:c>
      <x:c r="CE100" s="178" t="str">
        <x:f>IF(COUNT(AA100:AJ100)=0,"",AVERAGE(AA100:AJ100)*4)</x:f>
      </x:c>
      <x:c r="CF100" s="178" t="str">
        <x:f>IF(COUNT(AK100:AR100)=0,"",AVERAGE(AK100:AR100)*4)</x:f>
      </x:c>
      <x:c r="CG100" s="178" t="str">
        <x:f>IF(COUNT(AS100:AY100)=0,"",AVERAGE(AS100:AY100)*4)</x:f>
      </x:c>
      <x:c r="CH100" s="178" t="str">
        <x:f>IF(COUNT(AZ100:BG100)=0,"",AVERAGE(AZ100:BG100)*4)</x:f>
      </x:c>
      <x:c r="CI100" s="178" t="str">
        <x:f>IF(COUNT(BH100:BN100)=0,"",AVERAGE(BH100:BN100)*4)</x:f>
      </x:c>
      <x:c r="CJ100" s="178" t="str">
        <x:f>IF(COUNT(BO100:BU100)=0,"",AVERAGE(BO100:BU100)*4)</x:f>
      </x:c>
      <x:c r="CK100" s="178" t="str">
        <x:f>IF(COUNT(BV100:CB100)=0,"",AVERAGE(BV100:CB100)*4)</x:f>
      </x:c>
      <x:c r="CL100" s="178" t="str">
        <x:f>IF(C100="","",IF(COUNT(G100:CB100)&lt;74,"",(CC100*'تنظیمات وزن‌دهی'!$C$5+CD100*'تنظیمات وزن‌دهی'!$C$6+CE100*'تنظیمات وزن‌دهی'!$C$7+CF100*'تنظیمات وزن‌دهی'!$C$8+CG100*'تنظیمات وزن‌دهی'!$C$9+CH100*'تنظیمات وزن‌دهی'!$C$10+CI100*'تنظیمات وزن‌دهی'!$C$11+CJ100*'تنظیمات وزن‌دهی'!$C$12+CK100*'تنظیمات وزن‌دهی'!$C$13)/100))</x:f>
      </x:c>
      <x:c r="CM100" s="178" t="str">
        <x:f>IF(C100="","",IF(COUNT(G100:CB100)=0,"",IF(COUNT(G100:CB100)&lt;74,"موقت - اطلاعات ناقص",IF(CL100&gt;=17,"عالی",IF(CL100&gt;=14,"خوب",IF(CL100&gt;=10,"متوسط","ضعیف"))))))</x:f>
      </x:c>
      <x:c r="CN100" s="178" t="n">
        <x:v>12</x:v>
      </x:c>
      <x:c r="CO100" s="142" t="n">
        <x:f>IF(C100="","",COUNT(G100:CB100)/74)</x:f>
        <x:v>0</x:v>
      </x:c>
      <x:c r="CP100" s="245"/>
    </x:row>
    <x:row r="101">
      <x:c r="A101" s="165" t="n">
        <x:v>97</x:v>
      </x:c>
      <x:c r="B101" s="233" t="str">
        <x:v>تیر</x:v>
      </x:c>
      <x:c r="C101" s="233" t="n">
        <x:f>IF('دانش‌آموزان'!E13="","",'دانش‌آموزان'!B13)</x:f>
        <x:v>9</x:v>
      </x:c>
      <x:c r="D101" s="233" t="str">
        <x:f>IF('دانش‌آموزان'!C13="","",'دانش‌آموزان'!C13)</x:f>
        <x:v>4000000098</x:v>
      </x:c>
      <x:c r="E101" s="233" t="str">
        <x:f>IF('دانش‌آموزان'!E13="","",'دانش‌آموزان'!E13&amp;" "&amp;'دانش‌آموزان'!F13)</x:f>
        <x:v>سام امینی</x:v>
      </x:c>
      <x:c r="F101" s="166" t="str">
        <x:f>IF('دانش‌آموزان'!I13="","",'دانش‌آموزان'!I13)</x:f>
        <x:v>sample-7-a</x:v>
      </x:c>
      <x:c r="G101" s="114" t="n">
        <x:v>3</x:v>
      </x:c>
      <x:c r="H101" s="115" t="n">
        <x:v>4</x:v>
      </x:c>
      <x:c r="I101" s="115" t="n">
        <x:v>3</x:v>
      </x:c>
      <x:c r="J101" s="115" t="n">
        <x:v>4</x:v>
      </x:c>
      <x:c r="K101" s="115" t="n">
        <x:v>2</x:v>
      </x:c>
      <x:c r="L101" s="115" t="n">
        <x:v>4</x:v>
      </x:c>
      <x:c r="M101" s="115" t="n">
        <x:v>5</x:v>
      </x:c>
      <x:c r="N101" s="115" t="n">
        <x:v>4</x:v>
      </x:c>
      <x:c r="O101" s="115" t="n">
        <x:v>5</x:v>
      </x:c>
      <x:c r="P101" s="115" t="n">
        <x:v>3</x:v>
      </x:c>
      <x:c r="Q101" s="115" t="n">
        <x:v>5</x:v>
      </x:c>
      <x:c r="R101" s="115" t="n">
        <x:v>3</x:v>
      </x:c>
      <x:c r="S101" s="115" t="n">
        <x:v>4</x:v>
      </x:c>
      <x:c r="T101" s="115" t="n">
        <x:v>3</x:v>
      </x:c>
      <x:c r="U101" s="115" t="n">
        <x:v>4</x:v>
      </x:c>
      <x:c r="V101" s="115" t="n">
        <x:v>2</x:v>
      </x:c>
      <x:c r="W101" s="115" t="n">
        <x:v>4</x:v>
      </x:c>
      <x:c r="X101" s="115" t="n">
        <x:v>5</x:v>
      </x:c>
      <x:c r="Y101" s="115" t="n">
        <x:v>4</x:v>
      </x:c>
      <x:c r="Z101" s="115" t="n">
        <x:v>5</x:v>
      </x:c>
      <x:c r="AA101" s="115" t="n">
        <x:v>3</x:v>
      </x:c>
      <x:c r="AB101" s="115" t="n">
        <x:v>5</x:v>
      </x:c>
      <x:c r="AC101" s="115" t="n">
        <x:v>3</x:v>
      </x:c>
      <x:c r="AD101" s="115" t="n">
        <x:v>4</x:v>
      </x:c>
      <x:c r="AE101" s="115" t="n">
        <x:v>3</x:v>
      </x:c>
      <x:c r="AF101" s="115" t="n">
        <x:v>4</x:v>
      </x:c>
      <x:c r="AG101" s="115" t="n">
        <x:v>2</x:v>
      </x:c>
      <x:c r="AH101" s="115" t="n">
        <x:v>4</x:v>
      </x:c>
      <x:c r="AI101" s="115" t="n">
        <x:v>5</x:v>
      </x:c>
      <x:c r="AJ101" s="115" t="n">
        <x:v>4</x:v>
      </x:c>
      <x:c r="AK101" s="115" t="n">
        <x:v>5</x:v>
      </x:c>
      <x:c r="AL101" s="115" t="n">
        <x:v>3</x:v>
      </x:c>
      <x:c r="AM101" s="115" t="n">
        <x:v>5</x:v>
      </x:c>
      <x:c r="AN101" s="115" t="n">
        <x:v>3</x:v>
      </x:c>
      <x:c r="AO101" s="115" t="n">
        <x:v>4</x:v>
      </x:c>
      <x:c r="AP101" s="115" t="n">
        <x:v>3</x:v>
      </x:c>
      <x:c r="AQ101" s="115" t="n">
        <x:v>4</x:v>
      </x:c>
      <x:c r="AR101" s="115" t="n">
        <x:v>2</x:v>
      </x:c>
      <x:c r="AS101" s="115" t="n">
        <x:v>4</x:v>
      </x:c>
      <x:c r="AT101" s="115" t="n">
        <x:v>5</x:v>
      </x:c>
      <x:c r="AU101" s="115" t="n">
        <x:v>4</x:v>
      </x:c>
      <x:c r="AV101" s="115" t="n">
        <x:v>5</x:v>
      </x:c>
      <x:c r="AW101" s="115" t="n">
        <x:v>3</x:v>
      </x:c>
      <x:c r="AX101" s="115" t="n">
        <x:v>5</x:v>
      </x:c>
      <x:c r="AY101" s="115" t="n">
        <x:v>3</x:v>
      </x:c>
      <x:c r="AZ101" s="115" t="n">
        <x:v>4</x:v>
      </x:c>
      <x:c r="BA101" s="115" t="n">
        <x:v>3</x:v>
      </x:c>
      <x:c r="BB101" s="115" t="n">
        <x:v>4</x:v>
      </x:c>
      <x:c r="BC101" s="115" t="n">
        <x:v>2</x:v>
      </x:c>
      <x:c r="BD101" s="115" t="n">
        <x:v>4</x:v>
      </x:c>
      <x:c r="BE101" s="115" t="n">
        <x:v>5</x:v>
      </x:c>
      <x:c r="BF101" s="115" t="n">
        <x:v>4</x:v>
      </x:c>
      <x:c r="BG101" s="115" t="n">
        <x:v>5</x:v>
      </x:c>
      <x:c r="BH101" s="115" t="n">
        <x:v>3</x:v>
      </x:c>
      <x:c r="BI101" s="115" t="n">
        <x:v>5</x:v>
      </x:c>
      <x:c r="BJ101" s="115" t="n">
        <x:v>3</x:v>
      </x:c>
      <x:c r="BK101" s="115" t="n">
        <x:v>4</x:v>
      </x:c>
      <x:c r="BL101" s="115" t="n">
        <x:v>3</x:v>
      </x:c>
      <x:c r="BM101" s="115" t="n">
        <x:v>4</x:v>
      </x:c>
      <x:c r="BN101" s="115" t="n">
        <x:v>2</x:v>
      </x:c>
      <x:c r="BO101" s="115" t="n">
        <x:v>4</x:v>
      </x:c>
      <x:c r="BP101" s="115" t="n">
        <x:v>5</x:v>
      </x:c>
      <x:c r="BQ101" s="115" t="n">
        <x:v>4</x:v>
      </x:c>
      <x:c r="BR101" s="115" t="n">
        <x:v>5</x:v>
      </x:c>
      <x:c r="BS101" s="115" t="n">
        <x:v>3</x:v>
      </x:c>
      <x:c r="BT101" s="115" t="n">
        <x:v>5</x:v>
      </x:c>
      <x:c r="BU101" s="115" t="n">
        <x:v>3</x:v>
      </x:c>
      <x:c r="BV101" s="115" t="n">
        <x:v>4</x:v>
      </x:c>
      <x:c r="BW101" s="115" t="n">
        <x:v>3</x:v>
      </x:c>
      <x:c r="BX101" s="115" t="n">
        <x:v>4</x:v>
      </x:c>
      <x:c r="BY101" s="115" t="n">
        <x:v>2</x:v>
      </x:c>
      <x:c r="BZ101" s="115" t="n">
        <x:v>4</x:v>
      </x:c>
      <x:c r="CA101" s="115" t="n">
        <x:v>5</x:v>
      </x:c>
      <x:c r="CB101" s="116" t="n">
        <x:v>4</x:v>
      </x:c>
      <x:c r="CC101" s="141" t="n">
        <x:f>IF(COUNT(G101:P101)=0,"",AVERAGE(G101:P101)*4)</x:f>
        <x:v>14.8</x:v>
      </x:c>
      <x:c r="CD101" s="178" t="n">
        <x:f>IF(COUNT(Q101:Z101)=0,"",AVERAGE(Q101:Z101)*4)</x:f>
        <x:v>15.6</x:v>
      </x:c>
      <x:c r="CE101" s="178" t="n">
        <x:f>IF(COUNT(AA101:AJ101)=0,"",AVERAGE(AA101:AJ101)*4)</x:f>
        <x:v>14.8</x:v>
      </x:c>
      <x:c r="CF101" s="178" t="n">
        <x:f>IF(COUNT(AK101:AR101)=0,"",AVERAGE(AK101:AR101)*4)</x:f>
        <x:v>14.5</x:v>
      </x:c>
      <x:c r="CG101" s="178" t="n">
        <x:f>IF(COUNT(AS101:AY101)=0,"",AVERAGE(AS101:AY101)*4)</x:f>
        <x:v>16.571428571428573</x:v>
      </x:c>
      <x:c r="CH101" s="178" t="n">
        <x:f>IF(COUNT(AZ101:BG101)=0,"",AVERAGE(AZ101:BG101)*4)</x:f>
        <x:v>15.5</x:v>
      </x:c>
      <x:c r="CI101" s="178" t="n">
        <x:f>IF(COUNT(BH101:BN101)=0,"",AVERAGE(BH101:BN101)*4)</x:f>
        <x:v>13.714285714285714</x:v>
      </x:c>
      <x:c r="CJ101" s="178" t="n">
        <x:f>IF(COUNT(BO101:BU101)=0,"",AVERAGE(BO101:BU101)*4)</x:f>
        <x:v>16.571428571428573</x:v>
      </x:c>
      <x:c r="CK101" s="178" t="n">
        <x:f>IF(COUNT(BV101:CB101)=0,"",AVERAGE(BV101:CB101)*4)</x:f>
        <x:v>14.857142857142858</x:v>
      </x:c>
      <x:c r="CL101" s="178" t="n">
        <x:f>IF(C101="","",IF(COUNT(G101:CB101)&lt;74,"",(CC101*'تنظیمات وزن‌دهی'!$C$5+CD101*'تنظیمات وزن‌دهی'!$C$6+CE101*'تنظیمات وزن‌دهی'!$C$7+CF101*'تنظیمات وزن‌دهی'!$C$8+CG101*'تنظیمات وزن‌دهی'!$C$9+CH101*'تنظیمات وزن‌دهی'!$C$10+CI101*'تنظیمات وزن‌دهی'!$C$11+CJ101*'تنظیمات وزن‌دهی'!$C$12+CK101*'تنظیمات وزن‌دهی'!$C$13)/100))</x:f>
        <x:v>15.089285714285715</x:v>
      </x:c>
      <x:c r="CM101" s="178" t="str">
        <x:f>IF(C101="","",IF(COUNT(G101:CB101)=0,"",IF(COUNT(G101:CB101)&lt;74,"موقت - اطلاعات ناقص",IF(CL101&gt;=17,"عالی",IF(CL101&gt;=14,"خوب",IF(CL101&gt;=10,"متوسط","ضعیف"))))))</x:f>
        <x:v>خوب</x:v>
      </x:c>
      <x:c r="CN101" s="178" t="n">
        <x:v>1</x:v>
      </x:c>
      <x:c r="CO101" s="142" t="n">
        <x:f>IF(C101="","",COUNT(G101:CB101)/74)</x:f>
        <x:v>1</x:v>
      </x:c>
      <x:c r="CP101" s="245" t="str">
        <x:v>داده نمونه کامل برای ماه تیر - دانش‌آموز شماره 9</x:v>
      </x:c>
    </x:row>
    <x:row r="102">
      <x:c r="A102" s="165" t="n">
        <x:v>98</x:v>
      </x:c>
      <x:c r="B102" s="233" t="str">
        <x:v>مرداد</x:v>
      </x:c>
      <x:c r="C102" s="233" t="n">
        <x:f>IF('دانش‌آموزان'!E13="","",'دانش‌آموزان'!B13)</x:f>
        <x:v>9</x:v>
      </x:c>
      <x:c r="D102" s="233" t="str">
        <x:f>IF('دانش‌آموزان'!C13="","",'دانش‌آموزان'!C13)</x:f>
        <x:v>4000000098</x:v>
      </x:c>
      <x:c r="E102" s="233" t="str">
        <x:f>IF('دانش‌آموزان'!E13="","",'دانش‌آموزان'!E13&amp;" "&amp;'دانش‌آموزان'!F13)</x:f>
        <x:v>سام امینی</x:v>
      </x:c>
      <x:c r="F102" s="166" t="str">
        <x:f>IF('دانش‌آموزان'!I13="","",'دانش‌آموزان'!I13)</x:f>
        <x:v>sample-7-a</x:v>
      </x:c>
      <x:c r="G102" s="114"/>
      <x:c r="H102" s="115"/>
      <x:c r="I102" s="115"/>
      <x:c r="J102" s="115"/>
      <x:c r="K102" s="115"/>
      <x:c r="L102" s="115"/>
      <x:c r="M102" s="115"/>
      <x:c r="N102" s="115"/>
      <x:c r="O102" s="115"/>
      <x:c r="P102" s="115"/>
      <x:c r="Q102" s="115"/>
      <x:c r="R102" s="115"/>
      <x:c r="S102" s="115"/>
      <x:c r="T102" s="115"/>
      <x:c r="U102" s="115"/>
      <x:c r="V102" s="115"/>
      <x:c r="W102" s="115"/>
      <x:c r="X102" s="115"/>
      <x:c r="Y102" s="115"/>
      <x:c r="Z102" s="115"/>
      <x:c r="AA102" s="115"/>
      <x:c r="AB102" s="115"/>
      <x:c r="AC102" s="115"/>
      <x:c r="AD102" s="115"/>
      <x:c r="AE102" s="115"/>
      <x:c r="AF102" s="115"/>
      <x:c r="AG102" s="115"/>
      <x:c r="AH102" s="115"/>
      <x:c r="AI102" s="115"/>
      <x:c r="AJ102" s="115"/>
      <x:c r="AK102" s="115"/>
      <x:c r="AL102" s="115"/>
      <x:c r="AM102" s="115"/>
      <x:c r="AN102" s="115"/>
      <x:c r="AO102" s="115"/>
      <x:c r="AP102" s="115"/>
      <x:c r="AQ102" s="115"/>
      <x:c r="AR102" s="115"/>
      <x:c r="AS102" s="115"/>
      <x:c r="AT102" s="115"/>
      <x:c r="AU102" s="115"/>
      <x:c r="AV102" s="115"/>
      <x:c r="AW102" s="115"/>
      <x:c r="AX102" s="115"/>
      <x:c r="AY102" s="115"/>
      <x:c r="AZ102" s="115"/>
      <x:c r="BA102" s="115"/>
      <x:c r="BB102" s="115"/>
      <x:c r="BC102" s="115"/>
      <x:c r="BD102" s="115"/>
      <x:c r="BE102" s="115"/>
      <x:c r="BF102" s="115"/>
      <x:c r="BG102" s="115"/>
      <x:c r="BH102" s="115"/>
      <x:c r="BI102" s="115"/>
      <x:c r="BJ102" s="115"/>
      <x:c r="BK102" s="115"/>
      <x:c r="BL102" s="115"/>
      <x:c r="BM102" s="115"/>
      <x:c r="BN102" s="115"/>
      <x:c r="BO102" s="115"/>
      <x:c r="BP102" s="115"/>
      <x:c r="BQ102" s="115"/>
      <x:c r="BR102" s="115"/>
      <x:c r="BS102" s="115"/>
      <x:c r="BT102" s="115"/>
      <x:c r="BU102" s="115"/>
      <x:c r="BV102" s="115"/>
      <x:c r="BW102" s="115"/>
      <x:c r="BX102" s="115"/>
      <x:c r="BY102" s="115"/>
      <x:c r="BZ102" s="115"/>
      <x:c r="CA102" s="115"/>
      <x:c r="CB102" s="116"/>
      <x:c r="CC102" s="141" t="str">
        <x:f>IF(COUNT(G102:P102)=0,"",AVERAGE(G102:P102)*4)</x:f>
      </x:c>
      <x:c r="CD102" s="178" t="str">
        <x:f>IF(COUNT(Q102:Z102)=0,"",AVERAGE(Q102:Z102)*4)</x:f>
      </x:c>
      <x:c r="CE102" s="178" t="str">
        <x:f>IF(COUNT(AA102:AJ102)=0,"",AVERAGE(AA102:AJ102)*4)</x:f>
      </x:c>
      <x:c r="CF102" s="178" t="str">
        <x:f>IF(COUNT(AK102:AR102)=0,"",AVERAGE(AK102:AR102)*4)</x:f>
      </x:c>
      <x:c r="CG102" s="178" t="str">
        <x:f>IF(COUNT(AS102:AY102)=0,"",AVERAGE(AS102:AY102)*4)</x:f>
      </x:c>
      <x:c r="CH102" s="178" t="str">
        <x:f>IF(COUNT(AZ102:BG102)=0,"",AVERAGE(AZ102:BG102)*4)</x:f>
      </x:c>
      <x:c r="CI102" s="178" t="str">
        <x:f>IF(COUNT(BH102:BN102)=0,"",AVERAGE(BH102:BN102)*4)</x:f>
      </x:c>
      <x:c r="CJ102" s="178" t="str">
        <x:f>IF(COUNT(BO102:BU102)=0,"",AVERAGE(BO102:BU102)*4)</x:f>
      </x:c>
      <x:c r="CK102" s="178" t="str">
        <x:f>IF(COUNT(BV102:CB102)=0,"",AVERAGE(BV102:CB102)*4)</x:f>
      </x:c>
      <x:c r="CL102" s="178" t="str">
        <x:f>IF(C102="","",IF(COUNT(G102:CB102)&lt;74,"",(CC102*'تنظیمات وزن‌دهی'!$C$5+CD102*'تنظیمات وزن‌دهی'!$C$6+CE102*'تنظیمات وزن‌دهی'!$C$7+CF102*'تنظیمات وزن‌دهی'!$C$8+CG102*'تنظیمات وزن‌دهی'!$C$9+CH102*'تنظیمات وزن‌دهی'!$C$10+CI102*'تنظیمات وزن‌دهی'!$C$11+CJ102*'تنظیمات وزن‌دهی'!$C$12+CK102*'تنظیمات وزن‌دهی'!$C$13)/100))</x:f>
      </x:c>
      <x:c r="CM102" s="178" t="str">
        <x:f>IF(C102="","",IF(COUNT(G102:CB102)=0,"",IF(COUNT(G102:CB102)&lt;74,"موقت - اطلاعات ناقص",IF(CL102&gt;=17,"عالی",IF(CL102&gt;=14,"خوب",IF(CL102&gt;=10,"متوسط","ضعیف"))))))</x:f>
      </x:c>
      <x:c r="CN102" s="178" t="n">
        <x:v>2</x:v>
      </x:c>
      <x:c r="CO102" s="142" t="n">
        <x:f>IF(C102="","",COUNT(G102:CB102)/74)</x:f>
        <x:v>0</x:v>
      </x:c>
      <x:c r="CP102" s="245"/>
    </x:row>
    <x:row r="103">
      <x:c r="A103" s="165" t="n">
        <x:v>99</x:v>
      </x:c>
      <x:c r="B103" s="233" t="str">
        <x:v>شهریور</x:v>
      </x:c>
      <x:c r="C103" s="233" t="n">
        <x:f>IF('دانش‌آموزان'!E13="","",'دانش‌آموزان'!B13)</x:f>
        <x:v>9</x:v>
      </x:c>
      <x:c r="D103" s="233" t="str">
        <x:f>IF('دانش‌آموزان'!C13="","",'دانش‌آموزان'!C13)</x:f>
        <x:v>4000000098</x:v>
      </x:c>
      <x:c r="E103" s="233" t="str">
        <x:f>IF('دانش‌آموزان'!E13="","",'دانش‌آموزان'!E13&amp;" "&amp;'دانش‌آموزان'!F13)</x:f>
        <x:v>سام امینی</x:v>
      </x:c>
      <x:c r="F103" s="166" t="str">
        <x:f>IF('دانش‌آموزان'!I13="","",'دانش‌آموزان'!I13)</x:f>
        <x:v>sample-7-a</x:v>
      </x:c>
      <x:c r="G103" s="114"/>
      <x:c r="H103" s="115"/>
      <x:c r="I103" s="115"/>
      <x:c r="J103" s="115"/>
      <x:c r="K103" s="115"/>
      <x:c r="L103" s="115"/>
      <x:c r="M103" s="115"/>
      <x:c r="N103" s="115"/>
      <x:c r="O103" s="115"/>
      <x:c r="P103" s="115"/>
      <x:c r="Q103" s="115"/>
      <x:c r="R103" s="115"/>
      <x:c r="S103" s="115"/>
      <x:c r="T103" s="115"/>
      <x:c r="U103" s="115"/>
      <x:c r="V103" s="115"/>
      <x:c r="W103" s="115"/>
      <x:c r="X103" s="115"/>
      <x:c r="Y103" s="115"/>
      <x:c r="Z103" s="115"/>
      <x:c r="AA103" s="115"/>
      <x:c r="AB103" s="115"/>
      <x:c r="AC103" s="115"/>
      <x:c r="AD103" s="115"/>
      <x:c r="AE103" s="115"/>
      <x:c r="AF103" s="115"/>
      <x:c r="AG103" s="115"/>
      <x:c r="AH103" s="115"/>
      <x:c r="AI103" s="115"/>
      <x:c r="AJ103" s="115"/>
      <x:c r="AK103" s="115"/>
      <x:c r="AL103" s="115"/>
      <x:c r="AM103" s="115"/>
      <x:c r="AN103" s="115"/>
      <x:c r="AO103" s="115"/>
      <x:c r="AP103" s="115"/>
      <x:c r="AQ103" s="115"/>
      <x:c r="AR103" s="115"/>
      <x:c r="AS103" s="115"/>
      <x:c r="AT103" s="115"/>
      <x:c r="AU103" s="115"/>
      <x:c r="AV103" s="115"/>
      <x:c r="AW103" s="115"/>
      <x:c r="AX103" s="115"/>
      <x:c r="AY103" s="115"/>
      <x:c r="AZ103" s="115"/>
      <x:c r="BA103" s="115"/>
      <x:c r="BB103" s="115"/>
      <x:c r="BC103" s="115"/>
      <x:c r="BD103" s="115"/>
      <x:c r="BE103" s="115"/>
      <x:c r="BF103" s="115"/>
      <x:c r="BG103" s="115"/>
      <x:c r="BH103" s="115"/>
      <x:c r="BI103" s="115"/>
      <x:c r="BJ103" s="115"/>
      <x:c r="BK103" s="115"/>
      <x:c r="BL103" s="115"/>
      <x:c r="BM103" s="115"/>
      <x:c r="BN103" s="115"/>
      <x:c r="BO103" s="115"/>
      <x:c r="BP103" s="115"/>
      <x:c r="BQ103" s="115"/>
      <x:c r="BR103" s="115"/>
      <x:c r="BS103" s="115"/>
      <x:c r="BT103" s="115"/>
      <x:c r="BU103" s="115"/>
      <x:c r="BV103" s="115"/>
      <x:c r="BW103" s="115"/>
      <x:c r="BX103" s="115"/>
      <x:c r="BY103" s="115"/>
      <x:c r="BZ103" s="115"/>
      <x:c r="CA103" s="115"/>
      <x:c r="CB103" s="116"/>
      <x:c r="CC103" s="141" t="str">
        <x:f>IF(COUNT(G103:P103)=0,"",AVERAGE(G103:P103)*4)</x:f>
      </x:c>
      <x:c r="CD103" s="178" t="str">
        <x:f>IF(COUNT(Q103:Z103)=0,"",AVERAGE(Q103:Z103)*4)</x:f>
      </x:c>
      <x:c r="CE103" s="178" t="str">
        <x:f>IF(COUNT(AA103:AJ103)=0,"",AVERAGE(AA103:AJ103)*4)</x:f>
      </x:c>
      <x:c r="CF103" s="178" t="str">
        <x:f>IF(COUNT(AK103:AR103)=0,"",AVERAGE(AK103:AR103)*4)</x:f>
      </x:c>
      <x:c r="CG103" s="178" t="str">
        <x:f>IF(COUNT(AS103:AY103)=0,"",AVERAGE(AS103:AY103)*4)</x:f>
      </x:c>
      <x:c r="CH103" s="178" t="str">
        <x:f>IF(COUNT(AZ103:BG103)=0,"",AVERAGE(AZ103:BG103)*4)</x:f>
      </x:c>
      <x:c r="CI103" s="178" t="str">
        <x:f>IF(COUNT(BH103:BN103)=0,"",AVERAGE(BH103:BN103)*4)</x:f>
      </x:c>
      <x:c r="CJ103" s="178" t="str">
        <x:f>IF(COUNT(BO103:BU103)=0,"",AVERAGE(BO103:BU103)*4)</x:f>
      </x:c>
      <x:c r="CK103" s="178" t="str">
        <x:f>IF(COUNT(BV103:CB103)=0,"",AVERAGE(BV103:CB103)*4)</x:f>
      </x:c>
      <x:c r="CL103" s="178" t="str">
        <x:f>IF(C103="","",IF(COUNT(G103:CB103)&lt;74,"",(CC103*'تنظیمات وزن‌دهی'!$C$5+CD103*'تنظیمات وزن‌دهی'!$C$6+CE103*'تنظیمات وزن‌دهی'!$C$7+CF103*'تنظیمات وزن‌دهی'!$C$8+CG103*'تنظیمات وزن‌دهی'!$C$9+CH103*'تنظیمات وزن‌دهی'!$C$10+CI103*'تنظیمات وزن‌دهی'!$C$11+CJ103*'تنظیمات وزن‌دهی'!$C$12+CK103*'تنظیمات وزن‌دهی'!$C$13)/100))</x:f>
      </x:c>
      <x:c r="CM103" s="178" t="str">
        <x:f>IF(C103="","",IF(COUNT(G103:CB103)=0,"",IF(COUNT(G103:CB103)&lt;74,"موقت - اطلاعات ناقص",IF(CL103&gt;=17,"عالی",IF(CL103&gt;=14,"خوب",IF(CL103&gt;=10,"متوسط","ضعیف"))))))</x:f>
      </x:c>
      <x:c r="CN103" s="178" t="n">
        <x:v>3</x:v>
      </x:c>
      <x:c r="CO103" s="142" t="n">
        <x:f>IF(C103="","",COUNT(G103:CB103)/74)</x:f>
        <x:v>0</x:v>
      </x:c>
      <x:c r="CP103" s="245"/>
    </x:row>
    <x:row r="104">
      <x:c r="A104" s="165" t="n">
        <x:v>100</x:v>
      </x:c>
      <x:c r="B104" s="233" t="str">
        <x:v>مهر</x:v>
      </x:c>
      <x:c r="C104" s="233" t="n">
        <x:f>IF('دانش‌آموزان'!E13="","",'دانش‌آموزان'!B13)</x:f>
        <x:v>9</x:v>
      </x:c>
      <x:c r="D104" s="233" t="str">
        <x:f>IF('دانش‌آموزان'!C13="","",'دانش‌آموزان'!C13)</x:f>
        <x:v>4000000098</x:v>
      </x:c>
      <x:c r="E104" s="233" t="str">
        <x:f>IF('دانش‌آموزان'!E13="","",'دانش‌آموزان'!E13&amp;" "&amp;'دانش‌آموزان'!F13)</x:f>
        <x:v>سام امینی</x:v>
      </x:c>
      <x:c r="F104" s="166" t="str">
        <x:f>IF('دانش‌آموزان'!I13="","",'دانش‌آموزان'!I13)</x:f>
        <x:v>sample-7-a</x:v>
      </x:c>
      <x:c r="G104" s="114"/>
      <x:c r="H104" s="115"/>
      <x:c r="I104" s="115"/>
      <x:c r="J104" s="115"/>
      <x:c r="K104" s="115"/>
      <x:c r="L104" s="115"/>
      <x:c r="M104" s="115"/>
      <x:c r="N104" s="115"/>
      <x:c r="O104" s="115"/>
      <x:c r="P104" s="115"/>
      <x:c r="Q104" s="115"/>
      <x:c r="R104" s="115"/>
      <x:c r="S104" s="115"/>
      <x:c r="T104" s="115"/>
      <x:c r="U104" s="115"/>
      <x:c r="V104" s="115"/>
      <x:c r="W104" s="115"/>
      <x:c r="X104" s="115"/>
      <x:c r="Y104" s="115"/>
      <x:c r="Z104" s="115"/>
      <x:c r="AA104" s="115"/>
      <x:c r="AB104" s="115"/>
      <x:c r="AC104" s="115"/>
      <x:c r="AD104" s="115"/>
      <x:c r="AE104" s="115"/>
      <x:c r="AF104" s="115"/>
      <x:c r="AG104" s="115"/>
      <x:c r="AH104" s="115"/>
      <x:c r="AI104" s="115"/>
      <x:c r="AJ104" s="115"/>
      <x:c r="AK104" s="115"/>
      <x:c r="AL104" s="115"/>
      <x:c r="AM104" s="115"/>
      <x:c r="AN104" s="115"/>
      <x:c r="AO104" s="115"/>
      <x:c r="AP104" s="115"/>
      <x:c r="AQ104" s="115"/>
      <x:c r="AR104" s="115"/>
      <x:c r="AS104" s="115"/>
      <x:c r="AT104" s="115"/>
      <x:c r="AU104" s="115"/>
      <x:c r="AV104" s="115"/>
      <x:c r="AW104" s="115"/>
      <x:c r="AX104" s="115"/>
      <x:c r="AY104" s="115"/>
      <x:c r="AZ104" s="115"/>
      <x:c r="BA104" s="115"/>
      <x:c r="BB104" s="115"/>
      <x:c r="BC104" s="115"/>
      <x:c r="BD104" s="115"/>
      <x:c r="BE104" s="115"/>
      <x:c r="BF104" s="115"/>
      <x:c r="BG104" s="115"/>
      <x:c r="BH104" s="115"/>
      <x:c r="BI104" s="115"/>
      <x:c r="BJ104" s="115"/>
      <x:c r="BK104" s="115"/>
      <x:c r="BL104" s="115"/>
      <x:c r="BM104" s="115"/>
      <x:c r="BN104" s="115"/>
      <x:c r="BO104" s="115"/>
      <x:c r="BP104" s="115"/>
      <x:c r="BQ104" s="115"/>
      <x:c r="BR104" s="115"/>
      <x:c r="BS104" s="115"/>
      <x:c r="BT104" s="115"/>
      <x:c r="BU104" s="115"/>
      <x:c r="BV104" s="115"/>
      <x:c r="BW104" s="115"/>
      <x:c r="BX104" s="115"/>
      <x:c r="BY104" s="115"/>
      <x:c r="BZ104" s="115"/>
      <x:c r="CA104" s="115"/>
      <x:c r="CB104" s="116"/>
      <x:c r="CC104" s="141" t="str">
        <x:f>IF(COUNT(G104:P104)=0,"",AVERAGE(G104:P104)*4)</x:f>
      </x:c>
      <x:c r="CD104" s="178" t="str">
        <x:f>IF(COUNT(Q104:Z104)=0,"",AVERAGE(Q104:Z104)*4)</x:f>
      </x:c>
      <x:c r="CE104" s="178" t="str">
        <x:f>IF(COUNT(AA104:AJ104)=0,"",AVERAGE(AA104:AJ104)*4)</x:f>
      </x:c>
      <x:c r="CF104" s="178" t="str">
        <x:f>IF(COUNT(AK104:AR104)=0,"",AVERAGE(AK104:AR104)*4)</x:f>
      </x:c>
      <x:c r="CG104" s="178" t="str">
        <x:f>IF(COUNT(AS104:AY104)=0,"",AVERAGE(AS104:AY104)*4)</x:f>
      </x:c>
      <x:c r="CH104" s="178" t="str">
        <x:f>IF(COUNT(AZ104:BG104)=0,"",AVERAGE(AZ104:BG104)*4)</x:f>
      </x:c>
      <x:c r="CI104" s="178" t="str">
        <x:f>IF(COUNT(BH104:BN104)=0,"",AVERAGE(BH104:BN104)*4)</x:f>
      </x:c>
      <x:c r="CJ104" s="178" t="str">
        <x:f>IF(COUNT(BO104:BU104)=0,"",AVERAGE(BO104:BU104)*4)</x:f>
      </x:c>
      <x:c r="CK104" s="178" t="str">
        <x:f>IF(COUNT(BV104:CB104)=0,"",AVERAGE(BV104:CB104)*4)</x:f>
      </x:c>
      <x:c r="CL104" s="178" t="str">
        <x:f>IF(C104="","",IF(COUNT(G104:CB104)&lt;74,"",(CC104*'تنظیمات وزن‌دهی'!$C$5+CD104*'تنظیمات وزن‌دهی'!$C$6+CE104*'تنظیمات وزن‌دهی'!$C$7+CF104*'تنظیمات وزن‌دهی'!$C$8+CG104*'تنظیمات وزن‌دهی'!$C$9+CH104*'تنظیمات وزن‌دهی'!$C$10+CI104*'تنظیمات وزن‌دهی'!$C$11+CJ104*'تنظیمات وزن‌دهی'!$C$12+CK104*'تنظیمات وزن‌دهی'!$C$13)/100))</x:f>
      </x:c>
      <x:c r="CM104" s="178" t="str">
        <x:f>IF(C104="","",IF(COUNT(G104:CB104)=0,"",IF(COUNT(G104:CB104)&lt;74,"موقت - اطلاعات ناقص",IF(CL104&gt;=17,"عالی",IF(CL104&gt;=14,"خوب",IF(CL104&gt;=10,"متوسط","ضعیف"))))))</x:f>
      </x:c>
      <x:c r="CN104" s="178" t="n">
        <x:v>4</x:v>
      </x:c>
      <x:c r="CO104" s="142" t="n">
        <x:f>IF(C104="","",COUNT(G104:CB104)/74)</x:f>
        <x:v>0</x:v>
      </x:c>
      <x:c r="CP104" s="245"/>
    </x:row>
    <x:row r="105">
      <x:c r="A105" s="165" t="n">
        <x:v>101</x:v>
      </x:c>
      <x:c r="B105" s="233" t="str">
        <x:v>آبان</x:v>
      </x:c>
      <x:c r="C105" s="233" t="n">
        <x:f>IF('دانش‌آموزان'!E13="","",'دانش‌آموزان'!B13)</x:f>
        <x:v>9</x:v>
      </x:c>
      <x:c r="D105" s="233" t="str">
        <x:f>IF('دانش‌آموزان'!C13="","",'دانش‌آموزان'!C13)</x:f>
        <x:v>4000000098</x:v>
      </x:c>
      <x:c r="E105" s="233" t="str">
        <x:f>IF('دانش‌آموزان'!E13="","",'دانش‌آموزان'!E13&amp;" "&amp;'دانش‌آموزان'!F13)</x:f>
        <x:v>سام امینی</x:v>
      </x:c>
      <x:c r="F105" s="166" t="str">
        <x:f>IF('دانش‌آموزان'!I13="","",'دانش‌آموزان'!I13)</x:f>
        <x:v>sample-7-a</x:v>
      </x:c>
      <x:c r="G105" s="114"/>
      <x:c r="H105" s="115"/>
      <x:c r="I105" s="115"/>
      <x:c r="J105" s="115"/>
      <x:c r="K105" s="115"/>
      <x:c r="L105" s="115"/>
      <x:c r="M105" s="115"/>
      <x:c r="N105" s="115"/>
      <x:c r="O105" s="115"/>
      <x:c r="P105" s="115"/>
      <x:c r="Q105" s="115"/>
      <x:c r="R105" s="115"/>
      <x:c r="S105" s="115"/>
      <x:c r="T105" s="115"/>
      <x:c r="U105" s="115"/>
      <x:c r="V105" s="115"/>
      <x:c r="W105" s="115"/>
      <x:c r="X105" s="115"/>
      <x:c r="Y105" s="115"/>
      <x:c r="Z105" s="115"/>
      <x:c r="AA105" s="115"/>
      <x:c r="AB105" s="115"/>
      <x:c r="AC105" s="115"/>
      <x:c r="AD105" s="115"/>
      <x:c r="AE105" s="115"/>
      <x:c r="AF105" s="115"/>
      <x:c r="AG105" s="115"/>
      <x:c r="AH105" s="115"/>
      <x:c r="AI105" s="115"/>
      <x:c r="AJ105" s="115"/>
      <x:c r="AK105" s="115"/>
      <x:c r="AL105" s="115"/>
      <x:c r="AM105" s="115"/>
      <x:c r="AN105" s="115"/>
      <x:c r="AO105" s="115"/>
      <x:c r="AP105" s="115"/>
      <x:c r="AQ105" s="115"/>
      <x:c r="AR105" s="115"/>
      <x:c r="AS105" s="115"/>
      <x:c r="AT105" s="115"/>
      <x:c r="AU105" s="115"/>
      <x:c r="AV105" s="115"/>
      <x:c r="AW105" s="115"/>
      <x:c r="AX105" s="115"/>
      <x:c r="AY105" s="115"/>
      <x:c r="AZ105" s="115"/>
      <x:c r="BA105" s="115"/>
      <x:c r="BB105" s="115"/>
      <x:c r="BC105" s="115"/>
      <x:c r="BD105" s="115"/>
      <x:c r="BE105" s="115"/>
      <x:c r="BF105" s="115"/>
      <x:c r="BG105" s="115"/>
      <x:c r="BH105" s="115"/>
      <x:c r="BI105" s="115"/>
      <x:c r="BJ105" s="115"/>
      <x:c r="BK105" s="115"/>
      <x:c r="BL105" s="115"/>
      <x:c r="BM105" s="115"/>
      <x:c r="BN105" s="115"/>
      <x:c r="BO105" s="115"/>
      <x:c r="BP105" s="115"/>
      <x:c r="BQ105" s="115"/>
      <x:c r="BR105" s="115"/>
      <x:c r="BS105" s="115"/>
      <x:c r="BT105" s="115"/>
      <x:c r="BU105" s="115"/>
      <x:c r="BV105" s="115"/>
      <x:c r="BW105" s="115"/>
      <x:c r="BX105" s="115"/>
      <x:c r="BY105" s="115"/>
      <x:c r="BZ105" s="115"/>
      <x:c r="CA105" s="115"/>
      <x:c r="CB105" s="116"/>
      <x:c r="CC105" s="141" t="str">
        <x:f>IF(COUNT(G105:P105)=0,"",AVERAGE(G105:P105)*4)</x:f>
      </x:c>
      <x:c r="CD105" s="178" t="str">
        <x:f>IF(COUNT(Q105:Z105)=0,"",AVERAGE(Q105:Z105)*4)</x:f>
      </x:c>
      <x:c r="CE105" s="178" t="str">
        <x:f>IF(COUNT(AA105:AJ105)=0,"",AVERAGE(AA105:AJ105)*4)</x:f>
      </x:c>
      <x:c r="CF105" s="178" t="str">
        <x:f>IF(COUNT(AK105:AR105)=0,"",AVERAGE(AK105:AR105)*4)</x:f>
      </x:c>
      <x:c r="CG105" s="178" t="str">
        <x:f>IF(COUNT(AS105:AY105)=0,"",AVERAGE(AS105:AY105)*4)</x:f>
      </x:c>
      <x:c r="CH105" s="178" t="str">
        <x:f>IF(COUNT(AZ105:BG105)=0,"",AVERAGE(AZ105:BG105)*4)</x:f>
      </x:c>
      <x:c r="CI105" s="178" t="str">
        <x:f>IF(COUNT(BH105:BN105)=0,"",AVERAGE(BH105:BN105)*4)</x:f>
      </x:c>
      <x:c r="CJ105" s="178" t="str">
        <x:f>IF(COUNT(BO105:BU105)=0,"",AVERAGE(BO105:BU105)*4)</x:f>
      </x:c>
      <x:c r="CK105" s="178" t="str">
        <x:f>IF(COUNT(BV105:CB105)=0,"",AVERAGE(BV105:CB105)*4)</x:f>
      </x:c>
      <x:c r="CL105" s="178" t="str">
        <x:f>IF(C105="","",IF(COUNT(G105:CB105)&lt;74,"",(CC105*'تنظیمات وزن‌دهی'!$C$5+CD105*'تنظیمات وزن‌دهی'!$C$6+CE105*'تنظیمات وزن‌دهی'!$C$7+CF105*'تنظیمات وزن‌دهی'!$C$8+CG105*'تنظیمات وزن‌دهی'!$C$9+CH105*'تنظیمات وزن‌دهی'!$C$10+CI105*'تنظیمات وزن‌دهی'!$C$11+CJ105*'تنظیمات وزن‌دهی'!$C$12+CK105*'تنظیمات وزن‌دهی'!$C$13)/100))</x:f>
      </x:c>
      <x:c r="CM105" s="178" t="str">
        <x:f>IF(C105="","",IF(COUNT(G105:CB105)=0,"",IF(COUNT(G105:CB105)&lt;74,"موقت - اطلاعات ناقص",IF(CL105&gt;=17,"عالی",IF(CL105&gt;=14,"خوب",IF(CL105&gt;=10,"متوسط","ضعیف"))))))</x:f>
      </x:c>
      <x:c r="CN105" s="178" t="n">
        <x:v>5</x:v>
      </x:c>
      <x:c r="CO105" s="142" t="n">
        <x:f>IF(C105="","",COUNT(G105:CB105)/74)</x:f>
        <x:v>0</x:v>
      </x:c>
      <x:c r="CP105" s="245"/>
    </x:row>
    <x:row r="106">
      <x:c r="A106" s="165" t="n">
        <x:v>102</x:v>
      </x:c>
      <x:c r="B106" s="233" t="str">
        <x:v>آذر</x:v>
      </x:c>
      <x:c r="C106" s="233" t="n">
        <x:f>IF('دانش‌آموزان'!E13="","",'دانش‌آموزان'!B13)</x:f>
        <x:v>9</x:v>
      </x:c>
      <x:c r="D106" s="233" t="str">
        <x:f>IF('دانش‌آموزان'!C13="","",'دانش‌آموزان'!C13)</x:f>
        <x:v>4000000098</x:v>
      </x:c>
      <x:c r="E106" s="233" t="str">
        <x:f>IF('دانش‌آموزان'!E13="","",'دانش‌آموزان'!E13&amp;" "&amp;'دانش‌آموزان'!F13)</x:f>
        <x:v>سام امینی</x:v>
      </x:c>
      <x:c r="F106" s="166" t="str">
        <x:f>IF('دانش‌آموزان'!I13="","",'دانش‌آموزان'!I13)</x:f>
        <x:v>sample-7-a</x:v>
      </x:c>
      <x:c r="G106" s="114"/>
      <x:c r="H106" s="115"/>
      <x:c r="I106" s="115"/>
      <x:c r="J106" s="115"/>
      <x:c r="K106" s="115"/>
      <x:c r="L106" s="115"/>
      <x:c r="M106" s="115"/>
      <x:c r="N106" s="115"/>
      <x:c r="O106" s="115"/>
      <x:c r="P106" s="115"/>
      <x:c r="Q106" s="115"/>
      <x:c r="R106" s="115"/>
      <x:c r="S106" s="115"/>
      <x:c r="T106" s="115"/>
      <x:c r="U106" s="115"/>
      <x:c r="V106" s="115"/>
      <x:c r="W106" s="115"/>
      <x:c r="X106" s="115"/>
      <x:c r="Y106" s="115"/>
      <x:c r="Z106" s="115"/>
      <x:c r="AA106" s="115"/>
      <x:c r="AB106" s="115"/>
      <x:c r="AC106" s="115"/>
      <x:c r="AD106" s="115"/>
      <x:c r="AE106" s="115"/>
      <x:c r="AF106" s="115"/>
      <x:c r="AG106" s="115"/>
      <x:c r="AH106" s="115"/>
      <x:c r="AI106" s="115"/>
      <x:c r="AJ106" s="115"/>
      <x:c r="AK106" s="115"/>
      <x:c r="AL106" s="115"/>
      <x:c r="AM106" s="115"/>
      <x:c r="AN106" s="115"/>
      <x:c r="AO106" s="115"/>
      <x:c r="AP106" s="115"/>
      <x:c r="AQ106" s="115"/>
      <x:c r="AR106" s="115"/>
      <x:c r="AS106" s="115"/>
      <x:c r="AT106" s="115"/>
      <x:c r="AU106" s="115"/>
      <x:c r="AV106" s="115"/>
      <x:c r="AW106" s="115"/>
      <x:c r="AX106" s="115"/>
      <x:c r="AY106" s="115"/>
      <x:c r="AZ106" s="115"/>
      <x:c r="BA106" s="115"/>
      <x:c r="BB106" s="115"/>
      <x:c r="BC106" s="115"/>
      <x:c r="BD106" s="115"/>
      <x:c r="BE106" s="115"/>
      <x:c r="BF106" s="115"/>
      <x:c r="BG106" s="115"/>
      <x:c r="BH106" s="115"/>
      <x:c r="BI106" s="115"/>
      <x:c r="BJ106" s="115"/>
      <x:c r="BK106" s="115"/>
      <x:c r="BL106" s="115"/>
      <x:c r="BM106" s="115"/>
      <x:c r="BN106" s="115"/>
      <x:c r="BO106" s="115"/>
      <x:c r="BP106" s="115"/>
      <x:c r="BQ106" s="115"/>
      <x:c r="BR106" s="115"/>
      <x:c r="BS106" s="115"/>
      <x:c r="BT106" s="115"/>
      <x:c r="BU106" s="115"/>
      <x:c r="BV106" s="115"/>
      <x:c r="BW106" s="115"/>
      <x:c r="BX106" s="115"/>
      <x:c r="BY106" s="115"/>
      <x:c r="BZ106" s="115"/>
      <x:c r="CA106" s="115"/>
      <x:c r="CB106" s="116"/>
      <x:c r="CC106" s="141" t="str">
        <x:f>IF(COUNT(G106:P106)=0,"",AVERAGE(G106:P106)*4)</x:f>
      </x:c>
      <x:c r="CD106" s="178" t="str">
        <x:f>IF(COUNT(Q106:Z106)=0,"",AVERAGE(Q106:Z106)*4)</x:f>
      </x:c>
      <x:c r="CE106" s="178" t="str">
        <x:f>IF(COUNT(AA106:AJ106)=0,"",AVERAGE(AA106:AJ106)*4)</x:f>
      </x:c>
      <x:c r="CF106" s="178" t="str">
        <x:f>IF(COUNT(AK106:AR106)=0,"",AVERAGE(AK106:AR106)*4)</x:f>
      </x:c>
      <x:c r="CG106" s="178" t="str">
        <x:f>IF(COUNT(AS106:AY106)=0,"",AVERAGE(AS106:AY106)*4)</x:f>
      </x:c>
      <x:c r="CH106" s="178" t="str">
        <x:f>IF(COUNT(AZ106:BG106)=0,"",AVERAGE(AZ106:BG106)*4)</x:f>
      </x:c>
      <x:c r="CI106" s="178" t="str">
        <x:f>IF(COUNT(BH106:BN106)=0,"",AVERAGE(BH106:BN106)*4)</x:f>
      </x:c>
      <x:c r="CJ106" s="178" t="str">
        <x:f>IF(COUNT(BO106:BU106)=0,"",AVERAGE(BO106:BU106)*4)</x:f>
      </x:c>
      <x:c r="CK106" s="178" t="str">
        <x:f>IF(COUNT(BV106:CB106)=0,"",AVERAGE(BV106:CB106)*4)</x:f>
      </x:c>
      <x:c r="CL106" s="178" t="str">
        <x:f>IF(C106="","",IF(COUNT(G106:CB106)&lt;74,"",(CC106*'تنظیمات وزن‌دهی'!$C$5+CD106*'تنظیمات وزن‌دهی'!$C$6+CE106*'تنظیمات وزن‌دهی'!$C$7+CF106*'تنظیمات وزن‌دهی'!$C$8+CG106*'تنظیمات وزن‌دهی'!$C$9+CH106*'تنظیمات وزن‌دهی'!$C$10+CI106*'تنظیمات وزن‌دهی'!$C$11+CJ106*'تنظیمات وزن‌دهی'!$C$12+CK106*'تنظیمات وزن‌دهی'!$C$13)/100))</x:f>
      </x:c>
      <x:c r="CM106" s="178" t="str">
        <x:f>IF(C106="","",IF(COUNT(G106:CB106)=0,"",IF(COUNT(G106:CB106)&lt;74,"موقت - اطلاعات ناقص",IF(CL106&gt;=17,"عالی",IF(CL106&gt;=14,"خوب",IF(CL106&gt;=10,"متوسط","ضعیف"))))))</x:f>
      </x:c>
      <x:c r="CN106" s="178" t="n">
        <x:v>6</x:v>
      </x:c>
      <x:c r="CO106" s="142" t="n">
        <x:f>IF(C106="","",COUNT(G106:CB106)/74)</x:f>
        <x:v>0</x:v>
      </x:c>
      <x:c r="CP106" s="245"/>
    </x:row>
    <x:row r="107">
      <x:c r="A107" s="165" t="n">
        <x:v>103</x:v>
      </x:c>
      <x:c r="B107" s="233" t="str">
        <x:v>دی</x:v>
      </x:c>
      <x:c r="C107" s="233" t="n">
        <x:f>IF('دانش‌آموزان'!E13="","",'دانش‌آموزان'!B13)</x:f>
        <x:v>9</x:v>
      </x:c>
      <x:c r="D107" s="233" t="str">
        <x:f>IF('دانش‌آموزان'!C13="","",'دانش‌آموزان'!C13)</x:f>
        <x:v>4000000098</x:v>
      </x:c>
      <x:c r="E107" s="233" t="str">
        <x:f>IF('دانش‌آموزان'!E13="","",'دانش‌آموزان'!E13&amp;" "&amp;'دانش‌آموزان'!F13)</x:f>
        <x:v>سام امینی</x:v>
      </x:c>
      <x:c r="F107" s="166" t="str">
        <x:f>IF('دانش‌آموزان'!I13="","",'دانش‌آموزان'!I13)</x:f>
        <x:v>sample-7-a</x:v>
      </x:c>
      <x:c r="G107" s="114"/>
      <x:c r="H107" s="115"/>
      <x:c r="I107" s="115"/>
      <x:c r="J107" s="115"/>
      <x:c r="K107" s="115"/>
      <x:c r="L107" s="115"/>
      <x:c r="M107" s="115"/>
      <x:c r="N107" s="115"/>
      <x:c r="O107" s="115"/>
      <x:c r="P107" s="115"/>
      <x:c r="Q107" s="115"/>
      <x:c r="R107" s="115"/>
      <x:c r="S107" s="115"/>
      <x:c r="T107" s="115"/>
      <x:c r="U107" s="115"/>
      <x:c r="V107" s="115"/>
      <x:c r="W107" s="115"/>
      <x:c r="X107" s="115"/>
      <x:c r="Y107" s="115"/>
      <x:c r="Z107" s="115"/>
      <x:c r="AA107" s="115"/>
      <x:c r="AB107" s="115"/>
      <x:c r="AC107" s="115"/>
      <x:c r="AD107" s="115"/>
      <x:c r="AE107" s="115"/>
      <x:c r="AF107" s="115"/>
      <x:c r="AG107" s="115"/>
      <x:c r="AH107" s="115"/>
      <x:c r="AI107" s="115"/>
      <x:c r="AJ107" s="115"/>
      <x:c r="AK107" s="115"/>
      <x:c r="AL107" s="115"/>
      <x:c r="AM107" s="115"/>
      <x:c r="AN107" s="115"/>
      <x:c r="AO107" s="115"/>
      <x:c r="AP107" s="115"/>
      <x:c r="AQ107" s="115"/>
      <x:c r="AR107" s="115"/>
      <x:c r="AS107" s="115"/>
      <x:c r="AT107" s="115"/>
      <x:c r="AU107" s="115"/>
      <x:c r="AV107" s="115"/>
      <x:c r="AW107" s="115"/>
      <x:c r="AX107" s="115"/>
      <x:c r="AY107" s="115"/>
      <x:c r="AZ107" s="115"/>
      <x:c r="BA107" s="115"/>
      <x:c r="BB107" s="115"/>
      <x:c r="BC107" s="115"/>
      <x:c r="BD107" s="115"/>
      <x:c r="BE107" s="115"/>
      <x:c r="BF107" s="115"/>
      <x:c r="BG107" s="115"/>
      <x:c r="BH107" s="115"/>
      <x:c r="BI107" s="115"/>
      <x:c r="BJ107" s="115"/>
      <x:c r="BK107" s="115"/>
      <x:c r="BL107" s="115"/>
      <x:c r="BM107" s="115"/>
      <x:c r="BN107" s="115"/>
      <x:c r="BO107" s="115"/>
      <x:c r="BP107" s="115"/>
      <x:c r="BQ107" s="115"/>
      <x:c r="BR107" s="115"/>
      <x:c r="BS107" s="115"/>
      <x:c r="BT107" s="115"/>
      <x:c r="BU107" s="115"/>
      <x:c r="BV107" s="115"/>
      <x:c r="BW107" s="115"/>
      <x:c r="BX107" s="115"/>
      <x:c r="BY107" s="115"/>
      <x:c r="BZ107" s="115"/>
      <x:c r="CA107" s="115"/>
      <x:c r="CB107" s="116"/>
      <x:c r="CC107" s="141" t="str">
        <x:f>IF(COUNT(G107:P107)=0,"",AVERAGE(G107:P107)*4)</x:f>
      </x:c>
      <x:c r="CD107" s="178" t="str">
        <x:f>IF(COUNT(Q107:Z107)=0,"",AVERAGE(Q107:Z107)*4)</x:f>
      </x:c>
      <x:c r="CE107" s="178" t="str">
        <x:f>IF(COUNT(AA107:AJ107)=0,"",AVERAGE(AA107:AJ107)*4)</x:f>
      </x:c>
      <x:c r="CF107" s="178" t="str">
        <x:f>IF(COUNT(AK107:AR107)=0,"",AVERAGE(AK107:AR107)*4)</x:f>
      </x:c>
      <x:c r="CG107" s="178" t="str">
        <x:f>IF(COUNT(AS107:AY107)=0,"",AVERAGE(AS107:AY107)*4)</x:f>
      </x:c>
      <x:c r="CH107" s="178" t="str">
        <x:f>IF(COUNT(AZ107:BG107)=0,"",AVERAGE(AZ107:BG107)*4)</x:f>
      </x:c>
      <x:c r="CI107" s="178" t="str">
        <x:f>IF(COUNT(BH107:BN107)=0,"",AVERAGE(BH107:BN107)*4)</x:f>
      </x:c>
      <x:c r="CJ107" s="178" t="str">
        <x:f>IF(COUNT(BO107:BU107)=0,"",AVERAGE(BO107:BU107)*4)</x:f>
      </x:c>
      <x:c r="CK107" s="178" t="str">
        <x:f>IF(COUNT(BV107:CB107)=0,"",AVERAGE(BV107:CB107)*4)</x:f>
      </x:c>
      <x:c r="CL107" s="178" t="str">
        <x:f>IF(C107="","",IF(COUNT(G107:CB107)&lt;74,"",(CC107*'تنظیمات وزن‌دهی'!$C$5+CD107*'تنظیمات وزن‌دهی'!$C$6+CE107*'تنظیمات وزن‌دهی'!$C$7+CF107*'تنظیمات وزن‌دهی'!$C$8+CG107*'تنظیمات وزن‌دهی'!$C$9+CH107*'تنظیمات وزن‌دهی'!$C$10+CI107*'تنظیمات وزن‌دهی'!$C$11+CJ107*'تنظیمات وزن‌دهی'!$C$12+CK107*'تنظیمات وزن‌دهی'!$C$13)/100))</x:f>
      </x:c>
      <x:c r="CM107" s="178" t="str">
        <x:f>IF(C107="","",IF(COUNT(G107:CB107)=0,"",IF(COUNT(G107:CB107)&lt;74,"موقت - اطلاعات ناقص",IF(CL107&gt;=17,"عالی",IF(CL107&gt;=14,"خوب",IF(CL107&gt;=10,"متوسط","ضعیف"))))))</x:f>
      </x:c>
      <x:c r="CN107" s="178" t="n">
        <x:v>7</x:v>
      </x:c>
      <x:c r="CO107" s="142" t="n">
        <x:f>IF(C107="","",COUNT(G107:CB107)/74)</x:f>
        <x:v>0</x:v>
      </x:c>
      <x:c r="CP107" s="245"/>
    </x:row>
    <x:row r="108">
      <x:c r="A108" s="165" t="n">
        <x:v>104</x:v>
      </x:c>
      <x:c r="B108" s="233" t="str">
        <x:v>بهمن</x:v>
      </x:c>
      <x:c r="C108" s="233" t="n">
        <x:f>IF('دانش‌آموزان'!E13="","",'دانش‌آموزان'!B13)</x:f>
        <x:v>9</x:v>
      </x:c>
      <x:c r="D108" s="233" t="str">
        <x:f>IF('دانش‌آموزان'!C13="","",'دانش‌آموزان'!C13)</x:f>
        <x:v>4000000098</x:v>
      </x:c>
      <x:c r="E108" s="233" t="str">
        <x:f>IF('دانش‌آموزان'!E13="","",'دانش‌آموزان'!E13&amp;" "&amp;'دانش‌آموزان'!F13)</x:f>
        <x:v>سام امینی</x:v>
      </x:c>
      <x:c r="F108" s="166" t="str">
        <x:f>IF('دانش‌آموزان'!I13="","",'دانش‌آموزان'!I13)</x:f>
        <x:v>sample-7-a</x:v>
      </x:c>
      <x:c r="G108" s="114"/>
      <x:c r="H108" s="115"/>
      <x:c r="I108" s="115"/>
      <x:c r="J108" s="115"/>
      <x:c r="K108" s="115"/>
      <x:c r="L108" s="115"/>
      <x:c r="M108" s="115"/>
      <x:c r="N108" s="115"/>
      <x:c r="O108" s="115"/>
      <x:c r="P108" s="115"/>
      <x:c r="Q108" s="115"/>
      <x:c r="R108" s="115"/>
      <x:c r="S108" s="115"/>
      <x:c r="T108" s="115"/>
      <x:c r="U108" s="115"/>
      <x:c r="V108" s="115"/>
      <x:c r="W108" s="115"/>
      <x:c r="X108" s="115"/>
      <x:c r="Y108" s="115"/>
      <x:c r="Z108" s="115"/>
      <x:c r="AA108" s="115"/>
      <x:c r="AB108" s="115"/>
      <x:c r="AC108" s="115"/>
      <x:c r="AD108" s="115"/>
      <x:c r="AE108" s="115"/>
      <x:c r="AF108" s="115"/>
      <x:c r="AG108" s="115"/>
      <x:c r="AH108" s="115"/>
      <x:c r="AI108" s="115"/>
      <x:c r="AJ108" s="115"/>
      <x:c r="AK108" s="115"/>
      <x:c r="AL108" s="115"/>
      <x:c r="AM108" s="115"/>
      <x:c r="AN108" s="115"/>
      <x:c r="AO108" s="115"/>
      <x:c r="AP108" s="115"/>
      <x:c r="AQ108" s="115"/>
      <x:c r="AR108" s="115"/>
      <x:c r="AS108" s="115"/>
      <x:c r="AT108" s="115"/>
      <x:c r="AU108" s="115"/>
      <x:c r="AV108" s="115"/>
      <x:c r="AW108" s="115"/>
      <x:c r="AX108" s="115"/>
      <x:c r="AY108" s="115"/>
      <x:c r="AZ108" s="115"/>
      <x:c r="BA108" s="115"/>
      <x:c r="BB108" s="115"/>
      <x:c r="BC108" s="115"/>
      <x:c r="BD108" s="115"/>
      <x:c r="BE108" s="115"/>
      <x:c r="BF108" s="115"/>
      <x:c r="BG108" s="115"/>
      <x:c r="BH108" s="115"/>
      <x:c r="BI108" s="115"/>
      <x:c r="BJ108" s="115"/>
      <x:c r="BK108" s="115"/>
      <x:c r="BL108" s="115"/>
      <x:c r="BM108" s="115"/>
      <x:c r="BN108" s="115"/>
      <x:c r="BO108" s="115"/>
      <x:c r="BP108" s="115"/>
      <x:c r="BQ108" s="115"/>
      <x:c r="BR108" s="115"/>
      <x:c r="BS108" s="115"/>
      <x:c r="BT108" s="115"/>
      <x:c r="BU108" s="115"/>
      <x:c r="BV108" s="115"/>
      <x:c r="BW108" s="115"/>
      <x:c r="BX108" s="115"/>
      <x:c r="BY108" s="115"/>
      <x:c r="BZ108" s="115"/>
      <x:c r="CA108" s="115"/>
      <x:c r="CB108" s="116"/>
      <x:c r="CC108" s="141" t="str">
        <x:f>IF(COUNT(G108:P108)=0,"",AVERAGE(G108:P108)*4)</x:f>
      </x:c>
      <x:c r="CD108" s="178" t="str">
        <x:f>IF(COUNT(Q108:Z108)=0,"",AVERAGE(Q108:Z108)*4)</x:f>
      </x:c>
      <x:c r="CE108" s="178" t="str">
        <x:f>IF(COUNT(AA108:AJ108)=0,"",AVERAGE(AA108:AJ108)*4)</x:f>
      </x:c>
      <x:c r="CF108" s="178" t="str">
        <x:f>IF(COUNT(AK108:AR108)=0,"",AVERAGE(AK108:AR108)*4)</x:f>
      </x:c>
      <x:c r="CG108" s="178" t="str">
        <x:f>IF(COUNT(AS108:AY108)=0,"",AVERAGE(AS108:AY108)*4)</x:f>
      </x:c>
      <x:c r="CH108" s="178" t="str">
        <x:f>IF(COUNT(AZ108:BG108)=0,"",AVERAGE(AZ108:BG108)*4)</x:f>
      </x:c>
      <x:c r="CI108" s="178" t="str">
        <x:f>IF(COUNT(BH108:BN108)=0,"",AVERAGE(BH108:BN108)*4)</x:f>
      </x:c>
      <x:c r="CJ108" s="178" t="str">
        <x:f>IF(COUNT(BO108:BU108)=0,"",AVERAGE(BO108:BU108)*4)</x:f>
      </x:c>
      <x:c r="CK108" s="178" t="str">
        <x:f>IF(COUNT(BV108:CB108)=0,"",AVERAGE(BV108:CB108)*4)</x:f>
      </x:c>
      <x:c r="CL108" s="178" t="str">
        <x:f>IF(C108="","",IF(COUNT(G108:CB108)&lt;74,"",(CC108*'تنظیمات وزن‌دهی'!$C$5+CD108*'تنظیمات وزن‌دهی'!$C$6+CE108*'تنظیمات وزن‌دهی'!$C$7+CF108*'تنظیمات وزن‌دهی'!$C$8+CG108*'تنظیمات وزن‌دهی'!$C$9+CH108*'تنظیمات وزن‌دهی'!$C$10+CI108*'تنظیمات وزن‌دهی'!$C$11+CJ108*'تنظیمات وزن‌دهی'!$C$12+CK108*'تنظیمات وزن‌دهی'!$C$13)/100))</x:f>
      </x:c>
      <x:c r="CM108" s="178" t="str">
        <x:f>IF(C108="","",IF(COUNT(G108:CB108)=0,"",IF(COUNT(G108:CB108)&lt;74,"موقت - اطلاعات ناقص",IF(CL108&gt;=17,"عالی",IF(CL108&gt;=14,"خوب",IF(CL108&gt;=10,"متوسط","ضعیف"))))))</x:f>
      </x:c>
      <x:c r="CN108" s="178" t="n">
        <x:v>8</x:v>
      </x:c>
      <x:c r="CO108" s="142" t="n">
        <x:f>IF(C108="","",COUNT(G108:CB108)/74)</x:f>
        <x:v>0</x:v>
      </x:c>
      <x:c r="CP108" s="245"/>
    </x:row>
    <x:row r="109">
      <x:c r="A109" s="165" t="n">
        <x:v>105</x:v>
      </x:c>
      <x:c r="B109" s="233" t="str">
        <x:v>اسفند</x:v>
      </x:c>
      <x:c r="C109" s="233" t="n">
        <x:f>IF('دانش‌آموزان'!E13="","",'دانش‌آموزان'!B13)</x:f>
        <x:v>9</x:v>
      </x:c>
      <x:c r="D109" s="233" t="str">
        <x:f>IF('دانش‌آموزان'!C13="","",'دانش‌آموزان'!C13)</x:f>
        <x:v>4000000098</x:v>
      </x:c>
      <x:c r="E109" s="233" t="str">
        <x:f>IF('دانش‌آموزان'!E13="","",'دانش‌آموزان'!E13&amp;" "&amp;'دانش‌آموزان'!F13)</x:f>
        <x:v>سام امینی</x:v>
      </x:c>
      <x:c r="F109" s="166" t="str">
        <x:f>IF('دانش‌آموزان'!I13="","",'دانش‌آموزان'!I13)</x:f>
        <x:v>sample-7-a</x:v>
      </x:c>
      <x:c r="G109" s="114"/>
      <x:c r="H109" s="115"/>
      <x:c r="I109" s="115"/>
      <x:c r="J109" s="115"/>
      <x:c r="K109" s="115"/>
      <x:c r="L109" s="115"/>
      <x:c r="M109" s="115"/>
      <x:c r="N109" s="115"/>
      <x:c r="O109" s="115"/>
      <x:c r="P109" s="115"/>
      <x:c r="Q109" s="115"/>
      <x:c r="R109" s="115"/>
      <x:c r="S109" s="115"/>
      <x:c r="T109" s="115"/>
      <x:c r="U109" s="115"/>
      <x:c r="V109" s="115"/>
      <x:c r="W109" s="115"/>
      <x:c r="X109" s="115"/>
      <x:c r="Y109" s="115"/>
      <x:c r="Z109" s="115"/>
      <x:c r="AA109" s="115"/>
      <x:c r="AB109" s="115"/>
      <x:c r="AC109" s="115"/>
      <x:c r="AD109" s="115"/>
      <x:c r="AE109" s="115"/>
      <x:c r="AF109" s="115"/>
      <x:c r="AG109" s="115"/>
      <x:c r="AH109" s="115"/>
      <x:c r="AI109" s="115"/>
      <x:c r="AJ109" s="115"/>
      <x:c r="AK109" s="115"/>
      <x:c r="AL109" s="115"/>
      <x:c r="AM109" s="115"/>
      <x:c r="AN109" s="115"/>
      <x:c r="AO109" s="115"/>
      <x:c r="AP109" s="115"/>
      <x:c r="AQ109" s="115"/>
      <x:c r="AR109" s="115"/>
      <x:c r="AS109" s="115"/>
      <x:c r="AT109" s="115"/>
      <x:c r="AU109" s="115"/>
      <x:c r="AV109" s="115"/>
      <x:c r="AW109" s="115"/>
      <x:c r="AX109" s="115"/>
      <x:c r="AY109" s="115"/>
      <x:c r="AZ109" s="115"/>
      <x:c r="BA109" s="115"/>
      <x:c r="BB109" s="115"/>
      <x:c r="BC109" s="115"/>
      <x:c r="BD109" s="115"/>
      <x:c r="BE109" s="115"/>
      <x:c r="BF109" s="115"/>
      <x:c r="BG109" s="115"/>
      <x:c r="BH109" s="115"/>
      <x:c r="BI109" s="115"/>
      <x:c r="BJ109" s="115"/>
      <x:c r="BK109" s="115"/>
      <x:c r="BL109" s="115"/>
      <x:c r="BM109" s="115"/>
      <x:c r="BN109" s="115"/>
      <x:c r="BO109" s="115"/>
      <x:c r="BP109" s="115"/>
      <x:c r="BQ109" s="115"/>
      <x:c r="BR109" s="115"/>
      <x:c r="BS109" s="115"/>
      <x:c r="BT109" s="115"/>
      <x:c r="BU109" s="115"/>
      <x:c r="BV109" s="115"/>
      <x:c r="BW109" s="115"/>
      <x:c r="BX109" s="115"/>
      <x:c r="BY109" s="115"/>
      <x:c r="BZ109" s="115"/>
      <x:c r="CA109" s="115"/>
      <x:c r="CB109" s="116"/>
      <x:c r="CC109" s="141" t="str">
        <x:f>IF(COUNT(G109:P109)=0,"",AVERAGE(G109:P109)*4)</x:f>
      </x:c>
      <x:c r="CD109" s="178" t="str">
        <x:f>IF(COUNT(Q109:Z109)=0,"",AVERAGE(Q109:Z109)*4)</x:f>
      </x:c>
      <x:c r="CE109" s="178" t="str">
        <x:f>IF(COUNT(AA109:AJ109)=0,"",AVERAGE(AA109:AJ109)*4)</x:f>
      </x:c>
      <x:c r="CF109" s="178" t="str">
        <x:f>IF(COUNT(AK109:AR109)=0,"",AVERAGE(AK109:AR109)*4)</x:f>
      </x:c>
      <x:c r="CG109" s="178" t="str">
        <x:f>IF(COUNT(AS109:AY109)=0,"",AVERAGE(AS109:AY109)*4)</x:f>
      </x:c>
      <x:c r="CH109" s="178" t="str">
        <x:f>IF(COUNT(AZ109:BG109)=0,"",AVERAGE(AZ109:BG109)*4)</x:f>
      </x:c>
      <x:c r="CI109" s="178" t="str">
        <x:f>IF(COUNT(BH109:BN109)=0,"",AVERAGE(BH109:BN109)*4)</x:f>
      </x:c>
      <x:c r="CJ109" s="178" t="str">
        <x:f>IF(COUNT(BO109:BU109)=0,"",AVERAGE(BO109:BU109)*4)</x:f>
      </x:c>
      <x:c r="CK109" s="178" t="str">
        <x:f>IF(COUNT(BV109:CB109)=0,"",AVERAGE(BV109:CB109)*4)</x:f>
      </x:c>
      <x:c r="CL109" s="178" t="str">
        <x:f>IF(C109="","",IF(COUNT(G109:CB109)&lt;74,"",(CC109*'تنظیمات وزن‌دهی'!$C$5+CD109*'تنظیمات وزن‌دهی'!$C$6+CE109*'تنظیمات وزن‌دهی'!$C$7+CF109*'تنظیمات وزن‌دهی'!$C$8+CG109*'تنظیمات وزن‌دهی'!$C$9+CH109*'تنظیمات وزن‌دهی'!$C$10+CI109*'تنظیمات وزن‌دهی'!$C$11+CJ109*'تنظیمات وزن‌دهی'!$C$12+CK109*'تنظیمات وزن‌دهی'!$C$13)/100))</x:f>
      </x:c>
      <x:c r="CM109" s="178" t="str">
        <x:f>IF(C109="","",IF(COUNT(G109:CB109)=0,"",IF(COUNT(G109:CB109)&lt;74,"موقت - اطلاعات ناقص",IF(CL109&gt;=17,"عالی",IF(CL109&gt;=14,"خوب",IF(CL109&gt;=10,"متوسط","ضعیف"))))))</x:f>
      </x:c>
      <x:c r="CN109" s="178" t="n">
        <x:v>9</x:v>
      </x:c>
      <x:c r="CO109" s="142" t="n">
        <x:f>IF(C109="","",COUNT(G109:CB109)/74)</x:f>
        <x:v>0</x:v>
      </x:c>
      <x:c r="CP109" s="245"/>
    </x:row>
    <x:row r="110">
      <x:c r="A110" s="165" t="n">
        <x:v>106</x:v>
      </x:c>
      <x:c r="B110" s="233" t="str">
        <x:v>فروردین</x:v>
      </x:c>
      <x:c r="C110" s="233" t="n">
        <x:f>IF('دانش‌آموزان'!E13="","",'دانش‌آموزان'!B13)</x:f>
        <x:v>9</x:v>
      </x:c>
      <x:c r="D110" s="233" t="str">
        <x:f>IF('دانش‌آموزان'!C13="","",'دانش‌آموزان'!C13)</x:f>
        <x:v>4000000098</x:v>
      </x:c>
      <x:c r="E110" s="233" t="str">
        <x:f>IF('دانش‌آموزان'!E13="","",'دانش‌آموزان'!E13&amp;" "&amp;'دانش‌آموزان'!F13)</x:f>
        <x:v>سام امینی</x:v>
      </x:c>
      <x:c r="F110" s="166" t="str">
        <x:f>IF('دانش‌آموزان'!I13="","",'دانش‌آموزان'!I13)</x:f>
        <x:v>sample-7-a</x:v>
      </x:c>
      <x:c r="G110" s="114"/>
      <x:c r="H110" s="115"/>
      <x:c r="I110" s="115"/>
      <x:c r="J110" s="115"/>
      <x:c r="K110" s="115"/>
      <x:c r="L110" s="115"/>
      <x:c r="M110" s="115"/>
      <x:c r="N110" s="115"/>
      <x:c r="O110" s="115"/>
      <x:c r="P110" s="115"/>
      <x:c r="Q110" s="115"/>
      <x:c r="R110" s="115"/>
      <x:c r="S110" s="115"/>
      <x:c r="T110" s="115"/>
      <x:c r="U110" s="115"/>
      <x:c r="V110" s="115"/>
      <x:c r="W110" s="115"/>
      <x:c r="X110" s="115"/>
      <x:c r="Y110" s="115"/>
      <x:c r="Z110" s="115"/>
      <x:c r="AA110" s="115"/>
      <x:c r="AB110" s="115"/>
      <x:c r="AC110" s="115"/>
      <x:c r="AD110" s="115"/>
      <x:c r="AE110" s="115"/>
      <x:c r="AF110" s="115"/>
      <x:c r="AG110" s="115"/>
      <x:c r="AH110" s="115"/>
      <x:c r="AI110" s="115"/>
      <x:c r="AJ110" s="115"/>
      <x:c r="AK110" s="115"/>
      <x:c r="AL110" s="115"/>
      <x:c r="AM110" s="115"/>
      <x:c r="AN110" s="115"/>
      <x:c r="AO110" s="115"/>
      <x:c r="AP110" s="115"/>
      <x:c r="AQ110" s="115"/>
      <x:c r="AR110" s="115"/>
      <x:c r="AS110" s="115"/>
      <x:c r="AT110" s="115"/>
      <x:c r="AU110" s="115"/>
      <x:c r="AV110" s="115"/>
      <x:c r="AW110" s="115"/>
      <x:c r="AX110" s="115"/>
      <x:c r="AY110" s="115"/>
      <x:c r="AZ110" s="115"/>
      <x:c r="BA110" s="115"/>
      <x:c r="BB110" s="115"/>
      <x:c r="BC110" s="115"/>
      <x:c r="BD110" s="115"/>
      <x:c r="BE110" s="115"/>
      <x:c r="BF110" s="115"/>
      <x:c r="BG110" s="115"/>
      <x:c r="BH110" s="115"/>
      <x:c r="BI110" s="115"/>
      <x:c r="BJ110" s="115"/>
      <x:c r="BK110" s="115"/>
      <x:c r="BL110" s="115"/>
      <x:c r="BM110" s="115"/>
      <x:c r="BN110" s="115"/>
      <x:c r="BO110" s="115"/>
      <x:c r="BP110" s="115"/>
      <x:c r="BQ110" s="115"/>
      <x:c r="BR110" s="115"/>
      <x:c r="BS110" s="115"/>
      <x:c r="BT110" s="115"/>
      <x:c r="BU110" s="115"/>
      <x:c r="BV110" s="115"/>
      <x:c r="BW110" s="115"/>
      <x:c r="BX110" s="115"/>
      <x:c r="BY110" s="115"/>
      <x:c r="BZ110" s="115"/>
      <x:c r="CA110" s="115"/>
      <x:c r="CB110" s="116"/>
      <x:c r="CC110" s="141" t="str">
        <x:f>IF(COUNT(G110:P110)=0,"",AVERAGE(G110:P110)*4)</x:f>
      </x:c>
      <x:c r="CD110" s="178" t="str">
        <x:f>IF(COUNT(Q110:Z110)=0,"",AVERAGE(Q110:Z110)*4)</x:f>
      </x:c>
      <x:c r="CE110" s="178" t="str">
        <x:f>IF(COUNT(AA110:AJ110)=0,"",AVERAGE(AA110:AJ110)*4)</x:f>
      </x:c>
      <x:c r="CF110" s="178" t="str">
        <x:f>IF(COUNT(AK110:AR110)=0,"",AVERAGE(AK110:AR110)*4)</x:f>
      </x:c>
      <x:c r="CG110" s="178" t="str">
        <x:f>IF(COUNT(AS110:AY110)=0,"",AVERAGE(AS110:AY110)*4)</x:f>
      </x:c>
      <x:c r="CH110" s="178" t="str">
        <x:f>IF(COUNT(AZ110:BG110)=0,"",AVERAGE(AZ110:BG110)*4)</x:f>
      </x:c>
      <x:c r="CI110" s="178" t="str">
        <x:f>IF(COUNT(BH110:BN110)=0,"",AVERAGE(BH110:BN110)*4)</x:f>
      </x:c>
      <x:c r="CJ110" s="178" t="str">
        <x:f>IF(COUNT(BO110:BU110)=0,"",AVERAGE(BO110:BU110)*4)</x:f>
      </x:c>
      <x:c r="CK110" s="178" t="str">
        <x:f>IF(COUNT(BV110:CB110)=0,"",AVERAGE(BV110:CB110)*4)</x:f>
      </x:c>
      <x:c r="CL110" s="178" t="str">
        <x:f>IF(C110="","",IF(COUNT(G110:CB110)&lt;74,"",(CC110*'تنظیمات وزن‌دهی'!$C$5+CD110*'تنظیمات وزن‌دهی'!$C$6+CE110*'تنظیمات وزن‌دهی'!$C$7+CF110*'تنظیمات وزن‌دهی'!$C$8+CG110*'تنظیمات وزن‌دهی'!$C$9+CH110*'تنظیمات وزن‌دهی'!$C$10+CI110*'تنظیمات وزن‌دهی'!$C$11+CJ110*'تنظیمات وزن‌دهی'!$C$12+CK110*'تنظیمات وزن‌دهی'!$C$13)/100))</x:f>
      </x:c>
      <x:c r="CM110" s="178" t="str">
        <x:f>IF(C110="","",IF(COUNT(G110:CB110)=0,"",IF(COUNT(G110:CB110)&lt;74,"موقت - اطلاعات ناقص",IF(CL110&gt;=17,"عالی",IF(CL110&gt;=14,"خوب",IF(CL110&gt;=10,"متوسط","ضعیف"))))))</x:f>
      </x:c>
      <x:c r="CN110" s="178" t="n">
        <x:v>10</x:v>
      </x:c>
      <x:c r="CO110" s="142" t="n">
        <x:f>IF(C110="","",COUNT(G110:CB110)/74)</x:f>
        <x:v>0</x:v>
      </x:c>
      <x:c r="CP110" s="245"/>
    </x:row>
    <x:row r="111">
      <x:c r="A111" s="165" t="n">
        <x:v>107</x:v>
      </x:c>
      <x:c r="B111" s="233" t="str">
        <x:v>اردیبهشت</x:v>
      </x:c>
      <x:c r="C111" s="233" t="n">
        <x:f>IF('دانش‌آموزان'!E13="","",'دانش‌آموزان'!B13)</x:f>
        <x:v>9</x:v>
      </x:c>
      <x:c r="D111" s="233" t="str">
        <x:f>IF('دانش‌آموزان'!C13="","",'دانش‌آموزان'!C13)</x:f>
        <x:v>4000000098</x:v>
      </x:c>
      <x:c r="E111" s="233" t="str">
        <x:f>IF('دانش‌آموزان'!E13="","",'دانش‌آموزان'!E13&amp;" "&amp;'دانش‌آموزان'!F13)</x:f>
        <x:v>سام امینی</x:v>
      </x:c>
      <x:c r="F111" s="166" t="str">
        <x:f>IF('دانش‌آموزان'!I13="","",'دانش‌آموزان'!I13)</x:f>
        <x:v>sample-7-a</x:v>
      </x:c>
      <x:c r="G111" s="114"/>
      <x:c r="H111" s="115"/>
      <x:c r="I111" s="115"/>
      <x:c r="J111" s="115"/>
      <x:c r="K111" s="115"/>
      <x:c r="L111" s="115"/>
      <x:c r="M111" s="115"/>
      <x:c r="N111" s="115"/>
      <x:c r="O111" s="115"/>
      <x:c r="P111" s="115"/>
      <x:c r="Q111" s="115"/>
      <x:c r="R111" s="115"/>
      <x:c r="S111" s="115"/>
      <x:c r="T111" s="115"/>
      <x:c r="U111" s="115"/>
      <x:c r="V111" s="115"/>
      <x:c r="W111" s="115"/>
      <x:c r="X111" s="115"/>
      <x:c r="Y111" s="115"/>
      <x:c r="Z111" s="115"/>
      <x:c r="AA111" s="115"/>
      <x:c r="AB111" s="115"/>
      <x:c r="AC111" s="115"/>
      <x:c r="AD111" s="115"/>
      <x:c r="AE111" s="115"/>
      <x:c r="AF111" s="115"/>
      <x:c r="AG111" s="115"/>
      <x:c r="AH111" s="115"/>
      <x:c r="AI111" s="115"/>
      <x:c r="AJ111" s="115"/>
      <x:c r="AK111" s="115"/>
      <x:c r="AL111" s="115"/>
      <x:c r="AM111" s="115"/>
      <x:c r="AN111" s="115"/>
      <x:c r="AO111" s="115"/>
      <x:c r="AP111" s="115"/>
      <x:c r="AQ111" s="115"/>
      <x:c r="AR111" s="115"/>
      <x:c r="AS111" s="115"/>
      <x:c r="AT111" s="115"/>
      <x:c r="AU111" s="115"/>
      <x:c r="AV111" s="115"/>
      <x:c r="AW111" s="115"/>
      <x:c r="AX111" s="115"/>
      <x:c r="AY111" s="115"/>
      <x:c r="AZ111" s="115"/>
      <x:c r="BA111" s="115"/>
      <x:c r="BB111" s="115"/>
      <x:c r="BC111" s="115"/>
      <x:c r="BD111" s="115"/>
      <x:c r="BE111" s="115"/>
      <x:c r="BF111" s="115"/>
      <x:c r="BG111" s="115"/>
      <x:c r="BH111" s="115"/>
      <x:c r="BI111" s="115"/>
      <x:c r="BJ111" s="115"/>
      <x:c r="BK111" s="115"/>
      <x:c r="BL111" s="115"/>
      <x:c r="BM111" s="115"/>
      <x:c r="BN111" s="115"/>
      <x:c r="BO111" s="115"/>
      <x:c r="BP111" s="115"/>
      <x:c r="BQ111" s="115"/>
      <x:c r="BR111" s="115"/>
      <x:c r="BS111" s="115"/>
      <x:c r="BT111" s="115"/>
      <x:c r="BU111" s="115"/>
      <x:c r="BV111" s="115"/>
      <x:c r="BW111" s="115"/>
      <x:c r="BX111" s="115"/>
      <x:c r="BY111" s="115"/>
      <x:c r="BZ111" s="115"/>
      <x:c r="CA111" s="115"/>
      <x:c r="CB111" s="116"/>
      <x:c r="CC111" s="141" t="str">
        <x:f>IF(COUNT(G111:P111)=0,"",AVERAGE(G111:P111)*4)</x:f>
      </x:c>
      <x:c r="CD111" s="178" t="str">
        <x:f>IF(COUNT(Q111:Z111)=0,"",AVERAGE(Q111:Z111)*4)</x:f>
      </x:c>
      <x:c r="CE111" s="178" t="str">
        <x:f>IF(COUNT(AA111:AJ111)=0,"",AVERAGE(AA111:AJ111)*4)</x:f>
      </x:c>
      <x:c r="CF111" s="178" t="str">
        <x:f>IF(COUNT(AK111:AR111)=0,"",AVERAGE(AK111:AR111)*4)</x:f>
      </x:c>
      <x:c r="CG111" s="178" t="str">
        <x:f>IF(COUNT(AS111:AY111)=0,"",AVERAGE(AS111:AY111)*4)</x:f>
      </x:c>
      <x:c r="CH111" s="178" t="str">
        <x:f>IF(COUNT(AZ111:BG111)=0,"",AVERAGE(AZ111:BG111)*4)</x:f>
      </x:c>
      <x:c r="CI111" s="178" t="str">
        <x:f>IF(COUNT(BH111:BN111)=0,"",AVERAGE(BH111:BN111)*4)</x:f>
      </x:c>
      <x:c r="CJ111" s="178" t="str">
        <x:f>IF(COUNT(BO111:BU111)=0,"",AVERAGE(BO111:BU111)*4)</x:f>
      </x:c>
      <x:c r="CK111" s="178" t="str">
        <x:f>IF(COUNT(BV111:CB111)=0,"",AVERAGE(BV111:CB111)*4)</x:f>
      </x:c>
      <x:c r="CL111" s="178" t="str">
        <x:f>IF(C111="","",IF(COUNT(G111:CB111)&lt;74,"",(CC111*'تنظیمات وزن‌دهی'!$C$5+CD111*'تنظیمات وزن‌دهی'!$C$6+CE111*'تنظیمات وزن‌دهی'!$C$7+CF111*'تنظیمات وزن‌دهی'!$C$8+CG111*'تنظیمات وزن‌دهی'!$C$9+CH111*'تنظیمات وزن‌دهی'!$C$10+CI111*'تنظیمات وزن‌دهی'!$C$11+CJ111*'تنظیمات وزن‌دهی'!$C$12+CK111*'تنظیمات وزن‌دهی'!$C$13)/100))</x:f>
      </x:c>
      <x:c r="CM111" s="178" t="str">
        <x:f>IF(C111="","",IF(COUNT(G111:CB111)=0,"",IF(COUNT(G111:CB111)&lt;74,"موقت - اطلاعات ناقص",IF(CL111&gt;=17,"عالی",IF(CL111&gt;=14,"خوب",IF(CL111&gt;=10,"متوسط","ضعیف"))))))</x:f>
      </x:c>
      <x:c r="CN111" s="178" t="n">
        <x:v>11</x:v>
      </x:c>
      <x:c r="CO111" s="142" t="n">
        <x:f>IF(C111="","",COUNT(G111:CB111)/74)</x:f>
        <x:v>0</x:v>
      </x:c>
      <x:c r="CP111" s="245"/>
    </x:row>
    <x:row r="112">
      <x:c r="A112" s="165" t="n">
        <x:v>108</x:v>
      </x:c>
      <x:c r="B112" s="233" t="str">
        <x:v>خرداد</x:v>
      </x:c>
      <x:c r="C112" s="233" t="n">
        <x:f>IF('دانش‌آموزان'!E13="","",'دانش‌آموزان'!B13)</x:f>
        <x:v>9</x:v>
      </x:c>
      <x:c r="D112" s="233" t="str">
        <x:f>IF('دانش‌آموزان'!C13="","",'دانش‌آموزان'!C13)</x:f>
        <x:v>4000000098</x:v>
      </x:c>
      <x:c r="E112" s="233" t="str">
        <x:f>IF('دانش‌آموزان'!E13="","",'دانش‌آموزان'!E13&amp;" "&amp;'دانش‌آموزان'!F13)</x:f>
        <x:v>سام امینی</x:v>
      </x:c>
      <x:c r="F112" s="166" t="str">
        <x:f>IF('دانش‌آموزان'!I13="","",'دانش‌آموزان'!I13)</x:f>
        <x:v>sample-7-a</x:v>
      </x:c>
      <x:c r="G112" s="114"/>
      <x:c r="H112" s="115"/>
      <x:c r="I112" s="115"/>
      <x:c r="J112" s="115"/>
      <x:c r="K112" s="115"/>
      <x:c r="L112" s="115"/>
      <x:c r="M112" s="115"/>
      <x:c r="N112" s="115"/>
      <x:c r="O112" s="115"/>
      <x:c r="P112" s="115"/>
      <x:c r="Q112" s="115"/>
      <x:c r="R112" s="115"/>
      <x:c r="S112" s="115"/>
      <x:c r="T112" s="115"/>
      <x:c r="U112" s="115"/>
      <x:c r="V112" s="115"/>
      <x:c r="W112" s="115"/>
      <x:c r="X112" s="115"/>
      <x:c r="Y112" s="115"/>
      <x:c r="Z112" s="115"/>
      <x:c r="AA112" s="115"/>
      <x:c r="AB112" s="115"/>
      <x:c r="AC112" s="115"/>
      <x:c r="AD112" s="115"/>
      <x:c r="AE112" s="115"/>
      <x:c r="AF112" s="115"/>
      <x:c r="AG112" s="115"/>
      <x:c r="AH112" s="115"/>
      <x:c r="AI112" s="115"/>
      <x:c r="AJ112" s="115"/>
      <x:c r="AK112" s="115"/>
      <x:c r="AL112" s="115"/>
      <x:c r="AM112" s="115"/>
      <x:c r="AN112" s="115"/>
      <x:c r="AO112" s="115"/>
      <x:c r="AP112" s="115"/>
      <x:c r="AQ112" s="115"/>
      <x:c r="AR112" s="115"/>
      <x:c r="AS112" s="115"/>
      <x:c r="AT112" s="115"/>
      <x:c r="AU112" s="115"/>
      <x:c r="AV112" s="115"/>
      <x:c r="AW112" s="115"/>
      <x:c r="AX112" s="115"/>
      <x:c r="AY112" s="115"/>
      <x:c r="AZ112" s="115"/>
      <x:c r="BA112" s="115"/>
      <x:c r="BB112" s="115"/>
      <x:c r="BC112" s="115"/>
      <x:c r="BD112" s="115"/>
      <x:c r="BE112" s="115"/>
      <x:c r="BF112" s="115"/>
      <x:c r="BG112" s="115"/>
      <x:c r="BH112" s="115"/>
      <x:c r="BI112" s="115"/>
      <x:c r="BJ112" s="115"/>
      <x:c r="BK112" s="115"/>
      <x:c r="BL112" s="115"/>
      <x:c r="BM112" s="115"/>
      <x:c r="BN112" s="115"/>
      <x:c r="BO112" s="115"/>
      <x:c r="BP112" s="115"/>
      <x:c r="BQ112" s="115"/>
      <x:c r="BR112" s="115"/>
      <x:c r="BS112" s="115"/>
      <x:c r="BT112" s="115"/>
      <x:c r="BU112" s="115"/>
      <x:c r="BV112" s="115"/>
      <x:c r="BW112" s="115"/>
      <x:c r="BX112" s="115"/>
      <x:c r="BY112" s="115"/>
      <x:c r="BZ112" s="115"/>
      <x:c r="CA112" s="115"/>
      <x:c r="CB112" s="116"/>
      <x:c r="CC112" s="141" t="str">
        <x:f>IF(COUNT(G112:P112)=0,"",AVERAGE(G112:P112)*4)</x:f>
      </x:c>
      <x:c r="CD112" s="178" t="str">
        <x:f>IF(COUNT(Q112:Z112)=0,"",AVERAGE(Q112:Z112)*4)</x:f>
      </x:c>
      <x:c r="CE112" s="178" t="str">
        <x:f>IF(COUNT(AA112:AJ112)=0,"",AVERAGE(AA112:AJ112)*4)</x:f>
      </x:c>
      <x:c r="CF112" s="178" t="str">
        <x:f>IF(COUNT(AK112:AR112)=0,"",AVERAGE(AK112:AR112)*4)</x:f>
      </x:c>
      <x:c r="CG112" s="178" t="str">
        <x:f>IF(COUNT(AS112:AY112)=0,"",AVERAGE(AS112:AY112)*4)</x:f>
      </x:c>
      <x:c r="CH112" s="178" t="str">
        <x:f>IF(COUNT(AZ112:BG112)=0,"",AVERAGE(AZ112:BG112)*4)</x:f>
      </x:c>
      <x:c r="CI112" s="178" t="str">
        <x:f>IF(COUNT(BH112:BN112)=0,"",AVERAGE(BH112:BN112)*4)</x:f>
      </x:c>
      <x:c r="CJ112" s="178" t="str">
        <x:f>IF(COUNT(BO112:BU112)=0,"",AVERAGE(BO112:BU112)*4)</x:f>
      </x:c>
      <x:c r="CK112" s="178" t="str">
        <x:f>IF(COUNT(BV112:CB112)=0,"",AVERAGE(BV112:CB112)*4)</x:f>
      </x:c>
      <x:c r="CL112" s="178" t="str">
        <x:f>IF(C112="","",IF(COUNT(G112:CB112)&lt;74,"",(CC112*'تنظیمات وزن‌دهی'!$C$5+CD112*'تنظیمات وزن‌دهی'!$C$6+CE112*'تنظیمات وزن‌دهی'!$C$7+CF112*'تنظیمات وزن‌دهی'!$C$8+CG112*'تنظیمات وزن‌دهی'!$C$9+CH112*'تنظیمات وزن‌دهی'!$C$10+CI112*'تنظیمات وزن‌دهی'!$C$11+CJ112*'تنظیمات وزن‌دهی'!$C$12+CK112*'تنظیمات وزن‌دهی'!$C$13)/100))</x:f>
      </x:c>
      <x:c r="CM112" s="178" t="str">
        <x:f>IF(C112="","",IF(COUNT(G112:CB112)=0,"",IF(COUNT(G112:CB112)&lt;74,"موقت - اطلاعات ناقص",IF(CL112&gt;=17,"عالی",IF(CL112&gt;=14,"خوب",IF(CL112&gt;=10,"متوسط","ضعیف"))))))</x:f>
      </x:c>
      <x:c r="CN112" s="178" t="n">
        <x:v>12</x:v>
      </x:c>
      <x:c r="CO112" s="142" t="n">
        <x:f>IF(C112="","",COUNT(G112:CB112)/74)</x:f>
        <x:v>0</x:v>
      </x:c>
      <x:c r="CP112" s="245"/>
    </x:row>
    <x:row r="113">
      <x:c r="A113" s="165" t="n">
        <x:v>109</x:v>
      </x:c>
      <x:c r="B113" s="233" t="str">
        <x:v>تیر</x:v>
      </x:c>
      <x:c r="C113" s="233" t="n">
        <x:f>IF('دانش‌آموزان'!E14="","",'دانش‌آموزان'!B14)</x:f>
        <x:v>10</x:v>
      </x:c>
      <x:c r="D113" s="233" t="str">
        <x:f>IF('دانش‌آموزان'!C14="","",'دانش‌آموزان'!C14)</x:f>
        <x:v>4000000101</x:v>
      </x:c>
      <x:c r="E113" s="233" t="str">
        <x:f>IF('دانش‌آموزان'!E14="","",'دانش‌آموزان'!E14&amp;" "&amp;'دانش‌آموزان'!F14)</x:f>
        <x:v>هلیا کریمی</x:v>
      </x:c>
      <x:c r="F113" s="166" t="str">
        <x:f>IF('دانش‌آموزان'!I14="","",'دانش‌آموزان'!I14)</x:f>
        <x:v>sample-7-a</x:v>
      </x:c>
      <x:c r="G113" s="114" t="n">
        <x:v>4</x:v>
      </x:c>
      <x:c r="H113" s="115" t="n">
        <x:v>5</x:v>
      </x:c>
      <x:c r="I113" s="115" t="n">
        <x:v>4</x:v>
      </x:c>
      <x:c r="J113" s="115" t="n">
        <x:v>5</x:v>
      </x:c>
      <x:c r="K113" s="115" t="n">
        <x:v>3</x:v>
      </x:c>
      <x:c r="L113" s="115" t="n">
        <x:v>5</x:v>
      </x:c>
      <x:c r="M113" s="115" t="n">
        <x:v>3</x:v>
      </x:c>
      <x:c r="N113" s="115" t="n">
        <x:v>4</x:v>
      </x:c>
      <x:c r="O113" s="115" t="n">
        <x:v>3</x:v>
      </x:c>
      <x:c r="P113" s="115" t="n">
        <x:v>4</x:v>
      </x:c>
      <x:c r="Q113" s="115" t="n">
        <x:v>2</x:v>
      </x:c>
      <x:c r="R113" s="115" t="n">
        <x:v>4</x:v>
      </x:c>
      <x:c r="S113" s="115" t="n">
        <x:v>5</x:v>
      </x:c>
      <x:c r="T113" s="115" t="n">
        <x:v>4</x:v>
      </x:c>
      <x:c r="U113" s="115" t="n">
        <x:v>5</x:v>
      </x:c>
      <x:c r="V113" s="115" t="n">
        <x:v>3</x:v>
      </x:c>
      <x:c r="W113" s="115" t="n">
        <x:v>5</x:v>
      </x:c>
      <x:c r="X113" s="115" t="n">
        <x:v>3</x:v>
      </x:c>
      <x:c r="Y113" s="115" t="n">
        <x:v>4</x:v>
      </x:c>
      <x:c r="Z113" s="115" t="n">
        <x:v>3</x:v>
      </x:c>
      <x:c r="AA113" s="115" t="n">
        <x:v>4</x:v>
      </x:c>
      <x:c r="AB113" s="115" t="n">
        <x:v>2</x:v>
      </x:c>
      <x:c r="AC113" s="115" t="n">
        <x:v>4</x:v>
      </x:c>
      <x:c r="AD113" s="115" t="n">
        <x:v>5</x:v>
      </x:c>
      <x:c r="AE113" s="115" t="n">
        <x:v>4</x:v>
      </x:c>
      <x:c r="AF113" s="115" t="n">
        <x:v>5</x:v>
      </x:c>
      <x:c r="AG113" s="115" t="n">
        <x:v>3</x:v>
      </x:c>
      <x:c r="AH113" s="115" t="n">
        <x:v>5</x:v>
      </x:c>
      <x:c r="AI113" s="115" t="n">
        <x:v>3</x:v>
      </x:c>
      <x:c r="AJ113" s="115" t="n">
        <x:v>4</x:v>
      </x:c>
      <x:c r="AK113" s="115" t="n">
        <x:v>3</x:v>
      </x:c>
      <x:c r="AL113" s="115" t="n">
        <x:v>4</x:v>
      </x:c>
      <x:c r="AM113" s="115" t="n">
        <x:v>2</x:v>
      </x:c>
      <x:c r="AN113" s="115" t="n">
        <x:v>4</x:v>
      </x:c>
      <x:c r="AO113" s="115" t="n">
        <x:v>5</x:v>
      </x:c>
      <x:c r="AP113" s="115" t="n">
        <x:v>4</x:v>
      </x:c>
      <x:c r="AQ113" s="115" t="n">
        <x:v>5</x:v>
      </x:c>
      <x:c r="AR113" s="115" t="n">
        <x:v>3</x:v>
      </x:c>
      <x:c r="AS113" s="115" t="n">
        <x:v>5</x:v>
      </x:c>
      <x:c r="AT113" s="115" t="n">
        <x:v>3</x:v>
      </x:c>
      <x:c r="AU113" s="115" t="n">
        <x:v>4</x:v>
      </x:c>
      <x:c r="AV113" s="115" t="n">
        <x:v>3</x:v>
      </x:c>
      <x:c r="AW113" s="115" t="n">
        <x:v>4</x:v>
      </x:c>
      <x:c r="AX113" s="115" t="n">
        <x:v>2</x:v>
      </x:c>
      <x:c r="AY113" s="115" t="n">
        <x:v>4</x:v>
      </x:c>
      <x:c r="AZ113" s="115" t="n">
        <x:v>5</x:v>
      </x:c>
      <x:c r="BA113" s="115" t="n">
        <x:v>4</x:v>
      </x:c>
      <x:c r="BB113" s="115" t="n">
        <x:v>5</x:v>
      </x:c>
      <x:c r="BC113" s="115" t="n">
        <x:v>3</x:v>
      </x:c>
      <x:c r="BD113" s="115" t="n">
        <x:v>5</x:v>
      </x:c>
      <x:c r="BE113" s="115" t="n">
        <x:v>3</x:v>
      </x:c>
      <x:c r="BF113" s="115" t="n">
        <x:v>4</x:v>
      </x:c>
      <x:c r="BG113" s="115" t="n">
        <x:v>3</x:v>
      </x:c>
      <x:c r="BH113" s="115" t="n">
        <x:v>4</x:v>
      </x:c>
      <x:c r="BI113" s="115" t="n">
        <x:v>2</x:v>
      </x:c>
      <x:c r="BJ113" s="115" t="n">
        <x:v>4</x:v>
      </x:c>
      <x:c r="BK113" s="115" t="n">
        <x:v>5</x:v>
      </x:c>
      <x:c r="BL113" s="115" t="n">
        <x:v>4</x:v>
      </x:c>
      <x:c r="BM113" s="115" t="n">
        <x:v>5</x:v>
      </x:c>
      <x:c r="BN113" s="115" t="n">
        <x:v>3</x:v>
      </x:c>
      <x:c r="BO113" s="115" t="n">
        <x:v>5</x:v>
      </x:c>
      <x:c r="BP113" s="115" t="n">
        <x:v>3</x:v>
      </x:c>
      <x:c r="BQ113" s="115" t="n">
        <x:v>4</x:v>
      </x:c>
      <x:c r="BR113" s="115" t="n">
        <x:v>3</x:v>
      </x:c>
      <x:c r="BS113" s="115" t="n">
        <x:v>4</x:v>
      </x:c>
      <x:c r="BT113" s="115" t="n">
        <x:v>2</x:v>
      </x:c>
      <x:c r="BU113" s="115" t="n">
        <x:v>4</x:v>
      </x:c>
      <x:c r="BV113" s="115" t="n">
        <x:v>5</x:v>
      </x:c>
      <x:c r="BW113" s="115" t="n">
        <x:v>4</x:v>
      </x:c>
      <x:c r="BX113" s="115" t="n">
        <x:v>5</x:v>
      </x:c>
      <x:c r="BY113" s="115" t="n">
        <x:v>3</x:v>
      </x:c>
      <x:c r="BZ113" s="115" t="n">
        <x:v>5</x:v>
      </x:c>
      <x:c r="CA113" s="115" t="n">
        <x:v>3</x:v>
      </x:c>
      <x:c r="CB113" s="116" t="n">
        <x:v>4</x:v>
      </x:c>
      <x:c r="CC113" s="141" t="n">
        <x:f>IF(COUNT(G113:P113)=0,"",AVERAGE(G113:P113)*4)</x:f>
        <x:v>16</x:v>
      </x:c>
      <x:c r="CD113" s="178" t="n">
        <x:f>IF(COUNT(Q113:Z113)=0,"",AVERAGE(Q113:Z113)*4)</x:f>
        <x:v>15.2</x:v>
      </x:c>
      <x:c r="CE113" s="178" t="n">
        <x:f>IF(COUNT(AA113:AJ113)=0,"",AVERAGE(AA113:AJ113)*4)</x:f>
        <x:v>15.6</x:v>
      </x:c>
      <x:c r="CF113" s="178" t="n">
        <x:f>IF(COUNT(AK113:AR113)=0,"",AVERAGE(AK113:AR113)*4)</x:f>
        <x:v>15</x:v>
      </x:c>
      <x:c r="CG113" s="178" t="n">
        <x:f>IF(COUNT(AS113:AY113)=0,"",AVERAGE(AS113:AY113)*4)</x:f>
        <x:v>14.285714285714286</x:v>
      </x:c>
      <x:c r="CH113" s="178" t="n">
        <x:f>IF(COUNT(AZ113:BG113)=0,"",AVERAGE(AZ113:BG113)*4)</x:f>
        <x:v>16</x:v>
      </x:c>
      <x:c r="CI113" s="178" t="n">
        <x:f>IF(COUNT(BH113:BN113)=0,"",AVERAGE(BH113:BN113)*4)</x:f>
        <x:v>15.428571428571429</x:v>
      </x:c>
      <x:c r="CJ113" s="178" t="n">
        <x:f>IF(COUNT(BO113:BU113)=0,"",AVERAGE(BO113:BU113)*4)</x:f>
        <x:v>14.285714285714286</x:v>
      </x:c>
      <x:c r="CK113" s="178" t="n">
        <x:f>IF(COUNT(BV113:CB113)=0,"",AVERAGE(BV113:CB113)*4)</x:f>
        <x:v>16.571428571428573</x:v>
      </x:c>
      <x:c r="CL113" s="178" t="n">
        <x:f>IF(C113="","",IF(COUNT(G113:CB113)&lt;74,"",(CC113*'تنظیمات وزن‌دهی'!$C$5+CD113*'تنظیمات وزن‌دهی'!$C$6+CE113*'تنظیمات وزن‌دهی'!$C$7+CF113*'تنظیمات وزن‌دهی'!$C$8+CG113*'تنظیمات وزن‌دهی'!$C$9+CH113*'تنظیمات وزن‌دهی'!$C$10+CI113*'تنظیمات وزن‌دهی'!$C$11+CJ113*'تنظیمات وزن‌دهی'!$C$12+CK113*'تنظیمات وزن‌دهی'!$C$13)/100))</x:f>
        <x:v>15.447142857142858</x:v>
      </x:c>
      <x:c r="CM113" s="178" t="str">
        <x:f>IF(C113="","",IF(COUNT(G113:CB113)=0,"",IF(COUNT(G113:CB113)&lt;74,"موقت - اطلاعات ناقص",IF(CL113&gt;=17,"عالی",IF(CL113&gt;=14,"خوب",IF(CL113&gt;=10,"متوسط","ضعیف"))))))</x:f>
        <x:v>خوب</x:v>
      </x:c>
      <x:c r="CN113" s="178" t="n">
        <x:v>1</x:v>
      </x:c>
      <x:c r="CO113" s="142" t="n">
        <x:f>IF(C113="","",COUNT(G113:CB113)/74)</x:f>
        <x:v>1</x:v>
      </x:c>
      <x:c r="CP113" s="245" t="str">
        <x:v>داده نمونه کامل برای ماه تیر - دانش‌آموز شماره 10</x:v>
      </x:c>
    </x:row>
    <x:row r="114">
      <x:c r="A114" s="165" t="n">
        <x:v>110</x:v>
      </x:c>
      <x:c r="B114" s="233" t="str">
        <x:v>مرداد</x:v>
      </x:c>
      <x:c r="C114" s="233" t="n">
        <x:f>IF('دانش‌آموزان'!E14="","",'دانش‌آموزان'!B14)</x:f>
        <x:v>10</x:v>
      </x:c>
      <x:c r="D114" s="233" t="str">
        <x:f>IF('دانش‌آموزان'!C14="","",'دانش‌آموزان'!C14)</x:f>
        <x:v>4000000101</x:v>
      </x:c>
      <x:c r="E114" s="233" t="str">
        <x:f>IF('دانش‌آموزان'!E14="","",'دانش‌آموزان'!E14&amp;" "&amp;'دانش‌آموزان'!F14)</x:f>
        <x:v>هلیا کریمی</x:v>
      </x:c>
      <x:c r="F114" s="166" t="str">
        <x:f>IF('دانش‌آموزان'!I14="","",'دانش‌آموزان'!I14)</x:f>
        <x:v>sample-7-a</x:v>
      </x:c>
      <x:c r="G114" s="114"/>
      <x:c r="H114" s="115"/>
      <x:c r="I114" s="115"/>
      <x:c r="J114" s="115"/>
      <x:c r="K114" s="115"/>
      <x:c r="L114" s="115"/>
      <x:c r="M114" s="115"/>
      <x:c r="N114" s="115"/>
      <x:c r="O114" s="115"/>
      <x:c r="P114" s="115"/>
      <x:c r="Q114" s="115"/>
      <x:c r="R114" s="115"/>
      <x:c r="S114" s="115"/>
      <x:c r="T114" s="115"/>
      <x:c r="U114" s="115"/>
      <x:c r="V114" s="115"/>
      <x:c r="W114" s="115"/>
      <x:c r="X114" s="115"/>
      <x:c r="Y114" s="115"/>
      <x:c r="Z114" s="115"/>
      <x:c r="AA114" s="115"/>
      <x:c r="AB114" s="115"/>
      <x:c r="AC114" s="115"/>
      <x:c r="AD114" s="115"/>
      <x:c r="AE114" s="115"/>
      <x:c r="AF114" s="115"/>
      <x:c r="AG114" s="115"/>
      <x:c r="AH114" s="115"/>
      <x:c r="AI114" s="115"/>
      <x:c r="AJ114" s="115"/>
      <x:c r="AK114" s="115"/>
      <x:c r="AL114" s="115"/>
      <x:c r="AM114" s="115"/>
      <x:c r="AN114" s="115"/>
      <x:c r="AO114" s="115"/>
      <x:c r="AP114" s="115"/>
      <x:c r="AQ114" s="115"/>
      <x:c r="AR114" s="115"/>
      <x:c r="AS114" s="115"/>
      <x:c r="AT114" s="115"/>
      <x:c r="AU114" s="115"/>
      <x:c r="AV114" s="115"/>
      <x:c r="AW114" s="115"/>
      <x:c r="AX114" s="115"/>
      <x:c r="AY114" s="115"/>
      <x:c r="AZ114" s="115"/>
      <x:c r="BA114" s="115"/>
      <x:c r="BB114" s="115"/>
      <x:c r="BC114" s="115"/>
      <x:c r="BD114" s="115"/>
      <x:c r="BE114" s="115"/>
      <x:c r="BF114" s="115"/>
      <x:c r="BG114" s="115"/>
      <x:c r="BH114" s="115"/>
      <x:c r="BI114" s="115"/>
      <x:c r="BJ114" s="115"/>
      <x:c r="BK114" s="115"/>
      <x:c r="BL114" s="115"/>
      <x:c r="BM114" s="115"/>
      <x:c r="BN114" s="115"/>
      <x:c r="BO114" s="115"/>
      <x:c r="BP114" s="115"/>
      <x:c r="BQ114" s="115"/>
      <x:c r="BR114" s="115"/>
      <x:c r="BS114" s="115"/>
      <x:c r="BT114" s="115"/>
      <x:c r="BU114" s="115"/>
      <x:c r="BV114" s="115"/>
      <x:c r="BW114" s="115"/>
      <x:c r="BX114" s="115"/>
      <x:c r="BY114" s="115"/>
      <x:c r="BZ114" s="115"/>
      <x:c r="CA114" s="115"/>
      <x:c r="CB114" s="116"/>
      <x:c r="CC114" s="141" t="str">
        <x:f>IF(COUNT(G114:P114)=0,"",AVERAGE(G114:P114)*4)</x:f>
      </x:c>
      <x:c r="CD114" s="178" t="str">
        <x:f>IF(COUNT(Q114:Z114)=0,"",AVERAGE(Q114:Z114)*4)</x:f>
      </x:c>
      <x:c r="CE114" s="178" t="str">
        <x:f>IF(COUNT(AA114:AJ114)=0,"",AVERAGE(AA114:AJ114)*4)</x:f>
      </x:c>
      <x:c r="CF114" s="178" t="str">
        <x:f>IF(COUNT(AK114:AR114)=0,"",AVERAGE(AK114:AR114)*4)</x:f>
      </x:c>
      <x:c r="CG114" s="178" t="str">
        <x:f>IF(COUNT(AS114:AY114)=0,"",AVERAGE(AS114:AY114)*4)</x:f>
      </x:c>
      <x:c r="CH114" s="178" t="str">
        <x:f>IF(COUNT(AZ114:BG114)=0,"",AVERAGE(AZ114:BG114)*4)</x:f>
      </x:c>
      <x:c r="CI114" s="178" t="str">
        <x:f>IF(COUNT(BH114:BN114)=0,"",AVERAGE(BH114:BN114)*4)</x:f>
      </x:c>
      <x:c r="CJ114" s="178" t="str">
        <x:f>IF(COUNT(BO114:BU114)=0,"",AVERAGE(BO114:BU114)*4)</x:f>
      </x:c>
      <x:c r="CK114" s="178" t="str">
        <x:f>IF(COUNT(BV114:CB114)=0,"",AVERAGE(BV114:CB114)*4)</x:f>
      </x:c>
      <x:c r="CL114" s="178" t="str">
        <x:f>IF(C114="","",IF(COUNT(G114:CB114)&lt;74,"",(CC114*'تنظیمات وزن‌دهی'!$C$5+CD114*'تنظیمات وزن‌دهی'!$C$6+CE114*'تنظیمات وزن‌دهی'!$C$7+CF114*'تنظیمات وزن‌دهی'!$C$8+CG114*'تنظیمات وزن‌دهی'!$C$9+CH114*'تنظیمات وزن‌دهی'!$C$10+CI114*'تنظیمات وزن‌دهی'!$C$11+CJ114*'تنظیمات وزن‌دهی'!$C$12+CK114*'تنظیمات وزن‌دهی'!$C$13)/100))</x:f>
      </x:c>
      <x:c r="CM114" s="178" t="str">
        <x:f>IF(C114="","",IF(COUNT(G114:CB114)=0,"",IF(COUNT(G114:CB114)&lt;74,"موقت - اطلاعات ناقص",IF(CL114&gt;=17,"عالی",IF(CL114&gt;=14,"خوب",IF(CL114&gt;=10,"متوسط","ضعیف"))))))</x:f>
      </x:c>
      <x:c r="CN114" s="178" t="n">
        <x:v>2</x:v>
      </x:c>
      <x:c r="CO114" s="142" t="n">
        <x:f>IF(C114="","",COUNT(G114:CB114)/74)</x:f>
        <x:v>0</x:v>
      </x:c>
      <x:c r="CP114" s="245"/>
    </x:row>
    <x:row r="115">
      <x:c r="A115" s="165" t="n">
        <x:v>111</x:v>
      </x:c>
      <x:c r="B115" s="233" t="str">
        <x:v>شهریور</x:v>
      </x:c>
      <x:c r="C115" s="233" t="n">
        <x:f>IF('دانش‌آموزان'!E14="","",'دانش‌آموزان'!B14)</x:f>
        <x:v>10</x:v>
      </x:c>
      <x:c r="D115" s="233" t="str">
        <x:f>IF('دانش‌آموزان'!C14="","",'دانش‌آموزان'!C14)</x:f>
        <x:v>4000000101</x:v>
      </x:c>
      <x:c r="E115" s="233" t="str">
        <x:f>IF('دانش‌آموزان'!E14="","",'دانش‌آموزان'!E14&amp;" "&amp;'دانش‌آموزان'!F14)</x:f>
        <x:v>هلیا کریمی</x:v>
      </x:c>
      <x:c r="F115" s="166" t="str">
        <x:f>IF('دانش‌آموزان'!I14="","",'دانش‌آموزان'!I14)</x:f>
        <x:v>sample-7-a</x:v>
      </x:c>
      <x:c r="G115" s="114"/>
      <x:c r="H115" s="115"/>
      <x:c r="I115" s="115"/>
      <x:c r="J115" s="115"/>
      <x:c r="K115" s="115"/>
      <x:c r="L115" s="115"/>
      <x:c r="M115" s="115"/>
      <x:c r="N115" s="115"/>
      <x:c r="O115" s="115"/>
      <x:c r="P115" s="115"/>
      <x:c r="Q115" s="115"/>
      <x:c r="R115" s="115"/>
      <x:c r="S115" s="115"/>
      <x:c r="T115" s="115"/>
      <x:c r="U115" s="115"/>
      <x:c r="V115" s="115"/>
      <x:c r="W115" s="115"/>
      <x:c r="X115" s="115"/>
      <x:c r="Y115" s="115"/>
      <x:c r="Z115" s="115"/>
      <x:c r="AA115" s="115"/>
      <x:c r="AB115" s="115"/>
      <x:c r="AC115" s="115"/>
      <x:c r="AD115" s="115"/>
      <x:c r="AE115" s="115"/>
      <x:c r="AF115" s="115"/>
      <x:c r="AG115" s="115"/>
      <x:c r="AH115" s="115"/>
      <x:c r="AI115" s="115"/>
      <x:c r="AJ115" s="115"/>
      <x:c r="AK115" s="115"/>
      <x:c r="AL115" s="115"/>
      <x:c r="AM115" s="115"/>
      <x:c r="AN115" s="115"/>
      <x:c r="AO115" s="115"/>
      <x:c r="AP115" s="115"/>
      <x:c r="AQ115" s="115"/>
      <x:c r="AR115" s="115"/>
      <x:c r="AS115" s="115"/>
      <x:c r="AT115" s="115"/>
      <x:c r="AU115" s="115"/>
      <x:c r="AV115" s="115"/>
      <x:c r="AW115" s="115"/>
      <x:c r="AX115" s="115"/>
      <x:c r="AY115" s="115"/>
      <x:c r="AZ115" s="115"/>
      <x:c r="BA115" s="115"/>
      <x:c r="BB115" s="115"/>
      <x:c r="BC115" s="115"/>
      <x:c r="BD115" s="115"/>
      <x:c r="BE115" s="115"/>
      <x:c r="BF115" s="115"/>
      <x:c r="BG115" s="115"/>
      <x:c r="BH115" s="115"/>
      <x:c r="BI115" s="115"/>
      <x:c r="BJ115" s="115"/>
      <x:c r="BK115" s="115"/>
      <x:c r="BL115" s="115"/>
      <x:c r="BM115" s="115"/>
      <x:c r="BN115" s="115"/>
      <x:c r="BO115" s="115"/>
      <x:c r="BP115" s="115"/>
      <x:c r="BQ115" s="115"/>
      <x:c r="BR115" s="115"/>
      <x:c r="BS115" s="115"/>
      <x:c r="BT115" s="115"/>
      <x:c r="BU115" s="115"/>
      <x:c r="BV115" s="115"/>
      <x:c r="BW115" s="115"/>
      <x:c r="BX115" s="115"/>
      <x:c r="BY115" s="115"/>
      <x:c r="BZ115" s="115"/>
      <x:c r="CA115" s="115"/>
      <x:c r="CB115" s="116"/>
      <x:c r="CC115" s="141" t="str">
        <x:f>IF(COUNT(G115:P115)=0,"",AVERAGE(G115:P115)*4)</x:f>
      </x:c>
      <x:c r="CD115" s="178" t="str">
        <x:f>IF(COUNT(Q115:Z115)=0,"",AVERAGE(Q115:Z115)*4)</x:f>
      </x:c>
      <x:c r="CE115" s="178" t="str">
        <x:f>IF(COUNT(AA115:AJ115)=0,"",AVERAGE(AA115:AJ115)*4)</x:f>
      </x:c>
      <x:c r="CF115" s="178" t="str">
        <x:f>IF(COUNT(AK115:AR115)=0,"",AVERAGE(AK115:AR115)*4)</x:f>
      </x:c>
      <x:c r="CG115" s="178" t="str">
        <x:f>IF(COUNT(AS115:AY115)=0,"",AVERAGE(AS115:AY115)*4)</x:f>
      </x:c>
      <x:c r="CH115" s="178" t="str">
        <x:f>IF(COUNT(AZ115:BG115)=0,"",AVERAGE(AZ115:BG115)*4)</x:f>
      </x:c>
      <x:c r="CI115" s="178" t="str">
        <x:f>IF(COUNT(BH115:BN115)=0,"",AVERAGE(BH115:BN115)*4)</x:f>
      </x:c>
      <x:c r="CJ115" s="178" t="str">
        <x:f>IF(COUNT(BO115:BU115)=0,"",AVERAGE(BO115:BU115)*4)</x:f>
      </x:c>
      <x:c r="CK115" s="178" t="str">
        <x:f>IF(COUNT(BV115:CB115)=0,"",AVERAGE(BV115:CB115)*4)</x:f>
      </x:c>
      <x:c r="CL115" s="178" t="str">
        <x:f>IF(C115="","",IF(COUNT(G115:CB115)&lt;74,"",(CC115*'تنظیمات وزن‌دهی'!$C$5+CD115*'تنظیمات وزن‌دهی'!$C$6+CE115*'تنظیمات وزن‌دهی'!$C$7+CF115*'تنظیمات وزن‌دهی'!$C$8+CG115*'تنظیمات وزن‌دهی'!$C$9+CH115*'تنظیمات وزن‌دهی'!$C$10+CI115*'تنظیمات وزن‌دهی'!$C$11+CJ115*'تنظیمات وزن‌دهی'!$C$12+CK115*'تنظیمات وزن‌دهی'!$C$13)/100))</x:f>
      </x:c>
      <x:c r="CM115" s="178" t="str">
        <x:f>IF(C115="","",IF(COUNT(G115:CB115)=0,"",IF(COUNT(G115:CB115)&lt;74,"موقت - اطلاعات ناقص",IF(CL115&gt;=17,"عالی",IF(CL115&gt;=14,"خوب",IF(CL115&gt;=10,"متوسط","ضعیف"))))))</x:f>
      </x:c>
      <x:c r="CN115" s="178" t="n">
        <x:v>3</x:v>
      </x:c>
      <x:c r="CO115" s="142" t="n">
        <x:f>IF(C115="","",COUNT(G115:CB115)/74)</x:f>
        <x:v>0</x:v>
      </x:c>
      <x:c r="CP115" s="245"/>
    </x:row>
    <x:row r="116">
      <x:c r="A116" s="165" t="n">
        <x:v>112</x:v>
      </x:c>
      <x:c r="B116" s="233" t="str">
        <x:v>مهر</x:v>
      </x:c>
      <x:c r="C116" s="233" t="n">
        <x:f>IF('دانش‌آموزان'!E14="","",'دانش‌آموزان'!B14)</x:f>
        <x:v>10</x:v>
      </x:c>
      <x:c r="D116" s="233" t="str">
        <x:f>IF('دانش‌آموزان'!C14="","",'دانش‌آموزان'!C14)</x:f>
        <x:v>4000000101</x:v>
      </x:c>
      <x:c r="E116" s="233" t="str">
        <x:f>IF('دانش‌آموزان'!E14="","",'دانش‌آموزان'!E14&amp;" "&amp;'دانش‌آموزان'!F14)</x:f>
        <x:v>هلیا کریمی</x:v>
      </x:c>
      <x:c r="F116" s="166" t="str">
        <x:f>IF('دانش‌آموزان'!I14="","",'دانش‌آموزان'!I14)</x:f>
        <x:v>sample-7-a</x:v>
      </x:c>
      <x:c r="G116" s="114"/>
      <x:c r="H116" s="115"/>
      <x:c r="I116" s="115"/>
      <x:c r="J116" s="115"/>
      <x:c r="K116" s="115"/>
      <x:c r="L116" s="115"/>
      <x:c r="M116" s="115"/>
      <x:c r="N116" s="115"/>
      <x:c r="O116" s="115"/>
      <x:c r="P116" s="115"/>
      <x:c r="Q116" s="115"/>
      <x:c r="R116" s="115"/>
      <x:c r="S116" s="115"/>
      <x:c r="T116" s="115"/>
      <x:c r="U116" s="115"/>
      <x:c r="V116" s="115"/>
      <x:c r="W116" s="115"/>
      <x:c r="X116" s="115"/>
      <x:c r="Y116" s="115"/>
      <x:c r="Z116" s="115"/>
      <x:c r="AA116" s="115"/>
      <x:c r="AB116" s="115"/>
      <x:c r="AC116" s="115"/>
      <x:c r="AD116" s="115"/>
      <x:c r="AE116" s="115"/>
      <x:c r="AF116" s="115"/>
      <x:c r="AG116" s="115"/>
      <x:c r="AH116" s="115"/>
      <x:c r="AI116" s="115"/>
      <x:c r="AJ116" s="115"/>
      <x:c r="AK116" s="115"/>
      <x:c r="AL116" s="115"/>
      <x:c r="AM116" s="115"/>
      <x:c r="AN116" s="115"/>
      <x:c r="AO116" s="115"/>
      <x:c r="AP116" s="115"/>
      <x:c r="AQ116" s="115"/>
      <x:c r="AR116" s="115"/>
      <x:c r="AS116" s="115"/>
      <x:c r="AT116" s="115"/>
      <x:c r="AU116" s="115"/>
      <x:c r="AV116" s="115"/>
      <x:c r="AW116" s="115"/>
      <x:c r="AX116" s="115"/>
      <x:c r="AY116" s="115"/>
      <x:c r="AZ116" s="115"/>
      <x:c r="BA116" s="115"/>
      <x:c r="BB116" s="115"/>
      <x:c r="BC116" s="115"/>
      <x:c r="BD116" s="115"/>
      <x:c r="BE116" s="115"/>
      <x:c r="BF116" s="115"/>
      <x:c r="BG116" s="115"/>
      <x:c r="BH116" s="115"/>
      <x:c r="BI116" s="115"/>
      <x:c r="BJ116" s="115"/>
      <x:c r="BK116" s="115"/>
      <x:c r="BL116" s="115"/>
      <x:c r="BM116" s="115"/>
      <x:c r="BN116" s="115"/>
      <x:c r="BO116" s="115"/>
      <x:c r="BP116" s="115"/>
      <x:c r="BQ116" s="115"/>
      <x:c r="BR116" s="115"/>
      <x:c r="BS116" s="115"/>
      <x:c r="BT116" s="115"/>
      <x:c r="BU116" s="115"/>
      <x:c r="BV116" s="115"/>
      <x:c r="BW116" s="115"/>
      <x:c r="BX116" s="115"/>
      <x:c r="BY116" s="115"/>
      <x:c r="BZ116" s="115"/>
      <x:c r="CA116" s="115"/>
      <x:c r="CB116" s="116"/>
      <x:c r="CC116" s="141" t="str">
        <x:f>IF(COUNT(G116:P116)=0,"",AVERAGE(G116:P116)*4)</x:f>
      </x:c>
      <x:c r="CD116" s="178" t="str">
        <x:f>IF(COUNT(Q116:Z116)=0,"",AVERAGE(Q116:Z116)*4)</x:f>
      </x:c>
      <x:c r="CE116" s="178" t="str">
        <x:f>IF(COUNT(AA116:AJ116)=0,"",AVERAGE(AA116:AJ116)*4)</x:f>
      </x:c>
      <x:c r="CF116" s="178" t="str">
        <x:f>IF(COUNT(AK116:AR116)=0,"",AVERAGE(AK116:AR116)*4)</x:f>
      </x:c>
      <x:c r="CG116" s="178" t="str">
        <x:f>IF(COUNT(AS116:AY116)=0,"",AVERAGE(AS116:AY116)*4)</x:f>
      </x:c>
      <x:c r="CH116" s="178" t="str">
        <x:f>IF(COUNT(AZ116:BG116)=0,"",AVERAGE(AZ116:BG116)*4)</x:f>
      </x:c>
      <x:c r="CI116" s="178" t="str">
        <x:f>IF(COUNT(BH116:BN116)=0,"",AVERAGE(BH116:BN116)*4)</x:f>
      </x:c>
      <x:c r="CJ116" s="178" t="str">
        <x:f>IF(COUNT(BO116:BU116)=0,"",AVERAGE(BO116:BU116)*4)</x:f>
      </x:c>
      <x:c r="CK116" s="178" t="str">
        <x:f>IF(COUNT(BV116:CB116)=0,"",AVERAGE(BV116:CB116)*4)</x:f>
      </x:c>
      <x:c r="CL116" s="178" t="str">
        <x:f>IF(C116="","",IF(COUNT(G116:CB116)&lt;74,"",(CC116*'تنظیمات وزن‌دهی'!$C$5+CD116*'تنظیمات وزن‌دهی'!$C$6+CE116*'تنظیمات وزن‌دهی'!$C$7+CF116*'تنظیمات وزن‌دهی'!$C$8+CG116*'تنظیمات وزن‌دهی'!$C$9+CH116*'تنظیمات وزن‌دهی'!$C$10+CI116*'تنظیمات وزن‌دهی'!$C$11+CJ116*'تنظیمات وزن‌دهی'!$C$12+CK116*'تنظیمات وزن‌دهی'!$C$13)/100))</x:f>
      </x:c>
      <x:c r="CM116" s="178" t="str">
        <x:f>IF(C116="","",IF(COUNT(G116:CB116)=0,"",IF(COUNT(G116:CB116)&lt;74,"موقت - اطلاعات ناقص",IF(CL116&gt;=17,"عالی",IF(CL116&gt;=14,"خوب",IF(CL116&gt;=10,"متوسط","ضعیف"))))))</x:f>
      </x:c>
      <x:c r="CN116" s="178" t="n">
        <x:v>4</x:v>
      </x:c>
      <x:c r="CO116" s="142" t="n">
        <x:f>IF(C116="","",COUNT(G116:CB116)/74)</x:f>
        <x:v>0</x:v>
      </x:c>
      <x:c r="CP116" s="245"/>
    </x:row>
    <x:row r="117">
      <x:c r="A117" s="165" t="n">
        <x:v>113</x:v>
      </x:c>
      <x:c r="B117" s="233" t="str">
        <x:v>آبان</x:v>
      </x:c>
      <x:c r="C117" s="233" t="n">
        <x:f>IF('دانش‌آموزان'!E14="","",'دانش‌آموزان'!B14)</x:f>
        <x:v>10</x:v>
      </x:c>
      <x:c r="D117" s="233" t="str">
        <x:f>IF('دانش‌آموزان'!C14="","",'دانش‌آموزان'!C14)</x:f>
        <x:v>4000000101</x:v>
      </x:c>
      <x:c r="E117" s="233" t="str">
        <x:f>IF('دانش‌آموزان'!E14="","",'دانش‌آموزان'!E14&amp;" "&amp;'دانش‌آموزان'!F14)</x:f>
        <x:v>هلیا کریمی</x:v>
      </x:c>
      <x:c r="F117" s="166" t="str">
        <x:f>IF('دانش‌آموزان'!I14="","",'دانش‌آموزان'!I14)</x:f>
        <x:v>sample-7-a</x:v>
      </x:c>
      <x:c r="G117" s="114"/>
      <x:c r="H117" s="115"/>
      <x:c r="I117" s="115"/>
      <x:c r="J117" s="115"/>
      <x:c r="K117" s="115"/>
      <x:c r="L117" s="115"/>
      <x:c r="M117" s="115"/>
      <x:c r="N117" s="115"/>
      <x:c r="O117" s="115"/>
      <x:c r="P117" s="115"/>
      <x:c r="Q117" s="115"/>
      <x:c r="R117" s="115"/>
      <x:c r="S117" s="115"/>
      <x:c r="T117" s="115"/>
      <x:c r="U117" s="115"/>
      <x:c r="V117" s="115"/>
      <x:c r="W117" s="115"/>
      <x:c r="X117" s="115"/>
      <x:c r="Y117" s="115"/>
      <x:c r="Z117" s="115"/>
      <x:c r="AA117" s="115"/>
      <x:c r="AB117" s="115"/>
      <x:c r="AC117" s="115"/>
      <x:c r="AD117" s="115"/>
      <x:c r="AE117" s="115"/>
      <x:c r="AF117" s="115"/>
      <x:c r="AG117" s="115"/>
      <x:c r="AH117" s="115"/>
      <x:c r="AI117" s="115"/>
      <x:c r="AJ117" s="115"/>
      <x:c r="AK117" s="115"/>
      <x:c r="AL117" s="115"/>
      <x:c r="AM117" s="115"/>
      <x:c r="AN117" s="115"/>
      <x:c r="AO117" s="115"/>
      <x:c r="AP117" s="115"/>
      <x:c r="AQ117" s="115"/>
      <x:c r="AR117" s="115"/>
      <x:c r="AS117" s="115"/>
      <x:c r="AT117" s="115"/>
      <x:c r="AU117" s="115"/>
      <x:c r="AV117" s="115"/>
      <x:c r="AW117" s="115"/>
      <x:c r="AX117" s="115"/>
      <x:c r="AY117" s="115"/>
      <x:c r="AZ117" s="115"/>
      <x:c r="BA117" s="115"/>
      <x:c r="BB117" s="115"/>
      <x:c r="BC117" s="115"/>
      <x:c r="BD117" s="115"/>
      <x:c r="BE117" s="115"/>
      <x:c r="BF117" s="115"/>
      <x:c r="BG117" s="115"/>
      <x:c r="BH117" s="115"/>
      <x:c r="BI117" s="115"/>
      <x:c r="BJ117" s="115"/>
      <x:c r="BK117" s="115"/>
      <x:c r="BL117" s="115"/>
      <x:c r="BM117" s="115"/>
      <x:c r="BN117" s="115"/>
      <x:c r="BO117" s="115"/>
      <x:c r="BP117" s="115"/>
      <x:c r="BQ117" s="115"/>
      <x:c r="BR117" s="115"/>
      <x:c r="BS117" s="115"/>
      <x:c r="BT117" s="115"/>
      <x:c r="BU117" s="115"/>
      <x:c r="BV117" s="115"/>
      <x:c r="BW117" s="115"/>
      <x:c r="BX117" s="115"/>
      <x:c r="BY117" s="115"/>
      <x:c r="BZ117" s="115"/>
      <x:c r="CA117" s="115"/>
      <x:c r="CB117" s="116"/>
      <x:c r="CC117" s="141" t="str">
        <x:f>IF(COUNT(G117:P117)=0,"",AVERAGE(G117:P117)*4)</x:f>
      </x:c>
      <x:c r="CD117" s="178" t="str">
        <x:f>IF(COUNT(Q117:Z117)=0,"",AVERAGE(Q117:Z117)*4)</x:f>
      </x:c>
      <x:c r="CE117" s="178" t="str">
        <x:f>IF(COUNT(AA117:AJ117)=0,"",AVERAGE(AA117:AJ117)*4)</x:f>
      </x:c>
      <x:c r="CF117" s="178" t="str">
        <x:f>IF(COUNT(AK117:AR117)=0,"",AVERAGE(AK117:AR117)*4)</x:f>
      </x:c>
      <x:c r="CG117" s="178" t="str">
        <x:f>IF(COUNT(AS117:AY117)=0,"",AVERAGE(AS117:AY117)*4)</x:f>
      </x:c>
      <x:c r="CH117" s="178" t="str">
        <x:f>IF(COUNT(AZ117:BG117)=0,"",AVERAGE(AZ117:BG117)*4)</x:f>
      </x:c>
      <x:c r="CI117" s="178" t="str">
        <x:f>IF(COUNT(BH117:BN117)=0,"",AVERAGE(BH117:BN117)*4)</x:f>
      </x:c>
      <x:c r="CJ117" s="178" t="str">
        <x:f>IF(COUNT(BO117:BU117)=0,"",AVERAGE(BO117:BU117)*4)</x:f>
      </x:c>
      <x:c r="CK117" s="178" t="str">
        <x:f>IF(COUNT(BV117:CB117)=0,"",AVERAGE(BV117:CB117)*4)</x:f>
      </x:c>
      <x:c r="CL117" s="178" t="str">
        <x:f>IF(C117="","",IF(COUNT(G117:CB117)&lt;74,"",(CC117*'تنظیمات وزن‌دهی'!$C$5+CD117*'تنظیمات وزن‌دهی'!$C$6+CE117*'تنظیمات وزن‌دهی'!$C$7+CF117*'تنظیمات وزن‌دهی'!$C$8+CG117*'تنظیمات وزن‌دهی'!$C$9+CH117*'تنظیمات وزن‌دهی'!$C$10+CI117*'تنظیمات وزن‌دهی'!$C$11+CJ117*'تنظیمات وزن‌دهی'!$C$12+CK117*'تنظیمات وزن‌دهی'!$C$13)/100))</x:f>
      </x:c>
      <x:c r="CM117" s="178" t="str">
        <x:f>IF(C117="","",IF(COUNT(G117:CB117)=0,"",IF(COUNT(G117:CB117)&lt;74,"موقت - اطلاعات ناقص",IF(CL117&gt;=17,"عالی",IF(CL117&gt;=14,"خوب",IF(CL117&gt;=10,"متوسط","ضعیف"))))))</x:f>
      </x:c>
      <x:c r="CN117" s="178" t="n">
        <x:v>5</x:v>
      </x:c>
      <x:c r="CO117" s="142" t="n">
        <x:f>IF(C117="","",COUNT(G117:CB117)/74)</x:f>
        <x:v>0</x:v>
      </x:c>
      <x:c r="CP117" s="245"/>
    </x:row>
    <x:row r="118">
      <x:c r="A118" s="165" t="n">
        <x:v>114</x:v>
      </x:c>
      <x:c r="B118" s="233" t="str">
        <x:v>آذر</x:v>
      </x:c>
      <x:c r="C118" s="233" t="n">
        <x:f>IF('دانش‌آموزان'!E14="","",'دانش‌آموزان'!B14)</x:f>
        <x:v>10</x:v>
      </x:c>
      <x:c r="D118" s="233" t="str">
        <x:f>IF('دانش‌آموزان'!C14="","",'دانش‌آموزان'!C14)</x:f>
        <x:v>4000000101</x:v>
      </x:c>
      <x:c r="E118" s="233" t="str">
        <x:f>IF('دانش‌آموزان'!E14="","",'دانش‌آموزان'!E14&amp;" "&amp;'دانش‌آموزان'!F14)</x:f>
        <x:v>هلیا کریمی</x:v>
      </x:c>
      <x:c r="F118" s="166" t="str">
        <x:f>IF('دانش‌آموزان'!I14="","",'دانش‌آموزان'!I14)</x:f>
        <x:v>sample-7-a</x:v>
      </x:c>
      <x:c r="G118" s="114"/>
      <x:c r="H118" s="115"/>
      <x:c r="I118" s="115"/>
      <x:c r="J118" s="115"/>
      <x:c r="K118" s="115"/>
      <x:c r="L118" s="115"/>
      <x:c r="M118" s="115"/>
      <x:c r="N118" s="115"/>
      <x:c r="O118" s="115"/>
      <x:c r="P118" s="115"/>
      <x:c r="Q118" s="115"/>
      <x:c r="R118" s="115"/>
      <x:c r="S118" s="115"/>
      <x:c r="T118" s="115"/>
      <x:c r="U118" s="115"/>
      <x:c r="V118" s="115"/>
      <x:c r="W118" s="115"/>
      <x:c r="X118" s="115"/>
      <x:c r="Y118" s="115"/>
      <x:c r="Z118" s="115"/>
      <x:c r="AA118" s="115"/>
      <x:c r="AB118" s="115"/>
      <x:c r="AC118" s="115"/>
      <x:c r="AD118" s="115"/>
      <x:c r="AE118" s="115"/>
      <x:c r="AF118" s="115"/>
      <x:c r="AG118" s="115"/>
      <x:c r="AH118" s="115"/>
      <x:c r="AI118" s="115"/>
      <x:c r="AJ118" s="115"/>
      <x:c r="AK118" s="115"/>
      <x:c r="AL118" s="115"/>
      <x:c r="AM118" s="115"/>
      <x:c r="AN118" s="115"/>
      <x:c r="AO118" s="115"/>
      <x:c r="AP118" s="115"/>
      <x:c r="AQ118" s="115"/>
      <x:c r="AR118" s="115"/>
      <x:c r="AS118" s="115"/>
      <x:c r="AT118" s="115"/>
      <x:c r="AU118" s="115"/>
      <x:c r="AV118" s="115"/>
      <x:c r="AW118" s="115"/>
      <x:c r="AX118" s="115"/>
      <x:c r="AY118" s="115"/>
      <x:c r="AZ118" s="115"/>
      <x:c r="BA118" s="115"/>
      <x:c r="BB118" s="115"/>
      <x:c r="BC118" s="115"/>
      <x:c r="BD118" s="115"/>
      <x:c r="BE118" s="115"/>
      <x:c r="BF118" s="115"/>
      <x:c r="BG118" s="115"/>
      <x:c r="BH118" s="115"/>
      <x:c r="BI118" s="115"/>
      <x:c r="BJ118" s="115"/>
      <x:c r="BK118" s="115"/>
      <x:c r="BL118" s="115"/>
      <x:c r="BM118" s="115"/>
      <x:c r="BN118" s="115"/>
      <x:c r="BO118" s="115"/>
      <x:c r="BP118" s="115"/>
      <x:c r="BQ118" s="115"/>
      <x:c r="BR118" s="115"/>
      <x:c r="BS118" s="115"/>
      <x:c r="BT118" s="115"/>
      <x:c r="BU118" s="115"/>
      <x:c r="BV118" s="115"/>
      <x:c r="BW118" s="115"/>
      <x:c r="BX118" s="115"/>
      <x:c r="BY118" s="115"/>
      <x:c r="BZ118" s="115"/>
      <x:c r="CA118" s="115"/>
      <x:c r="CB118" s="116"/>
      <x:c r="CC118" s="141" t="str">
        <x:f>IF(COUNT(G118:P118)=0,"",AVERAGE(G118:P118)*4)</x:f>
      </x:c>
      <x:c r="CD118" s="178" t="str">
        <x:f>IF(COUNT(Q118:Z118)=0,"",AVERAGE(Q118:Z118)*4)</x:f>
      </x:c>
      <x:c r="CE118" s="178" t="str">
        <x:f>IF(COUNT(AA118:AJ118)=0,"",AVERAGE(AA118:AJ118)*4)</x:f>
      </x:c>
      <x:c r="CF118" s="178" t="str">
        <x:f>IF(COUNT(AK118:AR118)=0,"",AVERAGE(AK118:AR118)*4)</x:f>
      </x:c>
      <x:c r="CG118" s="178" t="str">
        <x:f>IF(COUNT(AS118:AY118)=0,"",AVERAGE(AS118:AY118)*4)</x:f>
      </x:c>
      <x:c r="CH118" s="178" t="str">
        <x:f>IF(COUNT(AZ118:BG118)=0,"",AVERAGE(AZ118:BG118)*4)</x:f>
      </x:c>
      <x:c r="CI118" s="178" t="str">
        <x:f>IF(COUNT(BH118:BN118)=0,"",AVERAGE(BH118:BN118)*4)</x:f>
      </x:c>
      <x:c r="CJ118" s="178" t="str">
        <x:f>IF(COUNT(BO118:BU118)=0,"",AVERAGE(BO118:BU118)*4)</x:f>
      </x:c>
      <x:c r="CK118" s="178" t="str">
        <x:f>IF(COUNT(BV118:CB118)=0,"",AVERAGE(BV118:CB118)*4)</x:f>
      </x:c>
      <x:c r="CL118" s="178" t="str">
        <x:f>IF(C118="","",IF(COUNT(G118:CB118)&lt;74,"",(CC118*'تنظیمات وزن‌دهی'!$C$5+CD118*'تنظیمات وزن‌دهی'!$C$6+CE118*'تنظیمات وزن‌دهی'!$C$7+CF118*'تنظیمات وزن‌دهی'!$C$8+CG118*'تنظیمات وزن‌دهی'!$C$9+CH118*'تنظیمات وزن‌دهی'!$C$10+CI118*'تنظیمات وزن‌دهی'!$C$11+CJ118*'تنظیمات وزن‌دهی'!$C$12+CK118*'تنظیمات وزن‌دهی'!$C$13)/100))</x:f>
      </x:c>
      <x:c r="CM118" s="178" t="str">
        <x:f>IF(C118="","",IF(COUNT(G118:CB118)=0,"",IF(COUNT(G118:CB118)&lt;74,"موقت - اطلاعات ناقص",IF(CL118&gt;=17,"عالی",IF(CL118&gt;=14,"خوب",IF(CL118&gt;=10,"متوسط","ضعیف"))))))</x:f>
      </x:c>
      <x:c r="CN118" s="178" t="n">
        <x:v>6</x:v>
      </x:c>
      <x:c r="CO118" s="142" t="n">
        <x:f>IF(C118="","",COUNT(G118:CB118)/74)</x:f>
        <x:v>0</x:v>
      </x:c>
      <x:c r="CP118" s="245"/>
    </x:row>
    <x:row r="119">
      <x:c r="A119" s="165" t="n">
        <x:v>115</x:v>
      </x:c>
      <x:c r="B119" s="233" t="str">
        <x:v>دی</x:v>
      </x:c>
      <x:c r="C119" s="233" t="n">
        <x:f>IF('دانش‌آموزان'!E14="","",'دانش‌آموزان'!B14)</x:f>
        <x:v>10</x:v>
      </x:c>
      <x:c r="D119" s="233" t="str">
        <x:f>IF('دانش‌آموزان'!C14="","",'دانش‌آموزان'!C14)</x:f>
        <x:v>4000000101</x:v>
      </x:c>
      <x:c r="E119" s="233" t="str">
        <x:f>IF('دانش‌آموزان'!E14="","",'دانش‌آموزان'!E14&amp;" "&amp;'دانش‌آموزان'!F14)</x:f>
        <x:v>هلیا کریمی</x:v>
      </x:c>
      <x:c r="F119" s="166" t="str">
        <x:f>IF('دانش‌آموزان'!I14="","",'دانش‌آموزان'!I14)</x:f>
        <x:v>sample-7-a</x:v>
      </x:c>
      <x:c r="G119" s="114"/>
      <x:c r="H119" s="115"/>
      <x:c r="I119" s="115"/>
      <x:c r="J119" s="115"/>
      <x:c r="K119" s="115"/>
      <x:c r="L119" s="115"/>
      <x:c r="M119" s="115"/>
      <x:c r="N119" s="115"/>
      <x:c r="O119" s="115"/>
      <x:c r="P119" s="115"/>
      <x:c r="Q119" s="115"/>
      <x:c r="R119" s="115"/>
      <x:c r="S119" s="115"/>
      <x:c r="T119" s="115"/>
      <x:c r="U119" s="115"/>
      <x:c r="V119" s="115"/>
      <x:c r="W119" s="115"/>
      <x:c r="X119" s="115"/>
      <x:c r="Y119" s="115"/>
      <x:c r="Z119" s="115"/>
      <x:c r="AA119" s="115"/>
      <x:c r="AB119" s="115"/>
      <x:c r="AC119" s="115"/>
      <x:c r="AD119" s="115"/>
      <x:c r="AE119" s="115"/>
      <x:c r="AF119" s="115"/>
      <x:c r="AG119" s="115"/>
      <x:c r="AH119" s="115"/>
      <x:c r="AI119" s="115"/>
      <x:c r="AJ119" s="115"/>
      <x:c r="AK119" s="115"/>
      <x:c r="AL119" s="115"/>
      <x:c r="AM119" s="115"/>
      <x:c r="AN119" s="115"/>
      <x:c r="AO119" s="115"/>
      <x:c r="AP119" s="115"/>
      <x:c r="AQ119" s="115"/>
      <x:c r="AR119" s="115"/>
      <x:c r="AS119" s="115"/>
      <x:c r="AT119" s="115"/>
      <x:c r="AU119" s="115"/>
      <x:c r="AV119" s="115"/>
      <x:c r="AW119" s="115"/>
      <x:c r="AX119" s="115"/>
      <x:c r="AY119" s="115"/>
      <x:c r="AZ119" s="115"/>
      <x:c r="BA119" s="115"/>
      <x:c r="BB119" s="115"/>
      <x:c r="BC119" s="115"/>
      <x:c r="BD119" s="115"/>
      <x:c r="BE119" s="115"/>
      <x:c r="BF119" s="115"/>
      <x:c r="BG119" s="115"/>
      <x:c r="BH119" s="115"/>
      <x:c r="BI119" s="115"/>
      <x:c r="BJ119" s="115"/>
      <x:c r="BK119" s="115"/>
      <x:c r="BL119" s="115"/>
      <x:c r="BM119" s="115"/>
      <x:c r="BN119" s="115"/>
      <x:c r="BO119" s="115"/>
      <x:c r="BP119" s="115"/>
      <x:c r="BQ119" s="115"/>
      <x:c r="BR119" s="115"/>
      <x:c r="BS119" s="115"/>
      <x:c r="BT119" s="115"/>
      <x:c r="BU119" s="115"/>
      <x:c r="BV119" s="115"/>
      <x:c r="BW119" s="115"/>
      <x:c r="BX119" s="115"/>
      <x:c r="BY119" s="115"/>
      <x:c r="BZ119" s="115"/>
      <x:c r="CA119" s="115"/>
      <x:c r="CB119" s="116"/>
      <x:c r="CC119" s="141" t="str">
        <x:f>IF(COUNT(G119:P119)=0,"",AVERAGE(G119:P119)*4)</x:f>
      </x:c>
      <x:c r="CD119" s="178" t="str">
        <x:f>IF(COUNT(Q119:Z119)=0,"",AVERAGE(Q119:Z119)*4)</x:f>
      </x:c>
      <x:c r="CE119" s="178" t="str">
        <x:f>IF(COUNT(AA119:AJ119)=0,"",AVERAGE(AA119:AJ119)*4)</x:f>
      </x:c>
      <x:c r="CF119" s="178" t="str">
        <x:f>IF(COUNT(AK119:AR119)=0,"",AVERAGE(AK119:AR119)*4)</x:f>
      </x:c>
      <x:c r="CG119" s="178" t="str">
        <x:f>IF(COUNT(AS119:AY119)=0,"",AVERAGE(AS119:AY119)*4)</x:f>
      </x:c>
      <x:c r="CH119" s="178" t="str">
        <x:f>IF(COUNT(AZ119:BG119)=0,"",AVERAGE(AZ119:BG119)*4)</x:f>
      </x:c>
      <x:c r="CI119" s="178" t="str">
        <x:f>IF(COUNT(BH119:BN119)=0,"",AVERAGE(BH119:BN119)*4)</x:f>
      </x:c>
      <x:c r="CJ119" s="178" t="str">
        <x:f>IF(COUNT(BO119:BU119)=0,"",AVERAGE(BO119:BU119)*4)</x:f>
      </x:c>
      <x:c r="CK119" s="178" t="str">
        <x:f>IF(COUNT(BV119:CB119)=0,"",AVERAGE(BV119:CB119)*4)</x:f>
      </x:c>
      <x:c r="CL119" s="178" t="str">
        <x:f>IF(C119="","",IF(COUNT(G119:CB119)&lt;74,"",(CC119*'تنظیمات وزن‌دهی'!$C$5+CD119*'تنظیمات وزن‌دهی'!$C$6+CE119*'تنظیمات وزن‌دهی'!$C$7+CF119*'تنظیمات وزن‌دهی'!$C$8+CG119*'تنظیمات وزن‌دهی'!$C$9+CH119*'تنظیمات وزن‌دهی'!$C$10+CI119*'تنظیمات وزن‌دهی'!$C$11+CJ119*'تنظیمات وزن‌دهی'!$C$12+CK119*'تنظیمات وزن‌دهی'!$C$13)/100))</x:f>
      </x:c>
      <x:c r="CM119" s="178" t="str">
        <x:f>IF(C119="","",IF(COUNT(G119:CB119)=0,"",IF(COUNT(G119:CB119)&lt;74,"موقت - اطلاعات ناقص",IF(CL119&gt;=17,"عالی",IF(CL119&gt;=14,"خوب",IF(CL119&gt;=10,"متوسط","ضعیف"))))))</x:f>
      </x:c>
      <x:c r="CN119" s="178" t="n">
        <x:v>7</x:v>
      </x:c>
      <x:c r="CO119" s="142" t="n">
        <x:f>IF(C119="","",COUNT(G119:CB119)/74)</x:f>
        <x:v>0</x:v>
      </x:c>
      <x:c r="CP119" s="245"/>
    </x:row>
    <x:row r="120">
      <x:c r="A120" s="165" t="n">
        <x:v>116</x:v>
      </x:c>
      <x:c r="B120" s="233" t="str">
        <x:v>بهمن</x:v>
      </x:c>
      <x:c r="C120" s="233" t="n">
        <x:f>IF('دانش‌آموزان'!E14="","",'دانش‌آموزان'!B14)</x:f>
        <x:v>10</x:v>
      </x:c>
      <x:c r="D120" s="233" t="str">
        <x:f>IF('دانش‌آموزان'!C14="","",'دانش‌آموزان'!C14)</x:f>
        <x:v>4000000101</x:v>
      </x:c>
      <x:c r="E120" s="233" t="str">
        <x:f>IF('دانش‌آموزان'!E14="","",'دانش‌آموزان'!E14&amp;" "&amp;'دانش‌آموزان'!F14)</x:f>
        <x:v>هلیا کریمی</x:v>
      </x:c>
      <x:c r="F120" s="166" t="str">
        <x:f>IF('دانش‌آموزان'!I14="","",'دانش‌آموزان'!I14)</x:f>
        <x:v>sample-7-a</x:v>
      </x:c>
      <x:c r="G120" s="114"/>
      <x:c r="H120" s="115"/>
      <x:c r="I120" s="115"/>
      <x:c r="J120" s="115"/>
      <x:c r="K120" s="115"/>
      <x:c r="L120" s="115"/>
      <x:c r="M120" s="115"/>
      <x:c r="N120" s="115"/>
      <x:c r="O120" s="115"/>
      <x:c r="P120" s="115"/>
      <x:c r="Q120" s="115"/>
      <x:c r="R120" s="115"/>
      <x:c r="S120" s="115"/>
      <x:c r="T120" s="115"/>
      <x:c r="U120" s="115"/>
      <x:c r="V120" s="115"/>
      <x:c r="W120" s="115"/>
      <x:c r="X120" s="115"/>
      <x:c r="Y120" s="115"/>
      <x:c r="Z120" s="115"/>
      <x:c r="AA120" s="115"/>
      <x:c r="AB120" s="115"/>
      <x:c r="AC120" s="115"/>
      <x:c r="AD120" s="115"/>
      <x:c r="AE120" s="115"/>
      <x:c r="AF120" s="115"/>
      <x:c r="AG120" s="115"/>
      <x:c r="AH120" s="115"/>
      <x:c r="AI120" s="115"/>
      <x:c r="AJ120" s="115"/>
      <x:c r="AK120" s="115"/>
      <x:c r="AL120" s="115"/>
      <x:c r="AM120" s="115"/>
      <x:c r="AN120" s="115"/>
      <x:c r="AO120" s="115"/>
      <x:c r="AP120" s="115"/>
      <x:c r="AQ120" s="115"/>
      <x:c r="AR120" s="115"/>
      <x:c r="AS120" s="115"/>
      <x:c r="AT120" s="115"/>
      <x:c r="AU120" s="115"/>
      <x:c r="AV120" s="115"/>
      <x:c r="AW120" s="115"/>
      <x:c r="AX120" s="115"/>
      <x:c r="AY120" s="115"/>
      <x:c r="AZ120" s="115"/>
      <x:c r="BA120" s="115"/>
      <x:c r="BB120" s="115"/>
      <x:c r="BC120" s="115"/>
      <x:c r="BD120" s="115"/>
      <x:c r="BE120" s="115"/>
      <x:c r="BF120" s="115"/>
      <x:c r="BG120" s="115"/>
      <x:c r="BH120" s="115"/>
      <x:c r="BI120" s="115"/>
      <x:c r="BJ120" s="115"/>
      <x:c r="BK120" s="115"/>
      <x:c r="BL120" s="115"/>
      <x:c r="BM120" s="115"/>
      <x:c r="BN120" s="115"/>
      <x:c r="BO120" s="115"/>
      <x:c r="BP120" s="115"/>
      <x:c r="BQ120" s="115"/>
      <x:c r="BR120" s="115"/>
      <x:c r="BS120" s="115"/>
      <x:c r="BT120" s="115"/>
      <x:c r="BU120" s="115"/>
      <x:c r="BV120" s="115"/>
      <x:c r="BW120" s="115"/>
      <x:c r="BX120" s="115"/>
      <x:c r="BY120" s="115"/>
      <x:c r="BZ120" s="115"/>
      <x:c r="CA120" s="115"/>
      <x:c r="CB120" s="116"/>
      <x:c r="CC120" s="141" t="str">
        <x:f>IF(COUNT(G120:P120)=0,"",AVERAGE(G120:P120)*4)</x:f>
      </x:c>
      <x:c r="CD120" s="178" t="str">
        <x:f>IF(COUNT(Q120:Z120)=0,"",AVERAGE(Q120:Z120)*4)</x:f>
      </x:c>
      <x:c r="CE120" s="178" t="str">
        <x:f>IF(COUNT(AA120:AJ120)=0,"",AVERAGE(AA120:AJ120)*4)</x:f>
      </x:c>
      <x:c r="CF120" s="178" t="str">
        <x:f>IF(COUNT(AK120:AR120)=0,"",AVERAGE(AK120:AR120)*4)</x:f>
      </x:c>
      <x:c r="CG120" s="178" t="str">
        <x:f>IF(COUNT(AS120:AY120)=0,"",AVERAGE(AS120:AY120)*4)</x:f>
      </x:c>
      <x:c r="CH120" s="178" t="str">
        <x:f>IF(COUNT(AZ120:BG120)=0,"",AVERAGE(AZ120:BG120)*4)</x:f>
      </x:c>
      <x:c r="CI120" s="178" t="str">
        <x:f>IF(COUNT(BH120:BN120)=0,"",AVERAGE(BH120:BN120)*4)</x:f>
      </x:c>
      <x:c r="CJ120" s="178" t="str">
        <x:f>IF(COUNT(BO120:BU120)=0,"",AVERAGE(BO120:BU120)*4)</x:f>
      </x:c>
      <x:c r="CK120" s="178" t="str">
        <x:f>IF(COUNT(BV120:CB120)=0,"",AVERAGE(BV120:CB120)*4)</x:f>
      </x:c>
      <x:c r="CL120" s="178" t="str">
        <x:f>IF(C120="","",IF(COUNT(G120:CB120)&lt;74,"",(CC120*'تنظیمات وزن‌دهی'!$C$5+CD120*'تنظیمات وزن‌دهی'!$C$6+CE120*'تنظیمات وزن‌دهی'!$C$7+CF120*'تنظیمات وزن‌دهی'!$C$8+CG120*'تنظیمات وزن‌دهی'!$C$9+CH120*'تنظیمات وزن‌دهی'!$C$10+CI120*'تنظیمات وزن‌دهی'!$C$11+CJ120*'تنظیمات وزن‌دهی'!$C$12+CK120*'تنظیمات وزن‌دهی'!$C$13)/100))</x:f>
      </x:c>
      <x:c r="CM120" s="178" t="str">
        <x:f>IF(C120="","",IF(COUNT(G120:CB120)=0,"",IF(COUNT(G120:CB120)&lt;74,"موقت - اطلاعات ناقص",IF(CL120&gt;=17,"عالی",IF(CL120&gt;=14,"خوب",IF(CL120&gt;=10,"متوسط","ضعیف"))))))</x:f>
      </x:c>
      <x:c r="CN120" s="178" t="n">
        <x:v>8</x:v>
      </x:c>
      <x:c r="CO120" s="142" t="n">
        <x:f>IF(C120="","",COUNT(G120:CB120)/74)</x:f>
        <x:v>0</x:v>
      </x:c>
      <x:c r="CP120" s="245"/>
    </x:row>
    <x:row r="121">
      <x:c r="A121" s="165" t="n">
        <x:v>117</x:v>
      </x:c>
      <x:c r="B121" s="233" t="str">
        <x:v>اسفند</x:v>
      </x:c>
      <x:c r="C121" s="233" t="n">
        <x:f>IF('دانش‌آموزان'!E14="","",'دانش‌آموزان'!B14)</x:f>
        <x:v>10</x:v>
      </x:c>
      <x:c r="D121" s="233" t="str">
        <x:f>IF('دانش‌آموزان'!C14="","",'دانش‌آموزان'!C14)</x:f>
        <x:v>4000000101</x:v>
      </x:c>
      <x:c r="E121" s="233" t="str">
        <x:f>IF('دانش‌آموزان'!E14="","",'دانش‌آموزان'!E14&amp;" "&amp;'دانش‌آموزان'!F14)</x:f>
        <x:v>هلیا کریمی</x:v>
      </x:c>
      <x:c r="F121" s="166" t="str">
        <x:f>IF('دانش‌آموزان'!I14="","",'دانش‌آموزان'!I14)</x:f>
        <x:v>sample-7-a</x:v>
      </x:c>
      <x:c r="G121" s="114"/>
      <x:c r="H121" s="115"/>
      <x:c r="I121" s="115"/>
      <x:c r="J121" s="115"/>
      <x:c r="K121" s="115"/>
      <x:c r="L121" s="115"/>
      <x:c r="M121" s="115"/>
      <x:c r="N121" s="115"/>
      <x:c r="O121" s="115"/>
      <x:c r="P121" s="115"/>
      <x:c r="Q121" s="115"/>
      <x:c r="R121" s="115"/>
      <x:c r="S121" s="115"/>
      <x:c r="T121" s="115"/>
      <x:c r="U121" s="115"/>
      <x:c r="V121" s="115"/>
      <x:c r="W121" s="115"/>
      <x:c r="X121" s="115"/>
      <x:c r="Y121" s="115"/>
      <x:c r="Z121" s="115"/>
      <x:c r="AA121" s="115"/>
      <x:c r="AB121" s="115"/>
      <x:c r="AC121" s="115"/>
      <x:c r="AD121" s="115"/>
      <x:c r="AE121" s="115"/>
      <x:c r="AF121" s="115"/>
      <x:c r="AG121" s="115"/>
      <x:c r="AH121" s="115"/>
      <x:c r="AI121" s="115"/>
      <x:c r="AJ121" s="115"/>
      <x:c r="AK121" s="115"/>
      <x:c r="AL121" s="115"/>
      <x:c r="AM121" s="115"/>
      <x:c r="AN121" s="115"/>
      <x:c r="AO121" s="115"/>
      <x:c r="AP121" s="115"/>
      <x:c r="AQ121" s="115"/>
      <x:c r="AR121" s="115"/>
      <x:c r="AS121" s="115"/>
      <x:c r="AT121" s="115"/>
      <x:c r="AU121" s="115"/>
      <x:c r="AV121" s="115"/>
      <x:c r="AW121" s="115"/>
      <x:c r="AX121" s="115"/>
      <x:c r="AY121" s="115"/>
      <x:c r="AZ121" s="115"/>
      <x:c r="BA121" s="115"/>
      <x:c r="BB121" s="115"/>
      <x:c r="BC121" s="115"/>
      <x:c r="BD121" s="115"/>
      <x:c r="BE121" s="115"/>
      <x:c r="BF121" s="115"/>
      <x:c r="BG121" s="115"/>
      <x:c r="BH121" s="115"/>
      <x:c r="BI121" s="115"/>
      <x:c r="BJ121" s="115"/>
      <x:c r="BK121" s="115"/>
      <x:c r="BL121" s="115"/>
      <x:c r="BM121" s="115"/>
      <x:c r="BN121" s="115"/>
      <x:c r="BO121" s="115"/>
      <x:c r="BP121" s="115"/>
      <x:c r="BQ121" s="115"/>
      <x:c r="BR121" s="115"/>
      <x:c r="BS121" s="115"/>
      <x:c r="BT121" s="115"/>
      <x:c r="BU121" s="115"/>
      <x:c r="BV121" s="115"/>
      <x:c r="BW121" s="115"/>
      <x:c r="BX121" s="115"/>
      <x:c r="BY121" s="115"/>
      <x:c r="BZ121" s="115"/>
      <x:c r="CA121" s="115"/>
      <x:c r="CB121" s="116"/>
      <x:c r="CC121" s="141" t="str">
        <x:f>IF(COUNT(G121:P121)=0,"",AVERAGE(G121:P121)*4)</x:f>
      </x:c>
      <x:c r="CD121" s="178" t="str">
        <x:f>IF(COUNT(Q121:Z121)=0,"",AVERAGE(Q121:Z121)*4)</x:f>
      </x:c>
      <x:c r="CE121" s="178" t="str">
        <x:f>IF(COUNT(AA121:AJ121)=0,"",AVERAGE(AA121:AJ121)*4)</x:f>
      </x:c>
      <x:c r="CF121" s="178" t="str">
        <x:f>IF(COUNT(AK121:AR121)=0,"",AVERAGE(AK121:AR121)*4)</x:f>
      </x:c>
      <x:c r="CG121" s="178" t="str">
        <x:f>IF(COUNT(AS121:AY121)=0,"",AVERAGE(AS121:AY121)*4)</x:f>
      </x:c>
      <x:c r="CH121" s="178" t="str">
        <x:f>IF(COUNT(AZ121:BG121)=0,"",AVERAGE(AZ121:BG121)*4)</x:f>
      </x:c>
      <x:c r="CI121" s="178" t="str">
        <x:f>IF(COUNT(BH121:BN121)=0,"",AVERAGE(BH121:BN121)*4)</x:f>
      </x:c>
      <x:c r="CJ121" s="178" t="str">
        <x:f>IF(COUNT(BO121:BU121)=0,"",AVERAGE(BO121:BU121)*4)</x:f>
      </x:c>
      <x:c r="CK121" s="178" t="str">
        <x:f>IF(COUNT(BV121:CB121)=0,"",AVERAGE(BV121:CB121)*4)</x:f>
      </x:c>
      <x:c r="CL121" s="178" t="str">
        <x:f>IF(C121="","",IF(COUNT(G121:CB121)&lt;74,"",(CC121*'تنظیمات وزن‌دهی'!$C$5+CD121*'تنظیمات وزن‌دهی'!$C$6+CE121*'تنظیمات وزن‌دهی'!$C$7+CF121*'تنظیمات وزن‌دهی'!$C$8+CG121*'تنظیمات وزن‌دهی'!$C$9+CH121*'تنظیمات وزن‌دهی'!$C$10+CI121*'تنظیمات وزن‌دهی'!$C$11+CJ121*'تنظیمات وزن‌دهی'!$C$12+CK121*'تنظیمات وزن‌دهی'!$C$13)/100))</x:f>
      </x:c>
      <x:c r="CM121" s="178" t="str">
        <x:f>IF(C121="","",IF(COUNT(G121:CB121)=0,"",IF(COUNT(G121:CB121)&lt;74,"موقت - اطلاعات ناقص",IF(CL121&gt;=17,"عالی",IF(CL121&gt;=14,"خوب",IF(CL121&gt;=10,"متوسط","ضعیف"))))))</x:f>
      </x:c>
      <x:c r="CN121" s="178" t="n">
        <x:v>9</x:v>
      </x:c>
      <x:c r="CO121" s="142" t="n">
        <x:f>IF(C121="","",COUNT(G121:CB121)/74)</x:f>
        <x:v>0</x:v>
      </x:c>
      <x:c r="CP121" s="245"/>
    </x:row>
    <x:row r="122">
      <x:c r="A122" s="165" t="n">
        <x:v>118</x:v>
      </x:c>
      <x:c r="B122" s="233" t="str">
        <x:v>فروردین</x:v>
      </x:c>
      <x:c r="C122" s="233" t="n">
        <x:f>IF('دانش‌آموزان'!E14="","",'دانش‌آموزان'!B14)</x:f>
        <x:v>10</x:v>
      </x:c>
      <x:c r="D122" s="233" t="str">
        <x:f>IF('دانش‌آموزان'!C14="","",'دانش‌آموزان'!C14)</x:f>
        <x:v>4000000101</x:v>
      </x:c>
      <x:c r="E122" s="233" t="str">
        <x:f>IF('دانش‌آموزان'!E14="","",'دانش‌آموزان'!E14&amp;" "&amp;'دانش‌آموزان'!F14)</x:f>
        <x:v>هلیا کریمی</x:v>
      </x:c>
      <x:c r="F122" s="166" t="str">
        <x:f>IF('دانش‌آموزان'!I14="","",'دانش‌آموزان'!I14)</x:f>
        <x:v>sample-7-a</x:v>
      </x:c>
      <x:c r="G122" s="114"/>
      <x:c r="H122" s="115"/>
      <x:c r="I122" s="115"/>
      <x:c r="J122" s="115"/>
      <x:c r="K122" s="115"/>
      <x:c r="L122" s="115"/>
      <x:c r="M122" s="115"/>
      <x:c r="N122" s="115"/>
      <x:c r="O122" s="115"/>
      <x:c r="P122" s="115"/>
      <x:c r="Q122" s="115"/>
      <x:c r="R122" s="115"/>
      <x:c r="S122" s="115"/>
      <x:c r="T122" s="115"/>
      <x:c r="U122" s="115"/>
      <x:c r="V122" s="115"/>
      <x:c r="W122" s="115"/>
      <x:c r="X122" s="115"/>
      <x:c r="Y122" s="115"/>
      <x:c r="Z122" s="115"/>
      <x:c r="AA122" s="115"/>
      <x:c r="AB122" s="115"/>
      <x:c r="AC122" s="115"/>
      <x:c r="AD122" s="115"/>
      <x:c r="AE122" s="115"/>
      <x:c r="AF122" s="115"/>
      <x:c r="AG122" s="115"/>
      <x:c r="AH122" s="115"/>
      <x:c r="AI122" s="115"/>
      <x:c r="AJ122" s="115"/>
      <x:c r="AK122" s="115"/>
      <x:c r="AL122" s="115"/>
      <x:c r="AM122" s="115"/>
      <x:c r="AN122" s="115"/>
      <x:c r="AO122" s="115"/>
      <x:c r="AP122" s="115"/>
      <x:c r="AQ122" s="115"/>
      <x:c r="AR122" s="115"/>
      <x:c r="AS122" s="115"/>
      <x:c r="AT122" s="115"/>
      <x:c r="AU122" s="115"/>
      <x:c r="AV122" s="115"/>
      <x:c r="AW122" s="115"/>
      <x:c r="AX122" s="115"/>
      <x:c r="AY122" s="115"/>
      <x:c r="AZ122" s="115"/>
      <x:c r="BA122" s="115"/>
      <x:c r="BB122" s="115"/>
      <x:c r="BC122" s="115"/>
      <x:c r="BD122" s="115"/>
      <x:c r="BE122" s="115"/>
      <x:c r="BF122" s="115"/>
      <x:c r="BG122" s="115"/>
      <x:c r="BH122" s="115"/>
      <x:c r="BI122" s="115"/>
      <x:c r="BJ122" s="115"/>
      <x:c r="BK122" s="115"/>
      <x:c r="BL122" s="115"/>
      <x:c r="BM122" s="115"/>
      <x:c r="BN122" s="115"/>
      <x:c r="BO122" s="115"/>
      <x:c r="BP122" s="115"/>
      <x:c r="BQ122" s="115"/>
      <x:c r="BR122" s="115"/>
      <x:c r="BS122" s="115"/>
      <x:c r="BT122" s="115"/>
      <x:c r="BU122" s="115"/>
      <x:c r="BV122" s="115"/>
      <x:c r="BW122" s="115"/>
      <x:c r="BX122" s="115"/>
      <x:c r="BY122" s="115"/>
      <x:c r="BZ122" s="115"/>
      <x:c r="CA122" s="115"/>
      <x:c r="CB122" s="116"/>
      <x:c r="CC122" s="141" t="str">
        <x:f>IF(COUNT(G122:P122)=0,"",AVERAGE(G122:P122)*4)</x:f>
      </x:c>
      <x:c r="CD122" s="178" t="str">
        <x:f>IF(COUNT(Q122:Z122)=0,"",AVERAGE(Q122:Z122)*4)</x:f>
      </x:c>
      <x:c r="CE122" s="178" t="str">
        <x:f>IF(COUNT(AA122:AJ122)=0,"",AVERAGE(AA122:AJ122)*4)</x:f>
      </x:c>
      <x:c r="CF122" s="178" t="str">
        <x:f>IF(COUNT(AK122:AR122)=0,"",AVERAGE(AK122:AR122)*4)</x:f>
      </x:c>
      <x:c r="CG122" s="178" t="str">
        <x:f>IF(COUNT(AS122:AY122)=0,"",AVERAGE(AS122:AY122)*4)</x:f>
      </x:c>
      <x:c r="CH122" s="178" t="str">
        <x:f>IF(COUNT(AZ122:BG122)=0,"",AVERAGE(AZ122:BG122)*4)</x:f>
      </x:c>
      <x:c r="CI122" s="178" t="str">
        <x:f>IF(COUNT(BH122:BN122)=0,"",AVERAGE(BH122:BN122)*4)</x:f>
      </x:c>
      <x:c r="CJ122" s="178" t="str">
        <x:f>IF(COUNT(BO122:BU122)=0,"",AVERAGE(BO122:BU122)*4)</x:f>
      </x:c>
      <x:c r="CK122" s="178" t="str">
        <x:f>IF(COUNT(BV122:CB122)=0,"",AVERAGE(BV122:CB122)*4)</x:f>
      </x:c>
      <x:c r="CL122" s="178" t="str">
        <x:f>IF(C122="","",IF(COUNT(G122:CB122)&lt;74,"",(CC122*'تنظیمات وزن‌دهی'!$C$5+CD122*'تنظیمات وزن‌دهی'!$C$6+CE122*'تنظیمات وزن‌دهی'!$C$7+CF122*'تنظیمات وزن‌دهی'!$C$8+CG122*'تنظیمات وزن‌دهی'!$C$9+CH122*'تنظیمات وزن‌دهی'!$C$10+CI122*'تنظیمات وزن‌دهی'!$C$11+CJ122*'تنظیمات وزن‌دهی'!$C$12+CK122*'تنظیمات وزن‌دهی'!$C$13)/100))</x:f>
      </x:c>
      <x:c r="CM122" s="178" t="str">
        <x:f>IF(C122="","",IF(COUNT(G122:CB122)=0,"",IF(COUNT(G122:CB122)&lt;74,"موقت - اطلاعات ناقص",IF(CL122&gt;=17,"عالی",IF(CL122&gt;=14,"خوب",IF(CL122&gt;=10,"متوسط","ضعیف"))))))</x:f>
      </x:c>
      <x:c r="CN122" s="178" t="n">
        <x:v>10</x:v>
      </x:c>
      <x:c r="CO122" s="142" t="n">
        <x:f>IF(C122="","",COUNT(G122:CB122)/74)</x:f>
        <x:v>0</x:v>
      </x:c>
      <x:c r="CP122" s="245"/>
    </x:row>
    <x:row r="123">
      <x:c r="A123" s="165" t="n">
        <x:v>119</x:v>
      </x:c>
      <x:c r="B123" s="233" t="str">
        <x:v>اردیبهشت</x:v>
      </x:c>
      <x:c r="C123" s="233" t="n">
        <x:f>IF('دانش‌آموزان'!E14="","",'دانش‌آموزان'!B14)</x:f>
        <x:v>10</x:v>
      </x:c>
      <x:c r="D123" s="233" t="str">
        <x:f>IF('دانش‌آموزان'!C14="","",'دانش‌آموزان'!C14)</x:f>
        <x:v>4000000101</x:v>
      </x:c>
      <x:c r="E123" s="233" t="str">
        <x:f>IF('دانش‌آموزان'!E14="","",'دانش‌آموزان'!E14&amp;" "&amp;'دانش‌آموزان'!F14)</x:f>
        <x:v>هلیا کریمی</x:v>
      </x:c>
      <x:c r="F123" s="166" t="str">
        <x:f>IF('دانش‌آموزان'!I14="","",'دانش‌آموزان'!I14)</x:f>
        <x:v>sample-7-a</x:v>
      </x:c>
      <x:c r="G123" s="114"/>
      <x:c r="H123" s="115"/>
      <x:c r="I123" s="115"/>
      <x:c r="J123" s="115"/>
      <x:c r="K123" s="115"/>
      <x:c r="L123" s="115"/>
      <x:c r="M123" s="115"/>
      <x:c r="N123" s="115"/>
      <x:c r="O123" s="115"/>
      <x:c r="P123" s="115"/>
      <x:c r="Q123" s="115"/>
      <x:c r="R123" s="115"/>
      <x:c r="S123" s="115"/>
      <x:c r="T123" s="115"/>
      <x:c r="U123" s="115"/>
      <x:c r="V123" s="115"/>
      <x:c r="W123" s="115"/>
      <x:c r="X123" s="115"/>
      <x:c r="Y123" s="115"/>
      <x:c r="Z123" s="115"/>
      <x:c r="AA123" s="115"/>
      <x:c r="AB123" s="115"/>
      <x:c r="AC123" s="115"/>
      <x:c r="AD123" s="115"/>
      <x:c r="AE123" s="115"/>
      <x:c r="AF123" s="115"/>
      <x:c r="AG123" s="115"/>
      <x:c r="AH123" s="115"/>
      <x:c r="AI123" s="115"/>
      <x:c r="AJ123" s="115"/>
      <x:c r="AK123" s="115"/>
      <x:c r="AL123" s="115"/>
      <x:c r="AM123" s="115"/>
      <x:c r="AN123" s="115"/>
      <x:c r="AO123" s="115"/>
      <x:c r="AP123" s="115"/>
      <x:c r="AQ123" s="115"/>
      <x:c r="AR123" s="115"/>
      <x:c r="AS123" s="115"/>
      <x:c r="AT123" s="115"/>
      <x:c r="AU123" s="115"/>
      <x:c r="AV123" s="115"/>
      <x:c r="AW123" s="115"/>
      <x:c r="AX123" s="115"/>
      <x:c r="AY123" s="115"/>
      <x:c r="AZ123" s="115"/>
      <x:c r="BA123" s="115"/>
      <x:c r="BB123" s="115"/>
      <x:c r="BC123" s="115"/>
      <x:c r="BD123" s="115"/>
      <x:c r="BE123" s="115"/>
      <x:c r="BF123" s="115"/>
      <x:c r="BG123" s="115"/>
      <x:c r="BH123" s="115"/>
      <x:c r="BI123" s="115"/>
      <x:c r="BJ123" s="115"/>
      <x:c r="BK123" s="115"/>
      <x:c r="BL123" s="115"/>
      <x:c r="BM123" s="115"/>
      <x:c r="BN123" s="115"/>
      <x:c r="BO123" s="115"/>
      <x:c r="BP123" s="115"/>
      <x:c r="BQ123" s="115"/>
      <x:c r="BR123" s="115"/>
      <x:c r="BS123" s="115"/>
      <x:c r="BT123" s="115"/>
      <x:c r="BU123" s="115"/>
      <x:c r="BV123" s="115"/>
      <x:c r="BW123" s="115"/>
      <x:c r="BX123" s="115"/>
      <x:c r="BY123" s="115"/>
      <x:c r="BZ123" s="115"/>
      <x:c r="CA123" s="115"/>
      <x:c r="CB123" s="116"/>
      <x:c r="CC123" s="141" t="str">
        <x:f>IF(COUNT(G123:P123)=0,"",AVERAGE(G123:P123)*4)</x:f>
      </x:c>
      <x:c r="CD123" s="178" t="str">
        <x:f>IF(COUNT(Q123:Z123)=0,"",AVERAGE(Q123:Z123)*4)</x:f>
      </x:c>
      <x:c r="CE123" s="178" t="str">
        <x:f>IF(COUNT(AA123:AJ123)=0,"",AVERAGE(AA123:AJ123)*4)</x:f>
      </x:c>
      <x:c r="CF123" s="178" t="str">
        <x:f>IF(COUNT(AK123:AR123)=0,"",AVERAGE(AK123:AR123)*4)</x:f>
      </x:c>
      <x:c r="CG123" s="178" t="str">
        <x:f>IF(COUNT(AS123:AY123)=0,"",AVERAGE(AS123:AY123)*4)</x:f>
      </x:c>
      <x:c r="CH123" s="178" t="str">
        <x:f>IF(COUNT(AZ123:BG123)=0,"",AVERAGE(AZ123:BG123)*4)</x:f>
      </x:c>
      <x:c r="CI123" s="178" t="str">
        <x:f>IF(COUNT(BH123:BN123)=0,"",AVERAGE(BH123:BN123)*4)</x:f>
      </x:c>
      <x:c r="CJ123" s="178" t="str">
        <x:f>IF(COUNT(BO123:BU123)=0,"",AVERAGE(BO123:BU123)*4)</x:f>
      </x:c>
      <x:c r="CK123" s="178" t="str">
        <x:f>IF(COUNT(BV123:CB123)=0,"",AVERAGE(BV123:CB123)*4)</x:f>
      </x:c>
      <x:c r="CL123" s="178" t="str">
        <x:f>IF(C123="","",IF(COUNT(G123:CB123)&lt;74,"",(CC123*'تنظیمات وزن‌دهی'!$C$5+CD123*'تنظیمات وزن‌دهی'!$C$6+CE123*'تنظیمات وزن‌دهی'!$C$7+CF123*'تنظیمات وزن‌دهی'!$C$8+CG123*'تنظیمات وزن‌دهی'!$C$9+CH123*'تنظیمات وزن‌دهی'!$C$10+CI123*'تنظیمات وزن‌دهی'!$C$11+CJ123*'تنظیمات وزن‌دهی'!$C$12+CK123*'تنظیمات وزن‌دهی'!$C$13)/100))</x:f>
      </x:c>
      <x:c r="CM123" s="178" t="str">
        <x:f>IF(C123="","",IF(COUNT(G123:CB123)=0,"",IF(COUNT(G123:CB123)&lt;74,"موقت - اطلاعات ناقص",IF(CL123&gt;=17,"عالی",IF(CL123&gt;=14,"خوب",IF(CL123&gt;=10,"متوسط","ضعیف"))))))</x:f>
      </x:c>
      <x:c r="CN123" s="178" t="n">
        <x:v>11</x:v>
      </x:c>
      <x:c r="CO123" s="142" t="n">
        <x:f>IF(C123="","",COUNT(G123:CB123)/74)</x:f>
        <x:v>0</x:v>
      </x:c>
      <x:c r="CP123" s="245"/>
    </x:row>
    <x:row r="124">
      <x:c r="A124" s="165" t="n">
        <x:v>120</x:v>
      </x:c>
      <x:c r="B124" s="233" t="str">
        <x:v>خرداد</x:v>
      </x:c>
      <x:c r="C124" s="233" t="n">
        <x:f>IF('دانش‌آموزان'!E14="","",'دانش‌آموزان'!B14)</x:f>
        <x:v>10</x:v>
      </x:c>
      <x:c r="D124" s="233" t="str">
        <x:f>IF('دانش‌آموزان'!C14="","",'دانش‌آموزان'!C14)</x:f>
        <x:v>4000000101</x:v>
      </x:c>
      <x:c r="E124" s="233" t="str">
        <x:f>IF('دانش‌آموزان'!E14="","",'دانش‌آموزان'!E14&amp;" "&amp;'دانش‌آموزان'!F14)</x:f>
        <x:v>هلیا کریمی</x:v>
      </x:c>
      <x:c r="F124" s="166" t="str">
        <x:f>IF('دانش‌آموزان'!I14="","",'دانش‌آموزان'!I14)</x:f>
        <x:v>sample-7-a</x:v>
      </x:c>
      <x:c r="G124" s="114"/>
      <x:c r="H124" s="115"/>
      <x:c r="I124" s="115"/>
      <x:c r="J124" s="115"/>
      <x:c r="K124" s="115"/>
      <x:c r="L124" s="115"/>
      <x:c r="M124" s="115"/>
      <x:c r="N124" s="115"/>
      <x:c r="O124" s="115"/>
      <x:c r="P124" s="115"/>
      <x:c r="Q124" s="115"/>
      <x:c r="R124" s="115"/>
      <x:c r="S124" s="115"/>
      <x:c r="T124" s="115"/>
      <x:c r="U124" s="115"/>
      <x:c r="V124" s="115"/>
      <x:c r="W124" s="115"/>
      <x:c r="X124" s="115"/>
      <x:c r="Y124" s="115"/>
      <x:c r="Z124" s="115"/>
      <x:c r="AA124" s="115"/>
      <x:c r="AB124" s="115"/>
      <x:c r="AC124" s="115"/>
      <x:c r="AD124" s="115"/>
      <x:c r="AE124" s="115"/>
      <x:c r="AF124" s="115"/>
      <x:c r="AG124" s="115"/>
      <x:c r="AH124" s="115"/>
      <x:c r="AI124" s="115"/>
      <x:c r="AJ124" s="115"/>
      <x:c r="AK124" s="115"/>
      <x:c r="AL124" s="115"/>
      <x:c r="AM124" s="115"/>
      <x:c r="AN124" s="115"/>
      <x:c r="AO124" s="115"/>
      <x:c r="AP124" s="115"/>
      <x:c r="AQ124" s="115"/>
      <x:c r="AR124" s="115"/>
      <x:c r="AS124" s="115"/>
      <x:c r="AT124" s="115"/>
      <x:c r="AU124" s="115"/>
      <x:c r="AV124" s="115"/>
      <x:c r="AW124" s="115"/>
      <x:c r="AX124" s="115"/>
      <x:c r="AY124" s="115"/>
      <x:c r="AZ124" s="115"/>
      <x:c r="BA124" s="115"/>
      <x:c r="BB124" s="115"/>
      <x:c r="BC124" s="115"/>
      <x:c r="BD124" s="115"/>
      <x:c r="BE124" s="115"/>
      <x:c r="BF124" s="115"/>
      <x:c r="BG124" s="115"/>
      <x:c r="BH124" s="115"/>
      <x:c r="BI124" s="115"/>
      <x:c r="BJ124" s="115"/>
      <x:c r="BK124" s="115"/>
      <x:c r="BL124" s="115"/>
      <x:c r="BM124" s="115"/>
      <x:c r="BN124" s="115"/>
      <x:c r="BO124" s="115"/>
      <x:c r="BP124" s="115"/>
      <x:c r="BQ124" s="115"/>
      <x:c r="BR124" s="115"/>
      <x:c r="BS124" s="115"/>
      <x:c r="BT124" s="115"/>
      <x:c r="BU124" s="115"/>
      <x:c r="BV124" s="115"/>
      <x:c r="BW124" s="115"/>
      <x:c r="BX124" s="115"/>
      <x:c r="BY124" s="115"/>
      <x:c r="BZ124" s="115"/>
      <x:c r="CA124" s="115"/>
      <x:c r="CB124" s="116"/>
      <x:c r="CC124" s="141" t="str">
        <x:f>IF(COUNT(G124:P124)=0,"",AVERAGE(G124:P124)*4)</x:f>
      </x:c>
      <x:c r="CD124" s="178" t="str">
        <x:f>IF(COUNT(Q124:Z124)=0,"",AVERAGE(Q124:Z124)*4)</x:f>
      </x:c>
      <x:c r="CE124" s="178" t="str">
        <x:f>IF(COUNT(AA124:AJ124)=0,"",AVERAGE(AA124:AJ124)*4)</x:f>
      </x:c>
      <x:c r="CF124" s="178" t="str">
        <x:f>IF(COUNT(AK124:AR124)=0,"",AVERAGE(AK124:AR124)*4)</x:f>
      </x:c>
      <x:c r="CG124" s="178" t="str">
        <x:f>IF(COUNT(AS124:AY124)=0,"",AVERAGE(AS124:AY124)*4)</x:f>
      </x:c>
      <x:c r="CH124" s="178" t="str">
        <x:f>IF(COUNT(AZ124:BG124)=0,"",AVERAGE(AZ124:BG124)*4)</x:f>
      </x:c>
      <x:c r="CI124" s="178" t="str">
        <x:f>IF(COUNT(BH124:BN124)=0,"",AVERAGE(BH124:BN124)*4)</x:f>
      </x:c>
      <x:c r="CJ124" s="178" t="str">
        <x:f>IF(COUNT(BO124:BU124)=0,"",AVERAGE(BO124:BU124)*4)</x:f>
      </x:c>
      <x:c r="CK124" s="178" t="str">
        <x:f>IF(COUNT(BV124:CB124)=0,"",AVERAGE(BV124:CB124)*4)</x:f>
      </x:c>
      <x:c r="CL124" s="178" t="str">
        <x:f>IF(C124="","",IF(COUNT(G124:CB124)&lt;74,"",(CC124*'تنظیمات وزن‌دهی'!$C$5+CD124*'تنظیمات وزن‌دهی'!$C$6+CE124*'تنظیمات وزن‌دهی'!$C$7+CF124*'تنظیمات وزن‌دهی'!$C$8+CG124*'تنظیمات وزن‌دهی'!$C$9+CH124*'تنظیمات وزن‌دهی'!$C$10+CI124*'تنظیمات وزن‌دهی'!$C$11+CJ124*'تنظیمات وزن‌دهی'!$C$12+CK124*'تنظیمات وزن‌دهی'!$C$13)/100))</x:f>
      </x:c>
      <x:c r="CM124" s="178" t="str">
        <x:f>IF(C124="","",IF(COUNT(G124:CB124)=0,"",IF(COUNT(G124:CB124)&lt;74,"موقت - اطلاعات ناقص",IF(CL124&gt;=17,"عالی",IF(CL124&gt;=14,"خوب",IF(CL124&gt;=10,"متوسط","ضعیف"))))))</x:f>
      </x:c>
      <x:c r="CN124" s="178" t="n">
        <x:v>12</x:v>
      </x:c>
      <x:c r="CO124" s="142" t="n">
        <x:f>IF(C124="","",COUNT(G124:CB124)/74)</x:f>
        <x:v>0</x:v>
      </x:c>
      <x:c r="CP124" s="245"/>
    </x:row>
    <x:row r="125">
      <x:c r="A125" s="165" t="n">
        <x:v>121</x:v>
      </x:c>
      <x:c r="B125" s="233" t="str">
        <x:v>تیر</x:v>
      </x:c>
      <x:c r="C125" s="233" t="n">
        <x:f>IF('دانش‌آموزان'!E15="","",'دانش‌آموزان'!B15)</x:f>
        <x:v>11</x:v>
      </x:c>
      <x:c r="D125" s="233" t="str">
        <x:f>IF('دانش‌آموزان'!C15="","",'دانش‌آموزان'!C15)</x:f>
        <x:v>4000000111</x:v>
      </x:c>
      <x:c r="E125" s="233" t="str">
        <x:f>IF('دانش‌آموزان'!E15="","",'دانش‌آموزان'!E15&amp;" "&amp;'دانش‌آموزان'!F15)</x:f>
        <x:v>پارسا موسوی</x:v>
      </x:c>
      <x:c r="F125" s="166" t="str">
        <x:f>IF('دانش‌آموزان'!I15="","",'دانش‌آموزان'!I15)</x:f>
        <x:v>sample-7-a</x:v>
      </x:c>
      <x:c r="G125" s="114" t="n">
        <x:v>5</x:v>
      </x:c>
      <x:c r="H125" s="115" t="n">
        <x:v>3</x:v>
      </x:c>
      <x:c r="I125" s="115" t="n">
        <x:v>4</x:v>
      </x:c>
      <x:c r="J125" s="115" t="n">
        <x:v>3</x:v>
      </x:c>
      <x:c r="K125" s="115" t="n">
        <x:v>4</x:v>
      </x:c>
      <x:c r="L125" s="115" t="n">
        <x:v>2</x:v>
      </x:c>
      <x:c r="M125" s="115" t="n">
        <x:v>4</x:v>
      </x:c>
      <x:c r="N125" s="115" t="n">
        <x:v>5</x:v>
      </x:c>
      <x:c r="O125" s="115" t="n">
        <x:v>4</x:v>
      </x:c>
      <x:c r="P125" s="115" t="n">
        <x:v>5</x:v>
      </x:c>
      <x:c r="Q125" s="115" t="n">
        <x:v>3</x:v>
      </x:c>
      <x:c r="R125" s="115" t="n">
        <x:v>5</x:v>
      </x:c>
      <x:c r="S125" s="115" t="n">
        <x:v>3</x:v>
      </x:c>
      <x:c r="T125" s="115" t="n">
        <x:v>4</x:v>
      </x:c>
      <x:c r="U125" s="115" t="n">
        <x:v>3</x:v>
      </x:c>
      <x:c r="V125" s="115" t="n">
        <x:v>4</x:v>
      </x:c>
      <x:c r="W125" s="115" t="n">
        <x:v>2</x:v>
      </x:c>
      <x:c r="X125" s="115" t="n">
        <x:v>4</x:v>
      </x:c>
      <x:c r="Y125" s="115" t="n">
        <x:v>5</x:v>
      </x:c>
      <x:c r="Z125" s="115" t="n">
        <x:v>4</x:v>
      </x:c>
      <x:c r="AA125" s="115" t="n">
        <x:v>5</x:v>
      </x:c>
      <x:c r="AB125" s="115" t="n">
        <x:v>3</x:v>
      </x:c>
      <x:c r="AC125" s="115" t="n">
        <x:v>5</x:v>
      </x:c>
      <x:c r="AD125" s="115" t="n">
        <x:v>3</x:v>
      </x:c>
      <x:c r="AE125" s="115" t="n">
        <x:v>4</x:v>
      </x:c>
      <x:c r="AF125" s="115" t="n">
        <x:v>3</x:v>
      </x:c>
      <x:c r="AG125" s="115" t="n">
        <x:v>4</x:v>
      </x:c>
      <x:c r="AH125" s="115" t="n">
        <x:v>2</x:v>
      </x:c>
      <x:c r="AI125" s="115" t="n">
        <x:v>4</x:v>
      </x:c>
      <x:c r="AJ125" s="115" t="n">
        <x:v>5</x:v>
      </x:c>
      <x:c r="AK125" s="115" t="n">
        <x:v>4</x:v>
      </x:c>
      <x:c r="AL125" s="115" t="n">
        <x:v>5</x:v>
      </x:c>
      <x:c r="AM125" s="115" t="n">
        <x:v>3</x:v>
      </x:c>
      <x:c r="AN125" s="115" t="n">
        <x:v>5</x:v>
      </x:c>
      <x:c r="AO125" s="115" t="n">
        <x:v>3</x:v>
      </x:c>
      <x:c r="AP125" s="115" t="n">
        <x:v>4</x:v>
      </x:c>
      <x:c r="AQ125" s="115" t="n">
        <x:v>3</x:v>
      </x:c>
      <x:c r="AR125" s="115" t="n">
        <x:v>4</x:v>
      </x:c>
      <x:c r="AS125" s="115" t="n">
        <x:v>2</x:v>
      </x:c>
      <x:c r="AT125" s="115" t="n">
        <x:v>4</x:v>
      </x:c>
      <x:c r="AU125" s="115" t="n">
        <x:v>5</x:v>
      </x:c>
      <x:c r="AV125" s="115" t="n">
        <x:v>4</x:v>
      </x:c>
      <x:c r="AW125" s="115" t="n">
        <x:v>5</x:v>
      </x:c>
      <x:c r="AX125" s="115" t="n">
        <x:v>3</x:v>
      </x:c>
      <x:c r="AY125" s="115" t="n">
        <x:v>5</x:v>
      </x:c>
      <x:c r="AZ125" s="115" t="n">
        <x:v>3</x:v>
      </x:c>
      <x:c r="BA125" s="115" t="n">
        <x:v>4</x:v>
      </x:c>
      <x:c r="BB125" s="115" t="n">
        <x:v>3</x:v>
      </x:c>
      <x:c r="BC125" s="115" t="n">
        <x:v>4</x:v>
      </x:c>
      <x:c r="BD125" s="115" t="n">
        <x:v>2</x:v>
      </x:c>
      <x:c r="BE125" s="115" t="n">
        <x:v>4</x:v>
      </x:c>
      <x:c r="BF125" s="115" t="n">
        <x:v>5</x:v>
      </x:c>
      <x:c r="BG125" s="115" t="n">
        <x:v>4</x:v>
      </x:c>
      <x:c r="BH125" s="115" t="n">
        <x:v>5</x:v>
      </x:c>
      <x:c r="BI125" s="115" t="n">
        <x:v>3</x:v>
      </x:c>
      <x:c r="BJ125" s="115" t="n">
        <x:v>5</x:v>
      </x:c>
      <x:c r="BK125" s="115" t="n">
        <x:v>3</x:v>
      </x:c>
      <x:c r="BL125" s="115" t="n">
        <x:v>4</x:v>
      </x:c>
      <x:c r="BM125" s="115" t="n">
        <x:v>3</x:v>
      </x:c>
      <x:c r="BN125" s="115" t="n">
        <x:v>4</x:v>
      </x:c>
      <x:c r="BO125" s="115" t="n">
        <x:v>2</x:v>
      </x:c>
      <x:c r="BP125" s="115" t="n">
        <x:v>4</x:v>
      </x:c>
      <x:c r="BQ125" s="115" t="n">
        <x:v>5</x:v>
      </x:c>
      <x:c r="BR125" s="115" t="n">
        <x:v>4</x:v>
      </x:c>
      <x:c r="BS125" s="115" t="n">
        <x:v>5</x:v>
      </x:c>
      <x:c r="BT125" s="115" t="n">
        <x:v>3</x:v>
      </x:c>
      <x:c r="BU125" s="115" t="n">
        <x:v>5</x:v>
      </x:c>
      <x:c r="BV125" s="115" t="n">
        <x:v>3</x:v>
      </x:c>
      <x:c r="BW125" s="115" t="n">
        <x:v>4</x:v>
      </x:c>
      <x:c r="BX125" s="115" t="n">
        <x:v>3</x:v>
      </x:c>
      <x:c r="BY125" s="115" t="n">
        <x:v>4</x:v>
      </x:c>
      <x:c r="BZ125" s="115" t="n">
        <x:v>2</x:v>
      </x:c>
      <x:c r="CA125" s="115" t="n">
        <x:v>4</x:v>
      </x:c>
      <x:c r="CB125" s="116" t="n">
        <x:v>5</x:v>
      </x:c>
      <x:c r="CC125" s="141" t="n">
        <x:f>IF(COUNT(G125:P125)=0,"",AVERAGE(G125:P125)*4)</x:f>
        <x:v>15.6</x:v>
      </x:c>
      <x:c r="CD125" s="178" t="n">
        <x:f>IF(COUNT(Q125:Z125)=0,"",AVERAGE(Q125:Z125)*4)</x:f>
        <x:v>14.8</x:v>
      </x:c>
      <x:c r="CE125" s="178" t="n">
        <x:f>IF(COUNT(AA125:AJ125)=0,"",AVERAGE(AA125:AJ125)*4)</x:f>
        <x:v>15.2</x:v>
      </x:c>
      <x:c r="CF125" s="178" t="n">
        <x:f>IF(COUNT(AK125:AR125)=0,"",AVERAGE(AK125:AR125)*4)</x:f>
        <x:v>15.5</x:v>
      </x:c>
      <x:c r="CG125" s="178" t="n">
        <x:f>IF(COUNT(AS125:AY125)=0,"",AVERAGE(AS125:AY125)*4)</x:f>
        <x:v>16</x:v>
      </x:c>
      <x:c r="CH125" s="178" t="n">
        <x:f>IF(COUNT(AZ125:BG125)=0,"",AVERAGE(AZ125:BG125)*4)</x:f>
        <x:v>14.5</x:v>
      </x:c>
      <x:c r="CI125" s="178" t="n">
        <x:f>IF(COUNT(BH125:BN125)=0,"",AVERAGE(BH125:BN125)*4)</x:f>
        <x:v>15.428571428571429</x:v>
      </x:c>
      <x:c r="CJ125" s="178" t="n">
        <x:f>IF(COUNT(BO125:BU125)=0,"",AVERAGE(BO125:BU125)*4)</x:f>
        <x:v>16</x:v>
      </x:c>
      <x:c r="CK125" s="178" t="n">
        <x:f>IF(COUNT(BV125:CB125)=0,"",AVERAGE(BV125:CB125)*4)</x:f>
        <x:v>14.285714285714286</x:v>
      </x:c>
      <x:c r="CL125" s="178" t="n">
        <x:f>IF(C125="","",IF(COUNT(G125:CB125)&lt;74,"",(CC125*'تنظیمات وزن‌دهی'!$C$5+CD125*'تنظیمات وزن‌دهی'!$C$6+CE125*'تنظیمات وزن‌دهی'!$C$7+CF125*'تنظیمات وزن‌دهی'!$C$8+CG125*'تنظیمات وزن‌دهی'!$C$9+CH125*'تنظیمات وزن‌دهی'!$C$10+CI125*'تنظیمات وزن‌دهی'!$C$11+CJ125*'تنظیمات وزن‌دهی'!$C$12+CK125*'تنظیمات وزن‌دهی'!$C$13)/100))</x:f>
        <x:v>15.265</x:v>
      </x:c>
      <x:c r="CM125" s="178" t="str">
        <x:f>IF(C125="","",IF(COUNT(G125:CB125)=0,"",IF(COUNT(G125:CB125)&lt;74,"موقت - اطلاعات ناقص",IF(CL125&gt;=17,"عالی",IF(CL125&gt;=14,"خوب",IF(CL125&gt;=10,"متوسط","ضعیف"))))))</x:f>
        <x:v>خوب</x:v>
      </x:c>
      <x:c r="CN125" s="178" t="n">
        <x:v>1</x:v>
      </x:c>
      <x:c r="CO125" s="142" t="n">
        <x:f>IF(C125="","",COUNT(G125:CB125)/74)</x:f>
        <x:v>1</x:v>
      </x:c>
      <x:c r="CP125" s="245" t="str">
        <x:v>داده نمونه کامل برای ماه تیر - دانش‌آموز شماره 11</x:v>
      </x:c>
    </x:row>
    <x:row r="126">
      <x:c r="A126" s="165" t="n">
        <x:v>122</x:v>
      </x:c>
      <x:c r="B126" s="233" t="str">
        <x:v>مرداد</x:v>
      </x:c>
      <x:c r="C126" s="233" t="n">
        <x:f>IF('دانش‌آموزان'!E15="","",'دانش‌آموزان'!B15)</x:f>
        <x:v>11</x:v>
      </x:c>
      <x:c r="D126" s="233" t="str">
        <x:f>IF('دانش‌آموزان'!C15="","",'دانش‌آموزان'!C15)</x:f>
        <x:v>4000000111</x:v>
      </x:c>
      <x:c r="E126" s="233" t="str">
        <x:f>IF('دانش‌آموزان'!E15="","",'دانش‌آموزان'!E15&amp;" "&amp;'دانش‌آموزان'!F15)</x:f>
        <x:v>پارسا موسوی</x:v>
      </x:c>
      <x:c r="F126" s="166" t="str">
        <x:f>IF('دانش‌آموزان'!I15="","",'دانش‌آموزان'!I15)</x:f>
        <x:v>sample-7-a</x:v>
      </x:c>
      <x:c r="G126" s="114"/>
      <x:c r="H126" s="115"/>
      <x:c r="I126" s="115"/>
      <x:c r="J126" s="115"/>
      <x:c r="K126" s="115"/>
      <x:c r="L126" s="115"/>
      <x:c r="M126" s="115"/>
      <x:c r="N126" s="115"/>
      <x:c r="O126" s="115"/>
      <x:c r="P126" s="115"/>
      <x:c r="Q126" s="115"/>
      <x:c r="R126" s="115"/>
      <x:c r="S126" s="115"/>
      <x:c r="T126" s="115"/>
      <x:c r="U126" s="115"/>
      <x:c r="V126" s="115"/>
      <x:c r="W126" s="115"/>
      <x:c r="X126" s="115"/>
      <x:c r="Y126" s="115"/>
      <x:c r="Z126" s="115"/>
      <x:c r="AA126" s="115"/>
      <x:c r="AB126" s="115"/>
      <x:c r="AC126" s="115"/>
      <x:c r="AD126" s="115"/>
      <x:c r="AE126" s="115"/>
      <x:c r="AF126" s="115"/>
      <x:c r="AG126" s="115"/>
      <x:c r="AH126" s="115"/>
      <x:c r="AI126" s="115"/>
      <x:c r="AJ126" s="115"/>
      <x:c r="AK126" s="115"/>
      <x:c r="AL126" s="115"/>
      <x:c r="AM126" s="115"/>
      <x:c r="AN126" s="115"/>
      <x:c r="AO126" s="115"/>
      <x:c r="AP126" s="115"/>
      <x:c r="AQ126" s="115"/>
      <x:c r="AR126" s="115"/>
      <x:c r="AS126" s="115"/>
      <x:c r="AT126" s="115"/>
      <x:c r="AU126" s="115"/>
      <x:c r="AV126" s="115"/>
      <x:c r="AW126" s="115"/>
      <x:c r="AX126" s="115"/>
      <x:c r="AY126" s="115"/>
      <x:c r="AZ126" s="115"/>
      <x:c r="BA126" s="115"/>
      <x:c r="BB126" s="115"/>
      <x:c r="BC126" s="115"/>
      <x:c r="BD126" s="115"/>
      <x:c r="BE126" s="115"/>
      <x:c r="BF126" s="115"/>
      <x:c r="BG126" s="115"/>
      <x:c r="BH126" s="115"/>
      <x:c r="BI126" s="115"/>
      <x:c r="BJ126" s="115"/>
      <x:c r="BK126" s="115"/>
      <x:c r="BL126" s="115"/>
      <x:c r="BM126" s="115"/>
      <x:c r="BN126" s="115"/>
      <x:c r="BO126" s="115"/>
      <x:c r="BP126" s="115"/>
      <x:c r="BQ126" s="115"/>
      <x:c r="BR126" s="115"/>
      <x:c r="BS126" s="115"/>
      <x:c r="BT126" s="115"/>
      <x:c r="BU126" s="115"/>
      <x:c r="BV126" s="115"/>
      <x:c r="BW126" s="115"/>
      <x:c r="BX126" s="115"/>
      <x:c r="BY126" s="115"/>
      <x:c r="BZ126" s="115"/>
      <x:c r="CA126" s="115"/>
      <x:c r="CB126" s="116"/>
      <x:c r="CC126" s="141" t="str">
        <x:f>IF(COUNT(G126:P126)=0,"",AVERAGE(G126:P126)*4)</x:f>
      </x:c>
      <x:c r="CD126" s="178" t="str">
        <x:f>IF(COUNT(Q126:Z126)=0,"",AVERAGE(Q126:Z126)*4)</x:f>
      </x:c>
      <x:c r="CE126" s="178" t="str">
        <x:f>IF(COUNT(AA126:AJ126)=0,"",AVERAGE(AA126:AJ126)*4)</x:f>
      </x:c>
      <x:c r="CF126" s="178" t="str">
        <x:f>IF(COUNT(AK126:AR126)=0,"",AVERAGE(AK126:AR126)*4)</x:f>
      </x:c>
      <x:c r="CG126" s="178" t="str">
        <x:f>IF(COUNT(AS126:AY126)=0,"",AVERAGE(AS126:AY126)*4)</x:f>
      </x:c>
      <x:c r="CH126" s="178" t="str">
        <x:f>IF(COUNT(AZ126:BG126)=0,"",AVERAGE(AZ126:BG126)*4)</x:f>
      </x:c>
      <x:c r="CI126" s="178" t="str">
        <x:f>IF(COUNT(BH126:BN126)=0,"",AVERAGE(BH126:BN126)*4)</x:f>
      </x:c>
      <x:c r="CJ126" s="178" t="str">
        <x:f>IF(COUNT(BO126:BU126)=0,"",AVERAGE(BO126:BU126)*4)</x:f>
      </x:c>
      <x:c r="CK126" s="178" t="str">
        <x:f>IF(COUNT(BV126:CB126)=0,"",AVERAGE(BV126:CB126)*4)</x:f>
      </x:c>
      <x:c r="CL126" s="178" t="str">
        <x:f>IF(C126="","",IF(COUNT(G126:CB126)&lt;74,"",(CC126*'تنظیمات وزن‌دهی'!$C$5+CD126*'تنظیمات وزن‌دهی'!$C$6+CE126*'تنظیمات وزن‌دهی'!$C$7+CF126*'تنظیمات وزن‌دهی'!$C$8+CG126*'تنظیمات وزن‌دهی'!$C$9+CH126*'تنظیمات وزن‌دهی'!$C$10+CI126*'تنظیمات وزن‌دهی'!$C$11+CJ126*'تنظیمات وزن‌دهی'!$C$12+CK126*'تنظیمات وزن‌دهی'!$C$13)/100))</x:f>
      </x:c>
      <x:c r="CM126" s="178" t="str">
        <x:f>IF(C126="","",IF(COUNT(G126:CB126)=0,"",IF(COUNT(G126:CB126)&lt;74,"موقت - اطلاعات ناقص",IF(CL126&gt;=17,"عالی",IF(CL126&gt;=14,"خوب",IF(CL126&gt;=10,"متوسط","ضعیف"))))))</x:f>
      </x:c>
      <x:c r="CN126" s="178" t="n">
        <x:v>2</x:v>
      </x:c>
      <x:c r="CO126" s="142" t="n">
        <x:f>IF(C126="","",COUNT(G126:CB126)/74)</x:f>
        <x:v>0</x:v>
      </x:c>
      <x:c r="CP126" s="245"/>
    </x:row>
    <x:row r="127">
      <x:c r="A127" s="165" t="n">
        <x:v>123</x:v>
      </x:c>
      <x:c r="B127" s="233" t="str">
        <x:v>شهریور</x:v>
      </x:c>
      <x:c r="C127" s="233" t="n">
        <x:f>IF('دانش‌آموزان'!E15="","",'دانش‌آموزان'!B15)</x:f>
        <x:v>11</x:v>
      </x:c>
      <x:c r="D127" s="233" t="str">
        <x:f>IF('دانش‌آموزان'!C15="","",'دانش‌آموزان'!C15)</x:f>
        <x:v>4000000111</x:v>
      </x:c>
      <x:c r="E127" s="233" t="str">
        <x:f>IF('دانش‌آموزان'!E15="","",'دانش‌آموزان'!E15&amp;" "&amp;'دانش‌آموزان'!F15)</x:f>
        <x:v>پارسا موسوی</x:v>
      </x:c>
      <x:c r="F127" s="166" t="str">
        <x:f>IF('دانش‌آموزان'!I15="","",'دانش‌آموزان'!I15)</x:f>
        <x:v>sample-7-a</x:v>
      </x:c>
      <x:c r="G127" s="114"/>
      <x:c r="H127" s="115"/>
      <x:c r="I127" s="115"/>
      <x:c r="J127" s="115"/>
      <x:c r="K127" s="115"/>
      <x:c r="L127" s="115"/>
      <x:c r="M127" s="115"/>
      <x:c r="N127" s="115"/>
      <x:c r="O127" s="115"/>
      <x:c r="P127" s="115"/>
      <x:c r="Q127" s="115"/>
      <x:c r="R127" s="115"/>
      <x:c r="S127" s="115"/>
      <x:c r="T127" s="115"/>
      <x:c r="U127" s="115"/>
      <x:c r="V127" s="115"/>
      <x:c r="W127" s="115"/>
      <x:c r="X127" s="115"/>
      <x:c r="Y127" s="115"/>
      <x:c r="Z127" s="115"/>
      <x:c r="AA127" s="115"/>
      <x:c r="AB127" s="115"/>
      <x:c r="AC127" s="115"/>
      <x:c r="AD127" s="115"/>
      <x:c r="AE127" s="115"/>
      <x:c r="AF127" s="115"/>
      <x:c r="AG127" s="115"/>
      <x:c r="AH127" s="115"/>
      <x:c r="AI127" s="115"/>
      <x:c r="AJ127" s="115"/>
      <x:c r="AK127" s="115"/>
      <x:c r="AL127" s="115"/>
      <x:c r="AM127" s="115"/>
      <x:c r="AN127" s="115"/>
      <x:c r="AO127" s="115"/>
      <x:c r="AP127" s="115"/>
      <x:c r="AQ127" s="115"/>
      <x:c r="AR127" s="115"/>
      <x:c r="AS127" s="115"/>
      <x:c r="AT127" s="115"/>
      <x:c r="AU127" s="115"/>
      <x:c r="AV127" s="115"/>
      <x:c r="AW127" s="115"/>
      <x:c r="AX127" s="115"/>
      <x:c r="AY127" s="115"/>
      <x:c r="AZ127" s="115"/>
      <x:c r="BA127" s="115"/>
      <x:c r="BB127" s="115"/>
      <x:c r="BC127" s="115"/>
      <x:c r="BD127" s="115"/>
      <x:c r="BE127" s="115"/>
      <x:c r="BF127" s="115"/>
      <x:c r="BG127" s="115"/>
      <x:c r="BH127" s="115"/>
      <x:c r="BI127" s="115"/>
      <x:c r="BJ127" s="115"/>
      <x:c r="BK127" s="115"/>
      <x:c r="BL127" s="115"/>
      <x:c r="BM127" s="115"/>
      <x:c r="BN127" s="115"/>
      <x:c r="BO127" s="115"/>
      <x:c r="BP127" s="115"/>
      <x:c r="BQ127" s="115"/>
      <x:c r="BR127" s="115"/>
      <x:c r="BS127" s="115"/>
      <x:c r="BT127" s="115"/>
      <x:c r="BU127" s="115"/>
      <x:c r="BV127" s="115"/>
      <x:c r="BW127" s="115"/>
      <x:c r="BX127" s="115"/>
      <x:c r="BY127" s="115"/>
      <x:c r="BZ127" s="115"/>
      <x:c r="CA127" s="115"/>
      <x:c r="CB127" s="116"/>
      <x:c r="CC127" s="141" t="str">
        <x:f>IF(COUNT(G127:P127)=0,"",AVERAGE(G127:P127)*4)</x:f>
      </x:c>
      <x:c r="CD127" s="178" t="str">
        <x:f>IF(COUNT(Q127:Z127)=0,"",AVERAGE(Q127:Z127)*4)</x:f>
      </x:c>
      <x:c r="CE127" s="178" t="str">
        <x:f>IF(COUNT(AA127:AJ127)=0,"",AVERAGE(AA127:AJ127)*4)</x:f>
      </x:c>
      <x:c r="CF127" s="178" t="str">
        <x:f>IF(COUNT(AK127:AR127)=0,"",AVERAGE(AK127:AR127)*4)</x:f>
      </x:c>
      <x:c r="CG127" s="178" t="str">
        <x:f>IF(COUNT(AS127:AY127)=0,"",AVERAGE(AS127:AY127)*4)</x:f>
      </x:c>
      <x:c r="CH127" s="178" t="str">
        <x:f>IF(COUNT(AZ127:BG127)=0,"",AVERAGE(AZ127:BG127)*4)</x:f>
      </x:c>
      <x:c r="CI127" s="178" t="str">
        <x:f>IF(COUNT(BH127:BN127)=0,"",AVERAGE(BH127:BN127)*4)</x:f>
      </x:c>
      <x:c r="CJ127" s="178" t="str">
        <x:f>IF(COUNT(BO127:BU127)=0,"",AVERAGE(BO127:BU127)*4)</x:f>
      </x:c>
      <x:c r="CK127" s="178" t="str">
        <x:f>IF(COUNT(BV127:CB127)=0,"",AVERAGE(BV127:CB127)*4)</x:f>
      </x:c>
      <x:c r="CL127" s="178" t="str">
        <x:f>IF(C127="","",IF(COUNT(G127:CB127)&lt;74,"",(CC127*'تنظیمات وزن‌دهی'!$C$5+CD127*'تنظیمات وزن‌دهی'!$C$6+CE127*'تنظیمات وزن‌دهی'!$C$7+CF127*'تنظیمات وزن‌دهی'!$C$8+CG127*'تنظیمات وزن‌دهی'!$C$9+CH127*'تنظیمات وزن‌دهی'!$C$10+CI127*'تنظیمات وزن‌دهی'!$C$11+CJ127*'تنظیمات وزن‌دهی'!$C$12+CK127*'تنظیمات وزن‌دهی'!$C$13)/100))</x:f>
      </x:c>
      <x:c r="CM127" s="178" t="str">
        <x:f>IF(C127="","",IF(COUNT(G127:CB127)=0,"",IF(COUNT(G127:CB127)&lt;74,"موقت - اطلاعات ناقص",IF(CL127&gt;=17,"عالی",IF(CL127&gt;=14,"خوب",IF(CL127&gt;=10,"متوسط","ضعیف"))))))</x:f>
      </x:c>
      <x:c r="CN127" s="178" t="n">
        <x:v>3</x:v>
      </x:c>
      <x:c r="CO127" s="142" t="n">
        <x:f>IF(C127="","",COUNT(G127:CB127)/74)</x:f>
        <x:v>0</x:v>
      </x:c>
      <x:c r="CP127" s="245"/>
    </x:row>
    <x:row r="128">
      <x:c r="A128" s="165" t="n">
        <x:v>124</x:v>
      </x:c>
      <x:c r="B128" s="233" t="str">
        <x:v>مهر</x:v>
      </x:c>
      <x:c r="C128" s="233" t="n">
        <x:f>IF('دانش‌آموزان'!E15="","",'دانش‌آموزان'!B15)</x:f>
        <x:v>11</x:v>
      </x:c>
      <x:c r="D128" s="233" t="str">
        <x:f>IF('دانش‌آموزان'!C15="","",'دانش‌آموزان'!C15)</x:f>
        <x:v>4000000111</x:v>
      </x:c>
      <x:c r="E128" s="233" t="str">
        <x:f>IF('دانش‌آموزان'!E15="","",'دانش‌آموزان'!E15&amp;" "&amp;'دانش‌آموزان'!F15)</x:f>
        <x:v>پارسا موسوی</x:v>
      </x:c>
      <x:c r="F128" s="166" t="str">
        <x:f>IF('دانش‌آموزان'!I15="","",'دانش‌آموزان'!I15)</x:f>
        <x:v>sample-7-a</x:v>
      </x:c>
      <x:c r="G128" s="114"/>
      <x:c r="H128" s="115"/>
      <x:c r="I128" s="115"/>
      <x:c r="J128" s="115"/>
      <x:c r="K128" s="115"/>
      <x:c r="L128" s="115"/>
      <x:c r="M128" s="115"/>
      <x:c r="N128" s="115"/>
      <x:c r="O128" s="115"/>
      <x:c r="P128" s="115"/>
      <x:c r="Q128" s="115"/>
      <x:c r="R128" s="115"/>
      <x:c r="S128" s="115"/>
      <x:c r="T128" s="115"/>
      <x:c r="U128" s="115"/>
      <x:c r="V128" s="115"/>
      <x:c r="W128" s="115"/>
      <x:c r="X128" s="115"/>
      <x:c r="Y128" s="115"/>
      <x:c r="Z128" s="115"/>
      <x:c r="AA128" s="115"/>
      <x:c r="AB128" s="115"/>
      <x:c r="AC128" s="115"/>
      <x:c r="AD128" s="115"/>
      <x:c r="AE128" s="115"/>
      <x:c r="AF128" s="115"/>
      <x:c r="AG128" s="115"/>
      <x:c r="AH128" s="115"/>
      <x:c r="AI128" s="115"/>
      <x:c r="AJ128" s="115"/>
      <x:c r="AK128" s="115"/>
      <x:c r="AL128" s="115"/>
      <x:c r="AM128" s="115"/>
      <x:c r="AN128" s="115"/>
      <x:c r="AO128" s="115"/>
      <x:c r="AP128" s="115"/>
      <x:c r="AQ128" s="115"/>
      <x:c r="AR128" s="115"/>
      <x:c r="AS128" s="115"/>
      <x:c r="AT128" s="115"/>
      <x:c r="AU128" s="115"/>
      <x:c r="AV128" s="115"/>
      <x:c r="AW128" s="115"/>
      <x:c r="AX128" s="115"/>
      <x:c r="AY128" s="115"/>
      <x:c r="AZ128" s="115"/>
      <x:c r="BA128" s="115"/>
      <x:c r="BB128" s="115"/>
      <x:c r="BC128" s="115"/>
      <x:c r="BD128" s="115"/>
      <x:c r="BE128" s="115"/>
      <x:c r="BF128" s="115"/>
      <x:c r="BG128" s="115"/>
      <x:c r="BH128" s="115"/>
      <x:c r="BI128" s="115"/>
      <x:c r="BJ128" s="115"/>
      <x:c r="BK128" s="115"/>
      <x:c r="BL128" s="115"/>
      <x:c r="BM128" s="115"/>
      <x:c r="BN128" s="115"/>
      <x:c r="BO128" s="115"/>
      <x:c r="BP128" s="115"/>
      <x:c r="BQ128" s="115"/>
      <x:c r="BR128" s="115"/>
      <x:c r="BS128" s="115"/>
      <x:c r="BT128" s="115"/>
      <x:c r="BU128" s="115"/>
      <x:c r="BV128" s="115"/>
      <x:c r="BW128" s="115"/>
      <x:c r="BX128" s="115"/>
      <x:c r="BY128" s="115"/>
      <x:c r="BZ128" s="115"/>
      <x:c r="CA128" s="115"/>
      <x:c r="CB128" s="116"/>
      <x:c r="CC128" s="141" t="str">
        <x:f>IF(COUNT(G128:P128)=0,"",AVERAGE(G128:P128)*4)</x:f>
      </x:c>
      <x:c r="CD128" s="178" t="str">
        <x:f>IF(COUNT(Q128:Z128)=0,"",AVERAGE(Q128:Z128)*4)</x:f>
      </x:c>
      <x:c r="CE128" s="178" t="str">
        <x:f>IF(COUNT(AA128:AJ128)=0,"",AVERAGE(AA128:AJ128)*4)</x:f>
      </x:c>
      <x:c r="CF128" s="178" t="str">
        <x:f>IF(COUNT(AK128:AR128)=0,"",AVERAGE(AK128:AR128)*4)</x:f>
      </x:c>
      <x:c r="CG128" s="178" t="str">
        <x:f>IF(COUNT(AS128:AY128)=0,"",AVERAGE(AS128:AY128)*4)</x:f>
      </x:c>
      <x:c r="CH128" s="178" t="str">
        <x:f>IF(COUNT(AZ128:BG128)=0,"",AVERAGE(AZ128:BG128)*4)</x:f>
      </x:c>
      <x:c r="CI128" s="178" t="str">
        <x:f>IF(COUNT(BH128:BN128)=0,"",AVERAGE(BH128:BN128)*4)</x:f>
      </x:c>
      <x:c r="CJ128" s="178" t="str">
        <x:f>IF(COUNT(BO128:BU128)=0,"",AVERAGE(BO128:BU128)*4)</x:f>
      </x:c>
      <x:c r="CK128" s="178" t="str">
        <x:f>IF(COUNT(BV128:CB128)=0,"",AVERAGE(BV128:CB128)*4)</x:f>
      </x:c>
      <x:c r="CL128" s="178" t="str">
        <x:f>IF(C128="","",IF(COUNT(G128:CB128)&lt;74,"",(CC128*'تنظیمات وزن‌دهی'!$C$5+CD128*'تنظیمات وزن‌دهی'!$C$6+CE128*'تنظیمات وزن‌دهی'!$C$7+CF128*'تنظیمات وزن‌دهی'!$C$8+CG128*'تنظیمات وزن‌دهی'!$C$9+CH128*'تنظیمات وزن‌دهی'!$C$10+CI128*'تنظیمات وزن‌دهی'!$C$11+CJ128*'تنظیمات وزن‌دهی'!$C$12+CK128*'تنظیمات وزن‌دهی'!$C$13)/100))</x:f>
      </x:c>
      <x:c r="CM128" s="178" t="str">
        <x:f>IF(C128="","",IF(COUNT(G128:CB128)=0,"",IF(COUNT(G128:CB128)&lt;74,"موقت - اطلاعات ناقص",IF(CL128&gt;=17,"عالی",IF(CL128&gt;=14,"خوب",IF(CL128&gt;=10,"متوسط","ضعیف"))))))</x:f>
      </x:c>
      <x:c r="CN128" s="178" t="n">
        <x:v>4</x:v>
      </x:c>
      <x:c r="CO128" s="142" t="n">
        <x:f>IF(C128="","",COUNT(G128:CB128)/74)</x:f>
        <x:v>0</x:v>
      </x:c>
      <x:c r="CP128" s="245"/>
    </x:row>
    <x:row r="129">
      <x:c r="A129" s="165" t="n">
        <x:v>125</x:v>
      </x:c>
      <x:c r="B129" s="233" t="str">
        <x:v>آبان</x:v>
      </x:c>
      <x:c r="C129" s="233" t="n">
        <x:f>IF('دانش‌آموزان'!E15="","",'دانش‌آموزان'!B15)</x:f>
        <x:v>11</x:v>
      </x:c>
      <x:c r="D129" s="233" t="str">
        <x:f>IF('دانش‌آموزان'!C15="","",'دانش‌آموزان'!C15)</x:f>
        <x:v>4000000111</x:v>
      </x:c>
      <x:c r="E129" s="233" t="str">
        <x:f>IF('دانش‌آموزان'!E15="","",'دانش‌آموزان'!E15&amp;" "&amp;'دانش‌آموزان'!F15)</x:f>
        <x:v>پارسا موسوی</x:v>
      </x:c>
      <x:c r="F129" s="166" t="str">
        <x:f>IF('دانش‌آموزان'!I15="","",'دانش‌آموزان'!I15)</x:f>
        <x:v>sample-7-a</x:v>
      </x:c>
      <x:c r="G129" s="114"/>
      <x:c r="H129" s="115"/>
      <x:c r="I129" s="115"/>
      <x:c r="J129" s="115"/>
      <x:c r="K129" s="115"/>
      <x:c r="L129" s="115"/>
      <x:c r="M129" s="115"/>
      <x:c r="N129" s="115"/>
      <x:c r="O129" s="115"/>
      <x:c r="P129" s="115"/>
      <x:c r="Q129" s="115"/>
      <x:c r="R129" s="115"/>
      <x:c r="S129" s="115"/>
      <x:c r="T129" s="115"/>
      <x:c r="U129" s="115"/>
      <x:c r="V129" s="115"/>
      <x:c r="W129" s="115"/>
      <x:c r="X129" s="115"/>
      <x:c r="Y129" s="115"/>
      <x:c r="Z129" s="115"/>
      <x:c r="AA129" s="115"/>
      <x:c r="AB129" s="115"/>
      <x:c r="AC129" s="115"/>
      <x:c r="AD129" s="115"/>
      <x:c r="AE129" s="115"/>
      <x:c r="AF129" s="115"/>
      <x:c r="AG129" s="115"/>
      <x:c r="AH129" s="115"/>
      <x:c r="AI129" s="115"/>
      <x:c r="AJ129" s="115"/>
      <x:c r="AK129" s="115"/>
      <x:c r="AL129" s="115"/>
      <x:c r="AM129" s="115"/>
      <x:c r="AN129" s="115"/>
      <x:c r="AO129" s="115"/>
      <x:c r="AP129" s="115"/>
      <x:c r="AQ129" s="115"/>
      <x:c r="AR129" s="115"/>
      <x:c r="AS129" s="115"/>
      <x:c r="AT129" s="115"/>
      <x:c r="AU129" s="115"/>
      <x:c r="AV129" s="115"/>
      <x:c r="AW129" s="115"/>
      <x:c r="AX129" s="115"/>
      <x:c r="AY129" s="115"/>
      <x:c r="AZ129" s="115"/>
      <x:c r="BA129" s="115"/>
      <x:c r="BB129" s="115"/>
      <x:c r="BC129" s="115"/>
      <x:c r="BD129" s="115"/>
      <x:c r="BE129" s="115"/>
      <x:c r="BF129" s="115"/>
      <x:c r="BG129" s="115"/>
      <x:c r="BH129" s="115"/>
      <x:c r="BI129" s="115"/>
      <x:c r="BJ129" s="115"/>
      <x:c r="BK129" s="115"/>
      <x:c r="BL129" s="115"/>
      <x:c r="BM129" s="115"/>
      <x:c r="BN129" s="115"/>
      <x:c r="BO129" s="115"/>
      <x:c r="BP129" s="115"/>
      <x:c r="BQ129" s="115"/>
      <x:c r="BR129" s="115"/>
      <x:c r="BS129" s="115"/>
      <x:c r="BT129" s="115"/>
      <x:c r="BU129" s="115"/>
      <x:c r="BV129" s="115"/>
      <x:c r="BW129" s="115"/>
      <x:c r="BX129" s="115"/>
      <x:c r="BY129" s="115"/>
      <x:c r="BZ129" s="115"/>
      <x:c r="CA129" s="115"/>
      <x:c r="CB129" s="116"/>
      <x:c r="CC129" s="141" t="str">
        <x:f>IF(COUNT(G129:P129)=0,"",AVERAGE(G129:P129)*4)</x:f>
      </x:c>
      <x:c r="CD129" s="178" t="str">
        <x:f>IF(COUNT(Q129:Z129)=0,"",AVERAGE(Q129:Z129)*4)</x:f>
      </x:c>
      <x:c r="CE129" s="178" t="str">
        <x:f>IF(COUNT(AA129:AJ129)=0,"",AVERAGE(AA129:AJ129)*4)</x:f>
      </x:c>
      <x:c r="CF129" s="178" t="str">
        <x:f>IF(COUNT(AK129:AR129)=0,"",AVERAGE(AK129:AR129)*4)</x:f>
      </x:c>
      <x:c r="CG129" s="178" t="str">
        <x:f>IF(COUNT(AS129:AY129)=0,"",AVERAGE(AS129:AY129)*4)</x:f>
      </x:c>
      <x:c r="CH129" s="178" t="str">
        <x:f>IF(COUNT(AZ129:BG129)=0,"",AVERAGE(AZ129:BG129)*4)</x:f>
      </x:c>
      <x:c r="CI129" s="178" t="str">
        <x:f>IF(COUNT(BH129:BN129)=0,"",AVERAGE(BH129:BN129)*4)</x:f>
      </x:c>
      <x:c r="CJ129" s="178" t="str">
        <x:f>IF(COUNT(BO129:BU129)=0,"",AVERAGE(BO129:BU129)*4)</x:f>
      </x:c>
      <x:c r="CK129" s="178" t="str">
        <x:f>IF(COUNT(BV129:CB129)=0,"",AVERAGE(BV129:CB129)*4)</x:f>
      </x:c>
      <x:c r="CL129" s="178" t="str">
        <x:f>IF(C129="","",IF(COUNT(G129:CB129)&lt;74,"",(CC129*'تنظیمات وزن‌دهی'!$C$5+CD129*'تنظیمات وزن‌دهی'!$C$6+CE129*'تنظیمات وزن‌دهی'!$C$7+CF129*'تنظیمات وزن‌دهی'!$C$8+CG129*'تنظیمات وزن‌دهی'!$C$9+CH129*'تنظیمات وزن‌دهی'!$C$10+CI129*'تنظیمات وزن‌دهی'!$C$11+CJ129*'تنظیمات وزن‌دهی'!$C$12+CK129*'تنظیمات وزن‌دهی'!$C$13)/100))</x:f>
      </x:c>
      <x:c r="CM129" s="178" t="str">
        <x:f>IF(C129="","",IF(COUNT(G129:CB129)=0,"",IF(COUNT(G129:CB129)&lt;74,"موقت - اطلاعات ناقص",IF(CL129&gt;=17,"عالی",IF(CL129&gt;=14,"خوب",IF(CL129&gt;=10,"متوسط","ضعیف"))))))</x:f>
      </x:c>
      <x:c r="CN129" s="178" t="n">
        <x:v>5</x:v>
      </x:c>
      <x:c r="CO129" s="142" t="n">
        <x:f>IF(C129="","",COUNT(G129:CB129)/74)</x:f>
        <x:v>0</x:v>
      </x:c>
      <x:c r="CP129" s="245"/>
    </x:row>
    <x:row r="130">
      <x:c r="A130" s="165" t="n">
        <x:v>126</x:v>
      </x:c>
      <x:c r="B130" s="233" t="str">
        <x:v>آذر</x:v>
      </x:c>
      <x:c r="C130" s="233" t="n">
        <x:f>IF('دانش‌آموزان'!E15="","",'دانش‌آموزان'!B15)</x:f>
        <x:v>11</x:v>
      </x:c>
      <x:c r="D130" s="233" t="str">
        <x:f>IF('دانش‌آموزان'!C15="","",'دانش‌آموزان'!C15)</x:f>
        <x:v>4000000111</x:v>
      </x:c>
      <x:c r="E130" s="233" t="str">
        <x:f>IF('دانش‌آموزان'!E15="","",'دانش‌آموزان'!E15&amp;" "&amp;'دانش‌آموزان'!F15)</x:f>
        <x:v>پارسا موسوی</x:v>
      </x:c>
      <x:c r="F130" s="166" t="str">
        <x:f>IF('دانش‌آموزان'!I15="","",'دانش‌آموزان'!I15)</x:f>
        <x:v>sample-7-a</x:v>
      </x:c>
      <x:c r="G130" s="114"/>
      <x:c r="H130" s="115"/>
      <x:c r="I130" s="115"/>
      <x:c r="J130" s="115"/>
      <x:c r="K130" s="115"/>
      <x:c r="L130" s="115"/>
      <x:c r="M130" s="115"/>
      <x:c r="N130" s="115"/>
      <x:c r="O130" s="115"/>
      <x:c r="P130" s="115"/>
      <x:c r="Q130" s="115"/>
      <x:c r="R130" s="115"/>
      <x:c r="S130" s="115"/>
      <x:c r="T130" s="115"/>
      <x:c r="U130" s="115"/>
      <x:c r="V130" s="115"/>
      <x:c r="W130" s="115"/>
      <x:c r="X130" s="115"/>
      <x:c r="Y130" s="115"/>
      <x:c r="Z130" s="115"/>
      <x:c r="AA130" s="115"/>
      <x:c r="AB130" s="115"/>
      <x:c r="AC130" s="115"/>
      <x:c r="AD130" s="115"/>
      <x:c r="AE130" s="115"/>
      <x:c r="AF130" s="115"/>
      <x:c r="AG130" s="115"/>
      <x:c r="AH130" s="115"/>
      <x:c r="AI130" s="115"/>
      <x:c r="AJ130" s="115"/>
      <x:c r="AK130" s="115"/>
      <x:c r="AL130" s="115"/>
      <x:c r="AM130" s="115"/>
      <x:c r="AN130" s="115"/>
      <x:c r="AO130" s="115"/>
      <x:c r="AP130" s="115"/>
      <x:c r="AQ130" s="115"/>
      <x:c r="AR130" s="115"/>
      <x:c r="AS130" s="115"/>
      <x:c r="AT130" s="115"/>
      <x:c r="AU130" s="115"/>
      <x:c r="AV130" s="115"/>
      <x:c r="AW130" s="115"/>
      <x:c r="AX130" s="115"/>
      <x:c r="AY130" s="115"/>
      <x:c r="AZ130" s="115"/>
      <x:c r="BA130" s="115"/>
      <x:c r="BB130" s="115"/>
      <x:c r="BC130" s="115"/>
      <x:c r="BD130" s="115"/>
      <x:c r="BE130" s="115"/>
      <x:c r="BF130" s="115"/>
      <x:c r="BG130" s="115"/>
      <x:c r="BH130" s="115"/>
      <x:c r="BI130" s="115"/>
      <x:c r="BJ130" s="115"/>
      <x:c r="BK130" s="115"/>
      <x:c r="BL130" s="115"/>
      <x:c r="BM130" s="115"/>
      <x:c r="BN130" s="115"/>
      <x:c r="BO130" s="115"/>
      <x:c r="BP130" s="115"/>
      <x:c r="BQ130" s="115"/>
      <x:c r="BR130" s="115"/>
      <x:c r="BS130" s="115"/>
      <x:c r="BT130" s="115"/>
      <x:c r="BU130" s="115"/>
      <x:c r="BV130" s="115"/>
      <x:c r="BW130" s="115"/>
      <x:c r="BX130" s="115"/>
      <x:c r="BY130" s="115"/>
      <x:c r="BZ130" s="115"/>
      <x:c r="CA130" s="115"/>
      <x:c r="CB130" s="116"/>
      <x:c r="CC130" s="141" t="str">
        <x:f>IF(COUNT(G130:P130)=0,"",AVERAGE(G130:P130)*4)</x:f>
      </x:c>
      <x:c r="CD130" s="178" t="str">
        <x:f>IF(COUNT(Q130:Z130)=0,"",AVERAGE(Q130:Z130)*4)</x:f>
      </x:c>
      <x:c r="CE130" s="178" t="str">
        <x:f>IF(COUNT(AA130:AJ130)=0,"",AVERAGE(AA130:AJ130)*4)</x:f>
      </x:c>
      <x:c r="CF130" s="178" t="str">
        <x:f>IF(COUNT(AK130:AR130)=0,"",AVERAGE(AK130:AR130)*4)</x:f>
      </x:c>
      <x:c r="CG130" s="178" t="str">
        <x:f>IF(COUNT(AS130:AY130)=0,"",AVERAGE(AS130:AY130)*4)</x:f>
      </x:c>
      <x:c r="CH130" s="178" t="str">
        <x:f>IF(COUNT(AZ130:BG130)=0,"",AVERAGE(AZ130:BG130)*4)</x:f>
      </x:c>
      <x:c r="CI130" s="178" t="str">
        <x:f>IF(COUNT(BH130:BN130)=0,"",AVERAGE(BH130:BN130)*4)</x:f>
      </x:c>
      <x:c r="CJ130" s="178" t="str">
        <x:f>IF(COUNT(BO130:BU130)=0,"",AVERAGE(BO130:BU130)*4)</x:f>
      </x:c>
      <x:c r="CK130" s="178" t="str">
        <x:f>IF(COUNT(BV130:CB130)=0,"",AVERAGE(BV130:CB130)*4)</x:f>
      </x:c>
      <x:c r="CL130" s="178" t="str">
        <x:f>IF(C130="","",IF(COUNT(G130:CB130)&lt;74,"",(CC130*'تنظیمات وزن‌دهی'!$C$5+CD130*'تنظیمات وزن‌دهی'!$C$6+CE130*'تنظیمات وزن‌دهی'!$C$7+CF130*'تنظیمات وزن‌دهی'!$C$8+CG130*'تنظیمات وزن‌دهی'!$C$9+CH130*'تنظیمات وزن‌دهی'!$C$10+CI130*'تنظیمات وزن‌دهی'!$C$11+CJ130*'تنظیمات وزن‌دهی'!$C$12+CK130*'تنظیمات وزن‌دهی'!$C$13)/100))</x:f>
      </x:c>
      <x:c r="CM130" s="178" t="str">
        <x:f>IF(C130="","",IF(COUNT(G130:CB130)=0,"",IF(COUNT(G130:CB130)&lt;74,"موقت - اطلاعات ناقص",IF(CL130&gt;=17,"عالی",IF(CL130&gt;=14,"خوب",IF(CL130&gt;=10,"متوسط","ضعیف"))))))</x:f>
      </x:c>
      <x:c r="CN130" s="178" t="n">
        <x:v>6</x:v>
      </x:c>
      <x:c r="CO130" s="142" t="n">
        <x:f>IF(C130="","",COUNT(G130:CB130)/74)</x:f>
        <x:v>0</x:v>
      </x:c>
      <x:c r="CP130" s="245"/>
    </x:row>
    <x:row r="131">
      <x:c r="A131" s="165" t="n">
        <x:v>127</x:v>
      </x:c>
      <x:c r="B131" s="233" t="str">
        <x:v>دی</x:v>
      </x:c>
      <x:c r="C131" s="233" t="n">
        <x:f>IF('دانش‌آموزان'!E15="","",'دانش‌آموزان'!B15)</x:f>
        <x:v>11</x:v>
      </x:c>
      <x:c r="D131" s="233" t="str">
        <x:f>IF('دانش‌آموزان'!C15="","",'دانش‌آموزان'!C15)</x:f>
        <x:v>4000000111</x:v>
      </x:c>
      <x:c r="E131" s="233" t="str">
        <x:f>IF('دانش‌آموزان'!E15="","",'دانش‌آموزان'!E15&amp;" "&amp;'دانش‌آموزان'!F15)</x:f>
        <x:v>پارسا موسوی</x:v>
      </x:c>
      <x:c r="F131" s="166" t="str">
        <x:f>IF('دانش‌آموزان'!I15="","",'دانش‌آموزان'!I15)</x:f>
        <x:v>sample-7-a</x:v>
      </x:c>
      <x:c r="G131" s="114"/>
      <x:c r="H131" s="115"/>
      <x:c r="I131" s="115"/>
      <x:c r="J131" s="115"/>
      <x:c r="K131" s="115"/>
      <x:c r="L131" s="115"/>
      <x:c r="M131" s="115"/>
      <x:c r="N131" s="115"/>
      <x:c r="O131" s="115"/>
      <x:c r="P131" s="115"/>
      <x:c r="Q131" s="115"/>
      <x:c r="R131" s="115"/>
      <x:c r="S131" s="115"/>
      <x:c r="T131" s="115"/>
      <x:c r="U131" s="115"/>
      <x:c r="V131" s="115"/>
      <x:c r="W131" s="115"/>
      <x:c r="X131" s="115"/>
      <x:c r="Y131" s="115"/>
      <x:c r="Z131" s="115"/>
      <x:c r="AA131" s="115"/>
      <x:c r="AB131" s="115"/>
      <x:c r="AC131" s="115"/>
      <x:c r="AD131" s="115"/>
      <x:c r="AE131" s="115"/>
      <x:c r="AF131" s="115"/>
      <x:c r="AG131" s="115"/>
      <x:c r="AH131" s="115"/>
      <x:c r="AI131" s="115"/>
      <x:c r="AJ131" s="115"/>
      <x:c r="AK131" s="115"/>
      <x:c r="AL131" s="115"/>
      <x:c r="AM131" s="115"/>
      <x:c r="AN131" s="115"/>
      <x:c r="AO131" s="115"/>
      <x:c r="AP131" s="115"/>
      <x:c r="AQ131" s="115"/>
      <x:c r="AR131" s="115"/>
      <x:c r="AS131" s="115"/>
      <x:c r="AT131" s="115"/>
      <x:c r="AU131" s="115"/>
      <x:c r="AV131" s="115"/>
      <x:c r="AW131" s="115"/>
      <x:c r="AX131" s="115"/>
      <x:c r="AY131" s="115"/>
      <x:c r="AZ131" s="115"/>
      <x:c r="BA131" s="115"/>
      <x:c r="BB131" s="115"/>
      <x:c r="BC131" s="115"/>
      <x:c r="BD131" s="115"/>
      <x:c r="BE131" s="115"/>
      <x:c r="BF131" s="115"/>
      <x:c r="BG131" s="115"/>
      <x:c r="BH131" s="115"/>
      <x:c r="BI131" s="115"/>
      <x:c r="BJ131" s="115"/>
      <x:c r="BK131" s="115"/>
      <x:c r="BL131" s="115"/>
      <x:c r="BM131" s="115"/>
      <x:c r="BN131" s="115"/>
      <x:c r="BO131" s="115"/>
      <x:c r="BP131" s="115"/>
      <x:c r="BQ131" s="115"/>
      <x:c r="BR131" s="115"/>
      <x:c r="BS131" s="115"/>
      <x:c r="BT131" s="115"/>
      <x:c r="BU131" s="115"/>
      <x:c r="BV131" s="115"/>
      <x:c r="BW131" s="115"/>
      <x:c r="BX131" s="115"/>
      <x:c r="BY131" s="115"/>
      <x:c r="BZ131" s="115"/>
      <x:c r="CA131" s="115"/>
      <x:c r="CB131" s="116"/>
      <x:c r="CC131" s="141" t="str">
        <x:f>IF(COUNT(G131:P131)=0,"",AVERAGE(G131:P131)*4)</x:f>
      </x:c>
      <x:c r="CD131" s="178" t="str">
        <x:f>IF(COUNT(Q131:Z131)=0,"",AVERAGE(Q131:Z131)*4)</x:f>
      </x:c>
      <x:c r="CE131" s="178" t="str">
        <x:f>IF(COUNT(AA131:AJ131)=0,"",AVERAGE(AA131:AJ131)*4)</x:f>
      </x:c>
      <x:c r="CF131" s="178" t="str">
        <x:f>IF(COUNT(AK131:AR131)=0,"",AVERAGE(AK131:AR131)*4)</x:f>
      </x:c>
      <x:c r="CG131" s="178" t="str">
        <x:f>IF(COUNT(AS131:AY131)=0,"",AVERAGE(AS131:AY131)*4)</x:f>
      </x:c>
      <x:c r="CH131" s="178" t="str">
        <x:f>IF(COUNT(AZ131:BG131)=0,"",AVERAGE(AZ131:BG131)*4)</x:f>
      </x:c>
      <x:c r="CI131" s="178" t="str">
        <x:f>IF(COUNT(BH131:BN131)=0,"",AVERAGE(BH131:BN131)*4)</x:f>
      </x:c>
      <x:c r="CJ131" s="178" t="str">
        <x:f>IF(COUNT(BO131:BU131)=0,"",AVERAGE(BO131:BU131)*4)</x:f>
      </x:c>
      <x:c r="CK131" s="178" t="str">
        <x:f>IF(COUNT(BV131:CB131)=0,"",AVERAGE(BV131:CB131)*4)</x:f>
      </x:c>
      <x:c r="CL131" s="178" t="str">
        <x:f>IF(C131="","",IF(COUNT(G131:CB131)&lt;74,"",(CC131*'تنظیمات وزن‌دهی'!$C$5+CD131*'تنظیمات وزن‌دهی'!$C$6+CE131*'تنظیمات وزن‌دهی'!$C$7+CF131*'تنظیمات وزن‌دهی'!$C$8+CG131*'تنظیمات وزن‌دهی'!$C$9+CH131*'تنظیمات وزن‌دهی'!$C$10+CI131*'تنظیمات وزن‌دهی'!$C$11+CJ131*'تنظیمات وزن‌دهی'!$C$12+CK131*'تنظیمات وزن‌دهی'!$C$13)/100))</x:f>
      </x:c>
      <x:c r="CM131" s="178" t="str">
        <x:f>IF(C131="","",IF(COUNT(G131:CB131)=0,"",IF(COUNT(G131:CB131)&lt;74,"موقت - اطلاعات ناقص",IF(CL131&gt;=17,"عالی",IF(CL131&gt;=14,"خوب",IF(CL131&gt;=10,"متوسط","ضعیف"))))))</x:f>
      </x:c>
      <x:c r="CN131" s="178" t="n">
        <x:v>7</x:v>
      </x:c>
      <x:c r="CO131" s="142" t="n">
        <x:f>IF(C131="","",COUNT(G131:CB131)/74)</x:f>
        <x:v>0</x:v>
      </x:c>
      <x:c r="CP131" s="245"/>
    </x:row>
    <x:row r="132">
      <x:c r="A132" s="165" t="n">
        <x:v>128</x:v>
      </x:c>
      <x:c r="B132" s="233" t="str">
        <x:v>بهمن</x:v>
      </x:c>
      <x:c r="C132" s="233" t="n">
        <x:f>IF('دانش‌آموزان'!E15="","",'دانش‌آموزان'!B15)</x:f>
        <x:v>11</x:v>
      </x:c>
      <x:c r="D132" s="233" t="str">
        <x:f>IF('دانش‌آموزان'!C15="","",'دانش‌آموزان'!C15)</x:f>
        <x:v>4000000111</x:v>
      </x:c>
      <x:c r="E132" s="233" t="str">
        <x:f>IF('دانش‌آموزان'!E15="","",'دانش‌آموزان'!E15&amp;" "&amp;'دانش‌آموزان'!F15)</x:f>
        <x:v>پارسا موسوی</x:v>
      </x:c>
      <x:c r="F132" s="166" t="str">
        <x:f>IF('دانش‌آموزان'!I15="","",'دانش‌آموزان'!I15)</x:f>
        <x:v>sample-7-a</x:v>
      </x:c>
      <x:c r="G132" s="114"/>
      <x:c r="H132" s="115"/>
      <x:c r="I132" s="115"/>
      <x:c r="J132" s="115"/>
      <x:c r="K132" s="115"/>
      <x:c r="L132" s="115"/>
      <x:c r="M132" s="115"/>
      <x:c r="N132" s="115"/>
      <x:c r="O132" s="115"/>
      <x:c r="P132" s="115"/>
      <x:c r="Q132" s="115"/>
      <x:c r="R132" s="115"/>
      <x:c r="S132" s="115"/>
      <x:c r="T132" s="115"/>
      <x:c r="U132" s="115"/>
      <x:c r="V132" s="115"/>
      <x:c r="W132" s="115"/>
      <x:c r="X132" s="115"/>
      <x:c r="Y132" s="115"/>
      <x:c r="Z132" s="115"/>
      <x:c r="AA132" s="115"/>
      <x:c r="AB132" s="115"/>
      <x:c r="AC132" s="115"/>
      <x:c r="AD132" s="115"/>
      <x:c r="AE132" s="115"/>
      <x:c r="AF132" s="115"/>
      <x:c r="AG132" s="115"/>
      <x:c r="AH132" s="115"/>
      <x:c r="AI132" s="115"/>
      <x:c r="AJ132" s="115"/>
      <x:c r="AK132" s="115"/>
      <x:c r="AL132" s="115"/>
      <x:c r="AM132" s="115"/>
      <x:c r="AN132" s="115"/>
      <x:c r="AO132" s="115"/>
      <x:c r="AP132" s="115"/>
      <x:c r="AQ132" s="115"/>
      <x:c r="AR132" s="115"/>
      <x:c r="AS132" s="115"/>
      <x:c r="AT132" s="115"/>
      <x:c r="AU132" s="115"/>
      <x:c r="AV132" s="115"/>
      <x:c r="AW132" s="115"/>
      <x:c r="AX132" s="115"/>
      <x:c r="AY132" s="115"/>
      <x:c r="AZ132" s="115"/>
      <x:c r="BA132" s="115"/>
      <x:c r="BB132" s="115"/>
      <x:c r="BC132" s="115"/>
      <x:c r="BD132" s="115"/>
      <x:c r="BE132" s="115"/>
      <x:c r="BF132" s="115"/>
      <x:c r="BG132" s="115"/>
      <x:c r="BH132" s="115"/>
      <x:c r="BI132" s="115"/>
      <x:c r="BJ132" s="115"/>
      <x:c r="BK132" s="115"/>
      <x:c r="BL132" s="115"/>
      <x:c r="BM132" s="115"/>
      <x:c r="BN132" s="115"/>
      <x:c r="BO132" s="115"/>
      <x:c r="BP132" s="115"/>
      <x:c r="BQ132" s="115"/>
      <x:c r="BR132" s="115"/>
      <x:c r="BS132" s="115"/>
      <x:c r="BT132" s="115"/>
      <x:c r="BU132" s="115"/>
      <x:c r="BV132" s="115"/>
      <x:c r="BW132" s="115"/>
      <x:c r="BX132" s="115"/>
      <x:c r="BY132" s="115"/>
      <x:c r="BZ132" s="115"/>
      <x:c r="CA132" s="115"/>
      <x:c r="CB132" s="116"/>
      <x:c r="CC132" s="141" t="str">
        <x:f>IF(COUNT(G132:P132)=0,"",AVERAGE(G132:P132)*4)</x:f>
      </x:c>
      <x:c r="CD132" s="178" t="str">
        <x:f>IF(COUNT(Q132:Z132)=0,"",AVERAGE(Q132:Z132)*4)</x:f>
      </x:c>
      <x:c r="CE132" s="178" t="str">
        <x:f>IF(COUNT(AA132:AJ132)=0,"",AVERAGE(AA132:AJ132)*4)</x:f>
      </x:c>
      <x:c r="CF132" s="178" t="str">
        <x:f>IF(COUNT(AK132:AR132)=0,"",AVERAGE(AK132:AR132)*4)</x:f>
      </x:c>
      <x:c r="CG132" s="178" t="str">
        <x:f>IF(COUNT(AS132:AY132)=0,"",AVERAGE(AS132:AY132)*4)</x:f>
      </x:c>
      <x:c r="CH132" s="178" t="str">
        <x:f>IF(COUNT(AZ132:BG132)=0,"",AVERAGE(AZ132:BG132)*4)</x:f>
      </x:c>
      <x:c r="CI132" s="178" t="str">
        <x:f>IF(COUNT(BH132:BN132)=0,"",AVERAGE(BH132:BN132)*4)</x:f>
      </x:c>
      <x:c r="CJ132" s="178" t="str">
        <x:f>IF(COUNT(BO132:BU132)=0,"",AVERAGE(BO132:BU132)*4)</x:f>
      </x:c>
      <x:c r="CK132" s="178" t="str">
        <x:f>IF(COUNT(BV132:CB132)=0,"",AVERAGE(BV132:CB132)*4)</x:f>
      </x:c>
      <x:c r="CL132" s="178" t="str">
        <x:f>IF(C132="","",IF(COUNT(G132:CB132)&lt;74,"",(CC132*'تنظیمات وزن‌دهی'!$C$5+CD132*'تنظیمات وزن‌دهی'!$C$6+CE132*'تنظیمات وزن‌دهی'!$C$7+CF132*'تنظیمات وزن‌دهی'!$C$8+CG132*'تنظیمات وزن‌دهی'!$C$9+CH132*'تنظیمات وزن‌دهی'!$C$10+CI132*'تنظیمات وزن‌دهی'!$C$11+CJ132*'تنظیمات وزن‌دهی'!$C$12+CK132*'تنظیمات وزن‌دهی'!$C$13)/100))</x:f>
      </x:c>
      <x:c r="CM132" s="178" t="str">
        <x:f>IF(C132="","",IF(COUNT(G132:CB132)=0,"",IF(COUNT(G132:CB132)&lt;74,"موقت - اطلاعات ناقص",IF(CL132&gt;=17,"عالی",IF(CL132&gt;=14,"خوب",IF(CL132&gt;=10,"متوسط","ضعیف"))))))</x:f>
      </x:c>
      <x:c r="CN132" s="178" t="n">
        <x:v>8</x:v>
      </x:c>
      <x:c r="CO132" s="142" t="n">
        <x:f>IF(C132="","",COUNT(G132:CB132)/74)</x:f>
        <x:v>0</x:v>
      </x:c>
      <x:c r="CP132" s="245"/>
    </x:row>
    <x:row r="133">
      <x:c r="A133" s="165" t="n">
        <x:v>129</x:v>
      </x:c>
      <x:c r="B133" s="233" t="str">
        <x:v>اسفند</x:v>
      </x:c>
      <x:c r="C133" s="233" t="n">
        <x:f>IF('دانش‌آموزان'!E15="","",'دانش‌آموزان'!B15)</x:f>
        <x:v>11</x:v>
      </x:c>
      <x:c r="D133" s="233" t="str">
        <x:f>IF('دانش‌آموزان'!C15="","",'دانش‌آموزان'!C15)</x:f>
        <x:v>4000000111</x:v>
      </x:c>
      <x:c r="E133" s="233" t="str">
        <x:f>IF('دانش‌آموزان'!E15="","",'دانش‌آموزان'!E15&amp;" "&amp;'دانش‌آموزان'!F15)</x:f>
        <x:v>پارسا موسوی</x:v>
      </x:c>
      <x:c r="F133" s="166" t="str">
        <x:f>IF('دانش‌آموزان'!I15="","",'دانش‌آموزان'!I15)</x:f>
        <x:v>sample-7-a</x:v>
      </x:c>
      <x:c r="G133" s="114"/>
      <x:c r="H133" s="115"/>
      <x:c r="I133" s="115"/>
      <x:c r="J133" s="115"/>
      <x:c r="K133" s="115"/>
      <x:c r="L133" s="115"/>
      <x:c r="M133" s="115"/>
      <x:c r="N133" s="115"/>
      <x:c r="O133" s="115"/>
      <x:c r="P133" s="115"/>
      <x:c r="Q133" s="115"/>
      <x:c r="R133" s="115"/>
      <x:c r="S133" s="115"/>
      <x:c r="T133" s="115"/>
      <x:c r="U133" s="115"/>
      <x:c r="V133" s="115"/>
      <x:c r="W133" s="115"/>
      <x:c r="X133" s="115"/>
      <x:c r="Y133" s="115"/>
      <x:c r="Z133" s="115"/>
      <x:c r="AA133" s="115"/>
      <x:c r="AB133" s="115"/>
      <x:c r="AC133" s="115"/>
      <x:c r="AD133" s="115"/>
      <x:c r="AE133" s="115"/>
      <x:c r="AF133" s="115"/>
      <x:c r="AG133" s="115"/>
      <x:c r="AH133" s="115"/>
      <x:c r="AI133" s="115"/>
      <x:c r="AJ133" s="115"/>
      <x:c r="AK133" s="115"/>
      <x:c r="AL133" s="115"/>
      <x:c r="AM133" s="115"/>
      <x:c r="AN133" s="115"/>
      <x:c r="AO133" s="115"/>
      <x:c r="AP133" s="115"/>
      <x:c r="AQ133" s="115"/>
      <x:c r="AR133" s="115"/>
      <x:c r="AS133" s="115"/>
      <x:c r="AT133" s="115"/>
      <x:c r="AU133" s="115"/>
      <x:c r="AV133" s="115"/>
      <x:c r="AW133" s="115"/>
      <x:c r="AX133" s="115"/>
      <x:c r="AY133" s="115"/>
      <x:c r="AZ133" s="115"/>
      <x:c r="BA133" s="115"/>
      <x:c r="BB133" s="115"/>
      <x:c r="BC133" s="115"/>
      <x:c r="BD133" s="115"/>
      <x:c r="BE133" s="115"/>
      <x:c r="BF133" s="115"/>
      <x:c r="BG133" s="115"/>
      <x:c r="BH133" s="115"/>
      <x:c r="BI133" s="115"/>
      <x:c r="BJ133" s="115"/>
      <x:c r="BK133" s="115"/>
      <x:c r="BL133" s="115"/>
      <x:c r="BM133" s="115"/>
      <x:c r="BN133" s="115"/>
      <x:c r="BO133" s="115"/>
      <x:c r="BP133" s="115"/>
      <x:c r="BQ133" s="115"/>
      <x:c r="BR133" s="115"/>
      <x:c r="BS133" s="115"/>
      <x:c r="BT133" s="115"/>
      <x:c r="BU133" s="115"/>
      <x:c r="BV133" s="115"/>
      <x:c r="BW133" s="115"/>
      <x:c r="BX133" s="115"/>
      <x:c r="BY133" s="115"/>
      <x:c r="BZ133" s="115"/>
      <x:c r="CA133" s="115"/>
      <x:c r="CB133" s="116"/>
      <x:c r="CC133" s="141" t="str">
        <x:f>IF(COUNT(G133:P133)=0,"",AVERAGE(G133:P133)*4)</x:f>
      </x:c>
      <x:c r="CD133" s="178" t="str">
        <x:f>IF(COUNT(Q133:Z133)=0,"",AVERAGE(Q133:Z133)*4)</x:f>
      </x:c>
      <x:c r="CE133" s="178" t="str">
        <x:f>IF(COUNT(AA133:AJ133)=0,"",AVERAGE(AA133:AJ133)*4)</x:f>
      </x:c>
      <x:c r="CF133" s="178" t="str">
        <x:f>IF(COUNT(AK133:AR133)=0,"",AVERAGE(AK133:AR133)*4)</x:f>
      </x:c>
      <x:c r="CG133" s="178" t="str">
        <x:f>IF(COUNT(AS133:AY133)=0,"",AVERAGE(AS133:AY133)*4)</x:f>
      </x:c>
      <x:c r="CH133" s="178" t="str">
        <x:f>IF(COUNT(AZ133:BG133)=0,"",AVERAGE(AZ133:BG133)*4)</x:f>
      </x:c>
      <x:c r="CI133" s="178" t="str">
        <x:f>IF(COUNT(BH133:BN133)=0,"",AVERAGE(BH133:BN133)*4)</x:f>
      </x:c>
      <x:c r="CJ133" s="178" t="str">
        <x:f>IF(COUNT(BO133:BU133)=0,"",AVERAGE(BO133:BU133)*4)</x:f>
      </x:c>
      <x:c r="CK133" s="178" t="str">
        <x:f>IF(COUNT(BV133:CB133)=0,"",AVERAGE(BV133:CB133)*4)</x:f>
      </x:c>
      <x:c r="CL133" s="178" t="str">
        <x:f>IF(C133="","",IF(COUNT(G133:CB133)&lt;74,"",(CC133*'تنظیمات وزن‌دهی'!$C$5+CD133*'تنظیمات وزن‌دهی'!$C$6+CE133*'تنظیمات وزن‌دهی'!$C$7+CF133*'تنظیمات وزن‌دهی'!$C$8+CG133*'تنظیمات وزن‌دهی'!$C$9+CH133*'تنظیمات وزن‌دهی'!$C$10+CI133*'تنظیمات وزن‌دهی'!$C$11+CJ133*'تنظیمات وزن‌دهی'!$C$12+CK133*'تنظیمات وزن‌دهی'!$C$13)/100))</x:f>
      </x:c>
      <x:c r="CM133" s="178" t="str">
        <x:f>IF(C133="","",IF(COUNT(G133:CB133)=0,"",IF(COUNT(G133:CB133)&lt;74,"موقت - اطلاعات ناقص",IF(CL133&gt;=17,"عالی",IF(CL133&gt;=14,"خوب",IF(CL133&gt;=10,"متوسط","ضعیف"))))))</x:f>
      </x:c>
      <x:c r="CN133" s="178" t="n">
        <x:v>9</x:v>
      </x:c>
      <x:c r="CO133" s="142" t="n">
        <x:f>IF(C133="","",COUNT(G133:CB133)/74)</x:f>
        <x:v>0</x:v>
      </x:c>
      <x:c r="CP133" s="245"/>
    </x:row>
    <x:row r="134">
      <x:c r="A134" s="165" t="n">
        <x:v>130</x:v>
      </x:c>
      <x:c r="B134" s="233" t="str">
        <x:v>فروردین</x:v>
      </x:c>
      <x:c r="C134" s="233" t="n">
        <x:f>IF('دانش‌آموزان'!E15="","",'دانش‌آموزان'!B15)</x:f>
        <x:v>11</x:v>
      </x:c>
      <x:c r="D134" s="233" t="str">
        <x:f>IF('دانش‌آموزان'!C15="","",'دانش‌آموزان'!C15)</x:f>
        <x:v>4000000111</x:v>
      </x:c>
      <x:c r="E134" s="233" t="str">
        <x:f>IF('دانش‌آموزان'!E15="","",'دانش‌آموزان'!E15&amp;" "&amp;'دانش‌آموزان'!F15)</x:f>
        <x:v>پارسا موسوی</x:v>
      </x:c>
      <x:c r="F134" s="166" t="str">
        <x:f>IF('دانش‌آموزان'!I15="","",'دانش‌آموزان'!I15)</x:f>
        <x:v>sample-7-a</x:v>
      </x:c>
      <x:c r="G134" s="114"/>
      <x:c r="H134" s="115"/>
      <x:c r="I134" s="115"/>
      <x:c r="J134" s="115"/>
      <x:c r="K134" s="115"/>
      <x:c r="L134" s="115"/>
      <x:c r="M134" s="115"/>
      <x:c r="N134" s="115"/>
      <x:c r="O134" s="115"/>
      <x:c r="P134" s="115"/>
      <x:c r="Q134" s="115"/>
      <x:c r="R134" s="115"/>
      <x:c r="S134" s="115"/>
      <x:c r="T134" s="115"/>
      <x:c r="U134" s="115"/>
      <x:c r="V134" s="115"/>
      <x:c r="W134" s="115"/>
      <x:c r="X134" s="115"/>
      <x:c r="Y134" s="115"/>
      <x:c r="Z134" s="115"/>
      <x:c r="AA134" s="115"/>
      <x:c r="AB134" s="115"/>
      <x:c r="AC134" s="115"/>
      <x:c r="AD134" s="115"/>
      <x:c r="AE134" s="115"/>
      <x:c r="AF134" s="115"/>
      <x:c r="AG134" s="115"/>
      <x:c r="AH134" s="115"/>
      <x:c r="AI134" s="115"/>
      <x:c r="AJ134" s="115"/>
      <x:c r="AK134" s="115"/>
      <x:c r="AL134" s="115"/>
      <x:c r="AM134" s="115"/>
      <x:c r="AN134" s="115"/>
      <x:c r="AO134" s="115"/>
      <x:c r="AP134" s="115"/>
      <x:c r="AQ134" s="115"/>
      <x:c r="AR134" s="115"/>
      <x:c r="AS134" s="115"/>
      <x:c r="AT134" s="115"/>
      <x:c r="AU134" s="115"/>
      <x:c r="AV134" s="115"/>
      <x:c r="AW134" s="115"/>
      <x:c r="AX134" s="115"/>
      <x:c r="AY134" s="115"/>
      <x:c r="AZ134" s="115"/>
      <x:c r="BA134" s="115"/>
      <x:c r="BB134" s="115"/>
      <x:c r="BC134" s="115"/>
      <x:c r="BD134" s="115"/>
      <x:c r="BE134" s="115"/>
      <x:c r="BF134" s="115"/>
      <x:c r="BG134" s="115"/>
      <x:c r="BH134" s="115"/>
      <x:c r="BI134" s="115"/>
      <x:c r="BJ134" s="115"/>
      <x:c r="BK134" s="115"/>
      <x:c r="BL134" s="115"/>
      <x:c r="BM134" s="115"/>
      <x:c r="BN134" s="115"/>
      <x:c r="BO134" s="115"/>
      <x:c r="BP134" s="115"/>
      <x:c r="BQ134" s="115"/>
      <x:c r="BR134" s="115"/>
      <x:c r="BS134" s="115"/>
      <x:c r="BT134" s="115"/>
      <x:c r="BU134" s="115"/>
      <x:c r="BV134" s="115"/>
      <x:c r="BW134" s="115"/>
      <x:c r="BX134" s="115"/>
      <x:c r="BY134" s="115"/>
      <x:c r="BZ134" s="115"/>
      <x:c r="CA134" s="115"/>
      <x:c r="CB134" s="116"/>
      <x:c r="CC134" s="141" t="str">
        <x:f>IF(COUNT(G134:P134)=0,"",AVERAGE(G134:P134)*4)</x:f>
      </x:c>
      <x:c r="CD134" s="178" t="str">
        <x:f>IF(COUNT(Q134:Z134)=0,"",AVERAGE(Q134:Z134)*4)</x:f>
      </x:c>
      <x:c r="CE134" s="178" t="str">
        <x:f>IF(COUNT(AA134:AJ134)=0,"",AVERAGE(AA134:AJ134)*4)</x:f>
      </x:c>
      <x:c r="CF134" s="178" t="str">
        <x:f>IF(COUNT(AK134:AR134)=0,"",AVERAGE(AK134:AR134)*4)</x:f>
      </x:c>
      <x:c r="CG134" s="178" t="str">
        <x:f>IF(COUNT(AS134:AY134)=0,"",AVERAGE(AS134:AY134)*4)</x:f>
      </x:c>
      <x:c r="CH134" s="178" t="str">
        <x:f>IF(COUNT(AZ134:BG134)=0,"",AVERAGE(AZ134:BG134)*4)</x:f>
      </x:c>
      <x:c r="CI134" s="178" t="str">
        <x:f>IF(COUNT(BH134:BN134)=0,"",AVERAGE(BH134:BN134)*4)</x:f>
      </x:c>
      <x:c r="CJ134" s="178" t="str">
        <x:f>IF(COUNT(BO134:BU134)=0,"",AVERAGE(BO134:BU134)*4)</x:f>
      </x:c>
      <x:c r="CK134" s="178" t="str">
        <x:f>IF(COUNT(BV134:CB134)=0,"",AVERAGE(BV134:CB134)*4)</x:f>
      </x:c>
      <x:c r="CL134" s="178" t="str">
        <x:f>IF(C134="","",IF(COUNT(G134:CB134)&lt;74,"",(CC134*'تنظیمات وزن‌دهی'!$C$5+CD134*'تنظیمات وزن‌دهی'!$C$6+CE134*'تنظیمات وزن‌دهی'!$C$7+CF134*'تنظیمات وزن‌دهی'!$C$8+CG134*'تنظیمات وزن‌دهی'!$C$9+CH134*'تنظیمات وزن‌دهی'!$C$10+CI134*'تنظیمات وزن‌دهی'!$C$11+CJ134*'تنظیمات وزن‌دهی'!$C$12+CK134*'تنظیمات وزن‌دهی'!$C$13)/100))</x:f>
      </x:c>
      <x:c r="CM134" s="178" t="str">
        <x:f>IF(C134="","",IF(COUNT(G134:CB134)=0,"",IF(COUNT(G134:CB134)&lt;74,"موقت - اطلاعات ناقص",IF(CL134&gt;=17,"عالی",IF(CL134&gt;=14,"خوب",IF(CL134&gt;=10,"متوسط","ضعیف"))))))</x:f>
      </x:c>
      <x:c r="CN134" s="178" t="n">
        <x:v>10</x:v>
      </x:c>
      <x:c r="CO134" s="142" t="n">
        <x:f>IF(C134="","",COUNT(G134:CB134)/74)</x:f>
        <x:v>0</x:v>
      </x:c>
      <x:c r="CP134" s="245"/>
    </x:row>
    <x:row r="135">
      <x:c r="A135" s="165" t="n">
        <x:v>131</x:v>
      </x:c>
      <x:c r="B135" s="233" t="str">
        <x:v>اردیبهشت</x:v>
      </x:c>
      <x:c r="C135" s="233" t="n">
        <x:f>IF('دانش‌آموزان'!E15="","",'دانش‌آموزان'!B15)</x:f>
        <x:v>11</x:v>
      </x:c>
      <x:c r="D135" s="233" t="str">
        <x:f>IF('دانش‌آموزان'!C15="","",'دانش‌آموزان'!C15)</x:f>
        <x:v>4000000111</x:v>
      </x:c>
      <x:c r="E135" s="233" t="str">
        <x:f>IF('دانش‌آموزان'!E15="","",'دانش‌آموزان'!E15&amp;" "&amp;'دانش‌آموزان'!F15)</x:f>
        <x:v>پارسا موسوی</x:v>
      </x:c>
      <x:c r="F135" s="166" t="str">
        <x:f>IF('دانش‌آموزان'!I15="","",'دانش‌آموزان'!I15)</x:f>
        <x:v>sample-7-a</x:v>
      </x:c>
      <x:c r="G135" s="114"/>
      <x:c r="H135" s="115"/>
      <x:c r="I135" s="115"/>
      <x:c r="J135" s="115"/>
      <x:c r="K135" s="115"/>
      <x:c r="L135" s="115"/>
      <x:c r="M135" s="115"/>
      <x:c r="N135" s="115"/>
      <x:c r="O135" s="115"/>
      <x:c r="P135" s="115"/>
      <x:c r="Q135" s="115"/>
      <x:c r="R135" s="115"/>
      <x:c r="S135" s="115"/>
      <x:c r="T135" s="115"/>
      <x:c r="U135" s="115"/>
      <x:c r="V135" s="115"/>
      <x:c r="W135" s="115"/>
      <x:c r="X135" s="115"/>
      <x:c r="Y135" s="115"/>
      <x:c r="Z135" s="115"/>
      <x:c r="AA135" s="115"/>
      <x:c r="AB135" s="115"/>
      <x:c r="AC135" s="115"/>
      <x:c r="AD135" s="115"/>
      <x:c r="AE135" s="115"/>
      <x:c r="AF135" s="115"/>
      <x:c r="AG135" s="115"/>
      <x:c r="AH135" s="115"/>
      <x:c r="AI135" s="115"/>
      <x:c r="AJ135" s="115"/>
      <x:c r="AK135" s="115"/>
      <x:c r="AL135" s="115"/>
      <x:c r="AM135" s="115"/>
      <x:c r="AN135" s="115"/>
      <x:c r="AO135" s="115"/>
      <x:c r="AP135" s="115"/>
      <x:c r="AQ135" s="115"/>
      <x:c r="AR135" s="115"/>
      <x:c r="AS135" s="115"/>
      <x:c r="AT135" s="115"/>
      <x:c r="AU135" s="115"/>
      <x:c r="AV135" s="115"/>
      <x:c r="AW135" s="115"/>
      <x:c r="AX135" s="115"/>
      <x:c r="AY135" s="115"/>
      <x:c r="AZ135" s="115"/>
      <x:c r="BA135" s="115"/>
      <x:c r="BB135" s="115"/>
      <x:c r="BC135" s="115"/>
      <x:c r="BD135" s="115"/>
      <x:c r="BE135" s="115"/>
      <x:c r="BF135" s="115"/>
      <x:c r="BG135" s="115"/>
      <x:c r="BH135" s="115"/>
      <x:c r="BI135" s="115"/>
      <x:c r="BJ135" s="115"/>
      <x:c r="BK135" s="115"/>
      <x:c r="BL135" s="115"/>
      <x:c r="BM135" s="115"/>
      <x:c r="BN135" s="115"/>
      <x:c r="BO135" s="115"/>
      <x:c r="BP135" s="115"/>
      <x:c r="BQ135" s="115"/>
      <x:c r="BR135" s="115"/>
      <x:c r="BS135" s="115"/>
      <x:c r="BT135" s="115"/>
      <x:c r="BU135" s="115"/>
      <x:c r="BV135" s="115"/>
      <x:c r="BW135" s="115"/>
      <x:c r="BX135" s="115"/>
      <x:c r="BY135" s="115"/>
      <x:c r="BZ135" s="115"/>
      <x:c r="CA135" s="115"/>
      <x:c r="CB135" s="116"/>
      <x:c r="CC135" s="141" t="str">
        <x:f>IF(COUNT(G135:P135)=0,"",AVERAGE(G135:P135)*4)</x:f>
      </x:c>
      <x:c r="CD135" s="178" t="str">
        <x:f>IF(COUNT(Q135:Z135)=0,"",AVERAGE(Q135:Z135)*4)</x:f>
      </x:c>
      <x:c r="CE135" s="178" t="str">
        <x:f>IF(COUNT(AA135:AJ135)=0,"",AVERAGE(AA135:AJ135)*4)</x:f>
      </x:c>
      <x:c r="CF135" s="178" t="str">
        <x:f>IF(COUNT(AK135:AR135)=0,"",AVERAGE(AK135:AR135)*4)</x:f>
      </x:c>
      <x:c r="CG135" s="178" t="str">
        <x:f>IF(COUNT(AS135:AY135)=0,"",AVERAGE(AS135:AY135)*4)</x:f>
      </x:c>
      <x:c r="CH135" s="178" t="str">
        <x:f>IF(COUNT(AZ135:BG135)=0,"",AVERAGE(AZ135:BG135)*4)</x:f>
      </x:c>
      <x:c r="CI135" s="178" t="str">
        <x:f>IF(COUNT(BH135:BN135)=0,"",AVERAGE(BH135:BN135)*4)</x:f>
      </x:c>
      <x:c r="CJ135" s="178" t="str">
        <x:f>IF(COUNT(BO135:BU135)=0,"",AVERAGE(BO135:BU135)*4)</x:f>
      </x:c>
      <x:c r="CK135" s="178" t="str">
        <x:f>IF(COUNT(BV135:CB135)=0,"",AVERAGE(BV135:CB135)*4)</x:f>
      </x:c>
      <x:c r="CL135" s="178" t="str">
        <x:f>IF(C135="","",IF(COUNT(G135:CB135)&lt;74,"",(CC135*'تنظیمات وزن‌دهی'!$C$5+CD135*'تنظیمات وزن‌دهی'!$C$6+CE135*'تنظیمات وزن‌دهی'!$C$7+CF135*'تنظیمات وزن‌دهی'!$C$8+CG135*'تنظیمات وزن‌دهی'!$C$9+CH135*'تنظیمات وزن‌دهی'!$C$10+CI135*'تنظیمات وزن‌دهی'!$C$11+CJ135*'تنظیمات وزن‌دهی'!$C$12+CK135*'تنظیمات وزن‌دهی'!$C$13)/100))</x:f>
      </x:c>
      <x:c r="CM135" s="178" t="str">
        <x:f>IF(C135="","",IF(COUNT(G135:CB135)=0,"",IF(COUNT(G135:CB135)&lt;74,"موقت - اطلاعات ناقص",IF(CL135&gt;=17,"عالی",IF(CL135&gt;=14,"خوب",IF(CL135&gt;=10,"متوسط","ضعیف"))))))</x:f>
      </x:c>
      <x:c r="CN135" s="178" t="n">
        <x:v>11</x:v>
      </x:c>
      <x:c r="CO135" s="142" t="n">
        <x:f>IF(C135="","",COUNT(G135:CB135)/74)</x:f>
        <x:v>0</x:v>
      </x:c>
      <x:c r="CP135" s="245"/>
    </x:row>
    <x:row r="136">
      <x:c r="A136" s="165" t="n">
        <x:v>132</x:v>
      </x:c>
      <x:c r="B136" s="233" t="str">
        <x:v>خرداد</x:v>
      </x:c>
      <x:c r="C136" s="233" t="n">
        <x:f>IF('دانش‌آموزان'!E15="","",'دانش‌آموزان'!B15)</x:f>
        <x:v>11</x:v>
      </x:c>
      <x:c r="D136" s="233" t="str">
        <x:f>IF('دانش‌آموزان'!C15="","",'دانش‌آموزان'!C15)</x:f>
        <x:v>4000000111</x:v>
      </x:c>
      <x:c r="E136" s="233" t="str">
        <x:f>IF('دانش‌آموزان'!E15="","",'دانش‌آموزان'!E15&amp;" "&amp;'دانش‌آموزان'!F15)</x:f>
        <x:v>پارسا موسوی</x:v>
      </x:c>
      <x:c r="F136" s="166" t="str">
        <x:f>IF('دانش‌آموزان'!I15="","",'دانش‌آموزان'!I15)</x:f>
        <x:v>sample-7-a</x:v>
      </x:c>
      <x:c r="G136" s="114"/>
      <x:c r="H136" s="115"/>
      <x:c r="I136" s="115"/>
      <x:c r="J136" s="115"/>
      <x:c r="K136" s="115"/>
      <x:c r="L136" s="115"/>
      <x:c r="M136" s="115"/>
      <x:c r="N136" s="115"/>
      <x:c r="O136" s="115"/>
      <x:c r="P136" s="115"/>
      <x:c r="Q136" s="115"/>
      <x:c r="R136" s="115"/>
      <x:c r="S136" s="115"/>
      <x:c r="T136" s="115"/>
      <x:c r="U136" s="115"/>
      <x:c r="V136" s="115"/>
      <x:c r="W136" s="115"/>
      <x:c r="X136" s="115"/>
      <x:c r="Y136" s="115"/>
      <x:c r="Z136" s="115"/>
      <x:c r="AA136" s="115"/>
      <x:c r="AB136" s="115"/>
      <x:c r="AC136" s="115"/>
      <x:c r="AD136" s="115"/>
      <x:c r="AE136" s="115"/>
      <x:c r="AF136" s="115"/>
      <x:c r="AG136" s="115"/>
      <x:c r="AH136" s="115"/>
      <x:c r="AI136" s="115"/>
      <x:c r="AJ136" s="115"/>
      <x:c r="AK136" s="115"/>
      <x:c r="AL136" s="115"/>
      <x:c r="AM136" s="115"/>
      <x:c r="AN136" s="115"/>
      <x:c r="AO136" s="115"/>
      <x:c r="AP136" s="115"/>
      <x:c r="AQ136" s="115"/>
      <x:c r="AR136" s="115"/>
      <x:c r="AS136" s="115"/>
      <x:c r="AT136" s="115"/>
      <x:c r="AU136" s="115"/>
      <x:c r="AV136" s="115"/>
      <x:c r="AW136" s="115"/>
      <x:c r="AX136" s="115"/>
      <x:c r="AY136" s="115"/>
      <x:c r="AZ136" s="115"/>
      <x:c r="BA136" s="115"/>
      <x:c r="BB136" s="115"/>
      <x:c r="BC136" s="115"/>
      <x:c r="BD136" s="115"/>
      <x:c r="BE136" s="115"/>
      <x:c r="BF136" s="115"/>
      <x:c r="BG136" s="115"/>
      <x:c r="BH136" s="115"/>
      <x:c r="BI136" s="115"/>
      <x:c r="BJ136" s="115"/>
      <x:c r="BK136" s="115"/>
      <x:c r="BL136" s="115"/>
      <x:c r="BM136" s="115"/>
      <x:c r="BN136" s="115"/>
      <x:c r="BO136" s="115"/>
      <x:c r="BP136" s="115"/>
      <x:c r="BQ136" s="115"/>
      <x:c r="BR136" s="115"/>
      <x:c r="BS136" s="115"/>
      <x:c r="BT136" s="115"/>
      <x:c r="BU136" s="115"/>
      <x:c r="BV136" s="115"/>
      <x:c r="BW136" s="115"/>
      <x:c r="BX136" s="115"/>
      <x:c r="BY136" s="115"/>
      <x:c r="BZ136" s="115"/>
      <x:c r="CA136" s="115"/>
      <x:c r="CB136" s="116"/>
      <x:c r="CC136" s="141" t="str">
        <x:f>IF(COUNT(G136:P136)=0,"",AVERAGE(G136:P136)*4)</x:f>
      </x:c>
      <x:c r="CD136" s="178" t="str">
        <x:f>IF(COUNT(Q136:Z136)=0,"",AVERAGE(Q136:Z136)*4)</x:f>
      </x:c>
      <x:c r="CE136" s="178" t="str">
        <x:f>IF(COUNT(AA136:AJ136)=0,"",AVERAGE(AA136:AJ136)*4)</x:f>
      </x:c>
      <x:c r="CF136" s="178" t="str">
        <x:f>IF(COUNT(AK136:AR136)=0,"",AVERAGE(AK136:AR136)*4)</x:f>
      </x:c>
      <x:c r="CG136" s="178" t="str">
        <x:f>IF(COUNT(AS136:AY136)=0,"",AVERAGE(AS136:AY136)*4)</x:f>
      </x:c>
      <x:c r="CH136" s="178" t="str">
        <x:f>IF(COUNT(AZ136:BG136)=0,"",AVERAGE(AZ136:BG136)*4)</x:f>
      </x:c>
      <x:c r="CI136" s="178" t="str">
        <x:f>IF(COUNT(BH136:BN136)=0,"",AVERAGE(BH136:BN136)*4)</x:f>
      </x:c>
      <x:c r="CJ136" s="178" t="str">
        <x:f>IF(COUNT(BO136:BU136)=0,"",AVERAGE(BO136:BU136)*4)</x:f>
      </x:c>
      <x:c r="CK136" s="178" t="str">
        <x:f>IF(COUNT(BV136:CB136)=0,"",AVERAGE(BV136:CB136)*4)</x:f>
      </x:c>
      <x:c r="CL136" s="178" t="str">
        <x:f>IF(C136="","",IF(COUNT(G136:CB136)&lt;74,"",(CC136*'تنظیمات وزن‌دهی'!$C$5+CD136*'تنظیمات وزن‌دهی'!$C$6+CE136*'تنظیمات وزن‌دهی'!$C$7+CF136*'تنظیمات وزن‌دهی'!$C$8+CG136*'تنظیمات وزن‌دهی'!$C$9+CH136*'تنظیمات وزن‌دهی'!$C$10+CI136*'تنظیمات وزن‌دهی'!$C$11+CJ136*'تنظیمات وزن‌دهی'!$C$12+CK136*'تنظیمات وزن‌دهی'!$C$13)/100))</x:f>
      </x:c>
      <x:c r="CM136" s="178" t="str">
        <x:f>IF(C136="","",IF(COUNT(G136:CB136)=0,"",IF(COUNT(G136:CB136)&lt;74,"موقت - اطلاعات ناقص",IF(CL136&gt;=17,"عالی",IF(CL136&gt;=14,"خوب",IF(CL136&gt;=10,"متوسط","ضعیف"))))))</x:f>
      </x:c>
      <x:c r="CN136" s="178" t="n">
        <x:v>12</x:v>
      </x:c>
      <x:c r="CO136" s="142" t="n">
        <x:f>IF(C136="","",COUNT(G136:CB136)/74)</x:f>
        <x:v>0</x:v>
      </x:c>
      <x:c r="CP136" s="245"/>
    </x:row>
    <x:row r="137">
      <x:c r="A137" s="165" t="n">
        <x:v>133</x:v>
      </x:c>
      <x:c r="B137" s="233" t="str">
        <x:v>تیر</x:v>
      </x:c>
      <x:c r="C137" s="233" t="n">
        <x:f>IF('دانش‌آموزان'!E16="","",'دانش‌آموزان'!B16)</x:f>
        <x:v>12</x:v>
      </x:c>
      <x:c r="D137" s="233" t="str">
        <x:f>IF('دانش‌آموزان'!C16="","",'دانش‌آموزان'!C16)</x:f>
        <x:v>4000000128</x:v>
      </x:c>
      <x:c r="E137" s="233" t="str">
        <x:f>IF('دانش‌آموزان'!E16="","",'دانش‌آموزان'!E16&amp;" "&amp;'دانش‌آموزان'!F16)</x:f>
        <x:v>رها یوسفی</x:v>
      </x:c>
      <x:c r="F137" s="166" t="str">
        <x:f>IF('دانش‌آموزان'!I16="","",'دانش‌آموزان'!I16)</x:f>
        <x:v>sample-7-a</x:v>
      </x:c>
      <x:c r="G137" s="114" t="n">
        <x:v>2</x:v>
      </x:c>
      <x:c r="H137" s="115" t="n">
        <x:v>4</x:v>
      </x:c>
      <x:c r="I137" s="115" t="n">
        <x:v>5</x:v>
      </x:c>
      <x:c r="J137" s="115" t="n">
        <x:v>4</x:v>
      </x:c>
      <x:c r="K137" s="115" t="n">
        <x:v>5</x:v>
      </x:c>
      <x:c r="L137" s="115" t="n">
        <x:v>3</x:v>
      </x:c>
      <x:c r="M137" s="115" t="n">
        <x:v>5</x:v>
      </x:c>
      <x:c r="N137" s="115" t="n">
        <x:v>3</x:v>
      </x:c>
      <x:c r="O137" s="115" t="n">
        <x:v>4</x:v>
      </x:c>
      <x:c r="P137" s="115" t="n">
        <x:v>3</x:v>
      </x:c>
      <x:c r="Q137" s="115" t="n">
        <x:v>4</x:v>
      </x:c>
      <x:c r="R137" s="115" t="n">
        <x:v>2</x:v>
      </x:c>
      <x:c r="S137" s="115" t="n">
        <x:v>4</x:v>
      </x:c>
      <x:c r="T137" s="115" t="n">
        <x:v>5</x:v>
      </x:c>
      <x:c r="U137" s="115" t="n">
        <x:v>4</x:v>
      </x:c>
      <x:c r="V137" s="115" t="n">
        <x:v>5</x:v>
      </x:c>
      <x:c r="W137" s="115" t="n">
        <x:v>3</x:v>
      </x:c>
      <x:c r="X137" s="115" t="n">
        <x:v>5</x:v>
      </x:c>
      <x:c r="Y137" s="115" t="n">
        <x:v>3</x:v>
      </x:c>
      <x:c r="Z137" s="115" t="n">
        <x:v>4</x:v>
      </x:c>
      <x:c r="AA137" s="115" t="n">
        <x:v>3</x:v>
      </x:c>
      <x:c r="AB137" s="115" t="n">
        <x:v>4</x:v>
      </x:c>
      <x:c r="AC137" s="115" t="n">
        <x:v>2</x:v>
      </x:c>
      <x:c r="AD137" s="115" t="n">
        <x:v>4</x:v>
      </x:c>
      <x:c r="AE137" s="115" t="n">
        <x:v>5</x:v>
      </x:c>
      <x:c r="AF137" s="115" t="n">
        <x:v>4</x:v>
      </x:c>
      <x:c r="AG137" s="115" t="n">
        <x:v>5</x:v>
      </x:c>
      <x:c r="AH137" s="115" t="n">
        <x:v>3</x:v>
      </x:c>
      <x:c r="AI137" s="115" t="n">
        <x:v>5</x:v>
      </x:c>
      <x:c r="AJ137" s="115" t="n">
        <x:v>3</x:v>
      </x:c>
      <x:c r="AK137" s="115" t="n">
        <x:v>4</x:v>
      </x:c>
      <x:c r="AL137" s="115" t="n">
        <x:v>3</x:v>
      </x:c>
      <x:c r="AM137" s="115" t="n">
        <x:v>4</x:v>
      </x:c>
      <x:c r="AN137" s="115" t="n">
        <x:v>2</x:v>
      </x:c>
      <x:c r="AO137" s="115" t="n">
        <x:v>4</x:v>
      </x:c>
      <x:c r="AP137" s="115" t="n">
        <x:v>5</x:v>
      </x:c>
      <x:c r="AQ137" s="115" t="n">
        <x:v>4</x:v>
      </x:c>
      <x:c r="AR137" s="115" t="n">
        <x:v>5</x:v>
      </x:c>
      <x:c r="AS137" s="115" t="n">
        <x:v>3</x:v>
      </x:c>
      <x:c r="AT137" s="115" t="n">
        <x:v>5</x:v>
      </x:c>
      <x:c r="AU137" s="115" t="n">
        <x:v>3</x:v>
      </x:c>
      <x:c r="AV137" s="115" t="n">
        <x:v>4</x:v>
      </x:c>
      <x:c r="AW137" s="115" t="n">
        <x:v>3</x:v>
      </x:c>
      <x:c r="AX137" s="115" t="n">
        <x:v>4</x:v>
      </x:c>
      <x:c r="AY137" s="115" t="n">
        <x:v>2</x:v>
      </x:c>
      <x:c r="AZ137" s="115" t="n">
        <x:v>4</x:v>
      </x:c>
      <x:c r="BA137" s="115" t="n">
        <x:v>5</x:v>
      </x:c>
      <x:c r="BB137" s="115" t="n">
        <x:v>4</x:v>
      </x:c>
      <x:c r="BC137" s="115" t="n">
        <x:v>5</x:v>
      </x:c>
      <x:c r="BD137" s="115" t="n">
        <x:v>3</x:v>
      </x:c>
      <x:c r="BE137" s="115" t="n">
        <x:v>5</x:v>
      </x:c>
      <x:c r="BF137" s="115" t="n">
        <x:v>3</x:v>
      </x:c>
      <x:c r="BG137" s="115" t="n">
        <x:v>4</x:v>
      </x:c>
      <x:c r="BH137" s="115" t="n">
        <x:v>3</x:v>
      </x:c>
      <x:c r="BI137" s="115" t="n">
        <x:v>4</x:v>
      </x:c>
      <x:c r="BJ137" s="115" t="n">
        <x:v>2</x:v>
      </x:c>
      <x:c r="BK137" s="115" t="n">
        <x:v>4</x:v>
      </x:c>
      <x:c r="BL137" s="115" t="n">
        <x:v>5</x:v>
      </x:c>
      <x:c r="BM137" s="115" t="n">
        <x:v>4</x:v>
      </x:c>
      <x:c r="BN137" s="115" t="n">
        <x:v>5</x:v>
      </x:c>
      <x:c r="BO137" s="115" t="n">
        <x:v>3</x:v>
      </x:c>
      <x:c r="BP137" s="115" t="n">
        <x:v>5</x:v>
      </x:c>
      <x:c r="BQ137" s="115" t="n">
        <x:v>3</x:v>
      </x:c>
      <x:c r="BR137" s="115" t="n">
        <x:v>4</x:v>
      </x:c>
      <x:c r="BS137" s="115" t="n">
        <x:v>3</x:v>
      </x:c>
      <x:c r="BT137" s="115" t="n">
        <x:v>4</x:v>
      </x:c>
      <x:c r="BU137" s="115" t="n">
        <x:v>2</x:v>
      </x:c>
      <x:c r="BV137" s="115" t="n">
        <x:v>4</x:v>
      </x:c>
      <x:c r="BW137" s="115" t="n">
        <x:v>5</x:v>
      </x:c>
      <x:c r="BX137" s="115" t="n">
        <x:v>4</x:v>
      </x:c>
      <x:c r="BY137" s="115" t="n">
        <x:v>5</x:v>
      </x:c>
      <x:c r="BZ137" s="115" t="n">
        <x:v>3</x:v>
      </x:c>
      <x:c r="CA137" s="115" t="n">
        <x:v>5</x:v>
      </x:c>
      <x:c r="CB137" s="116" t="n">
        <x:v>3</x:v>
      </x:c>
      <x:c r="CC137" s="141" t="n">
        <x:f>IF(COUNT(G137:P137)=0,"",AVERAGE(G137:P137)*4)</x:f>
        <x:v>15.2</x:v>
      </x:c>
      <x:c r="CD137" s="178" t="n">
        <x:f>IF(COUNT(Q137:Z137)=0,"",AVERAGE(Q137:Z137)*4)</x:f>
        <x:v>15.6</x:v>
      </x:c>
      <x:c r="CE137" s="178" t="n">
        <x:f>IF(COUNT(AA137:AJ137)=0,"",AVERAGE(AA137:AJ137)*4)</x:f>
        <x:v>15.2</x:v>
      </x:c>
      <x:c r="CF137" s="178" t="n">
        <x:f>IF(COUNT(AK137:AR137)=0,"",AVERAGE(AK137:AR137)*4)</x:f>
        <x:v>15.5</x:v>
      </x:c>
      <x:c r="CG137" s="178" t="n">
        <x:f>IF(COUNT(AS137:AY137)=0,"",AVERAGE(AS137:AY137)*4)</x:f>
        <x:v>13.714285714285714</x:v>
      </x:c>
      <x:c r="CH137" s="178" t="n">
        <x:f>IF(COUNT(AZ137:BG137)=0,"",AVERAGE(AZ137:BG137)*4)</x:f>
        <x:v>16.5</x:v>
      </x:c>
      <x:c r="CI137" s="178" t="n">
        <x:f>IF(COUNT(BH137:BN137)=0,"",AVERAGE(BH137:BN137)*4)</x:f>
        <x:v>15.428571428571429</x:v>
      </x:c>
      <x:c r="CJ137" s="178" t="n">
        <x:f>IF(COUNT(BO137:BU137)=0,"",AVERAGE(BO137:BU137)*4)</x:f>
        <x:v>13.714285714285714</x:v>
      </x:c>
      <x:c r="CK137" s="178" t="n">
        <x:f>IF(COUNT(BV137:CB137)=0,"",AVERAGE(BV137:CB137)*4)</x:f>
        <x:v>16.571428571428573</x:v>
      </x:c>
      <x:c r="CL137" s="178" t="n">
        <x:f>IF(C137="","",IF(COUNT(G137:CB137)&lt;74,"",(CC137*'تنظیمات وزن‌دهی'!$C$5+CD137*'تنظیمات وزن‌دهی'!$C$6+CE137*'تنظیمات وزن‌دهی'!$C$7+CF137*'تنظیمات وزن‌دهی'!$C$8+CG137*'تنظیمات وزن‌دهی'!$C$9+CH137*'تنظیمات وزن‌دهی'!$C$10+CI137*'تنظیمات وزن‌دهی'!$C$11+CJ137*'تنظیمات وزن‌دهی'!$C$12+CK137*'تنظیمات وزن‌دهی'!$C$13)/100))</x:f>
        <x:v>15.327857142857143</x:v>
      </x:c>
      <x:c r="CM137" s="178" t="str">
        <x:f>IF(C137="","",IF(COUNT(G137:CB137)=0,"",IF(COUNT(G137:CB137)&lt;74,"موقت - اطلاعات ناقص",IF(CL137&gt;=17,"عالی",IF(CL137&gt;=14,"خوب",IF(CL137&gt;=10,"متوسط","ضعیف"))))))</x:f>
        <x:v>خوب</x:v>
      </x:c>
      <x:c r="CN137" s="178" t="n">
        <x:v>1</x:v>
      </x:c>
      <x:c r="CO137" s="142" t="n">
        <x:f>IF(C137="","",COUNT(G137:CB137)/74)</x:f>
        <x:v>1</x:v>
      </x:c>
      <x:c r="CP137" s="245" t="str">
        <x:v>داده نمونه کامل برای ماه تیر - دانش‌آموز شماره 12</x:v>
      </x:c>
    </x:row>
    <x:row r="138">
      <x:c r="A138" s="165" t="n">
        <x:v>134</x:v>
      </x:c>
      <x:c r="B138" s="233" t="str">
        <x:v>مرداد</x:v>
      </x:c>
      <x:c r="C138" s="233" t="n">
        <x:f>IF('دانش‌آموزان'!E16="","",'دانش‌آموزان'!B16)</x:f>
        <x:v>12</x:v>
      </x:c>
      <x:c r="D138" s="233" t="str">
        <x:f>IF('دانش‌آموزان'!C16="","",'دانش‌آموزان'!C16)</x:f>
        <x:v>4000000128</x:v>
      </x:c>
      <x:c r="E138" s="233" t="str">
        <x:f>IF('دانش‌آموزان'!E16="","",'دانش‌آموزان'!E16&amp;" "&amp;'دانش‌آموزان'!F16)</x:f>
        <x:v>رها یوسفی</x:v>
      </x:c>
      <x:c r="F138" s="166" t="str">
        <x:f>IF('دانش‌آموزان'!I16="","",'دانش‌آموزان'!I16)</x:f>
        <x:v>sample-7-a</x:v>
      </x:c>
      <x:c r="G138" s="114"/>
      <x:c r="H138" s="115"/>
      <x:c r="I138" s="115"/>
      <x:c r="J138" s="115"/>
      <x:c r="K138" s="115"/>
      <x:c r="L138" s="115"/>
      <x:c r="M138" s="115"/>
      <x:c r="N138" s="115"/>
      <x:c r="O138" s="115"/>
      <x:c r="P138" s="115"/>
      <x:c r="Q138" s="115"/>
      <x:c r="R138" s="115"/>
      <x:c r="S138" s="115"/>
      <x:c r="T138" s="115"/>
      <x:c r="U138" s="115"/>
      <x:c r="V138" s="115"/>
      <x:c r="W138" s="115"/>
      <x:c r="X138" s="115"/>
      <x:c r="Y138" s="115"/>
      <x:c r="Z138" s="115"/>
      <x:c r="AA138" s="115"/>
      <x:c r="AB138" s="115"/>
      <x:c r="AC138" s="115"/>
      <x:c r="AD138" s="115"/>
      <x:c r="AE138" s="115"/>
      <x:c r="AF138" s="115"/>
      <x:c r="AG138" s="115"/>
      <x:c r="AH138" s="115"/>
      <x:c r="AI138" s="115"/>
      <x:c r="AJ138" s="115"/>
      <x:c r="AK138" s="115"/>
      <x:c r="AL138" s="115"/>
      <x:c r="AM138" s="115"/>
      <x:c r="AN138" s="115"/>
      <x:c r="AO138" s="115"/>
      <x:c r="AP138" s="115"/>
      <x:c r="AQ138" s="115"/>
      <x:c r="AR138" s="115"/>
      <x:c r="AS138" s="115"/>
      <x:c r="AT138" s="115"/>
      <x:c r="AU138" s="115"/>
      <x:c r="AV138" s="115"/>
      <x:c r="AW138" s="115"/>
      <x:c r="AX138" s="115"/>
      <x:c r="AY138" s="115"/>
      <x:c r="AZ138" s="115"/>
      <x:c r="BA138" s="115"/>
      <x:c r="BB138" s="115"/>
      <x:c r="BC138" s="115"/>
      <x:c r="BD138" s="115"/>
      <x:c r="BE138" s="115"/>
      <x:c r="BF138" s="115"/>
      <x:c r="BG138" s="115"/>
      <x:c r="BH138" s="115"/>
      <x:c r="BI138" s="115"/>
      <x:c r="BJ138" s="115"/>
      <x:c r="BK138" s="115"/>
      <x:c r="BL138" s="115"/>
      <x:c r="BM138" s="115"/>
      <x:c r="BN138" s="115"/>
      <x:c r="BO138" s="115"/>
      <x:c r="BP138" s="115"/>
      <x:c r="BQ138" s="115"/>
      <x:c r="BR138" s="115"/>
      <x:c r="BS138" s="115"/>
      <x:c r="BT138" s="115"/>
      <x:c r="BU138" s="115"/>
      <x:c r="BV138" s="115"/>
      <x:c r="BW138" s="115"/>
      <x:c r="BX138" s="115"/>
      <x:c r="BY138" s="115"/>
      <x:c r="BZ138" s="115"/>
      <x:c r="CA138" s="115"/>
      <x:c r="CB138" s="116"/>
      <x:c r="CC138" s="141" t="str">
        <x:f>IF(COUNT(G138:P138)=0,"",AVERAGE(G138:P138)*4)</x:f>
      </x:c>
      <x:c r="CD138" s="178" t="str">
        <x:f>IF(COUNT(Q138:Z138)=0,"",AVERAGE(Q138:Z138)*4)</x:f>
      </x:c>
      <x:c r="CE138" s="178" t="str">
        <x:f>IF(COUNT(AA138:AJ138)=0,"",AVERAGE(AA138:AJ138)*4)</x:f>
      </x:c>
      <x:c r="CF138" s="178" t="str">
        <x:f>IF(COUNT(AK138:AR138)=0,"",AVERAGE(AK138:AR138)*4)</x:f>
      </x:c>
      <x:c r="CG138" s="178" t="str">
        <x:f>IF(COUNT(AS138:AY138)=0,"",AVERAGE(AS138:AY138)*4)</x:f>
      </x:c>
      <x:c r="CH138" s="178" t="str">
        <x:f>IF(COUNT(AZ138:BG138)=0,"",AVERAGE(AZ138:BG138)*4)</x:f>
      </x:c>
      <x:c r="CI138" s="178" t="str">
        <x:f>IF(COUNT(BH138:BN138)=0,"",AVERAGE(BH138:BN138)*4)</x:f>
      </x:c>
      <x:c r="CJ138" s="178" t="str">
        <x:f>IF(COUNT(BO138:BU138)=0,"",AVERAGE(BO138:BU138)*4)</x:f>
      </x:c>
      <x:c r="CK138" s="178" t="str">
        <x:f>IF(COUNT(BV138:CB138)=0,"",AVERAGE(BV138:CB138)*4)</x:f>
      </x:c>
      <x:c r="CL138" s="178" t="str">
        <x:f>IF(C138="","",IF(COUNT(G138:CB138)&lt;74,"",(CC138*'تنظیمات وزن‌دهی'!$C$5+CD138*'تنظیمات وزن‌دهی'!$C$6+CE138*'تنظیمات وزن‌دهی'!$C$7+CF138*'تنظیمات وزن‌دهی'!$C$8+CG138*'تنظیمات وزن‌دهی'!$C$9+CH138*'تنظیمات وزن‌دهی'!$C$10+CI138*'تنظیمات وزن‌دهی'!$C$11+CJ138*'تنظیمات وزن‌دهی'!$C$12+CK138*'تنظیمات وزن‌دهی'!$C$13)/100))</x:f>
      </x:c>
      <x:c r="CM138" s="178" t="str">
        <x:f>IF(C138="","",IF(COUNT(G138:CB138)=0,"",IF(COUNT(G138:CB138)&lt;74,"موقت - اطلاعات ناقص",IF(CL138&gt;=17,"عالی",IF(CL138&gt;=14,"خوب",IF(CL138&gt;=10,"متوسط","ضعیف"))))))</x:f>
      </x:c>
      <x:c r="CN138" s="178" t="n">
        <x:v>2</x:v>
      </x:c>
      <x:c r="CO138" s="142" t="n">
        <x:f>IF(C138="","",COUNT(G138:CB138)/74)</x:f>
        <x:v>0</x:v>
      </x:c>
      <x:c r="CP138" s="245"/>
    </x:row>
    <x:row r="139">
      <x:c r="A139" s="165" t="n">
        <x:v>135</x:v>
      </x:c>
      <x:c r="B139" s="233" t="str">
        <x:v>شهریور</x:v>
      </x:c>
      <x:c r="C139" s="233" t="n">
        <x:f>IF('دانش‌آموزان'!E16="","",'دانش‌آموزان'!B16)</x:f>
        <x:v>12</x:v>
      </x:c>
      <x:c r="D139" s="233" t="str">
        <x:f>IF('دانش‌آموزان'!C16="","",'دانش‌آموزان'!C16)</x:f>
        <x:v>4000000128</x:v>
      </x:c>
      <x:c r="E139" s="233" t="str">
        <x:f>IF('دانش‌آموزان'!E16="","",'دانش‌آموزان'!E16&amp;" "&amp;'دانش‌آموزان'!F16)</x:f>
        <x:v>رها یوسفی</x:v>
      </x:c>
      <x:c r="F139" s="166" t="str">
        <x:f>IF('دانش‌آموزان'!I16="","",'دانش‌آموزان'!I16)</x:f>
        <x:v>sample-7-a</x:v>
      </x:c>
      <x:c r="G139" s="114"/>
      <x:c r="H139" s="115"/>
      <x:c r="I139" s="115"/>
      <x:c r="J139" s="115"/>
      <x:c r="K139" s="115"/>
      <x:c r="L139" s="115"/>
      <x:c r="M139" s="115"/>
      <x:c r="N139" s="115"/>
      <x:c r="O139" s="115"/>
      <x:c r="P139" s="115"/>
      <x:c r="Q139" s="115"/>
      <x:c r="R139" s="115"/>
      <x:c r="S139" s="115"/>
      <x:c r="T139" s="115"/>
      <x:c r="U139" s="115"/>
      <x:c r="V139" s="115"/>
      <x:c r="W139" s="115"/>
      <x:c r="X139" s="115"/>
      <x:c r="Y139" s="115"/>
      <x:c r="Z139" s="115"/>
      <x:c r="AA139" s="115"/>
      <x:c r="AB139" s="115"/>
      <x:c r="AC139" s="115"/>
      <x:c r="AD139" s="115"/>
      <x:c r="AE139" s="115"/>
      <x:c r="AF139" s="115"/>
      <x:c r="AG139" s="115"/>
      <x:c r="AH139" s="115"/>
      <x:c r="AI139" s="115"/>
      <x:c r="AJ139" s="115"/>
      <x:c r="AK139" s="115"/>
      <x:c r="AL139" s="115"/>
      <x:c r="AM139" s="115"/>
      <x:c r="AN139" s="115"/>
      <x:c r="AO139" s="115"/>
      <x:c r="AP139" s="115"/>
      <x:c r="AQ139" s="115"/>
      <x:c r="AR139" s="115"/>
      <x:c r="AS139" s="115"/>
      <x:c r="AT139" s="115"/>
      <x:c r="AU139" s="115"/>
      <x:c r="AV139" s="115"/>
      <x:c r="AW139" s="115"/>
      <x:c r="AX139" s="115"/>
      <x:c r="AY139" s="115"/>
      <x:c r="AZ139" s="115"/>
      <x:c r="BA139" s="115"/>
      <x:c r="BB139" s="115"/>
      <x:c r="BC139" s="115"/>
      <x:c r="BD139" s="115"/>
      <x:c r="BE139" s="115"/>
      <x:c r="BF139" s="115"/>
      <x:c r="BG139" s="115"/>
      <x:c r="BH139" s="115"/>
      <x:c r="BI139" s="115"/>
      <x:c r="BJ139" s="115"/>
      <x:c r="BK139" s="115"/>
      <x:c r="BL139" s="115"/>
      <x:c r="BM139" s="115"/>
      <x:c r="BN139" s="115"/>
      <x:c r="BO139" s="115"/>
      <x:c r="BP139" s="115"/>
      <x:c r="BQ139" s="115"/>
      <x:c r="BR139" s="115"/>
      <x:c r="BS139" s="115"/>
      <x:c r="BT139" s="115"/>
      <x:c r="BU139" s="115"/>
      <x:c r="BV139" s="115"/>
      <x:c r="BW139" s="115"/>
      <x:c r="BX139" s="115"/>
      <x:c r="BY139" s="115"/>
      <x:c r="BZ139" s="115"/>
      <x:c r="CA139" s="115"/>
      <x:c r="CB139" s="116"/>
      <x:c r="CC139" s="141" t="str">
        <x:f>IF(COUNT(G139:P139)=0,"",AVERAGE(G139:P139)*4)</x:f>
      </x:c>
      <x:c r="CD139" s="178" t="str">
        <x:f>IF(COUNT(Q139:Z139)=0,"",AVERAGE(Q139:Z139)*4)</x:f>
      </x:c>
      <x:c r="CE139" s="178" t="str">
        <x:f>IF(COUNT(AA139:AJ139)=0,"",AVERAGE(AA139:AJ139)*4)</x:f>
      </x:c>
      <x:c r="CF139" s="178" t="str">
        <x:f>IF(COUNT(AK139:AR139)=0,"",AVERAGE(AK139:AR139)*4)</x:f>
      </x:c>
      <x:c r="CG139" s="178" t="str">
        <x:f>IF(COUNT(AS139:AY139)=0,"",AVERAGE(AS139:AY139)*4)</x:f>
      </x:c>
      <x:c r="CH139" s="178" t="str">
        <x:f>IF(COUNT(AZ139:BG139)=0,"",AVERAGE(AZ139:BG139)*4)</x:f>
      </x:c>
      <x:c r="CI139" s="178" t="str">
        <x:f>IF(COUNT(BH139:BN139)=0,"",AVERAGE(BH139:BN139)*4)</x:f>
      </x:c>
      <x:c r="CJ139" s="178" t="str">
        <x:f>IF(COUNT(BO139:BU139)=0,"",AVERAGE(BO139:BU139)*4)</x:f>
      </x:c>
      <x:c r="CK139" s="178" t="str">
        <x:f>IF(COUNT(BV139:CB139)=0,"",AVERAGE(BV139:CB139)*4)</x:f>
      </x:c>
      <x:c r="CL139" s="178" t="str">
        <x:f>IF(C139="","",IF(COUNT(G139:CB139)&lt;74,"",(CC139*'تنظیمات وزن‌دهی'!$C$5+CD139*'تنظیمات وزن‌دهی'!$C$6+CE139*'تنظیمات وزن‌دهی'!$C$7+CF139*'تنظیمات وزن‌دهی'!$C$8+CG139*'تنظیمات وزن‌دهی'!$C$9+CH139*'تنظیمات وزن‌دهی'!$C$10+CI139*'تنظیمات وزن‌دهی'!$C$11+CJ139*'تنظیمات وزن‌دهی'!$C$12+CK139*'تنظیمات وزن‌دهی'!$C$13)/100))</x:f>
      </x:c>
      <x:c r="CM139" s="178" t="str">
        <x:f>IF(C139="","",IF(COUNT(G139:CB139)=0,"",IF(COUNT(G139:CB139)&lt;74,"موقت - اطلاعات ناقص",IF(CL139&gt;=17,"عالی",IF(CL139&gt;=14,"خوب",IF(CL139&gt;=10,"متوسط","ضعیف"))))))</x:f>
      </x:c>
      <x:c r="CN139" s="178" t="n">
        <x:v>3</x:v>
      </x:c>
      <x:c r="CO139" s="142" t="n">
        <x:f>IF(C139="","",COUNT(G139:CB139)/74)</x:f>
        <x:v>0</x:v>
      </x:c>
      <x:c r="CP139" s="245"/>
    </x:row>
    <x:row r="140">
      <x:c r="A140" s="165" t="n">
        <x:v>136</x:v>
      </x:c>
      <x:c r="B140" s="233" t="str">
        <x:v>مهر</x:v>
      </x:c>
      <x:c r="C140" s="233" t="n">
        <x:f>IF('دانش‌آموزان'!E16="","",'دانش‌آموزان'!B16)</x:f>
        <x:v>12</x:v>
      </x:c>
      <x:c r="D140" s="233" t="str">
        <x:f>IF('دانش‌آموزان'!C16="","",'دانش‌آموزان'!C16)</x:f>
        <x:v>4000000128</x:v>
      </x:c>
      <x:c r="E140" s="233" t="str">
        <x:f>IF('دانش‌آموزان'!E16="","",'دانش‌آموزان'!E16&amp;" "&amp;'دانش‌آموزان'!F16)</x:f>
        <x:v>رها یوسفی</x:v>
      </x:c>
      <x:c r="F140" s="166" t="str">
        <x:f>IF('دانش‌آموزان'!I16="","",'دانش‌آموزان'!I16)</x:f>
        <x:v>sample-7-a</x:v>
      </x:c>
      <x:c r="G140" s="114"/>
      <x:c r="H140" s="115"/>
      <x:c r="I140" s="115"/>
      <x:c r="J140" s="115"/>
      <x:c r="K140" s="115"/>
      <x:c r="L140" s="115"/>
      <x:c r="M140" s="115"/>
      <x:c r="N140" s="115"/>
      <x:c r="O140" s="115"/>
      <x:c r="P140" s="115"/>
      <x:c r="Q140" s="115"/>
      <x:c r="R140" s="115"/>
      <x:c r="S140" s="115"/>
      <x:c r="T140" s="115"/>
      <x:c r="U140" s="115"/>
      <x:c r="V140" s="115"/>
      <x:c r="W140" s="115"/>
      <x:c r="X140" s="115"/>
      <x:c r="Y140" s="115"/>
      <x:c r="Z140" s="115"/>
      <x:c r="AA140" s="115"/>
      <x:c r="AB140" s="115"/>
      <x:c r="AC140" s="115"/>
      <x:c r="AD140" s="115"/>
      <x:c r="AE140" s="115"/>
      <x:c r="AF140" s="115"/>
      <x:c r="AG140" s="115"/>
      <x:c r="AH140" s="115"/>
      <x:c r="AI140" s="115"/>
      <x:c r="AJ140" s="115"/>
      <x:c r="AK140" s="115"/>
      <x:c r="AL140" s="115"/>
      <x:c r="AM140" s="115"/>
      <x:c r="AN140" s="115"/>
      <x:c r="AO140" s="115"/>
      <x:c r="AP140" s="115"/>
      <x:c r="AQ140" s="115"/>
      <x:c r="AR140" s="115"/>
      <x:c r="AS140" s="115"/>
      <x:c r="AT140" s="115"/>
      <x:c r="AU140" s="115"/>
      <x:c r="AV140" s="115"/>
      <x:c r="AW140" s="115"/>
      <x:c r="AX140" s="115"/>
      <x:c r="AY140" s="115"/>
      <x:c r="AZ140" s="115"/>
      <x:c r="BA140" s="115"/>
      <x:c r="BB140" s="115"/>
      <x:c r="BC140" s="115"/>
      <x:c r="BD140" s="115"/>
      <x:c r="BE140" s="115"/>
      <x:c r="BF140" s="115"/>
      <x:c r="BG140" s="115"/>
      <x:c r="BH140" s="115"/>
      <x:c r="BI140" s="115"/>
      <x:c r="BJ140" s="115"/>
      <x:c r="BK140" s="115"/>
      <x:c r="BL140" s="115"/>
      <x:c r="BM140" s="115"/>
      <x:c r="BN140" s="115"/>
      <x:c r="BO140" s="115"/>
      <x:c r="BP140" s="115"/>
      <x:c r="BQ140" s="115"/>
      <x:c r="BR140" s="115"/>
      <x:c r="BS140" s="115"/>
      <x:c r="BT140" s="115"/>
      <x:c r="BU140" s="115"/>
      <x:c r="BV140" s="115"/>
      <x:c r="BW140" s="115"/>
      <x:c r="BX140" s="115"/>
      <x:c r="BY140" s="115"/>
      <x:c r="BZ140" s="115"/>
      <x:c r="CA140" s="115"/>
      <x:c r="CB140" s="116"/>
      <x:c r="CC140" s="141" t="str">
        <x:f>IF(COUNT(G140:P140)=0,"",AVERAGE(G140:P140)*4)</x:f>
      </x:c>
      <x:c r="CD140" s="178" t="str">
        <x:f>IF(COUNT(Q140:Z140)=0,"",AVERAGE(Q140:Z140)*4)</x:f>
      </x:c>
      <x:c r="CE140" s="178" t="str">
        <x:f>IF(COUNT(AA140:AJ140)=0,"",AVERAGE(AA140:AJ140)*4)</x:f>
      </x:c>
      <x:c r="CF140" s="178" t="str">
        <x:f>IF(COUNT(AK140:AR140)=0,"",AVERAGE(AK140:AR140)*4)</x:f>
      </x:c>
      <x:c r="CG140" s="178" t="str">
        <x:f>IF(COUNT(AS140:AY140)=0,"",AVERAGE(AS140:AY140)*4)</x:f>
      </x:c>
      <x:c r="CH140" s="178" t="str">
        <x:f>IF(COUNT(AZ140:BG140)=0,"",AVERAGE(AZ140:BG140)*4)</x:f>
      </x:c>
      <x:c r="CI140" s="178" t="str">
        <x:f>IF(COUNT(BH140:BN140)=0,"",AVERAGE(BH140:BN140)*4)</x:f>
      </x:c>
      <x:c r="CJ140" s="178" t="str">
        <x:f>IF(COUNT(BO140:BU140)=0,"",AVERAGE(BO140:BU140)*4)</x:f>
      </x:c>
      <x:c r="CK140" s="178" t="str">
        <x:f>IF(COUNT(BV140:CB140)=0,"",AVERAGE(BV140:CB140)*4)</x:f>
      </x:c>
      <x:c r="CL140" s="178" t="str">
        <x:f>IF(C140="","",IF(COUNT(G140:CB140)&lt;74,"",(CC140*'تنظیمات وزن‌دهی'!$C$5+CD140*'تنظیمات وزن‌دهی'!$C$6+CE140*'تنظیمات وزن‌دهی'!$C$7+CF140*'تنظیمات وزن‌دهی'!$C$8+CG140*'تنظیمات وزن‌دهی'!$C$9+CH140*'تنظیمات وزن‌دهی'!$C$10+CI140*'تنظیمات وزن‌دهی'!$C$11+CJ140*'تنظیمات وزن‌دهی'!$C$12+CK140*'تنظیمات وزن‌دهی'!$C$13)/100))</x:f>
      </x:c>
      <x:c r="CM140" s="178" t="str">
        <x:f>IF(C140="","",IF(COUNT(G140:CB140)=0,"",IF(COUNT(G140:CB140)&lt;74,"موقت - اطلاعات ناقص",IF(CL140&gt;=17,"عالی",IF(CL140&gt;=14,"خوب",IF(CL140&gt;=10,"متوسط","ضعیف"))))))</x:f>
      </x:c>
      <x:c r="CN140" s="178" t="n">
        <x:v>4</x:v>
      </x:c>
      <x:c r="CO140" s="142" t="n">
        <x:f>IF(C140="","",COUNT(G140:CB140)/74)</x:f>
        <x:v>0</x:v>
      </x:c>
      <x:c r="CP140" s="245"/>
    </x:row>
    <x:row r="141">
      <x:c r="A141" s="165" t="n">
        <x:v>137</x:v>
      </x:c>
      <x:c r="B141" s="233" t="str">
        <x:v>آبان</x:v>
      </x:c>
      <x:c r="C141" s="233" t="n">
        <x:f>IF('دانش‌آموزان'!E16="","",'دانش‌آموزان'!B16)</x:f>
        <x:v>12</x:v>
      </x:c>
      <x:c r="D141" s="233" t="str">
        <x:f>IF('دانش‌آموزان'!C16="","",'دانش‌آموزان'!C16)</x:f>
        <x:v>4000000128</x:v>
      </x:c>
      <x:c r="E141" s="233" t="str">
        <x:f>IF('دانش‌آموزان'!E16="","",'دانش‌آموزان'!E16&amp;" "&amp;'دانش‌آموزان'!F16)</x:f>
        <x:v>رها یوسفی</x:v>
      </x:c>
      <x:c r="F141" s="166" t="str">
        <x:f>IF('دانش‌آموزان'!I16="","",'دانش‌آموزان'!I16)</x:f>
        <x:v>sample-7-a</x:v>
      </x:c>
      <x:c r="G141" s="114"/>
      <x:c r="H141" s="115"/>
      <x:c r="I141" s="115"/>
      <x:c r="J141" s="115"/>
      <x:c r="K141" s="115"/>
      <x:c r="L141" s="115"/>
      <x:c r="M141" s="115"/>
      <x:c r="N141" s="115"/>
      <x:c r="O141" s="115"/>
      <x:c r="P141" s="115"/>
      <x:c r="Q141" s="115"/>
      <x:c r="R141" s="115"/>
      <x:c r="S141" s="115"/>
      <x:c r="T141" s="115"/>
      <x:c r="U141" s="115"/>
      <x:c r="V141" s="115"/>
      <x:c r="W141" s="115"/>
      <x:c r="X141" s="115"/>
      <x:c r="Y141" s="115"/>
      <x:c r="Z141" s="115"/>
      <x:c r="AA141" s="115"/>
      <x:c r="AB141" s="115"/>
      <x:c r="AC141" s="115"/>
      <x:c r="AD141" s="115"/>
      <x:c r="AE141" s="115"/>
      <x:c r="AF141" s="115"/>
      <x:c r="AG141" s="115"/>
      <x:c r="AH141" s="115"/>
      <x:c r="AI141" s="115"/>
      <x:c r="AJ141" s="115"/>
      <x:c r="AK141" s="115"/>
      <x:c r="AL141" s="115"/>
      <x:c r="AM141" s="115"/>
      <x:c r="AN141" s="115"/>
      <x:c r="AO141" s="115"/>
      <x:c r="AP141" s="115"/>
      <x:c r="AQ141" s="115"/>
      <x:c r="AR141" s="115"/>
      <x:c r="AS141" s="115"/>
      <x:c r="AT141" s="115"/>
      <x:c r="AU141" s="115"/>
      <x:c r="AV141" s="115"/>
      <x:c r="AW141" s="115"/>
      <x:c r="AX141" s="115"/>
      <x:c r="AY141" s="115"/>
      <x:c r="AZ141" s="115"/>
      <x:c r="BA141" s="115"/>
      <x:c r="BB141" s="115"/>
      <x:c r="BC141" s="115"/>
      <x:c r="BD141" s="115"/>
      <x:c r="BE141" s="115"/>
      <x:c r="BF141" s="115"/>
      <x:c r="BG141" s="115"/>
      <x:c r="BH141" s="115"/>
      <x:c r="BI141" s="115"/>
      <x:c r="BJ141" s="115"/>
      <x:c r="BK141" s="115"/>
      <x:c r="BL141" s="115"/>
      <x:c r="BM141" s="115"/>
      <x:c r="BN141" s="115"/>
      <x:c r="BO141" s="115"/>
      <x:c r="BP141" s="115"/>
      <x:c r="BQ141" s="115"/>
      <x:c r="BR141" s="115"/>
      <x:c r="BS141" s="115"/>
      <x:c r="BT141" s="115"/>
      <x:c r="BU141" s="115"/>
      <x:c r="BV141" s="115"/>
      <x:c r="BW141" s="115"/>
      <x:c r="BX141" s="115"/>
      <x:c r="BY141" s="115"/>
      <x:c r="BZ141" s="115"/>
      <x:c r="CA141" s="115"/>
      <x:c r="CB141" s="116"/>
      <x:c r="CC141" s="141" t="str">
        <x:f>IF(COUNT(G141:P141)=0,"",AVERAGE(G141:P141)*4)</x:f>
      </x:c>
      <x:c r="CD141" s="178" t="str">
        <x:f>IF(COUNT(Q141:Z141)=0,"",AVERAGE(Q141:Z141)*4)</x:f>
      </x:c>
      <x:c r="CE141" s="178" t="str">
        <x:f>IF(COUNT(AA141:AJ141)=0,"",AVERAGE(AA141:AJ141)*4)</x:f>
      </x:c>
      <x:c r="CF141" s="178" t="str">
        <x:f>IF(COUNT(AK141:AR141)=0,"",AVERAGE(AK141:AR141)*4)</x:f>
      </x:c>
      <x:c r="CG141" s="178" t="str">
        <x:f>IF(COUNT(AS141:AY141)=0,"",AVERAGE(AS141:AY141)*4)</x:f>
      </x:c>
      <x:c r="CH141" s="178" t="str">
        <x:f>IF(COUNT(AZ141:BG141)=0,"",AVERAGE(AZ141:BG141)*4)</x:f>
      </x:c>
      <x:c r="CI141" s="178" t="str">
        <x:f>IF(COUNT(BH141:BN141)=0,"",AVERAGE(BH141:BN141)*4)</x:f>
      </x:c>
      <x:c r="CJ141" s="178" t="str">
        <x:f>IF(COUNT(BO141:BU141)=0,"",AVERAGE(BO141:BU141)*4)</x:f>
      </x:c>
      <x:c r="CK141" s="178" t="str">
        <x:f>IF(COUNT(BV141:CB141)=0,"",AVERAGE(BV141:CB141)*4)</x:f>
      </x:c>
      <x:c r="CL141" s="178" t="str">
        <x:f>IF(C141="","",IF(COUNT(G141:CB141)&lt;74,"",(CC141*'تنظیمات وزن‌دهی'!$C$5+CD141*'تنظیمات وزن‌دهی'!$C$6+CE141*'تنظیمات وزن‌دهی'!$C$7+CF141*'تنظیمات وزن‌دهی'!$C$8+CG141*'تنظیمات وزن‌دهی'!$C$9+CH141*'تنظیمات وزن‌دهی'!$C$10+CI141*'تنظیمات وزن‌دهی'!$C$11+CJ141*'تنظیمات وزن‌دهی'!$C$12+CK141*'تنظیمات وزن‌دهی'!$C$13)/100))</x:f>
      </x:c>
      <x:c r="CM141" s="178" t="str">
        <x:f>IF(C141="","",IF(COUNT(G141:CB141)=0,"",IF(COUNT(G141:CB141)&lt;74,"موقت - اطلاعات ناقص",IF(CL141&gt;=17,"عالی",IF(CL141&gt;=14,"خوب",IF(CL141&gt;=10,"متوسط","ضعیف"))))))</x:f>
      </x:c>
      <x:c r="CN141" s="178" t="n">
        <x:v>5</x:v>
      </x:c>
      <x:c r="CO141" s="142" t="n">
        <x:f>IF(C141="","",COUNT(G141:CB141)/74)</x:f>
        <x:v>0</x:v>
      </x:c>
      <x:c r="CP141" s="245"/>
    </x:row>
    <x:row r="142">
      <x:c r="A142" s="165" t="n">
        <x:v>138</x:v>
      </x:c>
      <x:c r="B142" s="233" t="str">
        <x:v>آذر</x:v>
      </x:c>
      <x:c r="C142" s="233" t="n">
        <x:f>IF('دانش‌آموزان'!E16="","",'دانش‌آموزان'!B16)</x:f>
        <x:v>12</x:v>
      </x:c>
      <x:c r="D142" s="233" t="str">
        <x:f>IF('دانش‌آموزان'!C16="","",'دانش‌آموزان'!C16)</x:f>
        <x:v>4000000128</x:v>
      </x:c>
      <x:c r="E142" s="233" t="str">
        <x:f>IF('دانش‌آموزان'!E16="","",'دانش‌آموزان'!E16&amp;" "&amp;'دانش‌آموزان'!F16)</x:f>
        <x:v>رها یوسفی</x:v>
      </x:c>
      <x:c r="F142" s="166" t="str">
        <x:f>IF('دانش‌آموزان'!I16="","",'دانش‌آموزان'!I16)</x:f>
        <x:v>sample-7-a</x:v>
      </x:c>
      <x:c r="G142" s="114"/>
      <x:c r="H142" s="115"/>
      <x:c r="I142" s="115"/>
      <x:c r="J142" s="115"/>
      <x:c r="K142" s="115"/>
      <x:c r="L142" s="115"/>
      <x:c r="M142" s="115"/>
      <x:c r="N142" s="115"/>
      <x:c r="O142" s="115"/>
      <x:c r="P142" s="115"/>
      <x:c r="Q142" s="115"/>
      <x:c r="R142" s="115"/>
      <x:c r="S142" s="115"/>
      <x:c r="T142" s="115"/>
      <x:c r="U142" s="115"/>
      <x:c r="V142" s="115"/>
      <x:c r="W142" s="115"/>
      <x:c r="X142" s="115"/>
      <x:c r="Y142" s="115"/>
      <x:c r="Z142" s="115"/>
      <x:c r="AA142" s="115"/>
      <x:c r="AB142" s="115"/>
      <x:c r="AC142" s="115"/>
      <x:c r="AD142" s="115"/>
      <x:c r="AE142" s="115"/>
      <x:c r="AF142" s="115"/>
      <x:c r="AG142" s="115"/>
      <x:c r="AH142" s="115"/>
      <x:c r="AI142" s="115"/>
      <x:c r="AJ142" s="115"/>
      <x:c r="AK142" s="115"/>
      <x:c r="AL142" s="115"/>
      <x:c r="AM142" s="115"/>
      <x:c r="AN142" s="115"/>
      <x:c r="AO142" s="115"/>
      <x:c r="AP142" s="115"/>
      <x:c r="AQ142" s="115"/>
      <x:c r="AR142" s="115"/>
      <x:c r="AS142" s="115"/>
      <x:c r="AT142" s="115"/>
      <x:c r="AU142" s="115"/>
      <x:c r="AV142" s="115"/>
      <x:c r="AW142" s="115"/>
      <x:c r="AX142" s="115"/>
      <x:c r="AY142" s="115"/>
      <x:c r="AZ142" s="115"/>
      <x:c r="BA142" s="115"/>
      <x:c r="BB142" s="115"/>
      <x:c r="BC142" s="115"/>
      <x:c r="BD142" s="115"/>
      <x:c r="BE142" s="115"/>
      <x:c r="BF142" s="115"/>
      <x:c r="BG142" s="115"/>
      <x:c r="BH142" s="115"/>
      <x:c r="BI142" s="115"/>
      <x:c r="BJ142" s="115"/>
      <x:c r="BK142" s="115"/>
      <x:c r="BL142" s="115"/>
      <x:c r="BM142" s="115"/>
      <x:c r="BN142" s="115"/>
      <x:c r="BO142" s="115"/>
      <x:c r="BP142" s="115"/>
      <x:c r="BQ142" s="115"/>
      <x:c r="BR142" s="115"/>
      <x:c r="BS142" s="115"/>
      <x:c r="BT142" s="115"/>
      <x:c r="BU142" s="115"/>
      <x:c r="BV142" s="115"/>
      <x:c r="BW142" s="115"/>
      <x:c r="BX142" s="115"/>
      <x:c r="BY142" s="115"/>
      <x:c r="BZ142" s="115"/>
      <x:c r="CA142" s="115"/>
      <x:c r="CB142" s="116"/>
      <x:c r="CC142" s="141" t="str">
        <x:f>IF(COUNT(G142:P142)=0,"",AVERAGE(G142:P142)*4)</x:f>
      </x:c>
      <x:c r="CD142" s="178" t="str">
        <x:f>IF(COUNT(Q142:Z142)=0,"",AVERAGE(Q142:Z142)*4)</x:f>
      </x:c>
      <x:c r="CE142" s="178" t="str">
        <x:f>IF(COUNT(AA142:AJ142)=0,"",AVERAGE(AA142:AJ142)*4)</x:f>
      </x:c>
      <x:c r="CF142" s="178" t="str">
        <x:f>IF(COUNT(AK142:AR142)=0,"",AVERAGE(AK142:AR142)*4)</x:f>
      </x:c>
      <x:c r="CG142" s="178" t="str">
        <x:f>IF(COUNT(AS142:AY142)=0,"",AVERAGE(AS142:AY142)*4)</x:f>
      </x:c>
      <x:c r="CH142" s="178" t="str">
        <x:f>IF(COUNT(AZ142:BG142)=0,"",AVERAGE(AZ142:BG142)*4)</x:f>
      </x:c>
      <x:c r="CI142" s="178" t="str">
        <x:f>IF(COUNT(BH142:BN142)=0,"",AVERAGE(BH142:BN142)*4)</x:f>
      </x:c>
      <x:c r="CJ142" s="178" t="str">
        <x:f>IF(COUNT(BO142:BU142)=0,"",AVERAGE(BO142:BU142)*4)</x:f>
      </x:c>
      <x:c r="CK142" s="178" t="str">
        <x:f>IF(COUNT(BV142:CB142)=0,"",AVERAGE(BV142:CB142)*4)</x:f>
      </x:c>
      <x:c r="CL142" s="178" t="str">
        <x:f>IF(C142="","",IF(COUNT(G142:CB142)&lt;74,"",(CC142*'تنظیمات وزن‌دهی'!$C$5+CD142*'تنظیمات وزن‌دهی'!$C$6+CE142*'تنظیمات وزن‌دهی'!$C$7+CF142*'تنظیمات وزن‌دهی'!$C$8+CG142*'تنظیمات وزن‌دهی'!$C$9+CH142*'تنظیمات وزن‌دهی'!$C$10+CI142*'تنظیمات وزن‌دهی'!$C$11+CJ142*'تنظیمات وزن‌دهی'!$C$12+CK142*'تنظیمات وزن‌دهی'!$C$13)/100))</x:f>
      </x:c>
      <x:c r="CM142" s="178" t="str">
        <x:f>IF(C142="","",IF(COUNT(G142:CB142)=0,"",IF(COUNT(G142:CB142)&lt;74,"موقت - اطلاعات ناقص",IF(CL142&gt;=17,"عالی",IF(CL142&gt;=14,"خوب",IF(CL142&gt;=10,"متوسط","ضعیف"))))))</x:f>
      </x:c>
      <x:c r="CN142" s="178" t="n">
        <x:v>6</x:v>
      </x:c>
      <x:c r="CO142" s="142" t="n">
        <x:f>IF(C142="","",COUNT(G142:CB142)/74)</x:f>
        <x:v>0</x:v>
      </x:c>
      <x:c r="CP142" s="245"/>
    </x:row>
    <x:row r="143">
      <x:c r="A143" s="165" t="n">
        <x:v>139</x:v>
      </x:c>
      <x:c r="B143" s="233" t="str">
        <x:v>دی</x:v>
      </x:c>
      <x:c r="C143" s="233" t="n">
        <x:f>IF('دانش‌آموزان'!E16="","",'دانش‌آموزان'!B16)</x:f>
        <x:v>12</x:v>
      </x:c>
      <x:c r="D143" s="233" t="str">
        <x:f>IF('دانش‌آموزان'!C16="","",'دانش‌آموزان'!C16)</x:f>
        <x:v>4000000128</x:v>
      </x:c>
      <x:c r="E143" s="233" t="str">
        <x:f>IF('دانش‌آموزان'!E16="","",'دانش‌آموزان'!E16&amp;" "&amp;'دانش‌آموزان'!F16)</x:f>
        <x:v>رها یوسفی</x:v>
      </x:c>
      <x:c r="F143" s="166" t="str">
        <x:f>IF('دانش‌آموزان'!I16="","",'دانش‌آموزان'!I16)</x:f>
        <x:v>sample-7-a</x:v>
      </x:c>
      <x:c r="G143" s="114"/>
      <x:c r="H143" s="115"/>
      <x:c r="I143" s="115"/>
      <x:c r="J143" s="115"/>
      <x:c r="K143" s="115"/>
      <x:c r="L143" s="115"/>
      <x:c r="M143" s="115"/>
      <x:c r="N143" s="115"/>
      <x:c r="O143" s="115"/>
      <x:c r="P143" s="115"/>
      <x:c r="Q143" s="115"/>
      <x:c r="R143" s="115"/>
      <x:c r="S143" s="115"/>
      <x:c r="T143" s="115"/>
      <x:c r="U143" s="115"/>
      <x:c r="V143" s="115"/>
      <x:c r="W143" s="115"/>
      <x:c r="X143" s="115"/>
      <x:c r="Y143" s="115"/>
      <x:c r="Z143" s="115"/>
      <x:c r="AA143" s="115"/>
      <x:c r="AB143" s="115"/>
      <x:c r="AC143" s="115"/>
      <x:c r="AD143" s="115"/>
      <x:c r="AE143" s="115"/>
      <x:c r="AF143" s="115"/>
      <x:c r="AG143" s="115"/>
      <x:c r="AH143" s="115"/>
      <x:c r="AI143" s="115"/>
      <x:c r="AJ143" s="115"/>
      <x:c r="AK143" s="115"/>
      <x:c r="AL143" s="115"/>
      <x:c r="AM143" s="115"/>
      <x:c r="AN143" s="115"/>
      <x:c r="AO143" s="115"/>
      <x:c r="AP143" s="115"/>
      <x:c r="AQ143" s="115"/>
      <x:c r="AR143" s="115"/>
      <x:c r="AS143" s="115"/>
      <x:c r="AT143" s="115"/>
      <x:c r="AU143" s="115"/>
      <x:c r="AV143" s="115"/>
      <x:c r="AW143" s="115"/>
      <x:c r="AX143" s="115"/>
      <x:c r="AY143" s="115"/>
      <x:c r="AZ143" s="115"/>
      <x:c r="BA143" s="115"/>
      <x:c r="BB143" s="115"/>
      <x:c r="BC143" s="115"/>
      <x:c r="BD143" s="115"/>
      <x:c r="BE143" s="115"/>
      <x:c r="BF143" s="115"/>
      <x:c r="BG143" s="115"/>
      <x:c r="BH143" s="115"/>
      <x:c r="BI143" s="115"/>
      <x:c r="BJ143" s="115"/>
      <x:c r="BK143" s="115"/>
      <x:c r="BL143" s="115"/>
      <x:c r="BM143" s="115"/>
      <x:c r="BN143" s="115"/>
      <x:c r="BO143" s="115"/>
      <x:c r="BP143" s="115"/>
      <x:c r="BQ143" s="115"/>
      <x:c r="BR143" s="115"/>
      <x:c r="BS143" s="115"/>
      <x:c r="BT143" s="115"/>
      <x:c r="BU143" s="115"/>
      <x:c r="BV143" s="115"/>
      <x:c r="BW143" s="115"/>
      <x:c r="BX143" s="115"/>
      <x:c r="BY143" s="115"/>
      <x:c r="BZ143" s="115"/>
      <x:c r="CA143" s="115"/>
      <x:c r="CB143" s="116"/>
      <x:c r="CC143" s="141" t="str">
        <x:f>IF(COUNT(G143:P143)=0,"",AVERAGE(G143:P143)*4)</x:f>
      </x:c>
      <x:c r="CD143" s="178" t="str">
        <x:f>IF(COUNT(Q143:Z143)=0,"",AVERAGE(Q143:Z143)*4)</x:f>
      </x:c>
      <x:c r="CE143" s="178" t="str">
        <x:f>IF(COUNT(AA143:AJ143)=0,"",AVERAGE(AA143:AJ143)*4)</x:f>
      </x:c>
      <x:c r="CF143" s="178" t="str">
        <x:f>IF(COUNT(AK143:AR143)=0,"",AVERAGE(AK143:AR143)*4)</x:f>
      </x:c>
      <x:c r="CG143" s="178" t="str">
        <x:f>IF(COUNT(AS143:AY143)=0,"",AVERAGE(AS143:AY143)*4)</x:f>
      </x:c>
      <x:c r="CH143" s="178" t="str">
        <x:f>IF(COUNT(AZ143:BG143)=0,"",AVERAGE(AZ143:BG143)*4)</x:f>
      </x:c>
      <x:c r="CI143" s="178" t="str">
        <x:f>IF(COUNT(BH143:BN143)=0,"",AVERAGE(BH143:BN143)*4)</x:f>
      </x:c>
      <x:c r="CJ143" s="178" t="str">
        <x:f>IF(COUNT(BO143:BU143)=0,"",AVERAGE(BO143:BU143)*4)</x:f>
      </x:c>
      <x:c r="CK143" s="178" t="str">
        <x:f>IF(COUNT(BV143:CB143)=0,"",AVERAGE(BV143:CB143)*4)</x:f>
      </x:c>
      <x:c r="CL143" s="178" t="str">
        <x:f>IF(C143="","",IF(COUNT(G143:CB143)&lt;74,"",(CC143*'تنظیمات وزن‌دهی'!$C$5+CD143*'تنظیمات وزن‌دهی'!$C$6+CE143*'تنظیمات وزن‌دهی'!$C$7+CF143*'تنظیمات وزن‌دهی'!$C$8+CG143*'تنظیمات وزن‌دهی'!$C$9+CH143*'تنظیمات وزن‌دهی'!$C$10+CI143*'تنظیمات وزن‌دهی'!$C$11+CJ143*'تنظیمات وزن‌دهی'!$C$12+CK143*'تنظیمات وزن‌دهی'!$C$13)/100))</x:f>
      </x:c>
      <x:c r="CM143" s="178" t="str">
        <x:f>IF(C143="","",IF(COUNT(G143:CB143)=0,"",IF(COUNT(G143:CB143)&lt;74,"موقت - اطلاعات ناقص",IF(CL143&gt;=17,"عالی",IF(CL143&gt;=14,"خوب",IF(CL143&gt;=10,"متوسط","ضعیف"))))))</x:f>
      </x:c>
      <x:c r="CN143" s="178" t="n">
        <x:v>7</x:v>
      </x:c>
      <x:c r="CO143" s="142" t="n">
        <x:f>IF(C143="","",COUNT(G143:CB143)/74)</x:f>
        <x:v>0</x:v>
      </x:c>
      <x:c r="CP143" s="245"/>
    </x:row>
    <x:row r="144">
      <x:c r="A144" s="165" t="n">
        <x:v>140</x:v>
      </x:c>
      <x:c r="B144" s="233" t="str">
        <x:v>بهمن</x:v>
      </x:c>
      <x:c r="C144" s="233" t="n">
        <x:f>IF('دانش‌آموزان'!E16="","",'دانش‌آموزان'!B16)</x:f>
        <x:v>12</x:v>
      </x:c>
      <x:c r="D144" s="233" t="str">
        <x:f>IF('دانش‌آموزان'!C16="","",'دانش‌آموزان'!C16)</x:f>
        <x:v>4000000128</x:v>
      </x:c>
      <x:c r="E144" s="233" t="str">
        <x:f>IF('دانش‌آموزان'!E16="","",'دانش‌آموزان'!E16&amp;" "&amp;'دانش‌آموزان'!F16)</x:f>
        <x:v>رها یوسفی</x:v>
      </x:c>
      <x:c r="F144" s="166" t="str">
        <x:f>IF('دانش‌آموزان'!I16="","",'دانش‌آموزان'!I16)</x:f>
        <x:v>sample-7-a</x:v>
      </x:c>
      <x:c r="G144" s="114"/>
      <x:c r="H144" s="115"/>
      <x:c r="I144" s="115"/>
      <x:c r="J144" s="115"/>
      <x:c r="K144" s="115"/>
      <x:c r="L144" s="115"/>
      <x:c r="M144" s="115"/>
      <x:c r="N144" s="115"/>
      <x:c r="O144" s="115"/>
      <x:c r="P144" s="115"/>
      <x:c r="Q144" s="115"/>
      <x:c r="R144" s="115"/>
      <x:c r="S144" s="115"/>
      <x:c r="T144" s="115"/>
      <x:c r="U144" s="115"/>
      <x:c r="V144" s="115"/>
      <x:c r="W144" s="115"/>
      <x:c r="X144" s="115"/>
      <x:c r="Y144" s="115"/>
      <x:c r="Z144" s="115"/>
      <x:c r="AA144" s="115"/>
      <x:c r="AB144" s="115"/>
      <x:c r="AC144" s="115"/>
      <x:c r="AD144" s="115"/>
      <x:c r="AE144" s="115"/>
      <x:c r="AF144" s="115"/>
      <x:c r="AG144" s="115"/>
      <x:c r="AH144" s="115"/>
      <x:c r="AI144" s="115"/>
      <x:c r="AJ144" s="115"/>
      <x:c r="AK144" s="115"/>
      <x:c r="AL144" s="115"/>
      <x:c r="AM144" s="115"/>
      <x:c r="AN144" s="115"/>
      <x:c r="AO144" s="115"/>
      <x:c r="AP144" s="115"/>
      <x:c r="AQ144" s="115"/>
      <x:c r="AR144" s="115"/>
      <x:c r="AS144" s="115"/>
      <x:c r="AT144" s="115"/>
      <x:c r="AU144" s="115"/>
      <x:c r="AV144" s="115"/>
      <x:c r="AW144" s="115"/>
      <x:c r="AX144" s="115"/>
      <x:c r="AY144" s="115"/>
      <x:c r="AZ144" s="115"/>
      <x:c r="BA144" s="115"/>
      <x:c r="BB144" s="115"/>
      <x:c r="BC144" s="115"/>
      <x:c r="BD144" s="115"/>
      <x:c r="BE144" s="115"/>
      <x:c r="BF144" s="115"/>
      <x:c r="BG144" s="115"/>
      <x:c r="BH144" s="115"/>
      <x:c r="BI144" s="115"/>
      <x:c r="BJ144" s="115"/>
      <x:c r="BK144" s="115"/>
      <x:c r="BL144" s="115"/>
      <x:c r="BM144" s="115"/>
      <x:c r="BN144" s="115"/>
      <x:c r="BO144" s="115"/>
      <x:c r="BP144" s="115"/>
      <x:c r="BQ144" s="115"/>
      <x:c r="BR144" s="115"/>
      <x:c r="BS144" s="115"/>
      <x:c r="BT144" s="115"/>
      <x:c r="BU144" s="115"/>
      <x:c r="BV144" s="115"/>
      <x:c r="BW144" s="115"/>
      <x:c r="BX144" s="115"/>
      <x:c r="BY144" s="115"/>
      <x:c r="BZ144" s="115"/>
      <x:c r="CA144" s="115"/>
      <x:c r="CB144" s="116"/>
      <x:c r="CC144" s="141" t="str">
        <x:f>IF(COUNT(G144:P144)=0,"",AVERAGE(G144:P144)*4)</x:f>
      </x:c>
      <x:c r="CD144" s="178" t="str">
        <x:f>IF(COUNT(Q144:Z144)=0,"",AVERAGE(Q144:Z144)*4)</x:f>
      </x:c>
      <x:c r="CE144" s="178" t="str">
        <x:f>IF(COUNT(AA144:AJ144)=0,"",AVERAGE(AA144:AJ144)*4)</x:f>
      </x:c>
      <x:c r="CF144" s="178" t="str">
        <x:f>IF(COUNT(AK144:AR144)=0,"",AVERAGE(AK144:AR144)*4)</x:f>
      </x:c>
      <x:c r="CG144" s="178" t="str">
        <x:f>IF(COUNT(AS144:AY144)=0,"",AVERAGE(AS144:AY144)*4)</x:f>
      </x:c>
      <x:c r="CH144" s="178" t="str">
        <x:f>IF(COUNT(AZ144:BG144)=0,"",AVERAGE(AZ144:BG144)*4)</x:f>
      </x:c>
      <x:c r="CI144" s="178" t="str">
        <x:f>IF(COUNT(BH144:BN144)=0,"",AVERAGE(BH144:BN144)*4)</x:f>
      </x:c>
      <x:c r="CJ144" s="178" t="str">
        <x:f>IF(COUNT(BO144:BU144)=0,"",AVERAGE(BO144:BU144)*4)</x:f>
      </x:c>
      <x:c r="CK144" s="178" t="str">
        <x:f>IF(COUNT(BV144:CB144)=0,"",AVERAGE(BV144:CB144)*4)</x:f>
      </x:c>
      <x:c r="CL144" s="178" t="str">
        <x:f>IF(C144="","",IF(COUNT(G144:CB144)&lt;74,"",(CC144*'تنظیمات وزن‌دهی'!$C$5+CD144*'تنظیمات وزن‌دهی'!$C$6+CE144*'تنظیمات وزن‌دهی'!$C$7+CF144*'تنظیمات وزن‌دهی'!$C$8+CG144*'تنظیمات وزن‌دهی'!$C$9+CH144*'تنظیمات وزن‌دهی'!$C$10+CI144*'تنظیمات وزن‌دهی'!$C$11+CJ144*'تنظیمات وزن‌دهی'!$C$12+CK144*'تنظیمات وزن‌دهی'!$C$13)/100))</x:f>
      </x:c>
      <x:c r="CM144" s="178" t="str">
        <x:f>IF(C144="","",IF(COUNT(G144:CB144)=0,"",IF(COUNT(G144:CB144)&lt;74,"موقت - اطلاعات ناقص",IF(CL144&gt;=17,"عالی",IF(CL144&gt;=14,"خوب",IF(CL144&gt;=10,"متوسط","ضعیف"))))))</x:f>
      </x:c>
      <x:c r="CN144" s="178" t="n">
        <x:v>8</x:v>
      </x:c>
      <x:c r="CO144" s="142" t="n">
        <x:f>IF(C144="","",COUNT(G144:CB144)/74)</x:f>
        <x:v>0</x:v>
      </x:c>
      <x:c r="CP144" s="245"/>
    </x:row>
    <x:row r="145">
      <x:c r="A145" s="165" t="n">
        <x:v>141</x:v>
      </x:c>
      <x:c r="B145" s="233" t="str">
        <x:v>اسفند</x:v>
      </x:c>
      <x:c r="C145" s="233" t="n">
        <x:f>IF('دانش‌آموزان'!E16="","",'دانش‌آموزان'!B16)</x:f>
        <x:v>12</x:v>
      </x:c>
      <x:c r="D145" s="233" t="str">
        <x:f>IF('دانش‌آموزان'!C16="","",'دانش‌آموزان'!C16)</x:f>
        <x:v>4000000128</x:v>
      </x:c>
      <x:c r="E145" s="233" t="str">
        <x:f>IF('دانش‌آموزان'!E16="","",'دانش‌آموزان'!E16&amp;" "&amp;'دانش‌آموزان'!F16)</x:f>
        <x:v>رها یوسفی</x:v>
      </x:c>
      <x:c r="F145" s="166" t="str">
        <x:f>IF('دانش‌آموزان'!I16="","",'دانش‌آموزان'!I16)</x:f>
        <x:v>sample-7-a</x:v>
      </x:c>
      <x:c r="G145" s="114"/>
      <x:c r="H145" s="115"/>
      <x:c r="I145" s="115"/>
      <x:c r="J145" s="115"/>
      <x:c r="K145" s="115"/>
      <x:c r="L145" s="115"/>
      <x:c r="M145" s="115"/>
      <x:c r="N145" s="115"/>
      <x:c r="O145" s="115"/>
      <x:c r="P145" s="115"/>
      <x:c r="Q145" s="115"/>
      <x:c r="R145" s="115"/>
      <x:c r="S145" s="115"/>
      <x:c r="T145" s="115"/>
      <x:c r="U145" s="115"/>
      <x:c r="V145" s="115"/>
      <x:c r="W145" s="115"/>
      <x:c r="X145" s="115"/>
      <x:c r="Y145" s="115"/>
      <x:c r="Z145" s="115"/>
      <x:c r="AA145" s="115"/>
      <x:c r="AB145" s="115"/>
      <x:c r="AC145" s="115"/>
      <x:c r="AD145" s="115"/>
      <x:c r="AE145" s="115"/>
      <x:c r="AF145" s="115"/>
      <x:c r="AG145" s="115"/>
      <x:c r="AH145" s="115"/>
      <x:c r="AI145" s="115"/>
      <x:c r="AJ145" s="115"/>
      <x:c r="AK145" s="115"/>
      <x:c r="AL145" s="115"/>
      <x:c r="AM145" s="115"/>
      <x:c r="AN145" s="115"/>
      <x:c r="AO145" s="115"/>
      <x:c r="AP145" s="115"/>
      <x:c r="AQ145" s="115"/>
      <x:c r="AR145" s="115"/>
      <x:c r="AS145" s="115"/>
      <x:c r="AT145" s="115"/>
      <x:c r="AU145" s="115"/>
      <x:c r="AV145" s="115"/>
      <x:c r="AW145" s="115"/>
      <x:c r="AX145" s="115"/>
      <x:c r="AY145" s="115"/>
      <x:c r="AZ145" s="115"/>
      <x:c r="BA145" s="115"/>
      <x:c r="BB145" s="115"/>
      <x:c r="BC145" s="115"/>
      <x:c r="BD145" s="115"/>
      <x:c r="BE145" s="115"/>
      <x:c r="BF145" s="115"/>
      <x:c r="BG145" s="115"/>
      <x:c r="BH145" s="115"/>
      <x:c r="BI145" s="115"/>
      <x:c r="BJ145" s="115"/>
      <x:c r="BK145" s="115"/>
      <x:c r="BL145" s="115"/>
      <x:c r="BM145" s="115"/>
      <x:c r="BN145" s="115"/>
      <x:c r="BO145" s="115"/>
      <x:c r="BP145" s="115"/>
      <x:c r="BQ145" s="115"/>
      <x:c r="BR145" s="115"/>
      <x:c r="BS145" s="115"/>
      <x:c r="BT145" s="115"/>
      <x:c r="BU145" s="115"/>
      <x:c r="BV145" s="115"/>
      <x:c r="BW145" s="115"/>
      <x:c r="BX145" s="115"/>
      <x:c r="BY145" s="115"/>
      <x:c r="BZ145" s="115"/>
      <x:c r="CA145" s="115"/>
      <x:c r="CB145" s="116"/>
      <x:c r="CC145" s="141" t="str">
        <x:f>IF(COUNT(G145:P145)=0,"",AVERAGE(G145:P145)*4)</x:f>
      </x:c>
      <x:c r="CD145" s="178" t="str">
        <x:f>IF(COUNT(Q145:Z145)=0,"",AVERAGE(Q145:Z145)*4)</x:f>
      </x:c>
      <x:c r="CE145" s="178" t="str">
        <x:f>IF(COUNT(AA145:AJ145)=0,"",AVERAGE(AA145:AJ145)*4)</x:f>
      </x:c>
      <x:c r="CF145" s="178" t="str">
        <x:f>IF(COUNT(AK145:AR145)=0,"",AVERAGE(AK145:AR145)*4)</x:f>
      </x:c>
      <x:c r="CG145" s="178" t="str">
        <x:f>IF(COUNT(AS145:AY145)=0,"",AVERAGE(AS145:AY145)*4)</x:f>
      </x:c>
      <x:c r="CH145" s="178" t="str">
        <x:f>IF(COUNT(AZ145:BG145)=0,"",AVERAGE(AZ145:BG145)*4)</x:f>
      </x:c>
      <x:c r="CI145" s="178" t="str">
        <x:f>IF(COUNT(BH145:BN145)=0,"",AVERAGE(BH145:BN145)*4)</x:f>
      </x:c>
      <x:c r="CJ145" s="178" t="str">
        <x:f>IF(COUNT(BO145:BU145)=0,"",AVERAGE(BO145:BU145)*4)</x:f>
      </x:c>
      <x:c r="CK145" s="178" t="str">
        <x:f>IF(COUNT(BV145:CB145)=0,"",AVERAGE(BV145:CB145)*4)</x:f>
      </x:c>
      <x:c r="CL145" s="178" t="str">
        <x:f>IF(C145="","",IF(COUNT(G145:CB145)&lt;74,"",(CC145*'تنظیمات وزن‌دهی'!$C$5+CD145*'تنظیمات وزن‌دهی'!$C$6+CE145*'تنظیمات وزن‌دهی'!$C$7+CF145*'تنظیمات وزن‌دهی'!$C$8+CG145*'تنظیمات وزن‌دهی'!$C$9+CH145*'تنظیمات وزن‌دهی'!$C$10+CI145*'تنظیمات وزن‌دهی'!$C$11+CJ145*'تنظیمات وزن‌دهی'!$C$12+CK145*'تنظیمات وزن‌دهی'!$C$13)/100))</x:f>
      </x:c>
      <x:c r="CM145" s="178" t="str">
        <x:f>IF(C145="","",IF(COUNT(G145:CB145)=0,"",IF(COUNT(G145:CB145)&lt;74,"موقت - اطلاعات ناقص",IF(CL145&gt;=17,"عالی",IF(CL145&gt;=14,"خوب",IF(CL145&gt;=10,"متوسط","ضعیف"))))))</x:f>
      </x:c>
      <x:c r="CN145" s="178" t="n">
        <x:v>9</x:v>
      </x:c>
      <x:c r="CO145" s="142" t="n">
        <x:f>IF(C145="","",COUNT(G145:CB145)/74)</x:f>
        <x:v>0</x:v>
      </x:c>
      <x:c r="CP145" s="245"/>
    </x:row>
    <x:row r="146">
      <x:c r="A146" s="165" t="n">
        <x:v>142</x:v>
      </x:c>
      <x:c r="B146" s="233" t="str">
        <x:v>فروردین</x:v>
      </x:c>
      <x:c r="C146" s="233" t="n">
        <x:f>IF('دانش‌آموزان'!E16="","",'دانش‌آموزان'!B16)</x:f>
        <x:v>12</x:v>
      </x:c>
      <x:c r="D146" s="233" t="str">
        <x:f>IF('دانش‌آموزان'!C16="","",'دانش‌آموزان'!C16)</x:f>
        <x:v>4000000128</x:v>
      </x:c>
      <x:c r="E146" s="233" t="str">
        <x:f>IF('دانش‌آموزان'!E16="","",'دانش‌آموزان'!E16&amp;" "&amp;'دانش‌آموزان'!F16)</x:f>
        <x:v>رها یوسفی</x:v>
      </x:c>
      <x:c r="F146" s="166" t="str">
        <x:f>IF('دانش‌آموزان'!I16="","",'دانش‌آموزان'!I16)</x:f>
        <x:v>sample-7-a</x:v>
      </x:c>
      <x:c r="G146" s="114"/>
      <x:c r="H146" s="115"/>
      <x:c r="I146" s="115"/>
      <x:c r="J146" s="115"/>
      <x:c r="K146" s="115"/>
      <x:c r="L146" s="115"/>
      <x:c r="M146" s="115"/>
      <x:c r="N146" s="115"/>
      <x:c r="O146" s="115"/>
      <x:c r="P146" s="115"/>
      <x:c r="Q146" s="115"/>
      <x:c r="R146" s="115"/>
      <x:c r="S146" s="115"/>
      <x:c r="T146" s="115"/>
      <x:c r="U146" s="115"/>
      <x:c r="V146" s="115"/>
      <x:c r="W146" s="115"/>
      <x:c r="X146" s="115"/>
      <x:c r="Y146" s="115"/>
      <x:c r="Z146" s="115"/>
      <x:c r="AA146" s="115"/>
      <x:c r="AB146" s="115"/>
      <x:c r="AC146" s="115"/>
      <x:c r="AD146" s="115"/>
      <x:c r="AE146" s="115"/>
      <x:c r="AF146" s="115"/>
      <x:c r="AG146" s="115"/>
      <x:c r="AH146" s="115"/>
      <x:c r="AI146" s="115"/>
      <x:c r="AJ146" s="115"/>
      <x:c r="AK146" s="115"/>
      <x:c r="AL146" s="115"/>
      <x:c r="AM146" s="115"/>
      <x:c r="AN146" s="115"/>
      <x:c r="AO146" s="115"/>
      <x:c r="AP146" s="115"/>
      <x:c r="AQ146" s="115"/>
      <x:c r="AR146" s="115"/>
      <x:c r="AS146" s="115"/>
      <x:c r="AT146" s="115"/>
      <x:c r="AU146" s="115"/>
      <x:c r="AV146" s="115"/>
      <x:c r="AW146" s="115"/>
      <x:c r="AX146" s="115"/>
      <x:c r="AY146" s="115"/>
      <x:c r="AZ146" s="115"/>
      <x:c r="BA146" s="115"/>
      <x:c r="BB146" s="115"/>
      <x:c r="BC146" s="115"/>
      <x:c r="BD146" s="115"/>
      <x:c r="BE146" s="115"/>
      <x:c r="BF146" s="115"/>
      <x:c r="BG146" s="115"/>
      <x:c r="BH146" s="115"/>
      <x:c r="BI146" s="115"/>
      <x:c r="BJ146" s="115"/>
      <x:c r="BK146" s="115"/>
      <x:c r="BL146" s="115"/>
      <x:c r="BM146" s="115"/>
      <x:c r="BN146" s="115"/>
      <x:c r="BO146" s="115"/>
      <x:c r="BP146" s="115"/>
      <x:c r="BQ146" s="115"/>
      <x:c r="BR146" s="115"/>
      <x:c r="BS146" s="115"/>
      <x:c r="BT146" s="115"/>
      <x:c r="BU146" s="115"/>
      <x:c r="BV146" s="115"/>
      <x:c r="BW146" s="115"/>
      <x:c r="BX146" s="115"/>
      <x:c r="BY146" s="115"/>
      <x:c r="BZ146" s="115"/>
      <x:c r="CA146" s="115"/>
      <x:c r="CB146" s="116"/>
      <x:c r="CC146" s="141" t="str">
        <x:f>IF(COUNT(G146:P146)=0,"",AVERAGE(G146:P146)*4)</x:f>
      </x:c>
      <x:c r="CD146" s="178" t="str">
        <x:f>IF(COUNT(Q146:Z146)=0,"",AVERAGE(Q146:Z146)*4)</x:f>
      </x:c>
      <x:c r="CE146" s="178" t="str">
        <x:f>IF(COUNT(AA146:AJ146)=0,"",AVERAGE(AA146:AJ146)*4)</x:f>
      </x:c>
      <x:c r="CF146" s="178" t="str">
        <x:f>IF(COUNT(AK146:AR146)=0,"",AVERAGE(AK146:AR146)*4)</x:f>
      </x:c>
      <x:c r="CG146" s="178" t="str">
        <x:f>IF(COUNT(AS146:AY146)=0,"",AVERAGE(AS146:AY146)*4)</x:f>
      </x:c>
      <x:c r="CH146" s="178" t="str">
        <x:f>IF(COUNT(AZ146:BG146)=0,"",AVERAGE(AZ146:BG146)*4)</x:f>
      </x:c>
      <x:c r="CI146" s="178" t="str">
        <x:f>IF(COUNT(BH146:BN146)=0,"",AVERAGE(BH146:BN146)*4)</x:f>
      </x:c>
      <x:c r="CJ146" s="178" t="str">
        <x:f>IF(COUNT(BO146:BU146)=0,"",AVERAGE(BO146:BU146)*4)</x:f>
      </x:c>
      <x:c r="CK146" s="178" t="str">
        <x:f>IF(COUNT(BV146:CB146)=0,"",AVERAGE(BV146:CB146)*4)</x:f>
      </x:c>
      <x:c r="CL146" s="178" t="str">
        <x:f>IF(C146="","",IF(COUNT(G146:CB146)&lt;74,"",(CC146*'تنظیمات وزن‌دهی'!$C$5+CD146*'تنظیمات وزن‌دهی'!$C$6+CE146*'تنظیمات وزن‌دهی'!$C$7+CF146*'تنظیمات وزن‌دهی'!$C$8+CG146*'تنظیمات وزن‌دهی'!$C$9+CH146*'تنظیمات وزن‌دهی'!$C$10+CI146*'تنظیمات وزن‌دهی'!$C$11+CJ146*'تنظیمات وزن‌دهی'!$C$12+CK146*'تنظیمات وزن‌دهی'!$C$13)/100))</x:f>
      </x:c>
      <x:c r="CM146" s="178" t="str">
        <x:f>IF(C146="","",IF(COUNT(G146:CB146)=0,"",IF(COUNT(G146:CB146)&lt;74,"موقت - اطلاعات ناقص",IF(CL146&gt;=17,"عالی",IF(CL146&gt;=14,"خوب",IF(CL146&gt;=10,"متوسط","ضعیف"))))))</x:f>
      </x:c>
      <x:c r="CN146" s="178" t="n">
        <x:v>10</x:v>
      </x:c>
      <x:c r="CO146" s="142" t="n">
        <x:f>IF(C146="","",COUNT(G146:CB146)/74)</x:f>
        <x:v>0</x:v>
      </x:c>
      <x:c r="CP146" s="245"/>
    </x:row>
    <x:row r="147">
      <x:c r="A147" s="165" t="n">
        <x:v>143</x:v>
      </x:c>
      <x:c r="B147" s="233" t="str">
        <x:v>اردیبهشت</x:v>
      </x:c>
      <x:c r="C147" s="233" t="n">
        <x:f>IF('دانش‌آموزان'!E16="","",'دانش‌آموزان'!B16)</x:f>
        <x:v>12</x:v>
      </x:c>
      <x:c r="D147" s="233" t="str">
        <x:f>IF('دانش‌آموزان'!C16="","",'دانش‌آموزان'!C16)</x:f>
        <x:v>4000000128</x:v>
      </x:c>
      <x:c r="E147" s="233" t="str">
        <x:f>IF('دانش‌آموزان'!E16="","",'دانش‌آموزان'!E16&amp;" "&amp;'دانش‌آموزان'!F16)</x:f>
        <x:v>رها یوسفی</x:v>
      </x:c>
      <x:c r="F147" s="166" t="str">
        <x:f>IF('دانش‌آموزان'!I16="","",'دانش‌آموزان'!I16)</x:f>
        <x:v>sample-7-a</x:v>
      </x:c>
      <x:c r="G147" s="114"/>
      <x:c r="H147" s="115"/>
      <x:c r="I147" s="115"/>
      <x:c r="J147" s="115"/>
      <x:c r="K147" s="115"/>
      <x:c r="L147" s="115"/>
      <x:c r="M147" s="115"/>
      <x:c r="N147" s="115"/>
      <x:c r="O147" s="115"/>
      <x:c r="P147" s="115"/>
      <x:c r="Q147" s="115"/>
      <x:c r="R147" s="115"/>
      <x:c r="S147" s="115"/>
      <x:c r="T147" s="115"/>
      <x:c r="U147" s="115"/>
      <x:c r="V147" s="115"/>
      <x:c r="W147" s="115"/>
      <x:c r="X147" s="115"/>
      <x:c r="Y147" s="115"/>
      <x:c r="Z147" s="115"/>
      <x:c r="AA147" s="115"/>
      <x:c r="AB147" s="115"/>
      <x:c r="AC147" s="115"/>
      <x:c r="AD147" s="115"/>
      <x:c r="AE147" s="115"/>
      <x:c r="AF147" s="115"/>
      <x:c r="AG147" s="115"/>
      <x:c r="AH147" s="115"/>
      <x:c r="AI147" s="115"/>
      <x:c r="AJ147" s="115"/>
      <x:c r="AK147" s="115"/>
      <x:c r="AL147" s="115"/>
      <x:c r="AM147" s="115"/>
      <x:c r="AN147" s="115"/>
      <x:c r="AO147" s="115"/>
      <x:c r="AP147" s="115"/>
      <x:c r="AQ147" s="115"/>
      <x:c r="AR147" s="115"/>
      <x:c r="AS147" s="115"/>
      <x:c r="AT147" s="115"/>
      <x:c r="AU147" s="115"/>
      <x:c r="AV147" s="115"/>
      <x:c r="AW147" s="115"/>
      <x:c r="AX147" s="115"/>
      <x:c r="AY147" s="115"/>
      <x:c r="AZ147" s="115"/>
      <x:c r="BA147" s="115"/>
      <x:c r="BB147" s="115"/>
      <x:c r="BC147" s="115"/>
      <x:c r="BD147" s="115"/>
      <x:c r="BE147" s="115"/>
      <x:c r="BF147" s="115"/>
      <x:c r="BG147" s="115"/>
      <x:c r="BH147" s="115"/>
      <x:c r="BI147" s="115"/>
      <x:c r="BJ147" s="115"/>
      <x:c r="BK147" s="115"/>
      <x:c r="BL147" s="115"/>
      <x:c r="BM147" s="115"/>
      <x:c r="BN147" s="115"/>
      <x:c r="BO147" s="115"/>
      <x:c r="BP147" s="115"/>
      <x:c r="BQ147" s="115"/>
      <x:c r="BR147" s="115"/>
      <x:c r="BS147" s="115"/>
      <x:c r="BT147" s="115"/>
      <x:c r="BU147" s="115"/>
      <x:c r="BV147" s="115"/>
      <x:c r="BW147" s="115"/>
      <x:c r="BX147" s="115"/>
      <x:c r="BY147" s="115"/>
      <x:c r="BZ147" s="115"/>
      <x:c r="CA147" s="115"/>
      <x:c r="CB147" s="116"/>
      <x:c r="CC147" s="141" t="str">
        <x:f>IF(COUNT(G147:P147)=0,"",AVERAGE(G147:P147)*4)</x:f>
      </x:c>
      <x:c r="CD147" s="178" t="str">
        <x:f>IF(COUNT(Q147:Z147)=0,"",AVERAGE(Q147:Z147)*4)</x:f>
      </x:c>
      <x:c r="CE147" s="178" t="str">
        <x:f>IF(COUNT(AA147:AJ147)=0,"",AVERAGE(AA147:AJ147)*4)</x:f>
      </x:c>
      <x:c r="CF147" s="178" t="str">
        <x:f>IF(COUNT(AK147:AR147)=0,"",AVERAGE(AK147:AR147)*4)</x:f>
      </x:c>
      <x:c r="CG147" s="178" t="str">
        <x:f>IF(COUNT(AS147:AY147)=0,"",AVERAGE(AS147:AY147)*4)</x:f>
      </x:c>
      <x:c r="CH147" s="178" t="str">
        <x:f>IF(COUNT(AZ147:BG147)=0,"",AVERAGE(AZ147:BG147)*4)</x:f>
      </x:c>
      <x:c r="CI147" s="178" t="str">
        <x:f>IF(COUNT(BH147:BN147)=0,"",AVERAGE(BH147:BN147)*4)</x:f>
      </x:c>
      <x:c r="CJ147" s="178" t="str">
        <x:f>IF(COUNT(BO147:BU147)=0,"",AVERAGE(BO147:BU147)*4)</x:f>
      </x:c>
      <x:c r="CK147" s="178" t="str">
        <x:f>IF(COUNT(BV147:CB147)=0,"",AVERAGE(BV147:CB147)*4)</x:f>
      </x:c>
      <x:c r="CL147" s="178" t="str">
        <x:f>IF(C147="","",IF(COUNT(G147:CB147)&lt;74,"",(CC147*'تنظیمات وزن‌دهی'!$C$5+CD147*'تنظیمات وزن‌دهی'!$C$6+CE147*'تنظیمات وزن‌دهی'!$C$7+CF147*'تنظیمات وزن‌دهی'!$C$8+CG147*'تنظیمات وزن‌دهی'!$C$9+CH147*'تنظیمات وزن‌دهی'!$C$10+CI147*'تنظیمات وزن‌دهی'!$C$11+CJ147*'تنظیمات وزن‌دهی'!$C$12+CK147*'تنظیمات وزن‌دهی'!$C$13)/100))</x:f>
      </x:c>
      <x:c r="CM147" s="178" t="str">
        <x:f>IF(C147="","",IF(COUNT(G147:CB147)=0,"",IF(COUNT(G147:CB147)&lt;74,"موقت - اطلاعات ناقص",IF(CL147&gt;=17,"عالی",IF(CL147&gt;=14,"خوب",IF(CL147&gt;=10,"متوسط","ضعیف"))))))</x:f>
      </x:c>
      <x:c r="CN147" s="178" t="n">
        <x:v>11</x:v>
      </x:c>
      <x:c r="CO147" s="142" t="n">
        <x:f>IF(C147="","",COUNT(G147:CB147)/74)</x:f>
        <x:v>0</x:v>
      </x:c>
      <x:c r="CP147" s="245"/>
    </x:row>
    <x:row r="148">
      <x:c r="A148" s="165" t="n">
        <x:v>144</x:v>
      </x:c>
      <x:c r="B148" s="233" t="str">
        <x:v>خرداد</x:v>
      </x:c>
      <x:c r="C148" s="233" t="n">
        <x:f>IF('دانش‌آموزان'!E16="","",'دانش‌آموزان'!B16)</x:f>
        <x:v>12</x:v>
      </x:c>
      <x:c r="D148" s="233" t="str">
        <x:f>IF('دانش‌آموزان'!C16="","",'دانش‌آموزان'!C16)</x:f>
        <x:v>4000000128</x:v>
      </x:c>
      <x:c r="E148" s="233" t="str">
        <x:f>IF('دانش‌آموزان'!E16="","",'دانش‌آموزان'!E16&amp;" "&amp;'دانش‌آموزان'!F16)</x:f>
        <x:v>رها یوسفی</x:v>
      </x:c>
      <x:c r="F148" s="166" t="str">
        <x:f>IF('دانش‌آموزان'!I16="","",'دانش‌آموزان'!I16)</x:f>
        <x:v>sample-7-a</x:v>
      </x:c>
      <x:c r="G148" s="114"/>
      <x:c r="H148" s="115"/>
      <x:c r="I148" s="115"/>
      <x:c r="J148" s="115"/>
      <x:c r="K148" s="115"/>
      <x:c r="L148" s="115"/>
      <x:c r="M148" s="115"/>
      <x:c r="N148" s="115"/>
      <x:c r="O148" s="115"/>
      <x:c r="P148" s="115"/>
      <x:c r="Q148" s="115"/>
      <x:c r="R148" s="115"/>
      <x:c r="S148" s="115"/>
      <x:c r="T148" s="115"/>
      <x:c r="U148" s="115"/>
      <x:c r="V148" s="115"/>
      <x:c r="W148" s="115"/>
      <x:c r="X148" s="115"/>
      <x:c r="Y148" s="115"/>
      <x:c r="Z148" s="115"/>
      <x:c r="AA148" s="115"/>
      <x:c r="AB148" s="115"/>
      <x:c r="AC148" s="115"/>
      <x:c r="AD148" s="115"/>
      <x:c r="AE148" s="115"/>
      <x:c r="AF148" s="115"/>
      <x:c r="AG148" s="115"/>
      <x:c r="AH148" s="115"/>
      <x:c r="AI148" s="115"/>
      <x:c r="AJ148" s="115"/>
      <x:c r="AK148" s="115"/>
      <x:c r="AL148" s="115"/>
      <x:c r="AM148" s="115"/>
      <x:c r="AN148" s="115"/>
      <x:c r="AO148" s="115"/>
      <x:c r="AP148" s="115"/>
      <x:c r="AQ148" s="115"/>
      <x:c r="AR148" s="115"/>
      <x:c r="AS148" s="115"/>
      <x:c r="AT148" s="115"/>
      <x:c r="AU148" s="115"/>
      <x:c r="AV148" s="115"/>
      <x:c r="AW148" s="115"/>
      <x:c r="AX148" s="115"/>
      <x:c r="AY148" s="115"/>
      <x:c r="AZ148" s="115"/>
      <x:c r="BA148" s="115"/>
      <x:c r="BB148" s="115"/>
      <x:c r="BC148" s="115"/>
      <x:c r="BD148" s="115"/>
      <x:c r="BE148" s="115"/>
      <x:c r="BF148" s="115"/>
      <x:c r="BG148" s="115"/>
      <x:c r="BH148" s="115"/>
      <x:c r="BI148" s="115"/>
      <x:c r="BJ148" s="115"/>
      <x:c r="BK148" s="115"/>
      <x:c r="BL148" s="115"/>
      <x:c r="BM148" s="115"/>
      <x:c r="BN148" s="115"/>
      <x:c r="BO148" s="115"/>
      <x:c r="BP148" s="115"/>
      <x:c r="BQ148" s="115"/>
      <x:c r="BR148" s="115"/>
      <x:c r="BS148" s="115"/>
      <x:c r="BT148" s="115"/>
      <x:c r="BU148" s="115"/>
      <x:c r="BV148" s="115"/>
      <x:c r="BW148" s="115"/>
      <x:c r="BX148" s="115"/>
      <x:c r="BY148" s="115"/>
      <x:c r="BZ148" s="115"/>
      <x:c r="CA148" s="115"/>
      <x:c r="CB148" s="116"/>
      <x:c r="CC148" s="141" t="str">
        <x:f>IF(COUNT(G148:P148)=0,"",AVERAGE(G148:P148)*4)</x:f>
      </x:c>
      <x:c r="CD148" s="178" t="str">
        <x:f>IF(COUNT(Q148:Z148)=0,"",AVERAGE(Q148:Z148)*4)</x:f>
      </x:c>
      <x:c r="CE148" s="178" t="str">
        <x:f>IF(COUNT(AA148:AJ148)=0,"",AVERAGE(AA148:AJ148)*4)</x:f>
      </x:c>
      <x:c r="CF148" s="178" t="str">
        <x:f>IF(COUNT(AK148:AR148)=0,"",AVERAGE(AK148:AR148)*4)</x:f>
      </x:c>
      <x:c r="CG148" s="178" t="str">
        <x:f>IF(COUNT(AS148:AY148)=0,"",AVERAGE(AS148:AY148)*4)</x:f>
      </x:c>
      <x:c r="CH148" s="178" t="str">
        <x:f>IF(COUNT(AZ148:BG148)=0,"",AVERAGE(AZ148:BG148)*4)</x:f>
      </x:c>
      <x:c r="CI148" s="178" t="str">
        <x:f>IF(COUNT(BH148:BN148)=0,"",AVERAGE(BH148:BN148)*4)</x:f>
      </x:c>
      <x:c r="CJ148" s="178" t="str">
        <x:f>IF(COUNT(BO148:BU148)=0,"",AVERAGE(BO148:BU148)*4)</x:f>
      </x:c>
      <x:c r="CK148" s="178" t="str">
        <x:f>IF(COUNT(BV148:CB148)=0,"",AVERAGE(BV148:CB148)*4)</x:f>
      </x:c>
      <x:c r="CL148" s="178" t="str">
        <x:f>IF(C148="","",IF(COUNT(G148:CB148)&lt;74,"",(CC148*'تنظیمات وزن‌دهی'!$C$5+CD148*'تنظیمات وزن‌دهی'!$C$6+CE148*'تنظیمات وزن‌دهی'!$C$7+CF148*'تنظیمات وزن‌دهی'!$C$8+CG148*'تنظیمات وزن‌دهی'!$C$9+CH148*'تنظیمات وزن‌دهی'!$C$10+CI148*'تنظیمات وزن‌دهی'!$C$11+CJ148*'تنظیمات وزن‌دهی'!$C$12+CK148*'تنظیمات وزن‌دهی'!$C$13)/100))</x:f>
      </x:c>
      <x:c r="CM148" s="178" t="str">
        <x:f>IF(C148="","",IF(COUNT(G148:CB148)=0,"",IF(COUNT(G148:CB148)&lt;74,"موقت - اطلاعات ناقص",IF(CL148&gt;=17,"عالی",IF(CL148&gt;=14,"خوب",IF(CL148&gt;=10,"متوسط","ضعیف"))))))</x:f>
      </x:c>
      <x:c r="CN148" s="178" t="n">
        <x:v>12</x:v>
      </x:c>
      <x:c r="CO148" s="142" t="n">
        <x:f>IF(C148="","",COUNT(G148:CB148)/74)</x:f>
        <x:v>0</x:v>
      </x:c>
      <x:c r="CP148" s="245"/>
    </x:row>
    <x:row r="149">
      <x:c r="A149" s="165" t="n">
        <x:v>145</x:v>
      </x:c>
      <x:c r="B149" s="233" t="str">
        <x:v>تیر</x:v>
      </x:c>
      <x:c r="C149" s="233" t="n">
        <x:f>IF('دانش‌آموزان'!E17="","",'دانش‌آموزان'!B17)</x:f>
        <x:v>13</x:v>
      </x:c>
      <x:c r="D149" s="233" t="str">
        <x:f>IF('دانش‌آموزان'!C17="","",'دانش‌آموزان'!C17)</x:f>
        <x:v>4000000136</x:v>
      </x:c>
      <x:c r="E149" s="233" t="str">
        <x:f>IF('دانش‌آموزان'!E17="","",'دانش‌آموزان'!E17&amp;" "&amp;'دانش‌آموزان'!F17)</x:f>
        <x:v>طاها رضایی</x:v>
      </x:c>
      <x:c r="F149" s="166" t="str">
        <x:f>IF('دانش‌آموزان'!I17="","",'دانش‌آموزان'!I17)</x:f>
        <x:v>sample-7-a</x:v>
      </x:c>
      <x:c r="G149" s="114" t="n">
        <x:v>3</x:v>
      </x:c>
      <x:c r="H149" s="115" t="n">
        <x:v>5</x:v>
      </x:c>
      <x:c r="I149" s="115" t="n">
        <x:v>3</x:v>
      </x:c>
      <x:c r="J149" s="115" t="n">
        <x:v>4</x:v>
      </x:c>
      <x:c r="K149" s="115" t="n">
        <x:v>3</x:v>
      </x:c>
      <x:c r="L149" s="115" t="n">
        <x:v>4</x:v>
      </x:c>
      <x:c r="M149" s="115" t="n">
        <x:v>2</x:v>
      </x:c>
      <x:c r="N149" s="115" t="n">
        <x:v>4</x:v>
      </x:c>
      <x:c r="O149" s="115" t="n">
        <x:v>5</x:v>
      </x:c>
      <x:c r="P149" s="115" t="n">
        <x:v>4</x:v>
      </x:c>
      <x:c r="Q149" s="115" t="n">
        <x:v>5</x:v>
      </x:c>
      <x:c r="R149" s="115" t="n">
        <x:v>3</x:v>
      </x:c>
      <x:c r="S149" s="115" t="n">
        <x:v>5</x:v>
      </x:c>
      <x:c r="T149" s="115" t="n">
        <x:v>3</x:v>
      </x:c>
      <x:c r="U149" s="115" t="n">
        <x:v>4</x:v>
      </x:c>
      <x:c r="V149" s="115" t="n">
        <x:v>3</x:v>
      </x:c>
      <x:c r="W149" s="115" t="n">
        <x:v>4</x:v>
      </x:c>
      <x:c r="X149" s="115" t="n">
        <x:v>2</x:v>
      </x:c>
      <x:c r="Y149" s="115" t="n">
        <x:v>4</x:v>
      </x:c>
      <x:c r="Z149" s="115" t="n">
        <x:v>5</x:v>
      </x:c>
      <x:c r="AA149" s="115" t="n">
        <x:v>4</x:v>
      </x:c>
      <x:c r="AB149" s="115" t="n">
        <x:v>5</x:v>
      </x:c>
      <x:c r="AC149" s="115" t="n">
        <x:v>3</x:v>
      </x:c>
      <x:c r="AD149" s="115" t="n">
        <x:v>5</x:v>
      </x:c>
      <x:c r="AE149" s="115" t="n">
        <x:v>3</x:v>
      </x:c>
      <x:c r="AF149" s="115" t="n">
        <x:v>4</x:v>
      </x:c>
      <x:c r="AG149" s="115" t="n">
        <x:v>3</x:v>
      </x:c>
      <x:c r="AH149" s="115" t="n">
        <x:v>4</x:v>
      </x:c>
      <x:c r="AI149" s="115" t="n">
        <x:v>2</x:v>
      </x:c>
      <x:c r="AJ149" s="115" t="n">
        <x:v>4</x:v>
      </x:c>
      <x:c r="AK149" s="115" t="n">
        <x:v>5</x:v>
      </x:c>
      <x:c r="AL149" s="115" t="n">
        <x:v>4</x:v>
      </x:c>
      <x:c r="AM149" s="115" t="n">
        <x:v>5</x:v>
      </x:c>
      <x:c r="AN149" s="115" t="n">
        <x:v>3</x:v>
      </x:c>
      <x:c r="AO149" s="115" t="n">
        <x:v>5</x:v>
      </x:c>
      <x:c r="AP149" s="115" t="n">
        <x:v>3</x:v>
      </x:c>
      <x:c r="AQ149" s="115" t="n">
        <x:v>4</x:v>
      </x:c>
      <x:c r="AR149" s="115" t="n">
        <x:v>3</x:v>
      </x:c>
      <x:c r="AS149" s="115" t="n">
        <x:v>4</x:v>
      </x:c>
      <x:c r="AT149" s="115" t="n">
        <x:v>2</x:v>
      </x:c>
      <x:c r="AU149" s="115" t="n">
        <x:v>4</x:v>
      </x:c>
      <x:c r="AV149" s="115" t="n">
        <x:v>5</x:v>
      </x:c>
      <x:c r="AW149" s="115" t="n">
        <x:v>4</x:v>
      </x:c>
      <x:c r="AX149" s="115" t="n">
        <x:v>5</x:v>
      </x:c>
      <x:c r="AY149" s="115" t="n">
        <x:v>3</x:v>
      </x:c>
      <x:c r="AZ149" s="115" t="n">
        <x:v>5</x:v>
      </x:c>
      <x:c r="BA149" s="115" t="n">
        <x:v>3</x:v>
      </x:c>
      <x:c r="BB149" s="115" t="n">
        <x:v>4</x:v>
      </x:c>
      <x:c r="BC149" s="115" t="n">
        <x:v>3</x:v>
      </x:c>
      <x:c r="BD149" s="115" t="n">
        <x:v>4</x:v>
      </x:c>
      <x:c r="BE149" s="115" t="n">
        <x:v>2</x:v>
      </x:c>
      <x:c r="BF149" s="115" t="n">
        <x:v>4</x:v>
      </x:c>
      <x:c r="BG149" s="115" t="n">
        <x:v>5</x:v>
      </x:c>
      <x:c r="BH149" s="115" t="n">
        <x:v>4</x:v>
      </x:c>
      <x:c r="BI149" s="115" t="n">
        <x:v>5</x:v>
      </x:c>
      <x:c r="BJ149" s="115" t="n">
        <x:v>3</x:v>
      </x:c>
      <x:c r="BK149" s="115" t="n">
        <x:v>5</x:v>
      </x:c>
      <x:c r="BL149" s="115" t="n">
        <x:v>3</x:v>
      </x:c>
      <x:c r="BM149" s="115" t="n">
        <x:v>4</x:v>
      </x:c>
      <x:c r="BN149" s="115" t="n">
        <x:v>3</x:v>
      </x:c>
      <x:c r="BO149" s="115" t="n">
        <x:v>4</x:v>
      </x:c>
      <x:c r="BP149" s="115" t="n">
        <x:v>2</x:v>
      </x:c>
      <x:c r="BQ149" s="115" t="n">
        <x:v>4</x:v>
      </x:c>
      <x:c r="BR149" s="115" t="n">
        <x:v>5</x:v>
      </x:c>
      <x:c r="BS149" s="115" t="n">
        <x:v>4</x:v>
      </x:c>
      <x:c r="BT149" s="115" t="n">
        <x:v>5</x:v>
      </x:c>
      <x:c r="BU149" s="115" t="n">
        <x:v>3</x:v>
      </x:c>
      <x:c r="BV149" s="115" t="n">
        <x:v>5</x:v>
      </x:c>
      <x:c r="BW149" s="115" t="n">
        <x:v>3</x:v>
      </x:c>
      <x:c r="BX149" s="115" t="n">
        <x:v>4</x:v>
      </x:c>
      <x:c r="BY149" s="115" t="n">
        <x:v>3</x:v>
      </x:c>
      <x:c r="BZ149" s="115" t="n">
        <x:v>4</x:v>
      </x:c>
      <x:c r="CA149" s="115" t="n">
        <x:v>2</x:v>
      </x:c>
      <x:c r="CB149" s="116" t="n">
        <x:v>4</x:v>
      </x:c>
      <x:c r="CC149" s="141" t="n">
        <x:f>IF(COUNT(G149:P149)=0,"",AVERAGE(G149:P149)*4)</x:f>
        <x:v>14.8</x:v>
      </x:c>
      <x:c r="CD149" s="178" t="n">
        <x:f>IF(COUNT(Q149:Z149)=0,"",AVERAGE(Q149:Z149)*4)</x:f>
        <x:v>15.2</x:v>
      </x:c>
      <x:c r="CE149" s="178" t="n">
        <x:f>IF(COUNT(AA149:AJ149)=0,"",AVERAGE(AA149:AJ149)*4)</x:f>
        <x:v>14.8</x:v>
      </x:c>
      <x:c r="CF149" s="178" t="n">
        <x:f>IF(COUNT(AK149:AR149)=0,"",AVERAGE(AK149:AR149)*4)</x:f>
        <x:v>16</x:v>
      </x:c>
      <x:c r="CG149" s="178" t="n">
        <x:f>IF(COUNT(AS149:AY149)=0,"",AVERAGE(AS149:AY149)*4)</x:f>
        <x:v>15.428571428571429</x:v>
      </x:c>
      <x:c r="CH149" s="178" t="n">
        <x:f>IF(COUNT(AZ149:BG149)=0,"",AVERAGE(AZ149:BG149)*4)</x:f>
        <x:v>15</x:v>
      </x:c>
      <x:c r="CI149" s="178" t="n">
        <x:f>IF(COUNT(BH149:BN149)=0,"",AVERAGE(BH149:BN149)*4)</x:f>
        <x:v>15.428571428571429</x:v>
      </x:c>
      <x:c r="CJ149" s="178" t="n">
        <x:f>IF(COUNT(BO149:BU149)=0,"",AVERAGE(BO149:BU149)*4)</x:f>
        <x:v>15.428571428571429</x:v>
      </x:c>
      <x:c r="CK149" s="178" t="n">
        <x:f>IF(COUNT(BV149:CB149)=0,"",AVERAGE(BV149:CB149)*4)</x:f>
        <x:v>14.285714285714286</x:v>
      </x:c>
      <x:c r="CL149" s="178" t="n">
        <x:f>IF(C149="","",IF(COUNT(G149:CB149)&lt;74,"",(CC149*'تنظیمات وزن‌دهی'!$C$5+CD149*'تنظیمات وزن‌دهی'!$C$6+CE149*'تنظیمات وزن‌دهی'!$C$7+CF149*'تنظیمات وزن‌دهی'!$C$8+CG149*'تنظیمات وزن‌دهی'!$C$9+CH149*'تنظیمات وزن‌دهی'!$C$10+CI149*'تنظیمات وزن‌دهی'!$C$11+CJ149*'تنظیمات وزن‌دهی'!$C$12+CK149*'تنظیمات وزن‌دهی'!$C$13)/100))</x:f>
        <x:v>15.145714285714286</x:v>
      </x:c>
      <x:c r="CM149" s="178" t="str">
        <x:f>IF(C149="","",IF(COUNT(G149:CB149)=0,"",IF(COUNT(G149:CB149)&lt;74,"موقت - اطلاعات ناقص",IF(CL149&gt;=17,"عالی",IF(CL149&gt;=14,"خوب",IF(CL149&gt;=10,"متوسط","ضعیف"))))))</x:f>
        <x:v>خوب</x:v>
      </x:c>
      <x:c r="CN149" s="178" t="n">
        <x:v>1</x:v>
      </x:c>
      <x:c r="CO149" s="142" t="n">
        <x:f>IF(C149="","",COUNT(G149:CB149)/74)</x:f>
        <x:v>1</x:v>
      </x:c>
      <x:c r="CP149" s="245" t="str">
        <x:v>داده نمونه کامل برای ماه تیر - دانش‌آموز شماره 13</x:v>
      </x:c>
    </x:row>
    <x:row r="150">
      <x:c r="A150" s="165" t="n">
        <x:v>146</x:v>
      </x:c>
      <x:c r="B150" s="233" t="str">
        <x:v>مرداد</x:v>
      </x:c>
      <x:c r="C150" s="233" t="n">
        <x:f>IF('دانش‌آموزان'!E17="","",'دانش‌آموزان'!B17)</x:f>
        <x:v>13</x:v>
      </x:c>
      <x:c r="D150" s="233" t="str">
        <x:f>IF('دانش‌آموزان'!C17="","",'دانش‌آموزان'!C17)</x:f>
        <x:v>4000000136</x:v>
      </x:c>
      <x:c r="E150" s="233" t="str">
        <x:f>IF('دانش‌آموزان'!E17="","",'دانش‌آموزان'!E17&amp;" "&amp;'دانش‌آموزان'!F17)</x:f>
        <x:v>طاها رضایی</x:v>
      </x:c>
      <x:c r="F150" s="166" t="str">
        <x:f>IF('دانش‌آموزان'!I17="","",'دانش‌آموزان'!I17)</x:f>
        <x:v>sample-7-a</x:v>
      </x:c>
      <x:c r="G150" s="114"/>
      <x:c r="H150" s="115"/>
      <x:c r="I150" s="115"/>
      <x:c r="J150" s="115"/>
      <x:c r="K150" s="115"/>
      <x:c r="L150" s="115"/>
      <x:c r="M150" s="115"/>
      <x:c r="N150" s="115"/>
      <x:c r="O150" s="115"/>
      <x:c r="P150" s="115"/>
      <x:c r="Q150" s="115"/>
      <x:c r="R150" s="115"/>
      <x:c r="S150" s="115"/>
      <x:c r="T150" s="115"/>
      <x:c r="U150" s="115"/>
      <x:c r="V150" s="115"/>
      <x:c r="W150" s="115"/>
      <x:c r="X150" s="115"/>
      <x:c r="Y150" s="115"/>
      <x:c r="Z150" s="115"/>
      <x:c r="AA150" s="115"/>
      <x:c r="AB150" s="115"/>
      <x:c r="AC150" s="115"/>
      <x:c r="AD150" s="115"/>
      <x:c r="AE150" s="115"/>
      <x:c r="AF150" s="115"/>
      <x:c r="AG150" s="115"/>
      <x:c r="AH150" s="115"/>
      <x:c r="AI150" s="115"/>
      <x:c r="AJ150" s="115"/>
      <x:c r="AK150" s="115"/>
      <x:c r="AL150" s="115"/>
      <x:c r="AM150" s="115"/>
      <x:c r="AN150" s="115"/>
      <x:c r="AO150" s="115"/>
      <x:c r="AP150" s="115"/>
      <x:c r="AQ150" s="115"/>
      <x:c r="AR150" s="115"/>
      <x:c r="AS150" s="115"/>
      <x:c r="AT150" s="115"/>
      <x:c r="AU150" s="115"/>
      <x:c r="AV150" s="115"/>
      <x:c r="AW150" s="115"/>
      <x:c r="AX150" s="115"/>
      <x:c r="AY150" s="115"/>
      <x:c r="AZ150" s="115"/>
      <x:c r="BA150" s="115"/>
      <x:c r="BB150" s="115"/>
      <x:c r="BC150" s="115"/>
      <x:c r="BD150" s="115"/>
      <x:c r="BE150" s="115"/>
      <x:c r="BF150" s="115"/>
      <x:c r="BG150" s="115"/>
      <x:c r="BH150" s="115"/>
      <x:c r="BI150" s="115"/>
      <x:c r="BJ150" s="115"/>
      <x:c r="BK150" s="115"/>
      <x:c r="BL150" s="115"/>
      <x:c r="BM150" s="115"/>
      <x:c r="BN150" s="115"/>
      <x:c r="BO150" s="115"/>
      <x:c r="BP150" s="115"/>
      <x:c r="BQ150" s="115"/>
      <x:c r="BR150" s="115"/>
      <x:c r="BS150" s="115"/>
      <x:c r="BT150" s="115"/>
      <x:c r="BU150" s="115"/>
      <x:c r="BV150" s="115"/>
      <x:c r="BW150" s="115"/>
      <x:c r="BX150" s="115"/>
      <x:c r="BY150" s="115"/>
      <x:c r="BZ150" s="115"/>
      <x:c r="CA150" s="115"/>
      <x:c r="CB150" s="116"/>
      <x:c r="CC150" s="141" t="str">
        <x:f>IF(COUNT(G150:P150)=0,"",AVERAGE(G150:P150)*4)</x:f>
      </x:c>
      <x:c r="CD150" s="178" t="str">
        <x:f>IF(COUNT(Q150:Z150)=0,"",AVERAGE(Q150:Z150)*4)</x:f>
      </x:c>
      <x:c r="CE150" s="178" t="str">
        <x:f>IF(COUNT(AA150:AJ150)=0,"",AVERAGE(AA150:AJ150)*4)</x:f>
      </x:c>
      <x:c r="CF150" s="178" t="str">
        <x:f>IF(COUNT(AK150:AR150)=0,"",AVERAGE(AK150:AR150)*4)</x:f>
      </x:c>
      <x:c r="CG150" s="178" t="str">
        <x:f>IF(COUNT(AS150:AY150)=0,"",AVERAGE(AS150:AY150)*4)</x:f>
      </x:c>
      <x:c r="CH150" s="178" t="str">
        <x:f>IF(COUNT(AZ150:BG150)=0,"",AVERAGE(AZ150:BG150)*4)</x:f>
      </x:c>
      <x:c r="CI150" s="178" t="str">
        <x:f>IF(COUNT(BH150:BN150)=0,"",AVERAGE(BH150:BN150)*4)</x:f>
      </x:c>
      <x:c r="CJ150" s="178" t="str">
        <x:f>IF(COUNT(BO150:BU150)=0,"",AVERAGE(BO150:BU150)*4)</x:f>
      </x:c>
      <x:c r="CK150" s="178" t="str">
        <x:f>IF(COUNT(BV150:CB150)=0,"",AVERAGE(BV150:CB150)*4)</x:f>
      </x:c>
      <x:c r="CL150" s="178" t="str">
        <x:f>IF(C150="","",IF(COUNT(G150:CB150)&lt;74,"",(CC150*'تنظیمات وزن‌دهی'!$C$5+CD150*'تنظیمات وزن‌دهی'!$C$6+CE150*'تنظیمات وزن‌دهی'!$C$7+CF150*'تنظیمات وزن‌دهی'!$C$8+CG150*'تنظیمات وزن‌دهی'!$C$9+CH150*'تنظیمات وزن‌دهی'!$C$10+CI150*'تنظیمات وزن‌دهی'!$C$11+CJ150*'تنظیمات وزن‌دهی'!$C$12+CK150*'تنظیمات وزن‌دهی'!$C$13)/100))</x:f>
      </x:c>
      <x:c r="CM150" s="178" t="str">
        <x:f>IF(C150="","",IF(COUNT(G150:CB150)=0,"",IF(COUNT(G150:CB150)&lt;74,"موقت - اطلاعات ناقص",IF(CL150&gt;=17,"عالی",IF(CL150&gt;=14,"خوب",IF(CL150&gt;=10,"متوسط","ضعیف"))))))</x:f>
      </x:c>
      <x:c r="CN150" s="178" t="n">
        <x:v>2</x:v>
      </x:c>
      <x:c r="CO150" s="142" t="n">
        <x:f>IF(C150="","",COUNT(G150:CB150)/74)</x:f>
        <x:v>0</x:v>
      </x:c>
      <x:c r="CP150" s="245"/>
    </x:row>
    <x:row r="151">
      <x:c r="A151" s="165" t="n">
        <x:v>147</x:v>
      </x:c>
      <x:c r="B151" s="233" t="str">
        <x:v>شهریور</x:v>
      </x:c>
      <x:c r="C151" s="233" t="n">
        <x:f>IF('دانش‌آموزان'!E17="","",'دانش‌آموزان'!B17)</x:f>
        <x:v>13</x:v>
      </x:c>
      <x:c r="D151" s="233" t="str">
        <x:f>IF('دانش‌آموزان'!C17="","",'دانش‌آموزان'!C17)</x:f>
        <x:v>4000000136</x:v>
      </x:c>
      <x:c r="E151" s="233" t="str">
        <x:f>IF('دانش‌آموزان'!E17="","",'دانش‌آموزان'!E17&amp;" "&amp;'دانش‌آموزان'!F17)</x:f>
        <x:v>طاها رضایی</x:v>
      </x:c>
      <x:c r="F151" s="166" t="str">
        <x:f>IF('دانش‌آموزان'!I17="","",'دانش‌آموزان'!I17)</x:f>
        <x:v>sample-7-a</x:v>
      </x:c>
      <x:c r="G151" s="114"/>
      <x:c r="H151" s="115"/>
      <x:c r="I151" s="115"/>
      <x:c r="J151" s="115"/>
      <x:c r="K151" s="115"/>
      <x:c r="L151" s="115"/>
      <x:c r="M151" s="115"/>
      <x:c r="N151" s="115"/>
      <x:c r="O151" s="115"/>
      <x:c r="P151" s="115"/>
      <x:c r="Q151" s="115"/>
      <x:c r="R151" s="115"/>
      <x:c r="S151" s="115"/>
      <x:c r="T151" s="115"/>
      <x:c r="U151" s="115"/>
      <x:c r="V151" s="115"/>
      <x:c r="W151" s="115"/>
      <x:c r="X151" s="115"/>
      <x:c r="Y151" s="115"/>
      <x:c r="Z151" s="115"/>
      <x:c r="AA151" s="115"/>
      <x:c r="AB151" s="115"/>
      <x:c r="AC151" s="115"/>
      <x:c r="AD151" s="115"/>
      <x:c r="AE151" s="115"/>
      <x:c r="AF151" s="115"/>
      <x:c r="AG151" s="115"/>
      <x:c r="AH151" s="115"/>
      <x:c r="AI151" s="115"/>
      <x:c r="AJ151" s="115"/>
      <x:c r="AK151" s="115"/>
      <x:c r="AL151" s="115"/>
      <x:c r="AM151" s="115"/>
      <x:c r="AN151" s="115"/>
      <x:c r="AO151" s="115"/>
      <x:c r="AP151" s="115"/>
      <x:c r="AQ151" s="115"/>
      <x:c r="AR151" s="115"/>
      <x:c r="AS151" s="115"/>
      <x:c r="AT151" s="115"/>
      <x:c r="AU151" s="115"/>
      <x:c r="AV151" s="115"/>
      <x:c r="AW151" s="115"/>
      <x:c r="AX151" s="115"/>
      <x:c r="AY151" s="115"/>
      <x:c r="AZ151" s="115"/>
      <x:c r="BA151" s="115"/>
      <x:c r="BB151" s="115"/>
      <x:c r="BC151" s="115"/>
      <x:c r="BD151" s="115"/>
      <x:c r="BE151" s="115"/>
      <x:c r="BF151" s="115"/>
      <x:c r="BG151" s="115"/>
      <x:c r="BH151" s="115"/>
      <x:c r="BI151" s="115"/>
      <x:c r="BJ151" s="115"/>
      <x:c r="BK151" s="115"/>
      <x:c r="BL151" s="115"/>
      <x:c r="BM151" s="115"/>
      <x:c r="BN151" s="115"/>
      <x:c r="BO151" s="115"/>
      <x:c r="BP151" s="115"/>
      <x:c r="BQ151" s="115"/>
      <x:c r="BR151" s="115"/>
      <x:c r="BS151" s="115"/>
      <x:c r="BT151" s="115"/>
      <x:c r="BU151" s="115"/>
      <x:c r="BV151" s="115"/>
      <x:c r="BW151" s="115"/>
      <x:c r="BX151" s="115"/>
      <x:c r="BY151" s="115"/>
      <x:c r="BZ151" s="115"/>
      <x:c r="CA151" s="115"/>
      <x:c r="CB151" s="116"/>
      <x:c r="CC151" s="141" t="str">
        <x:f>IF(COUNT(G151:P151)=0,"",AVERAGE(G151:P151)*4)</x:f>
      </x:c>
      <x:c r="CD151" s="178" t="str">
        <x:f>IF(COUNT(Q151:Z151)=0,"",AVERAGE(Q151:Z151)*4)</x:f>
      </x:c>
      <x:c r="CE151" s="178" t="str">
        <x:f>IF(COUNT(AA151:AJ151)=0,"",AVERAGE(AA151:AJ151)*4)</x:f>
      </x:c>
      <x:c r="CF151" s="178" t="str">
        <x:f>IF(COUNT(AK151:AR151)=0,"",AVERAGE(AK151:AR151)*4)</x:f>
      </x:c>
      <x:c r="CG151" s="178" t="str">
        <x:f>IF(COUNT(AS151:AY151)=0,"",AVERAGE(AS151:AY151)*4)</x:f>
      </x:c>
      <x:c r="CH151" s="178" t="str">
        <x:f>IF(COUNT(AZ151:BG151)=0,"",AVERAGE(AZ151:BG151)*4)</x:f>
      </x:c>
      <x:c r="CI151" s="178" t="str">
        <x:f>IF(COUNT(BH151:BN151)=0,"",AVERAGE(BH151:BN151)*4)</x:f>
      </x:c>
      <x:c r="CJ151" s="178" t="str">
        <x:f>IF(COUNT(BO151:BU151)=0,"",AVERAGE(BO151:BU151)*4)</x:f>
      </x:c>
      <x:c r="CK151" s="178" t="str">
        <x:f>IF(COUNT(BV151:CB151)=0,"",AVERAGE(BV151:CB151)*4)</x:f>
      </x:c>
      <x:c r="CL151" s="178" t="str">
        <x:f>IF(C151="","",IF(COUNT(G151:CB151)&lt;74,"",(CC151*'تنظیمات وزن‌دهی'!$C$5+CD151*'تنظیمات وزن‌دهی'!$C$6+CE151*'تنظیمات وزن‌دهی'!$C$7+CF151*'تنظیمات وزن‌دهی'!$C$8+CG151*'تنظیمات وزن‌دهی'!$C$9+CH151*'تنظیمات وزن‌دهی'!$C$10+CI151*'تنظیمات وزن‌دهی'!$C$11+CJ151*'تنظیمات وزن‌دهی'!$C$12+CK151*'تنظیمات وزن‌دهی'!$C$13)/100))</x:f>
      </x:c>
      <x:c r="CM151" s="178" t="str">
        <x:f>IF(C151="","",IF(COUNT(G151:CB151)=0,"",IF(COUNT(G151:CB151)&lt;74,"موقت - اطلاعات ناقص",IF(CL151&gt;=17,"عالی",IF(CL151&gt;=14,"خوب",IF(CL151&gt;=10,"متوسط","ضعیف"))))))</x:f>
      </x:c>
      <x:c r="CN151" s="178" t="n">
        <x:v>3</x:v>
      </x:c>
      <x:c r="CO151" s="142" t="n">
        <x:f>IF(C151="","",COUNT(G151:CB151)/74)</x:f>
        <x:v>0</x:v>
      </x:c>
      <x:c r="CP151" s="245"/>
    </x:row>
    <x:row r="152">
      <x:c r="A152" s="165" t="n">
        <x:v>148</x:v>
      </x:c>
      <x:c r="B152" s="233" t="str">
        <x:v>مهر</x:v>
      </x:c>
      <x:c r="C152" s="233" t="n">
        <x:f>IF('دانش‌آموزان'!E17="","",'دانش‌آموزان'!B17)</x:f>
        <x:v>13</x:v>
      </x:c>
      <x:c r="D152" s="233" t="str">
        <x:f>IF('دانش‌آموزان'!C17="","",'دانش‌آموزان'!C17)</x:f>
        <x:v>4000000136</x:v>
      </x:c>
      <x:c r="E152" s="233" t="str">
        <x:f>IF('دانش‌آموزان'!E17="","",'دانش‌آموزان'!E17&amp;" "&amp;'دانش‌آموزان'!F17)</x:f>
        <x:v>طاها رضایی</x:v>
      </x:c>
      <x:c r="F152" s="166" t="str">
        <x:f>IF('دانش‌آموزان'!I17="","",'دانش‌آموزان'!I17)</x:f>
        <x:v>sample-7-a</x:v>
      </x:c>
      <x:c r="G152" s="114"/>
      <x:c r="H152" s="115"/>
      <x:c r="I152" s="115"/>
      <x:c r="J152" s="115"/>
      <x:c r="K152" s="115"/>
      <x:c r="L152" s="115"/>
      <x:c r="M152" s="115"/>
      <x:c r="N152" s="115"/>
      <x:c r="O152" s="115"/>
      <x:c r="P152" s="115"/>
      <x:c r="Q152" s="115"/>
      <x:c r="R152" s="115"/>
      <x:c r="S152" s="115"/>
      <x:c r="T152" s="115"/>
      <x:c r="U152" s="115"/>
      <x:c r="V152" s="115"/>
      <x:c r="W152" s="115"/>
      <x:c r="X152" s="115"/>
      <x:c r="Y152" s="115"/>
      <x:c r="Z152" s="115"/>
      <x:c r="AA152" s="115"/>
      <x:c r="AB152" s="115"/>
      <x:c r="AC152" s="115"/>
      <x:c r="AD152" s="115"/>
      <x:c r="AE152" s="115"/>
      <x:c r="AF152" s="115"/>
      <x:c r="AG152" s="115"/>
      <x:c r="AH152" s="115"/>
      <x:c r="AI152" s="115"/>
      <x:c r="AJ152" s="115"/>
      <x:c r="AK152" s="115"/>
      <x:c r="AL152" s="115"/>
      <x:c r="AM152" s="115"/>
      <x:c r="AN152" s="115"/>
      <x:c r="AO152" s="115"/>
      <x:c r="AP152" s="115"/>
      <x:c r="AQ152" s="115"/>
      <x:c r="AR152" s="115"/>
      <x:c r="AS152" s="115"/>
      <x:c r="AT152" s="115"/>
      <x:c r="AU152" s="115"/>
      <x:c r="AV152" s="115"/>
      <x:c r="AW152" s="115"/>
      <x:c r="AX152" s="115"/>
      <x:c r="AY152" s="115"/>
      <x:c r="AZ152" s="115"/>
      <x:c r="BA152" s="115"/>
      <x:c r="BB152" s="115"/>
      <x:c r="BC152" s="115"/>
      <x:c r="BD152" s="115"/>
      <x:c r="BE152" s="115"/>
      <x:c r="BF152" s="115"/>
      <x:c r="BG152" s="115"/>
      <x:c r="BH152" s="115"/>
      <x:c r="BI152" s="115"/>
      <x:c r="BJ152" s="115"/>
      <x:c r="BK152" s="115"/>
      <x:c r="BL152" s="115"/>
      <x:c r="BM152" s="115"/>
      <x:c r="BN152" s="115"/>
      <x:c r="BO152" s="115"/>
      <x:c r="BP152" s="115"/>
      <x:c r="BQ152" s="115"/>
      <x:c r="BR152" s="115"/>
      <x:c r="BS152" s="115"/>
      <x:c r="BT152" s="115"/>
      <x:c r="BU152" s="115"/>
      <x:c r="BV152" s="115"/>
      <x:c r="BW152" s="115"/>
      <x:c r="BX152" s="115"/>
      <x:c r="BY152" s="115"/>
      <x:c r="BZ152" s="115"/>
      <x:c r="CA152" s="115"/>
      <x:c r="CB152" s="116"/>
      <x:c r="CC152" s="141" t="str">
        <x:f>IF(COUNT(G152:P152)=0,"",AVERAGE(G152:P152)*4)</x:f>
      </x:c>
      <x:c r="CD152" s="178" t="str">
        <x:f>IF(COUNT(Q152:Z152)=0,"",AVERAGE(Q152:Z152)*4)</x:f>
      </x:c>
      <x:c r="CE152" s="178" t="str">
        <x:f>IF(COUNT(AA152:AJ152)=0,"",AVERAGE(AA152:AJ152)*4)</x:f>
      </x:c>
      <x:c r="CF152" s="178" t="str">
        <x:f>IF(COUNT(AK152:AR152)=0,"",AVERAGE(AK152:AR152)*4)</x:f>
      </x:c>
      <x:c r="CG152" s="178" t="str">
        <x:f>IF(COUNT(AS152:AY152)=0,"",AVERAGE(AS152:AY152)*4)</x:f>
      </x:c>
      <x:c r="CH152" s="178" t="str">
        <x:f>IF(COUNT(AZ152:BG152)=0,"",AVERAGE(AZ152:BG152)*4)</x:f>
      </x:c>
      <x:c r="CI152" s="178" t="str">
        <x:f>IF(COUNT(BH152:BN152)=0,"",AVERAGE(BH152:BN152)*4)</x:f>
      </x:c>
      <x:c r="CJ152" s="178" t="str">
        <x:f>IF(COUNT(BO152:BU152)=0,"",AVERAGE(BO152:BU152)*4)</x:f>
      </x:c>
      <x:c r="CK152" s="178" t="str">
        <x:f>IF(COUNT(BV152:CB152)=0,"",AVERAGE(BV152:CB152)*4)</x:f>
      </x:c>
      <x:c r="CL152" s="178" t="str">
        <x:f>IF(C152="","",IF(COUNT(G152:CB152)&lt;74,"",(CC152*'تنظیمات وزن‌دهی'!$C$5+CD152*'تنظیمات وزن‌دهی'!$C$6+CE152*'تنظیمات وزن‌دهی'!$C$7+CF152*'تنظیمات وزن‌دهی'!$C$8+CG152*'تنظیمات وزن‌دهی'!$C$9+CH152*'تنظیمات وزن‌دهی'!$C$10+CI152*'تنظیمات وزن‌دهی'!$C$11+CJ152*'تنظیمات وزن‌دهی'!$C$12+CK152*'تنظیمات وزن‌دهی'!$C$13)/100))</x:f>
      </x:c>
      <x:c r="CM152" s="178" t="str">
        <x:f>IF(C152="","",IF(COUNT(G152:CB152)=0,"",IF(COUNT(G152:CB152)&lt;74,"موقت - اطلاعات ناقص",IF(CL152&gt;=17,"عالی",IF(CL152&gt;=14,"خوب",IF(CL152&gt;=10,"متوسط","ضعیف"))))))</x:f>
      </x:c>
      <x:c r="CN152" s="178" t="n">
        <x:v>4</x:v>
      </x:c>
      <x:c r="CO152" s="142" t="n">
        <x:f>IF(C152="","",COUNT(G152:CB152)/74)</x:f>
        <x:v>0</x:v>
      </x:c>
      <x:c r="CP152" s="245"/>
    </x:row>
    <x:row r="153">
      <x:c r="A153" s="165" t="n">
        <x:v>149</x:v>
      </x:c>
      <x:c r="B153" s="233" t="str">
        <x:v>آبان</x:v>
      </x:c>
      <x:c r="C153" s="233" t="n">
        <x:f>IF('دانش‌آموزان'!E17="","",'دانش‌آموزان'!B17)</x:f>
        <x:v>13</x:v>
      </x:c>
      <x:c r="D153" s="233" t="str">
        <x:f>IF('دانش‌آموزان'!C17="","",'دانش‌آموزان'!C17)</x:f>
        <x:v>4000000136</x:v>
      </x:c>
      <x:c r="E153" s="233" t="str">
        <x:f>IF('دانش‌آموزان'!E17="","",'دانش‌آموزان'!E17&amp;" "&amp;'دانش‌آموزان'!F17)</x:f>
        <x:v>طاها رضایی</x:v>
      </x:c>
      <x:c r="F153" s="166" t="str">
        <x:f>IF('دانش‌آموزان'!I17="","",'دانش‌آموزان'!I17)</x:f>
        <x:v>sample-7-a</x:v>
      </x:c>
      <x:c r="G153" s="114"/>
      <x:c r="H153" s="115"/>
      <x:c r="I153" s="115"/>
      <x:c r="J153" s="115"/>
      <x:c r="K153" s="115"/>
      <x:c r="L153" s="115"/>
      <x:c r="M153" s="115"/>
      <x:c r="N153" s="115"/>
      <x:c r="O153" s="115"/>
      <x:c r="P153" s="115"/>
      <x:c r="Q153" s="115"/>
      <x:c r="R153" s="115"/>
      <x:c r="S153" s="115"/>
      <x:c r="T153" s="115"/>
      <x:c r="U153" s="115"/>
      <x:c r="V153" s="115"/>
      <x:c r="W153" s="115"/>
      <x:c r="X153" s="115"/>
      <x:c r="Y153" s="115"/>
      <x:c r="Z153" s="115"/>
      <x:c r="AA153" s="115"/>
      <x:c r="AB153" s="115"/>
      <x:c r="AC153" s="115"/>
      <x:c r="AD153" s="115"/>
      <x:c r="AE153" s="115"/>
      <x:c r="AF153" s="115"/>
      <x:c r="AG153" s="115"/>
      <x:c r="AH153" s="115"/>
      <x:c r="AI153" s="115"/>
      <x:c r="AJ153" s="115"/>
      <x:c r="AK153" s="115"/>
      <x:c r="AL153" s="115"/>
      <x:c r="AM153" s="115"/>
      <x:c r="AN153" s="115"/>
      <x:c r="AO153" s="115"/>
      <x:c r="AP153" s="115"/>
      <x:c r="AQ153" s="115"/>
      <x:c r="AR153" s="115"/>
      <x:c r="AS153" s="115"/>
      <x:c r="AT153" s="115"/>
      <x:c r="AU153" s="115"/>
      <x:c r="AV153" s="115"/>
      <x:c r="AW153" s="115"/>
      <x:c r="AX153" s="115"/>
      <x:c r="AY153" s="115"/>
      <x:c r="AZ153" s="115"/>
      <x:c r="BA153" s="115"/>
      <x:c r="BB153" s="115"/>
      <x:c r="BC153" s="115"/>
      <x:c r="BD153" s="115"/>
      <x:c r="BE153" s="115"/>
      <x:c r="BF153" s="115"/>
      <x:c r="BG153" s="115"/>
      <x:c r="BH153" s="115"/>
      <x:c r="BI153" s="115"/>
      <x:c r="BJ153" s="115"/>
      <x:c r="BK153" s="115"/>
      <x:c r="BL153" s="115"/>
      <x:c r="BM153" s="115"/>
      <x:c r="BN153" s="115"/>
      <x:c r="BO153" s="115"/>
      <x:c r="BP153" s="115"/>
      <x:c r="BQ153" s="115"/>
      <x:c r="BR153" s="115"/>
      <x:c r="BS153" s="115"/>
      <x:c r="BT153" s="115"/>
      <x:c r="BU153" s="115"/>
      <x:c r="BV153" s="115"/>
      <x:c r="BW153" s="115"/>
      <x:c r="BX153" s="115"/>
      <x:c r="BY153" s="115"/>
      <x:c r="BZ153" s="115"/>
      <x:c r="CA153" s="115"/>
      <x:c r="CB153" s="116"/>
      <x:c r="CC153" s="141" t="str">
        <x:f>IF(COUNT(G153:P153)=0,"",AVERAGE(G153:P153)*4)</x:f>
      </x:c>
      <x:c r="CD153" s="178" t="str">
        <x:f>IF(COUNT(Q153:Z153)=0,"",AVERAGE(Q153:Z153)*4)</x:f>
      </x:c>
      <x:c r="CE153" s="178" t="str">
        <x:f>IF(COUNT(AA153:AJ153)=0,"",AVERAGE(AA153:AJ153)*4)</x:f>
      </x:c>
      <x:c r="CF153" s="178" t="str">
        <x:f>IF(COUNT(AK153:AR153)=0,"",AVERAGE(AK153:AR153)*4)</x:f>
      </x:c>
      <x:c r="CG153" s="178" t="str">
        <x:f>IF(COUNT(AS153:AY153)=0,"",AVERAGE(AS153:AY153)*4)</x:f>
      </x:c>
      <x:c r="CH153" s="178" t="str">
        <x:f>IF(COUNT(AZ153:BG153)=0,"",AVERAGE(AZ153:BG153)*4)</x:f>
      </x:c>
      <x:c r="CI153" s="178" t="str">
        <x:f>IF(COUNT(BH153:BN153)=0,"",AVERAGE(BH153:BN153)*4)</x:f>
      </x:c>
      <x:c r="CJ153" s="178" t="str">
        <x:f>IF(COUNT(BO153:BU153)=0,"",AVERAGE(BO153:BU153)*4)</x:f>
      </x:c>
      <x:c r="CK153" s="178" t="str">
        <x:f>IF(COUNT(BV153:CB153)=0,"",AVERAGE(BV153:CB153)*4)</x:f>
      </x:c>
      <x:c r="CL153" s="178" t="str">
        <x:f>IF(C153="","",IF(COUNT(G153:CB153)&lt;74,"",(CC153*'تنظیمات وزن‌دهی'!$C$5+CD153*'تنظیمات وزن‌دهی'!$C$6+CE153*'تنظیمات وزن‌دهی'!$C$7+CF153*'تنظیمات وزن‌دهی'!$C$8+CG153*'تنظیمات وزن‌دهی'!$C$9+CH153*'تنظیمات وزن‌دهی'!$C$10+CI153*'تنظیمات وزن‌دهی'!$C$11+CJ153*'تنظیمات وزن‌دهی'!$C$12+CK153*'تنظیمات وزن‌دهی'!$C$13)/100))</x:f>
      </x:c>
      <x:c r="CM153" s="178" t="str">
        <x:f>IF(C153="","",IF(COUNT(G153:CB153)=0,"",IF(COUNT(G153:CB153)&lt;74,"موقت - اطلاعات ناقص",IF(CL153&gt;=17,"عالی",IF(CL153&gt;=14,"خوب",IF(CL153&gt;=10,"متوسط","ضعیف"))))))</x:f>
      </x:c>
      <x:c r="CN153" s="178" t="n">
        <x:v>5</x:v>
      </x:c>
      <x:c r="CO153" s="142" t="n">
        <x:f>IF(C153="","",COUNT(G153:CB153)/74)</x:f>
        <x:v>0</x:v>
      </x:c>
      <x:c r="CP153" s="245"/>
    </x:row>
    <x:row r="154">
      <x:c r="A154" s="165" t="n">
        <x:v>150</x:v>
      </x:c>
      <x:c r="B154" s="233" t="str">
        <x:v>آذر</x:v>
      </x:c>
      <x:c r="C154" s="233" t="n">
        <x:f>IF('دانش‌آموزان'!E17="","",'دانش‌آموزان'!B17)</x:f>
        <x:v>13</x:v>
      </x:c>
      <x:c r="D154" s="233" t="str">
        <x:f>IF('دانش‌آموزان'!C17="","",'دانش‌آموزان'!C17)</x:f>
        <x:v>4000000136</x:v>
      </x:c>
      <x:c r="E154" s="233" t="str">
        <x:f>IF('دانش‌آموزان'!E17="","",'دانش‌آموزان'!E17&amp;" "&amp;'دانش‌آموزان'!F17)</x:f>
        <x:v>طاها رضایی</x:v>
      </x:c>
      <x:c r="F154" s="166" t="str">
        <x:f>IF('دانش‌آموزان'!I17="","",'دانش‌آموزان'!I17)</x:f>
        <x:v>sample-7-a</x:v>
      </x:c>
      <x:c r="G154" s="114"/>
      <x:c r="H154" s="115"/>
      <x:c r="I154" s="115"/>
      <x:c r="J154" s="115"/>
      <x:c r="K154" s="115"/>
      <x:c r="L154" s="115"/>
      <x:c r="M154" s="115"/>
      <x:c r="N154" s="115"/>
      <x:c r="O154" s="115"/>
      <x:c r="P154" s="115"/>
      <x:c r="Q154" s="115"/>
      <x:c r="R154" s="115"/>
      <x:c r="S154" s="115"/>
      <x:c r="T154" s="115"/>
      <x:c r="U154" s="115"/>
      <x:c r="V154" s="115"/>
      <x:c r="W154" s="115"/>
      <x:c r="X154" s="115"/>
      <x:c r="Y154" s="115"/>
      <x:c r="Z154" s="115"/>
      <x:c r="AA154" s="115"/>
      <x:c r="AB154" s="115"/>
      <x:c r="AC154" s="115"/>
      <x:c r="AD154" s="115"/>
      <x:c r="AE154" s="115"/>
      <x:c r="AF154" s="115"/>
      <x:c r="AG154" s="115"/>
      <x:c r="AH154" s="115"/>
      <x:c r="AI154" s="115"/>
      <x:c r="AJ154" s="115"/>
      <x:c r="AK154" s="115"/>
      <x:c r="AL154" s="115"/>
      <x:c r="AM154" s="115"/>
      <x:c r="AN154" s="115"/>
      <x:c r="AO154" s="115"/>
      <x:c r="AP154" s="115"/>
      <x:c r="AQ154" s="115"/>
      <x:c r="AR154" s="115"/>
      <x:c r="AS154" s="115"/>
      <x:c r="AT154" s="115"/>
      <x:c r="AU154" s="115"/>
      <x:c r="AV154" s="115"/>
      <x:c r="AW154" s="115"/>
      <x:c r="AX154" s="115"/>
      <x:c r="AY154" s="115"/>
      <x:c r="AZ154" s="115"/>
      <x:c r="BA154" s="115"/>
      <x:c r="BB154" s="115"/>
      <x:c r="BC154" s="115"/>
      <x:c r="BD154" s="115"/>
      <x:c r="BE154" s="115"/>
      <x:c r="BF154" s="115"/>
      <x:c r="BG154" s="115"/>
      <x:c r="BH154" s="115"/>
      <x:c r="BI154" s="115"/>
      <x:c r="BJ154" s="115"/>
      <x:c r="BK154" s="115"/>
      <x:c r="BL154" s="115"/>
      <x:c r="BM154" s="115"/>
      <x:c r="BN154" s="115"/>
      <x:c r="BO154" s="115"/>
      <x:c r="BP154" s="115"/>
      <x:c r="BQ154" s="115"/>
      <x:c r="BR154" s="115"/>
      <x:c r="BS154" s="115"/>
      <x:c r="BT154" s="115"/>
      <x:c r="BU154" s="115"/>
      <x:c r="BV154" s="115"/>
      <x:c r="BW154" s="115"/>
      <x:c r="BX154" s="115"/>
      <x:c r="BY154" s="115"/>
      <x:c r="BZ154" s="115"/>
      <x:c r="CA154" s="115"/>
      <x:c r="CB154" s="116"/>
      <x:c r="CC154" s="141" t="str">
        <x:f>IF(COUNT(G154:P154)=0,"",AVERAGE(G154:P154)*4)</x:f>
      </x:c>
      <x:c r="CD154" s="178" t="str">
        <x:f>IF(COUNT(Q154:Z154)=0,"",AVERAGE(Q154:Z154)*4)</x:f>
      </x:c>
      <x:c r="CE154" s="178" t="str">
        <x:f>IF(COUNT(AA154:AJ154)=0,"",AVERAGE(AA154:AJ154)*4)</x:f>
      </x:c>
      <x:c r="CF154" s="178" t="str">
        <x:f>IF(COUNT(AK154:AR154)=0,"",AVERAGE(AK154:AR154)*4)</x:f>
      </x:c>
      <x:c r="CG154" s="178" t="str">
        <x:f>IF(COUNT(AS154:AY154)=0,"",AVERAGE(AS154:AY154)*4)</x:f>
      </x:c>
      <x:c r="CH154" s="178" t="str">
        <x:f>IF(COUNT(AZ154:BG154)=0,"",AVERAGE(AZ154:BG154)*4)</x:f>
      </x:c>
      <x:c r="CI154" s="178" t="str">
        <x:f>IF(COUNT(BH154:BN154)=0,"",AVERAGE(BH154:BN154)*4)</x:f>
      </x:c>
      <x:c r="CJ154" s="178" t="str">
        <x:f>IF(COUNT(BO154:BU154)=0,"",AVERAGE(BO154:BU154)*4)</x:f>
      </x:c>
      <x:c r="CK154" s="178" t="str">
        <x:f>IF(COUNT(BV154:CB154)=0,"",AVERAGE(BV154:CB154)*4)</x:f>
      </x:c>
      <x:c r="CL154" s="178" t="str">
        <x:f>IF(C154="","",IF(COUNT(G154:CB154)&lt;74,"",(CC154*'تنظیمات وزن‌دهی'!$C$5+CD154*'تنظیمات وزن‌دهی'!$C$6+CE154*'تنظیمات وزن‌دهی'!$C$7+CF154*'تنظیمات وزن‌دهی'!$C$8+CG154*'تنظیمات وزن‌دهی'!$C$9+CH154*'تنظیمات وزن‌دهی'!$C$10+CI154*'تنظیمات وزن‌دهی'!$C$11+CJ154*'تنظیمات وزن‌دهی'!$C$12+CK154*'تنظیمات وزن‌دهی'!$C$13)/100))</x:f>
      </x:c>
      <x:c r="CM154" s="178" t="str">
        <x:f>IF(C154="","",IF(COUNT(G154:CB154)=0,"",IF(COUNT(G154:CB154)&lt;74,"موقت - اطلاعات ناقص",IF(CL154&gt;=17,"عالی",IF(CL154&gt;=14,"خوب",IF(CL154&gt;=10,"متوسط","ضعیف"))))))</x:f>
      </x:c>
      <x:c r="CN154" s="178" t="n">
        <x:v>6</x:v>
      </x:c>
      <x:c r="CO154" s="142" t="n">
        <x:f>IF(C154="","",COUNT(G154:CB154)/74)</x:f>
        <x:v>0</x:v>
      </x:c>
      <x:c r="CP154" s="245"/>
    </x:row>
    <x:row r="155">
      <x:c r="A155" s="165" t="n">
        <x:v>151</x:v>
      </x:c>
      <x:c r="B155" s="233" t="str">
        <x:v>دی</x:v>
      </x:c>
      <x:c r="C155" s="233" t="n">
        <x:f>IF('دانش‌آموزان'!E17="","",'دانش‌آموزان'!B17)</x:f>
        <x:v>13</x:v>
      </x:c>
      <x:c r="D155" s="233" t="str">
        <x:f>IF('دانش‌آموزان'!C17="","",'دانش‌آموزان'!C17)</x:f>
        <x:v>4000000136</x:v>
      </x:c>
      <x:c r="E155" s="233" t="str">
        <x:f>IF('دانش‌آموزان'!E17="","",'دانش‌آموزان'!E17&amp;" "&amp;'دانش‌آموزان'!F17)</x:f>
        <x:v>طاها رضایی</x:v>
      </x:c>
      <x:c r="F155" s="166" t="str">
        <x:f>IF('دانش‌آموزان'!I17="","",'دانش‌آموزان'!I17)</x:f>
        <x:v>sample-7-a</x:v>
      </x:c>
      <x:c r="G155" s="114"/>
      <x:c r="H155" s="115"/>
      <x:c r="I155" s="115"/>
      <x:c r="J155" s="115"/>
      <x:c r="K155" s="115"/>
      <x:c r="L155" s="115"/>
      <x:c r="M155" s="115"/>
      <x:c r="N155" s="115"/>
      <x:c r="O155" s="115"/>
      <x:c r="P155" s="115"/>
      <x:c r="Q155" s="115"/>
      <x:c r="R155" s="115"/>
      <x:c r="S155" s="115"/>
      <x:c r="T155" s="115"/>
      <x:c r="U155" s="115"/>
      <x:c r="V155" s="115"/>
      <x:c r="W155" s="115"/>
      <x:c r="X155" s="115"/>
      <x:c r="Y155" s="115"/>
      <x:c r="Z155" s="115"/>
      <x:c r="AA155" s="115"/>
      <x:c r="AB155" s="115"/>
      <x:c r="AC155" s="115"/>
      <x:c r="AD155" s="115"/>
      <x:c r="AE155" s="115"/>
      <x:c r="AF155" s="115"/>
      <x:c r="AG155" s="115"/>
      <x:c r="AH155" s="115"/>
      <x:c r="AI155" s="115"/>
      <x:c r="AJ155" s="115"/>
      <x:c r="AK155" s="115"/>
      <x:c r="AL155" s="115"/>
      <x:c r="AM155" s="115"/>
      <x:c r="AN155" s="115"/>
      <x:c r="AO155" s="115"/>
      <x:c r="AP155" s="115"/>
      <x:c r="AQ155" s="115"/>
      <x:c r="AR155" s="115"/>
      <x:c r="AS155" s="115"/>
      <x:c r="AT155" s="115"/>
      <x:c r="AU155" s="115"/>
      <x:c r="AV155" s="115"/>
      <x:c r="AW155" s="115"/>
      <x:c r="AX155" s="115"/>
      <x:c r="AY155" s="115"/>
      <x:c r="AZ155" s="115"/>
      <x:c r="BA155" s="115"/>
      <x:c r="BB155" s="115"/>
      <x:c r="BC155" s="115"/>
      <x:c r="BD155" s="115"/>
      <x:c r="BE155" s="115"/>
      <x:c r="BF155" s="115"/>
      <x:c r="BG155" s="115"/>
      <x:c r="BH155" s="115"/>
      <x:c r="BI155" s="115"/>
      <x:c r="BJ155" s="115"/>
      <x:c r="BK155" s="115"/>
      <x:c r="BL155" s="115"/>
      <x:c r="BM155" s="115"/>
      <x:c r="BN155" s="115"/>
      <x:c r="BO155" s="115"/>
      <x:c r="BP155" s="115"/>
      <x:c r="BQ155" s="115"/>
      <x:c r="BR155" s="115"/>
      <x:c r="BS155" s="115"/>
      <x:c r="BT155" s="115"/>
      <x:c r="BU155" s="115"/>
      <x:c r="BV155" s="115"/>
      <x:c r="BW155" s="115"/>
      <x:c r="BX155" s="115"/>
      <x:c r="BY155" s="115"/>
      <x:c r="BZ155" s="115"/>
      <x:c r="CA155" s="115"/>
      <x:c r="CB155" s="116"/>
      <x:c r="CC155" s="141" t="str">
        <x:f>IF(COUNT(G155:P155)=0,"",AVERAGE(G155:P155)*4)</x:f>
      </x:c>
      <x:c r="CD155" s="178" t="str">
        <x:f>IF(COUNT(Q155:Z155)=0,"",AVERAGE(Q155:Z155)*4)</x:f>
      </x:c>
      <x:c r="CE155" s="178" t="str">
        <x:f>IF(COUNT(AA155:AJ155)=0,"",AVERAGE(AA155:AJ155)*4)</x:f>
      </x:c>
      <x:c r="CF155" s="178" t="str">
        <x:f>IF(COUNT(AK155:AR155)=0,"",AVERAGE(AK155:AR155)*4)</x:f>
      </x:c>
      <x:c r="CG155" s="178" t="str">
        <x:f>IF(COUNT(AS155:AY155)=0,"",AVERAGE(AS155:AY155)*4)</x:f>
      </x:c>
      <x:c r="CH155" s="178" t="str">
        <x:f>IF(COUNT(AZ155:BG155)=0,"",AVERAGE(AZ155:BG155)*4)</x:f>
      </x:c>
      <x:c r="CI155" s="178" t="str">
        <x:f>IF(COUNT(BH155:BN155)=0,"",AVERAGE(BH155:BN155)*4)</x:f>
      </x:c>
      <x:c r="CJ155" s="178" t="str">
        <x:f>IF(COUNT(BO155:BU155)=0,"",AVERAGE(BO155:BU155)*4)</x:f>
      </x:c>
      <x:c r="CK155" s="178" t="str">
        <x:f>IF(COUNT(BV155:CB155)=0,"",AVERAGE(BV155:CB155)*4)</x:f>
      </x:c>
      <x:c r="CL155" s="178" t="str">
        <x:f>IF(C155="","",IF(COUNT(G155:CB155)&lt;74,"",(CC155*'تنظیمات وزن‌دهی'!$C$5+CD155*'تنظیمات وزن‌دهی'!$C$6+CE155*'تنظیمات وزن‌دهی'!$C$7+CF155*'تنظیمات وزن‌دهی'!$C$8+CG155*'تنظیمات وزن‌دهی'!$C$9+CH155*'تنظیمات وزن‌دهی'!$C$10+CI155*'تنظیمات وزن‌دهی'!$C$11+CJ155*'تنظیمات وزن‌دهی'!$C$12+CK155*'تنظیمات وزن‌دهی'!$C$13)/100))</x:f>
      </x:c>
      <x:c r="CM155" s="178" t="str">
        <x:f>IF(C155="","",IF(COUNT(G155:CB155)=0,"",IF(COUNT(G155:CB155)&lt;74,"موقت - اطلاعات ناقص",IF(CL155&gt;=17,"عالی",IF(CL155&gt;=14,"خوب",IF(CL155&gt;=10,"متوسط","ضعیف"))))))</x:f>
      </x:c>
      <x:c r="CN155" s="178" t="n">
        <x:v>7</x:v>
      </x:c>
      <x:c r="CO155" s="142" t="n">
        <x:f>IF(C155="","",COUNT(G155:CB155)/74)</x:f>
        <x:v>0</x:v>
      </x:c>
      <x:c r="CP155" s="245"/>
    </x:row>
    <x:row r="156">
      <x:c r="A156" s="165" t="n">
        <x:v>152</x:v>
      </x:c>
      <x:c r="B156" s="233" t="str">
        <x:v>بهمن</x:v>
      </x:c>
      <x:c r="C156" s="233" t="n">
        <x:f>IF('دانش‌آموزان'!E17="","",'دانش‌آموزان'!B17)</x:f>
        <x:v>13</x:v>
      </x:c>
      <x:c r="D156" s="233" t="str">
        <x:f>IF('دانش‌آموزان'!C17="","",'دانش‌آموزان'!C17)</x:f>
        <x:v>4000000136</x:v>
      </x:c>
      <x:c r="E156" s="233" t="str">
        <x:f>IF('دانش‌آموزان'!E17="","",'دانش‌آموزان'!E17&amp;" "&amp;'دانش‌آموزان'!F17)</x:f>
        <x:v>طاها رضایی</x:v>
      </x:c>
      <x:c r="F156" s="166" t="str">
        <x:f>IF('دانش‌آموزان'!I17="","",'دانش‌آموزان'!I17)</x:f>
        <x:v>sample-7-a</x:v>
      </x:c>
      <x:c r="G156" s="114"/>
      <x:c r="H156" s="115"/>
      <x:c r="I156" s="115"/>
      <x:c r="J156" s="115"/>
      <x:c r="K156" s="115"/>
      <x:c r="L156" s="115"/>
      <x:c r="M156" s="115"/>
      <x:c r="N156" s="115"/>
      <x:c r="O156" s="115"/>
      <x:c r="P156" s="115"/>
      <x:c r="Q156" s="115"/>
      <x:c r="R156" s="115"/>
      <x:c r="S156" s="115"/>
      <x:c r="T156" s="115"/>
      <x:c r="U156" s="115"/>
      <x:c r="V156" s="115"/>
      <x:c r="W156" s="115"/>
      <x:c r="X156" s="115"/>
      <x:c r="Y156" s="115"/>
      <x:c r="Z156" s="115"/>
      <x:c r="AA156" s="115"/>
      <x:c r="AB156" s="115"/>
      <x:c r="AC156" s="115"/>
      <x:c r="AD156" s="115"/>
      <x:c r="AE156" s="115"/>
      <x:c r="AF156" s="115"/>
      <x:c r="AG156" s="115"/>
      <x:c r="AH156" s="115"/>
      <x:c r="AI156" s="115"/>
      <x:c r="AJ156" s="115"/>
      <x:c r="AK156" s="115"/>
      <x:c r="AL156" s="115"/>
      <x:c r="AM156" s="115"/>
      <x:c r="AN156" s="115"/>
      <x:c r="AO156" s="115"/>
      <x:c r="AP156" s="115"/>
      <x:c r="AQ156" s="115"/>
      <x:c r="AR156" s="115"/>
      <x:c r="AS156" s="115"/>
      <x:c r="AT156" s="115"/>
      <x:c r="AU156" s="115"/>
      <x:c r="AV156" s="115"/>
      <x:c r="AW156" s="115"/>
      <x:c r="AX156" s="115"/>
      <x:c r="AY156" s="115"/>
      <x:c r="AZ156" s="115"/>
      <x:c r="BA156" s="115"/>
      <x:c r="BB156" s="115"/>
      <x:c r="BC156" s="115"/>
      <x:c r="BD156" s="115"/>
      <x:c r="BE156" s="115"/>
      <x:c r="BF156" s="115"/>
      <x:c r="BG156" s="115"/>
      <x:c r="BH156" s="115"/>
      <x:c r="BI156" s="115"/>
      <x:c r="BJ156" s="115"/>
      <x:c r="BK156" s="115"/>
      <x:c r="BL156" s="115"/>
      <x:c r="BM156" s="115"/>
      <x:c r="BN156" s="115"/>
      <x:c r="BO156" s="115"/>
      <x:c r="BP156" s="115"/>
      <x:c r="BQ156" s="115"/>
      <x:c r="BR156" s="115"/>
      <x:c r="BS156" s="115"/>
      <x:c r="BT156" s="115"/>
      <x:c r="BU156" s="115"/>
      <x:c r="BV156" s="115"/>
      <x:c r="BW156" s="115"/>
      <x:c r="BX156" s="115"/>
      <x:c r="BY156" s="115"/>
      <x:c r="BZ156" s="115"/>
      <x:c r="CA156" s="115"/>
      <x:c r="CB156" s="116"/>
      <x:c r="CC156" s="141" t="str">
        <x:f>IF(COUNT(G156:P156)=0,"",AVERAGE(G156:P156)*4)</x:f>
      </x:c>
      <x:c r="CD156" s="178" t="str">
        <x:f>IF(COUNT(Q156:Z156)=0,"",AVERAGE(Q156:Z156)*4)</x:f>
      </x:c>
      <x:c r="CE156" s="178" t="str">
        <x:f>IF(COUNT(AA156:AJ156)=0,"",AVERAGE(AA156:AJ156)*4)</x:f>
      </x:c>
      <x:c r="CF156" s="178" t="str">
        <x:f>IF(COUNT(AK156:AR156)=0,"",AVERAGE(AK156:AR156)*4)</x:f>
      </x:c>
      <x:c r="CG156" s="178" t="str">
        <x:f>IF(COUNT(AS156:AY156)=0,"",AVERAGE(AS156:AY156)*4)</x:f>
      </x:c>
      <x:c r="CH156" s="178" t="str">
        <x:f>IF(COUNT(AZ156:BG156)=0,"",AVERAGE(AZ156:BG156)*4)</x:f>
      </x:c>
      <x:c r="CI156" s="178" t="str">
        <x:f>IF(COUNT(BH156:BN156)=0,"",AVERAGE(BH156:BN156)*4)</x:f>
      </x:c>
      <x:c r="CJ156" s="178" t="str">
        <x:f>IF(COUNT(BO156:BU156)=0,"",AVERAGE(BO156:BU156)*4)</x:f>
      </x:c>
      <x:c r="CK156" s="178" t="str">
        <x:f>IF(COUNT(BV156:CB156)=0,"",AVERAGE(BV156:CB156)*4)</x:f>
      </x:c>
      <x:c r="CL156" s="178" t="str">
        <x:f>IF(C156="","",IF(COUNT(G156:CB156)&lt;74,"",(CC156*'تنظیمات وزن‌دهی'!$C$5+CD156*'تنظیمات وزن‌دهی'!$C$6+CE156*'تنظیمات وزن‌دهی'!$C$7+CF156*'تنظیمات وزن‌دهی'!$C$8+CG156*'تنظیمات وزن‌دهی'!$C$9+CH156*'تنظیمات وزن‌دهی'!$C$10+CI156*'تنظیمات وزن‌دهی'!$C$11+CJ156*'تنظیمات وزن‌دهی'!$C$12+CK156*'تنظیمات وزن‌دهی'!$C$13)/100))</x:f>
      </x:c>
      <x:c r="CM156" s="178" t="str">
        <x:f>IF(C156="","",IF(COUNT(G156:CB156)=0,"",IF(COUNT(G156:CB156)&lt;74,"موقت - اطلاعات ناقص",IF(CL156&gt;=17,"عالی",IF(CL156&gt;=14,"خوب",IF(CL156&gt;=10,"متوسط","ضعیف"))))))</x:f>
      </x:c>
      <x:c r="CN156" s="178" t="n">
        <x:v>8</x:v>
      </x:c>
      <x:c r="CO156" s="142" t="n">
        <x:f>IF(C156="","",COUNT(G156:CB156)/74)</x:f>
        <x:v>0</x:v>
      </x:c>
      <x:c r="CP156" s="245"/>
    </x:row>
    <x:row r="157">
      <x:c r="A157" s="165" t="n">
        <x:v>153</x:v>
      </x:c>
      <x:c r="B157" s="233" t="str">
        <x:v>اسفند</x:v>
      </x:c>
      <x:c r="C157" s="233" t="n">
        <x:f>IF('دانش‌آموزان'!E17="","",'دانش‌آموزان'!B17)</x:f>
        <x:v>13</x:v>
      </x:c>
      <x:c r="D157" s="233" t="str">
        <x:f>IF('دانش‌آموزان'!C17="","",'دانش‌آموزان'!C17)</x:f>
        <x:v>4000000136</x:v>
      </x:c>
      <x:c r="E157" s="233" t="str">
        <x:f>IF('دانش‌آموزان'!E17="","",'دانش‌آموزان'!E17&amp;" "&amp;'دانش‌آموزان'!F17)</x:f>
        <x:v>طاها رضایی</x:v>
      </x:c>
      <x:c r="F157" s="166" t="str">
        <x:f>IF('دانش‌آموزان'!I17="","",'دانش‌آموزان'!I17)</x:f>
        <x:v>sample-7-a</x:v>
      </x:c>
      <x:c r="G157" s="114"/>
      <x:c r="H157" s="115"/>
      <x:c r="I157" s="115"/>
      <x:c r="J157" s="115"/>
      <x:c r="K157" s="115"/>
      <x:c r="L157" s="115"/>
      <x:c r="M157" s="115"/>
      <x:c r="N157" s="115"/>
      <x:c r="O157" s="115"/>
      <x:c r="P157" s="115"/>
      <x:c r="Q157" s="115"/>
      <x:c r="R157" s="115"/>
      <x:c r="S157" s="115"/>
      <x:c r="T157" s="115"/>
      <x:c r="U157" s="115"/>
      <x:c r="V157" s="115"/>
      <x:c r="W157" s="115"/>
      <x:c r="X157" s="115"/>
      <x:c r="Y157" s="115"/>
      <x:c r="Z157" s="115"/>
      <x:c r="AA157" s="115"/>
      <x:c r="AB157" s="115"/>
      <x:c r="AC157" s="115"/>
      <x:c r="AD157" s="115"/>
      <x:c r="AE157" s="115"/>
      <x:c r="AF157" s="115"/>
      <x:c r="AG157" s="115"/>
      <x:c r="AH157" s="115"/>
      <x:c r="AI157" s="115"/>
      <x:c r="AJ157" s="115"/>
      <x:c r="AK157" s="115"/>
      <x:c r="AL157" s="115"/>
      <x:c r="AM157" s="115"/>
      <x:c r="AN157" s="115"/>
      <x:c r="AO157" s="115"/>
      <x:c r="AP157" s="115"/>
      <x:c r="AQ157" s="115"/>
      <x:c r="AR157" s="115"/>
      <x:c r="AS157" s="115"/>
      <x:c r="AT157" s="115"/>
      <x:c r="AU157" s="115"/>
      <x:c r="AV157" s="115"/>
      <x:c r="AW157" s="115"/>
      <x:c r="AX157" s="115"/>
      <x:c r="AY157" s="115"/>
      <x:c r="AZ157" s="115"/>
      <x:c r="BA157" s="115"/>
      <x:c r="BB157" s="115"/>
      <x:c r="BC157" s="115"/>
      <x:c r="BD157" s="115"/>
      <x:c r="BE157" s="115"/>
      <x:c r="BF157" s="115"/>
      <x:c r="BG157" s="115"/>
      <x:c r="BH157" s="115"/>
      <x:c r="BI157" s="115"/>
      <x:c r="BJ157" s="115"/>
      <x:c r="BK157" s="115"/>
      <x:c r="BL157" s="115"/>
      <x:c r="BM157" s="115"/>
      <x:c r="BN157" s="115"/>
      <x:c r="BO157" s="115"/>
      <x:c r="BP157" s="115"/>
      <x:c r="BQ157" s="115"/>
      <x:c r="BR157" s="115"/>
      <x:c r="BS157" s="115"/>
      <x:c r="BT157" s="115"/>
      <x:c r="BU157" s="115"/>
      <x:c r="BV157" s="115"/>
      <x:c r="BW157" s="115"/>
      <x:c r="BX157" s="115"/>
      <x:c r="BY157" s="115"/>
      <x:c r="BZ157" s="115"/>
      <x:c r="CA157" s="115"/>
      <x:c r="CB157" s="116"/>
      <x:c r="CC157" s="141" t="str">
        <x:f>IF(COUNT(G157:P157)=0,"",AVERAGE(G157:P157)*4)</x:f>
      </x:c>
      <x:c r="CD157" s="178" t="str">
        <x:f>IF(COUNT(Q157:Z157)=0,"",AVERAGE(Q157:Z157)*4)</x:f>
      </x:c>
      <x:c r="CE157" s="178" t="str">
        <x:f>IF(COUNT(AA157:AJ157)=0,"",AVERAGE(AA157:AJ157)*4)</x:f>
      </x:c>
      <x:c r="CF157" s="178" t="str">
        <x:f>IF(COUNT(AK157:AR157)=0,"",AVERAGE(AK157:AR157)*4)</x:f>
      </x:c>
      <x:c r="CG157" s="178" t="str">
        <x:f>IF(COUNT(AS157:AY157)=0,"",AVERAGE(AS157:AY157)*4)</x:f>
      </x:c>
      <x:c r="CH157" s="178" t="str">
        <x:f>IF(COUNT(AZ157:BG157)=0,"",AVERAGE(AZ157:BG157)*4)</x:f>
      </x:c>
      <x:c r="CI157" s="178" t="str">
        <x:f>IF(COUNT(BH157:BN157)=0,"",AVERAGE(BH157:BN157)*4)</x:f>
      </x:c>
      <x:c r="CJ157" s="178" t="str">
        <x:f>IF(COUNT(BO157:BU157)=0,"",AVERAGE(BO157:BU157)*4)</x:f>
      </x:c>
      <x:c r="CK157" s="178" t="str">
        <x:f>IF(COUNT(BV157:CB157)=0,"",AVERAGE(BV157:CB157)*4)</x:f>
      </x:c>
      <x:c r="CL157" s="178" t="str">
        <x:f>IF(C157="","",IF(COUNT(G157:CB157)&lt;74,"",(CC157*'تنظیمات وزن‌دهی'!$C$5+CD157*'تنظیمات وزن‌دهی'!$C$6+CE157*'تنظیمات وزن‌دهی'!$C$7+CF157*'تنظیمات وزن‌دهی'!$C$8+CG157*'تنظیمات وزن‌دهی'!$C$9+CH157*'تنظیمات وزن‌دهی'!$C$10+CI157*'تنظیمات وزن‌دهی'!$C$11+CJ157*'تنظیمات وزن‌دهی'!$C$12+CK157*'تنظیمات وزن‌دهی'!$C$13)/100))</x:f>
      </x:c>
      <x:c r="CM157" s="178" t="str">
        <x:f>IF(C157="","",IF(COUNT(G157:CB157)=0,"",IF(COUNT(G157:CB157)&lt;74,"موقت - اطلاعات ناقص",IF(CL157&gt;=17,"عالی",IF(CL157&gt;=14,"خوب",IF(CL157&gt;=10,"متوسط","ضعیف"))))))</x:f>
      </x:c>
      <x:c r="CN157" s="178" t="n">
        <x:v>9</x:v>
      </x:c>
      <x:c r="CO157" s="142" t="n">
        <x:f>IF(C157="","",COUNT(G157:CB157)/74)</x:f>
        <x:v>0</x:v>
      </x:c>
      <x:c r="CP157" s="245"/>
    </x:row>
    <x:row r="158">
      <x:c r="A158" s="165" t="n">
        <x:v>154</x:v>
      </x:c>
      <x:c r="B158" s="233" t="str">
        <x:v>فروردین</x:v>
      </x:c>
      <x:c r="C158" s="233" t="n">
        <x:f>IF('دانش‌آموزان'!E17="","",'دانش‌آموزان'!B17)</x:f>
        <x:v>13</x:v>
      </x:c>
      <x:c r="D158" s="233" t="str">
        <x:f>IF('دانش‌آموزان'!C17="","",'دانش‌آموزان'!C17)</x:f>
        <x:v>4000000136</x:v>
      </x:c>
      <x:c r="E158" s="233" t="str">
        <x:f>IF('دانش‌آموزان'!E17="","",'دانش‌آموزان'!E17&amp;" "&amp;'دانش‌آموزان'!F17)</x:f>
        <x:v>طاها رضایی</x:v>
      </x:c>
      <x:c r="F158" s="166" t="str">
        <x:f>IF('دانش‌آموزان'!I17="","",'دانش‌آموزان'!I17)</x:f>
        <x:v>sample-7-a</x:v>
      </x:c>
      <x:c r="G158" s="114"/>
      <x:c r="H158" s="115"/>
      <x:c r="I158" s="115"/>
      <x:c r="J158" s="115"/>
      <x:c r="K158" s="115"/>
      <x:c r="L158" s="115"/>
      <x:c r="M158" s="115"/>
      <x:c r="N158" s="115"/>
      <x:c r="O158" s="115"/>
      <x:c r="P158" s="115"/>
      <x:c r="Q158" s="115"/>
      <x:c r="R158" s="115"/>
      <x:c r="S158" s="115"/>
      <x:c r="T158" s="115"/>
      <x:c r="U158" s="115"/>
      <x:c r="V158" s="115"/>
      <x:c r="W158" s="115"/>
      <x:c r="X158" s="115"/>
      <x:c r="Y158" s="115"/>
      <x:c r="Z158" s="115"/>
      <x:c r="AA158" s="115"/>
      <x:c r="AB158" s="115"/>
      <x:c r="AC158" s="115"/>
      <x:c r="AD158" s="115"/>
      <x:c r="AE158" s="115"/>
      <x:c r="AF158" s="115"/>
      <x:c r="AG158" s="115"/>
      <x:c r="AH158" s="115"/>
      <x:c r="AI158" s="115"/>
      <x:c r="AJ158" s="115"/>
      <x:c r="AK158" s="115"/>
      <x:c r="AL158" s="115"/>
      <x:c r="AM158" s="115"/>
      <x:c r="AN158" s="115"/>
      <x:c r="AO158" s="115"/>
      <x:c r="AP158" s="115"/>
      <x:c r="AQ158" s="115"/>
      <x:c r="AR158" s="115"/>
      <x:c r="AS158" s="115"/>
      <x:c r="AT158" s="115"/>
      <x:c r="AU158" s="115"/>
      <x:c r="AV158" s="115"/>
      <x:c r="AW158" s="115"/>
      <x:c r="AX158" s="115"/>
      <x:c r="AY158" s="115"/>
      <x:c r="AZ158" s="115"/>
      <x:c r="BA158" s="115"/>
      <x:c r="BB158" s="115"/>
      <x:c r="BC158" s="115"/>
      <x:c r="BD158" s="115"/>
      <x:c r="BE158" s="115"/>
      <x:c r="BF158" s="115"/>
      <x:c r="BG158" s="115"/>
      <x:c r="BH158" s="115"/>
      <x:c r="BI158" s="115"/>
      <x:c r="BJ158" s="115"/>
      <x:c r="BK158" s="115"/>
      <x:c r="BL158" s="115"/>
      <x:c r="BM158" s="115"/>
      <x:c r="BN158" s="115"/>
      <x:c r="BO158" s="115"/>
      <x:c r="BP158" s="115"/>
      <x:c r="BQ158" s="115"/>
      <x:c r="BR158" s="115"/>
      <x:c r="BS158" s="115"/>
      <x:c r="BT158" s="115"/>
      <x:c r="BU158" s="115"/>
      <x:c r="BV158" s="115"/>
      <x:c r="BW158" s="115"/>
      <x:c r="BX158" s="115"/>
      <x:c r="BY158" s="115"/>
      <x:c r="BZ158" s="115"/>
      <x:c r="CA158" s="115"/>
      <x:c r="CB158" s="116"/>
      <x:c r="CC158" s="141" t="str">
        <x:f>IF(COUNT(G158:P158)=0,"",AVERAGE(G158:P158)*4)</x:f>
      </x:c>
      <x:c r="CD158" s="178" t="str">
        <x:f>IF(COUNT(Q158:Z158)=0,"",AVERAGE(Q158:Z158)*4)</x:f>
      </x:c>
      <x:c r="CE158" s="178" t="str">
        <x:f>IF(COUNT(AA158:AJ158)=0,"",AVERAGE(AA158:AJ158)*4)</x:f>
      </x:c>
      <x:c r="CF158" s="178" t="str">
        <x:f>IF(COUNT(AK158:AR158)=0,"",AVERAGE(AK158:AR158)*4)</x:f>
      </x:c>
      <x:c r="CG158" s="178" t="str">
        <x:f>IF(COUNT(AS158:AY158)=0,"",AVERAGE(AS158:AY158)*4)</x:f>
      </x:c>
      <x:c r="CH158" s="178" t="str">
        <x:f>IF(COUNT(AZ158:BG158)=0,"",AVERAGE(AZ158:BG158)*4)</x:f>
      </x:c>
      <x:c r="CI158" s="178" t="str">
        <x:f>IF(COUNT(BH158:BN158)=0,"",AVERAGE(BH158:BN158)*4)</x:f>
      </x:c>
      <x:c r="CJ158" s="178" t="str">
        <x:f>IF(COUNT(BO158:BU158)=0,"",AVERAGE(BO158:BU158)*4)</x:f>
      </x:c>
      <x:c r="CK158" s="178" t="str">
        <x:f>IF(COUNT(BV158:CB158)=0,"",AVERAGE(BV158:CB158)*4)</x:f>
      </x:c>
      <x:c r="CL158" s="178" t="str">
        <x:f>IF(C158="","",IF(COUNT(G158:CB158)&lt;74,"",(CC158*'تنظیمات وزن‌دهی'!$C$5+CD158*'تنظیمات وزن‌دهی'!$C$6+CE158*'تنظیمات وزن‌دهی'!$C$7+CF158*'تنظیمات وزن‌دهی'!$C$8+CG158*'تنظیمات وزن‌دهی'!$C$9+CH158*'تنظیمات وزن‌دهی'!$C$10+CI158*'تنظیمات وزن‌دهی'!$C$11+CJ158*'تنظیمات وزن‌دهی'!$C$12+CK158*'تنظیمات وزن‌دهی'!$C$13)/100))</x:f>
      </x:c>
      <x:c r="CM158" s="178" t="str">
        <x:f>IF(C158="","",IF(COUNT(G158:CB158)=0,"",IF(COUNT(G158:CB158)&lt;74,"موقت - اطلاعات ناقص",IF(CL158&gt;=17,"عالی",IF(CL158&gt;=14,"خوب",IF(CL158&gt;=10,"متوسط","ضعیف"))))))</x:f>
      </x:c>
      <x:c r="CN158" s="178" t="n">
        <x:v>10</x:v>
      </x:c>
      <x:c r="CO158" s="142" t="n">
        <x:f>IF(C158="","",COUNT(G158:CB158)/74)</x:f>
        <x:v>0</x:v>
      </x:c>
      <x:c r="CP158" s="245"/>
    </x:row>
    <x:row r="159">
      <x:c r="A159" s="165" t="n">
        <x:v>155</x:v>
      </x:c>
      <x:c r="B159" s="233" t="str">
        <x:v>اردیبهشت</x:v>
      </x:c>
      <x:c r="C159" s="233" t="n">
        <x:f>IF('دانش‌آموزان'!E17="","",'دانش‌آموزان'!B17)</x:f>
        <x:v>13</x:v>
      </x:c>
      <x:c r="D159" s="233" t="str">
        <x:f>IF('دانش‌آموزان'!C17="","",'دانش‌آموزان'!C17)</x:f>
        <x:v>4000000136</x:v>
      </x:c>
      <x:c r="E159" s="233" t="str">
        <x:f>IF('دانش‌آموزان'!E17="","",'دانش‌آموزان'!E17&amp;" "&amp;'دانش‌آموزان'!F17)</x:f>
        <x:v>طاها رضایی</x:v>
      </x:c>
      <x:c r="F159" s="166" t="str">
        <x:f>IF('دانش‌آموزان'!I17="","",'دانش‌آموزان'!I17)</x:f>
        <x:v>sample-7-a</x:v>
      </x:c>
      <x:c r="G159" s="114"/>
      <x:c r="H159" s="115"/>
      <x:c r="I159" s="115"/>
      <x:c r="J159" s="115"/>
      <x:c r="K159" s="115"/>
      <x:c r="L159" s="115"/>
      <x:c r="M159" s="115"/>
      <x:c r="N159" s="115"/>
      <x:c r="O159" s="115"/>
      <x:c r="P159" s="115"/>
      <x:c r="Q159" s="115"/>
      <x:c r="R159" s="115"/>
      <x:c r="S159" s="115"/>
      <x:c r="T159" s="115"/>
      <x:c r="U159" s="115"/>
      <x:c r="V159" s="115"/>
      <x:c r="W159" s="115"/>
      <x:c r="X159" s="115"/>
      <x:c r="Y159" s="115"/>
      <x:c r="Z159" s="115"/>
      <x:c r="AA159" s="115"/>
      <x:c r="AB159" s="115"/>
      <x:c r="AC159" s="115"/>
      <x:c r="AD159" s="115"/>
      <x:c r="AE159" s="115"/>
      <x:c r="AF159" s="115"/>
      <x:c r="AG159" s="115"/>
      <x:c r="AH159" s="115"/>
      <x:c r="AI159" s="115"/>
      <x:c r="AJ159" s="115"/>
      <x:c r="AK159" s="115"/>
      <x:c r="AL159" s="115"/>
      <x:c r="AM159" s="115"/>
      <x:c r="AN159" s="115"/>
      <x:c r="AO159" s="115"/>
      <x:c r="AP159" s="115"/>
      <x:c r="AQ159" s="115"/>
      <x:c r="AR159" s="115"/>
      <x:c r="AS159" s="115"/>
      <x:c r="AT159" s="115"/>
      <x:c r="AU159" s="115"/>
      <x:c r="AV159" s="115"/>
      <x:c r="AW159" s="115"/>
      <x:c r="AX159" s="115"/>
      <x:c r="AY159" s="115"/>
      <x:c r="AZ159" s="115"/>
      <x:c r="BA159" s="115"/>
      <x:c r="BB159" s="115"/>
      <x:c r="BC159" s="115"/>
      <x:c r="BD159" s="115"/>
      <x:c r="BE159" s="115"/>
      <x:c r="BF159" s="115"/>
      <x:c r="BG159" s="115"/>
      <x:c r="BH159" s="115"/>
      <x:c r="BI159" s="115"/>
      <x:c r="BJ159" s="115"/>
      <x:c r="BK159" s="115"/>
      <x:c r="BL159" s="115"/>
      <x:c r="BM159" s="115"/>
      <x:c r="BN159" s="115"/>
      <x:c r="BO159" s="115"/>
      <x:c r="BP159" s="115"/>
      <x:c r="BQ159" s="115"/>
      <x:c r="BR159" s="115"/>
      <x:c r="BS159" s="115"/>
      <x:c r="BT159" s="115"/>
      <x:c r="BU159" s="115"/>
      <x:c r="BV159" s="115"/>
      <x:c r="BW159" s="115"/>
      <x:c r="BX159" s="115"/>
      <x:c r="BY159" s="115"/>
      <x:c r="BZ159" s="115"/>
      <x:c r="CA159" s="115"/>
      <x:c r="CB159" s="116"/>
      <x:c r="CC159" s="141" t="str">
        <x:f>IF(COUNT(G159:P159)=0,"",AVERAGE(G159:P159)*4)</x:f>
      </x:c>
      <x:c r="CD159" s="178" t="str">
        <x:f>IF(COUNT(Q159:Z159)=0,"",AVERAGE(Q159:Z159)*4)</x:f>
      </x:c>
      <x:c r="CE159" s="178" t="str">
        <x:f>IF(COUNT(AA159:AJ159)=0,"",AVERAGE(AA159:AJ159)*4)</x:f>
      </x:c>
      <x:c r="CF159" s="178" t="str">
        <x:f>IF(COUNT(AK159:AR159)=0,"",AVERAGE(AK159:AR159)*4)</x:f>
      </x:c>
      <x:c r="CG159" s="178" t="str">
        <x:f>IF(COUNT(AS159:AY159)=0,"",AVERAGE(AS159:AY159)*4)</x:f>
      </x:c>
      <x:c r="CH159" s="178" t="str">
        <x:f>IF(COUNT(AZ159:BG159)=0,"",AVERAGE(AZ159:BG159)*4)</x:f>
      </x:c>
      <x:c r="CI159" s="178" t="str">
        <x:f>IF(COUNT(BH159:BN159)=0,"",AVERAGE(BH159:BN159)*4)</x:f>
      </x:c>
      <x:c r="CJ159" s="178" t="str">
        <x:f>IF(COUNT(BO159:BU159)=0,"",AVERAGE(BO159:BU159)*4)</x:f>
      </x:c>
      <x:c r="CK159" s="178" t="str">
        <x:f>IF(COUNT(BV159:CB159)=0,"",AVERAGE(BV159:CB159)*4)</x:f>
      </x:c>
      <x:c r="CL159" s="178" t="str">
        <x:f>IF(C159="","",IF(COUNT(G159:CB159)&lt;74,"",(CC159*'تنظیمات وزن‌دهی'!$C$5+CD159*'تنظیمات وزن‌دهی'!$C$6+CE159*'تنظیمات وزن‌دهی'!$C$7+CF159*'تنظیمات وزن‌دهی'!$C$8+CG159*'تنظیمات وزن‌دهی'!$C$9+CH159*'تنظیمات وزن‌دهی'!$C$10+CI159*'تنظیمات وزن‌دهی'!$C$11+CJ159*'تنظیمات وزن‌دهی'!$C$12+CK159*'تنظیمات وزن‌دهی'!$C$13)/100))</x:f>
      </x:c>
      <x:c r="CM159" s="178" t="str">
        <x:f>IF(C159="","",IF(COUNT(G159:CB159)=0,"",IF(COUNT(G159:CB159)&lt;74,"موقت - اطلاعات ناقص",IF(CL159&gt;=17,"عالی",IF(CL159&gt;=14,"خوب",IF(CL159&gt;=10,"متوسط","ضعیف"))))))</x:f>
      </x:c>
      <x:c r="CN159" s="178" t="n">
        <x:v>11</x:v>
      </x:c>
      <x:c r="CO159" s="142" t="n">
        <x:f>IF(C159="","",COUNT(G159:CB159)/74)</x:f>
        <x:v>0</x:v>
      </x:c>
      <x:c r="CP159" s="245"/>
    </x:row>
    <x:row r="160">
      <x:c r="A160" s="165" t="n">
        <x:v>156</x:v>
      </x:c>
      <x:c r="B160" s="233" t="str">
        <x:v>خرداد</x:v>
      </x:c>
      <x:c r="C160" s="233" t="n">
        <x:f>IF('دانش‌آموزان'!E17="","",'دانش‌آموزان'!B17)</x:f>
        <x:v>13</x:v>
      </x:c>
      <x:c r="D160" s="233" t="str">
        <x:f>IF('دانش‌آموزان'!C17="","",'دانش‌آموزان'!C17)</x:f>
        <x:v>4000000136</x:v>
      </x:c>
      <x:c r="E160" s="233" t="str">
        <x:f>IF('دانش‌آموزان'!E17="","",'دانش‌آموزان'!E17&amp;" "&amp;'دانش‌آموزان'!F17)</x:f>
        <x:v>طاها رضایی</x:v>
      </x:c>
      <x:c r="F160" s="166" t="str">
        <x:f>IF('دانش‌آموزان'!I17="","",'دانش‌آموزان'!I17)</x:f>
        <x:v>sample-7-a</x:v>
      </x:c>
      <x:c r="G160" s="114"/>
      <x:c r="H160" s="115"/>
      <x:c r="I160" s="115"/>
      <x:c r="J160" s="115"/>
      <x:c r="K160" s="115"/>
      <x:c r="L160" s="115"/>
      <x:c r="M160" s="115"/>
      <x:c r="N160" s="115"/>
      <x:c r="O160" s="115"/>
      <x:c r="P160" s="115"/>
      <x:c r="Q160" s="115"/>
      <x:c r="R160" s="115"/>
      <x:c r="S160" s="115"/>
      <x:c r="T160" s="115"/>
      <x:c r="U160" s="115"/>
      <x:c r="V160" s="115"/>
      <x:c r="W160" s="115"/>
      <x:c r="X160" s="115"/>
      <x:c r="Y160" s="115"/>
      <x:c r="Z160" s="115"/>
      <x:c r="AA160" s="115"/>
      <x:c r="AB160" s="115"/>
      <x:c r="AC160" s="115"/>
      <x:c r="AD160" s="115"/>
      <x:c r="AE160" s="115"/>
      <x:c r="AF160" s="115"/>
      <x:c r="AG160" s="115"/>
      <x:c r="AH160" s="115"/>
      <x:c r="AI160" s="115"/>
      <x:c r="AJ160" s="115"/>
      <x:c r="AK160" s="115"/>
      <x:c r="AL160" s="115"/>
      <x:c r="AM160" s="115"/>
      <x:c r="AN160" s="115"/>
      <x:c r="AO160" s="115"/>
      <x:c r="AP160" s="115"/>
      <x:c r="AQ160" s="115"/>
      <x:c r="AR160" s="115"/>
      <x:c r="AS160" s="115"/>
      <x:c r="AT160" s="115"/>
      <x:c r="AU160" s="115"/>
      <x:c r="AV160" s="115"/>
      <x:c r="AW160" s="115"/>
      <x:c r="AX160" s="115"/>
      <x:c r="AY160" s="115"/>
      <x:c r="AZ160" s="115"/>
      <x:c r="BA160" s="115"/>
      <x:c r="BB160" s="115"/>
      <x:c r="BC160" s="115"/>
      <x:c r="BD160" s="115"/>
      <x:c r="BE160" s="115"/>
      <x:c r="BF160" s="115"/>
      <x:c r="BG160" s="115"/>
      <x:c r="BH160" s="115"/>
      <x:c r="BI160" s="115"/>
      <x:c r="BJ160" s="115"/>
      <x:c r="BK160" s="115"/>
      <x:c r="BL160" s="115"/>
      <x:c r="BM160" s="115"/>
      <x:c r="BN160" s="115"/>
      <x:c r="BO160" s="115"/>
      <x:c r="BP160" s="115"/>
      <x:c r="BQ160" s="115"/>
      <x:c r="BR160" s="115"/>
      <x:c r="BS160" s="115"/>
      <x:c r="BT160" s="115"/>
      <x:c r="BU160" s="115"/>
      <x:c r="BV160" s="115"/>
      <x:c r="BW160" s="115"/>
      <x:c r="BX160" s="115"/>
      <x:c r="BY160" s="115"/>
      <x:c r="BZ160" s="115"/>
      <x:c r="CA160" s="115"/>
      <x:c r="CB160" s="116"/>
      <x:c r="CC160" s="141" t="str">
        <x:f>IF(COUNT(G160:P160)=0,"",AVERAGE(G160:P160)*4)</x:f>
      </x:c>
      <x:c r="CD160" s="178" t="str">
        <x:f>IF(COUNT(Q160:Z160)=0,"",AVERAGE(Q160:Z160)*4)</x:f>
      </x:c>
      <x:c r="CE160" s="178" t="str">
        <x:f>IF(COUNT(AA160:AJ160)=0,"",AVERAGE(AA160:AJ160)*4)</x:f>
      </x:c>
      <x:c r="CF160" s="178" t="str">
        <x:f>IF(COUNT(AK160:AR160)=0,"",AVERAGE(AK160:AR160)*4)</x:f>
      </x:c>
      <x:c r="CG160" s="178" t="str">
        <x:f>IF(COUNT(AS160:AY160)=0,"",AVERAGE(AS160:AY160)*4)</x:f>
      </x:c>
      <x:c r="CH160" s="178" t="str">
        <x:f>IF(COUNT(AZ160:BG160)=0,"",AVERAGE(AZ160:BG160)*4)</x:f>
      </x:c>
      <x:c r="CI160" s="178" t="str">
        <x:f>IF(COUNT(BH160:BN160)=0,"",AVERAGE(BH160:BN160)*4)</x:f>
      </x:c>
      <x:c r="CJ160" s="178" t="str">
        <x:f>IF(COUNT(BO160:BU160)=0,"",AVERAGE(BO160:BU160)*4)</x:f>
      </x:c>
      <x:c r="CK160" s="178" t="str">
        <x:f>IF(COUNT(BV160:CB160)=0,"",AVERAGE(BV160:CB160)*4)</x:f>
      </x:c>
      <x:c r="CL160" s="178" t="str">
        <x:f>IF(C160="","",IF(COUNT(G160:CB160)&lt;74,"",(CC160*'تنظیمات وزن‌دهی'!$C$5+CD160*'تنظیمات وزن‌دهی'!$C$6+CE160*'تنظیمات وزن‌دهی'!$C$7+CF160*'تنظیمات وزن‌دهی'!$C$8+CG160*'تنظیمات وزن‌دهی'!$C$9+CH160*'تنظیمات وزن‌دهی'!$C$10+CI160*'تنظیمات وزن‌دهی'!$C$11+CJ160*'تنظیمات وزن‌دهی'!$C$12+CK160*'تنظیمات وزن‌دهی'!$C$13)/100))</x:f>
      </x:c>
      <x:c r="CM160" s="178" t="str">
        <x:f>IF(C160="","",IF(COUNT(G160:CB160)=0,"",IF(COUNT(G160:CB160)&lt;74,"موقت - اطلاعات ناقص",IF(CL160&gt;=17,"عالی",IF(CL160&gt;=14,"خوب",IF(CL160&gt;=10,"متوسط","ضعیف"))))))</x:f>
      </x:c>
      <x:c r="CN160" s="178" t="n">
        <x:v>12</x:v>
      </x:c>
      <x:c r="CO160" s="142" t="n">
        <x:f>IF(C160="","",COUNT(G160:CB160)/74)</x:f>
        <x:v>0</x:v>
      </x:c>
      <x:c r="CP160" s="245"/>
    </x:row>
    <x:row r="161">
      <x:c r="A161" s="165" t="n">
        <x:v>157</x:v>
      </x:c>
      <x:c r="B161" s="233" t="str">
        <x:v>تیر</x:v>
      </x:c>
      <x:c r="C161" s="233" t="n">
        <x:f>IF('دانش‌آموزان'!E18="","",'دانش‌آموزان'!B18)</x:f>
        <x:v>14</x:v>
      </x:c>
      <x:c r="D161" s="233" t="str">
        <x:f>IF('دانش‌آموزان'!C18="","",'دانش‌آموزان'!C18)</x:f>
        <x:v>4000000144</x:v>
      </x:c>
      <x:c r="E161" s="233" t="str">
        <x:f>IF('دانش‌آموزان'!E18="","",'دانش‌آموزان'!E18&amp;" "&amp;'دانش‌آموزان'!F18)</x:f>
        <x:v>باران نوری</x:v>
      </x:c>
      <x:c r="F161" s="166" t="str">
        <x:f>IF('دانش‌آموزان'!I18="","",'دانش‌آموزان'!I18)</x:f>
        <x:v>sample-7-a</x:v>
      </x:c>
      <x:c r="G161" s="114" t="n">
        <x:v>4</x:v>
      </x:c>
      <x:c r="H161" s="115" t="n">
        <x:v>2</x:v>
      </x:c>
      <x:c r="I161" s="115" t="n">
        <x:v>4</x:v>
      </x:c>
      <x:c r="J161" s="115" t="n">
        <x:v>5</x:v>
      </x:c>
      <x:c r="K161" s="115" t="n">
        <x:v>4</x:v>
      </x:c>
      <x:c r="L161" s="115" t="n">
        <x:v>5</x:v>
      </x:c>
      <x:c r="M161" s="115" t="n">
        <x:v>3</x:v>
      </x:c>
      <x:c r="N161" s="115" t="n">
        <x:v>5</x:v>
      </x:c>
      <x:c r="O161" s="115" t="n">
        <x:v>3</x:v>
      </x:c>
      <x:c r="P161" s="115" t="n">
        <x:v>4</x:v>
      </x:c>
      <x:c r="Q161" s="115" t="n">
        <x:v>3</x:v>
      </x:c>
      <x:c r="R161" s="115" t="n">
        <x:v>4</x:v>
      </x:c>
      <x:c r="S161" s="115" t="n">
        <x:v>2</x:v>
      </x:c>
      <x:c r="T161" s="115" t="n">
        <x:v>4</x:v>
      </x:c>
      <x:c r="U161" s="115" t="n">
        <x:v>5</x:v>
      </x:c>
      <x:c r="V161" s="115" t="n">
        <x:v>4</x:v>
      </x:c>
      <x:c r="W161" s="115" t="n">
        <x:v>5</x:v>
      </x:c>
      <x:c r="X161" s="115" t="n">
        <x:v>3</x:v>
      </x:c>
      <x:c r="Y161" s="115" t="n">
        <x:v>5</x:v>
      </x:c>
      <x:c r="Z161" s="115" t="n">
        <x:v>3</x:v>
      </x:c>
      <x:c r="AA161" s="115" t="n">
        <x:v>4</x:v>
      </x:c>
      <x:c r="AB161" s="115" t="n">
        <x:v>3</x:v>
      </x:c>
      <x:c r="AC161" s="115" t="n">
        <x:v>4</x:v>
      </x:c>
      <x:c r="AD161" s="115" t="n">
        <x:v>2</x:v>
      </x:c>
      <x:c r="AE161" s="115" t="n">
        <x:v>4</x:v>
      </x:c>
      <x:c r="AF161" s="115" t="n">
        <x:v>5</x:v>
      </x:c>
      <x:c r="AG161" s="115" t="n">
        <x:v>4</x:v>
      </x:c>
      <x:c r="AH161" s="115" t="n">
        <x:v>5</x:v>
      </x:c>
      <x:c r="AI161" s="115" t="n">
        <x:v>3</x:v>
      </x:c>
      <x:c r="AJ161" s="115" t="n">
        <x:v>5</x:v>
      </x:c>
      <x:c r="AK161" s="115" t="n">
        <x:v>3</x:v>
      </x:c>
      <x:c r="AL161" s="115" t="n">
        <x:v>4</x:v>
      </x:c>
      <x:c r="AM161" s="115" t="n">
        <x:v>3</x:v>
      </x:c>
      <x:c r="AN161" s="115" t="n">
        <x:v>4</x:v>
      </x:c>
      <x:c r="AO161" s="115" t="n">
        <x:v>2</x:v>
      </x:c>
      <x:c r="AP161" s="115" t="n">
        <x:v>4</x:v>
      </x:c>
      <x:c r="AQ161" s="115" t="n">
        <x:v>5</x:v>
      </x:c>
      <x:c r="AR161" s="115" t="n">
        <x:v>4</x:v>
      </x:c>
      <x:c r="AS161" s="115" t="n">
        <x:v>5</x:v>
      </x:c>
      <x:c r="AT161" s="115" t="n">
        <x:v>3</x:v>
      </x:c>
      <x:c r="AU161" s="115" t="n">
        <x:v>5</x:v>
      </x:c>
      <x:c r="AV161" s="115" t="n">
        <x:v>3</x:v>
      </x:c>
      <x:c r="AW161" s="115" t="n">
        <x:v>4</x:v>
      </x:c>
      <x:c r="AX161" s="115" t="n">
        <x:v>3</x:v>
      </x:c>
      <x:c r="AY161" s="115" t="n">
        <x:v>4</x:v>
      </x:c>
      <x:c r="AZ161" s="115" t="n">
        <x:v>2</x:v>
      </x:c>
      <x:c r="BA161" s="115" t="n">
        <x:v>4</x:v>
      </x:c>
      <x:c r="BB161" s="115" t="n">
        <x:v>5</x:v>
      </x:c>
      <x:c r="BC161" s="115" t="n">
        <x:v>4</x:v>
      </x:c>
      <x:c r="BD161" s="115" t="n">
        <x:v>5</x:v>
      </x:c>
      <x:c r="BE161" s="115" t="n">
        <x:v>3</x:v>
      </x:c>
      <x:c r="BF161" s="115" t="n">
        <x:v>5</x:v>
      </x:c>
      <x:c r="BG161" s="115" t="n">
        <x:v>3</x:v>
      </x:c>
      <x:c r="BH161" s="115" t="n">
        <x:v>4</x:v>
      </x:c>
      <x:c r="BI161" s="115" t="n">
        <x:v>3</x:v>
      </x:c>
      <x:c r="BJ161" s="115" t="n">
        <x:v>4</x:v>
      </x:c>
      <x:c r="BK161" s="115" t="n">
        <x:v>2</x:v>
      </x:c>
      <x:c r="BL161" s="115" t="n">
        <x:v>4</x:v>
      </x:c>
      <x:c r="BM161" s="115" t="n">
        <x:v>5</x:v>
      </x:c>
      <x:c r="BN161" s="115" t="n">
        <x:v>4</x:v>
      </x:c>
      <x:c r="BO161" s="115" t="n">
        <x:v>5</x:v>
      </x:c>
      <x:c r="BP161" s="115" t="n">
        <x:v>3</x:v>
      </x:c>
      <x:c r="BQ161" s="115" t="n">
        <x:v>5</x:v>
      </x:c>
      <x:c r="BR161" s="115" t="n">
        <x:v>3</x:v>
      </x:c>
      <x:c r="BS161" s="115" t="n">
        <x:v>4</x:v>
      </x:c>
      <x:c r="BT161" s="115" t="n">
        <x:v>3</x:v>
      </x:c>
      <x:c r="BU161" s="115" t="n">
        <x:v>4</x:v>
      </x:c>
      <x:c r="BV161" s="115" t="n">
        <x:v>2</x:v>
      </x:c>
      <x:c r="BW161" s="115" t="n">
        <x:v>4</x:v>
      </x:c>
      <x:c r="BX161" s="115" t="n">
        <x:v>5</x:v>
      </x:c>
      <x:c r="BY161" s="115" t="n">
        <x:v>4</x:v>
      </x:c>
      <x:c r="BZ161" s="115" t="n">
        <x:v>5</x:v>
      </x:c>
      <x:c r="CA161" s="115" t="n">
        <x:v>3</x:v>
      </x:c>
      <x:c r="CB161" s="116" t="n">
        <x:v>5</x:v>
      </x:c>
      <x:c r="CC161" s="141" t="n">
        <x:f>IF(COUNT(G161:P161)=0,"",AVERAGE(G161:P161)*4)</x:f>
        <x:v>15.6</x:v>
      </x:c>
      <x:c r="CD161" s="178" t="n">
        <x:f>IF(COUNT(Q161:Z161)=0,"",AVERAGE(Q161:Z161)*4)</x:f>
        <x:v>15.2</x:v>
      </x:c>
      <x:c r="CE161" s="178" t="n">
        <x:f>IF(COUNT(AA161:AJ161)=0,"",AVERAGE(AA161:AJ161)*4)</x:f>
        <x:v>15.6</x:v>
      </x:c>
      <x:c r="CF161" s="178" t="n">
        <x:f>IF(COUNT(AK161:AR161)=0,"",AVERAGE(AK161:AR161)*4)</x:f>
        <x:v>14.5</x:v>
      </x:c>
      <x:c r="CG161" s="178" t="n">
        <x:f>IF(COUNT(AS161:AY161)=0,"",AVERAGE(AS161:AY161)*4)</x:f>
        <x:v>15.428571428571429</x:v>
      </x:c>
      <x:c r="CH161" s="178" t="n">
        <x:f>IF(COUNT(AZ161:BG161)=0,"",AVERAGE(AZ161:BG161)*4)</x:f>
        <x:v>15.5</x:v>
      </x:c>
      <x:c r="CI161" s="178" t="n">
        <x:f>IF(COUNT(BH161:BN161)=0,"",AVERAGE(BH161:BN161)*4)</x:f>
        <x:v>14.857142857142858</x:v>
      </x:c>
      <x:c r="CJ161" s="178" t="n">
        <x:f>IF(COUNT(BO161:BU161)=0,"",AVERAGE(BO161:BU161)*4)</x:f>
        <x:v>15.428571428571429</x:v>
      </x:c>
      <x:c r="CK161" s="178" t="n">
        <x:f>IF(COUNT(BV161:CB161)=0,"",AVERAGE(BV161:CB161)*4)</x:f>
        <x:v>16</x:v>
      </x:c>
      <x:c r="CL161" s="178" t="n">
        <x:f>IF(C161="","",IF(COUNT(G161:CB161)&lt;74,"",(CC161*'تنظیمات وزن‌دهی'!$C$5+CD161*'تنظیمات وزن‌دهی'!$C$6+CE161*'تنظیمات وزن‌دهی'!$C$7+CF161*'تنظیمات وزن‌دهی'!$C$8+CG161*'تنظیمات وزن‌دهی'!$C$9+CH161*'تنظیمات وزن‌دهی'!$C$10+CI161*'تنظیمات وزن‌دهی'!$C$11+CJ161*'تنظیمات وزن‌دهی'!$C$12+CK161*'تنظیمات وزن‌دهی'!$C$13)/100))</x:f>
        <x:v>15.320714285714287</x:v>
      </x:c>
      <x:c r="CM161" s="178" t="str">
        <x:f>IF(C161="","",IF(COUNT(G161:CB161)=0,"",IF(COUNT(G161:CB161)&lt;74,"موقت - اطلاعات ناقص",IF(CL161&gt;=17,"عالی",IF(CL161&gt;=14,"خوب",IF(CL161&gt;=10,"متوسط","ضعیف"))))))</x:f>
        <x:v>خوب</x:v>
      </x:c>
      <x:c r="CN161" s="178" t="n">
        <x:v>1</x:v>
      </x:c>
      <x:c r="CO161" s="142" t="n">
        <x:f>IF(C161="","",COUNT(G161:CB161)/74)</x:f>
        <x:v>1</x:v>
      </x:c>
      <x:c r="CP161" s="245" t="str">
        <x:v>داده نمونه کامل برای ماه تیر - دانش‌آموز شماره 14</x:v>
      </x:c>
    </x:row>
    <x:row r="162">
      <x:c r="A162" s="165" t="n">
        <x:v>158</x:v>
      </x:c>
      <x:c r="B162" s="233" t="str">
        <x:v>مرداد</x:v>
      </x:c>
      <x:c r="C162" s="233" t="n">
        <x:f>IF('دانش‌آموزان'!E18="","",'دانش‌آموزان'!B18)</x:f>
        <x:v>14</x:v>
      </x:c>
      <x:c r="D162" s="233" t="str">
        <x:f>IF('دانش‌آموزان'!C18="","",'دانش‌آموزان'!C18)</x:f>
        <x:v>4000000144</x:v>
      </x:c>
      <x:c r="E162" s="233" t="str">
        <x:f>IF('دانش‌آموزان'!E18="","",'دانش‌آموزان'!E18&amp;" "&amp;'دانش‌آموزان'!F18)</x:f>
        <x:v>باران نوری</x:v>
      </x:c>
      <x:c r="F162" s="166" t="str">
        <x:f>IF('دانش‌آموزان'!I18="","",'دانش‌آموزان'!I18)</x:f>
        <x:v>sample-7-a</x:v>
      </x:c>
      <x:c r="G162" s="114"/>
      <x:c r="H162" s="115"/>
      <x:c r="I162" s="115"/>
      <x:c r="J162" s="115"/>
      <x:c r="K162" s="115"/>
      <x:c r="L162" s="115"/>
      <x:c r="M162" s="115"/>
      <x:c r="N162" s="115"/>
      <x:c r="O162" s="115"/>
      <x:c r="P162" s="115"/>
      <x:c r="Q162" s="115"/>
      <x:c r="R162" s="115"/>
      <x:c r="S162" s="115"/>
      <x:c r="T162" s="115"/>
      <x:c r="U162" s="115"/>
      <x:c r="V162" s="115"/>
      <x:c r="W162" s="115"/>
      <x:c r="X162" s="115"/>
      <x:c r="Y162" s="115"/>
      <x:c r="Z162" s="115"/>
      <x:c r="AA162" s="115"/>
      <x:c r="AB162" s="115"/>
      <x:c r="AC162" s="115"/>
      <x:c r="AD162" s="115"/>
      <x:c r="AE162" s="115"/>
      <x:c r="AF162" s="115"/>
      <x:c r="AG162" s="115"/>
      <x:c r="AH162" s="115"/>
      <x:c r="AI162" s="115"/>
      <x:c r="AJ162" s="115"/>
      <x:c r="AK162" s="115"/>
      <x:c r="AL162" s="115"/>
      <x:c r="AM162" s="115"/>
      <x:c r="AN162" s="115"/>
      <x:c r="AO162" s="115"/>
      <x:c r="AP162" s="115"/>
      <x:c r="AQ162" s="115"/>
      <x:c r="AR162" s="115"/>
      <x:c r="AS162" s="115"/>
      <x:c r="AT162" s="115"/>
      <x:c r="AU162" s="115"/>
      <x:c r="AV162" s="115"/>
      <x:c r="AW162" s="115"/>
      <x:c r="AX162" s="115"/>
      <x:c r="AY162" s="115"/>
      <x:c r="AZ162" s="115"/>
      <x:c r="BA162" s="115"/>
      <x:c r="BB162" s="115"/>
      <x:c r="BC162" s="115"/>
      <x:c r="BD162" s="115"/>
      <x:c r="BE162" s="115"/>
      <x:c r="BF162" s="115"/>
      <x:c r="BG162" s="115"/>
      <x:c r="BH162" s="115"/>
      <x:c r="BI162" s="115"/>
      <x:c r="BJ162" s="115"/>
      <x:c r="BK162" s="115"/>
      <x:c r="BL162" s="115"/>
      <x:c r="BM162" s="115"/>
      <x:c r="BN162" s="115"/>
      <x:c r="BO162" s="115"/>
      <x:c r="BP162" s="115"/>
      <x:c r="BQ162" s="115"/>
      <x:c r="BR162" s="115"/>
      <x:c r="BS162" s="115"/>
      <x:c r="BT162" s="115"/>
      <x:c r="BU162" s="115"/>
      <x:c r="BV162" s="115"/>
      <x:c r="BW162" s="115"/>
      <x:c r="BX162" s="115"/>
      <x:c r="BY162" s="115"/>
      <x:c r="BZ162" s="115"/>
      <x:c r="CA162" s="115"/>
      <x:c r="CB162" s="116"/>
      <x:c r="CC162" s="141" t="str">
        <x:f>IF(COUNT(G162:P162)=0,"",AVERAGE(G162:P162)*4)</x:f>
      </x:c>
      <x:c r="CD162" s="178" t="str">
        <x:f>IF(COUNT(Q162:Z162)=0,"",AVERAGE(Q162:Z162)*4)</x:f>
      </x:c>
      <x:c r="CE162" s="178" t="str">
        <x:f>IF(COUNT(AA162:AJ162)=0,"",AVERAGE(AA162:AJ162)*4)</x:f>
      </x:c>
      <x:c r="CF162" s="178" t="str">
        <x:f>IF(COUNT(AK162:AR162)=0,"",AVERAGE(AK162:AR162)*4)</x:f>
      </x:c>
      <x:c r="CG162" s="178" t="str">
        <x:f>IF(COUNT(AS162:AY162)=0,"",AVERAGE(AS162:AY162)*4)</x:f>
      </x:c>
      <x:c r="CH162" s="178" t="str">
        <x:f>IF(COUNT(AZ162:BG162)=0,"",AVERAGE(AZ162:BG162)*4)</x:f>
      </x:c>
      <x:c r="CI162" s="178" t="str">
        <x:f>IF(COUNT(BH162:BN162)=0,"",AVERAGE(BH162:BN162)*4)</x:f>
      </x:c>
      <x:c r="CJ162" s="178" t="str">
        <x:f>IF(COUNT(BO162:BU162)=0,"",AVERAGE(BO162:BU162)*4)</x:f>
      </x:c>
      <x:c r="CK162" s="178" t="str">
        <x:f>IF(COUNT(BV162:CB162)=0,"",AVERAGE(BV162:CB162)*4)</x:f>
      </x:c>
      <x:c r="CL162" s="178" t="str">
        <x:f>IF(C162="","",IF(COUNT(G162:CB162)&lt;74,"",(CC162*'تنظیمات وزن‌دهی'!$C$5+CD162*'تنظیمات وزن‌دهی'!$C$6+CE162*'تنظیمات وزن‌دهی'!$C$7+CF162*'تنظیمات وزن‌دهی'!$C$8+CG162*'تنظیمات وزن‌دهی'!$C$9+CH162*'تنظیمات وزن‌دهی'!$C$10+CI162*'تنظیمات وزن‌دهی'!$C$11+CJ162*'تنظیمات وزن‌دهی'!$C$12+CK162*'تنظیمات وزن‌دهی'!$C$13)/100))</x:f>
      </x:c>
      <x:c r="CM162" s="178" t="str">
        <x:f>IF(C162="","",IF(COUNT(G162:CB162)=0,"",IF(COUNT(G162:CB162)&lt;74,"موقت - اطلاعات ناقص",IF(CL162&gt;=17,"عالی",IF(CL162&gt;=14,"خوب",IF(CL162&gt;=10,"متوسط","ضعیف"))))))</x:f>
      </x:c>
      <x:c r="CN162" s="178" t="n">
        <x:v>2</x:v>
      </x:c>
      <x:c r="CO162" s="142" t="n">
        <x:f>IF(C162="","",COUNT(G162:CB162)/74)</x:f>
        <x:v>0</x:v>
      </x:c>
      <x:c r="CP162" s="245"/>
    </x:row>
    <x:row r="163">
      <x:c r="A163" s="165" t="n">
        <x:v>159</x:v>
      </x:c>
      <x:c r="B163" s="233" t="str">
        <x:v>شهریور</x:v>
      </x:c>
      <x:c r="C163" s="233" t="n">
        <x:f>IF('دانش‌آموزان'!E18="","",'دانش‌آموزان'!B18)</x:f>
        <x:v>14</x:v>
      </x:c>
      <x:c r="D163" s="233" t="str">
        <x:f>IF('دانش‌آموزان'!C18="","",'دانش‌آموزان'!C18)</x:f>
        <x:v>4000000144</x:v>
      </x:c>
      <x:c r="E163" s="233" t="str">
        <x:f>IF('دانش‌آموزان'!E18="","",'دانش‌آموزان'!E18&amp;" "&amp;'دانش‌آموزان'!F18)</x:f>
        <x:v>باران نوری</x:v>
      </x:c>
      <x:c r="F163" s="166" t="str">
        <x:f>IF('دانش‌آموزان'!I18="","",'دانش‌آموزان'!I18)</x:f>
        <x:v>sample-7-a</x:v>
      </x:c>
      <x:c r="G163" s="114"/>
      <x:c r="H163" s="115"/>
      <x:c r="I163" s="115"/>
      <x:c r="J163" s="115"/>
      <x:c r="K163" s="115"/>
      <x:c r="L163" s="115"/>
      <x:c r="M163" s="115"/>
      <x:c r="N163" s="115"/>
      <x:c r="O163" s="115"/>
      <x:c r="P163" s="115"/>
      <x:c r="Q163" s="115"/>
      <x:c r="R163" s="115"/>
      <x:c r="S163" s="115"/>
      <x:c r="T163" s="115"/>
      <x:c r="U163" s="115"/>
      <x:c r="V163" s="115"/>
      <x:c r="W163" s="115"/>
      <x:c r="X163" s="115"/>
      <x:c r="Y163" s="115"/>
      <x:c r="Z163" s="115"/>
      <x:c r="AA163" s="115"/>
      <x:c r="AB163" s="115"/>
      <x:c r="AC163" s="115"/>
      <x:c r="AD163" s="115"/>
      <x:c r="AE163" s="115"/>
      <x:c r="AF163" s="115"/>
      <x:c r="AG163" s="115"/>
      <x:c r="AH163" s="115"/>
      <x:c r="AI163" s="115"/>
      <x:c r="AJ163" s="115"/>
      <x:c r="AK163" s="115"/>
      <x:c r="AL163" s="115"/>
      <x:c r="AM163" s="115"/>
      <x:c r="AN163" s="115"/>
      <x:c r="AO163" s="115"/>
      <x:c r="AP163" s="115"/>
      <x:c r="AQ163" s="115"/>
      <x:c r="AR163" s="115"/>
      <x:c r="AS163" s="115"/>
      <x:c r="AT163" s="115"/>
      <x:c r="AU163" s="115"/>
      <x:c r="AV163" s="115"/>
      <x:c r="AW163" s="115"/>
      <x:c r="AX163" s="115"/>
      <x:c r="AY163" s="115"/>
      <x:c r="AZ163" s="115"/>
      <x:c r="BA163" s="115"/>
      <x:c r="BB163" s="115"/>
      <x:c r="BC163" s="115"/>
      <x:c r="BD163" s="115"/>
      <x:c r="BE163" s="115"/>
      <x:c r="BF163" s="115"/>
      <x:c r="BG163" s="115"/>
      <x:c r="BH163" s="115"/>
      <x:c r="BI163" s="115"/>
      <x:c r="BJ163" s="115"/>
      <x:c r="BK163" s="115"/>
      <x:c r="BL163" s="115"/>
      <x:c r="BM163" s="115"/>
      <x:c r="BN163" s="115"/>
      <x:c r="BO163" s="115"/>
      <x:c r="BP163" s="115"/>
      <x:c r="BQ163" s="115"/>
      <x:c r="BR163" s="115"/>
      <x:c r="BS163" s="115"/>
      <x:c r="BT163" s="115"/>
      <x:c r="BU163" s="115"/>
      <x:c r="BV163" s="115"/>
      <x:c r="BW163" s="115"/>
      <x:c r="BX163" s="115"/>
      <x:c r="BY163" s="115"/>
      <x:c r="BZ163" s="115"/>
      <x:c r="CA163" s="115"/>
      <x:c r="CB163" s="116"/>
      <x:c r="CC163" s="141" t="str">
        <x:f>IF(COUNT(G163:P163)=0,"",AVERAGE(G163:P163)*4)</x:f>
      </x:c>
      <x:c r="CD163" s="178" t="str">
        <x:f>IF(COUNT(Q163:Z163)=0,"",AVERAGE(Q163:Z163)*4)</x:f>
      </x:c>
      <x:c r="CE163" s="178" t="str">
        <x:f>IF(COUNT(AA163:AJ163)=0,"",AVERAGE(AA163:AJ163)*4)</x:f>
      </x:c>
      <x:c r="CF163" s="178" t="str">
        <x:f>IF(COUNT(AK163:AR163)=0,"",AVERAGE(AK163:AR163)*4)</x:f>
      </x:c>
      <x:c r="CG163" s="178" t="str">
        <x:f>IF(COUNT(AS163:AY163)=0,"",AVERAGE(AS163:AY163)*4)</x:f>
      </x:c>
      <x:c r="CH163" s="178" t="str">
        <x:f>IF(COUNT(AZ163:BG163)=0,"",AVERAGE(AZ163:BG163)*4)</x:f>
      </x:c>
      <x:c r="CI163" s="178" t="str">
        <x:f>IF(COUNT(BH163:BN163)=0,"",AVERAGE(BH163:BN163)*4)</x:f>
      </x:c>
      <x:c r="CJ163" s="178" t="str">
        <x:f>IF(COUNT(BO163:BU163)=0,"",AVERAGE(BO163:BU163)*4)</x:f>
      </x:c>
      <x:c r="CK163" s="178" t="str">
        <x:f>IF(COUNT(BV163:CB163)=0,"",AVERAGE(BV163:CB163)*4)</x:f>
      </x:c>
      <x:c r="CL163" s="178" t="str">
        <x:f>IF(C163="","",IF(COUNT(G163:CB163)&lt;74,"",(CC163*'تنظیمات وزن‌دهی'!$C$5+CD163*'تنظیمات وزن‌دهی'!$C$6+CE163*'تنظیمات وزن‌دهی'!$C$7+CF163*'تنظیمات وزن‌دهی'!$C$8+CG163*'تنظیمات وزن‌دهی'!$C$9+CH163*'تنظیمات وزن‌دهی'!$C$10+CI163*'تنظیمات وزن‌دهی'!$C$11+CJ163*'تنظیمات وزن‌دهی'!$C$12+CK163*'تنظیمات وزن‌دهی'!$C$13)/100))</x:f>
      </x:c>
      <x:c r="CM163" s="178" t="str">
        <x:f>IF(C163="","",IF(COUNT(G163:CB163)=0,"",IF(COUNT(G163:CB163)&lt;74,"موقت - اطلاعات ناقص",IF(CL163&gt;=17,"عالی",IF(CL163&gt;=14,"خوب",IF(CL163&gt;=10,"متوسط","ضعیف"))))))</x:f>
      </x:c>
      <x:c r="CN163" s="178" t="n">
        <x:v>3</x:v>
      </x:c>
      <x:c r="CO163" s="142" t="n">
        <x:f>IF(C163="","",COUNT(G163:CB163)/74)</x:f>
        <x:v>0</x:v>
      </x:c>
      <x:c r="CP163" s="245"/>
    </x:row>
    <x:row r="164">
      <x:c r="A164" s="165" t="n">
        <x:v>160</x:v>
      </x:c>
      <x:c r="B164" s="233" t="str">
        <x:v>مهر</x:v>
      </x:c>
      <x:c r="C164" s="233" t="n">
        <x:f>IF('دانش‌آموزان'!E18="","",'دانش‌آموزان'!B18)</x:f>
        <x:v>14</x:v>
      </x:c>
      <x:c r="D164" s="233" t="str">
        <x:f>IF('دانش‌آموزان'!C18="","",'دانش‌آموزان'!C18)</x:f>
        <x:v>4000000144</x:v>
      </x:c>
      <x:c r="E164" s="233" t="str">
        <x:f>IF('دانش‌آموزان'!E18="","",'دانش‌آموزان'!E18&amp;" "&amp;'دانش‌آموزان'!F18)</x:f>
        <x:v>باران نوری</x:v>
      </x:c>
      <x:c r="F164" s="166" t="str">
        <x:f>IF('دانش‌آموزان'!I18="","",'دانش‌آموزان'!I18)</x:f>
        <x:v>sample-7-a</x:v>
      </x:c>
      <x:c r="G164" s="114"/>
      <x:c r="H164" s="115"/>
      <x:c r="I164" s="115"/>
      <x:c r="J164" s="115"/>
      <x:c r="K164" s="115"/>
      <x:c r="L164" s="115"/>
      <x:c r="M164" s="115"/>
      <x:c r="N164" s="115"/>
      <x:c r="O164" s="115"/>
      <x:c r="P164" s="115"/>
      <x:c r="Q164" s="115"/>
      <x:c r="R164" s="115"/>
      <x:c r="S164" s="115"/>
      <x:c r="T164" s="115"/>
      <x:c r="U164" s="115"/>
      <x:c r="V164" s="115"/>
      <x:c r="W164" s="115"/>
      <x:c r="X164" s="115"/>
      <x:c r="Y164" s="115"/>
      <x:c r="Z164" s="115"/>
      <x:c r="AA164" s="115"/>
      <x:c r="AB164" s="115"/>
      <x:c r="AC164" s="115"/>
      <x:c r="AD164" s="115"/>
      <x:c r="AE164" s="115"/>
      <x:c r="AF164" s="115"/>
      <x:c r="AG164" s="115"/>
      <x:c r="AH164" s="115"/>
      <x:c r="AI164" s="115"/>
      <x:c r="AJ164" s="115"/>
      <x:c r="AK164" s="115"/>
      <x:c r="AL164" s="115"/>
      <x:c r="AM164" s="115"/>
      <x:c r="AN164" s="115"/>
      <x:c r="AO164" s="115"/>
      <x:c r="AP164" s="115"/>
      <x:c r="AQ164" s="115"/>
      <x:c r="AR164" s="115"/>
      <x:c r="AS164" s="115"/>
      <x:c r="AT164" s="115"/>
      <x:c r="AU164" s="115"/>
      <x:c r="AV164" s="115"/>
      <x:c r="AW164" s="115"/>
      <x:c r="AX164" s="115"/>
      <x:c r="AY164" s="115"/>
      <x:c r="AZ164" s="115"/>
      <x:c r="BA164" s="115"/>
      <x:c r="BB164" s="115"/>
      <x:c r="BC164" s="115"/>
      <x:c r="BD164" s="115"/>
      <x:c r="BE164" s="115"/>
      <x:c r="BF164" s="115"/>
      <x:c r="BG164" s="115"/>
      <x:c r="BH164" s="115"/>
      <x:c r="BI164" s="115"/>
      <x:c r="BJ164" s="115"/>
      <x:c r="BK164" s="115"/>
      <x:c r="BL164" s="115"/>
      <x:c r="BM164" s="115"/>
      <x:c r="BN164" s="115"/>
      <x:c r="BO164" s="115"/>
      <x:c r="BP164" s="115"/>
      <x:c r="BQ164" s="115"/>
      <x:c r="BR164" s="115"/>
      <x:c r="BS164" s="115"/>
      <x:c r="BT164" s="115"/>
      <x:c r="BU164" s="115"/>
      <x:c r="BV164" s="115"/>
      <x:c r="BW164" s="115"/>
      <x:c r="BX164" s="115"/>
      <x:c r="BY164" s="115"/>
      <x:c r="BZ164" s="115"/>
      <x:c r="CA164" s="115"/>
      <x:c r="CB164" s="116"/>
      <x:c r="CC164" s="141" t="str">
        <x:f>IF(COUNT(G164:P164)=0,"",AVERAGE(G164:P164)*4)</x:f>
      </x:c>
      <x:c r="CD164" s="178" t="str">
        <x:f>IF(COUNT(Q164:Z164)=0,"",AVERAGE(Q164:Z164)*4)</x:f>
      </x:c>
      <x:c r="CE164" s="178" t="str">
        <x:f>IF(COUNT(AA164:AJ164)=0,"",AVERAGE(AA164:AJ164)*4)</x:f>
      </x:c>
      <x:c r="CF164" s="178" t="str">
        <x:f>IF(COUNT(AK164:AR164)=0,"",AVERAGE(AK164:AR164)*4)</x:f>
      </x:c>
      <x:c r="CG164" s="178" t="str">
        <x:f>IF(COUNT(AS164:AY164)=0,"",AVERAGE(AS164:AY164)*4)</x:f>
      </x:c>
      <x:c r="CH164" s="178" t="str">
        <x:f>IF(COUNT(AZ164:BG164)=0,"",AVERAGE(AZ164:BG164)*4)</x:f>
      </x:c>
      <x:c r="CI164" s="178" t="str">
        <x:f>IF(COUNT(BH164:BN164)=0,"",AVERAGE(BH164:BN164)*4)</x:f>
      </x:c>
      <x:c r="CJ164" s="178" t="str">
        <x:f>IF(COUNT(BO164:BU164)=0,"",AVERAGE(BO164:BU164)*4)</x:f>
      </x:c>
      <x:c r="CK164" s="178" t="str">
        <x:f>IF(COUNT(BV164:CB164)=0,"",AVERAGE(BV164:CB164)*4)</x:f>
      </x:c>
      <x:c r="CL164" s="178" t="str">
        <x:f>IF(C164="","",IF(COUNT(G164:CB164)&lt;74,"",(CC164*'تنظیمات وزن‌دهی'!$C$5+CD164*'تنظیمات وزن‌دهی'!$C$6+CE164*'تنظیمات وزن‌دهی'!$C$7+CF164*'تنظیمات وزن‌دهی'!$C$8+CG164*'تنظیمات وزن‌دهی'!$C$9+CH164*'تنظیمات وزن‌دهی'!$C$10+CI164*'تنظیمات وزن‌دهی'!$C$11+CJ164*'تنظیمات وزن‌دهی'!$C$12+CK164*'تنظیمات وزن‌دهی'!$C$13)/100))</x:f>
      </x:c>
      <x:c r="CM164" s="178" t="str">
        <x:f>IF(C164="","",IF(COUNT(G164:CB164)=0,"",IF(COUNT(G164:CB164)&lt;74,"موقت - اطلاعات ناقص",IF(CL164&gt;=17,"عالی",IF(CL164&gt;=14,"خوب",IF(CL164&gt;=10,"متوسط","ضعیف"))))))</x:f>
      </x:c>
      <x:c r="CN164" s="178" t="n">
        <x:v>4</x:v>
      </x:c>
      <x:c r="CO164" s="142" t="n">
        <x:f>IF(C164="","",COUNT(G164:CB164)/74)</x:f>
        <x:v>0</x:v>
      </x:c>
      <x:c r="CP164" s="245"/>
    </x:row>
    <x:row r="165">
      <x:c r="A165" s="165" t="n">
        <x:v>161</x:v>
      </x:c>
      <x:c r="B165" s="233" t="str">
        <x:v>آبان</x:v>
      </x:c>
      <x:c r="C165" s="233" t="n">
        <x:f>IF('دانش‌آموزان'!E18="","",'دانش‌آموزان'!B18)</x:f>
        <x:v>14</x:v>
      </x:c>
      <x:c r="D165" s="233" t="str">
        <x:f>IF('دانش‌آموزان'!C18="","",'دانش‌آموزان'!C18)</x:f>
        <x:v>4000000144</x:v>
      </x:c>
      <x:c r="E165" s="233" t="str">
        <x:f>IF('دانش‌آموزان'!E18="","",'دانش‌آموزان'!E18&amp;" "&amp;'دانش‌آموزان'!F18)</x:f>
        <x:v>باران نوری</x:v>
      </x:c>
      <x:c r="F165" s="166" t="str">
        <x:f>IF('دانش‌آموزان'!I18="","",'دانش‌آموزان'!I18)</x:f>
        <x:v>sample-7-a</x:v>
      </x:c>
      <x:c r="G165" s="114"/>
      <x:c r="H165" s="115"/>
      <x:c r="I165" s="115"/>
      <x:c r="J165" s="115"/>
      <x:c r="K165" s="115"/>
      <x:c r="L165" s="115"/>
      <x:c r="M165" s="115"/>
      <x:c r="N165" s="115"/>
      <x:c r="O165" s="115"/>
      <x:c r="P165" s="115"/>
      <x:c r="Q165" s="115"/>
      <x:c r="R165" s="115"/>
      <x:c r="S165" s="115"/>
      <x:c r="T165" s="115"/>
      <x:c r="U165" s="115"/>
      <x:c r="V165" s="115"/>
      <x:c r="W165" s="115"/>
      <x:c r="X165" s="115"/>
      <x:c r="Y165" s="115"/>
      <x:c r="Z165" s="115"/>
      <x:c r="AA165" s="115"/>
      <x:c r="AB165" s="115"/>
      <x:c r="AC165" s="115"/>
      <x:c r="AD165" s="115"/>
      <x:c r="AE165" s="115"/>
      <x:c r="AF165" s="115"/>
      <x:c r="AG165" s="115"/>
      <x:c r="AH165" s="115"/>
      <x:c r="AI165" s="115"/>
      <x:c r="AJ165" s="115"/>
      <x:c r="AK165" s="115"/>
      <x:c r="AL165" s="115"/>
      <x:c r="AM165" s="115"/>
      <x:c r="AN165" s="115"/>
      <x:c r="AO165" s="115"/>
      <x:c r="AP165" s="115"/>
      <x:c r="AQ165" s="115"/>
      <x:c r="AR165" s="115"/>
      <x:c r="AS165" s="115"/>
      <x:c r="AT165" s="115"/>
      <x:c r="AU165" s="115"/>
      <x:c r="AV165" s="115"/>
      <x:c r="AW165" s="115"/>
      <x:c r="AX165" s="115"/>
      <x:c r="AY165" s="115"/>
      <x:c r="AZ165" s="115"/>
      <x:c r="BA165" s="115"/>
      <x:c r="BB165" s="115"/>
      <x:c r="BC165" s="115"/>
      <x:c r="BD165" s="115"/>
      <x:c r="BE165" s="115"/>
      <x:c r="BF165" s="115"/>
      <x:c r="BG165" s="115"/>
      <x:c r="BH165" s="115"/>
      <x:c r="BI165" s="115"/>
      <x:c r="BJ165" s="115"/>
      <x:c r="BK165" s="115"/>
      <x:c r="BL165" s="115"/>
      <x:c r="BM165" s="115"/>
      <x:c r="BN165" s="115"/>
      <x:c r="BO165" s="115"/>
      <x:c r="BP165" s="115"/>
      <x:c r="BQ165" s="115"/>
      <x:c r="BR165" s="115"/>
      <x:c r="BS165" s="115"/>
      <x:c r="BT165" s="115"/>
      <x:c r="BU165" s="115"/>
      <x:c r="BV165" s="115"/>
      <x:c r="BW165" s="115"/>
      <x:c r="BX165" s="115"/>
      <x:c r="BY165" s="115"/>
      <x:c r="BZ165" s="115"/>
      <x:c r="CA165" s="115"/>
      <x:c r="CB165" s="116"/>
      <x:c r="CC165" s="141" t="str">
        <x:f>IF(COUNT(G165:P165)=0,"",AVERAGE(G165:P165)*4)</x:f>
      </x:c>
      <x:c r="CD165" s="178" t="str">
        <x:f>IF(COUNT(Q165:Z165)=0,"",AVERAGE(Q165:Z165)*4)</x:f>
      </x:c>
      <x:c r="CE165" s="178" t="str">
        <x:f>IF(COUNT(AA165:AJ165)=0,"",AVERAGE(AA165:AJ165)*4)</x:f>
      </x:c>
      <x:c r="CF165" s="178" t="str">
        <x:f>IF(COUNT(AK165:AR165)=0,"",AVERAGE(AK165:AR165)*4)</x:f>
      </x:c>
      <x:c r="CG165" s="178" t="str">
        <x:f>IF(COUNT(AS165:AY165)=0,"",AVERAGE(AS165:AY165)*4)</x:f>
      </x:c>
      <x:c r="CH165" s="178" t="str">
        <x:f>IF(COUNT(AZ165:BG165)=0,"",AVERAGE(AZ165:BG165)*4)</x:f>
      </x:c>
      <x:c r="CI165" s="178" t="str">
        <x:f>IF(COUNT(BH165:BN165)=0,"",AVERAGE(BH165:BN165)*4)</x:f>
      </x:c>
      <x:c r="CJ165" s="178" t="str">
        <x:f>IF(COUNT(BO165:BU165)=0,"",AVERAGE(BO165:BU165)*4)</x:f>
      </x:c>
      <x:c r="CK165" s="178" t="str">
        <x:f>IF(COUNT(BV165:CB165)=0,"",AVERAGE(BV165:CB165)*4)</x:f>
      </x:c>
      <x:c r="CL165" s="178" t="str">
        <x:f>IF(C165="","",IF(COUNT(G165:CB165)&lt;74,"",(CC165*'تنظیمات وزن‌دهی'!$C$5+CD165*'تنظیمات وزن‌دهی'!$C$6+CE165*'تنظیمات وزن‌دهی'!$C$7+CF165*'تنظیمات وزن‌دهی'!$C$8+CG165*'تنظیمات وزن‌دهی'!$C$9+CH165*'تنظیمات وزن‌دهی'!$C$10+CI165*'تنظیمات وزن‌دهی'!$C$11+CJ165*'تنظیمات وزن‌دهی'!$C$12+CK165*'تنظیمات وزن‌دهی'!$C$13)/100))</x:f>
      </x:c>
      <x:c r="CM165" s="178" t="str">
        <x:f>IF(C165="","",IF(COUNT(G165:CB165)=0,"",IF(COUNT(G165:CB165)&lt;74,"موقت - اطلاعات ناقص",IF(CL165&gt;=17,"عالی",IF(CL165&gt;=14,"خوب",IF(CL165&gt;=10,"متوسط","ضعیف"))))))</x:f>
      </x:c>
      <x:c r="CN165" s="178" t="n">
        <x:v>5</x:v>
      </x:c>
      <x:c r="CO165" s="142" t="n">
        <x:f>IF(C165="","",COUNT(G165:CB165)/74)</x:f>
        <x:v>0</x:v>
      </x:c>
      <x:c r="CP165" s="245"/>
    </x:row>
    <x:row r="166">
      <x:c r="A166" s="165" t="n">
        <x:v>162</x:v>
      </x:c>
      <x:c r="B166" s="233" t="str">
        <x:v>آذر</x:v>
      </x:c>
      <x:c r="C166" s="233" t="n">
        <x:f>IF('دانش‌آموزان'!E18="","",'دانش‌آموزان'!B18)</x:f>
        <x:v>14</x:v>
      </x:c>
      <x:c r="D166" s="233" t="str">
        <x:f>IF('دانش‌آموزان'!C18="","",'دانش‌آموزان'!C18)</x:f>
        <x:v>4000000144</x:v>
      </x:c>
      <x:c r="E166" s="233" t="str">
        <x:f>IF('دانش‌آموزان'!E18="","",'دانش‌آموزان'!E18&amp;" "&amp;'دانش‌آموزان'!F18)</x:f>
        <x:v>باران نوری</x:v>
      </x:c>
      <x:c r="F166" s="166" t="str">
        <x:f>IF('دانش‌آموزان'!I18="","",'دانش‌آموزان'!I18)</x:f>
        <x:v>sample-7-a</x:v>
      </x:c>
      <x:c r="G166" s="114"/>
      <x:c r="H166" s="115"/>
      <x:c r="I166" s="115"/>
      <x:c r="J166" s="115"/>
      <x:c r="K166" s="115"/>
      <x:c r="L166" s="115"/>
      <x:c r="M166" s="115"/>
      <x:c r="N166" s="115"/>
      <x:c r="O166" s="115"/>
      <x:c r="P166" s="115"/>
      <x:c r="Q166" s="115"/>
      <x:c r="R166" s="115"/>
      <x:c r="S166" s="115"/>
      <x:c r="T166" s="115"/>
      <x:c r="U166" s="115"/>
      <x:c r="V166" s="115"/>
      <x:c r="W166" s="115"/>
      <x:c r="X166" s="115"/>
      <x:c r="Y166" s="115"/>
      <x:c r="Z166" s="115"/>
      <x:c r="AA166" s="115"/>
      <x:c r="AB166" s="115"/>
      <x:c r="AC166" s="115"/>
      <x:c r="AD166" s="115"/>
      <x:c r="AE166" s="115"/>
      <x:c r="AF166" s="115"/>
      <x:c r="AG166" s="115"/>
      <x:c r="AH166" s="115"/>
      <x:c r="AI166" s="115"/>
      <x:c r="AJ166" s="115"/>
      <x:c r="AK166" s="115"/>
      <x:c r="AL166" s="115"/>
      <x:c r="AM166" s="115"/>
      <x:c r="AN166" s="115"/>
      <x:c r="AO166" s="115"/>
      <x:c r="AP166" s="115"/>
      <x:c r="AQ166" s="115"/>
      <x:c r="AR166" s="115"/>
      <x:c r="AS166" s="115"/>
      <x:c r="AT166" s="115"/>
      <x:c r="AU166" s="115"/>
      <x:c r="AV166" s="115"/>
      <x:c r="AW166" s="115"/>
      <x:c r="AX166" s="115"/>
      <x:c r="AY166" s="115"/>
      <x:c r="AZ166" s="115"/>
      <x:c r="BA166" s="115"/>
      <x:c r="BB166" s="115"/>
      <x:c r="BC166" s="115"/>
      <x:c r="BD166" s="115"/>
      <x:c r="BE166" s="115"/>
      <x:c r="BF166" s="115"/>
      <x:c r="BG166" s="115"/>
      <x:c r="BH166" s="115"/>
      <x:c r="BI166" s="115"/>
      <x:c r="BJ166" s="115"/>
      <x:c r="BK166" s="115"/>
      <x:c r="BL166" s="115"/>
      <x:c r="BM166" s="115"/>
      <x:c r="BN166" s="115"/>
      <x:c r="BO166" s="115"/>
      <x:c r="BP166" s="115"/>
      <x:c r="BQ166" s="115"/>
      <x:c r="BR166" s="115"/>
      <x:c r="BS166" s="115"/>
      <x:c r="BT166" s="115"/>
      <x:c r="BU166" s="115"/>
      <x:c r="BV166" s="115"/>
      <x:c r="BW166" s="115"/>
      <x:c r="BX166" s="115"/>
      <x:c r="BY166" s="115"/>
      <x:c r="BZ166" s="115"/>
      <x:c r="CA166" s="115"/>
      <x:c r="CB166" s="116"/>
      <x:c r="CC166" s="141" t="str">
        <x:f>IF(COUNT(G166:P166)=0,"",AVERAGE(G166:P166)*4)</x:f>
      </x:c>
      <x:c r="CD166" s="178" t="str">
        <x:f>IF(COUNT(Q166:Z166)=0,"",AVERAGE(Q166:Z166)*4)</x:f>
      </x:c>
      <x:c r="CE166" s="178" t="str">
        <x:f>IF(COUNT(AA166:AJ166)=0,"",AVERAGE(AA166:AJ166)*4)</x:f>
      </x:c>
      <x:c r="CF166" s="178" t="str">
        <x:f>IF(COUNT(AK166:AR166)=0,"",AVERAGE(AK166:AR166)*4)</x:f>
      </x:c>
      <x:c r="CG166" s="178" t="str">
        <x:f>IF(COUNT(AS166:AY166)=0,"",AVERAGE(AS166:AY166)*4)</x:f>
      </x:c>
      <x:c r="CH166" s="178" t="str">
        <x:f>IF(COUNT(AZ166:BG166)=0,"",AVERAGE(AZ166:BG166)*4)</x:f>
      </x:c>
      <x:c r="CI166" s="178" t="str">
        <x:f>IF(COUNT(BH166:BN166)=0,"",AVERAGE(BH166:BN166)*4)</x:f>
      </x:c>
      <x:c r="CJ166" s="178" t="str">
        <x:f>IF(COUNT(BO166:BU166)=0,"",AVERAGE(BO166:BU166)*4)</x:f>
      </x:c>
      <x:c r="CK166" s="178" t="str">
        <x:f>IF(COUNT(BV166:CB166)=0,"",AVERAGE(BV166:CB166)*4)</x:f>
      </x:c>
      <x:c r="CL166" s="178" t="str">
        <x:f>IF(C166="","",IF(COUNT(G166:CB166)&lt;74,"",(CC166*'تنظیمات وزن‌دهی'!$C$5+CD166*'تنظیمات وزن‌دهی'!$C$6+CE166*'تنظیمات وزن‌دهی'!$C$7+CF166*'تنظیمات وزن‌دهی'!$C$8+CG166*'تنظیمات وزن‌دهی'!$C$9+CH166*'تنظیمات وزن‌دهی'!$C$10+CI166*'تنظیمات وزن‌دهی'!$C$11+CJ166*'تنظیمات وزن‌دهی'!$C$12+CK166*'تنظیمات وزن‌دهی'!$C$13)/100))</x:f>
      </x:c>
      <x:c r="CM166" s="178" t="str">
        <x:f>IF(C166="","",IF(COUNT(G166:CB166)=0,"",IF(COUNT(G166:CB166)&lt;74,"موقت - اطلاعات ناقص",IF(CL166&gt;=17,"عالی",IF(CL166&gt;=14,"خوب",IF(CL166&gt;=10,"متوسط","ضعیف"))))))</x:f>
      </x:c>
      <x:c r="CN166" s="178" t="n">
        <x:v>6</x:v>
      </x:c>
      <x:c r="CO166" s="142" t="n">
        <x:f>IF(C166="","",COUNT(G166:CB166)/74)</x:f>
        <x:v>0</x:v>
      </x:c>
      <x:c r="CP166" s="245"/>
    </x:row>
    <x:row r="167">
      <x:c r="A167" s="165" t="n">
        <x:v>163</x:v>
      </x:c>
      <x:c r="B167" s="233" t="str">
        <x:v>دی</x:v>
      </x:c>
      <x:c r="C167" s="233" t="n">
        <x:f>IF('دانش‌آموزان'!E18="","",'دانش‌آموزان'!B18)</x:f>
        <x:v>14</x:v>
      </x:c>
      <x:c r="D167" s="233" t="str">
        <x:f>IF('دانش‌آموزان'!C18="","",'دانش‌آموزان'!C18)</x:f>
        <x:v>4000000144</x:v>
      </x:c>
      <x:c r="E167" s="233" t="str">
        <x:f>IF('دانش‌آموزان'!E18="","",'دانش‌آموزان'!E18&amp;" "&amp;'دانش‌آموزان'!F18)</x:f>
        <x:v>باران نوری</x:v>
      </x:c>
      <x:c r="F167" s="166" t="str">
        <x:f>IF('دانش‌آموزان'!I18="","",'دانش‌آموزان'!I18)</x:f>
        <x:v>sample-7-a</x:v>
      </x:c>
      <x:c r="G167" s="114"/>
      <x:c r="H167" s="115"/>
      <x:c r="I167" s="115"/>
      <x:c r="J167" s="115"/>
      <x:c r="K167" s="115"/>
      <x:c r="L167" s="115"/>
      <x:c r="M167" s="115"/>
      <x:c r="N167" s="115"/>
      <x:c r="O167" s="115"/>
      <x:c r="P167" s="115"/>
      <x:c r="Q167" s="115"/>
      <x:c r="R167" s="115"/>
      <x:c r="S167" s="115"/>
      <x:c r="T167" s="115"/>
      <x:c r="U167" s="115"/>
      <x:c r="V167" s="115"/>
      <x:c r="W167" s="115"/>
      <x:c r="X167" s="115"/>
      <x:c r="Y167" s="115"/>
      <x:c r="Z167" s="115"/>
      <x:c r="AA167" s="115"/>
      <x:c r="AB167" s="115"/>
      <x:c r="AC167" s="115"/>
      <x:c r="AD167" s="115"/>
      <x:c r="AE167" s="115"/>
      <x:c r="AF167" s="115"/>
      <x:c r="AG167" s="115"/>
      <x:c r="AH167" s="115"/>
      <x:c r="AI167" s="115"/>
      <x:c r="AJ167" s="115"/>
      <x:c r="AK167" s="115"/>
      <x:c r="AL167" s="115"/>
      <x:c r="AM167" s="115"/>
      <x:c r="AN167" s="115"/>
      <x:c r="AO167" s="115"/>
      <x:c r="AP167" s="115"/>
      <x:c r="AQ167" s="115"/>
      <x:c r="AR167" s="115"/>
      <x:c r="AS167" s="115"/>
      <x:c r="AT167" s="115"/>
      <x:c r="AU167" s="115"/>
      <x:c r="AV167" s="115"/>
      <x:c r="AW167" s="115"/>
      <x:c r="AX167" s="115"/>
      <x:c r="AY167" s="115"/>
      <x:c r="AZ167" s="115"/>
      <x:c r="BA167" s="115"/>
      <x:c r="BB167" s="115"/>
      <x:c r="BC167" s="115"/>
      <x:c r="BD167" s="115"/>
      <x:c r="BE167" s="115"/>
      <x:c r="BF167" s="115"/>
      <x:c r="BG167" s="115"/>
      <x:c r="BH167" s="115"/>
      <x:c r="BI167" s="115"/>
      <x:c r="BJ167" s="115"/>
      <x:c r="BK167" s="115"/>
      <x:c r="BL167" s="115"/>
      <x:c r="BM167" s="115"/>
      <x:c r="BN167" s="115"/>
      <x:c r="BO167" s="115"/>
      <x:c r="BP167" s="115"/>
      <x:c r="BQ167" s="115"/>
      <x:c r="BR167" s="115"/>
      <x:c r="BS167" s="115"/>
      <x:c r="BT167" s="115"/>
      <x:c r="BU167" s="115"/>
      <x:c r="BV167" s="115"/>
      <x:c r="BW167" s="115"/>
      <x:c r="BX167" s="115"/>
      <x:c r="BY167" s="115"/>
      <x:c r="BZ167" s="115"/>
      <x:c r="CA167" s="115"/>
      <x:c r="CB167" s="116"/>
      <x:c r="CC167" s="141" t="str">
        <x:f>IF(COUNT(G167:P167)=0,"",AVERAGE(G167:P167)*4)</x:f>
      </x:c>
      <x:c r="CD167" s="178" t="str">
        <x:f>IF(COUNT(Q167:Z167)=0,"",AVERAGE(Q167:Z167)*4)</x:f>
      </x:c>
      <x:c r="CE167" s="178" t="str">
        <x:f>IF(COUNT(AA167:AJ167)=0,"",AVERAGE(AA167:AJ167)*4)</x:f>
      </x:c>
      <x:c r="CF167" s="178" t="str">
        <x:f>IF(COUNT(AK167:AR167)=0,"",AVERAGE(AK167:AR167)*4)</x:f>
      </x:c>
      <x:c r="CG167" s="178" t="str">
        <x:f>IF(COUNT(AS167:AY167)=0,"",AVERAGE(AS167:AY167)*4)</x:f>
      </x:c>
      <x:c r="CH167" s="178" t="str">
        <x:f>IF(COUNT(AZ167:BG167)=0,"",AVERAGE(AZ167:BG167)*4)</x:f>
      </x:c>
      <x:c r="CI167" s="178" t="str">
        <x:f>IF(COUNT(BH167:BN167)=0,"",AVERAGE(BH167:BN167)*4)</x:f>
      </x:c>
      <x:c r="CJ167" s="178" t="str">
        <x:f>IF(COUNT(BO167:BU167)=0,"",AVERAGE(BO167:BU167)*4)</x:f>
      </x:c>
      <x:c r="CK167" s="178" t="str">
        <x:f>IF(COUNT(BV167:CB167)=0,"",AVERAGE(BV167:CB167)*4)</x:f>
      </x:c>
      <x:c r="CL167" s="178" t="str">
        <x:f>IF(C167="","",IF(COUNT(G167:CB167)&lt;74,"",(CC167*'تنظیمات وزن‌دهی'!$C$5+CD167*'تنظیمات وزن‌دهی'!$C$6+CE167*'تنظیمات وزن‌دهی'!$C$7+CF167*'تنظیمات وزن‌دهی'!$C$8+CG167*'تنظیمات وزن‌دهی'!$C$9+CH167*'تنظیمات وزن‌دهی'!$C$10+CI167*'تنظیمات وزن‌دهی'!$C$11+CJ167*'تنظیمات وزن‌دهی'!$C$12+CK167*'تنظیمات وزن‌دهی'!$C$13)/100))</x:f>
      </x:c>
      <x:c r="CM167" s="178" t="str">
        <x:f>IF(C167="","",IF(COUNT(G167:CB167)=0,"",IF(COUNT(G167:CB167)&lt;74,"موقت - اطلاعات ناقص",IF(CL167&gt;=17,"عالی",IF(CL167&gt;=14,"خوب",IF(CL167&gt;=10,"متوسط","ضعیف"))))))</x:f>
      </x:c>
      <x:c r="CN167" s="178" t="n">
        <x:v>7</x:v>
      </x:c>
      <x:c r="CO167" s="142" t="n">
        <x:f>IF(C167="","",COUNT(G167:CB167)/74)</x:f>
        <x:v>0</x:v>
      </x:c>
      <x:c r="CP167" s="245"/>
    </x:row>
    <x:row r="168">
      <x:c r="A168" s="165" t="n">
        <x:v>164</x:v>
      </x:c>
      <x:c r="B168" s="233" t="str">
        <x:v>بهمن</x:v>
      </x:c>
      <x:c r="C168" s="233" t="n">
        <x:f>IF('دانش‌آموزان'!E18="","",'دانش‌آموزان'!B18)</x:f>
        <x:v>14</x:v>
      </x:c>
      <x:c r="D168" s="233" t="str">
        <x:f>IF('دانش‌آموزان'!C18="","",'دانش‌آموزان'!C18)</x:f>
        <x:v>4000000144</x:v>
      </x:c>
      <x:c r="E168" s="233" t="str">
        <x:f>IF('دانش‌آموزان'!E18="","",'دانش‌آموزان'!E18&amp;" "&amp;'دانش‌آموزان'!F18)</x:f>
        <x:v>باران نوری</x:v>
      </x:c>
      <x:c r="F168" s="166" t="str">
        <x:f>IF('دانش‌آموزان'!I18="","",'دانش‌آموزان'!I18)</x:f>
        <x:v>sample-7-a</x:v>
      </x:c>
      <x:c r="G168" s="114"/>
      <x:c r="H168" s="115"/>
      <x:c r="I168" s="115"/>
      <x:c r="J168" s="115"/>
      <x:c r="K168" s="115"/>
      <x:c r="L168" s="115"/>
      <x:c r="M168" s="115"/>
      <x:c r="N168" s="115"/>
      <x:c r="O168" s="115"/>
      <x:c r="P168" s="115"/>
      <x:c r="Q168" s="115"/>
      <x:c r="R168" s="115"/>
      <x:c r="S168" s="115"/>
      <x:c r="T168" s="115"/>
      <x:c r="U168" s="115"/>
      <x:c r="V168" s="115"/>
      <x:c r="W168" s="115"/>
      <x:c r="X168" s="115"/>
      <x:c r="Y168" s="115"/>
      <x:c r="Z168" s="115"/>
      <x:c r="AA168" s="115"/>
      <x:c r="AB168" s="115"/>
      <x:c r="AC168" s="115"/>
      <x:c r="AD168" s="115"/>
      <x:c r="AE168" s="115"/>
      <x:c r="AF168" s="115"/>
      <x:c r="AG168" s="115"/>
      <x:c r="AH168" s="115"/>
      <x:c r="AI168" s="115"/>
      <x:c r="AJ168" s="115"/>
      <x:c r="AK168" s="115"/>
      <x:c r="AL168" s="115"/>
      <x:c r="AM168" s="115"/>
      <x:c r="AN168" s="115"/>
      <x:c r="AO168" s="115"/>
      <x:c r="AP168" s="115"/>
      <x:c r="AQ168" s="115"/>
      <x:c r="AR168" s="115"/>
      <x:c r="AS168" s="115"/>
      <x:c r="AT168" s="115"/>
      <x:c r="AU168" s="115"/>
      <x:c r="AV168" s="115"/>
      <x:c r="AW168" s="115"/>
      <x:c r="AX168" s="115"/>
      <x:c r="AY168" s="115"/>
      <x:c r="AZ168" s="115"/>
      <x:c r="BA168" s="115"/>
      <x:c r="BB168" s="115"/>
      <x:c r="BC168" s="115"/>
      <x:c r="BD168" s="115"/>
      <x:c r="BE168" s="115"/>
      <x:c r="BF168" s="115"/>
      <x:c r="BG168" s="115"/>
      <x:c r="BH168" s="115"/>
      <x:c r="BI168" s="115"/>
      <x:c r="BJ168" s="115"/>
      <x:c r="BK168" s="115"/>
      <x:c r="BL168" s="115"/>
      <x:c r="BM168" s="115"/>
      <x:c r="BN168" s="115"/>
      <x:c r="BO168" s="115"/>
      <x:c r="BP168" s="115"/>
      <x:c r="BQ168" s="115"/>
      <x:c r="BR168" s="115"/>
      <x:c r="BS168" s="115"/>
      <x:c r="BT168" s="115"/>
      <x:c r="BU168" s="115"/>
      <x:c r="BV168" s="115"/>
      <x:c r="BW168" s="115"/>
      <x:c r="BX168" s="115"/>
      <x:c r="BY168" s="115"/>
      <x:c r="BZ168" s="115"/>
      <x:c r="CA168" s="115"/>
      <x:c r="CB168" s="116"/>
      <x:c r="CC168" s="141" t="str">
        <x:f>IF(COUNT(G168:P168)=0,"",AVERAGE(G168:P168)*4)</x:f>
      </x:c>
      <x:c r="CD168" s="178" t="str">
        <x:f>IF(COUNT(Q168:Z168)=0,"",AVERAGE(Q168:Z168)*4)</x:f>
      </x:c>
      <x:c r="CE168" s="178" t="str">
        <x:f>IF(COUNT(AA168:AJ168)=0,"",AVERAGE(AA168:AJ168)*4)</x:f>
      </x:c>
      <x:c r="CF168" s="178" t="str">
        <x:f>IF(COUNT(AK168:AR168)=0,"",AVERAGE(AK168:AR168)*4)</x:f>
      </x:c>
      <x:c r="CG168" s="178" t="str">
        <x:f>IF(COUNT(AS168:AY168)=0,"",AVERAGE(AS168:AY168)*4)</x:f>
      </x:c>
      <x:c r="CH168" s="178" t="str">
        <x:f>IF(COUNT(AZ168:BG168)=0,"",AVERAGE(AZ168:BG168)*4)</x:f>
      </x:c>
      <x:c r="CI168" s="178" t="str">
        <x:f>IF(COUNT(BH168:BN168)=0,"",AVERAGE(BH168:BN168)*4)</x:f>
      </x:c>
      <x:c r="CJ168" s="178" t="str">
        <x:f>IF(COUNT(BO168:BU168)=0,"",AVERAGE(BO168:BU168)*4)</x:f>
      </x:c>
      <x:c r="CK168" s="178" t="str">
        <x:f>IF(COUNT(BV168:CB168)=0,"",AVERAGE(BV168:CB168)*4)</x:f>
      </x:c>
      <x:c r="CL168" s="178" t="str">
        <x:f>IF(C168="","",IF(COUNT(G168:CB168)&lt;74,"",(CC168*'تنظیمات وزن‌دهی'!$C$5+CD168*'تنظیمات وزن‌دهی'!$C$6+CE168*'تنظیمات وزن‌دهی'!$C$7+CF168*'تنظیمات وزن‌دهی'!$C$8+CG168*'تنظیمات وزن‌دهی'!$C$9+CH168*'تنظیمات وزن‌دهی'!$C$10+CI168*'تنظیمات وزن‌دهی'!$C$11+CJ168*'تنظیمات وزن‌دهی'!$C$12+CK168*'تنظیمات وزن‌دهی'!$C$13)/100))</x:f>
      </x:c>
      <x:c r="CM168" s="178" t="str">
        <x:f>IF(C168="","",IF(COUNT(G168:CB168)=0,"",IF(COUNT(G168:CB168)&lt;74,"موقت - اطلاعات ناقص",IF(CL168&gt;=17,"عالی",IF(CL168&gt;=14,"خوب",IF(CL168&gt;=10,"متوسط","ضعیف"))))))</x:f>
      </x:c>
      <x:c r="CN168" s="178" t="n">
        <x:v>8</x:v>
      </x:c>
      <x:c r="CO168" s="142" t="n">
        <x:f>IF(C168="","",COUNT(G168:CB168)/74)</x:f>
        <x:v>0</x:v>
      </x:c>
      <x:c r="CP168" s="245"/>
    </x:row>
    <x:row r="169">
      <x:c r="A169" s="165" t="n">
        <x:v>165</x:v>
      </x:c>
      <x:c r="B169" s="233" t="str">
        <x:v>اسفند</x:v>
      </x:c>
      <x:c r="C169" s="233" t="n">
        <x:f>IF('دانش‌آموزان'!E18="","",'دانش‌آموزان'!B18)</x:f>
        <x:v>14</x:v>
      </x:c>
      <x:c r="D169" s="233" t="str">
        <x:f>IF('دانش‌آموزان'!C18="","",'دانش‌آموزان'!C18)</x:f>
        <x:v>4000000144</x:v>
      </x:c>
      <x:c r="E169" s="233" t="str">
        <x:f>IF('دانش‌آموزان'!E18="","",'دانش‌آموزان'!E18&amp;" "&amp;'دانش‌آموزان'!F18)</x:f>
        <x:v>باران نوری</x:v>
      </x:c>
      <x:c r="F169" s="166" t="str">
        <x:f>IF('دانش‌آموزان'!I18="","",'دانش‌آموزان'!I18)</x:f>
        <x:v>sample-7-a</x:v>
      </x:c>
      <x:c r="G169" s="114"/>
      <x:c r="H169" s="115"/>
      <x:c r="I169" s="115"/>
      <x:c r="J169" s="115"/>
      <x:c r="K169" s="115"/>
      <x:c r="L169" s="115"/>
      <x:c r="M169" s="115"/>
      <x:c r="N169" s="115"/>
      <x:c r="O169" s="115"/>
      <x:c r="P169" s="115"/>
      <x:c r="Q169" s="115"/>
      <x:c r="R169" s="115"/>
      <x:c r="S169" s="115"/>
      <x:c r="T169" s="115"/>
      <x:c r="U169" s="115"/>
      <x:c r="V169" s="115"/>
      <x:c r="W169" s="115"/>
      <x:c r="X169" s="115"/>
      <x:c r="Y169" s="115"/>
      <x:c r="Z169" s="115"/>
      <x:c r="AA169" s="115"/>
      <x:c r="AB169" s="115"/>
      <x:c r="AC169" s="115"/>
      <x:c r="AD169" s="115"/>
      <x:c r="AE169" s="115"/>
      <x:c r="AF169" s="115"/>
      <x:c r="AG169" s="115"/>
      <x:c r="AH169" s="115"/>
      <x:c r="AI169" s="115"/>
      <x:c r="AJ169" s="115"/>
      <x:c r="AK169" s="115"/>
      <x:c r="AL169" s="115"/>
      <x:c r="AM169" s="115"/>
      <x:c r="AN169" s="115"/>
      <x:c r="AO169" s="115"/>
      <x:c r="AP169" s="115"/>
      <x:c r="AQ169" s="115"/>
      <x:c r="AR169" s="115"/>
      <x:c r="AS169" s="115"/>
      <x:c r="AT169" s="115"/>
      <x:c r="AU169" s="115"/>
      <x:c r="AV169" s="115"/>
      <x:c r="AW169" s="115"/>
      <x:c r="AX169" s="115"/>
      <x:c r="AY169" s="115"/>
      <x:c r="AZ169" s="115"/>
      <x:c r="BA169" s="115"/>
      <x:c r="BB169" s="115"/>
      <x:c r="BC169" s="115"/>
      <x:c r="BD169" s="115"/>
      <x:c r="BE169" s="115"/>
      <x:c r="BF169" s="115"/>
      <x:c r="BG169" s="115"/>
      <x:c r="BH169" s="115"/>
      <x:c r="BI169" s="115"/>
      <x:c r="BJ169" s="115"/>
      <x:c r="BK169" s="115"/>
      <x:c r="BL169" s="115"/>
      <x:c r="BM169" s="115"/>
      <x:c r="BN169" s="115"/>
      <x:c r="BO169" s="115"/>
      <x:c r="BP169" s="115"/>
      <x:c r="BQ169" s="115"/>
      <x:c r="BR169" s="115"/>
      <x:c r="BS169" s="115"/>
      <x:c r="BT169" s="115"/>
      <x:c r="BU169" s="115"/>
      <x:c r="BV169" s="115"/>
      <x:c r="BW169" s="115"/>
      <x:c r="BX169" s="115"/>
      <x:c r="BY169" s="115"/>
      <x:c r="BZ169" s="115"/>
      <x:c r="CA169" s="115"/>
      <x:c r="CB169" s="116"/>
      <x:c r="CC169" s="141" t="str">
        <x:f>IF(COUNT(G169:P169)=0,"",AVERAGE(G169:P169)*4)</x:f>
      </x:c>
      <x:c r="CD169" s="178" t="str">
        <x:f>IF(COUNT(Q169:Z169)=0,"",AVERAGE(Q169:Z169)*4)</x:f>
      </x:c>
      <x:c r="CE169" s="178" t="str">
        <x:f>IF(COUNT(AA169:AJ169)=0,"",AVERAGE(AA169:AJ169)*4)</x:f>
      </x:c>
      <x:c r="CF169" s="178" t="str">
        <x:f>IF(COUNT(AK169:AR169)=0,"",AVERAGE(AK169:AR169)*4)</x:f>
      </x:c>
      <x:c r="CG169" s="178" t="str">
        <x:f>IF(COUNT(AS169:AY169)=0,"",AVERAGE(AS169:AY169)*4)</x:f>
      </x:c>
      <x:c r="CH169" s="178" t="str">
        <x:f>IF(COUNT(AZ169:BG169)=0,"",AVERAGE(AZ169:BG169)*4)</x:f>
      </x:c>
      <x:c r="CI169" s="178" t="str">
        <x:f>IF(COUNT(BH169:BN169)=0,"",AVERAGE(BH169:BN169)*4)</x:f>
      </x:c>
      <x:c r="CJ169" s="178" t="str">
        <x:f>IF(COUNT(BO169:BU169)=0,"",AVERAGE(BO169:BU169)*4)</x:f>
      </x:c>
      <x:c r="CK169" s="178" t="str">
        <x:f>IF(COUNT(BV169:CB169)=0,"",AVERAGE(BV169:CB169)*4)</x:f>
      </x:c>
      <x:c r="CL169" s="178" t="str">
        <x:f>IF(C169="","",IF(COUNT(G169:CB169)&lt;74,"",(CC169*'تنظیمات وزن‌دهی'!$C$5+CD169*'تنظیمات وزن‌دهی'!$C$6+CE169*'تنظیمات وزن‌دهی'!$C$7+CF169*'تنظیمات وزن‌دهی'!$C$8+CG169*'تنظیمات وزن‌دهی'!$C$9+CH169*'تنظیمات وزن‌دهی'!$C$10+CI169*'تنظیمات وزن‌دهی'!$C$11+CJ169*'تنظیمات وزن‌دهی'!$C$12+CK169*'تنظیمات وزن‌دهی'!$C$13)/100))</x:f>
      </x:c>
      <x:c r="CM169" s="178" t="str">
        <x:f>IF(C169="","",IF(COUNT(G169:CB169)=0,"",IF(COUNT(G169:CB169)&lt;74,"موقت - اطلاعات ناقص",IF(CL169&gt;=17,"عالی",IF(CL169&gt;=14,"خوب",IF(CL169&gt;=10,"متوسط","ضعیف"))))))</x:f>
      </x:c>
      <x:c r="CN169" s="178" t="n">
        <x:v>9</x:v>
      </x:c>
      <x:c r="CO169" s="142" t="n">
        <x:f>IF(C169="","",COUNT(G169:CB169)/74)</x:f>
        <x:v>0</x:v>
      </x:c>
      <x:c r="CP169" s="245"/>
    </x:row>
    <x:row r="170">
      <x:c r="A170" s="165" t="n">
        <x:v>166</x:v>
      </x:c>
      <x:c r="B170" s="233" t="str">
        <x:v>فروردین</x:v>
      </x:c>
      <x:c r="C170" s="233" t="n">
        <x:f>IF('دانش‌آموزان'!E18="","",'دانش‌آموزان'!B18)</x:f>
        <x:v>14</x:v>
      </x:c>
      <x:c r="D170" s="233" t="str">
        <x:f>IF('دانش‌آموزان'!C18="","",'دانش‌آموزان'!C18)</x:f>
        <x:v>4000000144</x:v>
      </x:c>
      <x:c r="E170" s="233" t="str">
        <x:f>IF('دانش‌آموزان'!E18="","",'دانش‌آموزان'!E18&amp;" "&amp;'دانش‌آموزان'!F18)</x:f>
        <x:v>باران نوری</x:v>
      </x:c>
      <x:c r="F170" s="166" t="str">
        <x:f>IF('دانش‌آموزان'!I18="","",'دانش‌آموزان'!I18)</x:f>
        <x:v>sample-7-a</x:v>
      </x:c>
      <x:c r="G170" s="114"/>
      <x:c r="H170" s="115"/>
      <x:c r="I170" s="115"/>
      <x:c r="J170" s="115"/>
      <x:c r="K170" s="115"/>
      <x:c r="L170" s="115"/>
      <x:c r="M170" s="115"/>
      <x:c r="N170" s="115"/>
      <x:c r="O170" s="115"/>
      <x:c r="P170" s="115"/>
      <x:c r="Q170" s="115"/>
      <x:c r="R170" s="115"/>
      <x:c r="S170" s="115"/>
      <x:c r="T170" s="115"/>
      <x:c r="U170" s="115"/>
      <x:c r="V170" s="115"/>
      <x:c r="W170" s="115"/>
      <x:c r="X170" s="115"/>
      <x:c r="Y170" s="115"/>
      <x:c r="Z170" s="115"/>
      <x:c r="AA170" s="115"/>
      <x:c r="AB170" s="115"/>
      <x:c r="AC170" s="115"/>
      <x:c r="AD170" s="115"/>
      <x:c r="AE170" s="115"/>
      <x:c r="AF170" s="115"/>
      <x:c r="AG170" s="115"/>
      <x:c r="AH170" s="115"/>
      <x:c r="AI170" s="115"/>
      <x:c r="AJ170" s="115"/>
      <x:c r="AK170" s="115"/>
      <x:c r="AL170" s="115"/>
      <x:c r="AM170" s="115"/>
      <x:c r="AN170" s="115"/>
      <x:c r="AO170" s="115"/>
      <x:c r="AP170" s="115"/>
      <x:c r="AQ170" s="115"/>
      <x:c r="AR170" s="115"/>
      <x:c r="AS170" s="115"/>
      <x:c r="AT170" s="115"/>
      <x:c r="AU170" s="115"/>
      <x:c r="AV170" s="115"/>
      <x:c r="AW170" s="115"/>
      <x:c r="AX170" s="115"/>
      <x:c r="AY170" s="115"/>
      <x:c r="AZ170" s="115"/>
      <x:c r="BA170" s="115"/>
      <x:c r="BB170" s="115"/>
      <x:c r="BC170" s="115"/>
      <x:c r="BD170" s="115"/>
      <x:c r="BE170" s="115"/>
      <x:c r="BF170" s="115"/>
      <x:c r="BG170" s="115"/>
      <x:c r="BH170" s="115"/>
      <x:c r="BI170" s="115"/>
      <x:c r="BJ170" s="115"/>
      <x:c r="BK170" s="115"/>
      <x:c r="BL170" s="115"/>
      <x:c r="BM170" s="115"/>
      <x:c r="BN170" s="115"/>
      <x:c r="BO170" s="115"/>
      <x:c r="BP170" s="115"/>
      <x:c r="BQ170" s="115"/>
      <x:c r="BR170" s="115"/>
      <x:c r="BS170" s="115"/>
      <x:c r="BT170" s="115"/>
      <x:c r="BU170" s="115"/>
      <x:c r="BV170" s="115"/>
      <x:c r="BW170" s="115"/>
      <x:c r="BX170" s="115"/>
      <x:c r="BY170" s="115"/>
      <x:c r="BZ170" s="115"/>
      <x:c r="CA170" s="115"/>
      <x:c r="CB170" s="116"/>
      <x:c r="CC170" s="141" t="str">
        <x:f>IF(COUNT(G170:P170)=0,"",AVERAGE(G170:P170)*4)</x:f>
      </x:c>
      <x:c r="CD170" s="178" t="str">
        <x:f>IF(COUNT(Q170:Z170)=0,"",AVERAGE(Q170:Z170)*4)</x:f>
      </x:c>
      <x:c r="CE170" s="178" t="str">
        <x:f>IF(COUNT(AA170:AJ170)=0,"",AVERAGE(AA170:AJ170)*4)</x:f>
      </x:c>
      <x:c r="CF170" s="178" t="str">
        <x:f>IF(COUNT(AK170:AR170)=0,"",AVERAGE(AK170:AR170)*4)</x:f>
      </x:c>
      <x:c r="CG170" s="178" t="str">
        <x:f>IF(COUNT(AS170:AY170)=0,"",AVERAGE(AS170:AY170)*4)</x:f>
      </x:c>
      <x:c r="CH170" s="178" t="str">
        <x:f>IF(COUNT(AZ170:BG170)=0,"",AVERAGE(AZ170:BG170)*4)</x:f>
      </x:c>
      <x:c r="CI170" s="178" t="str">
        <x:f>IF(COUNT(BH170:BN170)=0,"",AVERAGE(BH170:BN170)*4)</x:f>
      </x:c>
      <x:c r="CJ170" s="178" t="str">
        <x:f>IF(COUNT(BO170:BU170)=0,"",AVERAGE(BO170:BU170)*4)</x:f>
      </x:c>
      <x:c r="CK170" s="178" t="str">
        <x:f>IF(COUNT(BV170:CB170)=0,"",AVERAGE(BV170:CB170)*4)</x:f>
      </x:c>
      <x:c r="CL170" s="178" t="str">
        <x:f>IF(C170="","",IF(COUNT(G170:CB170)&lt;74,"",(CC170*'تنظیمات وزن‌دهی'!$C$5+CD170*'تنظیمات وزن‌دهی'!$C$6+CE170*'تنظیمات وزن‌دهی'!$C$7+CF170*'تنظیمات وزن‌دهی'!$C$8+CG170*'تنظیمات وزن‌دهی'!$C$9+CH170*'تنظیمات وزن‌دهی'!$C$10+CI170*'تنظیمات وزن‌دهی'!$C$11+CJ170*'تنظیمات وزن‌دهی'!$C$12+CK170*'تنظیمات وزن‌دهی'!$C$13)/100))</x:f>
      </x:c>
      <x:c r="CM170" s="178" t="str">
        <x:f>IF(C170="","",IF(COUNT(G170:CB170)=0,"",IF(COUNT(G170:CB170)&lt;74,"موقت - اطلاعات ناقص",IF(CL170&gt;=17,"عالی",IF(CL170&gt;=14,"خوب",IF(CL170&gt;=10,"متوسط","ضعیف"))))))</x:f>
      </x:c>
      <x:c r="CN170" s="178" t="n">
        <x:v>10</x:v>
      </x:c>
      <x:c r="CO170" s="142" t="n">
        <x:f>IF(C170="","",COUNT(G170:CB170)/74)</x:f>
        <x:v>0</x:v>
      </x:c>
      <x:c r="CP170" s="245"/>
    </x:row>
    <x:row r="171">
      <x:c r="A171" s="165" t="n">
        <x:v>167</x:v>
      </x:c>
      <x:c r="B171" s="233" t="str">
        <x:v>اردیبهشت</x:v>
      </x:c>
      <x:c r="C171" s="233" t="n">
        <x:f>IF('دانش‌آموزان'!E18="","",'دانش‌آموزان'!B18)</x:f>
        <x:v>14</x:v>
      </x:c>
      <x:c r="D171" s="233" t="str">
        <x:f>IF('دانش‌آموزان'!C18="","",'دانش‌آموزان'!C18)</x:f>
        <x:v>4000000144</x:v>
      </x:c>
      <x:c r="E171" s="233" t="str">
        <x:f>IF('دانش‌آموزان'!E18="","",'دانش‌آموزان'!E18&amp;" "&amp;'دانش‌آموزان'!F18)</x:f>
        <x:v>باران نوری</x:v>
      </x:c>
      <x:c r="F171" s="166" t="str">
        <x:f>IF('دانش‌آموزان'!I18="","",'دانش‌آموزان'!I18)</x:f>
        <x:v>sample-7-a</x:v>
      </x:c>
      <x:c r="G171" s="114"/>
      <x:c r="H171" s="115"/>
      <x:c r="I171" s="115"/>
      <x:c r="J171" s="115"/>
      <x:c r="K171" s="115"/>
      <x:c r="L171" s="115"/>
      <x:c r="M171" s="115"/>
      <x:c r="N171" s="115"/>
      <x:c r="O171" s="115"/>
      <x:c r="P171" s="115"/>
      <x:c r="Q171" s="115"/>
      <x:c r="R171" s="115"/>
      <x:c r="S171" s="115"/>
      <x:c r="T171" s="115"/>
      <x:c r="U171" s="115"/>
      <x:c r="V171" s="115"/>
      <x:c r="W171" s="115"/>
      <x:c r="X171" s="115"/>
      <x:c r="Y171" s="115"/>
      <x:c r="Z171" s="115"/>
      <x:c r="AA171" s="115"/>
      <x:c r="AB171" s="115"/>
      <x:c r="AC171" s="115"/>
      <x:c r="AD171" s="115"/>
      <x:c r="AE171" s="115"/>
      <x:c r="AF171" s="115"/>
      <x:c r="AG171" s="115"/>
      <x:c r="AH171" s="115"/>
      <x:c r="AI171" s="115"/>
      <x:c r="AJ171" s="115"/>
      <x:c r="AK171" s="115"/>
      <x:c r="AL171" s="115"/>
      <x:c r="AM171" s="115"/>
      <x:c r="AN171" s="115"/>
      <x:c r="AO171" s="115"/>
      <x:c r="AP171" s="115"/>
      <x:c r="AQ171" s="115"/>
      <x:c r="AR171" s="115"/>
      <x:c r="AS171" s="115"/>
      <x:c r="AT171" s="115"/>
      <x:c r="AU171" s="115"/>
      <x:c r="AV171" s="115"/>
      <x:c r="AW171" s="115"/>
      <x:c r="AX171" s="115"/>
      <x:c r="AY171" s="115"/>
      <x:c r="AZ171" s="115"/>
      <x:c r="BA171" s="115"/>
      <x:c r="BB171" s="115"/>
      <x:c r="BC171" s="115"/>
      <x:c r="BD171" s="115"/>
      <x:c r="BE171" s="115"/>
      <x:c r="BF171" s="115"/>
      <x:c r="BG171" s="115"/>
      <x:c r="BH171" s="115"/>
      <x:c r="BI171" s="115"/>
      <x:c r="BJ171" s="115"/>
      <x:c r="BK171" s="115"/>
      <x:c r="BL171" s="115"/>
      <x:c r="BM171" s="115"/>
      <x:c r="BN171" s="115"/>
      <x:c r="BO171" s="115"/>
      <x:c r="BP171" s="115"/>
      <x:c r="BQ171" s="115"/>
      <x:c r="BR171" s="115"/>
      <x:c r="BS171" s="115"/>
      <x:c r="BT171" s="115"/>
      <x:c r="BU171" s="115"/>
      <x:c r="BV171" s="115"/>
      <x:c r="BW171" s="115"/>
      <x:c r="BX171" s="115"/>
      <x:c r="BY171" s="115"/>
      <x:c r="BZ171" s="115"/>
      <x:c r="CA171" s="115"/>
      <x:c r="CB171" s="116"/>
      <x:c r="CC171" s="141" t="str">
        <x:f>IF(COUNT(G171:P171)=0,"",AVERAGE(G171:P171)*4)</x:f>
      </x:c>
      <x:c r="CD171" s="178" t="str">
        <x:f>IF(COUNT(Q171:Z171)=0,"",AVERAGE(Q171:Z171)*4)</x:f>
      </x:c>
      <x:c r="CE171" s="178" t="str">
        <x:f>IF(COUNT(AA171:AJ171)=0,"",AVERAGE(AA171:AJ171)*4)</x:f>
      </x:c>
      <x:c r="CF171" s="178" t="str">
        <x:f>IF(COUNT(AK171:AR171)=0,"",AVERAGE(AK171:AR171)*4)</x:f>
      </x:c>
      <x:c r="CG171" s="178" t="str">
        <x:f>IF(COUNT(AS171:AY171)=0,"",AVERAGE(AS171:AY171)*4)</x:f>
      </x:c>
      <x:c r="CH171" s="178" t="str">
        <x:f>IF(COUNT(AZ171:BG171)=0,"",AVERAGE(AZ171:BG171)*4)</x:f>
      </x:c>
      <x:c r="CI171" s="178" t="str">
        <x:f>IF(COUNT(BH171:BN171)=0,"",AVERAGE(BH171:BN171)*4)</x:f>
      </x:c>
      <x:c r="CJ171" s="178" t="str">
        <x:f>IF(COUNT(BO171:BU171)=0,"",AVERAGE(BO171:BU171)*4)</x:f>
      </x:c>
      <x:c r="CK171" s="178" t="str">
        <x:f>IF(COUNT(BV171:CB171)=0,"",AVERAGE(BV171:CB171)*4)</x:f>
      </x:c>
      <x:c r="CL171" s="178" t="str">
        <x:f>IF(C171="","",IF(COUNT(G171:CB171)&lt;74,"",(CC171*'تنظیمات وزن‌دهی'!$C$5+CD171*'تنظیمات وزن‌دهی'!$C$6+CE171*'تنظیمات وزن‌دهی'!$C$7+CF171*'تنظیمات وزن‌دهی'!$C$8+CG171*'تنظیمات وزن‌دهی'!$C$9+CH171*'تنظیمات وزن‌دهی'!$C$10+CI171*'تنظیمات وزن‌دهی'!$C$11+CJ171*'تنظیمات وزن‌دهی'!$C$12+CK171*'تنظیمات وزن‌دهی'!$C$13)/100))</x:f>
      </x:c>
      <x:c r="CM171" s="178" t="str">
        <x:f>IF(C171="","",IF(COUNT(G171:CB171)=0,"",IF(COUNT(G171:CB171)&lt;74,"موقت - اطلاعات ناقص",IF(CL171&gt;=17,"عالی",IF(CL171&gt;=14,"خوب",IF(CL171&gt;=10,"متوسط","ضعیف"))))))</x:f>
      </x:c>
      <x:c r="CN171" s="178" t="n">
        <x:v>11</x:v>
      </x:c>
      <x:c r="CO171" s="142" t="n">
        <x:f>IF(C171="","",COUNT(G171:CB171)/74)</x:f>
        <x:v>0</x:v>
      </x:c>
      <x:c r="CP171" s="245"/>
    </x:row>
    <x:row r="172">
      <x:c r="A172" s="165" t="n">
        <x:v>168</x:v>
      </x:c>
      <x:c r="B172" s="233" t="str">
        <x:v>خرداد</x:v>
      </x:c>
      <x:c r="C172" s="233" t="n">
        <x:f>IF('دانش‌آموزان'!E18="","",'دانش‌آموزان'!B18)</x:f>
        <x:v>14</x:v>
      </x:c>
      <x:c r="D172" s="233" t="str">
        <x:f>IF('دانش‌آموزان'!C18="","",'دانش‌آموزان'!C18)</x:f>
        <x:v>4000000144</x:v>
      </x:c>
      <x:c r="E172" s="233" t="str">
        <x:f>IF('دانش‌آموزان'!E18="","",'دانش‌آموزان'!E18&amp;" "&amp;'دانش‌آموزان'!F18)</x:f>
        <x:v>باران نوری</x:v>
      </x:c>
      <x:c r="F172" s="166" t="str">
        <x:f>IF('دانش‌آموزان'!I18="","",'دانش‌آموزان'!I18)</x:f>
        <x:v>sample-7-a</x:v>
      </x:c>
      <x:c r="G172" s="114"/>
      <x:c r="H172" s="115"/>
      <x:c r="I172" s="115"/>
      <x:c r="J172" s="115"/>
      <x:c r="K172" s="115"/>
      <x:c r="L172" s="115"/>
      <x:c r="M172" s="115"/>
      <x:c r="N172" s="115"/>
      <x:c r="O172" s="115"/>
      <x:c r="P172" s="115"/>
      <x:c r="Q172" s="115"/>
      <x:c r="R172" s="115"/>
      <x:c r="S172" s="115"/>
      <x:c r="T172" s="115"/>
      <x:c r="U172" s="115"/>
      <x:c r="V172" s="115"/>
      <x:c r="W172" s="115"/>
      <x:c r="X172" s="115"/>
      <x:c r="Y172" s="115"/>
      <x:c r="Z172" s="115"/>
      <x:c r="AA172" s="115"/>
      <x:c r="AB172" s="115"/>
      <x:c r="AC172" s="115"/>
      <x:c r="AD172" s="115"/>
      <x:c r="AE172" s="115"/>
      <x:c r="AF172" s="115"/>
      <x:c r="AG172" s="115"/>
      <x:c r="AH172" s="115"/>
      <x:c r="AI172" s="115"/>
      <x:c r="AJ172" s="115"/>
      <x:c r="AK172" s="115"/>
      <x:c r="AL172" s="115"/>
      <x:c r="AM172" s="115"/>
      <x:c r="AN172" s="115"/>
      <x:c r="AO172" s="115"/>
      <x:c r="AP172" s="115"/>
      <x:c r="AQ172" s="115"/>
      <x:c r="AR172" s="115"/>
      <x:c r="AS172" s="115"/>
      <x:c r="AT172" s="115"/>
      <x:c r="AU172" s="115"/>
      <x:c r="AV172" s="115"/>
      <x:c r="AW172" s="115"/>
      <x:c r="AX172" s="115"/>
      <x:c r="AY172" s="115"/>
      <x:c r="AZ172" s="115"/>
      <x:c r="BA172" s="115"/>
      <x:c r="BB172" s="115"/>
      <x:c r="BC172" s="115"/>
      <x:c r="BD172" s="115"/>
      <x:c r="BE172" s="115"/>
      <x:c r="BF172" s="115"/>
      <x:c r="BG172" s="115"/>
      <x:c r="BH172" s="115"/>
      <x:c r="BI172" s="115"/>
      <x:c r="BJ172" s="115"/>
      <x:c r="BK172" s="115"/>
      <x:c r="BL172" s="115"/>
      <x:c r="BM172" s="115"/>
      <x:c r="BN172" s="115"/>
      <x:c r="BO172" s="115"/>
      <x:c r="BP172" s="115"/>
      <x:c r="BQ172" s="115"/>
      <x:c r="BR172" s="115"/>
      <x:c r="BS172" s="115"/>
      <x:c r="BT172" s="115"/>
      <x:c r="BU172" s="115"/>
      <x:c r="BV172" s="115"/>
      <x:c r="BW172" s="115"/>
      <x:c r="BX172" s="115"/>
      <x:c r="BY172" s="115"/>
      <x:c r="BZ172" s="115"/>
      <x:c r="CA172" s="115"/>
      <x:c r="CB172" s="116"/>
      <x:c r="CC172" s="141" t="str">
        <x:f>IF(COUNT(G172:P172)=0,"",AVERAGE(G172:P172)*4)</x:f>
      </x:c>
      <x:c r="CD172" s="178" t="str">
        <x:f>IF(COUNT(Q172:Z172)=0,"",AVERAGE(Q172:Z172)*4)</x:f>
      </x:c>
      <x:c r="CE172" s="178" t="str">
        <x:f>IF(COUNT(AA172:AJ172)=0,"",AVERAGE(AA172:AJ172)*4)</x:f>
      </x:c>
      <x:c r="CF172" s="178" t="str">
        <x:f>IF(COUNT(AK172:AR172)=0,"",AVERAGE(AK172:AR172)*4)</x:f>
      </x:c>
      <x:c r="CG172" s="178" t="str">
        <x:f>IF(COUNT(AS172:AY172)=0,"",AVERAGE(AS172:AY172)*4)</x:f>
      </x:c>
      <x:c r="CH172" s="178" t="str">
        <x:f>IF(COUNT(AZ172:BG172)=0,"",AVERAGE(AZ172:BG172)*4)</x:f>
      </x:c>
      <x:c r="CI172" s="178" t="str">
        <x:f>IF(COUNT(BH172:BN172)=0,"",AVERAGE(BH172:BN172)*4)</x:f>
      </x:c>
      <x:c r="CJ172" s="178" t="str">
        <x:f>IF(COUNT(BO172:BU172)=0,"",AVERAGE(BO172:BU172)*4)</x:f>
      </x:c>
      <x:c r="CK172" s="178" t="str">
        <x:f>IF(COUNT(BV172:CB172)=0,"",AVERAGE(BV172:CB172)*4)</x:f>
      </x:c>
      <x:c r="CL172" s="178" t="str">
        <x:f>IF(C172="","",IF(COUNT(G172:CB172)&lt;74,"",(CC172*'تنظیمات وزن‌دهی'!$C$5+CD172*'تنظیمات وزن‌دهی'!$C$6+CE172*'تنظیمات وزن‌دهی'!$C$7+CF172*'تنظیمات وزن‌دهی'!$C$8+CG172*'تنظیمات وزن‌دهی'!$C$9+CH172*'تنظیمات وزن‌دهی'!$C$10+CI172*'تنظیمات وزن‌دهی'!$C$11+CJ172*'تنظیمات وزن‌دهی'!$C$12+CK172*'تنظیمات وزن‌دهی'!$C$13)/100))</x:f>
      </x:c>
      <x:c r="CM172" s="178" t="str">
        <x:f>IF(C172="","",IF(COUNT(G172:CB172)=0,"",IF(COUNT(G172:CB172)&lt;74,"موقت - اطلاعات ناقص",IF(CL172&gt;=17,"عالی",IF(CL172&gt;=14,"خوب",IF(CL172&gt;=10,"متوسط","ضعیف"))))))</x:f>
      </x:c>
      <x:c r="CN172" s="178" t="n">
        <x:v>12</x:v>
      </x:c>
      <x:c r="CO172" s="142" t="n">
        <x:f>IF(C172="","",COUNT(G172:CB172)/74)</x:f>
        <x:v>0</x:v>
      </x:c>
      <x:c r="CP172" s="245"/>
    </x:row>
    <x:row r="173">
      <x:c r="A173" s="165" t="n">
        <x:v>169</x:v>
      </x:c>
      <x:c r="B173" s="233" t="str">
        <x:v>تیر</x:v>
      </x:c>
      <x:c r="C173" s="233" t="n">
        <x:f>IF('دانش‌آموزان'!E19="","",'دانش‌آموزان'!B19)</x:f>
        <x:v>15</x:v>
      </x:c>
      <x:c r="D173" s="233" t="str">
        <x:f>IF('دانش‌آموزان'!C19="","",'دانش‌آموزان'!C19)</x:f>
        <x:v>4000000152</x:v>
      </x:c>
      <x:c r="E173" s="233" t="str">
        <x:f>IF('دانش‌آموزان'!E19="","",'دانش‌آموزان'!E19&amp;" "&amp;'دانش‌آموزان'!F19)</x:f>
        <x:v>ماهان سلیمانی</x:v>
      </x:c>
      <x:c r="F173" s="166" t="str">
        <x:f>IF('دانش‌آموزان'!I19="","",'دانش‌آموزان'!I19)</x:f>
        <x:v>sample-7-a</x:v>
      </x:c>
      <x:c r="G173" s="114" t="n">
        <x:v>5</x:v>
      </x:c>
      <x:c r="H173" s="115" t="n">
        <x:v>3</x:v>
      </x:c>
      <x:c r="I173" s="115" t="n">
        <x:v>5</x:v>
      </x:c>
      <x:c r="J173" s="115" t="n">
        <x:v>3</x:v>
      </x:c>
      <x:c r="K173" s="115" t="n">
        <x:v>4</x:v>
      </x:c>
      <x:c r="L173" s="115" t="n">
        <x:v>3</x:v>
      </x:c>
      <x:c r="M173" s="115" t="n">
        <x:v>4</x:v>
      </x:c>
      <x:c r="N173" s="115" t="n">
        <x:v>2</x:v>
      </x:c>
      <x:c r="O173" s="115" t="n">
        <x:v>4</x:v>
      </x:c>
      <x:c r="P173" s="115" t="n">
        <x:v>5</x:v>
      </x:c>
      <x:c r="Q173" s="115" t="n">
        <x:v>4</x:v>
      </x:c>
      <x:c r="R173" s="115" t="n">
        <x:v>5</x:v>
      </x:c>
      <x:c r="S173" s="115" t="n">
        <x:v>3</x:v>
      </x:c>
      <x:c r="T173" s="115" t="n">
        <x:v>5</x:v>
      </x:c>
      <x:c r="U173" s="115" t="n">
        <x:v>3</x:v>
      </x:c>
      <x:c r="V173" s="115" t="n">
        <x:v>4</x:v>
      </x:c>
      <x:c r="W173" s="115" t="n">
        <x:v>3</x:v>
      </x:c>
      <x:c r="X173" s="115" t="n">
        <x:v>4</x:v>
      </x:c>
      <x:c r="Y173" s="115" t="n">
        <x:v>2</x:v>
      </x:c>
      <x:c r="Z173" s="115" t="n">
        <x:v>4</x:v>
      </x:c>
      <x:c r="AA173" s="115" t="n">
        <x:v>5</x:v>
      </x:c>
      <x:c r="AB173" s="115" t="n">
        <x:v>4</x:v>
      </x:c>
      <x:c r="AC173" s="115" t="n">
        <x:v>5</x:v>
      </x:c>
      <x:c r="AD173" s="115" t="n">
        <x:v>3</x:v>
      </x:c>
      <x:c r="AE173" s="115" t="n">
        <x:v>5</x:v>
      </x:c>
      <x:c r="AF173" s="115" t="n">
        <x:v>3</x:v>
      </x:c>
      <x:c r="AG173" s="115" t="n">
        <x:v>4</x:v>
      </x:c>
      <x:c r="AH173" s="115" t="n">
        <x:v>3</x:v>
      </x:c>
      <x:c r="AI173" s="115" t="n">
        <x:v>4</x:v>
      </x:c>
      <x:c r="AJ173" s="115" t="n">
        <x:v>2</x:v>
      </x:c>
      <x:c r="AK173" s="115" t="n">
        <x:v>4</x:v>
      </x:c>
      <x:c r="AL173" s="115" t="n">
        <x:v>5</x:v>
      </x:c>
      <x:c r="AM173" s="115" t="n">
        <x:v>4</x:v>
      </x:c>
      <x:c r="AN173" s="115" t="n">
        <x:v>5</x:v>
      </x:c>
      <x:c r="AO173" s="115" t="n">
        <x:v>3</x:v>
      </x:c>
      <x:c r="AP173" s="115" t="n">
        <x:v>5</x:v>
      </x:c>
      <x:c r="AQ173" s="115" t="n">
        <x:v>3</x:v>
      </x:c>
      <x:c r="AR173" s="115" t="n">
        <x:v>4</x:v>
      </x:c>
      <x:c r="AS173" s="115" t="n">
        <x:v>3</x:v>
      </x:c>
      <x:c r="AT173" s="115" t="n">
        <x:v>4</x:v>
      </x:c>
      <x:c r="AU173" s="115" t="n">
        <x:v>2</x:v>
      </x:c>
      <x:c r="AV173" s="115" t="n">
        <x:v>4</x:v>
      </x:c>
      <x:c r="AW173" s="115" t="n">
        <x:v>5</x:v>
      </x:c>
      <x:c r="AX173" s="115" t="n">
        <x:v>4</x:v>
      </x:c>
      <x:c r="AY173" s="115" t="n">
        <x:v>5</x:v>
      </x:c>
      <x:c r="AZ173" s="115" t="n">
        <x:v>3</x:v>
      </x:c>
      <x:c r="BA173" s="115" t="n">
        <x:v>5</x:v>
      </x:c>
      <x:c r="BB173" s="115" t="n">
        <x:v>3</x:v>
      </x:c>
      <x:c r="BC173" s="115" t="n">
        <x:v>4</x:v>
      </x:c>
      <x:c r="BD173" s="115" t="n">
        <x:v>3</x:v>
      </x:c>
      <x:c r="BE173" s="115" t="n">
        <x:v>4</x:v>
      </x:c>
      <x:c r="BF173" s="115" t="n">
        <x:v>2</x:v>
      </x:c>
      <x:c r="BG173" s="115" t="n">
        <x:v>4</x:v>
      </x:c>
      <x:c r="BH173" s="115" t="n">
        <x:v>5</x:v>
      </x:c>
      <x:c r="BI173" s="115" t="n">
        <x:v>4</x:v>
      </x:c>
      <x:c r="BJ173" s="115" t="n">
        <x:v>5</x:v>
      </x:c>
      <x:c r="BK173" s="115" t="n">
        <x:v>3</x:v>
      </x:c>
      <x:c r="BL173" s="115" t="n">
        <x:v>5</x:v>
      </x:c>
      <x:c r="BM173" s="115" t="n">
        <x:v>3</x:v>
      </x:c>
      <x:c r="BN173" s="115" t="n">
        <x:v>4</x:v>
      </x:c>
      <x:c r="BO173" s="115" t="n">
        <x:v>3</x:v>
      </x:c>
      <x:c r="BP173" s="115" t="n">
        <x:v>4</x:v>
      </x:c>
      <x:c r="BQ173" s="115" t="n">
        <x:v>2</x:v>
      </x:c>
      <x:c r="BR173" s="115" t="n">
        <x:v>4</x:v>
      </x:c>
      <x:c r="BS173" s="115" t="n">
        <x:v>5</x:v>
      </x:c>
      <x:c r="BT173" s="115" t="n">
        <x:v>4</x:v>
      </x:c>
      <x:c r="BU173" s="115" t="n">
        <x:v>5</x:v>
      </x:c>
      <x:c r="BV173" s="115" t="n">
        <x:v>3</x:v>
      </x:c>
      <x:c r="BW173" s="115" t="n">
        <x:v>5</x:v>
      </x:c>
      <x:c r="BX173" s="115" t="n">
        <x:v>3</x:v>
      </x:c>
      <x:c r="BY173" s="115" t="n">
        <x:v>4</x:v>
      </x:c>
      <x:c r="BZ173" s="115" t="n">
        <x:v>3</x:v>
      </x:c>
      <x:c r="CA173" s="115" t="n">
        <x:v>4</x:v>
      </x:c>
      <x:c r="CB173" s="116" t="n">
        <x:v>2</x:v>
      </x:c>
      <x:c r="CC173" s="141" t="n">
        <x:f>IF(COUNT(G173:P173)=0,"",AVERAGE(G173:P173)*4)</x:f>
        <x:v>15.2</x:v>
      </x:c>
      <x:c r="CD173" s="178" t="n">
        <x:f>IF(COUNT(Q173:Z173)=0,"",AVERAGE(Q173:Z173)*4)</x:f>
        <x:v>14.8</x:v>
      </x:c>
      <x:c r="CE173" s="178" t="n">
        <x:f>IF(COUNT(AA173:AJ173)=0,"",AVERAGE(AA173:AJ173)*4)</x:f>
        <x:v>15.2</x:v>
      </x:c>
      <x:c r="CF173" s="178" t="n">
        <x:f>IF(COUNT(AK173:AR173)=0,"",AVERAGE(AK173:AR173)*4)</x:f>
        <x:v>16.5</x:v>
      </x:c>
      <x:c r="CG173" s="178" t="n">
        <x:f>IF(COUNT(AS173:AY173)=0,"",AVERAGE(AS173:AY173)*4)</x:f>
        <x:v>15.428571428571429</x:v>
      </x:c>
      <x:c r="CH173" s="178" t="n">
        <x:f>IF(COUNT(AZ173:BG173)=0,"",AVERAGE(AZ173:BG173)*4)</x:f>
        <x:v>14</x:v>
      </x:c>
      <x:c r="CI173" s="178" t="n">
        <x:f>IF(COUNT(BH173:BN173)=0,"",AVERAGE(BH173:BN173)*4)</x:f>
        <x:v>16.571428571428573</x:v>
      </x:c>
      <x:c r="CJ173" s="178" t="n">
        <x:f>IF(COUNT(BO173:BU173)=0,"",AVERAGE(BO173:BU173)*4)</x:f>
        <x:v>15.428571428571429</x:v>
      </x:c>
      <x:c r="CK173" s="178" t="n">
        <x:f>IF(COUNT(BV173:CB173)=0,"",AVERAGE(BV173:CB173)*4)</x:f>
        <x:v>13.714285714285714</x:v>
      </x:c>
      <x:c r="CL173" s="178" t="n">
        <x:f>IF(C173="","",IF(COUNT(G173:CB173)&lt;74,"",(CC173*'تنظیمات وزن‌دهی'!$C$5+CD173*'تنظیمات وزن‌دهی'!$C$6+CE173*'تنظیمات وزن‌دهی'!$C$7+CF173*'تنظیمات وزن‌دهی'!$C$8+CG173*'تنظیمات وزن‌دهی'!$C$9+CH173*'تنظیمات وزن‌دهی'!$C$10+CI173*'تنظیمات وزن‌دهی'!$C$11+CJ173*'تنظیمات وزن‌دهی'!$C$12+CK173*'تنظیمات وزن‌دهی'!$C$13)/100))</x:f>
        <x:v>15.260714285714286</x:v>
      </x:c>
      <x:c r="CM173" s="178" t="str">
        <x:f>IF(C173="","",IF(COUNT(G173:CB173)=0,"",IF(COUNT(G173:CB173)&lt;74,"موقت - اطلاعات ناقص",IF(CL173&gt;=17,"عالی",IF(CL173&gt;=14,"خوب",IF(CL173&gt;=10,"متوسط","ضعیف"))))))</x:f>
        <x:v>خوب</x:v>
      </x:c>
      <x:c r="CN173" s="178" t="n">
        <x:v>1</x:v>
      </x:c>
      <x:c r="CO173" s="142" t="n">
        <x:f>IF(C173="","",COUNT(G173:CB173)/74)</x:f>
        <x:v>1</x:v>
      </x:c>
      <x:c r="CP173" s="245" t="str">
        <x:v>داده نمونه کامل برای ماه تیر - دانش‌آموز شماره 15</x:v>
      </x:c>
    </x:row>
    <x:row r="174">
      <x:c r="A174" s="165" t="n">
        <x:v>170</x:v>
      </x:c>
      <x:c r="B174" s="233" t="str">
        <x:v>مرداد</x:v>
      </x:c>
      <x:c r="C174" s="233" t="n">
        <x:f>IF('دانش‌آموزان'!E19="","",'دانش‌آموزان'!B19)</x:f>
        <x:v>15</x:v>
      </x:c>
      <x:c r="D174" s="233" t="str">
        <x:f>IF('دانش‌آموزان'!C19="","",'دانش‌آموزان'!C19)</x:f>
        <x:v>4000000152</x:v>
      </x:c>
      <x:c r="E174" s="233" t="str">
        <x:f>IF('دانش‌آموزان'!E19="","",'دانش‌آموزان'!E19&amp;" "&amp;'دانش‌آموزان'!F19)</x:f>
        <x:v>ماهان سلیمانی</x:v>
      </x:c>
      <x:c r="F174" s="166" t="str">
        <x:f>IF('دانش‌آموزان'!I19="","",'دانش‌آموزان'!I19)</x:f>
        <x:v>sample-7-a</x:v>
      </x:c>
      <x:c r="G174" s="114"/>
      <x:c r="H174" s="115"/>
      <x:c r="I174" s="115"/>
      <x:c r="J174" s="115"/>
      <x:c r="K174" s="115"/>
      <x:c r="L174" s="115"/>
      <x:c r="M174" s="115"/>
      <x:c r="N174" s="115"/>
      <x:c r="O174" s="115"/>
      <x:c r="P174" s="115"/>
      <x:c r="Q174" s="115"/>
      <x:c r="R174" s="115"/>
      <x:c r="S174" s="115"/>
      <x:c r="T174" s="115"/>
      <x:c r="U174" s="115"/>
      <x:c r="V174" s="115"/>
      <x:c r="W174" s="115"/>
      <x:c r="X174" s="115"/>
      <x:c r="Y174" s="115"/>
      <x:c r="Z174" s="115"/>
      <x:c r="AA174" s="115"/>
      <x:c r="AB174" s="115"/>
      <x:c r="AC174" s="115"/>
      <x:c r="AD174" s="115"/>
      <x:c r="AE174" s="115"/>
      <x:c r="AF174" s="115"/>
      <x:c r="AG174" s="115"/>
      <x:c r="AH174" s="115"/>
      <x:c r="AI174" s="115"/>
      <x:c r="AJ174" s="115"/>
      <x:c r="AK174" s="115"/>
      <x:c r="AL174" s="115"/>
      <x:c r="AM174" s="115"/>
      <x:c r="AN174" s="115"/>
      <x:c r="AO174" s="115"/>
      <x:c r="AP174" s="115"/>
      <x:c r="AQ174" s="115"/>
      <x:c r="AR174" s="115"/>
      <x:c r="AS174" s="115"/>
      <x:c r="AT174" s="115"/>
      <x:c r="AU174" s="115"/>
      <x:c r="AV174" s="115"/>
      <x:c r="AW174" s="115"/>
      <x:c r="AX174" s="115"/>
      <x:c r="AY174" s="115"/>
      <x:c r="AZ174" s="115"/>
      <x:c r="BA174" s="115"/>
      <x:c r="BB174" s="115"/>
      <x:c r="BC174" s="115"/>
      <x:c r="BD174" s="115"/>
      <x:c r="BE174" s="115"/>
      <x:c r="BF174" s="115"/>
      <x:c r="BG174" s="115"/>
      <x:c r="BH174" s="115"/>
      <x:c r="BI174" s="115"/>
      <x:c r="BJ174" s="115"/>
      <x:c r="BK174" s="115"/>
      <x:c r="BL174" s="115"/>
      <x:c r="BM174" s="115"/>
      <x:c r="BN174" s="115"/>
      <x:c r="BO174" s="115"/>
      <x:c r="BP174" s="115"/>
      <x:c r="BQ174" s="115"/>
      <x:c r="BR174" s="115"/>
      <x:c r="BS174" s="115"/>
      <x:c r="BT174" s="115"/>
      <x:c r="BU174" s="115"/>
      <x:c r="BV174" s="115"/>
      <x:c r="BW174" s="115"/>
      <x:c r="BX174" s="115"/>
      <x:c r="BY174" s="115"/>
      <x:c r="BZ174" s="115"/>
      <x:c r="CA174" s="115"/>
      <x:c r="CB174" s="116"/>
      <x:c r="CC174" s="141" t="str">
        <x:f>IF(COUNT(G174:P174)=0,"",AVERAGE(G174:P174)*4)</x:f>
      </x:c>
      <x:c r="CD174" s="178" t="str">
        <x:f>IF(COUNT(Q174:Z174)=0,"",AVERAGE(Q174:Z174)*4)</x:f>
      </x:c>
      <x:c r="CE174" s="178" t="str">
        <x:f>IF(COUNT(AA174:AJ174)=0,"",AVERAGE(AA174:AJ174)*4)</x:f>
      </x:c>
      <x:c r="CF174" s="178" t="str">
        <x:f>IF(COUNT(AK174:AR174)=0,"",AVERAGE(AK174:AR174)*4)</x:f>
      </x:c>
      <x:c r="CG174" s="178" t="str">
        <x:f>IF(COUNT(AS174:AY174)=0,"",AVERAGE(AS174:AY174)*4)</x:f>
      </x:c>
      <x:c r="CH174" s="178" t="str">
        <x:f>IF(COUNT(AZ174:BG174)=0,"",AVERAGE(AZ174:BG174)*4)</x:f>
      </x:c>
      <x:c r="CI174" s="178" t="str">
        <x:f>IF(COUNT(BH174:BN174)=0,"",AVERAGE(BH174:BN174)*4)</x:f>
      </x:c>
      <x:c r="CJ174" s="178" t="str">
        <x:f>IF(COUNT(BO174:BU174)=0,"",AVERAGE(BO174:BU174)*4)</x:f>
      </x:c>
      <x:c r="CK174" s="178" t="str">
        <x:f>IF(COUNT(BV174:CB174)=0,"",AVERAGE(BV174:CB174)*4)</x:f>
      </x:c>
      <x:c r="CL174" s="178" t="str">
        <x:f>IF(C174="","",IF(COUNT(G174:CB174)&lt;74,"",(CC174*'تنظیمات وزن‌دهی'!$C$5+CD174*'تنظیمات وزن‌دهی'!$C$6+CE174*'تنظیمات وزن‌دهی'!$C$7+CF174*'تنظیمات وزن‌دهی'!$C$8+CG174*'تنظیمات وزن‌دهی'!$C$9+CH174*'تنظیمات وزن‌دهی'!$C$10+CI174*'تنظیمات وزن‌دهی'!$C$11+CJ174*'تنظیمات وزن‌دهی'!$C$12+CK174*'تنظیمات وزن‌دهی'!$C$13)/100))</x:f>
      </x:c>
      <x:c r="CM174" s="178" t="str">
        <x:f>IF(C174="","",IF(COUNT(G174:CB174)=0,"",IF(COUNT(G174:CB174)&lt;74,"موقت - اطلاعات ناقص",IF(CL174&gt;=17,"عالی",IF(CL174&gt;=14,"خوب",IF(CL174&gt;=10,"متوسط","ضعیف"))))))</x:f>
      </x:c>
      <x:c r="CN174" s="178" t="n">
        <x:v>2</x:v>
      </x:c>
      <x:c r="CO174" s="142" t="n">
        <x:f>IF(C174="","",COUNT(G174:CB174)/74)</x:f>
        <x:v>0</x:v>
      </x:c>
      <x:c r="CP174" s="245"/>
    </x:row>
    <x:row r="175">
      <x:c r="A175" s="165" t="n">
        <x:v>171</x:v>
      </x:c>
      <x:c r="B175" s="233" t="str">
        <x:v>شهریور</x:v>
      </x:c>
      <x:c r="C175" s="233" t="n">
        <x:f>IF('دانش‌آموزان'!E19="","",'دانش‌آموزان'!B19)</x:f>
        <x:v>15</x:v>
      </x:c>
      <x:c r="D175" s="233" t="str">
        <x:f>IF('دانش‌آموزان'!C19="","",'دانش‌آموزان'!C19)</x:f>
        <x:v>4000000152</x:v>
      </x:c>
      <x:c r="E175" s="233" t="str">
        <x:f>IF('دانش‌آموزان'!E19="","",'دانش‌آموزان'!E19&amp;" "&amp;'دانش‌آموزان'!F19)</x:f>
        <x:v>ماهان سلیمانی</x:v>
      </x:c>
      <x:c r="F175" s="166" t="str">
        <x:f>IF('دانش‌آموزان'!I19="","",'دانش‌آموزان'!I19)</x:f>
        <x:v>sample-7-a</x:v>
      </x:c>
      <x:c r="G175" s="114"/>
      <x:c r="H175" s="115"/>
      <x:c r="I175" s="115"/>
      <x:c r="J175" s="115"/>
      <x:c r="K175" s="115"/>
      <x:c r="L175" s="115"/>
      <x:c r="M175" s="115"/>
      <x:c r="N175" s="115"/>
      <x:c r="O175" s="115"/>
      <x:c r="P175" s="115"/>
      <x:c r="Q175" s="115"/>
      <x:c r="R175" s="115"/>
      <x:c r="S175" s="115"/>
      <x:c r="T175" s="115"/>
      <x:c r="U175" s="115"/>
      <x:c r="V175" s="115"/>
      <x:c r="W175" s="115"/>
      <x:c r="X175" s="115"/>
      <x:c r="Y175" s="115"/>
      <x:c r="Z175" s="115"/>
      <x:c r="AA175" s="115"/>
      <x:c r="AB175" s="115"/>
      <x:c r="AC175" s="115"/>
      <x:c r="AD175" s="115"/>
      <x:c r="AE175" s="115"/>
      <x:c r="AF175" s="115"/>
      <x:c r="AG175" s="115"/>
      <x:c r="AH175" s="115"/>
      <x:c r="AI175" s="115"/>
      <x:c r="AJ175" s="115"/>
      <x:c r="AK175" s="115"/>
      <x:c r="AL175" s="115"/>
      <x:c r="AM175" s="115"/>
      <x:c r="AN175" s="115"/>
      <x:c r="AO175" s="115"/>
      <x:c r="AP175" s="115"/>
      <x:c r="AQ175" s="115"/>
      <x:c r="AR175" s="115"/>
      <x:c r="AS175" s="115"/>
      <x:c r="AT175" s="115"/>
      <x:c r="AU175" s="115"/>
      <x:c r="AV175" s="115"/>
      <x:c r="AW175" s="115"/>
      <x:c r="AX175" s="115"/>
      <x:c r="AY175" s="115"/>
      <x:c r="AZ175" s="115"/>
      <x:c r="BA175" s="115"/>
      <x:c r="BB175" s="115"/>
      <x:c r="BC175" s="115"/>
      <x:c r="BD175" s="115"/>
      <x:c r="BE175" s="115"/>
      <x:c r="BF175" s="115"/>
      <x:c r="BG175" s="115"/>
      <x:c r="BH175" s="115"/>
      <x:c r="BI175" s="115"/>
      <x:c r="BJ175" s="115"/>
      <x:c r="BK175" s="115"/>
      <x:c r="BL175" s="115"/>
      <x:c r="BM175" s="115"/>
      <x:c r="BN175" s="115"/>
      <x:c r="BO175" s="115"/>
      <x:c r="BP175" s="115"/>
      <x:c r="BQ175" s="115"/>
      <x:c r="BR175" s="115"/>
      <x:c r="BS175" s="115"/>
      <x:c r="BT175" s="115"/>
      <x:c r="BU175" s="115"/>
      <x:c r="BV175" s="115"/>
      <x:c r="BW175" s="115"/>
      <x:c r="BX175" s="115"/>
      <x:c r="BY175" s="115"/>
      <x:c r="BZ175" s="115"/>
      <x:c r="CA175" s="115"/>
      <x:c r="CB175" s="116"/>
      <x:c r="CC175" s="141" t="str">
        <x:f>IF(COUNT(G175:P175)=0,"",AVERAGE(G175:P175)*4)</x:f>
      </x:c>
      <x:c r="CD175" s="178" t="str">
        <x:f>IF(COUNT(Q175:Z175)=0,"",AVERAGE(Q175:Z175)*4)</x:f>
      </x:c>
      <x:c r="CE175" s="178" t="str">
        <x:f>IF(COUNT(AA175:AJ175)=0,"",AVERAGE(AA175:AJ175)*4)</x:f>
      </x:c>
      <x:c r="CF175" s="178" t="str">
        <x:f>IF(COUNT(AK175:AR175)=0,"",AVERAGE(AK175:AR175)*4)</x:f>
      </x:c>
      <x:c r="CG175" s="178" t="str">
        <x:f>IF(COUNT(AS175:AY175)=0,"",AVERAGE(AS175:AY175)*4)</x:f>
      </x:c>
      <x:c r="CH175" s="178" t="str">
        <x:f>IF(COUNT(AZ175:BG175)=0,"",AVERAGE(AZ175:BG175)*4)</x:f>
      </x:c>
      <x:c r="CI175" s="178" t="str">
        <x:f>IF(COUNT(BH175:BN175)=0,"",AVERAGE(BH175:BN175)*4)</x:f>
      </x:c>
      <x:c r="CJ175" s="178" t="str">
        <x:f>IF(COUNT(BO175:BU175)=0,"",AVERAGE(BO175:BU175)*4)</x:f>
      </x:c>
      <x:c r="CK175" s="178" t="str">
        <x:f>IF(COUNT(BV175:CB175)=0,"",AVERAGE(BV175:CB175)*4)</x:f>
      </x:c>
      <x:c r="CL175" s="178" t="str">
        <x:f>IF(C175="","",IF(COUNT(G175:CB175)&lt;74,"",(CC175*'تنظیمات وزن‌دهی'!$C$5+CD175*'تنظیمات وزن‌دهی'!$C$6+CE175*'تنظیمات وزن‌دهی'!$C$7+CF175*'تنظیمات وزن‌دهی'!$C$8+CG175*'تنظیمات وزن‌دهی'!$C$9+CH175*'تنظیمات وزن‌دهی'!$C$10+CI175*'تنظیمات وزن‌دهی'!$C$11+CJ175*'تنظیمات وزن‌دهی'!$C$12+CK175*'تنظیمات وزن‌دهی'!$C$13)/100))</x:f>
      </x:c>
      <x:c r="CM175" s="178" t="str">
        <x:f>IF(C175="","",IF(COUNT(G175:CB175)=0,"",IF(COUNT(G175:CB175)&lt;74,"موقت - اطلاعات ناقص",IF(CL175&gt;=17,"عالی",IF(CL175&gt;=14,"خوب",IF(CL175&gt;=10,"متوسط","ضعیف"))))))</x:f>
      </x:c>
      <x:c r="CN175" s="178" t="n">
        <x:v>3</x:v>
      </x:c>
      <x:c r="CO175" s="142" t="n">
        <x:f>IF(C175="","",COUNT(G175:CB175)/74)</x:f>
        <x:v>0</x:v>
      </x:c>
      <x:c r="CP175" s="245"/>
    </x:row>
    <x:row r="176">
      <x:c r="A176" s="165" t="n">
        <x:v>172</x:v>
      </x:c>
      <x:c r="B176" s="233" t="str">
        <x:v>مهر</x:v>
      </x:c>
      <x:c r="C176" s="233" t="n">
        <x:f>IF('دانش‌آموزان'!E19="","",'دانش‌آموزان'!B19)</x:f>
        <x:v>15</x:v>
      </x:c>
      <x:c r="D176" s="233" t="str">
        <x:f>IF('دانش‌آموزان'!C19="","",'دانش‌آموزان'!C19)</x:f>
        <x:v>4000000152</x:v>
      </x:c>
      <x:c r="E176" s="233" t="str">
        <x:f>IF('دانش‌آموزان'!E19="","",'دانش‌آموزان'!E19&amp;" "&amp;'دانش‌آموزان'!F19)</x:f>
        <x:v>ماهان سلیمانی</x:v>
      </x:c>
      <x:c r="F176" s="166" t="str">
        <x:f>IF('دانش‌آموزان'!I19="","",'دانش‌آموزان'!I19)</x:f>
        <x:v>sample-7-a</x:v>
      </x:c>
      <x:c r="G176" s="114"/>
      <x:c r="H176" s="115"/>
      <x:c r="I176" s="115"/>
      <x:c r="J176" s="115"/>
      <x:c r="K176" s="115"/>
      <x:c r="L176" s="115"/>
      <x:c r="M176" s="115"/>
      <x:c r="N176" s="115"/>
      <x:c r="O176" s="115"/>
      <x:c r="P176" s="115"/>
      <x:c r="Q176" s="115"/>
      <x:c r="R176" s="115"/>
      <x:c r="S176" s="115"/>
      <x:c r="T176" s="115"/>
      <x:c r="U176" s="115"/>
      <x:c r="V176" s="115"/>
      <x:c r="W176" s="115"/>
      <x:c r="X176" s="115"/>
      <x:c r="Y176" s="115"/>
      <x:c r="Z176" s="115"/>
      <x:c r="AA176" s="115"/>
      <x:c r="AB176" s="115"/>
      <x:c r="AC176" s="115"/>
      <x:c r="AD176" s="115"/>
      <x:c r="AE176" s="115"/>
      <x:c r="AF176" s="115"/>
      <x:c r="AG176" s="115"/>
      <x:c r="AH176" s="115"/>
      <x:c r="AI176" s="115"/>
      <x:c r="AJ176" s="115"/>
      <x:c r="AK176" s="115"/>
      <x:c r="AL176" s="115"/>
      <x:c r="AM176" s="115"/>
      <x:c r="AN176" s="115"/>
      <x:c r="AO176" s="115"/>
      <x:c r="AP176" s="115"/>
      <x:c r="AQ176" s="115"/>
      <x:c r="AR176" s="115"/>
      <x:c r="AS176" s="115"/>
      <x:c r="AT176" s="115"/>
      <x:c r="AU176" s="115"/>
      <x:c r="AV176" s="115"/>
      <x:c r="AW176" s="115"/>
      <x:c r="AX176" s="115"/>
      <x:c r="AY176" s="115"/>
      <x:c r="AZ176" s="115"/>
      <x:c r="BA176" s="115"/>
      <x:c r="BB176" s="115"/>
      <x:c r="BC176" s="115"/>
      <x:c r="BD176" s="115"/>
      <x:c r="BE176" s="115"/>
      <x:c r="BF176" s="115"/>
      <x:c r="BG176" s="115"/>
      <x:c r="BH176" s="115"/>
      <x:c r="BI176" s="115"/>
      <x:c r="BJ176" s="115"/>
      <x:c r="BK176" s="115"/>
      <x:c r="BL176" s="115"/>
      <x:c r="BM176" s="115"/>
      <x:c r="BN176" s="115"/>
      <x:c r="BO176" s="115"/>
      <x:c r="BP176" s="115"/>
      <x:c r="BQ176" s="115"/>
      <x:c r="BR176" s="115"/>
      <x:c r="BS176" s="115"/>
      <x:c r="BT176" s="115"/>
      <x:c r="BU176" s="115"/>
      <x:c r="BV176" s="115"/>
      <x:c r="BW176" s="115"/>
      <x:c r="BX176" s="115"/>
      <x:c r="BY176" s="115"/>
      <x:c r="BZ176" s="115"/>
      <x:c r="CA176" s="115"/>
      <x:c r="CB176" s="116"/>
      <x:c r="CC176" s="141" t="str">
        <x:f>IF(COUNT(G176:P176)=0,"",AVERAGE(G176:P176)*4)</x:f>
      </x:c>
      <x:c r="CD176" s="178" t="str">
        <x:f>IF(COUNT(Q176:Z176)=0,"",AVERAGE(Q176:Z176)*4)</x:f>
      </x:c>
      <x:c r="CE176" s="178" t="str">
        <x:f>IF(COUNT(AA176:AJ176)=0,"",AVERAGE(AA176:AJ176)*4)</x:f>
      </x:c>
      <x:c r="CF176" s="178" t="str">
        <x:f>IF(COUNT(AK176:AR176)=0,"",AVERAGE(AK176:AR176)*4)</x:f>
      </x:c>
      <x:c r="CG176" s="178" t="str">
        <x:f>IF(COUNT(AS176:AY176)=0,"",AVERAGE(AS176:AY176)*4)</x:f>
      </x:c>
      <x:c r="CH176" s="178" t="str">
        <x:f>IF(COUNT(AZ176:BG176)=0,"",AVERAGE(AZ176:BG176)*4)</x:f>
      </x:c>
      <x:c r="CI176" s="178" t="str">
        <x:f>IF(COUNT(BH176:BN176)=0,"",AVERAGE(BH176:BN176)*4)</x:f>
      </x:c>
      <x:c r="CJ176" s="178" t="str">
        <x:f>IF(COUNT(BO176:BU176)=0,"",AVERAGE(BO176:BU176)*4)</x:f>
      </x:c>
      <x:c r="CK176" s="178" t="str">
        <x:f>IF(COUNT(BV176:CB176)=0,"",AVERAGE(BV176:CB176)*4)</x:f>
      </x:c>
      <x:c r="CL176" s="178" t="str">
        <x:f>IF(C176="","",IF(COUNT(G176:CB176)&lt;74,"",(CC176*'تنظیمات وزن‌دهی'!$C$5+CD176*'تنظیمات وزن‌دهی'!$C$6+CE176*'تنظیمات وزن‌دهی'!$C$7+CF176*'تنظیمات وزن‌دهی'!$C$8+CG176*'تنظیمات وزن‌دهی'!$C$9+CH176*'تنظیمات وزن‌دهی'!$C$10+CI176*'تنظیمات وزن‌دهی'!$C$11+CJ176*'تنظیمات وزن‌دهی'!$C$12+CK176*'تنظیمات وزن‌دهی'!$C$13)/100))</x:f>
      </x:c>
      <x:c r="CM176" s="178" t="str">
        <x:f>IF(C176="","",IF(COUNT(G176:CB176)=0,"",IF(COUNT(G176:CB176)&lt;74,"موقت - اطلاعات ناقص",IF(CL176&gt;=17,"عالی",IF(CL176&gt;=14,"خوب",IF(CL176&gt;=10,"متوسط","ضعیف"))))))</x:f>
      </x:c>
      <x:c r="CN176" s="178" t="n">
        <x:v>4</x:v>
      </x:c>
      <x:c r="CO176" s="142" t="n">
        <x:f>IF(C176="","",COUNT(G176:CB176)/74)</x:f>
        <x:v>0</x:v>
      </x:c>
      <x:c r="CP176" s="245"/>
    </x:row>
    <x:row r="177">
      <x:c r="A177" s="165" t="n">
        <x:v>173</x:v>
      </x:c>
      <x:c r="B177" s="233" t="str">
        <x:v>آبان</x:v>
      </x:c>
      <x:c r="C177" s="233" t="n">
        <x:f>IF('دانش‌آموزان'!E19="","",'دانش‌آموزان'!B19)</x:f>
        <x:v>15</x:v>
      </x:c>
      <x:c r="D177" s="233" t="str">
        <x:f>IF('دانش‌آموزان'!C19="","",'دانش‌آموزان'!C19)</x:f>
        <x:v>4000000152</x:v>
      </x:c>
      <x:c r="E177" s="233" t="str">
        <x:f>IF('دانش‌آموزان'!E19="","",'دانش‌آموزان'!E19&amp;" "&amp;'دانش‌آموزان'!F19)</x:f>
        <x:v>ماهان سلیمانی</x:v>
      </x:c>
      <x:c r="F177" s="166" t="str">
        <x:f>IF('دانش‌آموزان'!I19="","",'دانش‌آموزان'!I19)</x:f>
        <x:v>sample-7-a</x:v>
      </x:c>
      <x:c r="G177" s="114"/>
      <x:c r="H177" s="115"/>
      <x:c r="I177" s="115"/>
      <x:c r="J177" s="115"/>
      <x:c r="K177" s="115"/>
      <x:c r="L177" s="115"/>
      <x:c r="M177" s="115"/>
      <x:c r="N177" s="115"/>
      <x:c r="O177" s="115"/>
      <x:c r="P177" s="115"/>
      <x:c r="Q177" s="115"/>
      <x:c r="R177" s="115"/>
      <x:c r="S177" s="115"/>
      <x:c r="T177" s="115"/>
      <x:c r="U177" s="115"/>
      <x:c r="V177" s="115"/>
      <x:c r="W177" s="115"/>
      <x:c r="X177" s="115"/>
      <x:c r="Y177" s="115"/>
      <x:c r="Z177" s="115"/>
      <x:c r="AA177" s="115"/>
      <x:c r="AB177" s="115"/>
      <x:c r="AC177" s="115"/>
      <x:c r="AD177" s="115"/>
      <x:c r="AE177" s="115"/>
      <x:c r="AF177" s="115"/>
      <x:c r="AG177" s="115"/>
      <x:c r="AH177" s="115"/>
      <x:c r="AI177" s="115"/>
      <x:c r="AJ177" s="115"/>
      <x:c r="AK177" s="115"/>
      <x:c r="AL177" s="115"/>
      <x:c r="AM177" s="115"/>
      <x:c r="AN177" s="115"/>
      <x:c r="AO177" s="115"/>
      <x:c r="AP177" s="115"/>
      <x:c r="AQ177" s="115"/>
      <x:c r="AR177" s="115"/>
      <x:c r="AS177" s="115"/>
      <x:c r="AT177" s="115"/>
      <x:c r="AU177" s="115"/>
      <x:c r="AV177" s="115"/>
      <x:c r="AW177" s="115"/>
      <x:c r="AX177" s="115"/>
      <x:c r="AY177" s="115"/>
      <x:c r="AZ177" s="115"/>
      <x:c r="BA177" s="115"/>
      <x:c r="BB177" s="115"/>
      <x:c r="BC177" s="115"/>
      <x:c r="BD177" s="115"/>
      <x:c r="BE177" s="115"/>
      <x:c r="BF177" s="115"/>
      <x:c r="BG177" s="115"/>
      <x:c r="BH177" s="115"/>
      <x:c r="BI177" s="115"/>
      <x:c r="BJ177" s="115"/>
      <x:c r="BK177" s="115"/>
      <x:c r="BL177" s="115"/>
      <x:c r="BM177" s="115"/>
      <x:c r="BN177" s="115"/>
      <x:c r="BO177" s="115"/>
      <x:c r="BP177" s="115"/>
      <x:c r="BQ177" s="115"/>
      <x:c r="BR177" s="115"/>
      <x:c r="BS177" s="115"/>
      <x:c r="BT177" s="115"/>
      <x:c r="BU177" s="115"/>
      <x:c r="BV177" s="115"/>
      <x:c r="BW177" s="115"/>
      <x:c r="BX177" s="115"/>
      <x:c r="BY177" s="115"/>
      <x:c r="BZ177" s="115"/>
      <x:c r="CA177" s="115"/>
      <x:c r="CB177" s="116"/>
      <x:c r="CC177" s="141" t="str">
        <x:f>IF(COUNT(G177:P177)=0,"",AVERAGE(G177:P177)*4)</x:f>
      </x:c>
      <x:c r="CD177" s="178" t="str">
        <x:f>IF(COUNT(Q177:Z177)=0,"",AVERAGE(Q177:Z177)*4)</x:f>
      </x:c>
      <x:c r="CE177" s="178" t="str">
        <x:f>IF(COUNT(AA177:AJ177)=0,"",AVERAGE(AA177:AJ177)*4)</x:f>
      </x:c>
      <x:c r="CF177" s="178" t="str">
        <x:f>IF(COUNT(AK177:AR177)=0,"",AVERAGE(AK177:AR177)*4)</x:f>
      </x:c>
      <x:c r="CG177" s="178" t="str">
        <x:f>IF(COUNT(AS177:AY177)=0,"",AVERAGE(AS177:AY177)*4)</x:f>
      </x:c>
      <x:c r="CH177" s="178" t="str">
        <x:f>IF(COUNT(AZ177:BG177)=0,"",AVERAGE(AZ177:BG177)*4)</x:f>
      </x:c>
      <x:c r="CI177" s="178" t="str">
        <x:f>IF(COUNT(BH177:BN177)=0,"",AVERAGE(BH177:BN177)*4)</x:f>
      </x:c>
      <x:c r="CJ177" s="178" t="str">
        <x:f>IF(COUNT(BO177:BU177)=0,"",AVERAGE(BO177:BU177)*4)</x:f>
      </x:c>
      <x:c r="CK177" s="178" t="str">
        <x:f>IF(COUNT(BV177:CB177)=0,"",AVERAGE(BV177:CB177)*4)</x:f>
      </x:c>
      <x:c r="CL177" s="178" t="str">
        <x:f>IF(C177="","",IF(COUNT(G177:CB177)&lt;74,"",(CC177*'تنظیمات وزن‌دهی'!$C$5+CD177*'تنظیمات وزن‌دهی'!$C$6+CE177*'تنظیمات وزن‌دهی'!$C$7+CF177*'تنظیمات وزن‌دهی'!$C$8+CG177*'تنظیمات وزن‌دهی'!$C$9+CH177*'تنظیمات وزن‌دهی'!$C$10+CI177*'تنظیمات وزن‌دهی'!$C$11+CJ177*'تنظیمات وزن‌دهی'!$C$12+CK177*'تنظیمات وزن‌دهی'!$C$13)/100))</x:f>
      </x:c>
      <x:c r="CM177" s="178" t="str">
        <x:f>IF(C177="","",IF(COUNT(G177:CB177)=0,"",IF(COUNT(G177:CB177)&lt;74,"موقت - اطلاعات ناقص",IF(CL177&gt;=17,"عالی",IF(CL177&gt;=14,"خوب",IF(CL177&gt;=10,"متوسط","ضعیف"))))))</x:f>
      </x:c>
      <x:c r="CN177" s="178" t="n">
        <x:v>5</x:v>
      </x:c>
      <x:c r="CO177" s="142" t="n">
        <x:f>IF(C177="","",COUNT(G177:CB177)/74)</x:f>
        <x:v>0</x:v>
      </x:c>
      <x:c r="CP177" s="245"/>
    </x:row>
    <x:row r="178">
      <x:c r="A178" s="165" t="n">
        <x:v>174</x:v>
      </x:c>
      <x:c r="B178" s="233" t="str">
        <x:v>آذر</x:v>
      </x:c>
      <x:c r="C178" s="233" t="n">
        <x:f>IF('دانش‌آموزان'!E19="","",'دانش‌آموزان'!B19)</x:f>
        <x:v>15</x:v>
      </x:c>
      <x:c r="D178" s="233" t="str">
        <x:f>IF('دانش‌آموزان'!C19="","",'دانش‌آموزان'!C19)</x:f>
        <x:v>4000000152</x:v>
      </x:c>
      <x:c r="E178" s="233" t="str">
        <x:f>IF('دانش‌آموزان'!E19="","",'دانش‌آموزان'!E19&amp;" "&amp;'دانش‌آموزان'!F19)</x:f>
        <x:v>ماهان سلیمانی</x:v>
      </x:c>
      <x:c r="F178" s="166" t="str">
        <x:f>IF('دانش‌آموزان'!I19="","",'دانش‌آموزان'!I19)</x:f>
        <x:v>sample-7-a</x:v>
      </x:c>
      <x:c r="G178" s="114"/>
      <x:c r="H178" s="115"/>
      <x:c r="I178" s="115"/>
      <x:c r="J178" s="115"/>
      <x:c r="K178" s="115"/>
      <x:c r="L178" s="115"/>
      <x:c r="M178" s="115"/>
      <x:c r="N178" s="115"/>
      <x:c r="O178" s="115"/>
      <x:c r="P178" s="115"/>
      <x:c r="Q178" s="115"/>
      <x:c r="R178" s="115"/>
      <x:c r="S178" s="115"/>
      <x:c r="T178" s="115"/>
      <x:c r="U178" s="115"/>
      <x:c r="V178" s="115"/>
      <x:c r="W178" s="115"/>
      <x:c r="X178" s="115"/>
      <x:c r="Y178" s="115"/>
      <x:c r="Z178" s="115"/>
      <x:c r="AA178" s="115"/>
      <x:c r="AB178" s="115"/>
      <x:c r="AC178" s="115"/>
      <x:c r="AD178" s="115"/>
      <x:c r="AE178" s="115"/>
      <x:c r="AF178" s="115"/>
      <x:c r="AG178" s="115"/>
      <x:c r="AH178" s="115"/>
      <x:c r="AI178" s="115"/>
      <x:c r="AJ178" s="115"/>
      <x:c r="AK178" s="115"/>
      <x:c r="AL178" s="115"/>
      <x:c r="AM178" s="115"/>
      <x:c r="AN178" s="115"/>
      <x:c r="AO178" s="115"/>
      <x:c r="AP178" s="115"/>
      <x:c r="AQ178" s="115"/>
      <x:c r="AR178" s="115"/>
      <x:c r="AS178" s="115"/>
      <x:c r="AT178" s="115"/>
      <x:c r="AU178" s="115"/>
      <x:c r="AV178" s="115"/>
      <x:c r="AW178" s="115"/>
      <x:c r="AX178" s="115"/>
      <x:c r="AY178" s="115"/>
      <x:c r="AZ178" s="115"/>
      <x:c r="BA178" s="115"/>
      <x:c r="BB178" s="115"/>
      <x:c r="BC178" s="115"/>
      <x:c r="BD178" s="115"/>
      <x:c r="BE178" s="115"/>
      <x:c r="BF178" s="115"/>
      <x:c r="BG178" s="115"/>
      <x:c r="BH178" s="115"/>
      <x:c r="BI178" s="115"/>
      <x:c r="BJ178" s="115"/>
      <x:c r="BK178" s="115"/>
      <x:c r="BL178" s="115"/>
      <x:c r="BM178" s="115"/>
      <x:c r="BN178" s="115"/>
      <x:c r="BO178" s="115"/>
      <x:c r="BP178" s="115"/>
      <x:c r="BQ178" s="115"/>
      <x:c r="BR178" s="115"/>
      <x:c r="BS178" s="115"/>
      <x:c r="BT178" s="115"/>
      <x:c r="BU178" s="115"/>
      <x:c r="BV178" s="115"/>
      <x:c r="BW178" s="115"/>
      <x:c r="BX178" s="115"/>
      <x:c r="BY178" s="115"/>
      <x:c r="BZ178" s="115"/>
      <x:c r="CA178" s="115"/>
      <x:c r="CB178" s="116"/>
      <x:c r="CC178" s="141" t="str">
        <x:f>IF(COUNT(G178:P178)=0,"",AVERAGE(G178:P178)*4)</x:f>
      </x:c>
      <x:c r="CD178" s="178" t="str">
        <x:f>IF(COUNT(Q178:Z178)=0,"",AVERAGE(Q178:Z178)*4)</x:f>
      </x:c>
      <x:c r="CE178" s="178" t="str">
        <x:f>IF(COUNT(AA178:AJ178)=0,"",AVERAGE(AA178:AJ178)*4)</x:f>
      </x:c>
      <x:c r="CF178" s="178" t="str">
        <x:f>IF(COUNT(AK178:AR178)=0,"",AVERAGE(AK178:AR178)*4)</x:f>
      </x:c>
      <x:c r="CG178" s="178" t="str">
        <x:f>IF(COUNT(AS178:AY178)=0,"",AVERAGE(AS178:AY178)*4)</x:f>
      </x:c>
      <x:c r="CH178" s="178" t="str">
        <x:f>IF(COUNT(AZ178:BG178)=0,"",AVERAGE(AZ178:BG178)*4)</x:f>
      </x:c>
      <x:c r="CI178" s="178" t="str">
        <x:f>IF(COUNT(BH178:BN178)=0,"",AVERAGE(BH178:BN178)*4)</x:f>
      </x:c>
      <x:c r="CJ178" s="178" t="str">
        <x:f>IF(COUNT(BO178:BU178)=0,"",AVERAGE(BO178:BU178)*4)</x:f>
      </x:c>
      <x:c r="CK178" s="178" t="str">
        <x:f>IF(COUNT(BV178:CB178)=0,"",AVERAGE(BV178:CB178)*4)</x:f>
      </x:c>
      <x:c r="CL178" s="178" t="str">
        <x:f>IF(C178="","",IF(COUNT(G178:CB178)&lt;74,"",(CC178*'تنظیمات وزن‌دهی'!$C$5+CD178*'تنظیمات وزن‌دهی'!$C$6+CE178*'تنظیمات وزن‌دهی'!$C$7+CF178*'تنظیمات وزن‌دهی'!$C$8+CG178*'تنظیمات وزن‌دهی'!$C$9+CH178*'تنظیمات وزن‌دهی'!$C$10+CI178*'تنظیمات وزن‌دهی'!$C$11+CJ178*'تنظیمات وزن‌دهی'!$C$12+CK178*'تنظیمات وزن‌دهی'!$C$13)/100))</x:f>
      </x:c>
      <x:c r="CM178" s="178" t="str">
        <x:f>IF(C178="","",IF(COUNT(G178:CB178)=0,"",IF(COUNT(G178:CB178)&lt;74,"موقت - اطلاعات ناقص",IF(CL178&gt;=17,"عالی",IF(CL178&gt;=14,"خوب",IF(CL178&gt;=10,"متوسط","ضعیف"))))))</x:f>
      </x:c>
      <x:c r="CN178" s="178" t="n">
        <x:v>6</x:v>
      </x:c>
      <x:c r="CO178" s="142" t="n">
        <x:f>IF(C178="","",COUNT(G178:CB178)/74)</x:f>
        <x:v>0</x:v>
      </x:c>
      <x:c r="CP178" s="245"/>
    </x:row>
    <x:row r="179">
      <x:c r="A179" s="165" t="n">
        <x:v>175</x:v>
      </x:c>
      <x:c r="B179" s="233" t="str">
        <x:v>دی</x:v>
      </x:c>
      <x:c r="C179" s="233" t="n">
        <x:f>IF('دانش‌آموزان'!E19="","",'دانش‌آموزان'!B19)</x:f>
        <x:v>15</x:v>
      </x:c>
      <x:c r="D179" s="233" t="str">
        <x:f>IF('دانش‌آموزان'!C19="","",'دانش‌آموزان'!C19)</x:f>
        <x:v>4000000152</x:v>
      </x:c>
      <x:c r="E179" s="233" t="str">
        <x:f>IF('دانش‌آموزان'!E19="","",'دانش‌آموزان'!E19&amp;" "&amp;'دانش‌آموزان'!F19)</x:f>
        <x:v>ماهان سلیمانی</x:v>
      </x:c>
      <x:c r="F179" s="166" t="str">
        <x:f>IF('دانش‌آموزان'!I19="","",'دانش‌آموزان'!I19)</x:f>
        <x:v>sample-7-a</x:v>
      </x:c>
      <x:c r="G179" s="114"/>
      <x:c r="H179" s="115"/>
      <x:c r="I179" s="115"/>
      <x:c r="J179" s="115"/>
      <x:c r="K179" s="115"/>
      <x:c r="L179" s="115"/>
      <x:c r="M179" s="115"/>
      <x:c r="N179" s="115"/>
      <x:c r="O179" s="115"/>
      <x:c r="P179" s="115"/>
      <x:c r="Q179" s="115"/>
      <x:c r="R179" s="115"/>
      <x:c r="S179" s="115"/>
      <x:c r="T179" s="115"/>
      <x:c r="U179" s="115"/>
      <x:c r="V179" s="115"/>
      <x:c r="W179" s="115"/>
      <x:c r="X179" s="115"/>
      <x:c r="Y179" s="115"/>
      <x:c r="Z179" s="115"/>
      <x:c r="AA179" s="115"/>
      <x:c r="AB179" s="115"/>
      <x:c r="AC179" s="115"/>
      <x:c r="AD179" s="115"/>
      <x:c r="AE179" s="115"/>
      <x:c r="AF179" s="115"/>
      <x:c r="AG179" s="115"/>
      <x:c r="AH179" s="115"/>
      <x:c r="AI179" s="115"/>
      <x:c r="AJ179" s="115"/>
      <x:c r="AK179" s="115"/>
      <x:c r="AL179" s="115"/>
      <x:c r="AM179" s="115"/>
      <x:c r="AN179" s="115"/>
      <x:c r="AO179" s="115"/>
      <x:c r="AP179" s="115"/>
      <x:c r="AQ179" s="115"/>
      <x:c r="AR179" s="115"/>
      <x:c r="AS179" s="115"/>
      <x:c r="AT179" s="115"/>
      <x:c r="AU179" s="115"/>
      <x:c r="AV179" s="115"/>
      <x:c r="AW179" s="115"/>
      <x:c r="AX179" s="115"/>
      <x:c r="AY179" s="115"/>
      <x:c r="AZ179" s="115"/>
      <x:c r="BA179" s="115"/>
      <x:c r="BB179" s="115"/>
      <x:c r="BC179" s="115"/>
      <x:c r="BD179" s="115"/>
      <x:c r="BE179" s="115"/>
      <x:c r="BF179" s="115"/>
      <x:c r="BG179" s="115"/>
      <x:c r="BH179" s="115"/>
      <x:c r="BI179" s="115"/>
      <x:c r="BJ179" s="115"/>
      <x:c r="BK179" s="115"/>
      <x:c r="BL179" s="115"/>
      <x:c r="BM179" s="115"/>
      <x:c r="BN179" s="115"/>
      <x:c r="BO179" s="115"/>
      <x:c r="BP179" s="115"/>
      <x:c r="BQ179" s="115"/>
      <x:c r="BR179" s="115"/>
      <x:c r="BS179" s="115"/>
      <x:c r="BT179" s="115"/>
      <x:c r="BU179" s="115"/>
      <x:c r="BV179" s="115"/>
      <x:c r="BW179" s="115"/>
      <x:c r="BX179" s="115"/>
      <x:c r="BY179" s="115"/>
      <x:c r="BZ179" s="115"/>
      <x:c r="CA179" s="115"/>
      <x:c r="CB179" s="116"/>
      <x:c r="CC179" s="141" t="str">
        <x:f>IF(COUNT(G179:P179)=0,"",AVERAGE(G179:P179)*4)</x:f>
      </x:c>
      <x:c r="CD179" s="178" t="str">
        <x:f>IF(COUNT(Q179:Z179)=0,"",AVERAGE(Q179:Z179)*4)</x:f>
      </x:c>
      <x:c r="CE179" s="178" t="str">
        <x:f>IF(COUNT(AA179:AJ179)=0,"",AVERAGE(AA179:AJ179)*4)</x:f>
      </x:c>
      <x:c r="CF179" s="178" t="str">
        <x:f>IF(COUNT(AK179:AR179)=0,"",AVERAGE(AK179:AR179)*4)</x:f>
      </x:c>
      <x:c r="CG179" s="178" t="str">
        <x:f>IF(COUNT(AS179:AY179)=0,"",AVERAGE(AS179:AY179)*4)</x:f>
      </x:c>
      <x:c r="CH179" s="178" t="str">
        <x:f>IF(COUNT(AZ179:BG179)=0,"",AVERAGE(AZ179:BG179)*4)</x:f>
      </x:c>
      <x:c r="CI179" s="178" t="str">
        <x:f>IF(COUNT(BH179:BN179)=0,"",AVERAGE(BH179:BN179)*4)</x:f>
      </x:c>
      <x:c r="CJ179" s="178" t="str">
        <x:f>IF(COUNT(BO179:BU179)=0,"",AVERAGE(BO179:BU179)*4)</x:f>
      </x:c>
      <x:c r="CK179" s="178" t="str">
        <x:f>IF(COUNT(BV179:CB179)=0,"",AVERAGE(BV179:CB179)*4)</x:f>
      </x:c>
      <x:c r="CL179" s="178" t="str">
        <x:f>IF(C179="","",IF(COUNT(G179:CB179)&lt;74,"",(CC179*'تنظیمات وزن‌دهی'!$C$5+CD179*'تنظیمات وزن‌دهی'!$C$6+CE179*'تنظیمات وزن‌دهی'!$C$7+CF179*'تنظیمات وزن‌دهی'!$C$8+CG179*'تنظیمات وزن‌دهی'!$C$9+CH179*'تنظیمات وزن‌دهی'!$C$10+CI179*'تنظیمات وزن‌دهی'!$C$11+CJ179*'تنظیمات وزن‌دهی'!$C$12+CK179*'تنظیمات وزن‌دهی'!$C$13)/100))</x:f>
      </x:c>
      <x:c r="CM179" s="178" t="str">
        <x:f>IF(C179="","",IF(COUNT(G179:CB179)=0,"",IF(COUNT(G179:CB179)&lt;74,"موقت - اطلاعات ناقص",IF(CL179&gt;=17,"عالی",IF(CL179&gt;=14,"خوب",IF(CL179&gt;=10,"متوسط","ضعیف"))))))</x:f>
      </x:c>
      <x:c r="CN179" s="178" t="n">
        <x:v>7</x:v>
      </x:c>
      <x:c r="CO179" s="142" t="n">
        <x:f>IF(C179="","",COUNT(G179:CB179)/74)</x:f>
        <x:v>0</x:v>
      </x:c>
      <x:c r="CP179" s="245"/>
    </x:row>
    <x:row r="180">
      <x:c r="A180" s="165" t="n">
        <x:v>176</x:v>
      </x:c>
      <x:c r="B180" s="233" t="str">
        <x:v>بهمن</x:v>
      </x:c>
      <x:c r="C180" s="233" t="n">
        <x:f>IF('دانش‌آموزان'!E19="","",'دانش‌آموزان'!B19)</x:f>
        <x:v>15</x:v>
      </x:c>
      <x:c r="D180" s="233" t="str">
        <x:f>IF('دانش‌آموزان'!C19="","",'دانش‌آموزان'!C19)</x:f>
        <x:v>4000000152</x:v>
      </x:c>
      <x:c r="E180" s="233" t="str">
        <x:f>IF('دانش‌آموزان'!E19="","",'دانش‌آموزان'!E19&amp;" "&amp;'دانش‌آموزان'!F19)</x:f>
        <x:v>ماهان سلیمانی</x:v>
      </x:c>
      <x:c r="F180" s="166" t="str">
        <x:f>IF('دانش‌آموزان'!I19="","",'دانش‌آموزان'!I19)</x:f>
        <x:v>sample-7-a</x:v>
      </x:c>
      <x:c r="G180" s="114"/>
      <x:c r="H180" s="115"/>
      <x:c r="I180" s="115"/>
      <x:c r="J180" s="115"/>
      <x:c r="K180" s="115"/>
      <x:c r="L180" s="115"/>
      <x:c r="M180" s="115"/>
      <x:c r="N180" s="115"/>
      <x:c r="O180" s="115"/>
      <x:c r="P180" s="115"/>
      <x:c r="Q180" s="115"/>
      <x:c r="R180" s="115"/>
      <x:c r="S180" s="115"/>
      <x:c r="T180" s="115"/>
      <x:c r="U180" s="115"/>
      <x:c r="V180" s="115"/>
      <x:c r="W180" s="115"/>
      <x:c r="X180" s="115"/>
      <x:c r="Y180" s="115"/>
      <x:c r="Z180" s="115"/>
      <x:c r="AA180" s="115"/>
      <x:c r="AB180" s="115"/>
      <x:c r="AC180" s="115"/>
      <x:c r="AD180" s="115"/>
      <x:c r="AE180" s="115"/>
      <x:c r="AF180" s="115"/>
      <x:c r="AG180" s="115"/>
      <x:c r="AH180" s="115"/>
      <x:c r="AI180" s="115"/>
      <x:c r="AJ180" s="115"/>
      <x:c r="AK180" s="115"/>
      <x:c r="AL180" s="115"/>
      <x:c r="AM180" s="115"/>
      <x:c r="AN180" s="115"/>
      <x:c r="AO180" s="115"/>
      <x:c r="AP180" s="115"/>
      <x:c r="AQ180" s="115"/>
      <x:c r="AR180" s="115"/>
      <x:c r="AS180" s="115"/>
      <x:c r="AT180" s="115"/>
      <x:c r="AU180" s="115"/>
      <x:c r="AV180" s="115"/>
      <x:c r="AW180" s="115"/>
      <x:c r="AX180" s="115"/>
      <x:c r="AY180" s="115"/>
      <x:c r="AZ180" s="115"/>
      <x:c r="BA180" s="115"/>
      <x:c r="BB180" s="115"/>
      <x:c r="BC180" s="115"/>
      <x:c r="BD180" s="115"/>
      <x:c r="BE180" s="115"/>
      <x:c r="BF180" s="115"/>
      <x:c r="BG180" s="115"/>
      <x:c r="BH180" s="115"/>
      <x:c r="BI180" s="115"/>
      <x:c r="BJ180" s="115"/>
      <x:c r="BK180" s="115"/>
      <x:c r="BL180" s="115"/>
      <x:c r="BM180" s="115"/>
      <x:c r="BN180" s="115"/>
      <x:c r="BO180" s="115"/>
      <x:c r="BP180" s="115"/>
      <x:c r="BQ180" s="115"/>
      <x:c r="BR180" s="115"/>
      <x:c r="BS180" s="115"/>
      <x:c r="BT180" s="115"/>
      <x:c r="BU180" s="115"/>
      <x:c r="BV180" s="115"/>
      <x:c r="BW180" s="115"/>
      <x:c r="BX180" s="115"/>
      <x:c r="BY180" s="115"/>
      <x:c r="BZ180" s="115"/>
      <x:c r="CA180" s="115"/>
      <x:c r="CB180" s="116"/>
      <x:c r="CC180" s="141" t="str">
        <x:f>IF(COUNT(G180:P180)=0,"",AVERAGE(G180:P180)*4)</x:f>
      </x:c>
      <x:c r="CD180" s="178" t="str">
        <x:f>IF(COUNT(Q180:Z180)=0,"",AVERAGE(Q180:Z180)*4)</x:f>
      </x:c>
      <x:c r="CE180" s="178" t="str">
        <x:f>IF(COUNT(AA180:AJ180)=0,"",AVERAGE(AA180:AJ180)*4)</x:f>
      </x:c>
      <x:c r="CF180" s="178" t="str">
        <x:f>IF(COUNT(AK180:AR180)=0,"",AVERAGE(AK180:AR180)*4)</x:f>
      </x:c>
      <x:c r="CG180" s="178" t="str">
        <x:f>IF(COUNT(AS180:AY180)=0,"",AVERAGE(AS180:AY180)*4)</x:f>
      </x:c>
      <x:c r="CH180" s="178" t="str">
        <x:f>IF(COUNT(AZ180:BG180)=0,"",AVERAGE(AZ180:BG180)*4)</x:f>
      </x:c>
      <x:c r="CI180" s="178" t="str">
        <x:f>IF(COUNT(BH180:BN180)=0,"",AVERAGE(BH180:BN180)*4)</x:f>
      </x:c>
      <x:c r="CJ180" s="178" t="str">
        <x:f>IF(COUNT(BO180:BU180)=0,"",AVERAGE(BO180:BU180)*4)</x:f>
      </x:c>
      <x:c r="CK180" s="178" t="str">
        <x:f>IF(COUNT(BV180:CB180)=0,"",AVERAGE(BV180:CB180)*4)</x:f>
      </x:c>
      <x:c r="CL180" s="178" t="str">
        <x:f>IF(C180="","",IF(COUNT(G180:CB180)&lt;74,"",(CC180*'تنظیمات وزن‌دهی'!$C$5+CD180*'تنظیمات وزن‌دهی'!$C$6+CE180*'تنظیمات وزن‌دهی'!$C$7+CF180*'تنظیمات وزن‌دهی'!$C$8+CG180*'تنظیمات وزن‌دهی'!$C$9+CH180*'تنظیمات وزن‌دهی'!$C$10+CI180*'تنظیمات وزن‌دهی'!$C$11+CJ180*'تنظیمات وزن‌دهی'!$C$12+CK180*'تنظیمات وزن‌دهی'!$C$13)/100))</x:f>
      </x:c>
      <x:c r="CM180" s="178" t="str">
        <x:f>IF(C180="","",IF(COUNT(G180:CB180)=0,"",IF(COUNT(G180:CB180)&lt;74,"موقت - اطلاعات ناقص",IF(CL180&gt;=17,"عالی",IF(CL180&gt;=14,"خوب",IF(CL180&gt;=10,"متوسط","ضعیف"))))))</x:f>
      </x:c>
      <x:c r="CN180" s="178" t="n">
        <x:v>8</x:v>
      </x:c>
      <x:c r="CO180" s="142" t="n">
        <x:f>IF(C180="","",COUNT(G180:CB180)/74)</x:f>
        <x:v>0</x:v>
      </x:c>
      <x:c r="CP180" s="245"/>
    </x:row>
    <x:row r="181">
      <x:c r="A181" s="165" t="n">
        <x:v>177</x:v>
      </x:c>
      <x:c r="B181" s="233" t="str">
        <x:v>اسفند</x:v>
      </x:c>
      <x:c r="C181" s="233" t="n">
        <x:f>IF('دانش‌آموزان'!E19="","",'دانش‌آموزان'!B19)</x:f>
        <x:v>15</x:v>
      </x:c>
      <x:c r="D181" s="233" t="str">
        <x:f>IF('دانش‌آموزان'!C19="","",'دانش‌آموزان'!C19)</x:f>
        <x:v>4000000152</x:v>
      </x:c>
      <x:c r="E181" s="233" t="str">
        <x:f>IF('دانش‌آموزان'!E19="","",'دانش‌آموزان'!E19&amp;" "&amp;'دانش‌آموزان'!F19)</x:f>
        <x:v>ماهان سلیمانی</x:v>
      </x:c>
      <x:c r="F181" s="166" t="str">
        <x:f>IF('دانش‌آموزان'!I19="","",'دانش‌آموزان'!I19)</x:f>
        <x:v>sample-7-a</x:v>
      </x:c>
      <x:c r="G181" s="114"/>
      <x:c r="H181" s="115"/>
      <x:c r="I181" s="115"/>
      <x:c r="J181" s="115"/>
      <x:c r="K181" s="115"/>
      <x:c r="L181" s="115"/>
      <x:c r="M181" s="115"/>
      <x:c r="N181" s="115"/>
      <x:c r="O181" s="115"/>
      <x:c r="P181" s="115"/>
      <x:c r="Q181" s="115"/>
      <x:c r="R181" s="115"/>
      <x:c r="S181" s="115"/>
      <x:c r="T181" s="115"/>
      <x:c r="U181" s="115"/>
      <x:c r="V181" s="115"/>
      <x:c r="W181" s="115"/>
      <x:c r="X181" s="115"/>
      <x:c r="Y181" s="115"/>
      <x:c r="Z181" s="115"/>
      <x:c r="AA181" s="115"/>
      <x:c r="AB181" s="115"/>
      <x:c r="AC181" s="115"/>
      <x:c r="AD181" s="115"/>
      <x:c r="AE181" s="115"/>
      <x:c r="AF181" s="115"/>
      <x:c r="AG181" s="115"/>
      <x:c r="AH181" s="115"/>
      <x:c r="AI181" s="115"/>
      <x:c r="AJ181" s="115"/>
      <x:c r="AK181" s="115"/>
      <x:c r="AL181" s="115"/>
      <x:c r="AM181" s="115"/>
      <x:c r="AN181" s="115"/>
      <x:c r="AO181" s="115"/>
      <x:c r="AP181" s="115"/>
      <x:c r="AQ181" s="115"/>
      <x:c r="AR181" s="115"/>
      <x:c r="AS181" s="115"/>
      <x:c r="AT181" s="115"/>
      <x:c r="AU181" s="115"/>
      <x:c r="AV181" s="115"/>
      <x:c r="AW181" s="115"/>
      <x:c r="AX181" s="115"/>
      <x:c r="AY181" s="115"/>
      <x:c r="AZ181" s="115"/>
      <x:c r="BA181" s="115"/>
      <x:c r="BB181" s="115"/>
      <x:c r="BC181" s="115"/>
      <x:c r="BD181" s="115"/>
      <x:c r="BE181" s="115"/>
      <x:c r="BF181" s="115"/>
      <x:c r="BG181" s="115"/>
      <x:c r="BH181" s="115"/>
      <x:c r="BI181" s="115"/>
      <x:c r="BJ181" s="115"/>
      <x:c r="BK181" s="115"/>
      <x:c r="BL181" s="115"/>
      <x:c r="BM181" s="115"/>
      <x:c r="BN181" s="115"/>
      <x:c r="BO181" s="115"/>
      <x:c r="BP181" s="115"/>
      <x:c r="BQ181" s="115"/>
      <x:c r="BR181" s="115"/>
      <x:c r="BS181" s="115"/>
      <x:c r="BT181" s="115"/>
      <x:c r="BU181" s="115"/>
      <x:c r="BV181" s="115"/>
      <x:c r="BW181" s="115"/>
      <x:c r="BX181" s="115"/>
      <x:c r="BY181" s="115"/>
      <x:c r="BZ181" s="115"/>
      <x:c r="CA181" s="115"/>
      <x:c r="CB181" s="116"/>
      <x:c r="CC181" s="141" t="str">
        <x:f>IF(COUNT(G181:P181)=0,"",AVERAGE(G181:P181)*4)</x:f>
      </x:c>
      <x:c r="CD181" s="178" t="str">
        <x:f>IF(COUNT(Q181:Z181)=0,"",AVERAGE(Q181:Z181)*4)</x:f>
      </x:c>
      <x:c r="CE181" s="178" t="str">
        <x:f>IF(COUNT(AA181:AJ181)=0,"",AVERAGE(AA181:AJ181)*4)</x:f>
      </x:c>
      <x:c r="CF181" s="178" t="str">
        <x:f>IF(COUNT(AK181:AR181)=0,"",AVERAGE(AK181:AR181)*4)</x:f>
      </x:c>
      <x:c r="CG181" s="178" t="str">
        <x:f>IF(COUNT(AS181:AY181)=0,"",AVERAGE(AS181:AY181)*4)</x:f>
      </x:c>
      <x:c r="CH181" s="178" t="str">
        <x:f>IF(COUNT(AZ181:BG181)=0,"",AVERAGE(AZ181:BG181)*4)</x:f>
      </x:c>
      <x:c r="CI181" s="178" t="str">
        <x:f>IF(COUNT(BH181:BN181)=0,"",AVERAGE(BH181:BN181)*4)</x:f>
      </x:c>
      <x:c r="CJ181" s="178" t="str">
        <x:f>IF(COUNT(BO181:BU181)=0,"",AVERAGE(BO181:BU181)*4)</x:f>
      </x:c>
      <x:c r="CK181" s="178" t="str">
        <x:f>IF(COUNT(BV181:CB181)=0,"",AVERAGE(BV181:CB181)*4)</x:f>
      </x:c>
      <x:c r="CL181" s="178" t="str">
        <x:f>IF(C181="","",IF(COUNT(G181:CB181)&lt;74,"",(CC181*'تنظیمات وزن‌دهی'!$C$5+CD181*'تنظیمات وزن‌دهی'!$C$6+CE181*'تنظیمات وزن‌دهی'!$C$7+CF181*'تنظیمات وزن‌دهی'!$C$8+CG181*'تنظیمات وزن‌دهی'!$C$9+CH181*'تنظیمات وزن‌دهی'!$C$10+CI181*'تنظیمات وزن‌دهی'!$C$11+CJ181*'تنظیمات وزن‌دهی'!$C$12+CK181*'تنظیمات وزن‌دهی'!$C$13)/100))</x:f>
      </x:c>
      <x:c r="CM181" s="178" t="str">
        <x:f>IF(C181="","",IF(COUNT(G181:CB181)=0,"",IF(COUNT(G181:CB181)&lt;74,"موقت - اطلاعات ناقص",IF(CL181&gt;=17,"عالی",IF(CL181&gt;=14,"خوب",IF(CL181&gt;=10,"متوسط","ضعیف"))))))</x:f>
      </x:c>
      <x:c r="CN181" s="178" t="n">
        <x:v>9</x:v>
      </x:c>
      <x:c r="CO181" s="142" t="n">
        <x:f>IF(C181="","",COUNT(G181:CB181)/74)</x:f>
        <x:v>0</x:v>
      </x:c>
      <x:c r="CP181" s="245"/>
    </x:row>
    <x:row r="182">
      <x:c r="A182" s="165" t="n">
        <x:v>178</x:v>
      </x:c>
      <x:c r="B182" s="233" t="str">
        <x:v>فروردین</x:v>
      </x:c>
      <x:c r="C182" s="233" t="n">
        <x:f>IF('دانش‌آموزان'!E19="","",'دانش‌آموزان'!B19)</x:f>
        <x:v>15</x:v>
      </x:c>
      <x:c r="D182" s="233" t="str">
        <x:f>IF('دانش‌آموزان'!C19="","",'دانش‌آموزان'!C19)</x:f>
        <x:v>4000000152</x:v>
      </x:c>
      <x:c r="E182" s="233" t="str">
        <x:f>IF('دانش‌آموزان'!E19="","",'دانش‌آموزان'!E19&amp;" "&amp;'دانش‌آموزان'!F19)</x:f>
        <x:v>ماهان سلیمانی</x:v>
      </x:c>
      <x:c r="F182" s="166" t="str">
        <x:f>IF('دانش‌آموزان'!I19="","",'دانش‌آموزان'!I19)</x:f>
        <x:v>sample-7-a</x:v>
      </x:c>
      <x:c r="G182" s="114"/>
      <x:c r="H182" s="115"/>
      <x:c r="I182" s="115"/>
      <x:c r="J182" s="115"/>
      <x:c r="K182" s="115"/>
      <x:c r="L182" s="115"/>
      <x:c r="M182" s="115"/>
      <x:c r="N182" s="115"/>
      <x:c r="O182" s="115"/>
      <x:c r="P182" s="115"/>
      <x:c r="Q182" s="115"/>
      <x:c r="R182" s="115"/>
      <x:c r="S182" s="115"/>
      <x:c r="T182" s="115"/>
      <x:c r="U182" s="115"/>
      <x:c r="V182" s="115"/>
      <x:c r="W182" s="115"/>
      <x:c r="X182" s="115"/>
      <x:c r="Y182" s="115"/>
      <x:c r="Z182" s="115"/>
      <x:c r="AA182" s="115"/>
      <x:c r="AB182" s="115"/>
      <x:c r="AC182" s="115"/>
      <x:c r="AD182" s="115"/>
      <x:c r="AE182" s="115"/>
      <x:c r="AF182" s="115"/>
      <x:c r="AG182" s="115"/>
      <x:c r="AH182" s="115"/>
      <x:c r="AI182" s="115"/>
      <x:c r="AJ182" s="115"/>
      <x:c r="AK182" s="115"/>
      <x:c r="AL182" s="115"/>
      <x:c r="AM182" s="115"/>
      <x:c r="AN182" s="115"/>
      <x:c r="AO182" s="115"/>
      <x:c r="AP182" s="115"/>
      <x:c r="AQ182" s="115"/>
      <x:c r="AR182" s="115"/>
      <x:c r="AS182" s="115"/>
      <x:c r="AT182" s="115"/>
      <x:c r="AU182" s="115"/>
      <x:c r="AV182" s="115"/>
      <x:c r="AW182" s="115"/>
      <x:c r="AX182" s="115"/>
      <x:c r="AY182" s="115"/>
      <x:c r="AZ182" s="115"/>
      <x:c r="BA182" s="115"/>
      <x:c r="BB182" s="115"/>
      <x:c r="BC182" s="115"/>
      <x:c r="BD182" s="115"/>
      <x:c r="BE182" s="115"/>
      <x:c r="BF182" s="115"/>
      <x:c r="BG182" s="115"/>
      <x:c r="BH182" s="115"/>
      <x:c r="BI182" s="115"/>
      <x:c r="BJ182" s="115"/>
      <x:c r="BK182" s="115"/>
      <x:c r="BL182" s="115"/>
      <x:c r="BM182" s="115"/>
      <x:c r="BN182" s="115"/>
      <x:c r="BO182" s="115"/>
      <x:c r="BP182" s="115"/>
      <x:c r="BQ182" s="115"/>
      <x:c r="BR182" s="115"/>
      <x:c r="BS182" s="115"/>
      <x:c r="BT182" s="115"/>
      <x:c r="BU182" s="115"/>
      <x:c r="BV182" s="115"/>
      <x:c r="BW182" s="115"/>
      <x:c r="BX182" s="115"/>
      <x:c r="BY182" s="115"/>
      <x:c r="BZ182" s="115"/>
      <x:c r="CA182" s="115"/>
      <x:c r="CB182" s="116"/>
      <x:c r="CC182" s="141" t="str">
        <x:f>IF(COUNT(G182:P182)=0,"",AVERAGE(G182:P182)*4)</x:f>
      </x:c>
      <x:c r="CD182" s="178" t="str">
        <x:f>IF(COUNT(Q182:Z182)=0,"",AVERAGE(Q182:Z182)*4)</x:f>
      </x:c>
      <x:c r="CE182" s="178" t="str">
        <x:f>IF(COUNT(AA182:AJ182)=0,"",AVERAGE(AA182:AJ182)*4)</x:f>
      </x:c>
      <x:c r="CF182" s="178" t="str">
        <x:f>IF(COUNT(AK182:AR182)=0,"",AVERAGE(AK182:AR182)*4)</x:f>
      </x:c>
      <x:c r="CG182" s="178" t="str">
        <x:f>IF(COUNT(AS182:AY182)=0,"",AVERAGE(AS182:AY182)*4)</x:f>
      </x:c>
      <x:c r="CH182" s="178" t="str">
        <x:f>IF(COUNT(AZ182:BG182)=0,"",AVERAGE(AZ182:BG182)*4)</x:f>
      </x:c>
      <x:c r="CI182" s="178" t="str">
        <x:f>IF(COUNT(BH182:BN182)=0,"",AVERAGE(BH182:BN182)*4)</x:f>
      </x:c>
      <x:c r="CJ182" s="178" t="str">
        <x:f>IF(COUNT(BO182:BU182)=0,"",AVERAGE(BO182:BU182)*4)</x:f>
      </x:c>
      <x:c r="CK182" s="178" t="str">
        <x:f>IF(COUNT(BV182:CB182)=0,"",AVERAGE(BV182:CB182)*4)</x:f>
      </x:c>
      <x:c r="CL182" s="178" t="str">
        <x:f>IF(C182="","",IF(COUNT(G182:CB182)&lt;74,"",(CC182*'تنظیمات وزن‌دهی'!$C$5+CD182*'تنظیمات وزن‌دهی'!$C$6+CE182*'تنظیمات وزن‌دهی'!$C$7+CF182*'تنظیمات وزن‌دهی'!$C$8+CG182*'تنظیمات وزن‌دهی'!$C$9+CH182*'تنظیمات وزن‌دهی'!$C$10+CI182*'تنظیمات وزن‌دهی'!$C$11+CJ182*'تنظیمات وزن‌دهی'!$C$12+CK182*'تنظیمات وزن‌دهی'!$C$13)/100))</x:f>
      </x:c>
      <x:c r="CM182" s="178" t="str">
        <x:f>IF(C182="","",IF(COUNT(G182:CB182)=0,"",IF(COUNT(G182:CB182)&lt;74,"موقت - اطلاعات ناقص",IF(CL182&gt;=17,"عالی",IF(CL182&gt;=14,"خوب",IF(CL182&gt;=10,"متوسط","ضعیف"))))))</x:f>
      </x:c>
      <x:c r="CN182" s="178" t="n">
        <x:v>10</x:v>
      </x:c>
      <x:c r="CO182" s="142" t="n">
        <x:f>IF(C182="","",COUNT(G182:CB182)/74)</x:f>
        <x:v>0</x:v>
      </x:c>
      <x:c r="CP182" s="245"/>
    </x:row>
    <x:row r="183">
      <x:c r="A183" s="165" t="n">
        <x:v>179</x:v>
      </x:c>
      <x:c r="B183" s="233" t="str">
        <x:v>اردیبهشت</x:v>
      </x:c>
      <x:c r="C183" s="233" t="n">
        <x:f>IF('دانش‌آموزان'!E19="","",'دانش‌آموزان'!B19)</x:f>
        <x:v>15</x:v>
      </x:c>
      <x:c r="D183" s="233" t="str">
        <x:f>IF('دانش‌آموزان'!C19="","",'دانش‌آموزان'!C19)</x:f>
        <x:v>4000000152</x:v>
      </x:c>
      <x:c r="E183" s="233" t="str">
        <x:f>IF('دانش‌آموزان'!E19="","",'دانش‌آموزان'!E19&amp;" "&amp;'دانش‌آموزان'!F19)</x:f>
        <x:v>ماهان سلیمانی</x:v>
      </x:c>
      <x:c r="F183" s="166" t="str">
        <x:f>IF('دانش‌آموزان'!I19="","",'دانش‌آموزان'!I19)</x:f>
        <x:v>sample-7-a</x:v>
      </x:c>
      <x:c r="G183" s="114"/>
      <x:c r="H183" s="115"/>
      <x:c r="I183" s="115"/>
      <x:c r="J183" s="115"/>
      <x:c r="K183" s="115"/>
      <x:c r="L183" s="115"/>
      <x:c r="M183" s="115"/>
      <x:c r="N183" s="115"/>
      <x:c r="O183" s="115"/>
      <x:c r="P183" s="115"/>
      <x:c r="Q183" s="115"/>
      <x:c r="R183" s="115"/>
      <x:c r="S183" s="115"/>
      <x:c r="T183" s="115"/>
      <x:c r="U183" s="115"/>
      <x:c r="V183" s="115"/>
      <x:c r="W183" s="115"/>
      <x:c r="X183" s="115"/>
      <x:c r="Y183" s="115"/>
      <x:c r="Z183" s="115"/>
      <x:c r="AA183" s="115"/>
      <x:c r="AB183" s="115"/>
      <x:c r="AC183" s="115"/>
      <x:c r="AD183" s="115"/>
      <x:c r="AE183" s="115"/>
      <x:c r="AF183" s="115"/>
      <x:c r="AG183" s="115"/>
      <x:c r="AH183" s="115"/>
      <x:c r="AI183" s="115"/>
      <x:c r="AJ183" s="115"/>
      <x:c r="AK183" s="115"/>
      <x:c r="AL183" s="115"/>
      <x:c r="AM183" s="115"/>
      <x:c r="AN183" s="115"/>
      <x:c r="AO183" s="115"/>
      <x:c r="AP183" s="115"/>
      <x:c r="AQ183" s="115"/>
      <x:c r="AR183" s="115"/>
      <x:c r="AS183" s="115"/>
      <x:c r="AT183" s="115"/>
      <x:c r="AU183" s="115"/>
      <x:c r="AV183" s="115"/>
      <x:c r="AW183" s="115"/>
      <x:c r="AX183" s="115"/>
      <x:c r="AY183" s="115"/>
      <x:c r="AZ183" s="115"/>
      <x:c r="BA183" s="115"/>
      <x:c r="BB183" s="115"/>
      <x:c r="BC183" s="115"/>
      <x:c r="BD183" s="115"/>
      <x:c r="BE183" s="115"/>
      <x:c r="BF183" s="115"/>
      <x:c r="BG183" s="115"/>
      <x:c r="BH183" s="115"/>
      <x:c r="BI183" s="115"/>
      <x:c r="BJ183" s="115"/>
      <x:c r="BK183" s="115"/>
      <x:c r="BL183" s="115"/>
      <x:c r="BM183" s="115"/>
      <x:c r="BN183" s="115"/>
      <x:c r="BO183" s="115"/>
      <x:c r="BP183" s="115"/>
      <x:c r="BQ183" s="115"/>
      <x:c r="BR183" s="115"/>
      <x:c r="BS183" s="115"/>
      <x:c r="BT183" s="115"/>
      <x:c r="BU183" s="115"/>
      <x:c r="BV183" s="115"/>
      <x:c r="BW183" s="115"/>
      <x:c r="BX183" s="115"/>
      <x:c r="BY183" s="115"/>
      <x:c r="BZ183" s="115"/>
      <x:c r="CA183" s="115"/>
      <x:c r="CB183" s="116"/>
      <x:c r="CC183" s="141" t="str">
        <x:f>IF(COUNT(G183:P183)=0,"",AVERAGE(G183:P183)*4)</x:f>
      </x:c>
      <x:c r="CD183" s="178" t="str">
        <x:f>IF(COUNT(Q183:Z183)=0,"",AVERAGE(Q183:Z183)*4)</x:f>
      </x:c>
      <x:c r="CE183" s="178" t="str">
        <x:f>IF(COUNT(AA183:AJ183)=0,"",AVERAGE(AA183:AJ183)*4)</x:f>
      </x:c>
      <x:c r="CF183" s="178" t="str">
        <x:f>IF(COUNT(AK183:AR183)=0,"",AVERAGE(AK183:AR183)*4)</x:f>
      </x:c>
      <x:c r="CG183" s="178" t="str">
        <x:f>IF(COUNT(AS183:AY183)=0,"",AVERAGE(AS183:AY183)*4)</x:f>
      </x:c>
      <x:c r="CH183" s="178" t="str">
        <x:f>IF(COUNT(AZ183:BG183)=0,"",AVERAGE(AZ183:BG183)*4)</x:f>
      </x:c>
      <x:c r="CI183" s="178" t="str">
        <x:f>IF(COUNT(BH183:BN183)=0,"",AVERAGE(BH183:BN183)*4)</x:f>
      </x:c>
      <x:c r="CJ183" s="178" t="str">
        <x:f>IF(COUNT(BO183:BU183)=0,"",AVERAGE(BO183:BU183)*4)</x:f>
      </x:c>
      <x:c r="CK183" s="178" t="str">
        <x:f>IF(COUNT(BV183:CB183)=0,"",AVERAGE(BV183:CB183)*4)</x:f>
      </x:c>
      <x:c r="CL183" s="178" t="str">
        <x:f>IF(C183="","",IF(COUNT(G183:CB183)&lt;74,"",(CC183*'تنظیمات وزن‌دهی'!$C$5+CD183*'تنظیمات وزن‌دهی'!$C$6+CE183*'تنظیمات وزن‌دهی'!$C$7+CF183*'تنظیمات وزن‌دهی'!$C$8+CG183*'تنظیمات وزن‌دهی'!$C$9+CH183*'تنظیمات وزن‌دهی'!$C$10+CI183*'تنظیمات وزن‌دهی'!$C$11+CJ183*'تنظیمات وزن‌دهی'!$C$12+CK183*'تنظیمات وزن‌دهی'!$C$13)/100))</x:f>
      </x:c>
      <x:c r="CM183" s="178" t="str">
        <x:f>IF(C183="","",IF(COUNT(G183:CB183)=0,"",IF(COUNT(G183:CB183)&lt;74,"موقت - اطلاعات ناقص",IF(CL183&gt;=17,"عالی",IF(CL183&gt;=14,"خوب",IF(CL183&gt;=10,"متوسط","ضعیف"))))))</x:f>
      </x:c>
      <x:c r="CN183" s="178" t="n">
        <x:v>11</x:v>
      </x:c>
      <x:c r="CO183" s="142" t="n">
        <x:f>IF(C183="","",COUNT(G183:CB183)/74)</x:f>
        <x:v>0</x:v>
      </x:c>
      <x:c r="CP183" s="245"/>
    </x:row>
    <x:row r="184">
      <x:c r="A184" s="165" t="n">
        <x:v>180</x:v>
      </x:c>
      <x:c r="B184" s="233" t="str">
        <x:v>خرداد</x:v>
      </x:c>
      <x:c r="C184" s="233" t="n">
        <x:f>IF('دانش‌آموزان'!E19="","",'دانش‌آموزان'!B19)</x:f>
        <x:v>15</x:v>
      </x:c>
      <x:c r="D184" s="233" t="str">
        <x:f>IF('دانش‌آموزان'!C19="","",'دانش‌آموزان'!C19)</x:f>
        <x:v>4000000152</x:v>
      </x:c>
      <x:c r="E184" s="233" t="str">
        <x:f>IF('دانش‌آموزان'!E19="","",'دانش‌آموزان'!E19&amp;" "&amp;'دانش‌آموزان'!F19)</x:f>
        <x:v>ماهان سلیمانی</x:v>
      </x:c>
      <x:c r="F184" s="166" t="str">
        <x:f>IF('دانش‌آموزان'!I19="","",'دانش‌آموزان'!I19)</x:f>
        <x:v>sample-7-a</x:v>
      </x:c>
      <x:c r="G184" s="114"/>
      <x:c r="H184" s="115"/>
      <x:c r="I184" s="115"/>
      <x:c r="J184" s="115"/>
      <x:c r="K184" s="115"/>
      <x:c r="L184" s="115"/>
      <x:c r="M184" s="115"/>
      <x:c r="N184" s="115"/>
      <x:c r="O184" s="115"/>
      <x:c r="P184" s="115"/>
      <x:c r="Q184" s="115"/>
      <x:c r="R184" s="115"/>
      <x:c r="S184" s="115"/>
      <x:c r="T184" s="115"/>
      <x:c r="U184" s="115"/>
      <x:c r="V184" s="115"/>
      <x:c r="W184" s="115"/>
      <x:c r="X184" s="115"/>
      <x:c r="Y184" s="115"/>
      <x:c r="Z184" s="115"/>
      <x:c r="AA184" s="115"/>
      <x:c r="AB184" s="115"/>
      <x:c r="AC184" s="115"/>
      <x:c r="AD184" s="115"/>
      <x:c r="AE184" s="115"/>
      <x:c r="AF184" s="115"/>
      <x:c r="AG184" s="115"/>
      <x:c r="AH184" s="115"/>
      <x:c r="AI184" s="115"/>
      <x:c r="AJ184" s="115"/>
      <x:c r="AK184" s="115"/>
      <x:c r="AL184" s="115"/>
      <x:c r="AM184" s="115"/>
      <x:c r="AN184" s="115"/>
      <x:c r="AO184" s="115"/>
      <x:c r="AP184" s="115"/>
      <x:c r="AQ184" s="115"/>
      <x:c r="AR184" s="115"/>
      <x:c r="AS184" s="115"/>
      <x:c r="AT184" s="115"/>
      <x:c r="AU184" s="115"/>
      <x:c r="AV184" s="115"/>
      <x:c r="AW184" s="115"/>
      <x:c r="AX184" s="115"/>
      <x:c r="AY184" s="115"/>
      <x:c r="AZ184" s="115"/>
      <x:c r="BA184" s="115"/>
      <x:c r="BB184" s="115"/>
      <x:c r="BC184" s="115"/>
      <x:c r="BD184" s="115"/>
      <x:c r="BE184" s="115"/>
      <x:c r="BF184" s="115"/>
      <x:c r="BG184" s="115"/>
      <x:c r="BH184" s="115"/>
      <x:c r="BI184" s="115"/>
      <x:c r="BJ184" s="115"/>
      <x:c r="BK184" s="115"/>
      <x:c r="BL184" s="115"/>
      <x:c r="BM184" s="115"/>
      <x:c r="BN184" s="115"/>
      <x:c r="BO184" s="115"/>
      <x:c r="BP184" s="115"/>
      <x:c r="BQ184" s="115"/>
      <x:c r="BR184" s="115"/>
      <x:c r="BS184" s="115"/>
      <x:c r="BT184" s="115"/>
      <x:c r="BU184" s="115"/>
      <x:c r="BV184" s="115"/>
      <x:c r="BW184" s="115"/>
      <x:c r="BX184" s="115"/>
      <x:c r="BY184" s="115"/>
      <x:c r="BZ184" s="115"/>
      <x:c r="CA184" s="115"/>
      <x:c r="CB184" s="116"/>
      <x:c r="CC184" s="141" t="str">
        <x:f>IF(COUNT(G184:P184)=0,"",AVERAGE(G184:P184)*4)</x:f>
      </x:c>
      <x:c r="CD184" s="178" t="str">
        <x:f>IF(COUNT(Q184:Z184)=0,"",AVERAGE(Q184:Z184)*4)</x:f>
      </x:c>
      <x:c r="CE184" s="178" t="str">
        <x:f>IF(COUNT(AA184:AJ184)=0,"",AVERAGE(AA184:AJ184)*4)</x:f>
      </x:c>
      <x:c r="CF184" s="178" t="str">
        <x:f>IF(COUNT(AK184:AR184)=0,"",AVERAGE(AK184:AR184)*4)</x:f>
      </x:c>
      <x:c r="CG184" s="178" t="str">
        <x:f>IF(COUNT(AS184:AY184)=0,"",AVERAGE(AS184:AY184)*4)</x:f>
      </x:c>
      <x:c r="CH184" s="178" t="str">
        <x:f>IF(COUNT(AZ184:BG184)=0,"",AVERAGE(AZ184:BG184)*4)</x:f>
      </x:c>
      <x:c r="CI184" s="178" t="str">
        <x:f>IF(COUNT(BH184:BN184)=0,"",AVERAGE(BH184:BN184)*4)</x:f>
      </x:c>
      <x:c r="CJ184" s="178" t="str">
        <x:f>IF(COUNT(BO184:BU184)=0,"",AVERAGE(BO184:BU184)*4)</x:f>
      </x:c>
      <x:c r="CK184" s="178" t="str">
        <x:f>IF(COUNT(BV184:CB184)=0,"",AVERAGE(BV184:CB184)*4)</x:f>
      </x:c>
      <x:c r="CL184" s="178" t="str">
        <x:f>IF(C184="","",IF(COUNT(G184:CB184)&lt;74,"",(CC184*'تنظیمات وزن‌دهی'!$C$5+CD184*'تنظیمات وزن‌دهی'!$C$6+CE184*'تنظیمات وزن‌دهی'!$C$7+CF184*'تنظیمات وزن‌دهی'!$C$8+CG184*'تنظیمات وزن‌دهی'!$C$9+CH184*'تنظیمات وزن‌دهی'!$C$10+CI184*'تنظیمات وزن‌دهی'!$C$11+CJ184*'تنظیمات وزن‌دهی'!$C$12+CK184*'تنظیمات وزن‌دهی'!$C$13)/100))</x:f>
      </x:c>
      <x:c r="CM184" s="178" t="str">
        <x:f>IF(C184="","",IF(COUNT(G184:CB184)=0,"",IF(COUNT(G184:CB184)&lt;74,"موقت - اطلاعات ناقص",IF(CL184&gt;=17,"عالی",IF(CL184&gt;=14,"خوب",IF(CL184&gt;=10,"متوسط","ضعیف"))))))</x:f>
      </x:c>
      <x:c r="CN184" s="178" t="n">
        <x:v>12</x:v>
      </x:c>
      <x:c r="CO184" s="142" t="n">
        <x:f>IF(C184="","",COUNT(G184:CB184)/74)</x:f>
        <x:v>0</x:v>
      </x:c>
      <x:c r="CP184" s="245"/>
    </x:row>
    <x:row r="185">
      <x:c r="A185" s="165" t="n">
        <x:v>181</x:v>
      </x:c>
      <x:c r="B185" s="233" t="str">
        <x:v>تیر</x:v>
      </x:c>
      <x:c r="C185" s="233" t="n">
        <x:f>IF('دانش‌آموزان'!E20="","",'دانش‌آموزان'!B20)</x:f>
        <x:v>16</x:v>
      </x:c>
      <x:c r="D185" s="233" t="str">
        <x:f>IF('دانش‌آموزان'!C20="","",'دانش‌آموزان'!C20)</x:f>
        <x:v>4000000160</x:v>
      </x:c>
      <x:c r="E185" s="233" t="str">
        <x:f>IF('دانش‌آموزان'!E20="","",'دانش‌آموزان'!E20&amp;" "&amp;'دانش‌آموزان'!F20)</x:f>
        <x:v>نازنین مرادی</x:v>
      </x:c>
      <x:c r="F185" s="166" t="str">
        <x:f>IF('دانش‌آموزان'!I20="","",'دانش‌آموزان'!I20)</x:f>
        <x:v>sample-7-a</x:v>
      </x:c>
      <x:c r="G185" s="114" t="n">
        <x:v>3</x:v>
      </x:c>
      <x:c r="H185" s="115" t="n">
        <x:v>4</x:v>
      </x:c>
      <x:c r="I185" s="115" t="n">
        <x:v>2</x:v>
      </x:c>
      <x:c r="J185" s="115" t="n">
        <x:v>4</x:v>
      </x:c>
      <x:c r="K185" s="115" t="n">
        <x:v>5</x:v>
      </x:c>
      <x:c r="L185" s="115" t="n">
        <x:v>4</x:v>
      </x:c>
      <x:c r="M185" s="115" t="n">
        <x:v>5</x:v>
      </x:c>
      <x:c r="N185" s="115" t="n">
        <x:v>3</x:v>
      </x:c>
      <x:c r="O185" s="115" t="n">
        <x:v>5</x:v>
      </x:c>
      <x:c r="P185" s="115" t="n">
        <x:v>3</x:v>
      </x:c>
      <x:c r="Q185" s="115" t="n">
        <x:v>4</x:v>
      </x:c>
      <x:c r="R185" s="115" t="n">
        <x:v>3</x:v>
      </x:c>
      <x:c r="S185" s="115" t="n">
        <x:v>4</x:v>
      </x:c>
      <x:c r="T185" s="115" t="n">
        <x:v>2</x:v>
      </x:c>
      <x:c r="U185" s="115" t="n">
        <x:v>4</x:v>
      </x:c>
      <x:c r="V185" s="115" t="n">
        <x:v>5</x:v>
      </x:c>
      <x:c r="W185" s="115" t="n">
        <x:v>4</x:v>
      </x:c>
      <x:c r="X185" s="115" t="n">
        <x:v>5</x:v>
      </x:c>
      <x:c r="Y185" s="115" t="n">
        <x:v>3</x:v>
      </x:c>
      <x:c r="Z185" s="115" t="n">
        <x:v>5</x:v>
      </x:c>
      <x:c r="AA185" s="115" t="n">
        <x:v>3</x:v>
      </x:c>
      <x:c r="AB185" s="115" t="n">
        <x:v>4</x:v>
      </x:c>
      <x:c r="AC185" s="115" t="n">
        <x:v>3</x:v>
      </x:c>
      <x:c r="AD185" s="115" t="n">
        <x:v>4</x:v>
      </x:c>
      <x:c r="AE185" s="115" t="n">
        <x:v>2</x:v>
      </x:c>
      <x:c r="AF185" s="115" t="n">
        <x:v>4</x:v>
      </x:c>
      <x:c r="AG185" s="115" t="n">
        <x:v>5</x:v>
      </x:c>
      <x:c r="AH185" s="115" t="n">
        <x:v>4</x:v>
      </x:c>
      <x:c r="AI185" s="115" t="n">
        <x:v>5</x:v>
      </x:c>
      <x:c r="AJ185" s="115" t="n">
        <x:v>3</x:v>
      </x:c>
      <x:c r="AK185" s="115" t="n">
        <x:v>5</x:v>
      </x:c>
      <x:c r="AL185" s="115" t="n">
        <x:v>3</x:v>
      </x:c>
      <x:c r="AM185" s="115" t="n">
        <x:v>4</x:v>
      </x:c>
      <x:c r="AN185" s="115" t="n">
        <x:v>3</x:v>
      </x:c>
      <x:c r="AO185" s="115" t="n">
        <x:v>4</x:v>
      </x:c>
      <x:c r="AP185" s="115" t="n">
        <x:v>2</x:v>
      </x:c>
      <x:c r="AQ185" s="115" t="n">
        <x:v>4</x:v>
      </x:c>
      <x:c r="AR185" s="115" t="n">
        <x:v>5</x:v>
      </x:c>
      <x:c r="AS185" s="115" t="n">
        <x:v>4</x:v>
      </x:c>
      <x:c r="AT185" s="115" t="n">
        <x:v>5</x:v>
      </x:c>
      <x:c r="AU185" s="115" t="n">
        <x:v>3</x:v>
      </x:c>
      <x:c r="AV185" s="115" t="n">
        <x:v>5</x:v>
      </x:c>
      <x:c r="AW185" s="115" t="n">
        <x:v>3</x:v>
      </x:c>
      <x:c r="AX185" s="115" t="n">
        <x:v>4</x:v>
      </x:c>
      <x:c r="AY185" s="115" t="n">
        <x:v>3</x:v>
      </x:c>
      <x:c r="AZ185" s="115" t="n">
        <x:v>4</x:v>
      </x:c>
      <x:c r="BA185" s="115" t="n">
        <x:v>2</x:v>
      </x:c>
      <x:c r="BB185" s="115" t="n">
        <x:v>4</x:v>
      </x:c>
      <x:c r="BC185" s="115" t="n">
        <x:v>5</x:v>
      </x:c>
      <x:c r="BD185" s="115" t="n">
        <x:v>4</x:v>
      </x:c>
      <x:c r="BE185" s="115" t="n">
        <x:v>5</x:v>
      </x:c>
      <x:c r="BF185" s="115" t="n">
        <x:v>3</x:v>
      </x:c>
      <x:c r="BG185" s="115" t="n">
        <x:v>5</x:v>
      </x:c>
      <x:c r="BH185" s="115" t="n">
        <x:v>3</x:v>
      </x:c>
      <x:c r="BI185" s="115" t="n">
        <x:v>4</x:v>
      </x:c>
      <x:c r="BJ185" s="115" t="n">
        <x:v>3</x:v>
      </x:c>
      <x:c r="BK185" s="115" t="n">
        <x:v>4</x:v>
      </x:c>
      <x:c r="BL185" s="115" t="n">
        <x:v>2</x:v>
      </x:c>
      <x:c r="BM185" s="115" t="n">
        <x:v>4</x:v>
      </x:c>
      <x:c r="BN185" s="115" t="n">
        <x:v>5</x:v>
      </x:c>
      <x:c r="BO185" s="115" t="n">
        <x:v>4</x:v>
      </x:c>
      <x:c r="BP185" s="115" t="n">
        <x:v>5</x:v>
      </x:c>
      <x:c r="BQ185" s="115" t="n">
        <x:v>3</x:v>
      </x:c>
      <x:c r="BR185" s="115" t="n">
        <x:v>5</x:v>
      </x:c>
      <x:c r="BS185" s="115" t="n">
        <x:v>3</x:v>
      </x:c>
      <x:c r="BT185" s="115" t="n">
        <x:v>4</x:v>
      </x:c>
      <x:c r="BU185" s="115" t="n">
        <x:v>3</x:v>
      </x:c>
      <x:c r="BV185" s="115" t="n">
        <x:v>4</x:v>
      </x:c>
      <x:c r="BW185" s="115" t="n">
        <x:v>2</x:v>
      </x:c>
      <x:c r="BX185" s="115" t="n">
        <x:v>4</x:v>
      </x:c>
      <x:c r="BY185" s="115" t="n">
        <x:v>5</x:v>
      </x:c>
      <x:c r="BZ185" s="115" t="n">
        <x:v>4</x:v>
      </x:c>
      <x:c r="CA185" s="115" t="n">
        <x:v>5</x:v>
      </x:c>
      <x:c r="CB185" s="116" t="n">
        <x:v>3</x:v>
      </x:c>
      <x:c r="CC185" s="141" t="n">
        <x:f>IF(COUNT(G185:P185)=0,"",AVERAGE(G185:P185)*4)</x:f>
        <x:v>15.2</x:v>
      </x:c>
      <x:c r="CD185" s="178" t="n">
        <x:f>IF(COUNT(Q185:Z185)=0,"",AVERAGE(Q185:Z185)*4)</x:f>
        <x:v>15.6</x:v>
      </x:c>
      <x:c r="CE185" s="178" t="n">
        <x:f>IF(COUNT(AA185:AJ185)=0,"",AVERAGE(AA185:AJ185)*4)</x:f>
        <x:v>14.8</x:v>
      </x:c>
      <x:c r="CF185" s="178" t="n">
        <x:f>IF(COUNT(AK185:AR185)=0,"",AVERAGE(AK185:AR185)*4)</x:f>
        <x:v>15</x:v>
      </x:c>
      <x:c r="CG185" s="178" t="n">
        <x:f>IF(COUNT(AS185:AY185)=0,"",AVERAGE(AS185:AY185)*4)</x:f>
        <x:v>15.428571428571429</x:v>
      </x:c>
      <x:c r="CH185" s="178" t="n">
        <x:f>IF(COUNT(AZ185:BG185)=0,"",AVERAGE(AZ185:BG185)*4)</x:f>
        <x:v>16</x:v>
      </x:c>
      <x:c r="CI185" s="178" t="n">
        <x:f>IF(COUNT(BH185:BN185)=0,"",AVERAGE(BH185:BN185)*4)</x:f>
        <x:v>14.285714285714286</x:v>
      </x:c>
      <x:c r="CJ185" s="178" t="n">
        <x:f>IF(COUNT(BO185:BU185)=0,"",AVERAGE(BO185:BU185)*4)</x:f>
        <x:v>15.428571428571429</x:v>
      </x:c>
      <x:c r="CK185" s="178" t="n">
        <x:f>IF(COUNT(BV185:CB185)=0,"",AVERAGE(BV185:CB185)*4)</x:f>
        <x:v>15.428571428571429</x:v>
      </x:c>
      <x:c r="CL185" s="178" t="n">
        <x:f>IF(C185="","",IF(COUNT(G185:CB185)&lt;74,"",(CC185*'تنظیمات وزن‌دهی'!$C$5+CD185*'تنظیمات وزن‌دهی'!$C$6+CE185*'تنظیمات وزن‌دهی'!$C$7+CF185*'تنظیمات وزن‌دهی'!$C$8+CG185*'تنظیمات وزن‌دهی'!$C$9+CH185*'تنظیمات وزن‌دهی'!$C$10+CI185*'تنظیمات وزن‌دهی'!$C$11+CJ185*'تنظیمات وزن‌دهی'!$C$12+CK185*'تنظیمات وزن‌دهی'!$C$13)/100))</x:f>
        <x:v>15.215714285714286</x:v>
      </x:c>
      <x:c r="CM185" s="178" t="str">
        <x:f>IF(C185="","",IF(COUNT(G185:CB185)=0,"",IF(COUNT(G185:CB185)&lt;74,"موقت - اطلاعات ناقص",IF(CL185&gt;=17,"عالی",IF(CL185&gt;=14,"خوب",IF(CL185&gt;=10,"متوسط","ضعیف"))))))</x:f>
        <x:v>خوب</x:v>
      </x:c>
      <x:c r="CN185" s="178" t="n">
        <x:v>1</x:v>
      </x:c>
      <x:c r="CO185" s="142" t="n">
        <x:f>IF(C185="","",COUNT(G185:CB185)/74)</x:f>
        <x:v>1</x:v>
      </x:c>
      <x:c r="CP185" s="245" t="str">
        <x:v>داده نمونه کامل برای ماه تیر - دانش‌آموز شماره 16</x:v>
      </x:c>
    </x:row>
    <x:row r="186">
      <x:c r="A186" s="165" t="n">
        <x:v>182</x:v>
      </x:c>
      <x:c r="B186" s="233" t="str">
        <x:v>مرداد</x:v>
      </x:c>
      <x:c r="C186" s="233" t="n">
        <x:f>IF('دانش‌آموزان'!E20="","",'دانش‌آموزان'!B20)</x:f>
        <x:v>16</x:v>
      </x:c>
      <x:c r="D186" s="233" t="str">
        <x:f>IF('دانش‌آموزان'!C20="","",'دانش‌آموزان'!C20)</x:f>
        <x:v>4000000160</x:v>
      </x:c>
      <x:c r="E186" s="233" t="str">
        <x:f>IF('دانش‌آموزان'!E20="","",'دانش‌آموزان'!E20&amp;" "&amp;'دانش‌آموزان'!F20)</x:f>
        <x:v>نازنین مرادی</x:v>
      </x:c>
      <x:c r="F186" s="166" t="str">
        <x:f>IF('دانش‌آموزان'!I20="","",'دانش‌آموزان'!I20)</x:f>
        <x:v>sample-7-a</x:v>
      </x:c>
      <x:c r="G186" s="114"/>
      <x:c r="H186" s="115"/>
      <x:c r="I186" s="115"/>
      <x:c r="J186" s="115"/>
      <x:c r="K186" s="115"/>
      <x:c r="L186" s="115"/>
      <x:c r="M186" s="115"/>
      <x:c r="N186" s="115"/>
      <x:c r="O186" s="115"/>
      <x:c r="P186" s="115"/>
      <x:c r="Q186" s="115"/>
      <x:c r="R186" s="115"/>
      <x:c r="S186" s="115"/>
      <x:c r="T186" s="115"/>
      <x:c r="U186" s="115"/>
      <x:c r="V186" s="115"/>
      <x:c r="W186" s="115"/>
      <x:c r="X186" s="115"/>
      <x:c r="Y186" s="115"/>
      <x:c r="Z186" s="115"/>
      <x:c r="AA186" s="115"/>
      <x:c r="AB186" s="115"/>
      <x:c r="AC186" s="115"/>
      <x:c r="AD186" s="115"/>
      <x:c r="AE186" s="115"/>
      <x:c r="AF186" s="115"/>
      <x:c r="AG186" s="115"/>
      <x:c r="AH186" s="115"/>
      <x:c r="AI186" s="115"/>
      <x:c r="AJ186" s="115"/>
      <x:c r="AK186" s="115"/>
      <x:c r="AL186" s="115"/>
      <x:c r="AM186" s="115"/>
      <x:c r="AN186" s="115"/>
      <x:c r="AO186" s="115"/>
      <x:c r="AP186" s="115"/>
      <x:c r="AQ186" s="115"/>
      <x:c r="AR186" s="115"/>
      <x:c r="AS186" s="115"/>
      <x:c r="AT186" s="115"/>
      <x:c r="AU186" s="115"/>
      <x:c r="AV186" s="115"/>
      <x:c r="AW186" s="115"/>
      <x:c r="AX186" s="115"/>
      <x:c r="AY186" s="115"/>
      <x:c r="AZ186" s="115"/>
      <x:c r="BA186" s="115"/>
      <x:c r="BB186" s="115"/>
      <x:c r="BC186" s="115"/>
      <x:c r="BD186" s="115"/>
      <x:c r="BE186" s="115"/>
      <x:c r="BF186" s="115"/>
      <x:c r="BG186" s="115"/>
      <x:c r="BH186" s="115"/>
      <x:c r="BI186" s="115"/>
      <x:c r="BJ186" s="115"/>
      <x:c r="BK186" s="115"/>
      <x:c r="BL186" s="115"/>
      <x:c r="BM186" s="115"/>
      <x:c r="BN186" s="115"/>
      <x:c r="BO186" s="115"/>
      <x:c r="BP186" s="115"/>
      <x:c r="BQ186" s="115"/>
      <x:c r="BR186" s="115"/>
      <x:c r="BS186" s="115"/>
      <x:c r="BT186" s="115"/>
      <x:c r="BU186" s="115"/>
      <x:c r="BV186" s="115"/>
      <x:c r="BW186" s="115"/>
      <x:c r="BX186" s="115"/>
      <x:c r="BY186" s="115"/>
      <x:c r="BZ186" s="115"/>
      <x:c r="CA186" s="115"/>
      <x:c r="CB186" s="116"/>
      <x:c r="CC186" s="141" t="str">
        <x:f>IF(COUNT(G186:P186)=0,"",AVERAGE(G186:P186)*4)</x:f>
      </x:c>
      <x:c r="CD186" s="178" t="str">
        <x:f>IF(COUNT(Q186:Z186)=0,"",AVERAGE(Q186:Z186)*4)</x:f>
      </x:c>
      <x:c r="CE186" s="178" t="str">
        <x:f>IF(COUNT(AA186:AJ186)=0,"",AVERAGE(AA186:AJ186)*4)</x:f>
      </x:c>
      <x:c r="CF186" s="178" t="str">
        <x:f>IF(COUNT(AK186:AR186)=0,"",AVERAGE(AK186:AR186)*4)</x:f>
      </x:c>
      <x:c r="CG186" s="178" t="str">
        <x:f>IF(COUNT(AS186:AY186)=0,"",AVERAGE(AS186:AY186)*4)</x:f>
      </x:c>
      <x:c r="CH186" s="178" t="str">
        <x:f>IF(COUNT(AZ186:BG186)=0,"",AVERAGE(AZ186:BG186)*4)</x:f>
      </x:c>
      <x:c r="CI186" s="178" t="str">
        <x:f>IF(COUNT(BH186:BN186)=0,"",AVERAGE(BH186:BN186)*4)</x:f>
      </x:c>
      <x:c r="CJ186" s="178" t="str">
        <x:f>IF(COUNT(BO186:BU186)=0,"",AVERAGE(BO186:BU186)*4)</x:f>
      </x:c>
      <x:c r="CK186" s="178" t="str">
        <x:f>IF(COUNT(BV186:CB186)=0,"",AVERAGE(BV186:CB186)*4)</x:f>
      </x:c>
      <x:c r="CL186" s="178" t="str">
        <x:f>IF(C186="","",IF(COUNT(G186:CB186)&lt;74,"",(CC186*'تنظیمات وزن‌دهی'!$C$5+CD186*'تنظیمات وزن‌دهی'!$C$6+CE186*'تنظیمات وزن‌دهی'!$C$7+CF186*'تنظیمات وزن‌دهی'!$C$8+CG186*'تنظیمات وزن‌دهی'!$C$9+CH186*'تنظیمات وزن‌دهی'!$C$10+CI186*'تنظیمات وزن‌دهی'!$C$11+CJ186*'تنظیمات وزن‌دهی'!$C$12+CK186*'تنظیمات وزن‌دهی'!$C$13)/100))</x:f>
      </x:c>
      <x:c r="CM186" s="178" t="str">
        <x:f>IF(C186="","",IF(COUNT(G186:CB186)=0,"",IF(COUNT(G186:CB186)&lt;74,"موقت - اطلاعات ناقص",IF(CL186&gt;=17,"عالی",IF(CL186&gt;=14,"خوب",IF(CL186&gt;=10,"متوسط","ضعیف"))))))</x:f>
      </x:c>
      <x:c r="CN186" s="178" t="n">
        <x:v>2</x:v>
      </x:c>
      <x:c r="CO186" s="142" t="n">
        <x:f>IF(C186="","",COUNT(G186:CB186)/74)</x:f>
        <x:v>0</x:v>
      </x:c>
      <x:c r="CP186" s="245"/>
    </x:row>
    <x:row r="187">
      <x:c r="A187" s="165" t="n">
        <x:v>183</x:v>
      </x:c>
      <x:c r="B187" s="233" t="str">
        <x:v>شهریور</x:v>
      </x:c>
      <x:c r="C187" s="233" t="n">
        <x:f>IF('دانش‌آموزان'!E20="","",'دانش‌آموزان'!B20)</x:f>
        <x:v>16</x:v>
      </x:c>
      <x:c r="D187" s="233" t="str">
        <x:f>IF('دانش‌آموزان'!C20="","",'دانش‌آموزان'!C20)</x:f>
        <x:v>4000000160</x:v>
      </x:c>
      <x:c r="E187" s="233" t="str">
        <x:f>IF('دانش‌آموزان'!E20="","",'دانش‌آموزان'!E20&amp;" "&amp;'دانش‌آموزان'!F20)</x:f>
        <x:v>نازنین مرادی</x:v>
      </x:c>
      <x:c r="F187" s="166" t="str">
        <x:f>IF('دانش‌آموزان'!I20="","",'دانش‌آموزان'!I20)</x:f>
        <x:v>sample-7-a</x:v>
      </x:c>
      <x:c r="G187" s="114"/>
      <x:c r="H187" s="115"/>
      <x:c r="I187" s="115"/>
      <x:c r="J187" s="115"/>
      <x:c r="K187" s="115"/>
      <x:c r="L187" s="115"/>
      <x:c r="M187" s="115"/>
      <x:c r="N187" s="115"/>
      <x:c r="O187" s="115"/>
      <x:c r="P187" s="115"/>
      <x:c r="Q187" s="115"/>
      <x:c r="R187" s="115"/>
      <x:c r="S187" s="115"/>
      <x:c r="T187" s="115"/>
      <x:c r="U187" s="115"/>
      <x:c r="V187" s="115"/>
      <x:c r="W187" s="115"/>
      <x:c r="X187" s="115"/>
      <x:c r="Y187" s="115"/>
      <x:c r="Z187" s="115"/>
      <x:c r="AA187" s="115"/>
      <x:c r="AB187" s="115"/>
      <x:c r="AC187" s="115"/>
      <x:c r="AD187" s="115"/>
      <x:c r="AE187" s="115"/>
      <x:c r="AF187" s="115"/>
      <x:c r="AG187" s="115"/>
      <x:c r="AH187" s="115"/>
      <x:c r="AI187" s="115"/>
      <x:c r="AJ187" s="115"/>
      <x:c r="AK187" s="115"/>
      <x:c r="AL187" s="115"/>
      <x:c r="AM187" s="115"/>
      <x:c r="AN187" s="115"/>
      <x:c r="AO187" s="115"/>
      <x:c r="AP187" s="115"/>
      <x:c r="AQ187" s="115"/>
      <x:c r="AR187" s="115"/>
      <x:c r="AS187" s="115"/>
      <x:c r="AT187" s="115"/>
      <x:c r="AU187" s="115"/>
      <x:c r="AV187" s="115"/>
      <x:c r="AW187" s="115"/>
      <x:c r="AX187" s="115"/>
      <x:c r="AY187" s="115"/>
      <x:c r="AZ187" s="115"/>
      <x:c r="BA187" s="115"/>
      <x:c r="BB187" s="115"/>
      <x:c r="BC187" s="115"/>
      <x:c r="BD187" s="115"/>
      <x:c r="BE187" s="115"/>
      <x:c r="BF187" s="115"/>
      <x:c r="BG187" s="115"/>
      <x:c r="BH187" s="115"/>
      <x:c r="BI187" s="115"/>
      <x:c r="BJ187" s="115"/>
      <x:c r="BK187" s="115"/>
      <x:c r="BL187" s="115"/>
      <x:c r="BM187" s="115"/>
      <x:c r="BN187" s="115"/>
      <x:c r="BO187" s="115"/>
      <x:c r="BP187" s="115"/>
      <x:c r="BQ187" s="115"/>
      <x:c r="BR187" s="115"/>
      <x:c r="BS187" s="115"/>
      <x:c r="BT187" s="115"/>
      <x:c r="BU187" s="115"/>
      <x:c r="BV187" s="115"/>
      <x:c r="BW187" s="115"/>
      <x:c r="BX187" s="115"/>
      <x:c r="BY187" s="115"/>
      <x:c r="BZ187" s="115"/>
      <x:c r="CA187" s="115"/>
      <x:c r="CB187" s="116"/>
      <x:c r="CC187" s="141" t="str">
        <x:f>IF(COUNT(G187:P187)=0,"",AVERAGE(G187:P187)*4)</x:f>
      </x:c>
      <x:c r="CD187" s="178" t="str">
        <x:f>IF(COUNT(Q187:Z187)=0,"",AVERAGE(Q187:Z187)*4)</x:f>
      </x:c>
      <x:c r="CE187" s="178" t="str">
        <x:f>IF(COUNT(AA187:AJ187)=0,"",AVERAGE(AA187:AJ187)*4)</x:f>
      </x:c>
      <x:c r="CF187" s="178" t="str">
        <x:f>IF(COUNT(AK187:AR187)=0,"",AVERAGE(AK187:AR187)*4)</x:f>
      </x:c>
      <x:c r="CG187" s="178" t="str">
        <x:f>IF(COUNT(AS187:AY187)=0,"",AVERAGE(AS187:AY187)*4)</x:f>
      </x:c>
      <x:c r="CH187" s="178" t="str">
        <x:f>IF(COUNT(AZ187:BG187)=0,"",AVERAGE(AZ187:BG187)*4)</x:f>
      </x:c>
      <x:c r="CI187" s="178" t="str">
        <x:f>IF(COUNT(BH187:BN187)=0,"",AVERAGE(BH187:BN187)*4)</x:f>
      </x:c>
      <x:c r="CJ187" s="178" t="str">
        <x:f>IF(COUNT(BO187:BU187)=0,"",AVERAGE(BO187:BU187)*4)</x:f>
      </x:c>
      <x:c r="CK187" s="178" t="str">
        <x:f>IF(COUNT(BV187:CB187)=0,"",AVERAGE(BV187:CB187)*4)</x:f>
      </x:c>
      <x:c r="CL187" s="178" t="str">
        <x:f>IF(C187="","",IF(COUNT(G187:CB187)&lt;74,"",(CC187*'تنظیمات وزن‌دهی'!$C$5+CD187*'تنظیمات وزن‌دهی'!$C$6+CE187*'تنظیمات وزن‌دهی'!$C$7+CF187*'تنظیمات وزن‌دهی'!$C$8+CG187*'تنظیمات وزن‌دهی'!$C$9+CH187*'تنظیمات وزن‌دهی'!$C$10+CI187*'تنظیمات وزن‌دهی'!$C$11+CJ187*'تنظیمات وزن‌دهی'!$C$12+CK187*'تنظیمات وزن‌دهی'!$C$13)/100))</x:f>
      </x:c>
      <x:c r="CM187" s="178" t="str">
        <x:f>IF(C187="","",IF(COUNT(G187:CB187)=0,"",IF(COUNT(G187:CB187)&lt;74,"موقت - اطلاعات ناقص",IF(CL187&gt;=17,"عالی",IF(CL187&gt;=14,"خوب",IF(CL187&gt;=10,"متوسط","ضعیف"))))))</x:f>
      </x:c>
      <x:c r="CN187" s="178" t="n">
        <x:v>3</x:v>
      </x:c>
      <x:c r="CO187" s="142" t="n">
        <x:f>IF(C187="","",COUNT(G187:CB187)/74)</x:f>
        <x:v>0</x:v>
      </x:c>
      <x:c r="CP187" s="245"/>
    </x:row>
    <x:row r="188">
      <x:c r="A188" s="165" t="n">
        <x:v>184</x:v>
      </x:c>
      <x:c r="B188" s="233" t="str">
        <x:v>مهر</x:v>
      </x:c>
      <x:c r="C188" s="233" t="n">
        <x:f>IF('دانش‌آموزان'!E20="","",'دانش‌آموزان'!B20)</x:f>
        <x:v>16</x:v>
      </x:c>
      <x:c r="D188" s="233" t="str">
        <x:f>IF('دانش‌آموزان'!C20="","",'دانش‌آموزان'!C20)</x:f>
        <x:v>4000000160</x:v>
      </x:c>
      <x:c r="E188" s="233" t="str">
        <x:f>IF('دانش‌آموزان'!E20="","",'دانش‌آموزان'!E20&amp;" "&amp;'دانش‌آموزان'!F20)</x:f>
        <x:v>نازنین مرادی</x:v>
      </x:c>
      <x:c r="F188" s="166" t="str">
        <x:f>IF('دانش‌آموزان'!I20="","",'دانش‌آموزان'!I20)</x:f>
        <x:v>sample-7-a</x:v>
      </x:c>
      <x:c r="G188" s="114"/>
      <x:c r="H188" s="115"/>
      <x:c r="I188" s="115"/>
      <x:c r="J188" s="115"/>
      <x:c r="K188" s="115"/>
      <x:c r="L188" s="115"/>
      <x:c r="M188" s="115"/>
      <x:c r="N188" s="115"/>
      <x:c r="O188" s="115"/>
      <x:c r="P188" s="115"/>
      <x:c r="Q188" s="115"/>
      <x:c r="R188" s="115"/>
      <x:c r="S188" s="115"/>
      <x:c r="T188" s="115"/>
      <x:c r="U188" s="115"/>
      <x:c r="V188" s="115"/>
      <x:c r="W188" s="115"/>
      <x:c r="X188" s="115"/>
      <x:c r="Y188" s="115"/>
      <x:c r="Z188" s="115"/>
      <x:c r="AA188" s="115"/>
      <x:c r="AB188" s="115"/>
      <x:c r="AC188" s="115"/>
      <x:c r="AD188" s="115"/>
      <x:c r="AE188" s="115"/>
      <x:c r="AF188" s="115"/>
      <x:c r="AG188" s="115"/>
      <x:c r="AH188" s="115"/>
      <x:c r="AI188" s="115"/>
      <x:c r="AJ188" s="115"/>
      <x:c r="AK188" s="115"/>
      <x:c r="AL188" s="115"/>
      <x:c r="AM188" s="115"/>
      <x:c r="AN188" s="115"/>
      <x:c r="AO188" s="115"/>
      <x:c r="AP188" s="115"/>
      <x:c r="AQ188" s="115"/>
      <x:c r="AR188" s="115"/>
      <x:c r="AS188" s="115"/>
      <x:c r="AT188" s="115"/>
      <x:c r="AU188" s="115"/>
      <x:c r="AV188" s="115"/>
      <x:c r="AW188" s="115"/>
      <x:c r="AX188" s="115"/>
      <x:c r="AY188" s="115"/>
      <x:c r="AZ188" s="115"/>
      <x:c r="BA188" s="115"/>
      <x:c r="BB188" s="115"/>
      <x:c r="BC188" s="115"/>
      <x:c r="BD188" s="115"/>
      <x:c r="BE188" s="115"/>
      <x:c r="BF188" s="115"/>
      <x:c r="BG188" s="115"/>
      <x:c r="BH188" s="115"/>
      <x:c r="BI188" s="115"/>
      <x:c r="BJ188" s="115"/>
      <x:c r="BK188" s="115"/>
      <x:c r="BL188" s="115"/>
      <x:c r="BM188" s="115"/>
      <x:c r="BN188" s="115"/>
      <x:c r="BO188" s="115"/>
      <x:c r="BP188" s="115"/>
      <x:c r="BQ188" s="115"/>
      <x:c r="BR188" s="115"/>
      <x:c r="BS188" s="115"/>
      <x:c r="BT188" s="115"/>
      <x:c r="BU188" s="115"/>
      <x:c r="BV188" s="115"/>
      <x:c r="BW188" s="115"/>
      <x:c r="BX188" s="115"/>
      <x:c r="BY188" s="115"/>
      <x:c r="BZ188" s="115"/>
      <x:c r="CA188" s="115"/>
      <x:c r="CB188" s="116"/>
      <x:c r="CC188" s="141" t="str">
        <x:f>IF(COUNT(G188:P188)=0,"",AVERAGE(G188:P188)*4)</x:f>
      </x:c>
      <x:c r="CD188" s="178" t="str">
        <x:f>IF(COUNT(Q188:Z188)=0,"",AVERAGE(Q188:Z188)*4)</x:f>
      </x:c>
      <x:c r="CE188" s="178" t="str">
        <x:f>IF(COUNT(AA188:AJ188)=0,"",AVERAGE(AA188:AJ188)*4)</x:f>
      </x:c>
      <x:c r="CF188" s="178" t="str">
        <x:f>IF(COUNT(AK188:AR188)=0,"",AVERAGE(AK188:AR188)*4)</x:f>
      </x:c>
      <x:c r="CG188" s="178" t="str">
        <x:f>IF(COUNT(AS188:AY188)=0,"",AVERAGE(AS188:AY188)*4)</x:f>
      </x:c>
      <x:c r="CH188" s="178" t="str">
        <x:f>IF(COUNT(AZ188:BG188)=0,"",AVERAGE(AZ188:BG188)*4)</x:f>
      </x:c>
      <x:c r="CI188" s="178" t="str">
        <x:f>IF(COUNT(BH188:BN188)=0,"",AVERAGE(BH188:BN188)*4)</x:f>
      </x:c>
      <x:c r="CJ188" s="178" t="str">
        <x:f>IF(COUNT(BO188:BU188)=0,"",AVERAGE(BO188:BU188)*4)</x:f>
      </x:c>
      <x:c r="CK188" s="178" t="str">
        <x:f>IF(COUNT(BV188:CB188)=0,"",AVERAGE(BV188:CB188)*4)</x:f>
      </x:c>
      <x:c r="CL188" s="178" t="str">
        <x:f>IF(C188="","",IF(COUNT(G188:CB188)&lt;74,"",(CC188*'تنظیمات وزن‌دهی'!$C$5+CD188*'تنظیمات وزن‌دهی'!$C$6+CE188*'تنظیمات وزن‌دهی'!$C$7+CF188*'تنظیمات وزن‌دهی'!$C$8+CG188*'تنظیمات وزن‌دهی'!$C$9+CH188*'تنظیمات وزن‌دهی'!$C$10+CI188*'تنظیمات وزن‌دهی'!$C$11+CJ188*'تنظیمات وزن‌دهی'!$C$12+CK188*'تنظیمات وزن‌دهی'!$C$13)/100))</x:f>
      </x:c>
      <x:c r="CM188" s="178" t="str">
        <x:f>IF(C188="","",IF(COUNT(G188:CB188)=0,"",IF(COUNT(G188:CB188)&lt;74,"موقت - اطلاعات ناقص",IF(CL188&gt;=17,"عالی",IF(CL188&gt;=14,"خوب",IF(CL188&gt;=10,"متوسط","ضعیف"))))))</x:f>
      </x:c>
      <x:c r="CN188" s="178" t="n">
        <x:v>4</x:v>
      </x:c>
      <x:c r="CO188" s="142" t="n">
        <x:f>IF(C188="","",COUNT(G188:CB188)/74)</x:f>
        <x:v>0</x:v>
      </x:c>
      <x:c r="CP188" s="245"/>
    </x:row>
    <x:row r="189">
      <x:c r="A189" s="165" t="n">
        <x:v>185</x:v>
      </x:c>
      <x:c r="B189" s="233" t="str">
        <x:v>آبان</x:v>
      </x:c>
      <x:c r="C189" s="233" t="n">
        <x:f>IF('دانش‌آموزان'!E20="","",'دانش‌آموزان'!B20)</x:f>
        <x:v>16</x:v>
      </x:c>
      <x:c r="D189" s="233" t="str">
        <x:f>IF('دانش‌آموزان'!C20="","",'دانش‌آموزان'!C20)</x:f>
        <x:v>4000000160</x:v>
      </x:c>
      <x:c r="E189" s="233" t="str">
        <x:f>IF('دانش‌آموزان'!E20="","",'دانش‌آموزان'!E20&amp;" "&amp;'دانش‌آموزان'!F20)</x:f>
        <x:v>نازنین مرادی</x:v>
      </x:c>
      <x:c r="F189" s="166" t="str">
        <x:f>IF('دانش‌آموزان'!I20="","",'دانش‌آموزان'!I20)</x:f>
        <x:v>sample-7-a</x:v>
      </x:c>
      <x:c r="G189" s="114"/>
      <x:c r="H189" s="115"/>
      <x:c r="I189" s="115"/>
      <x:c r="J189" s="115"/>
      <x:c r="K189" s="115"/>
      <x:c r="L189" s="115"/>
      <x:c r="M189" s="115"/>
      <x:c r="N189" s="115"/>
      <x:c r="O189" s="115"/>
      <x:c r="P189" s="115"/>
      <x:c r="Q189" s="115"/>
      <x:c r="R189" s="115"/>
      <x:c r="S189" s="115"/>
      <x:c r="T189" s="115"/>
      <x:c r="U189" s="115"/>
      <x:c r="V189" s="115"/>
      <x:c r="W189" s="115"/>
      <x:c r="X189" s="115"/>
      <x:c r="Y189" s="115"/>
      <x:c r="Z189" s="115"/>
      <x:c r="AA189" s="115"/>
      <x:c r="AB189" s="115"/>
      <x:c r="AC189" s="115"/>
      <x:c r="AD189" s="115"/>
      <x:c r="AE189" s="115"/>
      <x:c r="AF189" s="115"/>
      <x:c r="AG189" s="115"/>
      <x:c r="AH189" s="115"/>
      <x:c r="AI189" s="115"/>
      <x:c r="AJ189" s="115"/>
      <x:c r="AK189" s="115"/>
      <x:c r="AL189" s="115"/>
      <x:c r="AM189" s="115"/>
      <x:c r="AN189" s="115"/>
      <x:c r="AO189" s="115"/>
      <x:c r="AP189" s="115"/>
      <x:c r="AQ189" s="115"/>
      <x:c r="AR189" s="115"/>
      <x:c r="AS189" s="115"/>
      <x:c r="AT189" s="115"/>
      <x:c r="AU189" s="115"/>
      <x:c r="AV189" s="115"/>
      <x:c r="AW189" s="115"/>
      <x:c r="AX189" s="115"/>
      <x:c r="AY189" s="115"/>
      <x:c r="AZ189" s="115"/>
      <x:c r="BA189" s="115"/>
      <x:c r="BB189" s="115"/>
      <x:c r="BC189" s="115"/>
      <x:c r="BD189" s="115"/>
      <x:c r="BE189" s="115"/>
      <x:c r="BF189" s="115"/>
      <x:c r="BG189" s="115"/>
      <x:c r="BH189" s="115"/>
      <x:c r="BI189" s="115"/>
      <x:c r="BJ189" s="115"/>
      <x:c r="BK189" s="115"/>
      <x:c r="BL189" s="115"/>
      <x:c r="BM189" s="115"/>
      <x:c r="BN189" s="115"/>
      <x:c r="BO189" s="115"/>
      <x:c r="BP189" s="115"/>
      <x:c r="BQ189" s="115"/>
      <x:c r="BR189" s="115"/>
      <x:c r="BS189" s="115"/>
      <x:c r="BT189" s="115"/>
      <x:c r="BU189" s="115"/>
      <x:c r="BV189" s="115"/>
      <x:c r="BW189" s="115"/>
      <x:c r="BX189" s="115"/>
      <x:c r="BY189" s="115"/>
      <x:c r="BZ189" s="115"/>
      <x:c r="CA189" s="115"/>
      <x:c r="CB189" s="116"/>
      <x:c r="CC189" s="141" t="str">
        <x:f>IF(COUNT(G189:P189)=0,"",AVERAGE(G189:P189)*4)</x:f>
      </x:c>
      <x:c r="CD189" s="178" t="str">
        <x:f>IF(COUNT(Q189:Z189)=0,"",AVERAGE(Q189:Z189)*4)</x:f>
      </x:c>
      <x:c r="CE189" s="178" t="str">
        <x:f>IF(COUNT(AA189:AJ189)=0,"",AVERAGE(AA189:AJ189)*4)</x:f>
      </x:c>
      <x:c r="CF189" s="178" t="str">
        <x:f>IF(COUNT(AK189:AR189)=0,"",AVERAGE(AK189:AR189)*4)</x:f>
      </x:c>
      <x:c r="CG189" s="178" t="str">
        <x:f>IF(COUNT(AS189:AY189)=0,"",AVERAGE(AS189:AY189)*4)</x:f>
      </x:c>
      <x:c r="CH189" s="178" t="str">
        <x:f>IF(COUNT(AZ189:BG189)=0,"",AVERAGE(AZ189:BG189)*4)</x:f>
      </x:c>
      <x:c r="CI189" s="178" t="str">
        <x:f>IF(COUNT(BH189:BN189)=0,"",AVERAGE(BH189:BN189)*4)</x:f>
      </x:c>
      <x:c r="CJ189" s="178" t="str">
        <x:f>IF(COUNT(BO189:BU189)=0,"",AVERAGE(BO189:BU189)*4)</x:f>
      </x:c>
      <x:c r="CK189" s="178" t="str">
        <x:f>IF(COUNT(BV189:CB189)=0,"",AVERAGE(BV189:CB189)*4)</x:f>
      </x:c>
      <x:c r="CL189" s="178" t="str">
        <x:f>IF(C189="","",IF(COUNT(G189:CB189)&lt;74,"",(CC189*'تنظیمات وزن‌دهی'!$C$5+CD189*'تنظیمات وزن‌دهی'!$C$6+CE189*'تنظیمات وزن‌دهی'!$C$7+CF189*'تنظیمات وزن‌دهی'!$C$8+CG189*'تنظیمات وزن‌دهی'!$C$9+CH189*'تنظیمات وزن‌دهی'!$C$10+CI189*'تنظیمات وزن‌دهی'!$C$11+CJ189*'تنظیمات وزن‌دهی'!$C$12+CK189*'تنظیمات وزن‌دهی'!$C$13)/100))</x:f>
      </x:c>
      <x:c r="CM189" s="178" t="str">
        <x:f>IF(C189="","",IF(COUNT(G189:CB189)=0,"",IF(COUNT(G189:CB189)&lt;74,"موقت - اطلاعات ناقص",IF(CL189&gt;=17,"عالی",IF(CL189&gt;=14,"خوب",IF(CL189&gt;=10,"متوسط","ضعیف"))))))</x:f>
      </x:c>
      <x:c r="CN189" s="178" t="n">
        <x:v>5</x:v>
      </x:c>
      <x:c r="CO189" s="142" t="n">
        <x:f>IF(C189="","",COUNT(G189:CB189)/74)</x:f>
        <x:v>0</x:v>
      </x:c>
      <x:c r="CP189" s="245"/>
    </x:row>
    <x:row r="190">
      <x:c r="A190" s="165" t="n">
        <x:v>186</x:v>
      </x:c>
      <x:c r="B190" s="233" t="str">
        <x:v>آذر</x:v>
      </x:c>
      <x:c r="C190" s="233" t="n">
        <x:f>IF('دانش‌آموزان'!E20="","",'دانش‌آموزان'!B20)</x:f>
        <x:v>16</x:v>
      </x:c>
      <x:c r="D190" s="233" t="str">
        <x:f>IF('دانش‌آموزان'!C20="","",'دانش‌آموزان'!C20)</x:f>
        <x:v>4000000160</x:v>
      </x:c>
      <x:c r="E190" s="233" t="str">
        <x:f>IF('دانش‌آموزان'!E20="","",'دانش‌آموزان'!E20&amp;" "&amp;'دانش‌آموزان'!F20)</x:f>
        <x:v>نازنین مرادی</x:v>
      </x:c>
      <x:c r="F190" s="166" t="str">
        <x:f>IF('دانش‌آموزان'!I20="","",'دانش‌آموزان'!I20)</x:f>
        <x:v>sample-7-a</x:v>
      </x:c>
      <x:c r="G190" s="114"/>
      <x:c r="H190" s="115"/>
      <x:c r="I190" s="115"/>
      <x:c r="J190" s="115"/>
      <x:c r="K190" s="115"/>
      <x:c r="L190" s="115"/>
      <x:c r="M190" s="115"/>
      <x:c r="N190" s="115"/>
      <x:c r="O190" s="115"/>
      <x:c r="P190" s="115"/>
      <x:c r="Q190" s="115"/>
      <x:c r="R190" s="115"/>
      <x:c r="S190" s="115"/>
      <x:c r="T190" s="115"/>
      <x:c r="U190" s="115"/>
      <x:c r="V190" s="115"/>
      <x:c r="W190" s="115"/>
      <x:c r="X190" s="115"/>
      <x:c r="Y190" s="115"/>
      <x:c r="Z190" s="115"/>
      <x:c r="AA190" s="115"/>
      <x:c r="AB190" s="115"/>
      <x:c r="AC190" s="115"/>
      <x:c r="AD190" s="115"/>
      <x:c r="AE190" s="115"/>
      <x:c r="AF190" s="115"/>
      <x:c r="AG190" s="115"/>
      <x:c r="AH190" s="115"/>
      <x:c r="AI190" s="115"/>
      <x:c r="AJ190" s="115"/>
      <x:c r="AK190" s="115"/>
      <x:c r="AL190" s="115"/>
      <x:c r="AM190" s="115"/>
      <x:c r="AN190" s="115"/>
      <x:c r="AO190" s="115"/>
      <x:c r="AP190" s="115"/>
      <x:c r="AQ190" s="115"/>
      <x:c r="AR190" s="115"/>
      <x:c r="AS190" s="115"/>
      <x:c r="AT190" s="115"/>
      <x:c r="AU190" s="115"/>
      <x:c r="AV190" s="115"/>
      <x:c r="AW190" s="115"/>
      <x:c r="AX190" s="115"/>
      <x:c r="AY190" s="115"/>
      <x:c r="AZ190" s="115"/>
      <x:c r="BA190" s="115"/>
      <x:c r="BB190" s="115"/>
      <x:c r="BC190" s="115"/>
      <x:c r="BD190" s="115"/>
      <x:c r="BE190" s="115"/>
      <x:c r="BF190" s="115"/>
      <x:c r="BG190" s="115"/>
      <x:c r="BH190" s="115"/>
      <x:c r="BI190" s="115"/>
      <x:c r="BJ190" s="115"/>
      <x:c r="BK190" s="115"/>
      <x:c r="BL190" s="115"/>
      <x:c r="BM190" s="115"/>
      <x:c r="BN190" s="115"/>
      <x:c r="BO190" s="115"/>
      <x:c r="BP190" s="115"/>
      <x:c r="BQ190" s="115"/>
      <x:c r="BR190" s="115"/>
      <x:c r="BS190" s="115"/>
      <x:c r="BT190" s="115"/>
      <x:c r="BU190" s="115"/>
      <x:c r="BV190" s="115"/>
      <x:c r="BW190" s="115"/>
      <x:c r="BX190" s="115"/>
      <x:c r="BY190" s="115"/>
      <x:c r="BZ190" s="115"/>
      <x:c r="CA190" s="115"/>
      <x:c r="CB190" s="116"/>
      <x:c r="CC190" s="141" t="str">
        <x:f>IF(COUNT(G190:P190)=0,"",AVERAGE(G190:P190)*4)</x:f>
      </x:c>
      <x:c r="CD190" s="178" t="str">
        <x:f>IF(COUNT(Q190:Z190)=0,"",AVERAGE(Q190:Z190)*4)</x:f>
      </x:c>
      <x:c r="CE190" s="178" t="str">
        <x:f>IF(COUNT(AA190:AJ190)=0,"",AVERAGE(AA190:AJ190)*4)</x:f>
      </x:c>
      <x:c r="CF190" s="178" t="str">
        <x:f>IF(COUNT(AK190:AR190)=0,"",AVERAGE(AK190:AR190)*4)</x:f>
      </x:c>
      <x:c r="CG190" s="178" t="str">
        <x:f>IF(COUNT(AS190:AY190)=0,"",AVERAGE(AS190:AY190)*4)</x:f>
      </x:c>
      <x:c r="CH190" s="178" t="str">
        <x:f>IF(COUNT(AZ190:BG190)=0,"",AVERAGE(AZ190:BG190)*4)</x:f>
      </x:c>
      <x:c r="CI190" s="178" t="str">
        <x:f>IF(COUNT(BH190:BN190)=0,"",AVERAGE(BH190:BN190)*4)</x:f>
      </x:c>
      <x:c r="CJ190" s="178" t="str">
        <x:f>IF(COUNT(BO190:BU190)=0,"",AVERAGE(BO190:BU190)*4)</x:f>
      </x:c>
      <x:c r="CK190" s="178" t="str">
        <x:f>IF(COUNT(BV190:CB190)=0,"",AVERAGE(BV190:CB190)*4)</x:f>
      </x:c>
      <x:c r="CL190" s="178" t="str">
        <x:f>IF(C190="","",IF(COUNT(G190:CB190)&lt;74,"",(CC190*'تنظیمات وزن‌دهی'!$C$5+CD190*'تنظیمات وزن‌دهی'!$C$6+CE190*'تنظیمات وزن‌دهی'!$C$7+CF190*'تنظیمات وزن‌دهی'!$C$8+CG190*'تنظیمات وزن‌دهی'!$C$9+CH190*'تنظیمات وزن‌دهی'!$C$10+CI190*'تنظیمات وزن‌دهی'!$C$11+CJ190*'تنظیمات وزن‌دهی'!$C$12+CK190*'تنظیمات وزن‌دهی'!$C$13)/100))</x:f>
      </x:c>
      <x:c r="CM190" s="178" t="str">
        <x:f>IF(C190="","",IF(COUNT(G190:CB190)=0,"",IF(COUNT(G190:CB190)&lt;74,"موقت - اطلاعات ناقص",IF(CL190&gt;=17,"عالی",IF(CL190&gt;=14,"خوب",IF(CL190&gt;=10,"متوسط","ضعیف"))))))</x:f>
      </x:c>
      <x:c r="CN190" s="178" t="n">
        <x:v>6</x:v>
      </x:c>
      <x:c r="CO190" s="142" t="n">
        <x:f>IF(C190="","",COUNT(G190:CB190)/74)</x:f>
        <x:v>0</x:v>
      </x:c>
      <x:c r="CP190" s="245"/>
    </x:row>
    <x:row r="191">
      <x:c r="A191" s="165" t="n">
        <x:v>187</x:v>
      </x:c>
      <x:c r="B191" s="233" t="str">
        <x:v>دی</x:v>
      </x:c>
      <x:c r="C191" s="233" t="n">
        <x:f>IF('دانش‌آموزان'!E20="","",'دانش‌آموزان'!B20)</x:f>
        <x:v>16</x:v>
      </x:c>
      <x:c r="D191" s="233" t="str">
        <x:f>IF('دانش‌آموزان'!C20="","",'دانش‌آموزان'!C20)</x:f>
        <x:v>4000000160</x:v>
      </x:c>
      <x:c r="E191" s="233" t="str">
        <x:f>IF('دانش‌آموزان'!E20="","",'دانش‌آموزان'!E20&amp;" "&amp;'دانش‌آموزان'!F20)</x:f>
        <x:v>نازنین مرادی</x:v>
      </x:c>
      <x:c r="F191" s="166" t="str">
        <x:f>IF('دانش‌آموزان'!I20="","",'دانش‌آموزان'!I20)</x:f>
        <x:v>sample-7-a</x:v>
      </x:c>
      <x:c r="G191" s="114"/>
      <x:c r="H191" s="115"/>
      <x:c r="I191" s="115"/>
      <x:c r="J191" s="115"/>
      <x:c r="K191" s="115"/>
      <x:c r="L191" s="115"/>
      <x:c r="M191" s="115"/>
      <x:c r="N191" s="115"/>
      <x:c r="O191" s="115"/>
      <x:c r="P191" s="115"/>
      <x:c r="Q191" s="115"/>
      <x:c r="R191" s="115"/>
      <x:c r="S191" s="115"/>
      <x:c r="T191" s="115"/>
      <x:c r="U191" s="115"/>
      <x:c r="V191" s="115"/>
      <x:c r="W191" s="115"/>
      <x:c r="X191" s="115"/>
      <x:c r="Y191" s="115"/>
      <x:c r="Z191" s="115"/>
      <x:c r="AA191" s="115"/>
      <x:c r="AB191" s="115"/>
      <x:c r="AC191" s="115"/>
      <x:c r="AD191" s="115"/>
      <x:c r="AE191" s="115"/>
      <x:c r="AF191" s="115"/>
      <x:c r="AG191" s="115"/>
      <x:c r="AH191" s="115"/>
      <x:c r="AI191" s="115"/>
      <x:c r="AJ191" s="115"/>
      <x:c r="AK191" s="115"/>
      <x:c r="AL191" s="115"/>
      <x:c r="AM191" s="115"/>
      <x:c r="AN191" s="115"/>
      <x:c r="AO191" s="115"/>
      <x:c r="AP191" s="115"/>
      <x:c r="AQ191" s="115"/>
      <x:c r="AR191" s="115"/>
      <x:c r="AS191" s="115"/>
      <x:c r="AT191" s="115"/>
      <x:c r="AU191" s="115"/>
      <x:c r="AV191" s="115"/>
      <x:c r="AW191" s="115"/>
      <x:c r="AX191" s="115"/>
      <x:c r="AY191" s="115"/>
      <x:c r="AZ191" s="115"/>
      <x:c r="BA191" s="115"/>
      <x:c r="BB191" s="115"/>
      <x:c r="BC191" s="115"/>
      <x:c r="BD191" s="115"/>
      <x:c r="BE191" s="115"/>
      <x:c r="BF191" s="115"/>
      <x:c r="BG191" s="115"/>
      <x:c r="BH191" s="115"/>
      <x:c r="BI191" s="115"/>
      <x:c r="BJ191" s="115"/>
      <x:c r="BK191" s="115"/>
      <x:c r="BL191" s="115"/>
      <x:c r="BM191" s="115"/>
      <x:c r="BN191" s="115"/>
      <x:c r="BO191" s="115"/>
      <x:c r="BP191" s="115"/>
      <x:c r="BQ191" s="115"/>
      <x:c r="BR191" s="115"/>
      <x:c r="BS191" s="115"/>
      <x:c r="BT191" s="115"/>
      <x:c r="BU191" s="115"/>
      <x:c r="BV191" s="115"/>
      <x:c r="BW191" s="115"/>
      <x:c r="BX191" s="115"/>
      <x:c r="BY191" s="115"/>
      <x:c r="BZ191" s="115"/>
      <x:c r="CA191" s="115"/>
      <x:c r="CB191" s="116"/>
      <x:c r="CC191" s="141" t="str">
        <x:f>IF(COUNT(G191:P191)=0,"",AVERAGE(G191:P191)*4)</x:f>
      </x:c>
      <x:c r="CD191" s="178" t="str">
        <x:f>IF(COUNT(Q191:Z191)=0,"",AVERAGE(Q191:Z191)*4)</x:f>
      </x:c>
      <x:c r="CE191" s="178" t="str">
        <x:f>IF(COUNT(AA191:AJ191)=0,"",AVERAGE(AA191:AJ191)*4)</x:f>
      </x:c>
      <x:c r="CF191" s="178" t="str">
        <x:f>IF(COUNT(AK191:AR191)=0,"",AVERAGE(AK191:AR191)*4)</x:f>
      </x:c>
      <x:c r="CG191" s="178" t="str">
        <x:f>IF(COUNT(AS191:AY191)=0,"",AVERAGE(AS191:AY191)*4)</x:f>
      </x:c>
      <x:c r="CH191" s="178" t="str">
        <x:f>IF(COUNT(AZ191:BG191)=0,"",AVERAGE(AZ191:BG191)*4)</x:f>
      </x:c>
      <x:c r="CI191" s="178" t="str">
        <x:f>IF(COUNT(BH191:BN191)=0,"",AVERAGE(BH191:BN191)*4)</x:f>
      </x:c>
      <x:c r="CJ191" s="178" t="str">
        <x:f>IF(COUNT(BO191:BU191)=0,"",AVERAGE(BO191:BU191)*4)</x:f>
      </x:c>
      <x:c r="CK191" s="178" t="str">
        <x:f>IF(COUNT(BV191:CB191)=0,"",AVERAGE(BV191:CB191)*4)</x:f>
      </x:c>
      <x:c r="CL191" s="178" t="str">
        <x:f>IF(C191="","",IF(COUNT(G191:CB191)&lt;74,"",(CC191*'تنظیمات وزن‌دهی'!$C$5+CD191*'تنظیمات وزن‌دهی'!$C$6+CE191*'تنظیمات وزن‌دهی'!$C$7+CF191*'تنظیمات وزن‌دهی'!$C$8+CG191*'تنظیمات وزن‌دهی'!$C$9+CH191*'تنظیمات وزن‌دهی'!$C$10+CI191*'تنظیمات وزن‌دهی'!$C$11+CJ191*'تنظیمات وزن‌دهی'!$C$12+CK191*'تنظیمات وزن‌دهی'!$C$13)/100))</x:f>
      </x:c>
      <x:c r="CM191" s="178" t="str">
        <x:f>IF(C191="","",IF(COUNT(G191:CB191)=0,"",IF(COUNT(G191:CB191)&lt;74,"موقت - اطلاعات ناقص",IF(CL191&gt;=17,"عالی",IF(CL191&gt;=14,"خوب",IF(CL191&gt;=10,"متوسط","ضعیف"))))))</x:f>
      </x:c>
      <x:c r="CN191" s="178" t="n">
        <x:v>7</x:v>
      </x:c>
      <x:c r="CO191" s="142" t="n">
        <x:f>IF(C191="","",COUNT(G191:CB191)/74)</x:f>
        <x:v>0</x:v>
      </x:c>
      <x:c r="CP191" s="245"/>
    </x:row>
    <x:row r="192">
      <x:c r="A192" s="165" t="n">
        <x:v>188</x:v>
      </x:c>
      <x:c r="B192" s="233" t="str">
        <x:v>بهمن</x:v>
      </x:c>
      <x:c r="C192" s="233" t="n">
        <x:f>IF('دانش‌آموزان'!E20="","",'دانش‌آموزان'!B20)</x:f>
        <x:v>16</x:v>
      </x:c>
      <x:c r="D192" s="233" t="str">
        <x:f>IF('دانش‌آموزان'!C20="","",'دانش‌آموزان'!C20)</x:f>
        <x:v>4000000160</x:v>
      </x:c>
      <x:c r="E192" s="233" t="str">
        <x:f>IF('دانش‌آموزان'!E20="","",'دانش‌آموزان'!E20&amp;" "&amp;'دانش‌آموزان'!F20)</x:f>
        <x:v>نازنین مرادی</x:v>
      </x:c>
      <x:c r="F192" s="166" t="str">
        <x:f>IF('دانش‌آموزان'!I20="","",'دانش‌آموزان'!I20)</x:f>
        <x:v>sample-7-a</x:v>
      </x:c>
      <x:c r="G192" s="114"/>
      <x:c r="H192" s="115"/>
      <x:c r="I192" s="115"/>
      <x:c r="J192" s="115"/>
      <x:c r="K192" s="115"/>
      <x:c r="L192" s="115"/>
      <x:c r="M192" s="115"/>
      <x:c r="N192" s="115"/>
      <x:c r="O192" s="115"/>
      <x:c r="P192" s="115"/>
      <x:c r="Q192" s="115"/>
      <x:c r="R192" s="115"/>
      <x:c r="S192" s="115"/>
      <x:c r="T192" s="115"/>
      <x:c r="U192" s="115"/>
      <x:c r="V192" s="115"/>
      <x:c r="W192" s="115"/>
      <x:c r="X192" s="115"/>
      <x:c r="Y192" s="115"/>
      <x:c r="Z192" s="115"/>
      <x:c r="AA192" s="115"/>
      <x:c r="AB192" s="115"/>
      <x:c r="AC192" s="115"/>
      <x:c r="AD192" s="115"/>
      <x:c r="AE192" s="115"/>
      <x:c r="AF192" s="115"/>
      <x:c r="AG192" s="115"/>
      <x:c r="AH192" s="115"/>
      <x:c r="AI192" s="115"/>
      <x:c r="AJ192" s="115"/>
      <x:c r="AK192" s="115"/>
      <x:c r="AL192" s="115"/>
      <x:c r="AM192" s="115"/>
      <x:c r="AN192" s="115"/>
      <x:c r="AO192" s="115"/>
      <x:c r="AP192" s="115"/>
      <x:c r="AQ192" s="115"/>
      <x:c r="AR192" s="115"/>
      <x:c r="AS192" s="115"/>
      <x:c r="AT192" s="115"/>
      <x:c r="AU192" s="115"/>
      <x:c r="AV192" s="115"/>
      <x:c r="AW192" s="115"/>
      <x:c r="AX192" s="115"/>
      <x:c r="AY192" s="115"/>
      <x:c r="AZ192" s="115"/>
      <x:c r="BA192" s="115"/>
      <x:c r="BB192" s="115"/>
      <x:c r="BC192" s="115"/>
      <x:c r="BD192" s="115"/>
      <x:c r="BE192" s="115"/>
      <x:c r="BF192" s="115"/>
      <x:c r="BG192" s="115"/>
      <x:c r="BH192" s="115"/>
      <x:c r="BI192" s="115"/>
      <x:c r="BJ192" s="115"/>
      <x:c r="BK192" s="115"/>
      <x:c r="BL192" s="115"/>
      <x:c r="BM192" s="115"/>
      <x:c r="BN192" s="115"/>
      <x:c r="BO192" s="115"/>
      <x:c r="BP192" s="115"/>
      <x:c r="BQ192" s="115"/>
      <x:c r="BR192" s="115"/>
      <x:c r="BS192" s="115"/>
      <x:c r="BT192" s="115"/>
      <x:c r="BU192" s="115"/>
      <x:c r="BV192" s="115"/>
      <x:c r="BW192" s="115"/>
      <x:c r="BX192" s="115"/>
      <x:c r="BY192" s="115"/>
      <x:c r="BZ192" s="115"/>
      <x:c r="CA192" s="115"/>
      <x:c r="CB192" s="116"/>
      <x:c r="CC192" s="141" t="str">
        <x:f>IF(COUNT(G192:P192)=0,"",AVERAGE(G192:P192)*4)</x:f>
      </x:c>
      <x:c r="CD192" s="178" t="str">
        <x:f>IF(COUNT(Q192:Z192)=0,"",AVERAGE(Q192:Z192)*4)</x:f>
      </x:c>
      <x:c r="CE192" s="178" t="str">
        <x:f>IF(COUNT(AA192:AJ192)=0,"",AVERAGE(AA192:AJ192)*4)</x:f>
      </x:c>
      <x:c r="CF192" s="178" t="str">
        <x:f>IF(COUNT(AK192:AR192)=0,"",AVERAGE(AK192:AR192)*4)</x:f>
      </x:c>
      <x:c r="CG192" s="178" t="str">
        <x:f>IF(COUNT(AS192:AY192)=0,"",AVERAGE(AS192:AY192)*4)</x:f>
      </x:c>
      <x:c r="CH192" s="178" t="str">
        <x:f>IF(COUNT(AZ192:BG192)=0,"",AVERAGE(AZ192:BG192)*4)</x:f>
      </x:c>
      <x:c r="CI192" s="178" t="str">
        <x:f>IF(COUNT(BH192:BN192)=0,"",AVERAGE(BH192:BN192)*4)</x:f>
      </x:c>
      <x:c r="CJ192" s="178" t="str">
        <x:f>IF(COUNT(BO192:BU192)=0,"",AVERAGE(BO192:BU192)*4)</x:f>
      </x:c>
      <x:c r="CK192" s="178" t="str">
        <x:f>IF(COUNT(BV192:CB192)=0,"",AVERAGE(BV192:CB192)*4)</x:f>
      </x:c>
      <x:c r="CL192" s="178" t="str">
        <x:f>IF(C192="","",IF(COUNT(G192:CB192)&lt;74,"",(CC192*'تنظیمات وزن‌دهی'!$C$5+CD192*'تنظیمات وزن‌دهی'!$C$6+CE192*'تنظیمات وزن‌دهی'!$C$7+CF192*'تنظیمات وزن‌دهی'!$C$8+CG192*'تنظیمات وزن‌دهی'!$C$9+CH192*'تنظیمات وزن‌دهی'!$C$10+CI192*'تنظیمات وزن‌دهی'!$C$11+CJ192*'تنظیمات وزن‌دهی'!$C$12+CK192*'تنظیمات وزن‌دهی'!$C$13)/100))</x:f>
      </x:c>
      <x:c r="CM192" s="178" t="str">
        <x:f>IF(C192="","",IF(COUNT(G192:CB192)=0,"",IF(COUNT(G192:CB192)&lt;74,"موقت - اطلاعات ناقص",IF(CL192&gt;=17,"عالی",IF(CL192&gt;=14,"خوب",IF(CL192&gt;=10,"متوسط","ضعیف"))))))</x:f>
      </x:c>
      <x:c r="CN192" s="178" t="n">
        <x:v>8</x:v>
      </x:c>
      <x:c r="CO192" s="142" t="n">
        <x:f>IF(C192="","",COUNT(G192:CB192)/74)</x:f>
        <x:v>0</x:v>
      </x:c>
      <x:c r="CP192" s="245"/>
    </x:row>
    <x:row r="193">
      <x:c r="A193" s="165" t="n">
        <x:v>189</x:v>
      </x:c>
      <x:c r="B193" s="233" t="str">
        <x:v>اسفند</x:v>
      </x:c>
      <x:c r="C193" s="233" t="n">
        <x:f>IF('دانش‌آموزان'!E20="","",'دانش‌آموزان'!B20)</x:f>
        <x:v>16</x:v>
      </x:c>
      <x:c r="D193" s="233" t="str">
        <x:f>IF('دانش‌آموزان'!C20="","",'دانش‌آموزان'!C20)</x:f>
        <x:v>4000000160</x:v>
      </x:c>
      <x:c r="E193" s="233" t="str">
        <x:f>IF('دانش‌آموزان'!E20="","",'دانش‌آموزان'!E20&amp;" "&amp;'دانش‌آموزان'!F20)</x:f>
        <x:v>نازنین مرادی</x:v>
      </x:c>
      <x:c r="F193" s="166" t="str">
        <x:f>IF('دانش‌آموزان'!I20="","",'دانش‌آموزان'!I20)</x:f>
        <x:v>sample-7-a</x:v>
      </x:c>
      <x:c r="G193" s="114"/>
      <x:c r="H193" s="115"/>
      <x:c r="I193" s="115"/>
      <x:c r="J193" s="115"/>
      <x:c r="K193" s="115"/>
      <x:c r="L193" s="115"/>
      <x:c r="M193" s="115"/>
      <x:c r="N193" s="115"/>
      <x:c r="O193" s="115"/>
      <x:c r="P193" s="115"/>
      <x:c r="Q193" s="115"/>
      <x:c r="R193" s="115"/>
      <x:c r="S193" s="115"/>
      <x:c r="T193" s="115"/>
      <x:c r="U193" s="115"/>
      <x:c r="V193" s="115"/>
      <x:c r="W193" s="115"/>
      <x:c r="X193" s="115"/>
      <x:c r="Y193" s="115"/>
      <x:c r="Z193" s="115"/>
      <x:c r="AA193" s="115"/>
      <x:c r="AB193" s="115"/>
      <x:c r="AC193" s="115"/>
      <x:c r="AD193" s="115"/>
      <x:c r="AE193" s="115"/>
      <x:c r="AF193" s="115"/>
      <x:c r="AG193" s="115"/>
      <x:c r="AH193" s="115"/>
      <x:c r="AI193" s="115"/>
      <x:c r="AJ193" s="115"/>
      <x:c r="AK193" s="115"/>
      <x:c r="AL193" s="115"/>
      <x:c r="AM193" s="115"/>
      <x:c r="AN193" s="115"/>
      <x:c r="AO193" s="115"/>
      <x:c r="AP193" s="115"/>
      <x:c r="AQ193" s="115"/>
      <x:c r="AR193" s="115"/>
      <x:c r="AS193" s="115"/>
      <x:c r="AT193" s="115"/>
      <x:c r="AU193" s="115"/>
      <x:c r="AV193" s="115"/>
      <x:c r="AW193" s="115"/>
      <x:c r="AX193" s="115"/>
      <x:c r="AY193" s="115"/>
      <x:c r="AZ193" s="115"/>
      <x:c r="BA193" s="115"/>
      <x:c r="BB193" s="115"/>
      <x:c r="BC193" s="115"/>
      <x:c r="BD193" s="115"/>
      <x:c r="BE193" s="115"/>
      <x:c r="BF193" s="115"/>
      <x:c r="BG193" s="115"/>
      <x:c r="BH193" s="115"/>
      <x:c r="BI193" s="115"/>
      <x:c r="BJ193" s="115"/>
      <x:c r="BK193" s="115"/>
      <x:c r="BL193" s="115"/>
      <x:c r="BM193" s="115"/>
      <x:c r="BN193" s="115"/>
      <x:c r="BO193" s="115"/>
      <x:c r="BP193" s="115"/>
      <x:c r="BQ193" s="115"/>
      <x:c r="BR193" s="115"/>
      <x:c r="BS193" s="115"/>
      <x:c r="BT193" s="115"/>
      <x:c r="BU193" s="115"/>
      <x:c r="BV193" s="115"/>
      <x:c r="BW193" s="115"/>
      <x:c r="BX193" s="115"/>
      <x:c r="BY193" s="115"/>
      <x:c r="BZ193" s="115"/>
      <x:c r="CA193" s="115"/>
      <x:c r="CB193" s="116"/>
      <x:c r="CC193" s="141" t="str">
        <x:f>IF(COUNT(G193:P193)=0,"",AVERAGE(G193:P193)*4)</x:f>
      </x:c>
      <x:c r="CD193" s="178" t="str">
        <x:f>IF(COUNT(Q193:Z193)=0,"",AVERAGE(Q193:Z193)*4)</x:f>
      </x:c>
      <x:c r="CE193" s="178" t="str">
        <x:f>IF(COUNT(AA193:AJ193)=0,"",AVERAGE(AA193:AJ193)*4)</x:f>
      </x:c>
      <x:c r="CF193" s="178" t="str">
        <x:f>IF(COUNT(AK193:AR193)=0,"",AVERAGE(AK193:AR193)*4)</x:f>
      </x:c>
      <x:c r="CG193" s="178" t="str">
        <x:f>IF(COUNT(AS193:AY193)=0,"",AVERAGE(AS193:AY193)*4)</x:f>
      </x:c>
      <x:c r="CH193" s="178" t="str">
        <x:f>IF(COUNT(AZ193:BG193)=0,"",AVERAGE(AZ193:BG193)*4)</x:f>
      </x:c>
      <x:c r="CI193" s="178" t="str">
        <x:f>IF(COUNT(BH193:BN193)=0,"",AVERAGE(BH193:BN193)*4)</x:f>
      </x:c>
      <x:c r="CJ193" s="178" t="str">
        <x:f>IF(COUNT(BO193:BU193)=0,"",AVERAGE(BO193:BU193)*4)</x:f>
      </x:c>
      <x:c r="CK193" s="178" t="str">
        <x:f>IF(COUNT(BV193:CB193)=0,"",AVERAGE(BV193:CB193)*4)</x:f>
      </x:c>
      <x:c r="CL193" s="178" t="str">
        <x:f>IF(C193="","",IF(COUNT(G193:CB193)&lt;74,"",(CC193*'تنظیمات وزن‌دهی'!$C$5+CD193*'تنظیمات وزن‌دهی'!$C$6+CE193*'تنظیمات وزن‌دهی'!$C$7+CF193*'تنظیمات وزن‌دهی'!$C$8+CG193*'تنظیمات وزن‌دهی'!$C$9+CH193*'تنظیمات وزن‌دهی'!$C$10+CI193*'تنظیمات وزن‌دهی'!$C$11+CJ193*'تنظیمات وزن‌دهی'!$C$12+CK193*'تنظیمات وزن‌دهی'!$C$13)/100))</x:f>
      </x:c>
      <x:c r="CM193" s="178" t="str">
        <x:f>IF(C193="","",IF(COUNT(G193:CB193)=0,"",IF(COUNT(G193:CB193)&lt;74,"موقت - اطلاعات ناقص",IF(CL193&gt;=17,"عالی",IF(CL193&gt;=14,"خوب",IF(CL193&gt;=10,"متوسط","ضعیف"))))))</x:f>
      </x:c>
      <x:c r="CN193" s="178" t="n">
        <x:v>9</x:v>
      </x:c>
      <x:c r="CO193" s="142" t="n">
        <x:f>IF(C193="","",COUNT(G193:CB193)/74)</x:f>
        <x:v>0</x:v>
      </x:c>
      <x:c r="CP193" s="245"/>
    </x:row>
    <x:row r="194">
      <x:c r="A194" s="165" t="n">
        <x:v>190</x:v>
      </x:c>
      <x:c r="B194" s="233" t="str">
        <x:v>فروردین</x:v>
      </x:c>
      <x:c r="C194" s="233" t="n">
        <x:f>IF('دانش‌آموزان'!E20="","",'دانش‌آموزان'!B20)</x:f>
        <x:v>16</x:v>
      </x:c>
      <x:c r="D194" s="233" t="str">
        <x:f>IF('دانش‌آموزان'!C20="","",'دانش‌آموزان'!C20)</x:f>
        <x:v>4000000160</x:v>
      </x:c>
      <x:c r="E194" s="233" t="str">
        <x:f>IF('دانش‌آموزان'!E20="","",'دانش‌آموزان'!E20&amp;" "&amp;'دانش‌آموزان'!F20)</x:f>
        <x:v>نازنین مرادی</x:v>
      </x:c>
      <x:c r="F194" s="166" t="str">
        <x:f>IF('دانش‌آموزان'!I20="","",'دانش‌آموزان'!I20)</x:f>
        <x:v>sample-7-a</x:v>
      </x:c>
      <x:c r="G194" s="114"/>
      <x:c r="H194" s="115"/>
      <x:c r="I194" s="115"/>
      <x:c r="J194" s="115"/>
      <x:c r="K194" s="115"/>
      <x:c r="L194" s="115"/>
      <x:c r="M194" s="115"/>
      <x:c r="N194" s="115"/>
      <x:c r="O194" s="115"/>
      <x:c r="P194" s="115"/>
      <x:c r="Q194" s="115"/>
      <x:c r="R194" s="115"/>
      <x:c r="S194" s="115"/>
      <x:c r="T194" s="115"/>
      <x:c r="U194" s="115"/>
      <x:c r="V194" s="115"/>
      <x:c r="W194" s="115"/>
      <x:c r="X194" s="115"/>
      <x:c r="Y194" s="115"/>
      <x:c r="Z194" s="115"/>
      <x:c r="AA194" s="115"/>
      <x:c r="AB194" s="115"/>
      <x:c r="AC194" s="115"/>
      <x:c r="AD194" s="115"/>
      <x:c r="AE194" s="115"/>
      <x:c r="AF194" s="115"/>
      <x:c r="AG194" s="115"/>
      <x:c r="AH194" s="115"/>
      <x:c r="AI194" s="115"/>
      <x:c r="AJ194" s="115"/>
      <x:c r="AK194" s="115"/>
      <x:c r="AL194" s="115"/>
      <x:c r="AM194" s="115"/>
      <x:c r="AN194" s="115"/>
      <x:c r="AO194" s="115"/>
      <x:c r="AP194" s="115"/>
      <x:c r="AQ194" s="115"/>
      <x:c r="AR194" s="115"/>
      <x:c r="AS194" s="115"/>
      <x:c r="AT194" s="115"/>
      <x:c r="AU194" s="115"/>
      <x:c r="AV194" s="115"/>
      <x:c r="AW194" s="115"/>
      <x:c r="AX194" s="115"/>
      <x:c r="AY194" s="115"/>
      <x:c r="AZ194" s="115"/>
      <x:c r="BA194" s="115"/>
      <x:c r="BB194" s="115"/>
      <x:c r="BC194" s="115"/>
      <x:c r="BD194" s="115"/>
      <x:c r="BE194" s="115"/>
      <x:c r="BF194" s="115"/>
      <x:c r="BG194" s="115"/>
      <x:c r="BH194" s="115"/>
      <x:c r="BI194" s="115"/>
      <x:c r="BJ194" s="115"/>
      <x:c r="BK194" s="115"/>
      <x:c r="BL194" s="115"/>
      <x:c r="BM194" s="115"/>
      <x:c r="BN194" s="115"/>
      <x:c r="BO194" s="115"/>
      <x:c r="BP194" s="115"/>
      <x:c r="BQ194" s="115"/>
      <x:c r="BR194" s="115"/>
      <x:c r="BS194" s="115"/>
      <x:c r="BT194" s="115"/>
      <x:c r="BU194" s="115"/>
      <x:c r="BV194" s="115"/>
      <x:c r="BW194" s="115"/>
      <x:c r="BX194" s="115"/>
      <x:c r="BY194" s="115"/>
      <x:c r="BZ194" s="115"/>
      <x:c r="CA194" s="115"/>
      <x:c r="CB194" s="116"/>
      <x:c r="CC194" s="141" t="str">
        <x:f>IF(COUNT(G194:P194)=0,"",AVERAGE(G194:P194)*4)</x:f>
      </x:c>
      <x:c r="CD194" s="178" t="str">
        <x:f>IF(COUNT(Q194:Z194)=0,"",AVERAGE(Q194:Z194)*4)</x:f>
      </x:c>
      <x:c r="CE194" s="178" t="str">
        <x:f>IF(COUNT(AA194:AJ194)=0,"",AVERAGE(AA194:AJ194)*4)</x:f>
      </x:c>
      <x:c r="CF194" s="178" t="str">
        <x:f>IF(COUNT(AK194:AR194)=0,"",AVERAGE(AK194:AR194)*4)</x:f>
      </x:c>
      <x:c r="CG194" s="178" t="str">
        <x:f>IF(COUNT(AS194:AY194)=0,"",AVERAGE(AS194:AY194)*4)</x:f>
      </x:c>
      <x:c r="CH194" s="178" t="str">
        <x:f>IF(COUNT(AZ194:BG194)=0,"",AVERAGE(AZ194:BG194)*4)</x:f>
      </x:c>
      <x:c r="CI194" s="178" t="str">
        <x:f>IF(COUNT(BH194:BN194)=0,"",AVERAGE(BH194:BN194)*4)</x:f>
      </x:c>
      <x:c r="CJ194" s="178" t="str">
        <x:f>IF(COUNT(BO194:BU194)=0,"",AVERAGE(BO194:BU194)*4)</x:f>
      </x:c>
      <x:c r="CK194" s="178" t="str">
        <x:f>IF(COUNT(BV194:CB194)=0,"",AVERAGE(BV194:CB194)*4)</x:f>
      </x:c>
      <x:c r="CL194" s="178" t="str">
        <x:f>IF(C194="","",IF(COUNT(G194:CB194)&lt;74,"",(CC194*'تنظیمات وزن‌دهی'!$C$5+CD194*'تنظیمات وزن‌دهی'!$C$6+CE194*'تنظیمات وزن‌دهی'!$C$7+CF194*'تنظیمات وزن‌دهی'!$C$8+CG194*'تنظیمات وزن‌دهی'!$C$9+CH194*'تنظیمات وزن‌دهی'!$C$10+CI194*'تنظیمات وزن‌دهی'!$C$11+CJ194*'تنظیمات وزن‌دهی'!$C$12+CK194*'تنظیمات وزن‌دهی'!$C$13)/100))</x:f>
      </x:c>
      <x:c r="CM194" s="178" t="str">
        <x:f>IF(C194="","",IF(COUNT(G194:CB194)=0,"",IF(COUNT(G194:CB194)&lt;74,"موقت - اطلاعات ناقص",IF(CL194&gt;=17,"عالی",IF(CL194&gt;=14,"خوب",IF(CL194&gt;=10,"متوسط","ضعیف"))))))</x:f>
      </x:c>
      <x:c r="CN194" s="178" t="n">
        <x:v>10</x:v>
      </x:c>
      <x:c r="CO194" s="142" t="n">
        <x:f>IF(C194="","",COUNT(G194:CB194)/74)</x:f>
        <x:v>0</x:v>
      </x:c>
      <x:c r="CP194" s="245"/>
    </x:row>
    <x:row r="195">
      <x:c r="A195" s="165" t="n">
        <x:v>191</x:v>
      </x:c>
      <x:c r="B195" s="233" t="str">
        <x:v>اردیبهشت</x:v>
      </x:c>
      <x:c r="C195" s="233" t="n">
        <x:f>IF('دانش‌آموزان'!E20="","",'دانش‌آموزان'!B20)</x:f>
        <x:v>16</x:v>
      </x:c>
      <x:c r="D195" s="233" t="str">
        <x:f>IF('دانش‌آموزان'!C20="","",'دانش‌آموزان'!C20)</x:f>
        <x:v>4000000160</x:v>
      </x:c>
      <x:c r="E195" s="233" t="str">
        <x:f>IF('دانش‌آموزان'!E20="","",'دانش‌آموزان'!E20&amp;" "&amp;'دانش‌آموزان'!F20)</x:f>
        <x:v>نازنین مرادی</x:v>
      </x:c>
      <x:c r="F195" s="166" t="str">
        <x:f>IF('دانش‌آموزان'!I20="","",'دانش‌آموزان'!I20)</x:f>
        <x:v>sample-7-a</x:v>
      </x:c>
      <x:c r="G195" s="114"/>
      <x:c r="H195" s="115"/>
      <x:c r="I195" s="115"/>
      <x:c r="J195" s="115"/>
      <x:c r="K195" s="115"/>
      <x:c r="L195" s="115"/>
      <x:c r="M195" s="115"/>
      <x:c r="N195" s="115"/>
      <x:c r="O195" s="115"/>
      <x:c r="P195" s="115"/>
      <x:c r="Q195" s="115"/>
      <x:c r="R195" s="115"/>
      <x:c r="S195" s="115"/>
      <x:c r="T195" s="115"/>
      <x:c r="U195" s="115"/>
      <x:c r="V195" s="115"/>
      <x:c r="W195" s="115"/>
      <x:c r="X195" s="115"/>
      <x:c r="Y195" s="115"/>
      <x:c r="Z195" s="115"/>
      <x:c r="AA195" s="115"/>
      <x:c r="AB195" s="115"/>
      <x:c r="AC195" s="115"/>
      <x:c r="AD195" s="115"/>
      <x:c r="AE195" s="115"/>
      <x:c r="AF195" s="115"/>
      <x:c r="AG195" s="115"/>
      <x:c r="AH195" s="115"/>
      <x:c r="AI195" s="115"/>
      <x:c r="AJ195" s="115"/>
      <x:c r="AK195" s="115"/>
      <x:c r="AL195" s="115"/>
      <x:c r="AM195" s="115"/>
      <x:c r="AN195" s="115"/>
      <x:c r="AO195" s="115"/>
      <x:c r="AP195" s="115"/>
      <x:c r="AQ195" s="115"/>
      <x:c r="AR195" s="115"/>
      <x:c r="AS195" s="115"/>
      <x:c r="AT195" s="115"/>
      <x:c r="AU195" s="115"/>
      <x:c r="AV195" s="115"/>
      <x:c r="AW195" s="115"/>
      <x:c r="AX195" s="115"/>
      <x:c r="AY195" s="115"/>
      <x:c r="AZ195" s="115"/>
      <x:c r="BA195" s="115"/>
      <x:c r="BB195" s="115"/>
      <x:c r="BC195" s="115"/>
      <x:c r="BD195" s="115"/>
      <x:c r="BE195" s="115"/>
      <x:c r="BF195" s="115"/>
      <x:c r="BG195" s="115"/>
      <x:c r="BH195" s="115"/>
      <x:c r="BI195" s="115"/>
      <x:c r="BJ195" s="115"/>
      <x:c r="BK195" s="115"/>
      <x:c r="BL195" s="115"/>
      <x:c r="BM195" s="115"/>
      <x:c r="BN195" s="115"/>
      <x:c r="BO195" s="115"/>
      <x:c r="BP195" s="115"/>
      <x:c r="BQ195" s="115"/>
      <x:c r="BR195" s="115"/>
      <x:c r="BS195" s="115"/>
      <x:c r="BT195" s="115"/>
      <x:c r="BU195" s="115"/>
      <x:c r="BV195" s="115"/>
      <x:c r="BW195" s="115"/>
      <x:c r="BX195" s="115"/>
      <x:c r="BY195" s="115"/>
      <x:c r="BZ195" s="115"/>
      <x:c r="CA195" s="115"/>
      <x:c r="CB195" s="116"/>
      <x:c r="CC195" s="141" t="str">
        <x:f>IF(COUNT(G195:P195)=0,"",AVERAGE(G195:P195)*4)</x:f>
      </x:c>
      <x:c r="CD195" s="178" t="str">
        <x:f>IF(COUNT(Q195:Z195)=0,"",AVERAGE(Q195:Z195)*4)</x:f>
      </x:c>
      <x:c r="CE195" s="178" t="str">
        <x:f>IF(COUNT(AA195:AJ195)=0,"",AVERAGE(AA195:AJ195)*4)</x:f>
      </x:c>
      <x:c r="CF195" s="178" t="str">
        <x:f>IF(COUNT(AK195:AR195)=0,"",AVERAGE(AK195:AR195)*4)</x:f>
      </x:c>
      <x:c r="CG195" s="178" t="str">
        <x:f>IF(COUNT(AS195:AY195)=0,"",AVERAGE(AS195:AY195)*4)</x:f>
      </x:c>
      <x:c r="CH195" s="178" t="str">
        <x:f>IF(COUNT(AZ195:BG195)=0,"",AVERAGE(AZ195:BG195)*4)</x:f>
      </x:c>
      <x:c r="CI195" s="178" t="str">
        <x:f>IF(COUNT(BH195:BN195)=0,"",AVERAGE(BH195:BN195)*4)</x:f>
      </x:c>
      <x:c r="CJ195" s="178" t="str">
        <x:f>IF(COUNT(BO195:BU195)=0,"",AVERAGE(BO195:BU195)*4)</x:f>
      </x:c>
      <x:c r="CK195" s="178" t="str">
        <x:f>IF(COUNT(BV195:CB195)=0,"",AVERAGE(BV195:CB195)*4)</x:f>
      </x:c>
      <x:c r="CL195" s="178" t="str">
        <x:f>IF(C195="","",IF(COUNT(G195:CB195)&lt;74,"",(CC195*'تنظیمات وزن‌دهی'!$C$5+CD195*'تنظیمات وزن‌دهی'!$C$6+CE195*'تنظیمات وزن‌دهی'!$C$7+CF195*'تنظیمات وزن‌دهی'!$C$8+CG195*'تنظیمات وزن‌دهی'!$C$9+CH195*'تنظیمات وزن‌دهی'!$C$10+CI195*'تنظیمات وزن‌دهی'!$C$11+CJ195*'تنظیمات وزن‌دهی'!$C$12+CK195*'تنظیمات وزن‌دهی'!$C$13)/100))</x:f>
      </x:c>
      <x:c r="CM195" s="178" t="str">
        <x:f>IF(C195="","",IF(COUNT(G195:CB195)=0,"",IF(COUNT(G195:CB195)&lt;74,"موقت - اطلاعات ناقص",IF(CL195&gt;=17,"عالی",IF(CL195&gt;=14,"خوب",IF(CL195&gt;=10,"متوسط","ضعیف"))))))</x:f>
      </x:c>
      <x:c r="CN195" s="178" t="n">
        <x:v>11</x:v>
      </x:c>
      <x:c r="CO195" s="142" t="n">
        <x:f>IF(C195="","",COUNT(G195:CB195)/74)</x:f>
        <x:v>0</x:v>
      </x:c>
      <x:c r="CP195" s="245"/>
    </x:row>
    <x:row r="196">
      <x:c r="A196" s="165" t="n">
        <x:v>192</x:v>
      </x:c>
      <x:c r="B196" s="233" t="str">
        <x:v>خرداد</x:v>
      </x:c>
      <x:c r="C196" s="233" t="n">
        <x:f>IF('دانش‌آموزان'!E20="","",'دانش‌آموزان'!B20)</x:f>
        <x:v>16</x:v>
      </x:c>
      <x:c r="D196" s="233" t="str">
        <x:f>IF('دانش‌آموزان'!C20="","",'دانش‌آموزان'!C20)</x:f>
        <x:v>4000000160</x:v>
      </x:c>
      <x:c r="E196" s="233" t="str">
        <x:f>IF('دانش‌آموزان'!E20="","",'دانش‌آموزان'!E20&amp;" "&amp;'دانش‌آموزان'!F20)</x:f>
        <x:v>نازنین مرادی</x:v>
      </x:c>
      <x:c r="F196" s="166" t="str">
        <x:f>IF('دانش‌آموزان'!I20="","",'دانش‌آموزان'!I20)</x:f>
        <x:v>sample-7-a</x:v>
      </x:c>
      <x:c r="G196" s="114"/>
      <x:c r="H196" s="115"/>
      <x:c r="I196" s="115"/>
      <x:c r="J196" s="115"/>
      <x:c r="K196" s="115"/>
      <x:c r="L196" s="115"/>
      <x:c r="M196" s="115"/>
      <x:c r="N196" s="115"/>
      <x:c r="O196" s="115"/>
      <x:c r="P196" s="115"/>
      <x:c r="Q196" s="115"/>
      <x:c r="R196" s="115"/>
      <x:c r="S196" s="115"/>
      <x:c r="T196" s="115"/>
      <x:c r="U196" s="115"/>
      <x:c r="V196" s="115"/>
      <x:c r="W196" s="115"/>
      <x:c r="X196" s="115"/>
      <x:c r="Y196" s="115"/>
      <x:c r="Z196" s="115"/>
      <x:c r="AA196" s="115"/>
      <x:c r="AB196" s="115"/>
      <x:c r="AC196" s="115"/>
      <x:c r="AD196" s="115"/>
      <x:c r="AE196" s="115"/>
      <x:c r="AF196" s="115"/>
      <x:c r="AG196" s="115"/>
      <x:c r="AH196" s="115"/>
      <x:c r="AI196" s="115"/>
      <x:c r="AJ196" s="115"/>
      <x:c r="AK196" s="115"/>
      <x:c r="AL196" s="115"/>
      <x:c r="AM196" s="115"/>
      <x:c r="AN196" s="115"/>
      <x:c r="AO196" s="115"/>
      <x:c r="AP196" s="115"/>
      <x:c r="AQ196" s="115"/>
      <x:c r="AR196" s="115"/>
      <x:c r="AS196" s="115"/>
      <x:c r="AT196" s="115"/>
      <x:c r="AU196" s="115"/>
      <x:c r="AV196" s="115"/>
      <x:c r="AW196" s="115"/>
      <x:c r="AX196" s="115"/>
      <x:c r="AY196" s="115"/>
      <x:c r="AZ196" s="115"/>
      <x:c r="BA196" s="115"/>
      <x:c r="BB196" s="115"/>
      <x:c r="BC196" s="115"/>
      <x:c r="BD196" s="115"/>
      <x:c r="BE196" s="115"/>
      <x:c r="BF196" s="115"/>
      <x:c r="BG196" s="115"/>
      <x:c r="BH196" s="115"/>
      <x:c r="BI196" s="115"/>
      <x:c r="BJ196" s="115"/>
      <x:c r="BK196" s="115"/>
      <x:c r="BL196" s="115"/>
      <x:c r="BM196" s="115"/>
      <x:c r="BN196" s="115"/>
      <x:c r="BO196" s="115"/>
      <x:c r="BP196" s="115"/>
      <x:c r="BQ196" s="115"/>
      <x:c r="BR196" s="115"/>
      <x:c r="BS196" s="115"/>
      <x:c r="BT196" s="115"/>
      <x:c r="BU196" s="115"/>
      <x:c r="BV196" s="115"/>
      <x:c r="BW196" s="115"/>
      <x:c r="BX196" s="115"/>
      <x:c r="BY196" s="115"/>
      <x:c r="BZ196" s="115"/>
      <x:c r="CA196" s="115"/>
      <x:c r="CB196" s="116"/>
      <x:c r="CC196" s="141" t="str">
        <x:f>IF(COUNT(G196:P196)=0,"",AVERAGE(G196:P196)*4)</x:f>
      </x:c>
      <x:c r="CD196" s="178" t="str">
        <x:f>IF(COUNT(Q196:Z196)=0,"",AVERAGE(Q196:Z196)*4)</x:f>
      </x:c>
      <x:c r="CE196" s="178" t="str">
        <x:f>IF(COUNT(AA196:AJ196)=0,"",AVERAGE(AA196:AJ196)*4)</x:f>
      </x:c>
      <x:c r="CF196" s="178" t="str">
        <x:f>IF(COUNT(AK196:AR196)=0,"",AVERAGE(AK196:AR196)*4)</x:f>
      </x:c>
      <x:c r="CG196" s="178" t="str">
        <x:f>IF(COUNT(AS196:AY196)=0,"",AVERAGE(AS196:AY196)*4)</x:f>
      </x:c>
      <x:c r="CH196" s="178" t="str">
        <x:f>IF(COUNT(AZ196:BG196)=0,"",AVERAGE(AZ196:BG196)*4)</x:f>
      </x:c>
      <x:c r="CI196" s="178" t="str">
        <x:f>IF(COUNT(BH196:BN196)=0,"",AVERAGE(BH196:BN196)*4)</x:f>
      </x:c>
      <x:c r="CJ196" s="178" t="str">
        <x:f>IF(COUNT(BO196:BU196)=0,"",AVERAGE(BO196:BU196)*4)</x:f>
      </x:c>
      <x:c r="CK196" s="178" t="str">
        <x:f>IF(COUNT(BV196:CB196)=0,"",AVERAGE(BV196:CB196)*4)</x:f>
      </x:c>
      <x:c r="CL196" s="178" t="str">
        <x:f>IF(C196="","",IF(COUNT(G196:CB196)&lt;74,"",(CC196*'تنظیمات وزن‌دهی'!$C$5+CD196*'تنظیمات وزن‌دهی'!$C$6+CE196*'تنظیمات وزن‌دهی'!$C$7+CF196*'تنظیمات وزن‌دهی'!$C$8+CG196*'تنظیمات وزن‌دهی'!$C$9+CH196*'تنظیمات وزن‌دهی'!$C$10+CI196*'تنظیمات وزن‌دهی'!$C$11+CJ196*'تنظیمات وزن‌دهی'!$C$12+CK196*'تنظیمات وزن‌دهی'!$C$13)/100))</x:f>
      </x:c>
      <x:c r="CM196" s="178" t="str">
        <x:f>IF(C196="","",IF(COUNT(G196:CB196)=0,"",IF(COUNT(G196:CB196)&lt;74,"موقت - اطلاعات ناقص",IF(CL196&gt;=17,"عالی",IF(CL196&gt;=14,"خوب",IF(CL196&gt;=10,"متوسط","ضعیف"))))))</x:f>
      </x:c>
      <x:c r="CN196" s="178" t="n">
        <x:v>12</x:v>
      </x:c>
      <x:c r="CO196" s="142" t="n">
        <x:f>IF(C196="","",COUNT(G196:CB196)/74)</x:f>
        <x:v>0</x:v>
      </x:c>
      <x:c r="CP196" s="245"/>
    </x:row>
    <x:row r="197">
      <x:c r="A197" s="165" t="n">
        <x:v>193</x:v>
      </x:c>
      <x:c r="B197" s="233" t="str">
        <x:v>تیر</x:v>
      </x:c>
      <x:c r="C197" s="233" t="n">
        <x:f>IF('دانش‌آموزان'!E21="","",'دانش‌آموزان'!B21)</x:f>
        <x:v>17</x:v>
      </x:c>
      <x:c r="D197" s="233" t="str">
        <x:f>IF('دانش‌آموزان'!C21="","",'دانش‌آموزان'!C21)</x:f>
        <x:v>4000000179</x:v>
      </x:c>
      <x:c r="E197" s="233" t="str">
        <x:f>IF('دانش‌آموزان'!E21="","",'دانش‌آموزان'!E21&amp;" "&amp;'دانش‌آموزان'!F21)</x:f>
        <x:v>سینا رحیمی</x:v>
      </x:c>
      <x:c r="F197" s="166" t="str">
        <x:f>IF('دانش‌آموزان'!I21="","",'دانش‌آموزان'!I21)</x:f>
        <x:v>sample-7-a</x:v>
      </x:c>
      <x:c r="G197" s="114" t="n">
        <x:v>4</x:v>
      </x:c>
      <x:c r="H197" s="115" t="n">
        <x:v>5</x:v>
      </x:c>
      <x:c r="I197" s="115" t="n">
        <x:v>3</x:v>
      </x:c>
      <x:c r="J197" s="115" t="n">
        <x:v>5</x:v>
      </x:c>
      <x:c r="K197" s="115" t="n">
        <x:v>3</x:v>
      </x:c>
      <x:c r="L197" s="115" t="n">
        <x:v>4</x:v>
      </x:c>
      <x:c r="M197" s="115" t="n">
        <x:v>3</x:v>
      </x:c>
      <x:c r="N197" s="115" t="n">
        <x:v>4</x:v>
      </x:c>
      <x:c r="O197" s="115" t="n">
        <x:v>2</x:v>
      </x:c>
      <x:c r="P197" s="115" t="n">
        <x:v>4</x:v>
      </x:c>
      <x:c r="Q197" s="115" t="n">
        <x:v>5</x:v>
      </x:c>
      <x:c r="R197" s="115" t="n">
        <x:v>4</x:v>
      </x:c>
      <x:c r="S197" s="115" t="n">
        <x:v>5</x:v>
      </x:c>
      <x:c r="T197" s="115" t="n">
        <x:v>3</x:v>
      </x:c>
      <x:c r="U197" s="115" t="n">
        <x:v>5</x:v>
      </x:c>
      <x:c r="V197" s="115" t="n">
        <x:v>3</x:v>
      </x:c>
      <x:c r="W197" s="115" t="n">
        <x:v>4</x:v>
      </x:c>
      <x:c r="X197" s="115" t="n">
        <x:v>3</x:v>
      </x:c>
      <x:c r="Y197" s="115" t="n">
        <x:v>4</x:v>
      </x:c>
      <x:c r="Z197" s="115" t="n">
        <x:v>2</x:v>
      </x:c>
      <x:c r="AA197" s="115" t="n">
        <x:v>4</x:v>
      </x:c>
      <x:c r="AB197" s="115" t="n">
        <x:v>5</x:v>
      </x:c>
      <x:c r="AC197" s="115" t="n">
        <x:v>4</x:v>
      </x:c>
      <x:c r="AD197" s="115" t="n">
        <x:v>5</x:v>
      </x:c>
      <x:c r="AE197" s="115" t="n">
        <x:v>3</x:v>
      </x:c>
      <x:c r="AF197" s="115" t="n">
        <x:v>5</x:v>
      </x:c>
      <x:c r="AG197" s="115" t="n">
        <x:v>3</x:v>
      </x:c>
      <x:c r="AH197" s="115" t="n">
        <x:v>4</x:v>
      </x:c>
      <x:c r="AI197" s="115" t="n">
        <x:v>3</x:v>
      </x:c>
      <x:c r="AJ197" s="115" t="n">
        <x:v>4</x:v>
      </x:c>
      <x:c r="AK197" s="115" t="n">
        <x:v>2</x:v>
      </x:c>
      <x:c r="AL197" s="115" t="n">
        <x:v>4</x:v>
      </x:c>
      <x:c r="AM197" s="115" t="n">
        <x:v>5</x:v>
      </x:c>
      <x:c r="AN197" s="115" t="n">
        <x:v>4</x:v>
      </x:c>
      <x:c r="AO197" s="115" t="n">
        <x:v>5</x:v>
      </x:c>
      <x:c r="AP197" s="115" t="n">
        <x:v>3</x:v>
      </x:c>
      <x:c r="AQ197" s="115" t="n">
        <x:v>5</x:v>
      </x:c>
      <x:c r="AR197" s="115" t="n">
        <x:v>3</x:v>
      </x:c>
      <x:c r="AS197" s="115" t="n">
        <x:v>4</x:v>
      </x:c>
      <x:c r="AT197" s="115" t="n">
        <x:v>3</x:v>
      </x:c>
      <x:c r="AU197" s="115" t="n">
        <x:v>4</x:v>
      </x:c>
      <x:c r="AV197" s="115" t="n">
        <x:v>2</x:v>
      </x:c>
      <x:c r="AW197" s="115" t="n">
        <x:v>4</x:v>
      </x:c>
      <x:c r="AX197" s="115" t="n">
        <x:v>5</x:v>
      </x:c>
      <x:c r="AY197" s="115" t="n">
        <x:v>4</x:v>
      </x:c>
      <x:c r="AZ197" s="115" t="n">
        <x:v>5</x:v>
      </x:c>
      <x:c r="BA197" s="115" t="n">
        <x:v>3</x:v>
      </x:c>
      <x:c r="BB197" s="115" t="n">
        <x:v>5</x:v>
      </x:c>
      <x:c r="BC197" s="115" t="n">
        <x:v>3</x:v>
      </x:c>
      <x:c r="BD197" s="115" t="n">
        <x:v>4</x:v>
      </x:c>
      <x:c r="BE197" s="115" t="n">
        <x:v>3</x:v>
      </x:c>
      <x:c r="BF197" s="115" t="n">
        <x:v>4</x:v>
      </x:c>
      <x:c r="BG197" s="115" t="n">
        <x:v>2</x:v>
      </x:c>
      <x:c r="BH197" s="115" t="n">
        <x:v>4</x:v>
      </x:c>
      <x:c r="BI197" s="115" t="n">
        <x:v>5</x:v>
      </x:c>
      <x:c r="BJ197" s="115" t="n">
        <x:v>4</x:v>
      </x:c>
      <x:c r="BK197" s="115" t="n">
        <x:v>5</x:v>
      </x:c>
      <x:c r="BL197" s="115" t="n">
        <x:v>3</x:v>
      </x:c>
      <x:c r="BM197" s="115" t="n">
        <x:v>5</x:v>
      </x:c>
      <x:c r="BN197" s="115" t="n">
        <x:v>3</x:v>
      </x:c>
      <x:c r="BO197" s="115" t="n">
        <x:v>4</x:v>
      </x:c>
      <x:c r="BP197" s="115" t="n">
        <x:v>3</x:v>
      </x:c>
      <x:c r="BQ197" s="115" t="n">
        <x:v>4</x:v>
      </x:c>
      <x:c r="BR197" s="115" t="n">
        <x:v>2</x:v>
      </x:c>
      <x:c r="BS197" s="115" t="n">
        <x:v>4</x:v>
      </x:c>
      <x:c r="BT197" s="115" t="n">
        <x:v>5</x:v>
      </x:c>
      <x:c r="BU197" s="115" t="n">
        <x:v>4</x:v>
      </x:c>
      <x:c r="BV197" s="115" t="n">
        <x:v>5</x:v>
      </x:c>
      <x:c r="BW197" s="115" t="n">
        <x:v>3</x:v>
      </x:c>
      <x:c r="BX197" s="115" t="n">
        <x:v>5</x:v>
      </x:c>
      <x:c r="BY197" s="115" t="n">
        <x:v>3</x:v>
      </x:c>
      <x:c r="BZ197" s="115" t="n">
        <x:v>4</x:v>
      </x:c>
      <x:c r="CA197" s="115" t="n">
        <x:v>3</x:v>
      </x:c>
      <x:c r="CB197" s="116" t="n">
        <x:v>4</x:v>
      </x:c>
      <x:c r="CC197" s="141" t="n">
        <x:f>IF(COUNT(G197:P197)=0,"",AVERAGE(G197:P197)*4)</x:f>
        <x:v>14.8</x:v>
      </x:c>
      <x:c r="CD197" s="178" t="n">
        <x:f>IF(COUNT(Q197:Z197)=0,"",AVERAGE(Q197:Z197)*4)</x:f>
        <x:v>15.2</x:v>
      </x:c>
      <x:c r="CE197" s="178" t="n">
        <x:f>IF(COUNT(AA197:AJ197)=0,"",AVERAGE(AA197:AJ197)*4)</x:f>
        <x:v>16</x:v>
      </x:c>
      <x:c r="CF197" s="178" t="n">
        <x:f>IF(COUNT(AK197:AR197)=0,"",AVERAGE(AK197:AR197)*4)</x:f>
        <x:v>15.5</x:v>
      </x:c>
      <x:c r="CG197" s="178" t="n">
        <x:f>IF(COUNT(AS197:AY197)=0,"",AVERAGE(AS197:AY197)*4)</x:f>
        <x:v>14.857142857142858</x:v>
      </x:c>
      <x:c r="CH197" s="178" t="n">
        <x:f>IF(COUNT(AZ197:BG197)=0,"",AVERAGE(AZ197:BG197)*4)</x:f>
        <x:v>14.5</x:v>
      </x:c>
      <x:c r="CI197" s="178" t="n">
        <x:f>IF(COUNT(BH197:BN197)=0,"",AVERAGE(BH197:BN197)*4)</x:f>
        <x:v>16.571428571428573</x:v>
      </x:c>
      <x:c r="CJ197" s="178" t="n">
        <x:f>IF(COUNT(BO197:BU197)=0,"",AVERAGE(BO197:BU197)*4)</x:f>
        <x:v>14.857142857142858</x:v>
      </x:c>
      <x:c r="CK197" s="178" t="n">
        <x:f>IF(COUNT(BV197:CB197)=0,"",AVERAGE(BV197:CB197)*4)</x:f>
        <x:v>15.428571428571429</x:v>
      </x:c>
      <x:c r="CL197" s="178" t="n">
        <x:f>IF(C197="","",IF(COUNT(G197:CB197)&lt;74,"",(CC197*'تنظیمات وزن‌دهی'!$C$5+CD197*'تنظیمات وزن‌دهی'!$C$6+CE197*'تنظیمات وزن‌دهی'!$C$7+CF197*'تنظیمات وزن‌دهی'!$C$8+CG197*'تنظیمات وزن‌دهی'!$C$9+CH197*'تنظیمات وزن‌دهی'!$C$10+CI197*'تنظیمات وزن‌دهی'!$C$11+CJ197*'تنظیمات وزن‌دهی'!$C$12+CK197*'تنظیمات وزن‌دهی'!$C$13)/100))</x:f>
        <x:v>15.29642857142857</x:v>
      </x:c>
      <x:c r="CM197" s="178" t="str">
        <x:f>IF(C197="","",IF(COUNT(G197:CB197)=0,"",IF(COUNT(G197:CB197)&lt;74,"موقت - اطلاعات ناقص",IF(CL197&gt;=17,"عالی",IF(CL197&gt;=14,"خوب",IF(CL197&gt;=10,"متوسط","ضعیف"))))))</x:f>
        <x:v>خوب</x:v>
      </x:c>
      <x:c r="CN197" s="178" t="n">
        <x:v>1</x:v>
      </x:c>
      <x:c r="CO197" s="142" t="n">
        <x:f>IF(C197="","",COUNT(G197:CB197)/74)</x:f>
        <x:v>1</x:v>
      </x:c>
      <x:c r="CP197" s="245" t="str">
        <x:v>داده نمونه کامل برای ماه تیر - دانش‌آموز شماره 17</x:v>
      </x:c>
    </x:row>
    <x:row r="198">
      <x:c r="A198" s="165" t="n">
        <x:v>194</x:v>
      </x:c>
      <x:c r="B198" s="233" t="str">
        <x:v>مرداد</x:v>
      </x:c>
      <x:c r="C198" s="233" t="n">
        <x:f>IF('دانش‌آموزان'!E21="","",'دانش‌آموزان'!B21)</x:f>
        <x:v>17</x:v>
      </x:c>
      <x:c r="D198" s="233" t="str">
        <x:f>IF('دانش‌آموزان'!C21="","",'دانش‌آموزان'!C21)</x:f>
        <x:v>4000000179</x:v>
      </x:c>
      <x:c r="E198" s="233" t="str">
        <x:f>IF('دانش‌آموزان'!E21="","",'دانش‌آموزان'!E21&amp;" "&amp;'دانش‌آموزان'!F21)</x:f>
        <x:v>سینا رحیمی</x:v>
      </x:c>
      <x:c r="F198" s="166" t="str">
        <x:f>IF('دانش‌آموزان'!I21="","",'دانش‌آموزان'!I21)</x:f>
        <x:v>sample-7-a</x:v>
      </x:c>
      <x:c r="G198" s="114"/>
      <x:c r="H198" s="115"/>
      <x:c r="I198" s="115"/>
      <x:c r="J198" s="115"/>
      <x:c r="K198" s="115"/>
      <x:c r="L198" s="115"/>
      <x:c r="M198" s="115"/>
      <x:c r="N198" s="115"/>
      <x:c r="O198" s="115"/>
      <x:c r="P198" s="115"/>
      <x:c r="Q198" s="115"/>
      <x:c r="R198" s="115"/>
      <x:c r="S198" s="115"/>
      <x:c r="T198" s="115"/>
      <x:c r="U198" s="115"/>
      <x:c r="V198" s="115"/>
      <x:c r="W198" s="115"/>
      <x:c r="X198" s="115"/>
      <x:c r="Y198" s="115"/>
      <x:c r="Z198" s="115"/>
      <x:c r="AA198" s="115"/>
      <x:c r="AB198" s="115"/>
      <x:c r="AC198" s="115"/>
      <x:c r="AD198" s="115"/>
      <x:c r="AE198" s="115"/>
      <x:c r="AF198" s="115"/>
      <x:c r="AG198" s="115"/>
      <x:c r="AH198" s="115"/>
      <x:c r="AI198" s="115"/>
      <x:c r="AJ198" s="115"/>
      <x:c r="AK198" s="115"/>
      <x:c r="AL198" s="115"/>
      <x:c r="AM198" s="115"/>
      <x:c r="AN198" s="115"/>
      <x:c r="AO198" s="115"/>
      <x:c r="AP198" s="115"/>
      <x:c r="AQ198" s="115"/>
      <x:c r="AR198" s="115"/>
      <x:c r="AS198" s="115"/>
      <x:c r="AT198" s="115"/>
      <x:c r="AU198" s="115"/>
      <x:c r="AV198" s="115"/>
      <x:c r="AW198" s="115"/>
      <x:c r="AX198" s="115"/>
      <x:c r="AY198" s="115"/>
      <x:c r="AZ198" s="115"/>
      <x:c r="BA198" s="115"/>
      <x:c r="BB198" s="115"/>
      <x:c r="BC198" s="115"/>
      <x:c r="BD198" s="115"/>
      <x:c r="BE198" s="115"/>
      <x:c r="BF198" s="115"/>
      <x:c r="BG198" s="115"/>
      <x:c r="BH198" s="115"/>
      <x:c r="BI198" s="115"/>
      <x:c r="BJ198" s="115"/>
      <x:c r="BK198" s="115"/>
      <x:c r="BL198" s="115"/>
      <x:c r="BM198" s="115"/>
      <x:c r="BN198" s="115"/>
      <x:c r="BO198" s="115"/>
      <x:c r="BP198" s="115"/>
      <x:c r="BQ198" s="115"/>
      <x:c r="BR198" s="115"/>
      <x:c r="BS198" s="115"/>
      <x:c r="BT198" s="115"/>
      <x:c r="BU198" s="115"/>
      <x:c r="BV198" s="115"/>
      <x:c r="BW198" s="115"/>
      <x:c r="BX198" s="115"/>
      <x:c r="BY198" s="115"/>
      <x:c r="BZ198" s="115"/>
      <x:c r="CA198" s="115"/>
      <x:c r="CB198" s="116"/>
      <x:c r="CC198" s="141" t="str">
        <x:f>IF(COUNT(G198:P198)=0,"",AVERAGE(G198:P198)*4)</x:f>
      </x:c>
      <x:c r="CD198" s="178" t="str">
        <x:f>IF(COUNT(Q198:Z198)=0,"",AVERAGE(Q198:Z198)*4)</x:f>
      </x:c>
      <x:c r="CE198" s="178" t="str">
        <x:f>IF(COUNT(AA198:AJ198)=0,"",AVERAGE(AA198:AJ198)*4)</x:f>
      </x:c>
      <x:c r="CF198" s="178" t="str">
        <x:f>IF(COUNT(AK198:AR198)=0,"",AVERAGE(AK198:AR198)*4)</x:f>
      </x:c>
      <x:c r="CG198" s="178" t="str">
        <x:f>IF(COUNT(AS198:AY198)=0,"",AVERAGE(AS198:AY198)*4)</x:f>
      </x:c>
      <x:c r="CH198" s="178" t="str">
        <x:f>IF(COUNT(AZ198:BG198)=0,"",AVERAGE(AZ198:BG198)*4)</x:f>
      </x:c>
      <x:c r="CI198" s="178" t="str">
        <x:f>IF(COUNT(BH198:BN198)=0,"",AVERAGE(BH198:BN198)*4)</x:f>
      </x:c>
      <x:c r="CJ198" s="178" t="str">
        <x:f>IF(COUNT(BO198:BU198)=0,"",AVERAGE(BO198:BU198)*4)</x:f>
      </x:c>
      <x:c r="CK198" s="178" t="str">
        <x:f>IF(COUNT(BV198:CB198)=0,"",AVERAGE(BV198:CB198)*4)</x:f>
      </x:c>
      <x:c r="CL198" s="178" t="str">
        <x:f>IF(C198="","",IF(COUNT(G198:CB198)&lt;74,"",(CC198*'تنظیمات وزن‌دهی'!$C$5+CD198*'تنظیمات وزن‌دهی'!$C$6+CE198*'تنظیمات وزن‌دهی'!$C$7+CF198*'تنظیمات وزن‌دهی'!$C$8+CG198*'تنظیمات وزن‌دهی'!$C$9+CH198*'تنظیمات وزن‌دهی'!$C$10+CI198*'تنظیمات وزن‌دهی'!$C$11+CJ198*'تنظیمات وزن‌دهی'!$C$12+CK198*'تنظیمات وزن‌دهی'!$C$13)/100))</x:f>
      </x:c>
      <x:c r="CM198" s="178" t="str">
        <x:f>IF(C198="","",IF(COUNT(G198:CB198)=0,"",IF(COUNT(G198:CB198)&lt;74,"موقت - اطلاعات ناقص",IF(CL198&gt;=17,"عالی",IF(CL198&gt;=14,"خوب",IF(CL198&gt;=10,"متوسط","ضعیف"))))))</x:f>
      </x:c>
      <x:c r="CN198" s="178" t="n">
        <x:v>2</x:v>
      </x:c>
      <x:c r="CO198" s="142" t="n">
        <x:f>IF(C198="","",COUNT(G198:CB198)/74)</x:f>
        <x:v>0</x:v>
      </x:c>
      <x:c r="CP198" s="245"/>
    </x:row>
    <x:row r="199">
      <x:c r="A199" s="165" t="n">
        <x:v>195</x:v>
      </x:c>
      <x:c r="B199" s="233" t="str">
        <x:v>شهریور</x:v>
      </x:c>
      <x:c r="C199" s="233" t="n">
        <x:f>IF('دانش‌آموزان'!E21="","",'دانش‌آموزان'!B21)</x:f>
        <x:v>17</x:v>
      </x:c>
      <x:c r="D199" s="233" t="str">
        <x:f>IF('دانش‌آموزان'!C21="","",'دانش‌آموزان'!C21)</x:f>
        <x:v>4000000179</x:v>
      </x:c>
      <x:c r="E199" s="233" t="str">
        <x:f>IF('دانش‌آموزان'!E21="","",'دانش‌آموزان'!E21&amp;" "&amp;'دانش‌آموزان'!F21)</x:f>
        <x:v>سینا رحیمی</x:v>
      </x:c>
      <x:c r="F199" s="166" t="str">
        <x:f>IF('دانش‌آموزان'!I21="","",'دانش‌آموزان'!I21)</x:f>
        <x:v>sample-7-a</x:v>
      </x:c>
      <x:c r="G199" s="114"/>
      <x:c r="H199" s="115"/>
      <x:c r="I199" s="115"/>
      <x:c r="J199" s="115"/>
      <x:c r="K199" s="115"/>
      <x:c r="L199" s="115"/>
      <x:c r="M199" s="115"/>
      <x:c r="N199" s="115"/>
      <x:c r="O199" s="115"/>
      <x:c r="P199" s="115"/>
      <x:c r="Q199" s="115"/>
      <x:c r="R199" s="115"/>
      <x:c r="S199" s="115"/>
      <x:c r="T199" s="115"/>
      <x:c r="U199" s="115"/>
      <x:c r="V199" s="115"/>
      <x:c r="W199" s="115"/>
      <x:c r="X199" s="115"/>
      <x:c r="Y199" s="115"/>
      <x:c r="Z199" s="115"/>
      <x:c r="AA199" s="115"/>
      <x:c r="AB199" s="115"/>
      <x:c r="AC199" s="115"/>
      <x:c r="AD199" s="115"/>
      <x:c r="AE199" s="115"/>
      <x:c r="AF199" s="115"/>
      <x:c r="AG199" s="115"/>
      <x:c r="AH199" s="115"/>
      <x:c r="AI199" s="115"/>
      <x:c r="AJ199" s="115"/>
      <x:c r="AK199" s="115"/>
      <x:c r="AL199" s="115"/>
      <x:c r="AM199" s="115"/>
      <x:c r="AN199" s="115"/>
      <x:c r="AO199" s="115"/>
      <x:c r="AP199" s="115"/>
      <x:c r="AQ199" s="115"/>
      <x:c r="AR199" s="115"/>
      <x:c r="AS199" s="115"/>
      <x:c r="AT199" s="115"/>
      <x:c r="AU199" s="115"/>
      <x:c r="AV199" s="115"/>
      <x:c r="AW199" s="115"/>
      <x:c r="AX199" s="115"/>
      <x:c r="AY199" s="115"/>
      <x:c r="AZ199" s="115"/>
      <x:c r="BA199" s="115"/>
      <x:c r="BB199" s="115"/>
      <x:c r="BC199" s="115"/>
      <x:c r="BD199" s="115"/>
      <x:c r="BE199" s="115"/>
      <x:c r="BF199" s="115"/>
      <x:c r="BG199" s="115"/>
      <x:c r="BH199" s="115"/>
      <x:c r="BI199" s="115"/>
      <x:c r="BJ199" s="115"/>
      <x:c r="BK199" s="115"/>
      <x:c r="BL199" s="115"/>
      <x:c r="BM199" s="115"/>
      <x:c r="BN199" s="115"/>
      <x:c r="BO199" s="115"/>
      <x:c r="BP199" s="115"/>
      <x:c r="BQ199" s="115"/>
      <x:c r="BR199" s="115"/>
      <x:c r="BS199" s="115"/>
      <x:c r="BT199" s="115"/>
      <x:c r="BU199" s="115"/>
      <x:c r="BV199" s="115"/>
      <x:c r="BW199" s="115"/>
      <x:c r="BX199" s="115"/>
      <x:c r="BY199" s="115"/>
      <x:c r="BZ199" s="115"/>
      <x:c r="CA199" s="115"/>
      <x:c r="CB199" s="116"/>
      <x:c r="CC199" s="141" t="str">
        <x:f>IF(COUNT(G199:P199)=0,"",AVERAGE(G199:P199)*4)</x:f>
      </x:c>
      <x:c r="CD199" s="178" t="str">
        <x:f>IF(COUNT(Q199:Z199)=0,"",AVERAGE(Q199:Z199)*4)</x:f>
      </x:c>
      <x:c r="CE199" s="178" t="str">
        <x:f>IF(COUNT(AA199:AJ199)=0,"",AVERAGE(AA199:AJ199)*4)</x:f>
      </x:c>
      <x:c r="CF199" s="178" t="str">
        <x:f>IF(COUNT(AK199:AR199)=0,"",AVERAGE(AK199:AR199)*4)</x:f>
      </x:c>
      <x:c r="CG199" s="178" t="str">
        <x:f>IF(COUNT(AS199:AY199)=0,"",AVERAGE(AS199:AY199)*4)</x:f>
      </x:c>
      <x:c r="CH199" s="178" t="str">
        <x:f>IF(COUNT(AZ199:BG199)=0,"",AVERAGE(AZ199:BG199)*4)</x:f>
      </x:c>
      <x:c r="CI199" s="178" t="str">
        <x:f>IF(COUNT(BH199:BN199)=0,"",AVERAGE(BH199:BN199)*4)</x:f>
      </x:c>
      <x:c r="CJ199" s="178" t="str">
        <x:f>IF(COUNT(BO199:BU199)=0,"",AVERAGE(BO199:BU199)*4)</x:f>
      </x:c>
      <x:c r="CK199" s="178" t="str">
        <x:f>IF(COUNT(BV199:CB199)=0,"",AVERAGE(BV199:CB199)*4)</x:f>
      </x:c>
      <x:c r="CL199" s="178" t="str">
        <x:f>IF(C199="","",IF(COUNT(G199:CB199)&lt;74,"",(CC199*'تنظیمات وزن‌دهی'!$C$5+CD199*'تنظیمات وزن‌دهی'!$C$6+CE199*'تنظیمات وزن‌دهی'!$C$7+CF199*'تنظیمات وزن‌دهی'!$C$8+CG199*'تنظیمات وزن‌دهی'!$C$9+CH199*'تنظیمات وزن‌دهی'!$C$10+CI199*'تنظیمات وزن‌دهی'!$C$11+CJ199*'تنظیمات وزن‌دهی'!$C$12+CK199*'تنظیمات وزن‌دهی'!$C$13)/100))</x:f>
      </x:c>
      <x:c r="CM199" s="178" t="str">
        <x:f>IF(C199="","",IF(COUNT(G199:CB199)=0,"",IF(COUNT(G199:CB199)&lt;74,"موقت - اطلاعات ناقص",IF(CL199&gt;=17,"عالی",IF(CL199&gt;=14,"خوب",IF(CL199&gt;=10,"متوسط","ضعیف"))))))</x:f>
      </x:c>
      <x:c r="CN199" s="178" t="n">
        <x:v>3</x:v>
      </x:c>
      <x:c r="CO199" s="142" t="n">
        <x:f>IF(C199="","",COUNT(G199:CB199)/74)</x:f>
        <x:v>0</x:v>
      </x:c>
      <x:c r="CP199" s="245"/>
    </x:row>
    <x:row r="200">
      <x:c r="A200" s="165" t="n">
        <x:v>196</x:v>
      </x:c>
      <x:c r="B200" s="233" t="str">
        <x:v>مهر</x:v>
      </x:c>
      <x:c r="C200" s="233" t="n">
        <x:f>IF('دانش‌آموزان'!E21="","",'دانش‌آموزان'!B21)</x:f>
        <x:v>17</x:v>
      </x:c>
      <x:c r="D200" s="233" t="str">
        <x:f>IF('دانش‌آموزان'!C21="","",'دانش‌آموزان'!C21)</x:f>
        <x:v>4000000179</x:v>
      </x:c>
      <x:c r="E200" s="233" t="str">
        <x:f>IF('دانش‌آموزان'!E21="","",'دانش‌آموزان'!E21&amp;" "&amp;'دانش‌آموزان'!F21)</x:f>
        <x:v>سینا رحیمی</x:v>
      </x:c>
      <x:c r="F200" s="166" t="str">
        <x:f>IF('دانش‌آموزان'!I21="","",'دانش‌آموزان'!I21)</x:f>
        <x:v>sample-7-a</x:v>
      </x:c>
      <x:c r="G200" s="114"/>
      <x:c r="H200" s="115"/>
      <x:c r="I200" s="115"/>
      <x:c r="J200" s="115"/>
      <x:c r="K200" s="115"/>
      <x:c r="L200" s="115"/>
      <x:c r="M200" s="115"/>
      <x:c r="N200" s="115"/>
      <x:c r="O200" s="115"/>
      <x:c r="P200" s="115"/>
      <x:c r="Q200" s="115"/>
      <x:c r="R200" s="115"/>
      <x:c r="S200" s="115"/>
      <x:c r="T200" s="115"/>
      <x:c r="U200" s="115"/>
      <x:c r="V200" s="115"/>
      <x:c r="W200" s="115"/>
      <x:c r="X200" s="115"/>
      <x:c r="Y200" s="115"/>
      <x:c r="Z200" s="115"/>
      <x:c r="AA200" s="115"/>
      <x:c r="AB200" s="115"/>
      <x:c r="AC200" s="115"/>
      <x:c r="AD200" s="115"/>
      <x:c r="AE200" s="115"/>
      <x:c r="AF200" s="115"/>
      <x:c r="AG200" s="115"/>
      <x:c r="AH200" s="115"/>
      <x:c r="AI200" s="115"/>
      <x:c r="AJ200" s="115"/>
      <x:c r="AK200" s="115"/>
      <x:c r="AL200" s="115"/>
      <x:c r="AM200" s="115"/>
      <x:c r="AN200" s="115"/>
      <x:c r="AO200" s="115"/>
      <x:c r="AP200" s="115"/>
      <x:c r="AQ200" s="115"/>
      <x:c r="AR200" s="115"/>
      <x:c r="AS200" s="115"/>
      <x:c r="AT200" s="115"/>
      <x:c r="AU200" s="115"/>
      <x:c r="AV200" s="115"/>
      <x:c r="AW200" s="115"/>
      <x:c r="AX200" s="115"/>
      <x:c r="AY200" s="115"/>
      <x:c r="AZ200" s="115"/>
      <x:c r="BA200" s="115"/>
      <x:c r="BB200" s="115"/>
      <x:c r="BC200" s="115"/>
      <x:c r="BD200" s="115"/>
      <x:c r="BE200" s="115"/>
      <x:c r="BF200" s="115"/>
      <x:c r="BG200" s="115"/>
      <x:c r="BH200" s="115"/>
      <x:c r="BI200" s="115"/>
      <x:c r="BJ200" s="115"/>
      <x:c r="BK200" s="115"/>
      <x:c r="BL200" s="115"/>
      <x:c r="BM200" s="115"/>
      <x:c r="BN200" s="115"/>
      <x:c r="BO200" s="115"/>
      <x:c r="BP200" s="115"/>
      <x:c r="BQ200" s="115"/>
      <x:c r="BR200" s="115"/>
      <x:c r="BS200" s="115"/>
      <x:c r="BT200" s="115"/>
      <x:c r="BU200" s="115"/>
      <x:c r="BV200" s="115"/>
      <x:c r="BW200" s="115"/>
      <x:c r="BX200" s="115"/>
      <x:c r="BY200" s="115"/>
      <x:c r="BZ200" s="115"/>
      <x:c r="CA200" s="115"/>
      <x:c r="CB200" s="116"/>
      <x:c r="CC200" s="141" t="str">
        <x:f>IF(COUNT(G200:P200)=0,"",AVERAGE(G200:P200)*4)</x:f>
      </x:c>
      <x:c r="CD200" s="178" t="str">
        <x:f>IF(COUNT(Q200:Z200)=0,"",AVERAGE(Q200:Z200)*4)</x:f>
      </x:c>
      <x:c r="CE200" s="178" t="str">
        <x:f>IF(COUNT(AA200:AJ200)=0,"",AVERAGE(AA200:AJ200)*4)</x:f>
      </x:c>
      <x:c r="CF200" s="178" t="str">
        <x:f>IF(COUNT(AK200:AR200)=0,"",AVERAGE(AK200:AR200)*4)</x:f>
      </x:c>
      <x:c r="CG200" s="178" t="str">
        <x:f>IF(COUNT(AS200:AY200)=0,"",AVERAGE(AS200:AY200)*4)</x:f>
      </x:c>
      <x:c r="CH200" s="178" t="str">
        <x:f>IF(COUNT(AZ200:BG200)=0,"",AVERAGE(AZ200:BG200)*4)</x:f>
      </x:c>
      <x:c r="CI200" s="178" t="str">
        <x:f>IF(COUNT(BH200:BN200)=0,"",AVERAGE(BH200:BN200)*4)</x:f>
      </x:c>
      <x:c r="CJ200" s="178" t="str">
        <x:f>IF(COUNT(BO200:BU200)=0,"",AVERAGE(BO200:BU200)*4)</x:f>
      </x:c>
      <x:c r="CK200" s="178" t="str">
        <x:f>IF(COUNT(BV200:CB200)=0,"",AVERAGE(BV200:CB200)*4)</x:f>
      </x:c>
      <x:c r="CL200" s="178" t="str">
        <x:f>IF(C200="","",IF(COUNT(G200:CB200)&lt;74,"",(CC200*'تنظیمات وزن‌دهی'!$C$5+CD200*'تنظیمات وزن‌دهی'!$C$6+CE200*'تنظیمات وزن‌دهی'!$C$7+CF200*'تنظیمات وزن‌دهی'!$C$8+CG200*'تنظیمات وزن‌دهی'!$C$9+CH200*'تنظیمات وزن‌دهی'!$C$10+CI200*'تنظیمات وزن‌دهی'!$C$11+CJ200*'تنظیمات وزن‌دهی'!$C$12+CK200*'تنظیمات وزن‌دهی'!$C$13)/100))</x:f>
      </x:c>
      <x:c r="CM200" s="178" t="str">
        <x:f>IF(C200="","",IF(COUNT(G200:CB200)=0,"",IF(COUNT(G200:CB200)&lt;74,"موقت - اطلاعات ناقص",IF(CL200&gt;=17,"عالی",IF(CL200&gt;=14,"خوب",IF(CL200&gt;=10,"متوسط","ضعیف"))))))</x:f>
      </x:c>
      <x:c r="CN200" s="178" t="n">
        <x:v>4</x:v>
      </x:c>
      <x:c r="CO200" s="142" t="n">
        <x:f>IF(C200="","",COUNT(G200:CB200)/74)</x:f>
        <x:v>0</x:v>
      </x:c>
      <x:c r="CP200" s="245"/>
    </x:row>
    <x:row r="201">
      <x:c r="A201" s="165" t="n">
        <x:v>197</x:v>
      </x:c>
      <x:c r="B201" s="233" t="str">
        <x:v>آبان</x:v>
      </x:c>
      <x:c r="C201" s="233" t="n">
        <x:f>IF('دانش‌آموزان'!E21="","",'دانش‌آموزان'!B21)</x:f>
        <x:v>17</x:v>
      </x:c>
      <x:c r="D201" s="233" t="str">
        <x:f>IF('دانش‌آموزان'!C21="","",'دانش‌آموزان'!C21)</x:f>
        <x:v>4000000179</x:v>
      </x:c>
      <x:c r="E201" s="233" t="str">
        <x:f>IF('دانش‌آموزان'!E21="","",'دانش‌آموزان'!E21&amp;" "&amp;'دانش‌آموزان'!F21)</x:f>
        <x:v>سینا رحیمی</x:v>
      </x:c>
      <x:c r="F201" s="166" t="str">
        <x:f>IF('دانش‌آموزان'!I21="","",'دانش‌آموزان'!I21)</x:f>
        <x:v>sample-7-a</x:v>
      </x:c>
      <x:c r="G201" s="114"/>
      <x:c r="H201" s="115"/>
      <x:c r="I201" s="115"/>
      <x:c r="J201" s="115"/>
      <x:c r="K201" s="115"/>
      <x:c r="L201" s="115"/>
      <x:c r="M201" s="115"/>
      <x:c r="N201" s="115"/>
      <x:c r="O201" s="115"/>
      <x:c r="P201" s="115"/>
      <x:c r="Q201" s="115"/>
      <x:c r="R201" s="115"/>
      <x:c r="S201" s="115"/>
      <x:c r="T201" s="115"/>
      <x:c r="U201" s="115"/>
      <x:c r="V201" s="115"/>
      <x:c r="W201" s="115"/>
      <x:c r="X201" s="115"/>
      <x:c r="Y201" s="115"/>
      <x:c r="Z201" s="115"/>
      <x:c r="AA201" s="115"/>
      <x:c r="AB201" s="115"/>
      <x:c r="AC201" s="115"/>
      <x:c r="AD201" s="115"/>
      <x:c r="AE201" s="115"/>
      <x:c r="AF201" s="115"/>
      <x:c r="AG201" s="115"/>
      <x:c r="AH201" s="115"/>
      <x:c r="AI201" s="115"/>
      <x:c r="AJ201" s="115"/>
      <x:c r="AK201" s="115"/>
      <x:c r="AL201" s="115"/>
      <x:c r="AM201" s="115"/>
      <x:c r="AN201" s="115"/>
      <x:c r="AO201" s="115"/>
      <x:c r="AP201" s="115"/>
      <x:c r="AQ201" s="115"/>
      <x:c r="AR201" s="115"/>
      <x:c r="AS201" s="115"/>
      <x:c r="AT201" s="115"/>
      <x:c r="AU201" s="115"/>
      <x:c r="AV201" s="115"/>
      <x:c r="AW201" s="115"/>
      <x:c r="AX201" s="115"/>
      <x:c r="AY201" s="115"/>
      <x:c r="AZ201" s="115"/>
      <x:c r="BA201" s="115"/>
      <x:c r="BB201" s="115"/>
      <x:c r="BC201" s="115"/>
      <x:c r="BD201" s="115"/>
      <x:c r="BE201" s="115"/>
      <x:c r="BF201" s="115"/>
      <x:c r="BG201" s="115"/>
      <x:c r="BH201" s="115"/>
      <x:c r="BI201" s="115"/>
      <x:c r="BJ201" s="115"/>
      <x:c r="BK201" s="115"/>
      <x:c r="BL201" s="115"/>
      <x:c r="BM201" s="115"/>
      <x:c r="BN201" s="115"/>
      <x:c r="BO201" s="115"/>
      <x:c r="BP201" s="115"/>
      <x:c r="BQ201" s="115"/>
      <x:c r="BR201" s="115"/>
      <x:c r="BS201" s="115"/>
      <x:c r="BT201" s="115"/>
      <x:c r="BU201" s="115"/>
      <x:c r="BV201" s="115"/>
      <x:c r="BW201" s="115"/>
      <x:c r="BX201" s="115"/>
      <x:c r="BY201" s="115"/>
      <x:c r="BZ201" s="115"/>
      <x:c r="CA201" s="115"/>
      <x:c r="CB201" s="116"/>
      <x:c r="CC201" s="141" t="str">
        <x:f>IF(COUNT(G201:P201)=0,"",AVERAGE(G201:P201)*4)</x:f>
      </x:c>
      <x:c r="CD201" s="178" t="str">
        <x:f>IF(COUNT(Q201:Z201)=0,"",AVERAGE(Q201:Z201)*4)</x:f>
      </x:c>
      <x:c r="CE201" s="178" t="str">
        <x:f>IF(COUNT(AA201:AJ201)=0,"",AVERAGE(AA201:AJ201)*4)</x:f>
      </x:c>
      <x:c r="CF201" s="178" t="str">
        <x:f>IF(COUNT(AK201:AR201)=0,"",AVERAGE(AK201:AR201)*4)</x:f>
      </x:c>
      <x:c r="CG201" s="178" t="str">
        <x:f>IF(COUNT(AS201:AY201)=0,"",AVERAGE(AS201:AY201)*4)</x:f>
      </x:c>
      <x:c r="CH201" s="178" t="str">
        <x:f>IF(COUNT(AZ201:BG201)=0,"",AVERAGE(AZ201:BG201)*4)</x:f>
      </x:c>
      <x:c r="CI201" s="178" t="str">
        <x:f>IF(COUNT(BH201:BN201)=0,"",AVERAGE(BH201:BN201)*4)</x:f>
      </x:c>
      <x:c r="CJ201" s="178" t="str">
        <x:f>IF(COUNT(BO201:BU201)=0,"",AVERAGE(BO201:BU201)*4)</x:f>
      </x:c>
      <x:c r="CK201" s="178" t="str">
        <x:f>IF(COUNT(BV201:CB201)=0,"",AVERAGE(BV201:CB201)*4)</x:f>
      </x:c>
      <x:c r="CL201" s="178" t="str">
        <x:f>IF(C201="","",IF(COUNT(G201:CB201)&lt;74,"",(CC201*'تنظیمات وزن‌دهی'!$C$5+CD201*'تنظیمات وزن‌دهی'!$C$6+CE201*'تنظیمات وزن‌دهی'!$C$7+CF201*'تنظیمات وزن‌دهی'!$C$8+CG201*'تنظیمات وزن‌دهی'!$C$9+CH201*'تنظیمات وزن‌دهی'!$C$10+CI201*'تنظیمات وزن‌دهی'!$C$11+CJ201*'تنظیمات وزن‌دهی'!$C$12+CK201*'تنظیمات وزن‌دهی'!$C$13)/100))</x:f>
      </x:c>
      <x:c r="CM201" s="178" t="str">
        <x:f>IF(C201="","",IF(COUNT(G201:CB201)=0,"",IF(COUNT(G201:CB201)&lt;74,"موقت - اطلاعات ناقص",IF(CL201&gt;=17,"عالی",IF(CL201&gt;=14,"خوب",IF(CL201&gt;=10,"متوسط","ضعیف"))))))</x:f>
      </x:c>
      <x:c r="CN201" s="178" t="n">
        <x:v>5</x:v>
      </x:c>
      <x:c r="CO201" s="142" t="n">
        <x:f>IF(C201="","",COUNT(G201:CB201)/74)</x:f>
        <x:v>0</x:v>
      </x:c>
      <x:c r="CP201" s="245"/>
    </x:row>
    <x:row r="202">
      <x:c r="A202" s="165" t="n">
        <x:v>198</x:v>
      </x:c>
      <x:c r="B202" s="233" t="str">
        <x:v>آذر</x:v>
      </x:c>
      <x:c r="C202" s="233" t="n">
        <x:f>IF('دانش‌آموزان'!E21="","",'دانش‌آموزان'!B21)</x:f>
        <x:v>17</x:v>
      </x:c>
      <x:c r="D202" s="233" t="str">
        <x:f>IF('دانش‌آموزان'!C21="","",'دانش‌آموزان'!C21)</x:f>
        <x:v>4000000179</x:v>
      </x:c>
      <x:c r="E202" s="233" t="str">
        <x:f>IF('دانش‌آموزان'!E21="","",'دانش‌آموزان'!E21&amp;" "&amp;'دانش‌آموزان'!F21)</x:f>
        <x:v>سینا رحیمی</x:v>
      </x:c>
      <x:c r="F202" s="166" t="str">
        <x:f>IF('دانش‌آموزان'!I21="","",'دانش‌آموزان'!I21)</x:f>
        <x:v>sample-7-a</x:v>
      </x:c>
      <x:c r="G202" s="114"/>
      <x:c r="H202" s="115"/>
      <x:c r="I202" s="115"/>
      <x:c r="J202" s="115"/>
      <x:c r="K202" s="115"/>
      <x:c r="L202" s="115"/>
      <x:c r="M202" s="115"/>
      <x:c r="N202" s="115"/>
      <x:c r="O202" s="115"/>
      <x:c r="P202" s="115"/>
      <x:c r="Q202" s="115"/>
      <x:c r="R202" s="115"/>
      <x:c r="S202" s="115"/>
      <x:c r="T202" s="115"/>
      <x:c r="U202" s="115"/>
      <x:c r="V202" s="115"/>
      <x:c r="W202" s="115"/>
      <x:c r="X202" s="115"/>
      <x:c r="Y202" s="115"/>
      <x:c r="Z202" s="115"/>
      <x:c r="AA202" s="115"/>
      <x:c r="AB202" s="115"/>
      <x:c r="AC202" s="115"/>
      <x:c r="AD202" s="115"/>
      <x:c r="AE202" s="115"/>
      <x:c r="AF202" s="115"/>
      <x:c r="AG202" s="115"/>
      <x:c r="AH202" s="115"/>
      <x:c r="AI202" s="115"/>
      <x:c r="AJ202" s="115"/>
      <x:c r="AK202" s="115"/>
      <x:c r="AL202" s="115"/>
      <x:c r="AM202" s="115"/>
      <x:c r="AN202" s="115"/>
      <x:c r="AO202" s="115"/>
      <x:c r="AP202" s="115"/>
      <x:c r="AQ202" s="115"/>
      <x:c r="AR202" s="115"/>
      <x:c r="AS202" s="115"/>
      <x:c r="AT202" s="115"/>
      <x:c r="AU202" s="115"/>
      <x:c r="AV202" s="115"/>
      <x:c r="AW202" s="115"/>
      <x:c r="AX202" s="115"/>
      <x:c r="AY202" s="115"/>
      <x:c r="AZ202" s="115"/>
      <x:c r="BA202" s="115"/>
      <x:c r="BB202" s="115"/>
      <x:c r="BC202" s="115"/>
      <x:c r="BD202" s="115"/>
      <x:c r="BE202" s="115"/>
      <x:c r="BF202" s="115"/>
      <x:c r="BG202" s="115"/>
      <x:c r="BH202" s="115"/>
      <x:c r="BI202" s="115"/>
      <x:c r="BJ202" s="115"/>
      <x:c r="BK202" s="115"/>
      <x:c r="BL202" s="115"/>
      <x:c r="BM202" s="115"/>
      <x:c r="BN202" s="115"/>
      <x:c r="BO202" s="115"/>
      <x:c r="BP202" s="115"/>
      <x:c r="BQ202" s="115"/>
      <x:c r="BR202" s="115"/>
      <x:c r="BS202" s="115"/>
      <x:c r="BT202" s="115"/>
      <x:c r="BU202" s="115"/>
      <x:c r="BV202" s="115"/>
      <x:c r="BW202" s="115"/>
      <x:c r="BX202" s="115"/>
      <x:c r="BY202" s="115"/>
      <x:c r="BZ202" s="115"/>
      <x:c r="CA202" s="115"/>
      <x:c r="CB202" s="116"/>
      <x:c r="CC202" s="141" t="str">
        <x:f>IF(COUNT(G202:P202)=0,"",AVERAGE(G202:P202)*4)</x:f>
      </x:c>
      <x:c r="CD202" s="178" t="str">
        <x:f>IF(COUNT(Q202:Z202)=0,"",AVERAGE(Q202:Z202)*4)</x:f>
      </x:c>
      <x:c r="CE202" s="178" t="str">
        <x:f>IF(COUNT(AA202:AJ202)=0,"",AVERAGE(AA202:AJ202)*4)</x:f>
      </x:c>
      <x:c r="CF202" s="178" t="str">
        <x:f>IF(COUNT(AK202:AR202)=0,"",AVERAGE(AK202:AR202)*4)</x:f>
      </x:c>
      <x:c r="CG202" s="178" t="str">
        <x:f>IF(COUNT(AS202:AY202)=0,"",AVERAGE(AS202:AY202)*4)</x:f>
      </x:c>
      <x:c r="CH202" s="178" t="str">
        <x:f>IF(COUNT(AZ202:BG202)=0,"",AVERAGE(AZ202:BG202)*4)</x:f>
      </x:c>
      <x:c r="CI202" s="178" t="str">
        <x:f>IF(COUNT(BH202:BN202)=0,"",AVERAGE(BH202:BN202)*4)</x:f>
      </x:c>
      <x:c r="CJ202" s="178" t="str">
        <x:f>IF(COUNT(BO202:BU202)=0,"",AVERAGE(BO202:BU202)*4)</x:f>
      </x:c>
      <x:c r="CK202" s="178" t="str">
        <x:f>IF(COUNT(BV202:CB202)=0,"",AVERAGE(BV202:CB202)*4)</x:f>
      </x:c>
      <x:c r="CL202" s="178" t="str">
        <x:f>IF(C202="","",IF(COUNT(G202:CB202)&lt;74,"",(CC202*'تنظیمات وزن‌دهی'!$C$5+CD202*'تنظیمات وزن‌دهی'!$C$6+CE202*'تنظیمات وزن‌دهی'!$C$7+CF202*'تنظیمات وزن‌دهی'!$C$8+CG202*'تنظیمات وزن‌دهی'!$C$9+CH202*'تنظیمات وزن‌دهی'!$C$10+CI202*'تنظیمات وزن‌دهی'!$C$11+CJ202*'تنظیمات وزن‌دهی'!$C$12+CK202*'تنظیمات وزن‌دهی'!$C$13)/100))</x:f>
      </x:c>
      <x:c r="CM202" s="178" t="str">
        <x:f>IF(C202="","",IF(COUNT(G202:CB202)=0,"",IF(COUNT(G202:CB202)&lt;74,"موقت - اطلاعات ناقص",IF(CL202&gt;=17,"عالی",IF(CL202&gt;=14,"خوب",IF(CL202&gt;=10,"متوسط","ضعیف"))))))</x:f>
      </x:c>
      <x:c r="CN202" s="178" t="n">
        <x:v>6</x:v>
      </x:c>
      <x:c r="CO202" s="142" t="n">
        <x:f>IF(C202="","",COUNT(G202:CB202)/74)</x:f>
        <x:v>0</x:v>
      </x:c>
      <x:c r="CP202" s="245"/>
    </x:row>
    <x:row r="203">
      <x:c r="A203" s="165" t="n">
        <x:v>199</x:v>
      </x:c>
      <x:c r="B203" s="233" t="str">
        <x:v>دی</x:v>
      </x:c>
      <x:c r="C203" s="233" t="n">
        <x:f>IF('دانش‌آموزان'!E21="","",'دانش‌آموزان'!B21)</x:f>
        <x:v>17</x:v>
      </x:c>
      <x:c r="D203" s="233" t="str">
        <x:f>IF('دانش‌آموزان'!C21="","",'دانش‌آموزان'!C21)</x:f>
        <x:v>4000000179</x:v>
      </x:c>
      <x:c r="E203" s="233" t="str">
        <x:f>IF('دانش‌آموزان'!E21="","",'دانش‌آموزان'!E21&amp;" "&amp;'دانش‌آموزان'!F21)</x:f>
        <x:v>سینا رحیمی</x:v>
      </x:c>
      <x:c r="F203" s="166" t="str">
        <x:f>IF('دانش‌آموزان'!I21="","",'دانش‌آموزان'!I21)</x:f>
        <x:v>sample-7-a</x:v>
      </x:c>
      <x:c r="G203" s="114"/>
      <x:c r="H203" s="115"/>
      <x:c r="I203" s="115"/>
      <x:c r="J203" s="115"/>
      <x:c r="K203" s="115"/>
      <x:c r="L203" s="115"/>
      <x:c r="M203" s="115"/>
      <x:c r="N203" s="115"/>
      <x:c r="O203" s="115"/>
      <x:c r="P203" s="115"/>
      <x:c r="Q203" s="115"/>
      <x:c r="R203" s="115"/>
      <x:c r="S203" s="115"/>
      <x:c r="T203" s="115"/>
      <x:c r="U203" s="115"/>
      <x:c r="V203" s="115"/>
      <x:c r="W203" s="115"/>
      <x:c r="X203" s="115"/>
      <x:c r="Y203" s="115"/>
      <x:c r="Z203" s="115"/>
      <x:c r="AA203" s="115"/>
      <x:c r="AB203" s="115"/>
      <x:c r="AC203" s="115"/>
      <x:c r="AD203" s="115"/>
      <x:c r="AE203" s="115"/>
      <x:c r="AF203" s="115"/>
      <x:c r="AG203" s="115"/>
      <x:c r="AH203" s="115"/>
      <x:c r="AI203" s="115"/>
      <x:c r="AJ203" s="115"/>
      <x:c r="AK203" s="115"/>
      <x:c r="AL203" s="115"/>
      <x:c r="AM203" s="115"/>
      <x:c r="AN203" s="115"/>
      <x:c r="AO203" s="115"/>
      <x:c r="AP203" s="115"/>
      <x:c r="AQ203" s="115"/>
      <x:c r="AR203" s="115"/>
      <x:c r="AS203" s="115"/>
      <x:c r="AT203" s="115"/>
      <x:c r="AU203" s="115"/>
      <x:c r="AV203" s="115"/>
      <x:c r="AW203" s="115"/>
      <x:c r="AX203" s="115"/>
      <x:c r="AY203" s="115"/>
      <x:c r="AZ203" s="115"/>
      <x:c r="BA203" s="115"/>
      <x:c r="BB203" s="115"/>
      <x:c r="BC203" s="115"/>
      <x:c r="BD203" s="115"/>
      <x:c r="BE203" s="115"/>
      <x:c r="BF203" s="115"/>
      <x:c r="BG203" s="115"/>
      <x:c r="BH203" s="115"/>
      <x:c r="BI203" s="115"/>
      <x:c r="BJ203" s="115"/>
      <x:c r="BK203" s="115"/>
      <x:c r="BL203" s="115"/>
      <x:c r="BM203" s="115"/>
      <x:c r="BN203" s="115"/>
      <x:c r="BO203" s="115"/>
      <x:c r="BP203" s="115"/>
      <x:c r="BQ203" s="115"/>
      <x:c r="BR203" s="115"/>
      <x:c r="BS203" s="115"/>
      <x:c r="BT203" s="115"/>
      <x:c r="BU203" s="115"/>
      <x:c r="BV203" s="115"/>
      <x:c r="BW203" s="115"/>
      <x:c r="BX203" s="115"/>
      <x:c r="BY203" s="115"/>
      <x:c r="BZ203" s="115"/>
      <x:c r="CA203" s="115"/>
      <x:c r="CB203" s="116"/>
      <x:c r="CC203" s="141" t="str">
        <x:f>IF(COUNT(G203:P203)=0,"",AVERAGE(G203:P203)*4)</x:f>
      </x:c>
      <x:c r="CD203" s="178" t="str">
        <x:f>IF(COUNT(Q203:Z203)=0,"",AVERAGE(Q203:Z203)*4)</x:f>
      </x:c>
      <x:c r="CE203" s="178" t="str">
        <x:f>IF(COUNT(AA203:AJ203)=0,"",AVERAGE(AA203:AJ203)*4)</x:f>
      </x:c>
      <x:c r="CF203" s="178" t="str">
        <x:f>IF(COUNT(AK203:AR203)=0,"",AVERAGE(AK203:AR203)*4)</x:f>
      </x:c>
      <x:c r="CG203" s="178" t="str">
        <x:f>IF(COUNT(AS203:AY203)=0,"",AVERAGE(AS203:AY203)*4)</x:f>
      </x:c>
      <x:c r="CH203" s="178" t="str">
        <x:f>IF(COUNT(AZ203:BG203)=0,"",AVERAGE(AZ203:BG203)*4)</x:f>
      </x:c>
      <x:c r="CI203" s="178" t="str">
        <x:f>IF(COUNT(BH203:BN203)=0,"",AVERAGE(BH203:BN203)*4)</x:f>
      </x:c>
      <x:c r="CJ203" s="178" t="str">
        <x:f>IF(COUNT(BO203:BU203)=0,"",AVERAGE(BO203:BU203)*4)</x:f>
      </x:c>
      <x:c r="CK203" s="178" t="str">
        <x:f>IF(COUNT(BV203:CB203)=0,"",AVERAGE(BV203:CB203)*4)</x:f>
      </x:c>
      <x:c r="CL203" s="178" t="str">
        <x:f>IF(C203="","",IF(COUNT(G203:CB203)&lt;74,"",(CC203*'تنظیمات وزن‌دهی'!$C$5+CD203*'تنظیمات وزن‌دهی'!$C$6+CE203*'تنظیمات وزن‌دهی'!$C$7+CF203*'تنظیمات وزن‌دهی'!$C$8+CG203*'تنظیمات وزن‌دهی'!$C$9+CH203*'تنظیمات وزن‌دهی'!$C$10+CI203*'تنظیمات وزن‌دهی'!$C$11+CJ203*'تنظیمات وزن‌دهی'!$C$12+CK203*'تنظیمات وزن‌دهی'!$C$13)/100))</x:f>
      </x:c>
      <x:c r="CM203" s="178" t="str">
        <x:f>IF(C203="","",IF(COUNT(G203:CB203)=0,"",IF(COUNT(G203:CB203)&lt;74,"موقت - اطلاعات ناقص",IF(CL203&gt;=17,"عالی",IF(CL203&gt;=14,"خوب",IF(CL203&gt;=10,"متوسط","ضعیف"))))))</x:f>
      </x:c>
      <x:c r="CN203" s="178" t="n">
        <x:v>7</x:v>
      </x:c>
      <x:c r="CO203" s="142" t="n">
        <x:f>IF(C203="","",COUNT(G203:CB203)/74)</x:f>
        <x:v>0</x:v>
      </x:c>
      <x:c r="CP203" s="245"/>
    </x:row>
    <x:row r="204">
      <x:c r="A204" s="165" t="n">
        <x:v>200</x:v>
      </x:c>
      <x:c r="B204" s="233" t="str">
        <x:v>بهمن</x:v>
      </x:c>
      <x:c r="C204" s="233" t="n">
        <x:f>IF('دانش‌آموزان'!E21="","",'دانش‌آموزان'!B21)</x:f>
        <x:v>17</x:v>
      </x:c>
      <x:c r="D204" s="233" t="str">
        <x:f>IF('دانش‌آموزان'!C21="","",'دانش‌آموزان'!C21)</x:f>
        <x:v>4000000179</x:v>
      </x:c>
      <x:c r="E204" s="233" t="str">
        <x:f>IF('دانش‌آموزان'!E21="","",'دانش‌آموزان'!E21&amp;" "&amp;'دانش‌آموزان'!F21)</x:f>
        <x:v>سینا رحیمی</x:v>
      </x:c>
      <x:c r="F204" s="166" t="str">
        <x:f>IF('دانش‌آموزان'!I21="","",'دانش‌آموزان'!I21)</x:f>
        <x:v>sample-7-a</x:v>
      </x:c>
      <x:c r="G204" s="114"/>
      <x:c r="H204" s="115"/>
      <x:c r="I204" s="115"/>
      <x:c r="J204" s="115"/>
      <x:c r="K204" s="115"/>
      <x:c r="L204" s="115"/>
      <x:c r="M204" s="115"/>
      <x:c r="N204" s="115"/>
      <x:c r="O204" s="115"/>
      <x:c r="P204" s="115"/>
      <x:c r="Q204" s="115"/>
      <x:c r="R204" s="115"/>
      <x:c r="S204" s="115"/>
      <x:c r="T204" s="115"/>
      <x:c r="U204" s="115"/>
      <x:c r="V204" s="115"/>
      <x:c r="W204" s="115"/>
      <x:c r="X204" s="115"/>
      <x:c r="Y204" s="115"/>
      <x:c r="Z204" s="115"/>
      <x:c r="AA204" s="115"/>
      <x:c r="AB204" s="115"/>
      <x:c r="AC204" s="115"/>
      <x:c r="AD204" s="115"/>
      <x:c r="AE204" s="115"/>
      <x:c r="AF204" s="115"/>
      <x:c r="AG204" s="115"/>
      <x:c r="AH204" s="115"/>
      <x:c r="AI204" s="115"/>
      <x:c r="AJ204" s="115"/>
      <x:c r="AK204" s="115"/>
      <x:c r="AL204" s="115"/>
      <x:c r="AM204" s="115"/>
      <x:c r="AN204" s="115"/>
      <x:c r="AO204" s="115"/>
      <x:c r="AP204" s="115"/>
      <x:c r="AQ204" s="115"/>
      <x:c r="AR204" s="115"/>
      <x:c r="AS204" s="115"/>
      <x:c r="AT204" s="115"/>
      <x:c r="AU204" s="115"/>
      <x:c r="AV204" s="115"/>
      <x:c r="AW204" s="115"/>
      <x:c r="AX204" s="115"/>
      <x:c r="AY204" s="115"/>
      <x:c r="AZ204" s="115"/>
      <x:c r="BA204" s="115"/>
      <x:c r="BB204" s="115"/>
      <x:c r="BC204" s="115"/>
      <x:c r="BD204" s="115"/>
      <x:c r="BE204" s="115"/>
      <x:c r="BF204" s="115"/>
      <x:c r="BG204" s="115"/>
      <x:c r="BH204" s="115"/>
      <x:c r="BI204" s="115"/>
      <x:c r="BJ204" s="115"/>
      <x:c r="BK204" s="115"/>
      <x:c r="BL204" s="115"/>
      <x:c r="BM204" s="115"/>
      <x:c r="BN204" s="115"/>
      <x:c r="BO204" s="115"/>
      <x:c r="BP204" s="115"/>
      <x:c r="BQ204" s="115"/>
      <x:c r="BR204" s="115"/>
      <x:c r="BS204" s="115"/>
      <x:c r="BT204" s="115"/>
      <x:c r="BU204" s="115"/>
      <x:c r="BV204" s="115"/>
      <x:c r="BW204" s="115"/>
      <x:c r="BX204" s="115"/>
      <x:c r="BY204" s="115"/>
      <x:c r="BZ204" s="115"/>
      <x:c r="CA204" s="115"/>
      <x:c r="CB204" s="116"/>
      <x:c r="CC204" s="141" t="str">
        <x:f>IF(COUNT(G204:P204)=0,"",AVERAGE(G204:P204)*4)</x:f>
      </x:c>
      <x:c r="CD204" s="178" t="str">
        <x:f>IF(COUNT(Q204:Z204)=0,"",AVERAGE(Q204:Z204)*4)</x:f>
      </x:c>
      <x:c r="CE204" s="178" t="str">
        <x:f>IF(COUNT(AA204:AJ204)=0,"",AVERAGE(AA204:AJ204)*4)</x:f>
      </x:c>
      <x:c r="CF204" s="178" t="str">
        <x:f>IF(COUNT(AK204:AR204)=0,"",AVERAGE(AK204:AR204)*4)</x:f>
      </x:c>
      <x:c r="CG204" s="178" t="str">
        <x:f>IF(COUNT(AS204:AY204)=0,"",AVERAGE(AS204:AY204)*4)</x:f>
      </x:c>
      <x:c r="CH204" s="178" t="str">
        <x:f>IF(COUNT(AZ204:BG204)=0,"",AVERAGE(AZ204:BG204)*4)</x:f>
      </x:c>
      <x:c r="CI204" s="178" t="str">
        <x:f>IF(COUNT(BH204:BN204)=0,"",AVERAGE(BH204:BN204)*4)</x:f>
      </x:c>
      <x:c r="CJ204" s="178" t="str">
        <x:f>IF(COUNT(BO204:BU204)=0,"",AVERAGE(BO204:BU204)*4)</x:f>
      </x:c>
      <x:c r="CK204" s="178" t="str">
        <x:f>IF(COUNT(BV204:CB204)=0,"",AVERAGE(BV204:CB204)*4)</x:f>
      </x:c>
      <x:c r="CL204" s="178" t="str">
        <x:f>IF(C204="","",IF(COUNT(G204:CB204)&lt;74,"",(CC204*'تنظیمات وزن‌دهی'!$C$5+CD204*'تنظیمات وزن‌دهی'!$C$6+CE204*'تنظیمات وزن‌دهی'!$C$7+CF204*'تنظیمات وزن‌دهی'!$C$8+CG204*'تنظیمات وزن‌دهی'!$C$9+CH204*'تنظیمات وزن‌دهی'!$C$10+CI204*'تنظیمات وزن‌دهی'!$C$11+CJ204*'تنظیمات وزن‌دهی'!$C$12+CK204*'تنظیمات وزن‌دهی'!$C$13)/100))</x:f>
      </x:c>
      <x:c r="CM204" s="178" t="str">
        <x:f>IF(C204="","",IF(COUNT(G204:CB204)=0,"",IF(COUNT(G204:CB204)&lt;74,"موقت - اطلاعات ناقص",IF(CL204&gt;=17,"عالی",IF(CL204&gt;=14,"خوب",IF(CL204&gt;=10,"متوسط","ضعیف"))))))</x:f>
      </x:c>
      <x:c r="CN204" s="178" t="n">
        <x:v>8</x:v>
      </x:c>
      <x:c r="CO204" s="142" t="n">
        <x:f>IF(C204="","",COUNT(G204:CB204)/74)</x:f>
        <x:v>0</x:v>
      </x:c>
      <x:c r="CP204" s="245"/>
    </x:row>
    <x:row r="205">
      <x:c r="A205" s="165" t="n">
        <x:v>201</x:v>
      </x:c>
      <x:c r="B205" s="233" t="str">
        <x:v>اسفند</x:v>
      </x:c>
      <x:c r="C205" s="233" t="n">
        <x:f>IF('دانش‌آموزان'!E21="","",'دانش‌آموزان'!B21)</x:f>
        <x:v>17</x:v>
      </x:c>
      <x:c r="D205" s="233" t="str">
        <x:f>IF('دانش‌آموزان'!C21="","",'دانش‌آموزان'!C21)</x:f>
        <x:v>4000000179</x:v>
      </x:c>
      <x:c r="E205" s="233" t="str">
        <x:f>IF('دانش‌آموزان'!E21="","",'دانش‌آموزان'!E21&amp;" "&amp;'دانش‌آموزان'!F21)</x:f>
        <x:v>سینا رحیمی</x:v>
      </x:c>
      <x:c r="F205" s="166" t="str">
        <x:f>IF('دانش‌آموزان'!I21="","",'دانش‌آموزان'!I21)</x:f>
        <x:v>sample-7-a</x:v>
      </x:c>
      <x:c r="G205" s="114"/>
      <x:c r="H205" s="115"/>
      <x:c r="I205" s="115"/>
      <x:c r="J205" s="115"/>
      <x:c r="K205" s="115"/>
      <x:c r="L205" s="115"/>
      <x:c r="M205" s="115"/>
      <x:c r="N205" s="115"/>
      <x:c r="O205" s="115"/>
      <x:c r="P205" s="115"/>
      <x:c r="Q205" s="115"/>
      <x:c r="R205" s="115"/>
      <x:c r="S205" s="115"/>
      <x:c r="T205" s="115"/>
      <x:c r="U205" s="115"/>
      <x:c r="V205" s="115"/>
      <x:c r="W205" s="115"/>
      <x:c r="X205" s="115"/>
      <x:c r="Y205" s="115"/>
      <x:c r="Z205" s="115"/>
      <x:c r="AA205" s="115"/>
      <x:c r="AB205" s="115"/>
      <x:c r="AC205" s="115"/>
      <x:c r="AD205" s="115"/>
      <x:c r="AE205" s="115"/>
      <x:c r="AF205" s="115"/>
      <x:c r="AG205" s="115"/>
      <x:c r="AH205" s="115"/>
      <x:c r="AI205" s="115"/>
      <x:c r="AJ205" s="115"/>
      <x:c r="AK205" s="115"/>
      <x:c r="AL205" s="115"/>
      <x:c r="AM205" s="115"/>
      <x:c r="AN205" s="115"/>
      <x:c r="AO205" s="115"/>
      <x:c r="AP205" s="115"/>
      <x:c r="AQ205" s="115"/>
      <x:c r="AR205" s="115"/>
      <x:c r="AS205" s="115"/>
      <x:c r="AT205" s="115"/>
      <x:c r="AU205" s="115"/>
      <x:c r="AV205" s="115"/>
      <x:c r="AW205" s="115"/>
      <x:c r="AX205" s="115"/>
      <x:c r="AY205" s="115"/>
      <x:c r="AZ205" s="115"/>
      <x:c r="BA205" s="115"/>
      <x:c r="BB205" s="115"/>
      <x:c r="BC205" s="115"/>
      <x:c r="BD205" s="115"/>
      <x:c r="BE205" s="115"/>
      <x:c r="BF205" s="115"/>
      <x:c r="BG205" s="115"/>
      <x:c r="BH205" s="115"/>
      <x:c r="BI205" s="115"/>
      <x:c r="BJ205" s="115"/>
      <x:c r="BK205" s="115"/>
      <x:c r="BL205" s="115"/>
      <x:c r="BM205" s="115"/>
      <x:c r="BN205" s="115"/>
      <x:c r="BO205" s="115"/>
      <x:c r="BP205" s="115"/>
      <x:c r="BQ205" s="115"/>
      <x:c r="BR205" s="115"/>
      <x:c r="BS205" s="115"/>
      <x:c r="BT205" s="115"/>
      <x:c r="BU205" s="115"/>
      <x:c r="BV205" s="115"/>
      <x:c r="BW205" s="115"/>
      <x:c r="BX205" s="115"/>
      <x:c r="BY205" s="115"/>
      <x:c r="BZ205" s="115"/>
      <x:c r="CA205" s="115"/>
      <x:c r="CB205" s="116"/>
      <x:c r="CC205" s="141" t="str">
        <x:f>IF(COUNT(G205:P205)=0,"",AVERAGE(G205:P205)*4)</x:f>
      </x:c>
      <x:c r="CD205" s="178" t="str">
        <x:f>IF(COUNT(Q205:Z205)=0,"",AVERAGE(Q205:Z205)*4)</x:f>
      </x:c>
      <x:c r="CE205" s="178" t="str">
        <x:f>IF(COUNT(AA205:AJ205)=0,"",AVERAGE(AA205:AJ205)*4)</x:f>
      </x:c>
      <x:c r="CF205" s="178" t="str">
        <x:f>IF(COUNT(AK205:AR205)=0,"",AVERAGE(AK205:AR205)*4)</x:f>
      </x:c>
      <x:c r="CG205" s="178" t="str">
        <x:f>IF(COUNT(AS205:AY205)=0,"",AVERAGE(AS205:AY205)*4)</x:f>
      </x:c>
      <x:c r="CH205" s="178" t="str">
        <x:f>IF(COUNT(AZ205:BG205)=0,"",AVERAGE(AZ205:BG205)*4)</x:f>
      </x:c>
      <x:c r="CI205" s="178" t="str">
        <x:f>IF(COUNT(BH205:BN205)=0,"",AVERAGE(BH205:BN205)*4)</x:f>
      </x:c>
      <x:c r="CJ205" s="178" t="str">
        <x:f>IF(COUNT(BO205:BU205)=0,"",AVERAGE(BO205:BU205)*4)</x:f>
      </x:c>
      <x:c r="CK205" s="178" t="str">
        <x:f>IF(COUNT(BV205:CB205)=0,"",AVERAGE(BV205:CB205)*4)</x:f>
      </x:c>
      <x:c r="CL205" s="178" t="str">
        <x:f>IF(C205="","",IF(COUNT(G205:CB205)&lt;74,"",(CC205*'تنظیمات وزن‌دهی'!$C$5+CD205*'تنظیمات وزن‌دهی'!$C$6+CE205*'تنظیمات وزن‌دهی'!$C$7+CF205*'تنظیمات وزن‌دهی'!$C$8+CG205*'تنظیمات وزن‌دهی'!$C$9+CH205*'تنظیمات وزن‌دهی'!$C$10+CI205*'تنظیمات وزن‌دهی'!$C$11+CJ205*'تنظیمات وزن‌دهی'!$C$12+CK205*'تنظیمات وزن‌دهی'!$C$13)/100))</x:f>
      </x:c>
      <x:c r="CM205" s="178" t="str">
        <x:f>IF(C205="","",IF(COUNT(G205:CB205)=0,"",IF(COUNT(G205:CB205)&lt;74,"موقت - اطلاعات ناقص",IF(CL205&gt;=17,"عالی",IF(CL205&gt;=14,"خوب",IF(CL205&gt;=10,"متوسط","ضعیف"))))))</x:f>
      </x:c>
      <x:c r="CN205" s="178" t="n">
        <x:v>9</x:v>
      </x:c>
      <x:c r="CO205" s="142" t="n">
        <x:f>IF(C205="","",COUNT(G205:CB205)/74)</x:f>
        <x:v>0</x:v>
      </x:c>
      <x:c r="CP205" s="245"/>
    </x:row>
    <x:row r="206">
      <x:c r="A206" s="165" t="n">
        <x:v>202</x:v>
      </x:c>
      <x:c r="B206" s="233" t="str">
        <x:v>فروردین</x:v>
      </x:c>
      <x:c r="C206" s="233" t="n">
        <x:f>IF('دانش‌آموزان'!E21="","",'دانش‌آموزان'!B21)</x:f>
        <x:v>17</x:v>
      </x:c>
      <x:c r="D206" s="233" t="str">
        <x:f>IF('دانش‌آموزان'!C21="","",'دانش‌آموزان'!C21)</x:f>
        <x:v>4000000179</x:v>
      </x:c>
      <x:c r="E206" s="233" t="str">
        <x:f>IF('دانش‌آموزان'!E21="","",'دانش‌آموزان'!E21&amp;" "&amp;'دانش‌آموزان'!F21)</x:f>
        <x:v>سینا رحیمی</x:v>
      </x:c>
      <x:c r="F206" s="166" t="str">
        <x:f>IF('دانش‌آموزان'!I21="","",'دانش‌آموزان'!I21)</x:f>
        <x:v>sample-7-a</x:v>
      </x:c>
      <x:c r="G206" s="114"/>
      <x:c r="H206" s="115"/>
      <x:c r="I206" s="115"/>
      <x:c r="J206" s="115"/>
      <x:c r="K206" s="115"/>
      <x:c r="L206" s="115"/>
      <x:c r="M206" s="115"/>
      <x:c r="N206" s="115"/>
      <x:c r="O206" s="115"/>
      <x:c r="P206" s="115"/>
      <x:c r="Q206" s="115"/>
      <x:c r="R206" s="115"/>
      <x:c r="S206" s="115"/>
      <x:c r="T206" s="115"/>
      <x:c r="U206" s="115"/>
      <x:c r="V206" s="115"/>
      <x:c r="W206" s="115"/>
      <x:c r="X206" s="115"/>
      <x:c r="Y206" s="115"/>
      <x:c r="Z206" s="115"/>
      <x:c r="AA206" s="115"/>
      <x:c r="AB206" s="115"/>
      <x:c r="AC206" s="115"/>
      <x:c r="AD206" s="115"/>
      <x:c r="AE206" s="115"/>
      <x:c r="AF206" s="115"/>
      <x:c r="AG206" s="115"/>
      <x:c r="AH206" s="115"/>
      <x:c r="AI206" s="115"/>
      <x:c r="AJ206" s="115"/>
      <x:c r="AK206" s="115"/>
      <x:c r="AL206" s="115"/>
      <x:c r="AM206" s="115"/>
      <x:c r="AN206" s="115"/>
      <x:c r="AO206" s="115"/>
      <x:c r="AP206" s="115"/>
      <x:c r="AQ206" s="115"/>
      <x:c r="AR206" s="115"/>
      <x:c r="AS206" s="115"/>
      <x:c r="AT206" s="115"/>
      <x:c r="AU206" s="115"/>
      <x:c r="AV206" s="115"/>
      <x:c r="AW206" s="115"/>
      <x:c r="AX206" s="115"/>
      <x:c r="AY206" s="115"/>
      <x:c r="AZ206" s="115"/>
      <x:c r="BA206" s="115"/>
      <x:c r="BB206" s="115"/>
      <x:c r="BC206" s="115"/>
      <x:c r="BD206" s="115"/>
      <x:c r="BE206" s="115"/>
      <x:c r="BF206" s="115"/>
      <x:c r="BG206" s="115"/>
      <x:c r="BH206" s="115"/>
      <x:c r="BI206" s="115"/>
      <x:c r="BJ206" s="115"/>
      <x:c r="BK206" s="115"/>
      <x:c r="BL206" s="115"/>
      <x:c r="BM206" s="115"/>
      <x:c r="BN206" s="115"/>
      <x:c r="BO206" s="115"/>
      <x:c r="BP206" s="115"/>
      <x:c r="BQ206" s="115"/>
      <x:c r="BR206" s="115"/>
      <x:c r="BS206" s="115"/>
      <x:c r="BT206" s="115"/>
      <x:c r="BU206" s="115"/>
      <x:c r="BV206" s="115"/>
      <x:c r="BW206" s="115"/>
      <x:c r="BX206" s="115"/>
      <x:c r="BY206" s="115"/>
      <x:c r="BZ206" s="115"/>
      <x:c r="CA206" s="115"/>
      <x:c r="CB206" s="116"/>
      <x:c r="CC206" s="141" t="str">
        <x:f>IF(COUNT(G206:P206)=0,"",AVERAGE(G206:P206)*4)</x:f>
      </x:c>
      <x:c r="CD206" s="178" t="str">
        <x:f>IF(COUNT(Q206:Z206)=0,"",AVERAGE(Q206:Z206)*4)</x:f>
      </x:c>
      <x:c r="CE206" s="178" t="str">
        <x:f>IF(COUNT(AA206:AJ206)=0,"",AVERAGE(AA206:AJ206)*4)</x:f>
      </x:c>
      <x:c r="CF206" s="178" t="str">
        <x:f>IF(COUNT(AK206:AR206)=0,"",AVERAGE(AK206:AR206)*4)</x:f>
      </x:c>
      <x:c r="CG206" s="178" t="str">
        <x:f>IF(COUNT(AS206:AY206)=0,"",AVERAGE(AS206:AY206)*4)</x:f>
      </x:c>
      <x:c r="CH206" s="178" t="str">
        <x:f>IF(COUNT(AZ206:BG206)=0,"",AVERAGE(AZ206:BG206)*4)</x:f>
      </x:c>
      <x:c r="CI206" s="178" t="str">
        <x:f>IF(COUNT(BH206:BN206)=0,"",AVERAGE(BH206:BN206)*4)</x:f>
      </x:c>
      <x:c r="CJ206" s="178" t="str">
        <x:f>IF(COUNT(BO206:BU206)=0,"",AVERAGE(BO206:BU206)*4)</x:f>
      </x:c>
      <x:c r="CK206" s="178" t="str">
        <x:f>IF(COUNT(BV206:CB206)=0,"",AVERAGE(BV206:CB206)*4)</x:f>
      </x:c>
      <x:c r="CL206" s="178" t="str">
        <x:f>IF(C206="","",IF(COUNT(G206:CB206)&lt;74,"",(CC206*'تنظیمات وزن‌دهی'!$C$5+CD206*'تنظیمات وزن‌دهی'!$C$6+CE206*'تنظیمات وزن‌دهی'!$C$7+CF206*'تنظیمات وزن‌دهی'!$C$8+CG206*'تنظیمات وزن‌دهی'!$C$9+CH206*'تنظیمات وزن‌دهی'!$C$10+CI206*'تنظیمات وزن‌دهی'!$C$11+CJ206*'تنظیمات وزن‌دهی'!$C$12+CK206*'تنظیمات وزن‌دهی'!$C$13)/100))</x:f>
      </x:c>
      <x:c r="CM206" s="178" t="str">
        <x:f>IF(C206="","",IF(COUNT(G206:CB206)=0,"",IF(COUNT(G206:CB206)&lt;74,"موقت - اطلاعات ناقص",IF(CL206&gt;=17,"عالی",IF(CL206&gt;=14,"خوب",IF(CL206&gt;=10,"متوسط","ضعیف"))))))</x:f>
      </x:c>
      <x:c r="CN206" s="178" t="n">
        <x:v>10</x:v>
      </x:c>
      <x:c r="CO206" s="142" t="n">
        <x:f>IF(C206="","",COUNT(G206:CB206)/74)</x:f>
        <x:v>0</x:v>
      </x:c>
      <x:c r="CP206" s="245"/>
    </x:row>
    <x:row r="207">
      <x:c r="A207" s="165" t="n">
        <x:v>203</x:v>
      </x:c>
      <x:c r="B207" s="233" t="str">
        <x:v>اردیبهشت</x:v>
      </x:c>
      <x:c r="C207" s="233" t="n">
        <x:f>IF('دانش‌آموزان'!E21="","",'دانش‌آموزان'!B21)</x:f>
        <x:v>17</x:v>
      </x:c>
      <x:c r="D207" s="233" t="str">
        <x:f>IF('دانش‌آموزان'!C21="","",'دانش‌آموزان'!C21)</x:f>
        <x:v>4000000179</x:v>
      </x:c>
      <x:c r="E207" s="233" t="str">
        <x:f>IF('دانش‌آموزان'!E21="","",'دانش‌آموزان'!E21&amp;" "&amp;'دانش‌آموزان'!F21)</x:f>
        <x:v>سینا رحیمی</x:v>
      </x:c>
      <x:c r="F207" s="166" t="str">
        <x:f>IF('دانش‌آموزان'!I21="","",'دانش‌آموزان'!I21)</x:f>
        <x:v>sample-7-a</x:v>
      </x:c>
      <x:c r="G207" s="114"/>
      <x:c r="H207" s="115"/>
      <x:c r="I207" s="115"/>
      <x:c r="J207" s="115"/>
      <x:c r="K207" s="115"/>
      <x:c r="L207" s="115"/>
      <x:c r="M207" s="115"/>
      <x:c r="N207" s="115"/>
      <x:c r="O207" s="115"/>
      <x:c r="P207" s="115"/>
      <x:c r="Q207" s="115"/>
      <x:c r="R207" s="115"/>
      <x:c r="S207" s="115"/>
      <x:c r="T207" s="115"/>
      <x:c r="U207" s="115"/>
      <x:c r="V207" s="115"/>
      <x:c r="W207" s="115"/>
      <x:c r="X207" s="115"/>
      <x:c r="Y207" s="115"/>
      <x:c r="Z207" s="115"/>
      <x:c r="AA207" s="115"/>
      <x:c r="AB207" s="115"/>
      <x:c r="AC207" s="115"/>
      <x:c r="AD207" s="115"/>
      <x:c r="AE207" s="115"/>
      <x:c r="AF207" s="115"/>
      <x:c r="AG207" s="115"/>
      <x:c r="AH207" s="115"/>
      <x:c r="AI207" s="115"/>
      <x:c r="AJ207" s="115"/>
      <x:c r="AK207" s="115"/>
      <x:c r="AL207" s="115"/>
      <x:c r="AM207" s="115"/>
      <x:c r="AN207" s="115"/>
      <x:c r="AO207" s="115"/>
      <x:c r="AP207" s="115"/>
      <x:c r="AQ207" s="115"/>
      <x:c r="AR207" s="115"/>
      <x:c r="AS207" s="115"/>
      <x:c r="AT207" s="115"/>
      <x:c r="AU207" s="115"/>
      <x:c r="AV207" s="115"/>
      <x:c r="AW207" s="115"/>
      <x:c r="AX207" s="115"/>
      <x:c r="AY207" s="115"/>
      <x:c r="AZ207" s="115"/>
      <x:c r="BA207" s="115"/>
      <x:c r="BB207" s="115"/>
      <x:c r="BC207" s="115"/>
      <x:c r="BD207" s="115"/>
      <x:c r="BE207" s="115"/>
      <x:c r="BF207" s="115"/>
      <x:c r="BG207" s="115"/>
      <x:c r="BH207" s="115"/>
      <x:c r="BI207" s="115"/>
      <x:c r="BJ207" s="115"/>
      <x:c r="BK207" s="115"/>
      <x:c r="BL207" s="115"/>
      <x:c r="BM207" s="115"/>
      <x:c r="BN207" s="115"/>
      <x:c r="BO207" s="115"/>
      <x:c r="BP207" s="115"/>
      <x:c r="BQ207" s="115"/>
      <x:c r="BR207" s="115"/>
      <x:c r="BS207" s="115"/>
      <x:c r="BT207" s="115"/>
      <x:c r="BU207" s="115"/>
      <x:c r="BV207" s="115"/>
      <x:c r="BW207" s="115"/>
      <x:c r="BX207" s="115"/>
      <x:c r="BY207" s="115"/>
      <x:c r="BZ207" s="115"/>
      <x:c r="CA207" s="115"/>
      <x:c r="CB207" s="116"/>
      <x:c r="CC207" s="141" t="str">
        <x:f>IF(COUNT(G207:P207)=0,"",AVERAGE(G207:P207)*4)</x:f>
      </x:c>
      <x:c r="CD207" s="178" t="str">
        <x:f>IF(COUNT(Q207:Z207)=0,"",AVERAGE(Q207:Z207)*4)</x:f>
      </x:c>
      <x:c r="CE207" s="178" t="str">
        <x:f>IF(COUNT(AA207:AJ207)=0,"",AVERAGE(AA207:AJ207)*4)</x:f>
      </x:c>
      <x:c r="CF207" s="178" t="str">
        <x:f>IF(COUNT(AK207:AR207)=0,"",AVERAGE(AK207:AR207)*4)</x:f>
      </x:c>
      <x:c r="CG207" s="178" t="str">
        <x:f>IF(COUNT(AS207:AY207)=0,"",AVERAGE(AS207:AY207)*4)</x:f>
      </x:c>
      <x:c r="CH207" s="178" t="str">
        <x:f>IF(COUNT(AZ207:BG207)=0,"",AVERAGE(AZ207:BG207)*4)</x:f>
      </x:c>
      <x:c r="CI207" s="178" t="str">
        <x:f>IF(COUNT(BH207:BN207)=0,"",AVERAGE(BH207:BN207)*4)</x:f>
      </x:c>
      <x:c r="CJ207" s="178" t="str">
        <x:f>IF(COUNT(BO207:BU207)=0,"",AVERAGE(BO207:BU207)*4)</x:f>
      </x:c>
      <x:c r="CK207" s="178" t="str">
        <x:f>IF(COUNT(BV207:CB207)=0,"",AVERAGE(BV207:CB207)*4)</x:f>
      </x:c>
      <x:c r="CL207" s="178" t="str">
        <x:f>IF(C207="","",IF(COUNT(G207:CB207)&lt;74,"",(CC207*'تنظیمات وزن‌دهی'!$C$5+CD207*'تنظیمات وزن‌دهی'!$C$6+CE207*'تنظیمات وزن‌دهی'!$C$7+CF207*'تنظیمات وزن‌دهی'!$C$8+CG207*'تنظیمات وزن‌دهی'!$C$9+CH207*'تنظیمات وزن‌دهی'!$C$10+CI207*'تنظیمات وزن‌دهی'!$C$11+CJ207*'تنظیمات وزن‌دهی'!$C$12+CK207*'تنظیمات وزن‌دهی'!$C$13)/100))</x:f>
      </x:c>
      <x:c r="CM207" s="178" t="str">
        <x:f>IF(C207="","",IF(COUNT(G207:CB207)=0,"",IF(COUNT(G207:CB207)&lt;74,"موقت - اطلاعات ناقص",IF(CL207&gt;=17,"عالی",IF(CL207&gt;=14,"خوب",IF(CL207&gt;=10,"متوسط","ضعیف"))))))</x:f>
      </x:c>
      <x:c r="CN207" s="178" t="n">
        <x:v>11</x:v>
      </x:c>
      <x:c r="CO207" s="142" t="n">
        <x:f>IF(C207="","",COUNT(G207:CB207)/74)</x:f>
        <x:v>0</x:v>
      </x:c>
      <x:c r="CP207" s="245"/>
    </x:row>
    <x:row r="208">
      <x:c r="A208" s="165" t="n">
        <x:v>204</x:v>
      </x:c>
      <x:c r="B208" s="233" t="str">
        <x:v>خرداد</x:v>
      </x:c>
      <x:c r="C208" s="233" t="n">
        <x:f>IF('دانش‌آموزان'!E21="","",'دانش‌آموزان'!B21)</x:f>
        <x:v>17</x:v>
      </x:c>
      <x:c r="D208" s="233" t="str">
        <x:f>IF('دانش‌آموزان'!C21="","",'دانش‌آموزان'!C21)</x:f>
        <x:v>4000000179</x:v>
      </x:c>
      <x:c r="E208" s="233" t="str">
        <x:f>IF('دانش‌آموزان'!E21="","",'دانش‌آموزان'!E21&amp;" "&amp;'دانش‌آموزان'!F21)</x:f>
        <x:v>سینا رحیمی</x:v>
      </x:c>
      <x:c r="F208" s="166" t="str">
        <x:f>IF('دانش‌آموزان'!I21="","",'دانش‌آموزان'!I21)</x:f>
        <x:v>sample-7-a</x:v>
      </x:c>
      <x:c r="G208" s="114"/>
      <x:c r="H208" s="115"/>
      <x:c r="I208" s="115"/>
      <x:c r="J208" s="115"/>
      <x:c r="K208" s="115"/>
      <x:c r="L208" s="115"/>
      <x:c r="M208" s="115"/>
      <x:c r="N208" s="115"/>
      <x:c r="O208" s="115"/>
      <x:c r="P208" s="115"/>
      <x:c r="Q208" s="115"/>
      <x:c r="R208" s="115"/>
      <x:c r="S208" s="115"/>
      <x:c r="T208" s="115"/>
      <x:c r="U208" s="115"/>
      <x:c r="V208" s="115"/>
      <x:c r="W208" s="115"/>
      <x:c r="X208" s="115"/>
      <x:c r="Y208" s="115"/>
      <x:c r="Z208" s="115"/>
      <x:c r="AA208" s="115"/>
      <x:c r="AB208" s="115"/>
      <x:c r="AC208" s="115"/>
      <x:c r="AD208" s="115"/>
      <x:c r="AE208" s="115"/>
      <x:c r="AF208" s="115"/>
      <x:c r="AG208" s="115"/>
      <x:c r="AH208" s="115"/>
      <x:c r="AI208" s="115"/>
      <x:c r="AJ208" s="115"/>
      <x:c r="AK208" s="115"/>
      <x:c r="AL208" s="115"/>
      <x:c r="AM208" s="115"/>
      <x:c r="AN208" s="115"/>
      <x:c r="AO208" s="115"/>
      <x:c r="AP208" s="115"/>
      <x:c r="AQ208" s="115"/>
      <x:c r="AR208" s="115"/>
      <x:c r="AS208" s="115"/>
      <x:c r="AT208" s="115"/>
      <x:c r="AU208" s="115"/>
      <x:c r="AV208" s="115"/>
      <x:c r="AW208" s="115"/>
      <x:c r="AX208" s="115"/>
      <x:c r="AY208" s="115"/>
      <x:c r="AZ208" s="115"/>
      <x:c r="BA208" s="115"/>
      <x:c r="BB208" s="115"/>
      <x:c r="BC208" s="115"/>
      <x:c r="BD208" s="115"/>
      <x:c r="BE208" s="115"/>
      <x:c r="BF208" s="115"/>
      <x:c r="BG208" s="115"/>
      <x:c r="BH208" s="115"/>
      <x:c r="BI208" s="115"/>
      <x:c r="BJ208" s="115"/>
      <x:c r="BK208" s="115"/>
      <x:c r="BL208" s="115"/>
      <x:c r="BM208" s="115"/>
      <x:c r="BN208" s="115"/>
      <x:c r="BO208" s="115"/>
      <x:c r="BP208" s="115"/>
      <x:c r="BQ208" s="115"/>
      <x:c r="BR208" s="115"/>
      <x:c r="BS208" s="115"/>
      <x:c r="BT208" s="115"/>
      <x:c r="BU208" s="115"/>
      <x:c r="BV208" s="115"/>
      <x:c r="BW208" s="115"/>
      <x:c r="BX208" s="115"/>
      <x:c r="BY208" s="115"/>
      <x:c r="BZ208" s="115"/>
      <x:c r="CA208" s="115"/>
      <x:c r="CB208" s="116"/>
      <x:c r="CC208" s="141" t="str">
        <x:f>IF(COUNT(G208:P208)=0,"",AVERAGE(G208:P208)*4)</x:f>
      </x:c>
      <x:c r="CD208" s="178" t="str">
        <x:f>IF(COUNT(Q208:Z208)=0,"",AVERAGE(Q208:Z208)*4)</x:f>
      </x:c>
      <x:c r="CE208" s="178" t="str">
        <x:f>IF(COUNT(AA208:AJ208)=0,"",AVERAGE(AA208:AJ208)*4)</x:f>
      </x:c>
      <x:c r="CF208" s="178" t="str">
        <x:f>IF(COUNT(AK208:AR208)=0,"",AVERAGE(AK208:AR208)*4)</x:f>
      </x:c>
      <x:c r="CG208" s="178" t="str">
        <x:f>IF(COUNT(AS208:AY208)=0,"",AVERAGE(AS208:AY208)*4)</x:f>
      </x:c>
      <x:c r="CH208" s="178" t="str">
        <x:f>IF(COUNT(AZ208:BG208)=0,"",AVERAGE(AZ208:BG208)*4)</x:f>
      </x:c>
      <x:c r="CI208" s="178" t="str">
        <x:f>IF(COUNT(BH208:BN208)=0,"",AVERAGE(BH208:BN208)*4)</x:f>
      </x:c>
      <x:c r="CJ208" s="178" t="str">
        <x:f>IF(COUNT(BO208:BU208)=0,"",AVERAGE(BO208:BU208)*4)</x:f>
      </x:c>
      <x:c r="CK208" s="178" t="str">
        <x:f>IF(COUNT(BV208:CB208)=0,"",AVERAGE(BV208:CB208)*4)</x:f>
      </x:c>
      <x:c r="CL208" s="178" t="str">
        <x:f>IF(C208="","",IF(COUNT(G208:CB208)&lt;74,"",(CC208*'تنظیمات وزن‌دهی'!$C$5+CD208*'تنظیمات وزن‌دهی'!$C$6+CE208*'تنظیمات وزن‌دهی'!$C$7+CF208*'تنظیمات وزن‌دهی'!$C$8+CG208*'تنظیمات وزن‌دهی'!$C$9+CH208*'تنظیمات وزن‌دهی'!$C$10+CI208*'تنظیمات وزن‌دهی'!$C$11+CJ208*'تنظیمات وزن‌دهی'!$C$12+CK208*'تنظیمات وزن‌دهی'!$C$13)/100))</x:f>
      </x:c>
      <x:c r="CM208" s="178" t="str">
        <x:f>IF(C208="","",IF(COUNT(G208:CB208)=0,"",IF(COUNT(G208:CB208)&lt;74,"موقت - اطلاعات ناقص",IF(CL208&gt;=17,"عالی",IF(CL208&gt;=14,"خوب",IF(CL208&gt;=10,"متوسط","ضعیف"))))))</x:f>
      </x:c>
      <x:c r="CN208" s="178" t="n">
        <x:v>12</x:v>
      </x:c>
      <x:c r="CO208" s="142" t="n">
        <x:f>IF(C208="","",COUNT(G208:CB208)/74)</x:f>
        <x:v>0</x:v>
      </x:c>
      <x:c r="CP208" s="245"/>
    </x:row>
    <x:row r="209">
      <x:c r="A209" s="165" t="n">
        <x:v>205</x:v>
      </x:c>
      <x:c r="B209" s="233" t="str">
        <x:v>تیر</x:v>
      </x:c>
      <x:c r="C209" s="233" t="n">
        <x:f>IF('دانش‌آموزان'!E22="","",'دانش‌آموزان'!B22)</x:f>
        <x:v>18</x:v>
      </x:c>
      <x:c r="D209" s="233" t="str">
        <x:f>IF('دانش‌آموزان'!C22="","",'دانش‌آموزان'!C22)</x:f>
        <x:v>4000000187</x:v>
      </x:c>
      <x:c r="E209" s="233" t="str">
        <x:f>IF('دانش‌آموزان'!E22="","",'دانش‌آموزان'!E22&amp;" "&amp;'دانش‌آموزان'!F22)</x:f>
        <x:v>یسنا حیدری</x:v>
      </x:c>
      <x:c r="F209" s="166" t="str">
        <x:f>IF('دانش‌آموزان'!I22="","",'دانش‌آموزان'!I22)</x:f>
        <x:v>sample-7-a</x:v>
      </x:c>
      <x:c r="G209" s="114" t="n">
        <x:v>4</x:v>
      </x:c>
      <x:c r="H209" s="115" t="n">
        <x:v>3</x:v>
      </x:c>
      <x:c r="I209" s="115" t="n">
        <x:v>4</x:v>
      </x:c>
      <x:c r="J209" s="115" t="n">
        <x:v>2</x:v>
      </x:c>
      <x:c r="K209" s="115" t="n">
        <x:v>4</x:v>
      </x:c>
      <x:c r="L209" s="115" t="n">
        <x:v>5</x:v>
      </x:c>
      <x:c r="M209" s="115" t="n">
        <x:v>4</x:v>
      </x:c>
      <x:c r="N209" s="115" t="n">
        <x:v>5</x:v>
      </x:c>
      <x:c r="O209" s="115" t="n">
        <x:v>3</x:v>
      </x:c>
      <x:c r="P209" s="115" t="n">
        <x:v>5</x:v>
      </x:c>
      <x:c r="Q209" s="115" t="n">
        <x:v>3</x:v>
      </x:c>
      <x:c r="R209" s="115" t="n">
        <x:v>4</x:v>
      </x:c>
      <x:c r="S209" s="115" t="n">
        <x:v>3</x:v>
      </x:c>
      <x:c r="T209" s="115" t="n">
        <x:v>4</x:v>
      </x:c>
      <x:c r="U209" s="115" t="n">
        <x:v>2</x:v>
      </x:c>
      <x:c r="V209" s="115" t="n">
        <x:v>4</x:v>
      </x:c>
      <x:c r="W209" s="115" t="n">
        <x:v>5</x:v>
      </x:c>
      <x:c r="X209" s="115" t="n">
        <x:v>4</x:v>
      </x:c>
      <x:c r="Y209" s="115" t="n">
        <x:v>5</x:v>
      </x:c>
      <x:c r="Z209" s="115" t="n">
        <x:v>3</x:v>
      </x:c>
      <x:c r="AA209" s="115" t="n">
        <x:v>5</x:v>
      </x:c>
      <x:c r="AB209" s="115" t="n">
        <x:v>3</x:v>
      </x:c>
      <x:c r="AC209" s="115" t="n">
        <x:v>4</x:v>
      </x:c>
      <x:c r="AD209" s="115" t="n">
        <x:v>3</x:v>
      </x:c>
      <x:c r="AE209" s="115" t="n">
        <x:v>4</x:v>
      </x:c>
      <x:c r="AF209" s="115" t="n">
        <x:v>2</x:v>
      </x:c>
      <x:c r="AG209" s="115" t="n">
        <x:v>4</x:v>
      </x:c>
      <x:c r="AH209" s="115" t="n">
        <x:v>5</x:v>
      </x:c>
      <x:c r="AI209" s="115" t="n">
        <x:v>4</x:v>
      </x:c>
      <x:c r="AJ209" s="115" t="n">
        <x:v>5</x:v>
      </x:c>
      <x:c r="AK209" s="115" t="n">
        <x:v>3</x:v>
      </x:c>
      <x:c r="AL209" s="115" t="n">
        <x:v>5</x:v>
      </x:c>
      <x:c r="AM209" s="115" t="n">
        <x:v>3</x:v>
      </x:c>
      <x:c r="AN209" s="115" t="n">
        <x:v>4</x:v>
      </x:c>
      <x:c r="AO209" s="115" t="n">
        <x:v>3</x:v>
      </x:c>
      <x:c r="AP209" s="115" t="n">
        <x:v>4</x:v>
      </x:c>
      <x:c r="AQ209" s="115" t="n">
        <x:v>2</x:v>
      </x:c>
      <x:c r="AR209" s="115" t="n">
        <x:v>4</x:v>
      </x:c>
      <x:c r="AS209" s="115" t="n">
        <x:v>5</x:v>
      </x:c>
      <x:c r="AT209" s="115" t="n">
        <x:v>4</x:v>
      </x:c>
      <x:c r="AU209" s="115" t="n">
        <x:v>5</x:v>
      </x:c>
      <x:c r="AV209" s="115" t="n">
        <x:v>3</x:v>
      </x:c>
      <x:c r="AW209" s="115" t="n">
        <x:v>5</x:v>
      </x:c>
      <x:c r="AX209" s="115" t="n">
        <x:v>3</x:v>
      </x:c>
      <x:c r="AY209" s="115" t="n">
        <x:v>4</x:v>
      </x:c>
      <x:c r="AZ209" s="115" t="n">
        <x:v>3</x:v>
      </x:c>
      <x:c r="BA209" s="115" t="n">
        <x:v>4</x:v>
      </x:c>
      <x:c r="BB209" s="115" t="n">
        <x:v>2</x:v>
      </x:c>
      <x:c r="BC209" s="115" t="n">
        <x:v>4</x:v>
      </x:c>
      <x:c r="BD209" s="115" t="n">
        <x:v>5</x:v>
      </x:c>
      <x:c r="BE209" s="115" t="n">
        <x:v>4</x:v>
      </x:c>
      <x:c r="BF209" s="115" t="n">
        <x:v>5</x:v>
      </x:c>
      <x:c r="BG209" s="115" t="n">
        <x:v>3</x:v>
      </x:c>
      <x:c r="BH209" s="115" t="n">
        <x:v>5</x:v>
      </x:c>
      <x:c r="BI209" s="115" t="n">
        <x:v>3</x:v>
      </x:c>
      <x:c r="BJ209" s="115" t="n">
        <x:v>4</x:v>
      </x:c>
      <x:c r="BK209" s="115" t="n">
        <x:v>3</x:v>
      </x:c>
      <x:c r="BL209" s="115" t="n">
        <x:v>4</x:v>
      </x:c>
      <x:c r="BM209" s="115" t="n">
        <x:v>2</x:v>
      </x:c>
      <x:c r="BN209" s="115" t="n">
        <x:v>4</x:v>
      </x:c>
      <x:c r="BO209" s="115" t="n">
        <x:v>5</x:v>
      </x:c>
      <x:c r="BP209" s="115" t="n">
        <x:v>4</x:v>
      </x:c>
      <x:c r="BQ209" s="115" t="n">
        <x:v>5</x:v>
      </x:c>
      <x:c r="BR209" s="115" t="n">
        <x:v>3</x:v>
      </x:c>
      <x:c r="BS209" s="115" t="n">
        <x:v>5</x:v>
      </x:c>
      <x:c r="BT209" s="115" t="n">
        <x:v>3</x:v>
      </x:c>
      <x:c r="BU209" s="115" t="n">
        <x:v>4</x:v>
      </x:c>
      <x:c r="BV209" s="115" t="n">
        <x:v>3</x:v>
      </x:c>
      <x:c r="BW209" s="115" t="n">
        <x:v>4</x:v>
      </x:c>
      <x:c r="BX209" s="115" t="n">
        <x:v>2</x:v>
      </x:c>
      <x:c r="BY209" s="115" t="n">
        <x:v>4</x:v>
      </x:c>
      <x:c r="BZ209" s="115" t="n">
        <x:v>5</x:v>
      </x:c>
      <x:c r="CA209" s="115" t="n">
        <x:v>4</x:v>
      </x:c>
      <x:c r="CB209" s="116" t="n">
        <x:v>5</x:v>
      </x:c>
      <x:c r="CC209" s="141" t="n">
        <x:f>IF(COUNT(G209:P209)=0,"",AVERAGE(G209:P209)*4)</x:f>
        <x:v>15.6</x:v>
      </x:c>
      <x:c r="CD209" s="178" t="n">
        <x:f>IF(COUNT(Q209:Z209)=0,"",AVERAGE(Q209:Z209)*4)</x:f>
        <x:v>14.8</x:v>
      </x:c>
      <x:c r="CE209" s="178" t="n">
        <x:f>IF(COUNT(AA209:AJ209)=0,"",AVERAGE(AA209:AJ209)*4)</x:f>
        <x:v>15.6</x:v>
      </x:c>
      <x:c r="CF209" s="178" t="n">
        <x:f>IF(COUNT(AK209:AR209)=0,"",AVERAGE(AK209:AR209)*4)</x:f>
        <x:v>14</x:v>
      </x:c>
      <x:c r="CG209" s="178" t="n">
        <x:f>IF(COUNT(AS209:AY209)=0,"",AVERAGE(AS209:AY209)*4)</x:f>
        <x:v>16.571428571428573</x:v>
      </x:c>
      <x:c r="CH209" s="178" t="n">
        <x:f>IF(COUNT(AZ209:BG209)=0,"",AVERAGE(AZ209:BG209)*4)</x:f>
        <x:v>15</x:v>
      </x:c>
      <x:c r="CI209" s="178" t="n">
        <x:f>IF(COUNT(BH209:BN209)=0,"",AVERAGE(BH209:BN209)*4)</x:f>
        <x:v>14.285714285714286</x:v>
      </x:c>
      <x:c r="CJ209" s="178" t="n">
        <x:f>IF(COUNT(BO209:BU209)=0,"",AVERAGE(BO209:BU209)*4)</x:f>
        <x:v>16.571428571428573</x:v>
      </x:c>
      <x:c r="CK209" s="178" t="n">
        <x:f>IF(COUNT(BV209:CB209)=0,"",AVERAGE(BV209:CB209)*4)</x:f>
        <x:v>15.428571428571429</x:v>
      </x:c>
      <x:c r="CL209" s="178" t="n">
        <x:f>IF(C209="","",IF(COUNT(G209:CB209)&lt;74,"",(CC209*'تنظیمات وزن‌دهی'!$C$5+CD209*'تنظیمات وزن‌دهی'!$C$6+CE209*'تنظیمات وزن‌دهی'!$C$7+CF209*'تنظیمات وزن‌دهی'!$C$8+CG209*'تنظیمات وزن‌دهی'!$C$9+CH209*'تنظیمات وزن‌دهی'!$C$10+CI209*'تنظیمات وزن‌دهی'!$C$11+CJ209*'تنظیمات وزن‌دهی'!$C$12+CK209*'تنظیمات وزن‌دهی'!$C$13)/100))</x:f>
        <x:v>15.214285714285715</x:v>
      </x:c>
      <x:c r="CM209" s="178" t="str">
        <x:f>IF(C209="","",IF(COUNT(G209:CB209)=0,"",IF(COUNT(G209:CB209)&lt;74,"موقت - اطلاعات ناقص",IF(CL209&gt;=17,"عالی",IF(CL209&gt;=14,"خوب",IF(CL209&gt;=10,"متوسط","ضعیف"))))))</x:f>
        <x:v>خوب</x:v>
      </x:c>
      <x:c r="CN209" s="178" t="n">
        <x:v>1</x:v>
      </x:c>
      <x:c r="CO209" s="142" t="n">
        <x:f>IF(C209="","",COUNT(G209:CB209)/74)</x:f>
        <x:v>1</x:v>
      </x:c>
      <x:c r="CP209" s="245" t="str">
        <x:v>داده نمونه کامل برای ماه تیر - دانش‌آموز شماره 18</x:v>
      </x:c>
    </x:row>
    <x:row r="210">
      <x:c r="A210" s="165" t="n">
        <x:v>206</x:v>
      </x:c>
      <x:c r="B210" s="233" t="str">
        <x:v>مرداد</x:v>
      </x:c>
      <x:c r="C210" s="233" t="n">
        <x:f>IF('دانش‌آموزان'!E22="","",'دانش‌آموزان'!B22)</x:f>
        <x:v>18</x:v>
      </x:c>
      <x:c r="D210" s="233" t="str">
        <x:f>IF('دانش‌آموزان'!C22="","",'دانش‌آموزان'!C22)</x:f>
        <x:v>4000000187</x:v>
      </x:c>
      <x:c r="E210" s="233" t="str">
        <x:f>IF('دانش‌آموزان'!E22="","",'دانش‌آموزان'!E22&amp;" "&amp;'دانش‌آموزان'!F22)</x:f>
        <x:v>یسنا حیدری</x:v>
      </x:c>
      <x:c r="F210" s="166" t="str">
        <x:f>IF('دانش‌آموزان'!I22="","",'دانش‌آموزان'!I22)</x:f>
        <x:v>sample-7-a</x:v>
      </x:c>
      <x:c r="G210" s="114"/>
      <x:c r="H210" s="115"/>
      <x:c r="I210" s="115"/>
      <x:c r="J210" s="115"/>
      <x:c r="K210" s="115"/>
      <x:c r="L210" s="115"/>
      <x:c r="M210" s="115"/>
      <x:c r="N210" s="115"/>
      <x:c r="O210" s="115"/>
      <x:c r="P210" s="115"/>
      <x:c r="Q210" s="115"/>
      <x:c r="R210" s="115"/>
      <x:c r="S210" s="115"/>
      <x:c r="T210" s="115"/>
      <x:c r="U210" s="115"/>
      <x:c r="V210" s="115"/>
      <x:c r="W210" s="115"/>
      <x:c r="X210" s="115"/>
      <x:c r="Y210" s="115"/>
      <x:c r="Z210" s="115"/>
      <x:c r="AA210" s="115"/>
      <x:c r="AB210" s="115"/>
      <x:c r="AC210" s="115"/>
      <x:c r="AD210" s="115"/>
      <x:c r="AE210" s="115"/>
      <x:c r="AF210" s="115"/>
      <x:c r="AG210" s="115"/>
      <x:c r="AH210" s="115"/>
      <x:c r="AI210" s="115"/>
      <x:c r="AJ210" s="115"/>
      <x:c r="AK210" s="115"/>
      <x:c r="AL210" s="115"/>
      <x:c r="AM210" s="115"/>
      <x:c r="AN210" s="115"/>
      <x:c r="AO210" s="115"/>
      <x:c r="AP210" s="115"/>
      <x:c r="AQ210" s="115"/>
      <x:c r="AR210" s="115"/>
      <x:c r="AS210" s="115"/>
      <x:c r="AT210" s="115"/>
      <x:c r="AU210" s="115"/>
      <x:c r="AV210" s="115"/>
      <x:c r="AW210" s="115"/>
      <x:c r="AX210" s="115"/>
      <x:c r="AY210" s="115"/>
      <x:c r="AZ210" s="115"/>
      <x:c r="BA210" s="115"/>
      <x:c r="BB210" s="115"/>
      <x:c r="BC210" s="115"/>
      <x:c r="BD210" s="115"/>
      <x:c r="BE210" s="115"/>
      <x:c r="BF210" s="115"/>
      <x:c r="BG210" s="115"/>
      <x:c r="BH210" s="115"/>
      <x:c r="BI210" s="115"/>
      <x:c r="BJ210" s="115"/>
      <x:c r="BK210" s="115"/>
      <x:c r="BL210" s="115"/>
      <x:c r="BM210" s="115"/>
      <x:c r="BN210" s="115"/>
      <x:c r="BO210" s="115"/>
      <x:c r="BP210" s="115"/>
      <x:c r="BQ210" s="115"/>
      <x:c r="BR210" s="115"/>
      <x:c r="BS210" s="115"/>
      <x:c r="BT210" s="115"/>
      <x:c r="BU210" s="115"/>
      <x:c r="BV210" s="115"/>
      <x:c r="BW210" s="115"/>
      <x:c r="BX210" s="115"/>
      <x:c r="BY210" s="115"/>
      <x:c r="BZ210" s="115"/>
      <x:c r="CA210" s="115"/>
      <x:c r="CB210" s="116"/>
      <x:c r="CC210" s="141" t="str">
        <x:f>IF(COUNT(G210:P210)=0,"",AVERAGE(G210:P210)*4)</x:f>
      </x:c>
      <x:c r="CD210" s="178" t="str">
        <x:f>IF(COUNT(Q210:Z210)=0,"",AVERAGE(Q210:Z210)*4)</x:f>
      </x:c>
      <x:c r="CE210" s="178" t="str">
        <x:f>IF(COUNT(AA210:AJ210)=0,"",AVERAGE(AA210:AJ210)*4)</x:f>
      </x:c>
      <x:c r="CF210" s="178" t="str">
        <x:f>IF(COUNT(AK210:AR210)=0,"",AVERAGE(AK210:AR210)*4)</x:f>
      </x:c>
      <x:c r="CG210" s="178" t="str">
        <x:f>IF(COUNT(AS210:AY210)=0,"",AVERAGE(AS210:AY210)*4)</x:f>
      </x:c>
      <x:c r="CH210" s="178" t="str">
        <x:f>IF(COUNT(AZ210:BG210)=0,"",AVERAGE(AZ210:BG210)*4)</x:f>
      </x:c>
      <x:c r="CI210" s="178" t="str">
        <x:f>IF(COUNT(BH210:BN210)=0,"",AVERAGE(BH210:BN210)*4)</x:f>
      </x:c>
      <x:c r="CJ210" s="178" t="str">
        <x:f>IF(COUNT(BO210:BU210)=0,"",AVERAGE(BO210:BU210)*4)</x:f>
      </x:c>
      <x:c r="CK210" s="178" t="str">
        <x:f>IF(COUNT(BV210:CB210)=0,"",AVERAGE(BV210:CB210)*4)</x:f>
      </x:c>
      <x:c r="CL210" s="178" t="str">
        <x:f>IF(C210="","",IF(COUNT(G210:CB210)&lt;74,"",(CC210*'تنظیمات وزن‌دهی'!$C$5+CD210*'تنظیمات وزن‌دهی'!$C$6+CE210*'تنظیمات وزن‌دهی'!$C$7+CF210*'تنظیمات وزن‌دهی'!$C$8+CG210*'تنظیمات وزن‌دهی'!$C$9+CH210*'تنظیمات وزن‌دهی'!$C$10+CI210*'تنظیمات وزن‌دهی'!$C$11+CJ210*'تنظیمات وزن‌دهی'!$C$12+CK210*'تنظیمات وزن‌دهی'!$C$13)/100))</x:f>
      </x:c>
      <x:c r="CM210" s="178" t="str">
        <x:f>IF(C210="","",IF(COUNT(G210:CB210)=0,"",IF(COUNT(G210:CB210)&lt;74,"موقت - اطلاعات ناقص",IF(CL210&gt;=17,"عالی",IF(CL210&gt;=14,"خوب",IF(CL210&gt;=10,"متوسط","ضعیف"))))))</x:f>
      </x:c>
      <x:c r="CN210" s="178" t="n">
        <x:v>2</x:v>
      </x:c>
      <x:c r="CO210" s="142" t="n">
        <x:f>IF(C210="","",COUNT(G210:CB210)/74)</x:f>
        <x:v>0</x:v>
      </x:c>
      <x:c r="CP210" s="245"/>
    </x:row>
    <x:row r="211">
      <x:c r="A211" s="165" t="n">
        <x:v>207</x:v>
      </x:c>
      <x:c r="B211" s="233" t="str">
        <x:v>شهریور</x:v>
      </x:c>
      <x:c r="C211" s="233" t="n">
        <x:f>IF('دانش‌آموزان'!E22="","",'دانش‌آموزان'!B22)</x:f>
        <x:v>18</x:v>
      </x:c>
      <x:c r="D211" s="233" t="str">
        <x:f>IF('دانش‌آموزان'!C22="","",'دانش‌آموزان'!C22)</x:f>
        <x:v>4000000187</x:v>
      </x:c>
      <x:c r="E211" s="233" t="str">
        <x:f>IF('دانش‌آموزان'!E22="","",'دانش‌آموزان'!E22&amp;" "&amp;'دانش‌آموزان'!F22)</x:f>
        <x:v>یسنا حیدری</x:v>
      </x:c>
      <x:c r="F211" s="166" t="str">
        <x:f>IF('دانش‌آموزان'!I22="","",'دانش‌آموزان'!I22)</x:f>
        <x:v>sample-7-a</x:v>
      </x:c>
      <x:c r="G211" s="114"/>
      <x:c r="H211" s="115"/>
      <x:c r="I211" s="115"/>
      <x:c r="J211" s="115"/>
      <x:c r="K211" s="115"/>
      <x:c r="L211" s="115"/>
      <x:c r="M211" s="115"/>
      <x:c r="N211" s="115"/>
      <x:c r="O211" s="115"/>
      <x:c r="P211" s="115"/>
      <x:c r="Q211" s="115"/>
      <x:c r="R211" s="115"/>
      <x:c r="S211" s="115"/>
      <x:c r="T211" s="115"/>
      <x:c r="U211" s="115"/>
      <x:c r="V211" s="115"/>
      <x:c r="W211" s="115"/>
      <x:c r="X211" s="115"/>
      <x:c r="Y211" s="115"/>
      <x:c r="Z211" s="115"/>
      <x:c r="AA211" s="115"/>
      <x:c r="AB211" s="115"/>
      <x:c r="AC211" s="115"/>
      <x:c r="AD211" s="115"/>
      <x:c r="AE211" s="115"/>
      <x:c r="AF211" s="115"/>
      <x:c r="AG211" s="115"/>
      <x:c r="AH211" s="115"/>
      <x:c r="AI211" s="115"/>
      <x:c r="AJ211" s="115"/>
      <x:c r="AK211" s="115"/>
      <x:c r="AL211" s="115"/>
      <x:c r="AM211" s="115"/>
      <x:c r="AN211" s="115"/>
      <x:c r="AO211" s="115"/>
      <x:c r="AP211" s="115"/>
      <x:c r="AQ211" s="115"/>
      <x:c r="AR211" s="115"/>
      <x:c r="AS211" s="115"/>
      <x:c r="AT211" s="115"/>
      <x:c r="AU211" s="115"/>
      <x:c r="AV211" s="115"/>
      <x:c r="AW211" s="115"/>
      <x:c r="AX211" s="115"/>
      <x:c r="AY211" s="115"/>
      <x:c r="AZ211" s="115"/>
      <x:c r="BA211" s="115"/>
      <x:c r="BB211" s="115"/>
      <x:c r="BC211" s="115"/>
      <x:c r="BD211" s="115"/>
      <x:c r="BE211" s="115"/>
      <x:c r="BF211" s="115"/>
      <x:c r="BG211" s="115"/>
      <x:c r="BH211" s="115"/>
      <x:c r="BI211" s="115"/>
      <x:c r="BJ211" s="115"/>
      <x:c r="BK211" s="115"/>
      <x:c r="BL211" s="115"/>
      <x:c r="BM211" s="115"/>
      <x:c r="BN211" s="115"/>
      <x:c r="BO211" s="115"/>
      <x:c r="BP211" s="115"/>
      <x:c r="BQ211" s="115"/>
      <x:c r="BR211" s="115"/>
      <x:c r="BS211" s="115"/>
      <x:c r="BT211" s="115"/>
      <x:c r="BU211" s="115"/>
      <x:c r="BV211" s="115"/>
      <x:c r="BW211" s="115"/>
      <x:c r="BX211" s="115"/>
      <x:c r="BY211" s="115"/>
      <x:c r="BZ211" s="115"/>
      <x:c r="CA211" s="115"/>
      <x:c r="CB211" s="116"/>
      <x:c r="CC211" s="141" t="str">
        <x:f>IF(COUNT(G211:P211)=0,"",AVERAGE(G211:P211)*4)</x:f>
      </x:c>
      <x:c r="CD211" s="178" t="str">
        <x:f>IF(COUNT(Q211:Z211)=0,"",AVERAGE(Q211:Z211)*4)</x:f>
      </x:c>
      <x:c r="CE211" s="178" t="str">
        <x:f>IF(COUNT(AA211:AJ211)=0,"",AVERAGE(AA211:AJ211)*4)</x:f>
      </x:c>
      <x:c r="CF211" s="178" t="str">
        <x:f>IF(COUNT(AK211:AR211)=0,"",AVERAGE(AK211:AR211)*4)</x:f>
      </x:c>
      <x:c r="CG211" s="178" t="str">
        <x:f>IF(COUNT(AS211:AY211)=0,"",AVERAGE(AS211:AY211)*4)</x:f>
      </x:c>
      <x:c r="CH211" s="178" t="str">
        <x:f>IF(COUNT(AZ211:BG211)=0,"",AVERAGE(AZ211:BG211)*4)</x:f>
      </x:c>
      <x:c r="CI211" s="178" t="str">
        <x:f>IF(COUNT(BH211:BN211)=0,"",AVERAGE(BH211:BN211)*4)</x:f>
      </x:c>
      <x:c r="CJ211" s="178" t="str">
        <x:f>IF(COUNT(BO211:BU211)=0,"",AVERAGE(BO211:BU211)*4)</x:f>
      </x:c>
      <x:c r="CK211" s="178" t="str">
        <x:f>IF(COUNT(BV211:CB211)=0,"",AVERAGE(BV211:CB211)*4)</x:f>
      </x:c>
      <x:c r="CL211" s="178" t="str">
        <x:f>IF(C211="","",IF(COUNT(G211:CB211)&lt;74,"",(CC211*'تنظیمات وزن‌دهی'!$C$5+CD211*'تنظیمات وزن‌دهی'!$C$6+CE211*'تنظیمات وزن‌دهی'!$C$7+CF211*'تنظیمات وزن‌دهی'!$C$8+CG211*'تنظیمات وزن‌دهی'!$C$9+CH211*'تنظیمات وزن‌دهی'!$C$10+CI211*'تنظیمات وزن‌دهی'!$C$11+CJ211*'تنظیمات وزن‌دهی'!$C$12+CK211*'تنظیمات وزن‌دهی'!$C$13)/100))</x:f>
      </x:c>
      <x:c r="CM211" s="178" t="str">
        <x:f>IF(C211="","",IF(COUNT(G211:CB211)=0,"",IF(COUNT(G211:CB211)&lt;74,"موقت - اطلاعات ناقص",IF(CL211&gt;=17,"عالی",IF(CL211&gt;=14,"خوب",IF(CL211&gt;=10,"متوسط","ضعیف"))))))</x:f>
      </x:c>
      <x:c r="CN211" s="178" t="n">
        <x:v>3</x:v>
      </x:c>
      <x:c r="CO211" s="142" t="n">
        <x:f>IF(C211="","",COUNT(G211:CB211)/74)</x:f>
        <x:v>0</x:v>
      </x:c>
      <x:c r="CP211" s="245"/>
    </x:row>
    <x:row r="212">
      <x:c r="A212" s="165" t="n">
        <x:v>208</x:v>
      </x:c>
      <x:c r="B212" s="233" t="str">
        <x:v>مهر</x:v>
      </x:c>
      <x:c r="C212" s="233" t="n">
        <x:f>IF('دانش‌آموزان'!E22="","",'دانش‌آموزان'!B22)</x:f>
        <x:v>18</x:v>
      </x:c>
      <x:c r="D212" s="233" t="str">
        <x:f>IF('دانش‌آموزان'!C22="","",'دانش‌آموزان'!C22)</x:f>
        <x:v>4000000187</x:v>
      </x:c>
      <x:c r="E212" s="233" t="str">
        <x:f>IF('دانش‌آموزان'!E22="","",'دانش‌آموزان'!E22&amp;" "&amp;'دانش‌آموزان'!F22)</x:f>
        <x:v>یسنا حیدری</x:v>
      </x:c>
      <x:c r="F212" s="166" t="str">
        <x:f>IF('دانش‌آموزان'!I22="","",'دانش‌آموزان'!I22)</x:f>
        <x:v>sample-7-a</x:v>
      </x:c>
      <x:c r="G212" s="114"/>
      <x:c r="H212" s="115"/>
      <x:c r="I212" s="115"/>
      <x:c r="J212" s="115"/>
      <x:c r="K212" s="115"/>
      <x:c r="L212" s="115"/>
      <x:c r="M212" s="115"/>
      <x:c r="N212" s="115"/>
      <x:c r="O212" s="115"/>
      <x:c r="P212" s="115"/>
      <x:c r="Q212" s="115"/>
      <x:c r="R212" s="115"/>
      <x:c r="S212" s="115"/>
      <x:c r="T212" s="115"/>
      <x:c r="U212" s="115"/>
      <x:c r="V212" s="115"/>
      <x:c r="W212" s="115"/>
      <x:c r="X212" s="115"/>
      <x:c r="Y212" s="115"/>
      <x:c r="Z212" s="115"/>
      <x:c r="AA212" s="115"/>
      <x:c r="AB212" s="115"/>
      <x:c r="AC212" s="115"/>
      <x:c r="AD212" s="115"/>
      <x:c r="AE212" s="115"/>
      <x:c r="AF212" s="115"/>
      <x:c r="AG212" s="115"/>
      <x:c r="AH212" s="115"/>
      <x:c r="AI212" s="115"/>
      <x:c r="AJ212" s="115"/>
      <x:c r="AK212" s="115"/>
      <x:c r="AL212" s="115"/>
      <x:c r="AM212" s="115"/>
      <x:c r="AN212" s="115"/>
      <x:c r="AO212" s="115"/>
      <x:c r="AP212" s="115"/>
      <x:c r="AQ212" s="115"/>
      <x:c r="AR212" s="115"/>
      <x:c r="AS212" s="115"/>
      <x:c r="AT212" s="115"/>
      <x:c r="AU212" s="115"/>
      <x:c r="AV212" s="115"/>
      <x:c r="AW212" s="115"/>
      <x:c r="AX212" s="115"/>
      <x:c r="AY212" s="115"/>
      <x:c r="AZ212" s="115"/>
      <x:c r="BA212" s="115"/>
      <x:c r="BB212" s="115"/>
      <x:c r="BC212" s="115"/>
      <x:c r="BD212" s="115"/>
      <x:c r="BE212" s="115"/>
      <x:c r="BF212" s="115"/>
      <x:c r="BG212" s="115"/>
      <x:c r="BH212" s="115"/>
      <x:c r="BI212" s="115"/>
      <x:c r="BJ212" s="115"/>
      <x:c r="BK212" s="115"/>
      <x:c r="BL212" s="115"/>
      <x:c r="BM212" s="115"/>
      <x:c r="BN212" s="115"/>
      <x:c r="BO212" s="115"/>
      <x:c r="BP212" s="115"/>
      <x:c r="BQ212" s="115"/>
      <x:c r="BR212" s="115"/>
      <x:c r="BS212" s="115"/>
      <x:c r="BT212" s="115"/>
      <x:c r="BU212" s="115"/>
      <x:c r="BV212" s="115"/>
      <x:c r="BW212" s="115"/>
      <x:c r="BX212" s="115"/>
      <x:c r="BY212" s="115"/>
      <x:c r="BZ212" s="115"/>
      <x:c r="CA212" s="115"/>
      <x:c r="CB212" s="116"/>
      <x:c r="CC212" s="141" t="str">
        <x:f>IF(COUNT(G212:P212)=0,"",AVERAGE(G212:P212)*4)</x:f>
      </x:c>
      <x:c r="CD212" s="178" t="str">
        <x:f>IF(COUNT(Q212:Z212)=0,"",AVERAGE(Q212:Z212)*4)</x:f>
      </x:c>
      <x:c r="CE212" s="178" t="str">
        <x:f>IF(COUNT(AA212:AJ212)=0,"",AVERAGE(AA212:AJ212)*4)</x:f>
      </x:c>
      <x:c r="CF212" s="178" t="str">
        <x:f>IF(COUNT(AK212:AR212)=0,"",AVERAGE(AK212:AR212)*4)</x:f>
      </x:c>
      <x:c r="CG212" s="178" t="str">
        <x:f>IF(COUNT(AS212:AY212)=0,"",AVERAGE(AS212:AY212)*4)</x:f>
      </x:c>
      <x:c r="CH212" s="178" t="str">
        <x:f>IF(COUNT(AZ212:BG212)=0,"",AVERAGE(AZ212:BG212)*4)</x:f>
      </x:c>
      <x:c r="CI212" s="178" t="str">
        <x:f>IF(COUNT(BH212:BN212)=0,"",AVERAGE(BH212:BN212)*4)</x:f>
      </x:c>
      <x:c r="CJ212" s="178" t="str">
        <x:f>IF(COUNT(BO212:BU212)=0,"",AVERAGE(BO212:BU212)*4)</x:f>
      </x:c>
      <x:c r="CK212" s="178" t="str">
        <x:f>IF(COUNT(BV212:CB212)=0,"",AVERAGE(BV212:CB212)*4)</x:f>
      </x:c>
      <x:c r="CL212" s="178" t="str">
        <x:f>IF(C212="","",IF(COUNT(G212:CB212)&lt;74,"",(CC212*'تنظیمات وزن‌دهی'!$C$5+CD212*'تنظیمات وزن‌دهی'!$C$6+CE212*'تنظیمات وزن‌دهی'!$C$7+CF212*'تنظیمات وزن‌دهی'!$C$8+CG212*'تنظیمات وزن‌دهی'!$C$9+CH212*'تنظیمات وزن‌دهی'!$C$10+CI212*'تنظیمات وزن‌دهی'!$C$11+CJ212*'تنظیمات وزن‌دهی'!$C$12+CK212*'تنظیمات وزن‌دهی'!$C$13)/100))</x:f>
      </x:c>
      <x:c r="CM212" s="178" t="str">
        <x:f>IF(C212="","",IF(COUNT(G212:CB212)=0,"",IF(COUNT(G212:CB212)&lt;74,"موقت - اطلاعات ناقص",IF(CL212&gt;=17,"عالی",IF(CL212&gt;=14,"خوب",IF(CL212&gt;=10,"متوسط","ضعیف"))))))</x:f>
      </x:c>
      <x:c r="CN212" s="178" t="n">
        <x:v>4</x:v>
      </x:c>
      <x:c r="CO212" s="142" t="n">
        <x:f>IF(C212="","",COUNT(G212:CB212)/74)</x:f>
        <x:v>0</x:v>
      </x:c>
      <x:c r="CP212" s="245"/>
    </x:row>
    <x:row r="213">
      <x:c r="A213" s="165" t="n">
        <x:v>209</x:v>
      </x:c>
      <x:c r="B213" s="233" t="str">
        <x:v>آبان</x:v>
      </x:c>
      <x:c r="C213" s="233" t="n">
        <x:f>IF('دانش‌آموزان'!E22="","",'دانش‌آموزان'!B22)</x:f>
        <x:v>18</x:v>
      </x:c>
      <x:c r="D213" s="233" t="str">
        <x:f>IF('دانش‌آموزان'!C22="","",'دانش‌آموزان'!C22)</x:f>
        <x:v>4000000187</x:v>
      </x:c>
      <x:c r="E213" s="233" t="str">
        <x:f>IF('دانش‌آموزان'!E22="","",'دانش‌آموزان'!E22&amp;" "&amp;'دانش‌آموزان'!F22)</x:f>
        <x:v>یسنا حیدری</x:v>
      </x:c>
      <x:c r="F213" s="166" t="str">
        <x:f>IF('دانش‌آموزان'!I22="","",'دانش‌آموزان'!I22)</x:f>
        <x:v>sample-7-a</x:v>
      </x:c>
      <x:c r="G213" s="114"/>
      <x:c r="H213" s="115"/>
      <x:c r="I213" s="115"/>
      <x:c r="J213" s="115"/>
      <x:c r="K213" s="115"/>
      <x:c r="L213" s="115"/>
      <x:c r="M213" s="115"/>
      <x:c r="N213" s="115"/>
      <x:c r="O213" s="115"/>
      <x:c r="P213" s="115"/>
      <x:c r="Q213" s="115"/>
      <x:c r="R213" s="115"/>
      <x:c r="S213" s="115"/>
      <x:c r="T213" s="115"/>
      <x:c r="U213" s="115"/>
      <x:c r="V213" s="115"/>
      <x:c r="W213" s="115"/>
      <x:c r="X213" s="115"/>
      <x:c r="Y213" s="115"/>
      <x:c r="Z213" s="115"/>
      <x:c r="AA213" s="115"/>
      <x:c r="AB213" s="115"/>
      <x:c r="AC213" s="115"/>
      <x:c r="AD213" s="115"/>
      <x:c r="AE213" s="115"/>
      <x:c r="AF213" s="115"/>
      <x:c r="AG213" s="115"/>
      <x:c r="AH213" s="115"/>
      <x:c r="AI213" s="115"/>
      <x:c r="AJ213" s="115"/>
      <x:c r="AK213" s="115"/>
      <x:c r="AL213" s="115"/>
      <x:c r="AM213" s="115"/>
      <x:c r="AN213" s="115"/>
      <x:c r="AO213" s="115"/>
      <x:c r="AP213" s="115"/>
      <x:c r="AQ213" s="115"/>
      <x:c r="AR213" s="115"/>
      <x:c r="AS213" s="115"/>
      <x:c r="AT213" s="115"/>
      <x:c r="AU213" s="115"/>
      <x:c r="AV213" s="115"/>
      <x:c r="AW213" s="115"/>
      <x:c r="AX213" s="115"/>
      <x:c r="AY213" s="115"/>
      <x:c r="AZ213" s="115"/>
      <x:c r="BA213" s="115"/>
      <x:c r="BB213" s="115"/>
      <x:c r="BC213" s="115"/>
      <x:c r="BD213" s="115"/>
      <x:c r="BE213" s="115"/>
      <x:c r="BF213" s="115"/>
      <x:c r="BG213" s="115"/>
      <x:c r="BH213" s="115"/>
      <x:c r="BI213" s="115"/>
      <x:c r="BJ213" s="115"/>
      <x:c r="BK213" s="115"/>
      <x:c r="BL213" s="115"/>
      <x:c r="BM213" s="115"/>
      <x:c r="BN213" s="115"/>
      <x:c r="BO213" s="115"/>
      <x:c r="BP213" s="115"/>
      <x:c r="BQ213" s="115"/>
      <x:c r="BR213" s="115"/>
      <x:c r="BS213" s="115"/>
      <x:c r="BT213" s="115"/>
      <x:c r="BU213" s="115"/>
      <x:c r="BV213" s="115"/>
      <x:c r="BW213" s="115"/>
      <x:c r="BX213" s="115"/>
      <x:c r="BY213" s="115"/>
      <x:c r="BZ213" s="115"/>
      <x:c r="CA213" s="115"/>
      <x:c r="CB213" s="116"/>
      <x:c r="CC213" s="141" t="str">
        <x:f>IF(COUNT(G213:P213)=0,"",AVERAGE(G213:P213)*4)</x:f>
      </x:c>
      <x:c r="CD213" s="178" t="str">
        <x:f>IF(COUNT(Q213:Z213)=0,"",AVERAGE(Q213:Z213)*4)</x:f>
      </x:c>
      <x:c r="CE213" s="178" t="str">
        <x:f>IF(COUNT(AA213:AJ213)=0,"",AVERAGE(AA213:AJ213)*4)</x:f>
      </x:c>
      <x:c r="CF213" s="178" t="str">
        <x:f>IF(COUNT(AK213:AR213)=0,"",AVERAGE(AK213:AR213)*4)</x:f>
      </x:c>
      <x:c r="CG213" s="178" t="str">
        <x:f>IF(COUNT(AS213:AY213)=0,"",AVERAGE(AS213:AY213)*4)</x:f>
      </x:c>
      <x:c r="CH213" s="178" t="str">
        <x:f>IF(COUNT(AZ213:BG213)=0,"",AVERAGE(AZ213:BG213)*4)</x:f>
      </x:c>
      <x:c r="CI213" s="178" t="str">
        <x:f>IF(COUNT(BH213:BN213)=0,"",AVERAGE(BH213:BN213)*4)</x:f>
      </x:c>
      <x:c r="CJ213" s="178" t="str">
        <x:f>IF(COUNT(BO213:BU213)=0,"",AVERAGE(BO213:BU213)*4)</x:f>
      </x:c>
      <x:c r="CK213" s="178" t="str">
        <x:f>IF(COUNT(BV213:CB213)=0,"",AVERAGE(BV213:CB213)*4)</x:f>
      </x:c>
      <x:c r="CL213" s="178" t="str">
        <x:f>IF(C213="","",IF(COUNT(G213:CB213)&lt;74,"",(CC213*'تنظیمات وزن‌دهی'!$C$5+CD213*'تنظیمات وزن‌دهی'!$C$6+CE213*'تنظیمات وزن‌دهی'!$C$7+CF213*'تنظیمات وزن‌دهی'!$C$8+CG213*'تنظیمات وزن‌دهی'!$C$9+CH213*'تنظیمات وزن‌دهی'!$C$10+CI213*'تنظیمات وزن‌دهی'!$C$11+CJ213*'تنظیمات وزن‌دهی'!$C$12+CK213*'تنظیمات وزن‌دهی'!$C$13)/100))</x:f>
      </x:c>
      <x:c r="CM213" s="178" t="str">
        <x:f>IF(C213="","",IF(COUNT(G213:CB213)=0,"",IF(COUNT(G213:CB213)&lt;74,"موقت - اطلاعات ناقص",IF(CL213&gt;=17,"عالی",IF(CL213&gt;=14,"خوب",IF(CL213&gt;=10,"متوسط","ضعیف"))))))</x:f>
      </x:c>
      <x:c r="CN213" s="178" t="n">
        <x:v>5</x:v>
      </x:c>
      <x:c r="CO213" s="142" t="n">
        <x:f>IF(C213="","",COUNT(G213:CB213)/74)</x:f>
        <x:v>0</x:v>
      </x:c>
      <x:c r="CP213" s="245"/>
    </x:row>
    <x:row r="214">
      <x:c r="A214" s="165" t="n">
        <x:v>210</x:v>
      </x:c>
      <x:c r="B214" s="233" t="str">
        <x:v>آذر</x:v>
      </x:c>
      <x:c r="C214" s="233" t="n">
        <x:f>IF('دانش‌آموزان'!E22="","",'دانش‌آموزان'!B22)</x:f>
        <x:v>18</x:v>
      </x:c>
      <x:c r="D214" s="233" t="str">
        <x:f>IF('دانش‌آموزان'!C22="","",'دانش‌آموزان'!C22)</x:f>
        <x:v>4000000187</x:v>
      </x:c>
      <x:c r="E214" s="233" t="str">
        <x:f>IF('دانش‌آموزان'!E22="","",'دانش‌آموزان'!E22&amp;" "&amp;'دانش‌آموزان'!F22)</x:f>
        <x:v>یسنا حیدری</x:v>
      </x:c>
      <x:c r="F214" s="166" t="str">
        <x:f>IF('دانش‌آموزان'!I22="","",'دانش‌آموزان'!I22)</x:f>
        <x:v>sample-7-a</x:v>
      </x:c>
      <x:c r="G214" s="114"/>
      <x:c r="H214" s="115"/>
      <x:c r="I214" s="115"/>
      <x:c r="J214" s="115"/>
      <x:c r="K214" s="115"/>
      <x:c r="L214" s="115"/>
      <x:c r="M214" s="115"/>
      <x:c r="N214" s="115"/>
      <x:c r="O214" s="115"/>
      <x:c r="P214" s="115"/>
      <x:c r="Q214" s="115"/>
      <x:c r="R214" s="115"/>
      <x:c r="S214" s="115"/>
      <x:c r="T214" s="115"/>
      <x:c r="U214" s="115"/>
      <x:c r="V214" s="115"/>
      <x:c r="W214" s="115"/>
      <x:c r="X214" s="115"/>
      <x:c r="Y214" s="115"/>
      <x:c r="Z214" s="115"/>
      <x:c r="AA214" s="115"/>
      <x:c r="AB214" s="115"/>
      <x:c r="AC214" s="115"/>
      <x:c r="AD214" s="115"/>
      <x:c r="AE214" s="115"/>
      <x:c r="AF214" s="115"/>
      <x:c r="AG214" s="115"/>
      <x:c r="AH214" s="115"/>
      <x:c r="AI214" s="115"/>
      <x:c r="AJ214" s="115"/>
      <x:c r="AK214" s="115"/>
      <x:c r="AL214" s="115"/>
      <x:c r="AM214" s="115"/>
      <x:c r="AN214" s="115"/>
      <x:c r="AO214" s="115"/>
      <x:c r="AP214" s="115"/>
      <x:c r="AQ214" s="115"/>
      <x:c r="AR214" s="115"/>
      <x:c r="AS214" s="115"/>
      <x:c r="AT214" s="115"/>
      <x:c r="AU214" s="115"/>
      <x:c r="AV214" s="115"/>
      <x:c r="AW214" s="115"/>
      <x:c r="AX214" s="115"/>
      <x:c r="AY214" s="115"/>
      <x:c r="AZ214" s="115"/>
      <x:c r="BA214" s="115"/>
      <x:c r="BB214" s="115"/>
      <x:c r="BC214" s="115"/>
      <x:c r="BD214" s="115"/>
      <x:c r="BE214" s="115"/>
      <x:c r="BF214" s="115"/>
      <x:c r="BG214" s="115"/>
      <x:c r="BH214" s="115"/>
      <x:c r="BI214" s="115"/>
      <x:c r="BJ214" s="115"/>
      <x:c r="BK214" s="115"/>
      <x:c r="BL214" s="115"/>
      <x:c r="BM214" s="115"/>
      <x:c r="BN214" s="115"/>
      <x:c r="BO214" s="115"/>
      <x:c r="BP214" s="115"/>
      <x:c r="BQ214" s="115"/>
      <x:c r="BR214" s="115"/>
      <x:c r="BS214" s="115"/>
      <x:c r="BT214" s="115"/>
      <x:c r="BU214" s="115"/>
      <x:c r="BV214" s="115"/>
      <x:c r="BW214" s="115"/>
      <x:c r="BX214" s="115"/>
      <x:c r="BY214" s="115"/>
      <x:c r="BZ214" s="115"/>
      <x:c r="CA214" s="115"/>
      <x:c r="CB214" s="116"/>
      <x:c r="CC214" s="141" t="str">
        <x:f>IF(COUNT(G214:P214)=0,"",AVERAGE(G214:P214)*4)</x:f>
      </x:c>
      <x:c r="CD214" s="178" t="str">
        <x:f>IF(COUNT(Q214:Z214)=0,"",AVERAGE(Q214:Z214)*4)</x:f>
      </x:c>
      <x:c r="CE214" s="178" t="str">
        <x:f>IF(COUNT(AA214:AJ214)=0,"",AVERAGE(AA214:AJ214)*4)</x:f>
      </x:c>
      <x:c r="CF214" s="178" t="str">
        <x:f>IF(COUNT(AK214:AR214)=0,"",AVERAGE(AK214:AR214)*4)</x:f>
      </x:c>
      <x:c r="CG214" s="178" t="str">
        <x:f>IF(COUNT(AS214:AY214)=0,"",AVERAGE(AS214:AY214)*4)</x:f>
      </x:c>
      <x:c r="CH214" s="178" t="str">
        <x:f>IF(COUNT(AZ214:BG214)=0,"",AVERAGE(AZ214:BG214)*4)</x:f>
      </x:c>
      <x:c r="CI214" s="178" t="str">
        <x:f>IF(COUNT(BH214:BN214)=0,"",AVERAGE(BH214:BN214)*4)</x:f>
      </x:c>
      <x:c r="CJ214" s="178" t="str">
        <x:f>IF(COUNT(BO214:BU214)=0,"",AVERAGE(BO214:BU214)*4)</x:f>
      </x:c>
      <x:c r="CK214" s="178" t="str">
        <x:f>IF(COUNT(BV214:CB214)=0,"",AVERAGE(BV214:CB214)*4)</x:f>
      </x:c>
      <x:c r="CL214" s="178" t="str">
        <x:f>IF(C214="","",IF(COUNT(G214:CB214)&lt;74,"",(CC214*'تنظیمات وزن‌دهی'!$C$5+CD214*'تنظیمات وزن‌دهی'!$C$6+CE214*'تنظیمات وزن‌دهی'!$C$7+CF214*'تنظیمات وزن‌دهی'!$C$8+CG214*'تنظیمات وزن‌دهی'!$C$9+CH214*'تنظیمات وزن‌دهی'!$C$10+CI214*'تنظیمات وزن‌دهی'!$C$11+CJ214*'تنظیمات وزن‌دهی'!$C$12+CK214*'تنظیمات وزن‌دهی'!$C$13)/100))</x:f>
      </x:c>
      <x:c r="CM214" s="178" t="str">
        <x:f>IF(C214="","",IF(COUNT(G214:CB214)=0,"",IF(COUNT(G214:CB214)&lt;74,"موقت - اطلاعات ناقص",IF(CL214&gt;=17,"عالی",IF(CL214&gt;=14,"خوب",IF(CL214&gt;=10,"متوسط","ضعیف"))))))</x:f>
      </x:c>
      <x:c r="CN214" s="178" t="n">
        <x:v>6</x:v>
      </x:c>
      <x:c r="CO214" s="142" t="n">
        <x:f>IF(C214="","",COUNT(G214:CB214)/74)</x:f>
        <x:v>0</x:v>
      </x:c>
      <x:c r="CP214" s="245"/>
    </x:row>
    <x:row r="215">
      <x:c r="A215" s="165" t="n">
        <x:v>211</x:v>
      </x:c>
      <x:c r="B215" s="233" t="str">
        <x:v>دی</x:v>
      </x:c>
      <x:c r="C215" s="233" t="n">
        <x:f>IF('دانش‌آموزان'!E22="","",'دانش‌آموزان'!B22)</x:f>
        <x:v>18</x:v>
      </x:c>
      <x:c r="D215" s="233" t="str">
        <x:f>IF('دانش‌آموزان'!C22="","",'دانش‌آموزان'!C22)</x:f>
        <x:v>4000000187</x:v>
      </x:c>
      <x:c r="E215" s="233" t="str">
        <x:f>IF('دانش‌آموزان'!E22="","",'دانش‌آموزان'!E22&amp;" "&amp;'دانش‌آموزان'!F22)</x:f>
        <x:v>یسنا حیدری</x:v>
      </x:c>
      <x:c r="F215" s="166" t="str">
        <x:f>IF('دانش‌آموزان'!I22="","",'دانش‌آموزان'!I22)</x:f>
        <x:v>sample-7-a</x:v>
      </x:c>
      <x:c r="G215" s="114"/>
      <x:c r="H215" s="115"/>
      <x:c r="I215" s="115"/>
      <x:c r="J215" s="115"/>
      <x:c r="K215" s="115"/>
      <x:c r="L215" s="115"/>
      <x:c r="M215" s="115"/>
      <x:c r="N215" s="115"/>
      <x:c r="O215" s="115"/>
      <x:c r="P215" s="115"/>
      <x:c r="Q215" s="115"/>
      <x:c r="R215" s="115"/>
      <x:c r="S215" s="115"/>
      <x:c r="T215" s="115"/>
      <x:c r="U215" s="115"/>
      <x:c r="V215" s="115"/>
      <x:c r="W215" s="115"/>
      <x:c r="X215" s="115"/>
      <x:c r="Y215" s="115"/>
      <x:c r="Z215" s="115"/>
      <x:c r="AA215" s="115"/>
      <x:c r="AB215" s="115"/>
      <x:c r="AC215" s="115"/>
      <x:c r="AD215" s="115"/>
      <x:c r="AE215" s="115"/>
      <x:c r="AF215" s="115"/>
      <x:c r="AG215" s="115"/>
      <x:c r="AH215" s="115"/>
      <x:c r="AI215" s="115"/>
      <x:c r="AJ215" s="115"/>
      <x:c r="AK215" s="115"/>
      <x:c r="AL215" s="115"/>
      <x:c r="AM215" s="115"/>
      <x:c r="AN215" s="115"/>
      <x:c r="AO215" s="115"/>
      <x:c r="AP215" s="115"/>
      <x:c r="AQ215" s="115"/>
      <x:c r="AR215" s="115"/>
      <x:c r="AS215" s="115"/>
      <x:c r="AT215" s="115"/>
      <x:c r="AU215" s="115"/>
      <x:c r="AV215" s="115"/>
      <x:c r="AW215" s="115"/>
      <x:c r="AX215" s="115"/>
      <x:c r="AY215" s="115"/>
      <x:c r="AZ215" s="115"/>
      <x:c r="BA215" s="115"/>
      <x:c r="BB215" s="115"/>
      <x:c r="BC215" s="115"/>
      <x:c r="BD215" s="115"/>
      <x:c r="BE215" s="115"/>
      <x:c r="BF215" s="115"/>
      <x:c r="BG215" s="115"/>
      <x:c r="BH215" s="115"/>
      <x:c r="BI215" s="115"/>
      <x:c r="BJ215" s="115"/>
      <x:c r="BK215" s="115"/>
      <x:c r="BL215" s="115"/>
      <x:c r="BM215" s="115"/>
      <x:c r="BN215" s="115"/>
      <x:c r="BO215" s="115"/>
      <x:c r="BP215" s="115"/>
      <x:c r="BQ215" s="115"/>
      <x:c r="BR215" s="115"/>
      <x:c r="BS215" s="115"/>
      <x:c r="BT215" s="115"/>
      <x:c r="BU215" s="115"/>
      <x:c r="BV215" s="115"/>
      <x:c r="BW215" s="115"/>
      <x:c r="BX215" s="115"/>
      <x:c r="BY215" s="115"/>
      <x:c r="BZ215" s="115"/>
      <x:c r="CA215" s="115"/>
      <x:c r="CB215" s="116"/>
      <x:c r="CC215" s="141" t="str">
        <x:f>IF(COUNT(G215:P215)=0,"",AVERAGE(G215:P215)*4)</x:f>
      </x:c>
      <x:c r="CD215" s="178" t="str">
        <x:f>IF(COUNT(Q215:Z215)=0,"",AVERAGE(Q215:Z215)*4)</x:f>
      </x:c>
      <x:c r="CE215" s="178" t="str">
        <x:f>IF(COUNT(AA215:AJ215)=0,"",AVERAGE(AA215:AJ215)*4)</x:f>
      </x:c>
      <x:c r="CF215" s="178" t="str">
        <x:f>IF(COUNT(AK215:AR215)=0,"",AVERAGE(AK215:AR215)*4)</x:f>
      </x:c>
      <x:c r="CG215" s="178" t="str">
        <x:f>IF(COUNT(AS215:AY215)=0,"",AVERAGE(AS215:AY215)*4)</x:f>
      </x:c>
      <x:c r="CH215" s="178" t="str">
        <x:f>IF(COUNT(AZ215:BG215)=0,"",AVERAGE(AZ215:BG215)*4)</x:f>
      </x:c>
      <x:c r="CI215" s="178" t="str">
        <x:f>IF(COUNT(BH215:BN215)=0,"",AVERAGE(BH215:BN215)*4)</x:f>
      </x:c>
      <x:c r="CJ215" s="178" t="str">
        <x:f>IF(COUNT(BO215:BU215)=0,"",AVERAGE(BO215:BU215)*4)</x:f>
      </x:c>
      <x:c r="CK215" s="178" t="str">
        <x:f>IF(COUNT(BV215:CB215)=0,"",AVERAGE(BV215:CB215)*4)</x:f>
      </x:c>
      <x:c r="CL215" s="178" t="str">
        <x:f>IF(C215="","",IF(COUNT(G215:CB215)&lt;74,"",(CC215*'تنظیمات وزن‌دهی'!$C$5+CD215*'تنظیمات وزن‌دهی'!$C$6+CE215*'تنظیمات وزن‌دهی'!$C$7+CF215*'تنظیمات وزن‌دهی'!$C$8+CG215*'تنظیمات وزن‌دهی'!$C$9+CH215*'تنظیمات وزن‌دهی'!$C$10+CI215*'تنظیمات وزن‌دهی'!$C$11+CJ215*'تنظیمات وزن‌دهی'!$C$12+CK215*'تنظیمات وزن‌دهی'!$C$13)/100))</x:f>
      </x:c>
      <x:c r="CM215" s="178" t="str">
        <x:f>IF(C215="","",IF(COUNT(G215:CB215)=0,"",IF(COUNT(G215:CB215)&lt;74,"موقت - اطلاعات ناقص",IF(CL215&gt;=17,"عالی",IF(CL215&gt;=14,"خوب",IF(CL215&gt;=10,"متوسط","ضعیف"))))))</x:f>
      </x:c>
      <x:c r="CN215" s="178" t="n">
        <x:v>7</x:v>
      </x:c>
      <x:c r="CO215" s="142" t="n">
        <x:f>IF(C215="","",COUNT(G215:CB215)/74)</x:f>
        <x:v>0</x:v>
      </x:c>
      <x:c r="CP215" s="245"/>
    </x:row>
    <x:row r="216">
      <x:c r="A216" s="165" t="n">
        <x:v>212</x:v>
      </x:c>
      <x:c r="B216" s="233" t="str">
        <x:v>بهمن</x:v>
      </x:c>
      <x:c r="C216" s="233" t="n">
        <x:f>IF('دانش‌آموزان'!E22="","",'دانش‌آموزان'!B22)</x:f>
        <x:v>18</x:v>
      </x:c>
      <x:c r="D216" s="233" t="str">
        <x:f>IF('دانش‌آموزان'!C22="","",'دانش‌آموزان'!C22)</x:f>
        <x:v>4000000187</x:v>
      </x:c>
      <x:c r="E216" s="233" t="str">
        <x:f>IF('دانش‌آموزان'!E22="","",'دانش‌آموزان'!E22&amp;" "&amp;'دانش‌آموزان'!F22)</x:f>
        <x:v>یسنا حیدری</x:v>
      </x:c>
      <x:c r="F216" s="166" t="str">
        <x:f>IF('دانش‌آموزان'!I22="","",'دانش‌آموزان'!I22)</x:f>
        <x:v>sample-7-a</x:v>
      </x:c>
      <x:c r="G216" s="114"/>
      <x:c r="H216" s="115"/>
      <x:c r="I216" s="115"/>
      <x:c r="J216" s="115"/>
      <x:c r="K216" s="115"/>
      <x:c r="L216" s="115"/>
      <x:c r="M216" s="115"/>
      <x:c r="N216" s="115"/>
      <x:c r="O216" s="115"/>
      <x:c r="P216" s="115"/>
      <x:c r="Q216" s="115"/>
      <x:c r="R216" s="115"/>
      <x:c r="S216" s="115"/>
      <x:c r="T216" s="115"/>
      <x:c r="U216" s="115"/>
      <x:c r="V216" s="115"/>
      <x:c r="W216" s="115"/>
      <x:c r="X216" s="115"/>
      <x:c r="Y216" s="115"/>
      <x:c r="Z216" s="115"/>
      <x:c r="AA216" s="115"/>
      <x:c r="AB216" s="115"/>
      <x:c r="AC216" s="115"/>
      <x:c r="AD216" s="115"/>
      <x:c r="AE216" s="115"/>
      <x:c r="AF216" s="115"/>
      <x:c r="AG216" s="115"/>
      <x:c r="AH216" s="115"/>
      <x:c r="AI216" s="115"/>
      <x:c r="AJ216" s="115"/>
      <x:c r="AK216" s="115"/>
      <x:c r="AL216" s="115"/>
      <x:c r="AM216" s="115"/>
      <x:c r="AN216" s="115"/>
      <x:c r="AO216" s="115"/>
      <x:c r="AP216" s="115"/>
      <x:c r="AQ216" s="115"/>
      <x:c r="AR216" s="115"/>
      <x:c r="AS216" s="115"/>
      <x:c r="AT216" s="115"/>
      <x:c r="AU216" s="115"/>
      <x:c r="AV216" s="115"/>
      <x:c r="AW216" s="115"/>
      <x:c r="AX216" s="115"/>
      <x:c r="AY216" s="115"/>
      <x:c r="AZ216" s="115"/>
      <x:c r="BA216" s="115"/>
      <x:c r="BB216" s="115"/>
      <x:c r="BC216" s="115"/>
      <x:c r="BD216" s="115"/>
      <x:c r="BE216" s="115"/>
      <x:c r="BF216" s="115"/>
      <x:c r="BG216" s="115"/>
      <x:c r="BH216" s="115"/>
      <x:c r="BI216" s="115"/>
      <x:c r="BJ216" s="115"/>
      <x:c r="BK216" s="115"/>
      <x:c r="BL216" s="115"/>
      <x:c r="BM216" s="115"/>
      <x:c r="BN216" s="115"/>
      <x:c r="BO216" s="115"/>
      <x:c r="BP216" s="115"/>
      <x:c r="BQ216" s="115"/>
      <x:c r="BR216" s="115"/>
      <x:c r="BS216" s="115"/>
      <x:c r="BT216" s="115"/>
      <x:c r="BU216" s="115"/>
      <x:c r="BV216" s="115"/>
      <x:c r="BW216" s="115"/>
      <x:c r="BX216" s="115"/>
      <x:c r="BY216" s="115"/>
      <x:c r="BZ216" s="115"/>
      <x:c r="CA216" s="115"/>
      <x:c r="CB216" s="116"/>
      <x:c r="CC216" s="141" t="str">
        <x:f>IF(COUNT(G216:P216)=0,"",AVERAGE(G216:P216)*4)</x:f>
      </x:c>
      <x:c r="CD216" s="178" t="str">
        <x:f>IF(COUNT(Q216:Z216)=0,"",AVERAGE(Q216:Z216)*4)</x:f>
      </x:c>
      <x:c r="CE216" s="178" t="str">
        <x:f>IF(COUNT(AA216:AJ216)=0,"",AVERAGE(AA216:AJ216)*4)</x:f>
      </x:c>
      <x:c r="CF216" s="178" t="str">
        <x:f>IF(COUNT(AK216:AR216)=0,"",AVERAGE(AK216:AR216)*4)</x:f>
      </x:c>
      <x:c r="CG216" s="178" t="str">
        <x:f>IF(COUNT(AS216:AY216)=0,"",AVERAGE(AS216:AY216)*4)</x:f>
      </x:c>
      <x:c r="CH216" s="178" t="str">
        <x:f>IF(COUNT(AZ216:BG216)=0,"",AVERAGE(AZ216:BG216)*4)</x:f>
      </x:c>
      <x:c r="CI216" s="178" t="str">
        <x:f>IF(COUNT(BH216:BN216)=0,"",AVERAGE(BH216:BN216)*4)</x:f>
      </x:c>
      <x:c r="CJ216" s="178" t="str">
        <x:f>IF(COUNT(BO216:BU216)=0,"",AVERAGE(BO216:BU216)*4)</x:f>
      </x:c>
      <x:c r="CK216" s="178" t="str">
        <x:f>IF(COUNT(BV216:CB216)=0,"",AVERAGE(BV216:CB216)*4)</x:f>
      </x:c>
      <x:c r="CL216" s="178" t="str">
        <x:f>IF(C216="","",IF(COUNT(G216:CB216)&lt;74,"",(CC216*'تنظیمات وزن‌دهی'!$C$5+CD216*'تنظیمات وزن‌دهی'!$C$6+CE216*'تنظیمات وزن‌دهی'!$C$7+CF216*'تنظیمات وزن‌دهی'!$C$8+CG216*'تنظیمات وزن‌دهی'!$C$9+CH216*'تنظیمات وزن‌دهی'!$C$10+CI216*'تنظیمات وزن‌دهی'!$C$11+CJ216*'تنظیمات وزن‌دهی'!$C$12+CK216*'تنظیمات وزن‌دهی'!$C$13)/100))</x:f>
      </x:c>
      <x:c r="CM216" s="178" t="str">
        <x:f>IF(C216="","",IF(COUNT(G216:CB216)=0,"",IF(COUNT(G216:CB216)&lt;74,"موقت - اطلاعات ناقص",IF(CL216&gt;=17,"عالی",IF(CL216&gt;=14,"خوب",IF(CL216&gt;=10,"متوسط","ضعیف"))))))</x:f>
      </x:c>
      <x:c r="CN216" s="178" t="n">
        <x:v>8</x:v>
      </x:c>
      <x:c r="CO216" s="142" t="n">
        <x:f>IF(C216="","",COUNT(G216:CB216)/74)</x:f>
        <x:v>0</x:v>
      </x:c>
      <x:c r="CP216" s="245"/>
    </x:row>
    <x:row r="217">
      <x:c r="A217" s="165" t="n">
        <x:v>213</x:v>
      </x:c>
      <x:c r="B217" s="233" t="str">
        <x:v>اسفند</x:v>
      </x:c>
      <x:c r="C217" s="233" t="n">
        <x:f>IF('دانش‌آموزان'!E22="","",'دانش‌آموزان'!B22)</x:f>
        <x:v>18</x:v>
      </x:c>
      <x:c r="D217" s="233" t="str">
        <x:f>IF('دانش‌آموزان'!C22="","",'دانش‌آموزان'!C22)</x:f>
        <x:v>4000000187</x:v>
      </x:c>
      <x:c r="E217" s="233" t="str">
        <x:f>IF('دانش‌آموزان'!E22="","",'دانش‌آموزان'!E22&amp;" "&amp;'دانش‌آموزان'!F22)</x:f>
        <x:v>یسنا حیدری</x:v>
      </x:c>
      <x:c r="F217" s="166" t="str">
        <x:f>IF('دانش‌آموزان'!I22="","",'دانش‌آموزان'!I22)</x:f>
        <x:v>sample-7-a</x:v>
      </x:c>
      <x:c r="G217" s="114"/>
      <x:c r="H217" s="115"/>
      <x:c r="I217" s="115"/>
      <x:c r="J217" s="115"/>
      <x:c r="K217" s="115"/>
      <x:c r="L217" s="115"/>
      <x:c r="M217" s="115"/>
      <x:c r="N217" s="115"/>
      <x:c r="O217" s="115"/>
      <x:c r="P217" s="115"/>
      <x:c r="Q217" s="115"/>
      <x:c r="R217" s="115"/>
      <x:c r="S217" s="115"/>
      <x:c r="T217" s="115"/>
      <x:c r="U217" s="115"/>
      <x:c r="V217" s="115"/>
      <x:c r="W217" s="115"/>
      <x:c r="X217" s="115"/>
      <x:c r="Y217" s="115"/>
      <x:c r="Z217" s="115"/>
      <x:c r="AA217" s="115"/>
      <x:c r="AB217" s="115"/>
      <x:c r="AC217" s="115"/>
      <x:c r="AD217" s="115"/>
      <x:c r="AE217" s="115"/>
      <x:c r="AF217" s="115"/>
      <x:c r="AG217" s="115"/>
      <x:c r="AH217" s="115"/>
      <x:c r="AI217" s="115"/>
      <x:c r="AJ217" s="115"/>
      <x:c r="AK217" s="115"/>
      <x:c r="AL217" s="115"/>
      <x:c r="AM217" s="115"/>
      <x:c r="AN217" s="115"/>
      <x:c r="AO217" s="115"/>
      <x:c r="AP217" s="115"/>
      <x:c r="AQ217" s="115"/>
      <x:c r="AR217" s="115"/>
      <x:c r="AS217" s="115"/>
      <x:c r="AT217" s="115"/>
      <x:c r="AU217" s="115"/>
      <x:c r="AV217" s="115"/>
      <x:c r="AW217" s="115"/>
      <x:c r="AX217" s="115"/>
      <x:c r="AY217" s="115"/>
      <x:c r="AZ217" s="115"/>
      <x:c r="BA217" s="115"/>
      <x:c r="BB217" s="115"/>
      <x:c r="BC217" s="115"/>
      <x:c r="BD217" s="115"/>
      <x:c r="BE217" s="115"/>
      <x:c r="BF217" s="115"/>
      <x:c r="BG217" s="115"/>
      <x:c r="BH217" s="115"/>
      <x:c r="BI217" s="115"/>
      <x:c r="BJ217" s="115"/>
      <x:c r="BK217" s="115"/>
      <x:c r="BL217" s="115"/>
      <x:c r="BM217" s="115"/>
      <x:c r="BN217" s="115"/>
      <x:c r="BO217" s="115"/>
      <x:c r="BP217" s="115"/>
      <x:c r="BQ217" s="115"/>
      <x:c r="BR217" s="115"/>
      <x:c r="BS217" s="115"/>
      <x:c r="BT217" s="115"/>
      <x:c r="BU217" s="115"/>
      <x:c r="BV217" s="115"/>
      <x:c r="BW217" s="115"/>
      <x:c r="BX217" s="115"/>
      <x:c r="BY217" s="115"/>
      <x:c r="BZ217" s="115"/>
      <x:c r="CA217" s="115"/>
      <x:c r="CB217" s="116"/>
      <x:c r="CC217" s="141" t="str">
        <x:f>IF(COUNT(G217:P217)=0,"",AVERAGE(G217:P217)*4)</x:f>
      </x:c>
      <x:c r="CD217" s="178" t="str">
        <x:f>IF(COUNT(Q217:Z217)=0,"",AVERAGE(Q217:Z217)*4)</x:f>
      </x:c>
      <x:c r="CE217" s="178" t="str">
        <x:f>IF(COUNT(AA217:AJ217)=0,"",AVERAGE(AA217:AJ217)*4)</x:f>
      </x:c>
      <x:c r="CF217" s="178" t="str">
        <x:f>IF(COUNT(AK217:AR217)=0,"",AVERAGE(AK217:AR217)*4)</x:f>
      </x:c>
      <x:c r="CG217" s="178" t="str">
        <x:f>IF(COUNT(AS217:AY217)=0,"",AVERAGE(AS217:AY217)*4)</x:f>
      </x:c>
      <x:c r="CH217" s="178" t="str">
        <x:f>IF(COUNT(AZ217:BG217)=0,"",AVERAGE(AZ217:BG217)*4)</x:f>
      </x:c>
      <x:c r="CI217" s="178" t="str">
        <x:f>IF(COUNT(BH217:BN217)=0,"",AVERAGE(BH217:BN217)*4)</x:f>
      </x:c>
      <x:c r="CJ217" s="178" t="str">
        <x:f>IF(COUNT(BO217:BU217)=0,"",AVERAGE(BO217:BU217)*4)</x:f>
      </x:c>
      <x:c r="CK217" s="178" t="str">
        <x:f>IF(COUNT(BV217:CB217)=0,"",AVERAGE(BV217:CB217)*4)</x:f>
      </x:c>
      <x:c r="CL217" s="178" t="str">
        <x:f>IF(C217="","",IF(COUNT(G217:CB217)&lt;74,"",(CC217*'تنظیمات وزن‌دهی'!$C$5+CD217*'تنظیمات وزن‌دهی'!$C$6+CE217*'تنظیمات وزن‌دهی'!$C$7+CF217*'تنظیمات وزن‌دهی'!$C$8+CG217*'تنظیمات وزن‌دهی'!$C$9+CH217*'تنظیمات وزن‌دهی'!$C$10+CI217*'تنظیمات وزن‌دهی'!$C$11+CJ217*'تنظیمات وزن‌دهی'!$C$12+CK217*'تنظیمات وزن‌دهی'!$C$13)/100))</x:f>
      </x:c>
      <x:c r="CM217" s="178" t="str">
        <x:f>IF(C217="","",IF(COUNT(G217:CB217)=0,"",IF(COUNT(G217:CB217)&lt;74,"موقت - اطلاعات ناقص",IF(CL217&gt;=17,"عالی",IF(CL217&gt;=14,"خوب",IF(CL217&gt;=10,"متوسط","ضعیف"))))))</x:f>
      </x:c>
      <x:c r="CN217" s="178" t="n">
        <x:v>9</x:v>
      </x:c>
      <x:c r="CO217" s="142" t="n">
        <x:f>IF(C217="","",COUNT(G217:CB217)/74)</x:f>
        <x:v>0</x:v>
      </x:c>
      <x:c r="CP217" s="245"/>
    </x:row>
    <x:row r="218">
      <x:c r="A218" s="165" t="n">
        <x:v>214</x:v>
      </x:c>
      <x:c r="B218" s="233" t="str">
        <x:v>فروردین</x:v>
      </x:c>
      <x:c r="C218" s="233" t="n">
        <x:f>IF('دانش‌آموزان'!E22="","",'دانش‌آموزان'!B22)</x:f>
        <x:v>18</x:v>
      </x:c>
      <x:c r="D218" s="233" t="str">
        <x:f>IF('دانش‌آموزان'!C22="","",'دانش‌آموزان'!C22)</x:f>
        <x:v>4000000187</x:v>
      </x:c>
      <x:c r="E218" s="233" t="str">
        <x:f>IF('دانش‌آموزان'!E22="","",'دانش‌آموزان'!E22&amp;" "&amp;'دانش‌آموزان'!F22)</x:f>
        <x:v>یسنا حیدری</x:v>
      </x:c>
      <x:c r="F218" s="166" t="str">
        <x:f>IF('دانش‌آموزان'!I22="","",'دانش‌آموزان'!I22)</x:f>
        <x:v>sample-7-a</x:v>
      </x:c>
      <x:c r="G218" s="114"/>
      <x:c r="H218" s="115"/>
      <x:c r="I218" s="115"/>
      <x:c r="J218" s="115"/>
      <x:c r="K218" s="115"/>
      <x:c r="L218" s="115"/>
      <x:c r="M218" s="115"/>
      <x:c r="N218" s="115"/>
      <x:c r="O218" s="115"/>
      <x:c r="P218" s="115"/>
      <x:c r="Q218" s="115"/>
      <x:c r="R218" s="115"/>
      <x:c r="S218" s="115"/>
      <x:c r="T218" s="115"/>
      <x:c r="U218" s="115"/>
      <x:c r="V218" s="115"/>
      <x:c r="W218" s="115"/>
      <x:c r="X218" s="115"/>
      <x:c r="Y218" s="115"/>
      <x:c r="Z218" s="115"/>
      <x:c r="AA218" s="115"/>
      <x:c r="AB218" s="115"/>
      <x:c r="AC218" s="115"/>
      <x:c r="AD218" s="115"/>
      <x:c r="AE218" s="115"/>
      <x:c r="AF218" s="115"/>
      <x:c r="AG218" s="115"/>
      <x:c r="AH218" s="115"/>
      <x:c r="AI218" s="115"/>
      <x:c r="AJ218" s="115"/>
      <x:c r="AK218" s="115"/>
      <x:c r="AL218" s="115"/>
      <x:c r="AM218" s="115"/>
      <x:c r="AN218" s="115"/>
      <x:c r="AO218" s="115"/>
      <x:c r="AP218" s="115"/>
      <x:c r="AQ218" s="115"/>
      <x:c r="AR218" s="115"/>
      <x:c r="AS218" s="115"/>
      <x:c r="AT218" s="115"/>
      <x:c r="AU218" s="115"/>
      <x:c r="AV218" s="115"/>
      <x:c r="AW218" s="115"/>
      <x:c r="AX218" s="115"/>
      <x:c r="AY218" s="115"/>
      <x:c r="AZ218" s="115"/>
      <x:c r="BA218" s="115"/>
      <x:c r="BB218" s="115"/>
      <x:c r="BC218" s="115"/>
      <x:c r="BD218" s="115"/>
      <x:c r="BE218" s="115"/>
      <x:c r="BF218" s="115"/>
      <x:c r="BG218" s="115"/>
      <x:c r="BH218" s="115"/>
      <x:c r="BI218" s="115"/>
      <x:c r="BJ218" s="115"/>
      <x:c r="BK218" s="115"/>
      <x:c r="BL218" s="115"/>
      <x:c r="BM218" s="115"/>
      <x:c r="BN218" s="115"/>
      <x:c r="BO218" s="115"/>
      <x:c r="BP218" s="115"/>
      <x:c r="BQ218" s="115"/>
      <x:c r="BR218" s="115"/>
      <x:c r="BS218" s="115"/>
      <x:c r="BT218" s="115"/>
      <x:c r="BU218" s="115"/>
      <x:c r="BV218" s="115"/>
      <x:c r="BW218" s="115"/>
      <x:c r="BX218" s="115"/>
      <x:c r="BY218" s="115"/>
      <x:c r="BZ218" s="115"/>
      <x:c r="CA218" s="115"/>
      <x:c r="CB218" s="116"/>
      <x:c r="CC218" s="141" t="str">
        <x:f>IF(COUNT(G218:P218)=0,"",AVERAGE(G218:P218)*4)</x:f>
      </x:c>
      <x:c r="CD218" s="178" t="str">
        <x:f>IF(COUNT(Q218:Z218)=0,"",AVERAGE(Q218:Z218)*4)</x:f>
      </x:c>
      <x:c r="CE218" s="178" t="str">
        <x:f>IF(COUNT(AA218:AJ218)=0,"",AVERAGE(AA218:AJ218)*4)</x:f>
      </x:c>
      <x:c r="CF218" s="178" t="str">
        <x:f>IF(COUNT(AK218:AR218)=0,"",AVERAGE(AK218:AR218)*4)</x:f>
      </x:c>
      <x:c r="CG218" s="178" t="str">
        <x:f>IF(COUNT(AS218:AY218)=0,"",AVERAGE(AS218:AY218)*4)</x:f>
      </x:c>
      <x:c r="CH218" s="178" t="str">
        <x:f>IF(COUNT(AZ218:BG218)=0,"",AVERAGE(AZ218:BG218)*4)</x:f>
      </x:c>
      <x:c r="CI218" s="178" t="str">
        <x:f>IF(COUNT(BH218:BN218)=0,"",AVERAGE(BH218:BN218)*4)</x:f>
      </x:c>
      <x:c r="CJ218" s="178" t="str">
        <x:f>IF(COUNT(BO218:BU218)=0,"",AVERAGE(BO218:BU218)*4)</x:f>
      </x:c>
      <x:c r="CK218" s="178" t="str">
        <x:f>IF(COUNT(BV218:CB218)=0,"",AVERAGE(BV218:CB218)*4)</x:f>
      </x:c>
      <x:c r="CL218" s="178" t="str">
        <x:f>IF(C218="","",IF(COUNT(G218:CB218)&lt;74,"",(CC218*'تنظیمات وزن‌دهی'!$C$5+CD218*'تنظیمات وزن‌دهی'!$C$6+CE218*'تنظیمات وزن‌دهی'!$C$7+CF218*'تنظیمات وزن‌دهی'!$C$8+CG218*'تنظیمات وزن‌دهی'!$C$9+CH218*'تنظیمات وزن‌دهی'!$C$10+CI218*'تنظیمات وزن‌دهی'!$C$11+CJ218*'تنظیمات وزن‌دهی'!$C$12+CK218*'تنظیمات وزن‌دهی'!$C$13)/100))</x:f>
      </x:c>
      <x:c r="CM218" s="178" t="str">
        <x:f>IF(C218="","",IF(COUNT(G218:CB218)=0,"",IF(COUNT(G218:CB218)&lt;74,"موقت - اطلاعات ناقص",IF(CL218&gt;=17,"عالی",IF(CL218&gt;=14,"خوب",IF(CL218&gt;=10,"متوسط","ضعیف"))))))</x:f>
      </x:c>
      <x:c r="CN218" s="178" t="n">
        <x:v>10</x:v>
      </x:c>
      <x:c r="CO218" s="142" t="n">
        <x:f>IF(C218="","",COUNT(G218:CB218)/74)</x:f>
        <x:v>0</x:v>
      </x:c>
      <x:c r="CP218" s="245"/>
    </x:row>
    <x:row r="219">
      <x:c r="A219" s="165" t="n">
        <x:v>215</x:v>
      </x:c>
      <x:c r="B219" s="233" t="str">
        <x:v>اردیبهشت</x:v>
      </x:c>
      <x:c r="C219" s="233" t="n">
        <x:f>IF('دانش‌آموزان'!E22="","",'دانش‌آموزان'!B22)</x:f>
        <x:v>18</x:v>
      </x:c>
      <x:c r="D219" s="233" t="str">
        <x:f>IF('دانش‌آموزان'!C22="","",'دانش‌آموزان'!C22)</x:f>
        <x:v>4000000187</x:v>
      </x:c>
      <x:c r="E219" s="233" t="str">
        <x:f>IF('دانش‌آموزان'!E22="","",'دانش‌آموزان'!E22&amp;" "&amp;'دانش‌آموزان'!F22)</x:f>
        <x:v>یسنا حیدری</x:v>
      </x:c>
      <x:c r="F219" s="166" t="str">
        <x:f>IF('دانش‌آموزان'!I22="","",'دانش‌آموزان'!I22)</x:f>
        <x:v>sample-7-a</x:v>
      </x:c>
      <x:c r="G219" s="114"/>
      <x:c r="H219" s="115"/>
      <x:c r="I219" s="115"/>
      <x:c r="J219" s="115"/>
      <x:c r="K219" s="115"/>
      <x:c r="L219" s="115"/>
      <x:c r="M219" s="115"/>
      <x:c r="N219" s="115"/>
      <x:c r="O219" s="115"/>
      <x:c r="P219" s="115"/>
      <x:c r="Q219" s="115"/>
      <x:c r="R219" s="115"/>
      <x:c r="S219" s="115"/>
      <x:c r="T219" s="115"/>
      <x:c r="U219" s="115"/>
      <x:c r="V219" s="115"/>
      <x:c r="W219" s="115"/>
      <x:c r="X219" s="115"/>
      <x:c r="Y219" s="115"/>
      <x:c r="Z219" s="115"/>
      <x:c r="AA219" s="115"/>
      <x:c r="AB219" s="115"/>
      <x:c r="AC219" s="115"/>
      <x:c r="AD219" s="115"/>
      <x:c r="AE219" s="115"/>
      <x:c r="AF219" s="115"/>
      <x:c r="AG219" s="115"/>
      <x:c r="AH219" s="115"/>
      <x:c r="AI219" s="115"/>
      <x:c r="AJ219" s="115"/>
      <x:c r="AK219" s="115"/>
      <x:c r="AL219" s="115"/>
      <x:c r="AM219" s="115"/>
      <x:c r="AN219" s="115"/>
      <x:c r="AO219" s="115"/>
      <x:c r="AP219" s="115"/>
      <x:c r="AQ219" s="115"/>
      <x:c r="AR219" s="115"/>
      <x:c r="AS219" s="115"/>
      <x:c r="AT219" s="115"/>
      <x:c r="AU219" s="115"/>
      <x:c r="AV219" s="115"/>
      <x:c r="AW219" s="115"/>
      <x:c r="AX219" s="115"/>
      <x:c r="AY219" s="115"/>
      <x:c r="AZ219" s="115"/>
      <x:c r="BA219" s="115"/>
      <x:c r="BB219" s="115"/>
      <x:c r="BC219" s="115"/>
      <x:c r="BD219" s="115"/>
      <x:c r="BE219" s="115"/>
      <x:c r="BF219" s="115"/>
      <x:c r="BG219" s="115"/>
      <x:c r="BH219" s="115"/>
      <x:c r="BI219" s="115"/>
      <x:c r="BJ219" s="115"/>
      <x:c r="BK219" s="115"/>
      <x:c r="BL219" s="115"/>
      <x:c r="BM219" s="115"/>
      <x:c r="BN219" s="115"/>
      <x:c r="BO219" s="115"/>
      <x:c r="BP219" s="115"/>
      <x:c r="BQ219" s="115"/>
      <x:c r="BR219" s="115"/>
      <x:c r="BS219" s="115"/>
      <x:c r="BT219" s="115"/>
      <x:c r="BU219" s="115"/>
      <x:c r="BV219" s="115"/>
      <x:c r="BW219" s="115"/>
      <x:c r="BX219" s="115"/>
      <x:c r="BY219" s="115"/>
      <x:c r="BZ219" s="115"/>
      <x:c r="CA219" s="115"/>
      <x:c r="CB219" s="116"/>
      <x:c r="CC219" s="141" t="str">
        <x:f>IF(COUNT(G219:P219)=0,"",AVERAGE(G219:P219)*4)</x:f>
      </x:c>
      <x:c r="CD219" s="178" t="str">
        <x:f>IF(COUNT(Q219:Z219)=0,"",AVERAGE(Q219:Z219)*4)</x:f>
      </x:c>
      <x:c r="CE219" s="178" t="str">
        <x:f>IF(COUNT(AA219:AJ219)=0,"",AVERAGE(AA219:AJ219)*4)</x:f>
      </x:c>
      <x:c r="CF219" s="178" t="str">
        <x:f>IF(COUNT(AK219:AR219)=0,"",AVERAGE(AK219:AR219)*4)</x:f>
      </x:c>
      <x:c r="CG219" s="178" t="str">
        <x:f>IF(COUNT(AS219:AY219)=0,"",AVERAGE(AS219:AY219)*4)</x:f>
      </x:c>
      <x:c r="CH219" s="178" t="str">
        <x:f>IF(COUNT(AZ219:BG219)=0,"",AVERAGE(AZ219:BG219)*4)</x:f>
      </x:c>
      <x:c r="CI219" s="178" t="str">
        <x:f>IF(COUNT(BH219:BN219)=0,"",AVERAGE(BH219:BN219)*4)</x:f>
      </x:c>
      <x:c r="CJ219" s="178" t="str">
        <x:f>IF(COUNT(BO219:BU219)=0,"",AVERAGE(BO219:BU219)*4)</x:f>
      </x:c>
      <x:c r="CK219" s="178" t="str">
        <x:f>IF(COUNT(BV219:CB219)=0,"",AVERAGE(BV219:CB219)*4)</x:f>
      </x:c>
      <x:c r="CL219" s="178" t="str">
        <x:f>IF(C219="","",IF(COUNT(G219:CB219)&lt;74,"",(CC219*'تنظیمات وزن‌دهی'!$C$5+CD219*'تنظیمات وزن‌دهی'!$C$6+CE219*'تنظیمات وزن‌دهی'!$C$7+CF219*'تنظیمات وزن‌دهی'!$C$8+CG219*'تنظیمات وزن‌دهی'!$C$9+CH219*'تنظیمات وزن‌دهی'!$C$10+CI219*'تنظیمات وزن‌دهی'!$C$11+CJ219*'تنظیمات وزن‌دهی'!$C$12+CK219*'تنظیمات وزن‌دهی'!$C$13)/100))</x:f>
      </x:c>
      <x:c r="CM219" s="178" t="str">
        <x:f>IF(C219="","",IF(COUNT(G219:CB219)=0,"",IF(COUNT(G219:CB219)&lt;74,"موقت - اطلاعات ناقص",IF(CL219&gt;=17,"عالی",IF(CL219&gt;=14,"خوب",IF(CL219&gt;=10,"متوسط","ضعیف"))))))</x:f>
      </x:c>
      <x:c r="CN219" s="178" t="n">
        <x:v>11</x:v>
      </x:c>
      <x:c r="CO219" s="142" t="n">
        <x:f>IF(C219="","",COUNT(G219:CB219)/74)</x:f>
        <x:v>0</x:v>
      </x:c>
      <x:c r="CP219" s="245"/>
    </x:row>
    <x:row r="220">
      <x:c r="A220" s="165" t="n">
        <x:v>216</x:v>
      </x:c>
      <x:c r="B220" s="233" t="str">
        <x:v>خرداد</x:v>
      </x:c>
      <x:c r="C220" s="233" t="n">
        <x:f>IF('دانش‌آموزان'!E22="","",'دانش‌آموزان'!B22)</x:f>
        <x:v>18</x:v>
      </x:c>
      <x:c r="D220" s="233" t="str">
        <x:f>IF('دانش‌آموزان'!C22="","",'دانش‌آموزان'!C22)</x:f>
        <x:v>4000000187</x:v>
      </x:c>
      <x:c r="E220" s="233" t="str">
        <x:f>IF('دانش‌آموزان'!E22="","",'دانش‌آموزان'!E22&amp;" "&amp;'دانش‌آموزان'!F22)</x:f>
        <x:v>یسنا حیدری</x:v>
      </x:c>
      <x:c r="F220" s="166" t="str">
        <x:f>IF('دانش‌آموزان'!I22="","",'دانش‌آموزان'!I22)</x:f>
        <x:v>sample-7-a</x:v>
      </x:c>
      <x:c r="G220" s="114"/>
      <x:c r="H220" s="115"/>
      <x:c r="I220" s="115"/>
      <x:c r="J220" s="115"/>
      <x:c r="K220" s="115"/>
      <x:c r="L220" s="115"/>
      <x:c r="M220" s="115"/>
      <x:c r="N220" s="115"/>
      <x:c r="O220" s="115"/>
      <x:c r="P220" s="115"/>
      <x:c r="Q220" s="115"/>
      <x:c r="R220" s="115"/>
      <x:c r="S220" s="115"/>
      <x:c r="T220" s="115"/>
      <x:c r="U220" s="115"/>
      <x:c r="V220" s="115"/>
      <x:c r="W220" s="115"/>
      <x:c r="X220" s="115"/>
      <x:c r="Y220" s="115"/>
      <x:c r="Z220" s="115"/>
      <x:c r="AA220" s="115"/>
      <x:c r="AB220" s="115"/>
      <x:c r="AC220" s="115"/>
      <x:c r="AD220" s="115"/>
      <x:c r="AE220" s="115"/>
      <x:c r="AF220" s="115"/>
      <x:c r="AG220" s="115"/>
      <x:c r="AH220" s="115"/>
      <x:c r="AI220" s="115"/>
      <x:c r="AJ220" s="115"/>
      <x:c r="AK220" s="115"/>
      <x:c r="AL220" s="115"/>
      <x:c r="AM220" s="115"/>
      <x:c r="AN220" s="115"/>
      <x:c r="AO220" s="115"/>
      <x:c r="AP220" s="115"/>
      <x:c r="AQ220" s="115"/>
      <x:c r="AR220" s="115"/>
      <x:c r="AS220" s="115"/>
      <x:c r="AT220" s="115"/>
      <x:c r="AU220" s="115"/>
      <x:c r="AV220" s="115"/>
      <x:c r="AW220" s="115"/>
      <x:c r="AX220" s="115"/>
      <x:c r="AY220" s="115"/>
      <x:c r="AZ220" s="115"/>
      <x:c r="BA220" s="115"/>
      <x:c r="BB220" s="115"/>
      <x:c r="BC220" s="115"/>
      <x:c r="BD220" s="115"/>
      <x:c r="BE220" s="115"/>
      <x:c r="BF220" s="115"/>
      <x:c r="BG220" s="115"/>
      <x:c r="BH220" s="115"/>
      <x:c r="BI220" s="115"/>
      <x:c r="BJ220" s="115"/>
      <x:c r="BK220" s="115"/>
      <x:c r="BL220" s="115"/>
      <x:c r="BM220" s="115"/>
      <x:c r="BN220" s="115"/>
      <x:c r="BO220" s="115"/>
      <x:c r="BP220" s="115"/>
      <x:c r="BQ220" s="115"/>
      <x:c r="BR220" s="115"/>
      <x:c r="BS220" s="115"/>
      <x:c r="BT220" s="115"/>
      <x:c r="BU220" s="115"/>
      <x:c r="BV220" s="115"/>
      <x:c r="BW220" s="115"/>
      <x:c r="BX220" s="115"/>
      <x:c r="BY220" s="115"/>
      <x:c r="BZ220" s="115"/>
      <x:c r="CA220" s="115"/>
      <x:c r="CB220" s="116"/>
      <x:c r="CC220" s="141" t="str">
        <x:f>IF(COUNT(G220:P220)=0,"",AVERAGE(G220:P220)*4)</x:f>
      </x:c>
      <x:c r="CD220" s="178" t="str">
        <x:f>IF(COUNT(Q220:Z220)=0,"",AVERAGE(Q220:Z220)*4)</x:f>
      </x:c>
      <x:c r="CE220" s="178" t="str">
        <x:f>IF(COUNT(AA220:AJ220)=0,"",AVERAGE(AA220:AJ220)*4)</x:f>
      </x:c>
      <x:c r="CF220" s="178" t="str">
        <x:f>IF(COUNT(AK220:AR220)=0,"",AVERAGE(AK220:AR220)*4)</x:f>
      </x:c>
      <x:c r="CG220" s="178" t="str">
        <x:f>IF(COUNT(AS220:AY220)=0,"",AVERAGE(AS220:AY220)*4)</x:f>
      </x:c>
      <x:c r="CH220" s="178" t="str">
        <x:f>IF(COUNT(AZ220:BG220)=0,"",AVERAGE(AZ220:BG220)*4)</x:f>
      </x:c>
      <x:c r="CI220" s="178" t="str">
        <x:f>IF(COUNT(BH220:BN220)=0,"",AVERAGE(BH220:BN220)*4)</x:f>
      </x:c>
      <x:c r="CJ220" s="178" t="str">
        <x:f>IF(COUNT(BO220:BU220)=0,"",AVERAGE(BO220:BU220)*4)</x:f>
      </x:c>
      <x:c r="CK220" s="178" t="str">
        <x:f>IF(COUNT(BV220:CB220)=0,"",AVERAGE(BV220:CB220)*4)</x:f>
      </x:c>
      <x:c r="CL220" s="178" t="str">
        <x:f>IF(C220="","",IF(COUNT(G220:CB220)&lt;74,"",(CC220*'تنظیمات وزن‌دهی'!$C$5+CD220*'تنظیمات وزن‌دهی'!$C$6+CE220*'تنظیمات وزن‌دهی'!$C$7+CF220*'تنظیمات وزن‌دهی'!$C$8+CG220*'تنظیمات وزن‌دهی'!$C$9+CH220*'تنظیمات وزن‌دهی'!$C$10+CI220*'تنظیمات وزن‌دهی'!$C$11+CJ220*'تنظیمات وزن‌دهی'!$C$12+CK220*'تنظیمات وزن‌دهی'!$C$13)/100))</x:f>
      </x:c>
      <x:c r="CM220" s="178" t="str">
        <x:f>IF(C220="","",IF(COUNT(G220:CB220)=0,"",IF(COUNT(G220:CB220)&lt;74,"موقت - اطلاعات ناقص",IF(CL220&gt;=17,"عالی",IF(CL220&gt;=14,"خوب",IF(CL220&gt;=10,"متوسط","ضعیف"))))))</x:f>
      </x:c>
      <x:c r="CN220" s="178" t="n">
        <x:v>12</x:v>
      </x:c>
      <x:c r="CO220" s="142" t="n">
        <x:f>IF(C220="","",COUNT(G220:CB220)/74)</x:f>
        <x:v>0</x:v>
      </x:c>
      <x:c r="CP220" s="245"/>
    </x:row>
    <x:row r="221">
      <x:c r="A221" s="165" t="n">
        <x:v>217</x:v>
      </x:c>
      <x:c r="B221" s="233" t="str">
        <x:v>تیر</x:v>
      </x:c>
      <x:c r="C221" s="233" t="n">
        <x:f>IF('دانش‌آموزان'!E23="","",'دانش‌آموزان'!B23)</x:f>
        <x:v>19</x:v>
      </x:c>
      <x:c r="D221" s="233" t="str">
        <x:f>IF('دانش‌آموزان'!C23="","",'دانش‌آموزان'!C23)</x:f>
        <x:v>4000000195</x:v>
      </x:c>
      <x:c r="E221" s="233" t="str">
        <x:f>IF('دانش‌آموزان'!E23="","",'دانش‌آموزان'!E23&amp;" "&amp;'دانش‌آموزان'!F23)</x:f>
        <x:v>رضا صادقی</x:v>
      </x:c>
      <x:c r="F221" s="166" t="str">
        <x:f>IF('دانش‌آموزان'!I23="","",'دانش‌آموزان'!I23)</x:f>
        <x:v>sample-7-a</x:v>
      </x:c>
      <x:c r="G221" s="114" t="n">
        <x:v>5</x:v>
      </x:c>
      <x:c r="H221" s="115" t="n">
        <x:v>4</x:v>
      </x:c>
      <x:c r="I221" s="115" t="n">
        <x:v>5</x:v>
      </x:c>
      <x:c r="J221" s="115" t="n">
        <x:v>3</x:v>
      </x:c>
      <x:c r="K221" s="115" t="n">
        <x:v>5</x:v>
      </x:c>
      <x:c r="L221" s="115" t="n">
        <x:v>3</x:v>
      </x:c>
      <x:c r="M221" s="115" t="n">
        <x:v>4</x:v>
      </x:c>
      <x:c r="N221" s="115" t="n">
        <x:v>3</x:v>
      </x:c>
      <x:c r="O221" s="115" t="n">
        <x:v>4</x:v>
      </x:c>
      <x:c r="P221" s="115" t="n">
        <x:v>2</x:v>
      </x:c>
      <x:c r="Q221" s="115" t="n">
        <x:v>4</x:v>
      </x:c>
      <x:c r="R221" s="115" t="n">
        <x:v>5</x:v>
      </x:c>
      <x:c r="S221" s="115" t="n">
        <x:v>4</x:v>
      </x:c>
      <x:c r="T221" s="115" t="n">
        <x:v>5</x:v>
      </x:c>
      <x:c r="U221" s="115" t="n">
        <x:v>3</x:v>
      </x:c>
      <x:c r="V221" s="115" t="n">
        <x:v>5</x:v>
      </x:c>
      <x:c r="W221" s="115" t="n">
        <x:v>3</x:v>
      </x:c>
      <x:c r="X221" s="115" t="n">
        <x:v>4</x:v>
      </x:c>
      <x:c r="Y221" s="115" t="n">
        <x:v>3</x:v>
      </x:c>
      <x:c r="Z221" s="115" t="n">
        <x:v>4</x:v>
      </x:c>
      <x:c r="AA221" s="115" t="n">
        <x:v>2</x:v>
      </x:c>
      <x:c r="AB221" s="115" t="n">
        <x:v>4</x:v>
      </x:c>
      <x:c r="AC221" s="115" t="n">
        <x:v>5</x:v>
      </x:c>
      <x:c r="AD221" s="115" t="n">
        <x:v>4</x:v>
      </x:c>
      <x:c r="AE221" s="115" t="n">
        <x:v>5</x:v>
      </x:c>
      <x:c r="AF221" s="115" t="n">
        <x:v>3</x:v>
      </x:c>
      <x:c r="AG221" s="115" t="n">
        <x:v>5</x:v>
      </x:c>
      <x:c r="AH221" s="115" t="n">
        <x:v>3</x:v>
      </x:c>
      <x:c r="AI221" s="115" t="n">
        <x:v>4</x:v>
      </x:c>
      <x:c r="AJ221" s="115" t="n">
        <x:v>3</x:v>
      </x:c>
      <x:c r="AK221" s="115" t="n">
        <x:v>4</x:v>
      </x:c>
      <x:c r="AL221" s="115" t="n">
        <x:v>2</x:v>
      </x:c>
      <x:c r="AM221" s="115" t="n">
        <x:v>4</x:v>
      </x:c>
      <x:c r="AN221" s="115" t="n">
        <x:v>5</x:v>
      </x:c>
      <x:c r="AO221" s="115" t="n">
        <x:v>4</x:v>
      </x:c>
      <x:c r="AP221" s="115" t="n">
        <x:v>5</x:v>
      </x:c>
      <x:c r="AQ221" s="115" t="n">
        <x:v>3</x:v>
      </x:c>
      <x:c r="AR221" s="115" t="n">
        <x:v>5</x:v>
      </x:c>
      <x:c r="AS221" s="115" t="n">
        <x:v>3</x:v>
      </x:c>
      <x:c r="AT221" s="115" t="n">
        <x:v>4</x:v>
      </x:c>
      <x:c r="AU221" s="115" t="n">
        <x:v>3</x:v>
      </x:c>
      <x:c r="AV221" s="115" t="n">
        <x:v>4</x:v>
      </x:c>
      <x:c r="AW221" s="115" t="n">
        <x:v>2</x:v>
      </x:c>
      <x:c r="AX221" s="115" t="n">
        <x:v>4</x:v>
      </x:c>
      <x:c r="AY221" s="115" t="n">
        <x:v>5</x:v>
      </x:c>
      <x:c r="AZ221" s="115" t="n">
        <x:v>4</x:v>
      </x:c>
      <x:c r="BA221" s="115" t="n">
        <x:v>5</x:v>
      </x:c>
      <x:c r="BB221" s="115" t="n">
        <x:v>3</x:v>
      </x:c>
      <x:c r="BC221" s="115" t="n">
        <x:v>5</x:v>
      </x:c>
      <x:c r="BD221" s="115" t="n">
        <x:v>3</x:v>
      </x:c>
      <x:c r="BE221" s="115" t="n">
        <x:v>4</x:v>
      </x:c>
      <x:c r="BF221" s="115" t="n">
        <x:v>3</x:v>
      </x:c>
      <x:c r="BG221" s="115" t="n">
        <x:v>4</x:v>
      </x:c>
      <x:c r="BH221" s="115" t="n">
        <x:v>2</x:v>
      </x:c>
      <x:c r="BI221" s="115" t="n">
        <x:v>4</x:v>
      </x:c>
      <x:c r="BJ221" s="115" t="n">
        <x:v>5</x:v>
      </x:c>
      <x:c r="BK221" s="115" t="n">
        <x:v>4</x:v>
      </x:c>
      <x:c r="BL221" s="115" t="n">
        <x:v>5</x:v>
      </x:c>
      <x:c r="BM221" s="115" t="n">
        <x:v>3</x:v>
      </x:c>
      <x:c r="BN221" s="115" t="n">
        <x:v>5</x:v>
      </x:c>
      <x:c r="BO221" s="115" t="n">
        <x:v>3</x:v>
      </x:c>
      <x:c r="BP221" s="115" t="n">
        <x:v>4</x:v>
      </x:c>
      <x:c r="BQ221" s="115" t="n">
        <x:v>3</x:v>
      </x:c>
      <x:c r="BR221" s="115" t="n">
        <x:v>4</x:v>
      </x:c>
      <x:c r="BS221" s="115" t="n">
        <x:v>2</x:v>
      </x:c>
      <x:c r="BT221" s="115" t="n">
        <x:v>4</x:v>
      </x:c>
      <x:c r="BU221" s="115" t="n">
        <x:v>5</x:v>
      </x:c>
      <x:c r="BV221" s="115" t="n">
        <x:v>4</x:v>
      </x:c>
      <x:c r="BW221" s="115" t="n">
        <x:v>5</x:v>
      </x:c>
      <x:c r="BX221" s="115" t="n">
        <x:v>3</x:v>
      </x:c>
      <x:c r="BY221" s="115" t="n">
        <x:v>5</x:v>
      </x:c>
      <x:c r="BZ221" s="115" t="n">
        <x:v>3</x:v>
      </x:c>
      <x:c r="CA221" s="115" t="n">
        <x:v>4</x:v>
      </x:c>
      <x:c r="CB221" s="116" t="n">
        <x:v>3</x:v>
      </x:c>
      <x:c r="CC221" s="141" t="n">
        <x:f>IF(COUNT(G221:P221)=0,"",AVERAGE(G221:P221)*4)</x:f>
        <x:v>15.2</x:v>
      </x:c>
      <x:c r="CD221" s="178" t="n">
        <x:f>IF(COUNT(Q221:Z221)=0,"",AVERAGE(Q221:Z221)*4)</x:f>
        <x:v>16</x:v>
      </x:c>
      <x:c r="CE221" s="178" t="n">
        <x:f>IF(COUNT(AA221:AJ221)=0,"",AVERAGE(AA221:AJ221)*4)</x:f>
        <x:v>15.2</x:v>
      </x:c>
      <x:c r="CF221" s="178" t="n">
        <x:f>IF(COUNT(AK221:AR221)=0,"",AVERAGE(AK221:AR221)*4)</x:f>
        <x:v>16</x:v>
      </x:c>
      <x:c r="CG221" s="178" t="n">
        <x:f>IF(COUNT(AS221:AY221)=0,"",AVERAGE(AS221:AY221)*4)</x:f>
        <x:v>14.285714285714286</x:v>
      </x:c>
      <x:c r="CH221" s="178" t="n">
        <x:f>IF(COUNT(AZ221:BG221)=0,"",AVERAGE(AZ221:BG221)*4)</x:f>
        <x:v>15.5</x:v>
      </x:c>
      <x:c r="CI221" s="178" t="n">
        <x:f>IF(COUNT(BH221:BN221)=0,"",AVERAGE(BH221:BN221)*4)</x:f>
        <x:v>16</x:v>
      </x:c>
      <x:c r="CJ221" s="178" t="n">
        <x:f>IF(COUNT(BO221:BU221)=0,"",AVERAGE(BO221:BU221)*4)</x:f>
        <x:v>14.285714285714286</x:v>
      </x:c>
      <x:c r="CK221" s="178" t="n">
        <x:f>IF(COUNT(BV221:CB221)=0,"",AVERAGE(BV221:CB221)*4)</x:f>
        <x:v>15.428571428571429</x:v>
      </x:c>
      <x:c r="CL221" s="178" t="n">
        <x:f>IF(C221="","",IF(COUNT(G221:CB221)&lt;74,"",(CC221*'تنظیمات وزن‌دهی'!$C$5+CD221*'تنظیمات وزن‌دهی'!$C$6+CE221*'تنظیمات وزن‌دهی'!$C$7+CF221*'تنظیمات وزن‌دهی'!$C$8+CG221*'تنظیمات وزن‌دهی'!$C$9+CH221*'تنظیمات وزن‌دهی'!$C$10+CI221*'تنظیمات وزن‌دهی'!$C$11+CJ221*'تنظیمات وزن‌دهی'!$C$12+CK221*'تنظیمات وزن‌دهی'!$C$13)/100))</x:f>
        <x:v>15.417142857142858</x:v>
      </x:c>
      <x:c r="CM221" s="178" t="str">
        <x:f>IF(C221="","",IF(COUNT(G221:CB221)=0,"",IF(COUNT(G221:CB221)&lt;74,"موقت - اطلاعات ناقص",IF(CL221&gt;=17,"عالی",IF(CL221&gt;=14,"خوب",IF(CL221&gt;=10,"متوسط","ضعیف"))))))</x:f>
        <x:v>خوب</x:v>
      </x:c>
      <x:c r="CN221" s="178" t="n">
        <x:v>1</x:v>
      </x:c>
      <x:c r="CO221" s="142" t="n">
        <x:f>IF(C221="","",COUNT(G221:CB221)/74)</x:f>
        <x:v>1</x:v>
      </x:c>
      <x:c r="CP221" s="245" t="str">
        <x:v>داده نمونه کامل برای ماه تیر - دانش‌آموز شماره 19</x:v>
      </x:c>
    </x:row>
    <x:row r="222">
      <x:c r="A222" s="165" t="n">
        <x:v>218</x:v>
      </x:c>
      <x:c r="B222" s="233" t="str">
        <x:v>مرداد</x:v>
      </x:c>
      <x:c r="C222" s="233" t="n">
        <x:f>IF('دانش‌آموزان'!E23="","",'دانش‌آموزان'!B23)</x:f>
        <x:v>19</x:v>
      </x:c>
      <x:c r="D222" s="233" t="str">
        <x:f>IF('دانش‌آموزان'!C23="","",'دانش‌آموزان'!C23)</x:f>
        <x:v>4000000195</x:v>
      </x:c>
      <x:c r="E222" s="233" t="str">
        <x:f>IF('دانش‌آموزان'!E23="","",'دانش‌آموزان'!E23&amp;" "&amp;'دانش‌آموزان'!F23)</x:f>
        <x:v>رضا صادقی</x:v>
      </x:c>
      <x:c r="F222" s="166" t="str">
        <x:f>IF('دانش‌آموزان'!I23="","",'دانش‌آموزان'!I23)</x:f>
        <x:v>sample-7-a</x:v>
      </x:c>
      <x:c r="G222" s="114"/>
      <x:c r="H222" s="115"/>
      <x:c r="I222" s="115"/>
      <x:c r="J222" s="115"/>
      <x:c r="K222" s="115"/>
      <x:c r="L222" s="115"/>
      <x:c r="M222" s="115"/>
      <x:c r="N222" s="115"/>
      <x:c r="O222" s="115"/>
      <x:c r="P222" s="115"/>
      <x:c r="Q222" s="115"/>
      <x:c r="R222" s="115"/>
      <x:c r="S222" s="115"/>
      <x:c r="T222" s="115"/>
      <x:c r="U222" s="115"/>
      <x:c r="V222" s="115"/>
      <x:c r="W222" s="115"/>
      <x:c r="X222" s="115"/>
      <x:c r="Y222" s="115"/>
      <x:c r="Z222" s="115"/>
      <x:c r="AA222" s="115"/>
      <x:c r="AB222" s="115"/>
      <x:c r="AC222" s="115"/>
      <x:c r="AD222" s="115"/>
      <x:c r="AE222" s="115"/>
      <x:c r="AF222" s="115"/>
      <x:c r="AG222" s="115"/>
      <x:c r="AH222" s="115"/>
      <x:c r="AI222" s="115"/>
      <x:c r="AJ222" s="115"/>
      <x:c r="AK222" s="115"/>
      <x:c r="AL222" s="115"/>
      <x:c r="AM222" s="115"/>
      <x:c r="AN222" s="115"/>
      <x:c r="AO222" s="115"/>
      <x:c r="AP222" s="115"/>
      <x:c r="AQ222" s="115"/>
      <x:c r="AR222" s="115"/>
      <x:c r="AS222" s="115"/>
      <x:c r="AT222" s="115"/>
      <x:c r="AU222" s="115"/>
      <x:c r="AV222" s="115"/>
      <x:c r="AW222" s="115"/>
      <x:c r="AX222" s="115"/>
      <x:c r="AY222" s="115"/>
      <x:c r="AZ222" s="115"/>
      <x:c r="BA222" s="115"/>
      <x:c r="BB222" s="115"/>
      <x:c r="BC222" s="115"/>
      <x:c r="BD222" s="115"/>
      <x:c r="BE222" s="115"/>
      <x:c r="BF222" s="115"/>
      <x:c r="BG222" s="115"/>
      <x:c r="BH222" s="115"/>
      <x:c r="BI222" s="115"/>
      <x:c r="BJ222" s="115"/>
      <x:c r="BK222" s="115"/>
      <x:c r="BL222" s="115"/>
      <x:c r="BM222" s="115"/>
      <x:c r="BN222" s="115"/>
      <x:c r="BO222" s="115"/>
      <x:c r="BP222" s="115"/>
      <x:c r="BQ222" s="115"/>
      <x:c r="BR222" s="115"/>
      <x:c r="BS222" s="115"/>
      <x:c r="BT222" s="115"/>
      <x:c r="BU222" s="115"/>
      <x:c r="BV222" s="115"/>
      <x:c r="BW222" s="115"/>
      <x:c r="BX222" s="115"/>
      <x:c r="BY222" s="115"/>
      <x:c r="BZ222" s="115"/>
      <x:c r="CA222" s="115"/>
      <x:c r="CB222" s="116"/>
      <x:c r="CC222" s="141" t="str">
        <x:f>IF(COUNT(G222:P222)=0,"",AVERAGE(G222:P222)*4)</x:f>
      </x:c>
      <x:c r="CD222" s="178" t="str">
        <x:f>IF(COUNT(Q222:Z222)=0,"",AVERAGE(Q222:Z222)*4)</x:f>
      </x:c>
      <x:c r="CE222" s="178" t="str">
        <x:f>IF(COUNT(AA222:AJ222)=0,"",AVERAGE(AA222:AJ222)*4)</x:f>
      </x:c>
      <x:c r="CF222" s="178" t="str">
        <x:f>IF(COUNT(AK222:AR222)=0,"",AVERAGE(AK222:AR222)*4)</x:f>
      </x:c>
      <x:c r="CG222" s="178" t="str">
        <x:f>IF(COUNT(AS222:AY222)=0,"",AVERAGE(AS222:AY222)*4)</x:f>
      </x:c>
      <x:c r="CH222" s="178" t="str">
        <x:f>IF(COUNT(AZ222:BG222)=0,"",AVERAGE(AZ222:BG222)*4)</x:f>
      </x:c>
      <x:c r="CI222" s="178" t="str">
        <x:f>IF(COUNT(BH222:BN222)=0,"",AVERAGE(BH222:BN222)*4)</x:f>
      </x:c>
      <x:c r="CJ222" s="178" t="str">
        <x:f>IF(COUNT(BO222:BU222)=0,"",AVERAGE(BO222:BU222)*4)</x:f>
      </x:c>
      <x:c r="CK222" s="178" t="str">
        <x:f>IF(COUNT(BV222:CB222)=0,"",AVERAGE(BV222:CB222)*4)</x:f>
      </x:c>
      <x:c r="CL222" s="178" t="str">
        <x:f>IF(C222="","",IF(COUNT(G222:CB222)&lt;74,"",(CC222*'تنظیمات وزن‌دهی'!$C$5+CD222*'تنظیمات وزن‌دهی'!$C$6+CE222*'تنظیمات وزن‌دهی'!$C$7+CF222*'تنظیمات وزن‌دهی'!$C$8+CG222*'تنظیمات وزن‌دهی'!$C$9+CH222*'تنظیمات وزن‌دهی'!$C$10+CI222*'تنظیمات وزن‌دهی'!$C$11+CJ222*'تنظیمات وزن‌دهی'!$C$12+CK222*'تنظیمات وزن‌دهی'!$C$13)/100))</x:f>
      </x:c>
      <x:c r="CM222" s="178" t="str">
        <x:f>IF(C222="","",IF(COUNT(G222:CB222)=0,"",IF(COUNT(G222:CB222)&lt;74,"موقت - اطلاعات ناقص",IF(CL222&gt;=17,"عالی",IF(CL222&gt;=14,"خوب",IF(CL222&gt;=10,"متوسط","ضعیف"))))))</x:f>
      </x:c>
      <x:c r="CN222" s="178" t="n">
        <x:v>2</x:v>
      </x:c>
      <x:c r="CO222" s="142" t="n">
        <x:f>IF(C222="","",COUNT(G222:CB222)/74)</x:f>
        <x:v>0</x:v>
      </x:c>
      <x:c r="CP222" s="245"/>
    </x:row>
    <x:row r="223">
      <x:c r="A223" s="165" t="n">
        <x:v>219</x:v>
      </x:c>
      <x:c r="B223" s="233" t="str">
        <x:v>شهریور</x:v>
      </x:c>
      <x:c r="C223" s="233" t="n">
        <x:f>IF('دانش‌آموزان'!E23="","",'دانش‌آموزان'!B23)</x:f>
        <x:v>19</x:v>
      </x:c>
      <x:c r="D223" s="233" t="str">
        <x:f>IF('دانش‌آموزان'!C23="","",'دانش‌آموزان'!C23)</x:f>
        <x:v>4000000195</x:v>
      </x:c>
      <x:c r="E223" s="233" t="str">
        <x:f>IF('دانش‌آموزان'!E23="","",'دانش‌آموزان'!E23&amp;" "&amp;'دانش‌آموزان'!F23)</x:f>
        <x:v>رضا صادقی</x:v>
      </x:c>
      <x:c r="F223" s="166" t="str">
        <x:f>IF('دانش‌آموزان'!I23="","",'دانش‌آموزان'!I23)</x:f>
        <x:v>sample-7-a</x:v>
      </x:c>
      <x:c r="G223" s="114"/>
      <x:c r="H223" s="115"/>
      <x:c r="I223" s="115"/>
      <x:c r="J223" s="115"/>
      <x:c r="K223" s="115"/>
      <x:c r="L223" s="115"/>
      <x:c r="M223" s="115"/>
      <x:c r="N223" s="115"/>
      <x:c r="O223" s="115"/>
      <x:c r="P223" s="115"/>
      <x:c r="Q223" s="115"/>
      <x:c r="R223" s="115"/>
      <x:c r="S223" s="115"/>
      <x:c r="T223" s="115"/>
      <x:c r="U223" s="115"/>
      <x:c r="V223" s="115"/>
      <x:c r="W223" s="115"/>
      <x:c r="X223" s="115"/>
      <x:c r="Y223" s="115"/>
      <x:c r="Z223" s="115"/>
      <x:c r="AA223" s="115"/>
      <x:c r="AB223" s="115"/>
      <x:c r="AC223" s="115"/>
      <x:c r="AD223" s="115"/>
      <x:c r="AE223" s="115"/>
      <x:c r="AF223" s="115"/>
      <x:c r="AG223" s="115"/>
      <x:c r="AH223" s="115"/>
      <x:c r="AI223" s="115"/>
      <x:c r="AJ223" s="115"/>
      <x:c r="AK223" s="115"/>
      <x:c r="AL223" s="115"/>
      <x:c r="AM223" s="115"/>
      <x:c r="AN223" s="115"/>
      <x:c r="AO223" s="115"/>
      <x:c r="AP223" s="115"/>
      <x:c r="AQ223" s="115"/>
      <x:c r="AR223" s="115"/>
      <x:c r="AS223" s="115"/>
      <x:c r="AT223" s="115"/>
      <x:c r="AU223" s="115"/>
      <x:c r="AV223" s="115"/>
      <x:c r="AW223" s="115"/>
      <x:c r="AX223" s="115"/>
      <x:c r="AY223" s="115"/>
      <x:c r="AZ223" s="115"/>
      <x:c r="BA223" s="115"/>
      <x:c r="BB223" s="115"/>
      <x:c r="BC223" s="115"/>
      <x:c r="BD223" s="115"/>
      <x:c r="BE223" s="115"/>
      <x:c r="BF223" s="115"/>
      <x:c r="BG223" s="115"/>
      <x:c r="BH223" s="115"/>
      <x:c r="BI223" s="115"/>
      <x:c r="BJ223" s="115"/>
      <x:c r="BK223" s="115"/>
      <x:c r="BL223" s="115"/>
      <x:c r="BM223" s="115"/>
      <x:c r="BN223" s="115"/>
      <x:c r="BO223" s="115"/>
      <x:c r="BP223" s="115"/>
      <x:c r="BQ223" s="115"/>
      <x:c r="BR223" s="115"/>
      <x:c r="BS223" s="115"/>
      <x:c r="BT223" s="115"/>
      <x:c r="BU223" s="115"/>
      <x:c r="BV223" s="115"/>
      <x:c r="BW223" s="115"/>
      <x:c r="BX223" s="115"/>
      <x:c r="BY223" s="115"/>
      <x:c r="BZ223" s="115"/>
      <x:c r="CA223" s="115"/>
      <x:c r="CB223" s="116"/>
      <x:c r="CC223" s="141" t="str">
        <x:f>IF(COUNT(G223:P223)=0,"",AVERAGE(G223:P223)*4)</x:f>
      </x:c>
      <x:c r="CD223" s="178" t="str">
        <x:f>IF(COUNT(Q223:Z223)=0,"",AVERAGE(Q223:Z223)*4)</x:f>
      </x:c>
      <x:c r="CE223" s="178" t="str">
        <x:f>IF(COUNT(AA223:AJ223)=0,"",AVERAGE(AA223:AJ223)*4)</x:f>
      </x:c>
      <x:c r="CF223" s="178" t="str">
        <x:f>IF(COUNT(AK223:AR223)=0,"",AVERAGE(AK223:AR223)*4)</x:f>
      </x:c>
      <x:c r="CG223" s="178" t="str">
        <x:f>IF(COUNT(AS223:AY223)=0,"",AVERAGE(AS223:AY223)*4)</x:f>
      </x:c>
      <x:c r="CH223" s="178" t="str">
        <x:f>IF(COUNT(AZ223:BG223)=0,"",AVERAGE(AZ223:BG223)*4)</x:f>
      </x:c>
      <x:c r="CI223" s="178" t="str">
        <x:f>IF(COUNT(BH223:BN223)=0,"",AVERAGE(BH223:BN223)*4)</x:f>
      </x:c>
      <x:c r="CJ223" s="178" t="str">
        <x:f>IF(COUNT(BO223:BU223)=0,"",AVERAGE(BO223:BU223)*4)</x:f>
      </x:c>
      <x:c r="CK223" s="178" t="str">
        <x:f>IF(COUNT(BV223:CB223)=0,"",AVERAGE(BV223:CB223)*4)</x:f>
      </x:c>
      <x:c r="CL223" s="178" t="str">
        <x:f>IF(C223="","",IF(COUNT(G223:CB223)&lt;74,"",(CC223*'تنظیمات وزن‌دهی'!$C$5+CD223*'تنظیمات وزن‌دهی'!$C$6+CE223*'تنظیمات وزن‌دهی'!$C$7+CF223*'تنظیمات وزن‌دهی'!$C$8+CG223*'تنظیمات وزن‌دهی'!$C$9+CH223*'تنظیمات وزن‌دهی'!$C$10+CI223*'تنظیمات وزن‌دهی'!$C$11+CJ223*'تنظیمات وزن‌دهی'!$C$12+CK223*'تنظیمات وزن‌دهی'!$C$13)/100))</x:f>
      </x:c>
      <x:c r="CM223" s="178" t="str">
        <x:f>IF(C223="","",IF(COUNT(G223:CB223)=0,"",IF(COUNT(G223:CB223)&lt;74,"موقت - اطلاعات ناقص",IF(CL223&gt;=17,"عالی",IF(CL223&gt;=14,"خوب",IF(CL223&gt;=10,"متوسط","ضعیف"))))))</x:f>
      </x:c>
      <x:c r="CN223" s="178" t="n">
        <x:v>3</x:v>
      </x:c>
      <x:c r="CO223" s="142" t="n">
        <x:f>IF(C223="","",COUNT(G223:CB223)/74)</x:f>
        <x:v>0</x:v>
      </x:c>
      <x:c r="CP223" s="245"/>
    </x:row>
    <x:row r="224">
      <x:c r="A224" s="165" t="n">
        <x:v>220</x:v>
      </x:c>
      <x:c r="B224" s="233" t="str">
        <x:v>مهر</x:v>
      </x:c>
      <x:c r="C224" s="233" t="n">
        <x:f>IF('دانش‌آموزان'!E23="","",'دانش‌آموزان'!B23)</x:f>
        <x:v>19</x:v>
      </x:c>
      <x:c r="D224" s="233" t="str">
        <x:f>IF('دانش‌آموزان'!C23="","",'دانش‌آموزان'!C23)</x:f>
        <x:v>4000000195</x:v>
      </x:c>
      <x:c r="E224" s="233" t="str">
        <x:f>IF('دانش‌آموزان'!E23="","",'دانش‌آموزان'!E23&amp;" "&amp;'دانش‌آموزان'!F23)</x:f>
        <x:v>رضا صادقی</x:v>
      </x:c>
      <x:c r="F224" s="166" t="str">
        <x:f>IF('دانش‌آموزان'!I23="","",'دانش‌آموزان'!I23)</x:f>
        <x:v>sample-7-a</x:v>
      </x:c>
      <x:c r="G224" s="114"/>
      <x:c r="H224" s="115"/>
      <x:c r="I224" s="115"/>
      <x:c r="J224" s="115"/>
      <x:c r="K224" s="115"/>
      <x:c r="L224" s="115"/>
      <x:c r="M224" s="115"/>
      <x:c r="N224" s="115"/>
      <x:c r="O224" s="115"/>
      <x:c r="P224" s="115"/>
      <x:c r="Q224" s="115"/>
      <x:c r="R224" s="115"/>
      <x:c r="S224" s="115"/>
      <x:c r="T224" s="115"/>
      <x:c r="U224" s="115"/>
      <x:c r="V224" s="115"/>
      <x:c r="W224" s="115"/>
      <x:c r="X224" s="115"/>
      <x:c r="Y224" s="115"/>
      <x:c r="Z224" s="115"/>
      <x:c r="AA224" s="115"/>
      <x:c r="AB224" s="115"/>
      <x:c r="AC224" s="115"/>
      <x:c r="AD224" s="115"/>
      <x:c r="AE224" s="115"/>
      <x:c r="AF224" s="115"/>
      <x:c r="AG224" s="115"/>
      <x:c r="AH224" s="115"/>
      <x:c r="AI224" s="115"/>
      <x:c r="AJ224" s="115"/>
      <x:c r="AK224" s="115"/>
      <x:c r="AL224" s="115"/>
      <x:c r="AM224" s="115"/>
      <x:c r="AN224" s="115"/>
      <x:c r="AO224" s="115"/>
      <x:c r="AP224" s="115"/>
      <x:c r="AQ224" s="115"/>
      <x:c r="AR224" s="115"/>
      <x:c r="AS224" s="115"/>
      <x:c r="AT224" s="115"/>
      <x:c r="AU224" s="115"/>
      <x:c r="AV224" s="115"/>
      <x:c r="AW224" s="115"/>
      <x:c r="AX224" s="115"/>
      <x:c r="AY224" s="115"/>
      <x:c r="AZ224" s="115"/>
      <x:c r="BA224" s="115"/>
      <x:c r="BB224" s="115"/>
      <x:c r="BC224" s="115"/>
      <x:c r="BD224" s="115"/>
      <x:c r="BE224" s="115"/>
      <x:c r="BF224" s="115"/>
      <x:c r="BG224" s="115"/>
      <x:c r="BH224" s="115"/>
      <x:c r="BI224" s="115"/>
      <x:c r="BJ224" s="115"/>
      <x:c r="BK224" s="115"/>
      <x:c r="BL224" s="115"/>
      <x:c r="BM224" s="115"/>
      <x:c r="BN224" s="115"/>
      <x:c r="BO224" s="115"/>
      <x:c r="BP224" s="115"/>
      <x:c r="BQ224" s="115"/>
      <x:c r="BR224" s="115"/>
      <x:c r="BS224" s="115"/>
      <x:c r="BT224" s="115"/>
      <x:c r="BU224" s="115"/>
      <x:c r="BV224" s="115"/>
      <x:c r="BW224" s="115"/>
      <x:c r="BX224" s="115"/>
      <x:c r="BY224" s="115"/>
      <x:c r="BZ224" s="115"/>
      <x:c r="CA224" s="115"/>
      <x:c r="CB224" s="116"/>
      <x:c r="CC224" s="141" t="str">
        <x:f>IF(COUNT(G224:P224)=0,"",AVERAGE(G224:P224)*4)</x:f>
      </x:c>
      <x:c r="CD224" s="178" t="str">
        <x:f>IF(COUNT(Q224:Z224)=0,"",AVERAGE(Q224:Z224)*4)</x:f>
      </x:c>
      <x:c r="CE224" s="178" t="str">
        <x:f>IF(COUNT(AA224:AJ224)=0,"",AVERAGE(AA224:AJ224)*4)</x:f>
      </x:c>
      <x:c r="CF224" s="178" t="str">
        <x:f>IF(COUNT(AK224:AR224)=0,"",AVERAGE(AK224:AR224)*4)</x:f>
      </x:c>
      <x:c r="CG224" s="178" t="str">
        <x:f>IF(COUNT(AS224:AY224)=0,"",AVERAGE(AS224:AY224)*4)</x:f>
      </x:c>
      <x:c r="CH224" s="178" t="str">
        <x:f>IF(COUNT(AZ224:BG224)=0,"",AVERAGE(AZ224:BG224)*4)</x:f>
      </x:c>
      <x:c r="CI224" s="178" t="str">
        <x:f>IF(COUNT(BH224:BN224)=0,"",AVERAGE(BH224:BN224)*4)</x:f>
      </x:c>
      <x:c r="CJ224" s="178" t="str">
        <x:f>IF(COUNT(BO224:BU224)=0,"",AVERAGE(BO224:BU224)*4)</x:f>
      </x:c>
      <x:c r="CK224" s="178" t="str">
        <x:f>IF(COUNT(BV224:CB224)=0,"",AVERAGE(BV224:CB224)*4)</x:f>
      </x:c>
      <x:c r="CL224" s="178" t="str">
        <x:f>IF(C224="","",IF(COUNT(G224:CB224)&lt;74,"",(CC224*'تنظیمات وزن‌دهی'!$C$5+CD224*'تنظیمات وزن‌دهی'!$C$6+CE224*'تنظیمات وزن‌دهی'!$C$7+CF224*'تنظیمات وزن‌دهی'!$C$8+CG224*'تنظیمات وزن‌دهی'!$C$9+CH224*'تنظیمات وزن‌دهی'!$C$10+CI224*'تنظیمات وزن‌دهی'!$C$11+CJ224*'تنظیمات وزن‌دهی'!$C$12+CK224*'تنظیمات وزن‌دهی'!$C$13)/100))</x:f>
      </x:c>
      <x:c r="CM224" s="178" t="str">
        <x:f>IF(C224="","",IF(COUNT(G224:CB224)=0,"",IF(COUNT(G224:CB224)&lt;74,"موقت - اطلاعات ناقص",IF(CL224&gt;=17,"عالی",IF(CL224&gt;=14,"خوب",IF(CL224&gt;=10,"متوسط","ضعیف"))))))</x:f>
      </x:c>
      <x:c r="CN224" s="178" t="n">
        <x:v>4</x:v>
      </x:c>
      <x:c r="CO224" s="142" t="n">
        <x:f>IF(C224="","",COUNT(G224:CB224)/74)</x:f>
        <x:v>0</x:v>
      </x:c>
      <x:c r="CP224" s="245"/>
    </x:row>
    <x:row r="225">
      <x:c r="A225" s="165" t="n">
        <x:v>221</x:v>
      </x:c>
      <x:c r="B225" s="233" t="str">
        <x:v>آبان</x:v>
      </x:c>
      <x:c r="C225" s="233" t="n">
        <x:f>IF('دانش‌آموزان'!E23="","",'دانش‌آموزان'!B23)</x:f>
        <x:v>19</x:v>
      </x:c>
      <x:c r="D225" s="233" t="str">
        <x:f>IF('دانش‌آموزان'!C23="","",'دانش‌آموزان'!C23)</x:f>
        <x:v>4000000195</x:v>
      </x:c>
      <x:c r="E225" s="233" t="str">
        <x:f>IF('دانش‌آموزان'!E23="","",'دانش‌آموزان'!E23&amp;" "&amp;'دانش‌آموزان'!F23)</x:f>
        <x:v>رضا صادقی</x:v>
      </x:c>
      <x:c r="F225" s="166" t="str">
        <x:f>IF('دانش‌آموزان'!I23="","",'دانش‌آموزان'!I23)</x:f>
        <x:v>sample-7-a</x:v>
      </x:c>
      <x:c r="G225" s="114"/>
      <x:c r="H225" s="115"/>
      <x:c r="I225" s="115"/>
      <x:c r="J225" s="115"/>
      <x:c r="K225" s="115"/>
      <x:c r="L225" s="115"/>
      <x:c r="M225" s="115"/>
      <x:c r="N225" s="115"/>
      <x:c r="O225" s="115"/>
      <x:c r="P225" s="115"/>
      <x:c r="Q225" s="115"/>
      <x:c r="R225" s="115"/>
      <x:c r="S225" s="115"/>
      <x:c r="T225" s="115"/>
      <x:c r="U225" s="115"/>
      <x:c r="V225" s="115"/>
      <x:c r="W225" s="115"/>
      <x:c r="X225" s="115"/>
      <x:c r="Y225" s="115"/>
      <x:c r="Z225" s="115"/>
      <x:c r="AA225" s="115"/>
      <x:c r="AB225" s="115"/>
      <x:c r="AC225" s="115"/>
      <x:c r="AD225" s="115"/>
      <x:c r="AE225" s="115"/>
      <x:c r="AF225" s="115"/>
      <x:c r="AG225" s="115"/>
      <x:c r="AH225" s="115"/>
      <x:c r="AI225" s="115"/>
      <x:c r="AJ225" s="115"/>
      <x:c r="AK225" s="115"/>
      <x:c r="AL225" s="115"/>
      <x:c r="AM225" s="115"/>
      <x:c r="AN225" s="115"/>
      <x:c r="AO225" s="115"/>
      <x:c r="AP225" s="115"/>
      <x:c r="AQ225" s="115"/>
      <x:c r="AR225" s="115"/>
      <x:c r="AS225" s="115"/>
      <x:c r="AT225" s="115"/>
      <x:c r="AU225" s="115"/>
      <x:c r="AV225" s="115"/>
      <x:c r="AW225" s="115"/>
      <x:c r="AX225" s="115"/>
      <x:c r="AY225" s="115"/>
      <x:c r="AZ225" s="115"/>
      <x:c r="BA225" s="115"/>
      <x:c r="BB225" s="115"/>
      <x:c r="BC225" s="115"/>
      <x:c r="BD225" s="115"/>
      <x:c r="BE225" s="115"/>
      <x:c r="BF225" s="115"/>
      <x:c r="BG225" s="115"/>
      <x:c r="BH225" s="115"/>
      <x:c r="BI225" s="115"/>
      <x:c r="BJ225" s="115"/>
      <x:c r="BK225" s="115"/>
      <x:c r="BL225" s="115"/>
      <x:c r="BM225" s="115"/>
      <x:c r="BN225" s="115"/>
      <x:c r="BO225" s="115"/>
      <x:c r="BP225" s="115"/>
      <x:c r="BQ225" s="115"/>
      <x:c r="BR225" s="115"/>
      <x:c r="BS225" s="115"/>
      <x:c r="BT225" s="115"/>
      <x:c r="BU225" s="115"/>
      <x:c r="BV225" s="115"/>
      <x:c r="BW225" s="115"/>
      <x:c r="BX225" s="115"/>
      <x:c r="BY225" s="115"/>
      <x:c r="BZ225" s="115"/>
      <x:c r="CA225" s="115"/>
      <x:c r="CB225" s="116"/>
      <x:c r="CC225" s="141" t="str">
        <x:f>IF(COUNT(G225:P225)=0,"",AVERAGE(G225:P225)*4)</x:f>
      </x:c>
      <x:c r="CD225" s="178" t="str">
        <x:f>IF(COUNT(Q225:Z225)=0,"",AVERAGE(Q225:Z225)*4)</x:f>
      </x:c>
      <x:c r="CE225" s="178" t="str">
        <x:f>IF(COUNT(AA225:AJ225)=0,"",AVERAGE(AA225:AJ225)*4)</x:f>
      </x:c>
      <x:c r="CF225" s="178" t="str">
        <x:f>IF(COUNT(AK225:AR225)=0,"",AVERAGE(AK225:AR225)*4)</x:f>
      </x:c>
      <x:c r="CG225" s="178" t="str">
        <x:f>IF(COUNT(AS225:AY225)=0,"",AVERAGE(AS225:AY225)*4)</x:f>
      </x:c>
      <x:c r="CH225" s="178" t="str">
        <x:f>IF(COUNT(AZ225:BG225)=0,"",AVERAGE(AZ225:BG225)*4)</x:f>
      </x:c>
      <x:c r="CI225" s="178" t="str">
        <x:f>IF(COUNT(BH225:BN225)=0,"",AVERAGE(BH225:BN225)*4)</x:f>
      </x:c>
      <x:c r="CJ225" s="178" t="str">
        <x:f>IF(COUNT(BO225:BU225)=0,"",AVERAGE(BO225:BU225)*4)</x:f>
      </x:c>
      <x:c r="CK225" s="178" t="str">
        <x:f>IF(COUNT(BV225:CB225)=0,"",AVERAGE(BV225:CB225)*4)</x:f>
      </x:c>
      <x:c r="CL225" s="178" t="str">
        <x:f>IF(C225="","",IF(COUNT(G225:CB225)&lt;74,"",(CC225*'تنظیمات وزن‌دهی'!$C$5+CD225*'تنظیمات وزن‌دهی'!$C$6+CE225*'تنظیمات وزن‌دهی'!$C$7+CF225*'تنظیمات وزن‌دهی'!$C$8+CG225*'تنظیمات وزن‌دهی'!$C$9+CH225*'تنظیمات وزن‌دهی'!$C$10+CI225*'تنظیمات وزن‌دهی'!$C$11+CJ225*'تنظیمات وزن‌دهی'!$C$12+CK225*'تنظیمات وزن‌دهی'!$C$13)/100))</x:f>
      </x:c>
      <x:c r="CM225" s="178" t="str">
        <x:f>IF(C225="","",IF(COUNT(G225:CB225)=0,"",IF(COUNT(G225:CB225)&lt;74,"موقت - اطلاعات ناقص",IF(CL225&gt;=17,"عالی",IF(CL225&gt;=14,"خوب",IF(CL225&gt;=10,"متوسط","ضعیف"))))))</x:f>
      </x:c>
      <x:c r="CN225" s="178" t="n">
        <x:v>5</x:v>
      </x:c>
      <x:c r="CO225" s="142" t="n">
        <x:f>IF(C225="","",COUNT(G225:CB225)/74)</x:f>
        <x:v>0</x:v>
      </x:c>
      <x:c r="CP225" s="245"/>
    </x:row>
    <x:row r="226">
      <x:c r="A226" s="165" t="n">
        <x:v>222</x:v>
      </x:c>
      <x:c r="B226" s="233" t="str">
        <x:v>آذر</x:v>
      </x:c>
      <x:c r="C226" s="233" t="n">
        <x:f>IF('دانش‌آموزان'!E23="","",'دانش‌آموزان'!B23)</x:f>
        <x:v>19</x:v>
      </x:c>
      <x:c r="D226" s="233" t="str">
        <x:f>IF('دانش‌آموزان'!C23="","",'دانش‌آموزان'!C23)</x:f>
        <x:v>4000000195</x:v>
      </x:c>
      <x:c r="E226" s="233" t="str">
        <x:f>IF('دانش‌آموزان'!E23="","",'دانش‌آموزان'!E23&amp;" "&amp;'دانش‌آموزان'!F23)</x:f>
        <x:v>رضا صادقی</x:v>
      </x:c>
      <x:c r="F226" s="166" t="str">
        <x:f>IF('دانش‌آموزان'!I23="","",'دانش‌آموزان'!I23)</x:f>
        <x:v>sample-7-a</x:v>
      </x:c>
      <x:c r="G226" s="114"/>
      <x:c r="H226" s="115"/>
      <x:c r="I226" s="115"/>
      <x:c r="J226" s="115"/>
      <x:c r="K226" s="115"/>
      <x:c r="L226" s="115"/>
      <x:c r="M226" s="115"/>
      <x:c r="N226" s="115"/>
      <x:c r="O226" s="115"/>
      <x:c r="P226" s="115"/>
      <x:c r="Q226" s="115"/>
      <x:c r="R226" s="115"/>
      <x:c r="S226" s="115"/>
      <x:c r="T226" s="115"/>
      <x:c r="U226" s="115"/>
      <x:c r="V226" s="115"/>
      <x:c r="W226" s="115"/>
      <x:c r="X226" s="115"/>
      <x:c r="Y226" s="115"/>
      <x:c r="Z226" s="115"/>
      <x:c r="AA226" s="115"/>
      <x:c r="AB226" s="115"/>
      <x:c r="AC226" s="115"/>
      <x:c r="AD226" s="115"/>
      <x:c r="AE226" s="115"/>
      <x:c r="AF226" s="115"/>
      <x:c r="AG226" s="115"/>
      <x:c r="AH226" s="115"/>
      <x:c r="AI226" s="115"/>
      <x:c r="AJ226" s="115"/>
      <x:c r="AK226" s="115"/>
      <x:c r="AL226" s="115"/>
      <x:c r="AM226" s="115"/>
      <x:c r="AN226" s="115"/>
      <x:c r="AO226" s="115"/>
      <x:c r="AP226" s="115"/>
      <x:c r="AQ226" s="115"/>
      <x:c r="AR226" s="115"/>
      <x:c r="AS226" s="115"/>
      <x:c r="AT226" s="115"/>
      <x:c r="AU226" s="115"/>
      <x:c r="AV226" s="115"/>
      <x:c r="AW226" s="115"/>
      <x:c r="AX226" s="115"/>
      <x:c r="AY226" s="115"/>
      <x:c r="AZ226" s="115"/>
      <x:c r="BA226" s="115"/>
      <x:c r="BB226" s="115"/>
      <x:c r="BC226" s="115"/>
      <x:c r="BD226" s="115"/>
      <x:c r="BE226" s="115"/>
      <x:c r="BF226" s="115"/>
      <x:c r="BG226" s="115"/>
      <x:c r="BH226" s="115"/>
      <x:c r="BI226" s="115"/>
      <x:c r="BJ226" s="115"/>
      <x:c r="BK226" s="115"/>
      <x:c r="BL226" s="115"/>
      <x:c r="BM226" s="115"/>
      <x:c r="BN226" s="115"/>
      <x:c r="BO226" s="115"/>
      <x:c r="BP226" s="115"/>
      <x:c r="BQ226" s="115"/>
      <x:c r="BR226" s="115"/>
      <x:c r="BS226" s="115"/>
      <x:c r="BT226" s="115"/>
      <x:c r="BU226" s="115"/>
      <x:c r="BV226" s="115"/>
      <x:c r="BW226" s="115"/>
      <x:c r="BX226" s="115"/>
      <x:c r="BY226" s="115"/>
      <x:c r="BZ226" s="115"/>
      <x:c r="CA226" s="115"/>
      <x:c r="CB226" s="116"/>
      <x:c r="CC226" s="141" t="str">
        <x:f>IF(COUNT(G226:P226)=0,"",AVERAGE(G226:P226)*4)</x:f>
      </x:c>
      <x:c r="CD226" s="178" t="str">
        <x:f>IF(COUNT(Q226:Z226)=0,"",AVERAGE(Q226:Z226)*4)</x:f>
      </x:c>
      <x:c r="CE226" s="178" t="str">
        <x:f>IF(COUNT(AA226:AJ226)=0,"",AVERAGE(AA226:AJ226)*4)</x:f>
      </x:c>
      <x:c r="CF226" s="178" t="str">
        <x:f>IF(COUNT(AK226:AR226)=0,"",AVERAGE(AK226:AR226)*4)</x:f>
      </x:c>
      <x:c r="CG226" s="178" t="str">
        <x:f>IF(COUNT(AS226:AY226)=0,"",AVERAGE(AS226:AY226)*4)</x:f>
      </x:c>
      <x:c r="CH226" s="178" t="str">
        <x:f>IF(COUNT(AZ226:BG226)=0,"",AVERAGE(AZ226:BG226)*4)</x:f>
      </x:c>
      <x:c r="CI226" s="178" t="str">
        <x:f>IF(COUNT(BH226:BN226)=0,"",AVERAGE(BH226:BN226)*4)</x:f>
      </x:c>
      <x:c r="CJ226" s="178" t="str">
        <x:f>IF(COUNT(BO226:BU226)=0,"",AVERAGE(BO226:BU226)*4)</x:f>
      </x:c>
      <x:c r="CK226" s="178" t="str">
        <x:f>IF(COUNT(BV226:CB226)=0,"",AVERAGE(BV226:CB226)*4)</x:f>
      </x:c>
      <x:c r="CL226" s="178" t="str">
        <x:f>IF(C226="","",IF(COUNT(G226:CB226)&lt;74,"",(CC226*'تنظیمات وزن‌دهی'!$C$5+CD226*'تنظیمات وزن‌دهی'!$C$6+CE226*'تنظیمات وزن‌دهی'!$C$7+CF226*'تنظیمات وزن‌دهی'!$C$8+CG226*'تنظیمات وزن‌دهی'!$C$9+CH226*'تنظیمات وزن‌دهی'!$C$10+CI226*'تنظیمات وزن‌دهی'!$C$11+CJ226*'تنظیمات وزن‌دهی'!$C$12+CK226*'تنظیمات وزن‌دهی'!$C$13)/100))</x:f>
      </x:c>
      <x:c r="CM226" s="178" t="str">
        <x:f>IF(C226="","",IF(COUNT(G226:CB226)=0,"",IF(COUNT(G226:CB226)&lt;74,"موقت - اطلاعات ناقص",IF(CL226&gt;=17,"عالی",IF(CL226&gt;=14,"خوب",IF(CL226&gt;=10,"متوسط","ضعیف"))))))</x:f>
      </x:c>
      <x:c r="CN226" s="178" t="n">
        <x:v>6</x:v>
      </x:c>
      <x:c r="CO226" s="142" t="n">
        <x:f>IF(C226="","",COUNT(G226:CB226)/74)</x:f>
        <x:v>0</x:v>
      </x:c>
      <x:c r="CP226" s="245"/>
    </x:row>
    <x:row r="227">
      <x:c r="A227" s="165" t="n">
        <x:v>223</x:v>
      </x:c>
      <x:c r="B227" s="233" t="str">
        <x:v>دی</x:v>
      </x:c>
      <x:c r="C227" s="233" t="n">
        <x:f>IF('دانش‌آموزان'!E23="","",'دانش‌آموزان'!B23)</x:f>
        <x:v>19</x:v>
      </x:c>
      <x:c r="D227" s="233" t="str">
        <x:f>IF('دانش‌آموزان'!C23="","",'دانش‌آموزان'!C23)</x:f>
        <x:v>4000000195</x:v>
      </x:c>
      <x:c r="E227" s="233" t="str">
        <x:f>IF('دانش‌آموزان'!E23="","",'دانش‌آموزان'!E23&amp;" "&amp;'دانش‌آموزان'!F23)</x:f>
        <x:v>رضا صادقی</x:v>
      </x:c>
      <x:c r="F227" s="166" t="str">
        <x:f>IF('دانش‌آموزان'!I23="","",'دانش‌آموزان'!I23)</x:f>
        <x:v>sample-7-a</x:v>
      </x:c>
      <x:c r="G227" s="114"/>
      <x:c r="H227" s="115"/>
      <x:c r="I227" s="115"/>
      <x:c r="J227" s="115"/>
      <x:c r="K227" s="115"/>
      <x:c r="L227" s="115"/>
      <x:c r="M227" s="115"/>
      <x:c r="N227" s="115"/>
      <x:c r="O227" s="115"/>
      <x:c r="P227" s="115"/>
      <x:c r="Q227" s="115"/>
      <x:c r="R227" s="115"/>
      <x:c r="S227" s="115"/>
      <x:c r="T227" s="115"/>
      <x:c r="U227" s="115"/>
      <x:c r="V227" s="115"/>
      <x:c r="W227" s="115"/>
      <x:c r="X227" s="115"/>
      <x:c r="Y227" s="115"/>
      <x:c r="Z227" s="115"/>
      <x:c r="AA227" s="115"/>
      <x:c r="AB227" s="115"/>
      <x:c r="AC227" s="115"/>
      <x:c r="AD227" s="115"/>
      <x:c r="AE227" s="115"/>
      <x:c r="AF227" s="115"/>
      <x:c r="AG227" s="115"/>
      <x:c r="AH227" s="115"/>
      <x:c r="AI227" s="115"/>
      <x:c r="AJ227" s="115"/>
      <x:c r="AK227" s="115"/>
      <x:c r="AL227" s="115"/>
      <x:c r="AM227" s="115"/>
      <x:c r="AN227" s="115"/>
      <x:c r="AO227" s="115"/>
      <x:c r="AP227" s="115"/>
      <x:c r="AQ227" s="115"/>
      <x:c r="AR227" s="115"/>
      <x:c r="AS227" s="115"/>
      <x:c r="AT227" s="115"/>
      <x:c r="AU227" s="115"/>
      <x:c r="AV227" s="115"/>
      <x:c r="AW227" s="115"/>
      <x:c r="AX227" s="115"/>
      <x:c r="AY227" s="115"/>
      <x:c r="AZ227" s="115"/>
      <x:c r="BA227" s="115"/>
      <x:c r="BB227" s="115"/>
      <x:c r="BC227" s="115"/>
      <x:c r="BD227" s="115"/>
      <x:c r="BE227" s="115"/>
      <x:c r="BF227" s="115"/>
      <x:c r="BG227" s="115"/>
      <x:c r="BH227" s="115"/>
      <x:c r="BI227" s="115"/>
      <x:c r="BJ227" s="115"/>
      <x:c r="BK227" s="115"/>
      <x:c r="BL227" s="115"/>
      <x:c r="BM227" s="115"/>
      <x:c r="BN227" s="115"/>
      <x:c r="BO227" s="115"/>
      <x:c r="BP227" s="115"/>
      <x:c r="BQ227" s="115"/>
      <x:c r="BR227" s="115"/>
      <x:c r="BS227" s="115"/>
      <x:c r="BT227" s="115"/>
      <x:c r="BU227" s="115"/>
      <x:c r="BV227" s="115"/>
      <x:c r="BW227" s="115"/>
      <x:c r="BX227" s="115"/>
      <x:c r="BY227" s="115"/>
      <x:c r="BZ227" s="115"/>
      <x:c r="CA227" s="115"/>
      <x:c r="CB227" s="116"/>
      <x:c r="CC227" s="141" t="str">
        <x:f>IF(COUNT(G227:P227)=0,"",AVERAGE(G227:P227)*4)</x:f>
      </x:c>
      <x:c r="CD227" s="178" t="str">
        <x:f>IF(COUNT(Q227:Z227)=0,"",AVERAGE(Q227:Z227)*4)</x:f>
      </x:c>
      <x:c r="CE227" s="178" t="str">
        <x:f>IF(COUNT(AA227:AJ227)=0,"",AVERAGE(AA227:AJ227)*4)</x:f>
      </x:c>
      <x:c r="CF227" s="178" t="str">
        <x:f>IF(COUNT(AK227:AR227)=0,"",AVERAGE(AK227:AR227)*4)</x:f>
      </x:c>
      <x:c r="CG227" s="178" t="str">
        <x:f>IF(COUNT(AS227:AY227)=0,"",AVERAGE(AS227:AY227)*4)</x:f>
      </x:c>
      <x:c r="CH227" s="178" t="str">
        <x:f>IF(COUNT(AZ227:BG227)=0,"",AVERAGE(AZ227:BG227)*4)</x:f>
      </x:c>
      <x:c r="CI227" s="178" t="str">
        <x:f>IF(COUNT(BH227:BN227)=0,"",AVERAGE(BH227:BN227)*4)</x:f>
      </x:c>
      <x:c r="CJ227" s="178" t="str">
        <x:f>IF(COUNT(BO227:BU227)=0,"",AVERAGE(BO227:BU227)*4)</x:f>
      </x:c>
      <x:c r="CK227" s="178" t="str">
        <x:f>IF(COUNT(BV227:CB227)=0,"",AVERAGE(BV227:CB227)*4)</x:f>
      </x:c>
      <x:c r="CL227" s="178" t="str">
        <x:f>IF(C227="","",IF(COUNT(G227:CB227)&lt;74,"",(CC227*'تنظیمات وزن‌دهی'!$C$5+CD227*'تنظیمات وزن‌دهی'!$C$6+CE227*'تنظیمات وزن‌دهی'!$C$7+CF227*'تنظیمات وزن‌دهی'!$C$8+CG227*'تنظیمات وزن‌دهی'!$C$9+CH227*'تنظیمات وزن‌دهی'!$C$10+CI227*'تنظیمات وزن‌دهی'!$C$11+CJ227*'تنظیمات وزن‌دهی'!$C$12+CK227*'تنظیمات وزن‌دهی'!$C$13)/100))</x:f>
      </x:c>
      <x:c r="CM227" s="178" t="str">
        <x:f>IF(C227="","",IF(COUNT(G227:CB227)=0,"",IF(COUNT(G227:CB227)&lt;74,"موقت - اطلاعات ناقص",IF(CL227&gt;=17,"عالی",IF(CL227&gt;=14,"خوب",IF(CL227&gt;=10,"متوسط","ضعیف"))))))</x:f>
      </x:c>
      <x:c r="CN227" s="178" t="n">
        <x:v>7</x:v>
      </x:c>
      <x:c r="CO227" s="142" t="n">
        <x:f>IF(C227="","",COUNT(G227:CB227)/74)</x:f>
        <x:v>0</x:v>
      </x:c>
      <x:c r="CP227" s="245"/>
    </x:row>
    <x:row r="228">
      <x:c r="A228" s="165" t="n">
        <x:v>224</x:v>
      </x:c>
      <x:c r="B228" s="233" t="str">
        <x:v>بهمن</x:v>
      </x:c>
      <x:c r="C228" s="233" t="n">
        <x:f>IF('دانش‌آموزان'!E23="","",'دانش‌آموزان'!B23)</x:f>
        <x:v>19</x:v>
      </x:c>
      <x:c r="D228" s="233" t="str">
        <x:f>IF('دانش‌آموزان'!C23="","",'دانش‌آموزان'!C23)</x:f>
        <x:v>4000000195</x:v>
      </x:c>
      <x:c r="E228" s="233" t="str">
        <x:f>IF('دانش‌آموزان'!E23="","",'دانش‌آموزان'!E23&amp;" "&amp;'دانش‌آموزان'!F23)</x:f>
        <x:v>رضا صادقی</x:v>
      </x:c>
      <x:c r="F228" s="166" t="str">
        <x:f>IF('دانش‌آموزان'!I23="","",'دانش‌آموزان'!I23)</x:f>
        <x:v>sample-7-a</x:v>
      </x:c>
      <x:c r="G228" s="114"/>
      <x:c r="H228" s="115"/>
      <x:c r="I228" s="115"/>
      <x:c r="J228" s="115"/>
      <x:c r="K228" s="115"/>
      <x:c r="L228" s="115"/>
      <x:c r="M228" s="115"/>
      <x:c r="N228" s="115"/>
      <x:c r="O228" s="115"/>
      <x:c r="P228" s="115"/>
      <x:c r="Q228" s="115"/>
      <x:c r="R228" s="115"/>
      <x:c r="S228" s="115"/>
      <x:c r="T228" s="115"/>
      <x:c r="U228" s="115"/>
      <x:c r="V228" s="115"/>
      <x:c r="W228" s="115"/>
      <x:c r="X228" s="115"/>
      <x:c r="Y228" s="115"/>
      <x:c r="Z228" s="115"/>
      <x:c r="AA228" s="115"/>
      <x:c r="AB228" s="115"/>
      <x:c r="AC228" s="115"/>
      <x:c r="AD228" s="115"/>
      <x:c r="AE228" s="115"/>
      <x:c r="AF228" s="115"/>
      <x:c r="AG228" s="115"/>
      <x:c r="AH228" s="115"/>
      <x:c r="AI228" s="115"/>
      <x:c r="AJ228" s="115"/>
      <x:c r="AK228" s="115"/>
      <x:c r="AL228" s="115"/>
      <x:c r="AM228" s="115"/>
      <x:c r="AN228" s="115"/>
      <x:c r="AO228" s="115"/>
      <x:c r="AP228" s="115"/>
      <x:c r="AQ228" s="115"/>
      <x:c r="AR228" s="115"/>
      <x:c r="AS228" s="115"/>
      <x:c r="AT228" s="115"/>
      <x:c r="AU228" s="115"/>
      <x:c r="AV228" s="115"/>
      <x:c r="AW228" s="115"/>
      <x:c r="AX228" s="115"/>
      <x:c r="AY228" s="115"/>
      <x:c r="AZ228" s="115"/>
      <x:c r="BA228" s="115"/>
      <x:c r="BB228" s="115"/>
      <x:c r="BC228" s="115"/>
      <x:c r="BD228" s="115"/>
      <x:c r="BE228" s="115"/>
      <x:c r="BF228" s="115"/>
      <x:c r="BG228" s="115"/>
      <x:c r="BH228" s="115"/>
      <x:c r="BI228" s="115"/>
      <x:c r="BJ228" s="115"/>
      <x:c r="BK228" s="115"/>
      <x:c r="BL228" s="115"/>
      <x:c r="BM228" s="115"/>
      <x:c r="BN228" s="115"/>
      <x:c r="BO228" s="115"/>
      <x:c r="BP228" s="115"/>
      <x:c r="BQ228" s="115"/>
      <x:c r="BR228" s="115"/>
      <x:c r="BS228" s="115"/>
      <x:c r="BT228" s="115"/>
      <x:c r="BU228" s="115"/>
      <x:c r="BV228" s="115"/>
      <x:c r="BW228" s="115"/>
      <x:c r="BX228" s="115"/>
      <x:c r="BY228" s="115"/>
      <x:c r="BZ228" s="115"/>
      <x:c r="CA228" s="115"/>
      <x:c r="CB228" s="116"/>
      <x:c r="CC228" s="141" t="str">
        <x:f>IF(COUNT(G228:P228)=0,"",AVERAGE(G228:P228)*4)</x:f>
      </x:c>
      <x:c r="CD228" s="178" t="str">
        <x:f>IF(COUNT(Q228:Z228)=0,"",AVERAGE(Q228:Z228)*4)</x:f>
      </x:c>
      <x:c r="CE228" s="178" t="str">
        <x:f>IF(COUNT(AA228:AJ228)=0,"",AVERAGE(AA228:AJ228)*4)</x:f>
      </x:c>
      <x:c r="CF228" s="178" t="str">
        <x:f>IF(COUNT(AK228:AR228)=0,"",AVERAGE(AK228:AR228)*4)</x:f>
      </x:c>
      <x:c r="CG228" s="178" t="str">
        <x:f>IF(COUNT(AS228:AY228)=0,"",AVERAGE(AS228:AY228)*4)</x:f>
      </x:c>
      <x:c r="CH228" s="178" t="str">
        <x:f>IF(COUNT(AZ228:BG228)=0,"",AVERAGE(AZ228:BG228)*4)</x:f>
      </x:c>
      <x:c r="CI228" s="178" t="str">
        <x:f>IF(COUNT(BH228:BN228)=0,"",AVERAGE(BH228:BN228)*4)</x:f>
      </x:c>
      <x:c r="CJ228" s="178" t="str">
        <x:f>IF(COUNT(BO228:BU228)=0,"",AVERAGE(BO228:BU228)*4)</x:f>
      </x:c>
      <x:c r="CK228" s="178" t="str">
        <x:f>IF(COUNT(BV228:CB228)=0,"",AVERAGE(BV228:CB228)*4)</x:f>
      </x:c>
      <x:c r="CL228" s="178" t="str">
        <x:f>IF(C228="","",IF(COUNT(G228:CB228)&lt;74,"",(CC228*'تنظیمات وزن‌دهی'!$C$5+CD228*'تنظیمات وزن‌دهی'!$C$6+CE228*'تنظیمات وزن‌دهی'!$C$7+CF228*'تنظیمات وزن‌دهی'!$C$8+CG228*'تنظیمات وزن‌دهی'!$C$9+CH228*'تنظیمات وزن‌دهی'!$C$10+CI228*'تنظیمات وزن‌دهی'!$C$11+CJ228*'تنظیمات وزن‌دهی'!$C$12+CK228*'تنظیمات وزن‌دهی'!$C$13)/100))</x:f>
      </x:c>
      <x:c r="CM228" s="178" t="str">
        <x:f>IF(C228="","",IF(COUNT(G228:CB228)=0,"",IF(COUNT(G228:CB228)&lt;74,"موقت - اطلاعات ناقص",IF(CL228&gt;=17,"عالی",IF(CL228&gt;=14,"خوب",IF(CL228&gt;=10,"متوسط","ضعیف"))))))</x:f>
      </x:c>
      <x:c r="CN228" s="178" t="n">
        <x:v>8</x:v>
      </x:c>
      <x:c r="CO228" s="142" t="n">
        <x:f>IF(C228="","",COUNT(G228:CB228)/74)</x:f>
        <x:v>0</x:v>
      </x:c>
      <x:c r="CP228" s="245"/>
    </x:row>
    <x:row r="229">
      <x:c r="A229" s="165" t="n">
        <x:v>225</x:v>
      </x:c>
      <x:c r="B229" s="233" t="str">
        <x:v>اسفند</x:v>
      </x:c>
      <x:c r="C229" s="233" t="n">
        <x:f>IF('دانش‌آموزان'!E23="","",'دانش‌آموزان'!B23)</x:f>
        <x:v>19</x:v>
      </x:c>
      <x:c r="D229" s="233" t="str">
        <x:f>IF('دانش‌آموزان'!C23="","",'دانش‌آموزان'!C23)</x:f>
        <x:v>4000000195</x:v>
      </x:c>
      <x:c r="E229" s="233" t="str">
        <x:f>IF('دانش‌آموزان'!E23="","",'دانش‌آموزان'!E23&amp;" "&amp;'دانش‌آموزان'!F23)</x:f>
        <x:v>رضا صادقی</x:v>
      </x:c>
      <x:c r="F229" s="166" t="str">
        <x:f>IF('دانش‌آموزان'!I23="","",'دانش‌آموزان'!I23)</x:f>
        <x:v>sample-7-a</x:v>
      </x:c>
      <x:c r="G229" s="114"/>
      <x:c r="H229" s="115"/>
      <x:c r="I229" s="115"/>
      <x:c r="J229" s="115"/>
      <x:c r="K229" s="115"/>
      <x:c r="L229" s="115"/>
      <x:c r="M229" s="115"/>
      <x:c r="N229" s="115"/>
      <x:c r="O229" s="115"/>
      <x:c r="P229" s="115"/>
      <x:c r="Q229" s="115"/>
      <x:c r="R229" s="115"/>
      <x:c r="S229" s="115"/>
      <x:c r="T229" s="115"/>
      <x:c r="U229" s="115"/>
      <x:c r="V229" s="115"/>
      <x:c r="W229" s="115"/>
      <x:c r="X229" s="115"/>
      <x:c r="Y229" s="115"/>
      <x:c r="Z229" s="115"/>
      <x:c r="AA229" s="115"/>
      <x:c r="AB229" s="115"/>
      <x:c r="AC229" s="115"/>
      <x:c r="AD229" s="115"/>
      <x:c r="AE229" s="115"/>
      <x:c r="AF229" s="115"/>
      <x:c r="AG229" s="115"/>
      <x:c r="AH229" s="115"/>
      <x:c r="AI229" s="115"/>
      <x:c r="AJ229" s="115"/>
      <x:c r="AK229" s="115"/>
      <x:c r="AL229" s="115"/>
      <x:c r="AM229" s="115"/>
      <x:c r="AN229" s="115"/>
      <x:c r="AO229" s="115"/>
      <x:c r="AP229" s="115"/>
      <x:c r="AQ229" s="115"/>
      <x:c r="AR229" s="115"/>
      <x:c r="AS229" s="115"/>
      <x:c r="AT229" s="115"/>
      <x:c r="AU229" s="115"/>
      <x:c r="AV229" s="115"/>
      <x:c r="AW229" s="115"/>
      <x:c r="AX229" s="115"/>
      <x:c r="AY229" s="115"/>
      <x:c r="AZ229" s="115"/>
      <x:c r="BA229" s="115"/>
      <x:c r="BB229" s="115"/>
      <x:c r="BC229" s="115"/>
      <x:c r="BD229" s="115"/>
      <x:c r="BE229" s="115"/>
      <x:c r="BF229" s="115"/>
      <x:c r="BG229" s="115"/>
      <x:c r="BH229" s="115"/>
      <x:c r="BI229" s="115"/>
      <x:c r="BJ229" s="115"/>
      <x:c r="BK229" s="115"/>
      <x:c r="BL229" s="115"/>
      <x:c r="BM229" s="115"/>
      <x:c r="BN229" s="115"/>
      <x:c r="BO229" s="115"/>
      <x:c r="BP229" s="115"/>
      <x:c r="BQ229" s="115"/>
      <x:c r="BR229" s="115"/>
      <x:c r="BS229" s="115"/>
      <x:c r="BT229" s="115"/>
      <x:c r="BU229" s="115"/>
      <x:c r="BV229" s="115"/>
      <x:c r="BW229" s="115"/>
      <x:c r="BX229" s="115"/>
      <x:c r="BY229" s="115"/>
      <x:c r="BZ229" s="115"/>
      <x:c r="CA229" s="115"/>
      <x:c r="CB229" s="116"/>
      <x:c r="CC229" s="141" t="str">
        <x:f>IF(COUNT(G229:P229)=0,"",AVERAGE(G229:P229)*4)</x:f>
      </x:c>
      <x:c r="CD229" s="178" t="str">
        <x:f>IF(COUNT(Q229:Z229)=0,"",AVERAGE(Q229:Z229)*4)</x:f>
      </x:c>
      <x:c r="CE229" s="178" t="str">
        <x:f>IF(COUNT(AA229:AJ229)=0,"",AVERAGE(AA229:AJ229)*4)</x:f>
      </x:c>
      <x:c r="CF229" s="178" t="str">
        <x:f>IF(COUNT(AK229:AR229)=0,"",AVERAGE(AK229:AR229)*4)</x:f>
      </x:c>
      <x:c r="CG229" s="178" t="str">
        <x:f>IF(COUNT(AS229:AY229)=0,"",AVERAGE(AS229:AY229)*4)</x:f>
      </x:c>
      <x:c r="CH229" s="178" t="str">
        <x:f>IF(COUNT(AZ229:BG229)=0,"",AVERAGE(AZ229:BG229)*4)</x:f>
      </x:c>
      <x:c r="CI229" s="178" t="str">
        <x:f>IF(COUNT(BH229:BN229)=0,"",AVERAGE(BH229:BN229)*4)</x:f>
      </x:c>
      <x:c r="CJ229" s="178" t="str">
        <x:f>IF(COUNT(BO229:BU229)=0,"",AVERAGE(BO229:BU229)*4)</x:f>
      </x:c>
      <x:c r="CK229" s="178" t="str">
        <x:f>IF(COUNT(BV229:CB229)=0,"",AVERAGE(BV229:CB229)*4)</x:f>
      </x:c>
      <x:c r="CL229" s="178" t="str">
        <x:f>IF(C229="","",IF(COUNT(G229:CB229)&lt;74,"",(CC229*'تنظیمات وزن‌دهی'!$C$5+CD229*'تنظیمات وزن‌دهی'!$C$6+CE229*'تنظیمات وزن‌دهی'!$C$7+CF229*'تنظیمات وزن‌دهی'!$C$8+CG229*'تنظیمات وزن‌دهی'!$C$9+CH229*'تنظیمات وزن‌دهی'!$C$10+CI229*'تنظیمات وزن‌دهی'!$C$11+CJ229*'تنظیمات وزن‌دهی'!$C$12+CK229*'تنظیمات وزن‌دهی'!$C$13)/100))</x:f>
      </x:c>
      <x:c r="CM229" s="178" t="str">
        <x:f>IF(C229="","",IF(COUNT(G229:CB229)=0,"",IF(COUNT(G229:CB229)&lt;74,"موقت - اطلاعات ناقص",IF(CL229&gt;=17,"عالی",IF(CL229&gt;=14,"خوب",IF(CL229&gt;=10,"متوسط","ضعیف"))))))</x:f>
      </x:c>
      <x:c r="CN229" s="178" t="n">
        <x:v>9</x:v>
      </x:c>
      <x:c r="CO229" s="142" t="n">
        <x:f>IF(C229="","",COUNT(G229:CB229)/74)</x:f>
        <x:v>0</x:v>
      </x:c>
      <x:c r="CP229" s="245"/>
    </x:row>
    <x:row r="230">
      <x:c r="A230" s="165" t="n">
        <x:v>226</x:v>
      </x:c>
      <x:c r="B230" s="233" t="str">
        <x:v>فروردین</x:v>
      </x:c>
      <x:c r="C230" s="233" t="n">
        <x:f>IF('دانش‌آموزان'!E23="","",'دانش‌آموزان'!B23)</x:f>
        <x:v>19</x:v>
      </x:c>
      <x:c r="D230" s="233" t="str">
        <x:f>IF('دانش‌آموزان'!C23="","",'دانش‌آموزان'!C23)</x:f>
        <x:v>4000000195</x:v>
      </x:c>
      <x:c r="E230" s="233" t="str">
        <x:f>IF('دانش‌آموزان'!E23="","",'دانش‌آموزان'!E23&amp;" "&amp;'دانش‌آموزان'!F23)</x:f>
        <x:v>رضا صادقی</x:v>
      </x:c>
      <x:c r="F230" s="166" t="str">
        <x:f>IF('دانش‌آموزان'!I23="","",'دانش‌آموزان'!I23)</x:f>
        <x:v>sample-7-a</x:v>
      </x:c>
      <x:c r="G230" s="114"/>
      <x:c r="H230" s="115"/>
      <x:c r="I230" s="115"/>
      <x:c r="J230" s="115"/>
      <x:c r="K230" s="115"/>
      <x:c r="L230" s="115"/>
      <x:c r="M230" s="115"/>
      <x:c r="N230" s="115"/>
      <x:c r="O230" s="115"/>
      <x:c r="P230" s="115"/>
      <x:c r="Q230" s="115"/>
      <x:c r="R230" s="115"/>
      <x:c r="S230" s="115"/>
      <x:c r="T230" s="115"/>
      <x:c r="U230" s="115"/>
      <x:c r="V230" s="115"/>
      <x:c r="W230" s="115"/>
      <x:c r="X230" s="115"/>
      <x:c r="Y230" s="115"/>
      <x:c r="Z230" s="115"/>
      <x:c r="AA230" s="115"/>
      <x:c r="AB230" s="115"/>
      <x:c r="AC230" s="115"/>
      <x:c r="AD230" s="115"/>
      <x:c r="AE230" s="115"/>
      <x:c r="AF230" s="115"/>
      <x:c r="AG230" s="115"/>
      <x:c r="AH230" s="115"/>
      <x:c r="AI230" s="115"/>
      <x:c r="AJ230" s="115"/>
      <x:c r="AK230" s="115"/>
      <x:c r="AL230" s="115"/>
      <x:c r="AM230" s="115"/>
      <x:c r="AN230" s="115"/>
      <x:c r="AO230" s="115"/>
      <x:c r="AP230" s="115"/>
      <x:c r="AQ230" s="115"/>
      <x:c r="AR230" s="115"/>
      <x:c r="AS230" s="115"/>
      <x:c r="AT230" s="115"/>
      <x:c r="AU230" s="115"/>
      <x:c r="AV230" s="115"/>
      <x:c r="AW230" s="115"/>
      <x:c r="AX230" s="115"/>
      <x:c r="AY230" s="115"/>
      <x:c r="AZ230" s="115"/>
      <x:c r="BA230" s="115"/>
      <x:c r="BB230" s="115"/>
      <x:c r="BC230" s="115"/>
      <x:c r="BD230" s="115"/>
      <x:c r="BE230" s="115"/>
      <x:c r="BF230" s="115"/>
      <x:c r="BG230" s="115"/>
      <x:c r="BH230" s="115"/>
      <x:c r="BI230" s="115"/>
      <x:c r="BJ230" s="115"/>
      <x:c r="BK230" s="115"/>
      <x:c r="BL230" s="115"/>
      <x:c r="BM230" s="115"/>
      <x:c r="BN230" s="115"/>
      <x:c r="BO230" s="115"/>
      <x:c r="BP230" s="115"/>
      <x:c r="BQ230" s="115"/>
      <x:c r="BR230" s="115"/>
      <x:c r="BS230" s="115"/>
      <x:c r="BT230" s="115"/>
      <x:c r="BU230" s="115"/>
      <x:c r="BV230" s="115"/>
      <x:c r="BW230" s="115"/>
      <x:c r="BX230" s="115"/>
      <x:c r="BY230" s="115"/>
      <x:c r="BZ230" s="115"/>
      <x:c r="CA230" s="115"/>
      <x:c r="CB230" s="116"/>
      <x:c r="CC230" s="141" t="str">
        <x:f>IF(COUNT(G230:P230)=0,"",AVERAGE(G230:P230)*4)</x:f>
      </x:c>
      <x:c r="CD230" s="178" t="str">
        <x:f>IF(COUNT(Q230:Z230)=0,"",AVERAGE(Q230:Z230)*4)</x:f>
      </x:c>
      <x:c r="CE230" s="178" t="str">
        <x:f>IF(COUNT(AA230:AJ230)=0,"",AVERAGE(AA230:AJ230)*4)</x:f>
      </x:c>
      <x:c r="CF230" s="178" t="str">
        <x:f>IF(COUNT(AK230:AR230)=0,"",AVERAGE(AK230:AR230)*4)</x:f>
      </x:c>
      <x:c r="CG230" s="178" t="str">
        <x:f>IF(COUNT(AS230:AY230)=0,"",AVERAGE(AS230:AY230)*4)</x:f>
      </x:c>
      <x:c r="CH230" s="178" t="str">
        <x:f>IF(COUNT(AZ230:BG230)=0,"",AVERAGE(AZ230:BG230)*4)</x:f>
      </x:c>
      <x:c r="CI230" s="178" t="str">
        <x:f>IF(COUNT(BH230:BN230)=0,"",AVERAGE(BH230:BN230)*4)</x:f>
      </x:c>
      <x:c r="CJ230" s="178" t="str">
        <x:f>IF(COUNT(BO230:BU230)=0,"",AVERAGE(BO230:BU230)*4)</x:f>
      </x:c>
      <x:c r="CK230" s="178" t="str">
        <x:f>IF(COUNT(BV230:CB230)=0,"",AVERAGE(BV230:CB230)*4)</x:f>
      </x:c>
      <x:c r="CL230" s="178" t="str">
        <x:f>IF(C230="","",IF(COUNT(G230:CB230)&lt;74,"",(CC230*'تنظیمات وزن‌دهی'!$C$5+CD230*'تنظیمات وزن‌دهی'!$C$6+CE230*'تنظیمات وزن‌دهی'!$C$7+CF230*'تنظیمات وزن‌دهی'!$C$8+CG230*'تنظیمات وزن‌دهی'!$C$9+CH230*'تنظیمات وزن‌دهی'!$C$10+CI230*'تنظیمات وزن‌دهی'!$C$11+CJ230*'تنظیمات وزن‌دهی'!$C$12+CK230*'تنظیمات وزن‌دهی'!$C$13)/100))</x:f>
      </x:c>
      <x:c r="CM230" s="178" t="str">
        <x:f>IF(C230="","",IF(COUNT(G230:CB230)=0,"",IF(COUNT(G230:CB230)&lt;74,"موقت - اطلاعات ناقص",IF(CL230&gt;=17,"عالی",IF(CL230&gt;=14,"خوب",IF(CL230&gt;=10,"متوسط","ضعیف"))))))</x:f>
      </x:c>
      <x:c r="CN230" s="178" t="n">
        <x:v>10</x:v>
      </x:c>
      <x:c r="CO230" s="142" t="n">
        <x:f>IF(C230="","",COUNT(G230:CB230)/74)</x:f>
        <x:v>0</x:v>
      </x:c>
      <x:c r="CP230" s="245"/>
    </x:row>
    <x:row r="231">
      <x:c r="A231" s="165" t="n">
        <x:v>227</x:v>
      </x:c>
      <x:c r="B231" s="233" t="str">
        <x:v>اردیبهشت</x:v>
      </x:c>
      <x:c r="C231" s="233" t="n">
        <x:f>IF('دانش‌آموزان'!E23="","",'دانش‌آموزان'!B23)</x:f>
        <x:v>19</x:v>
      </x:c>
      <x:c r="D231" s="233" t="str">
        <x:f>IF('دانش‌آموزان'!C23="","",'دانش‌آموزان'!C23)</x:f>
        <x:v>4000000195</x:v>
      </x:c>
      <x:c r="E231" s="233" t="str">
        <x:f>IF('دانش‌آموزان'!E23="","",'دانش‌آموزان'!E23&amp;" "&amp;'دانش‌آموزان'!F23)</x:f>
        <x:v>رضا صادقی</x:v>
      </x:c>
      <x:c r="F231" s="166" t="str">
        <x:f>IF('دانش‌آموزان'!I23="","",'دانش‌آموزان'!I23)</x:f>
        <x:v>sample-7-a</x:v>
      </x:c>
      <x:c r="G231" s="114"/>
      <x:c r="H231" s="115"/>
      <x:c r="I231" s="115"/>
      <x:c r="J231" s="115"/>
      <x:c r="K231" s="115"/>
      <x:c r="L231" s="115"/>
      <x:c r="M231" s="115"/>
      <x:c r="N231" s="115"/>
      <x:c r="O231" s="115"/>
      <x:c r="P231" s="115"/>
      <x:c r="Q231" s="115"/>
      <x:c r="R231" s="115"/>
      <x:c r="S231" s="115"/>
      <x:c r="T231" s="115"/>
      <x:c r="U231" s="115"/>
      <x:c r="V231" s="115"/>
      <x:c r="W231" s="115"/>
      <x:c r="X231" s="115"/>
      <x:c r="Y231" s="115"/>
      <x:c r="Z231" s="115"/>
      <x:c r="AA231" s="115"/>
      <x:c r="AB231" s="115"/>
      <x:c r="AC231" s="115"/>
      <x:c r="AD231" s="115"/>
      <x:c r="AE231" s="115"/>
      <x:c r="AF231" s="115"/>
      <x:c r="AG231" s="115"/>
      <x:c r="AH231" s="115"/>
      <x:c r="AI231" s="115"/>
      <x:c r="AJ231" s="115"/>
      <x:c r="AK231" s="115"/>
      <x:c r="AL231" s="115"/>
      <x:c r="AM231" s="115"/>
      <x:c r="AN231" s="115"/>
      <x:c r="AO231" s="115"/>
      <x:c r="AP231" s="115"/>
      <x:c r="AQ231" s="115"/>
      <x:c r="AR231" s="115"/>
      <x:c r="AS231" s="115"/>
      <x:c r="AT231" s="115"/>
      <x:c r="AU231" s="115"/>
      <x:c r="AV231" s="115"/>
      <x:c r="AW231" s="115"/>
      <x:c r="AX231" s="115"/>
      <x:c r="AY231" s="115"/>
      <x:c r="AZ231" s="115"/>
      <x:c r="BA231" s="115"/>
      <x:c r="BB231" s="115"/>
      <x:c r="BC231" s="115"/>
      <x:c r="BD231" s="115"/>
      <x:c r="BE231" s="115"/>
      <x:c r="BF231" s="115"/>
      <x:c r="BG231" s="115"/>
      <x:c r="BH231" s="115"/>
      <x:c r="BI231" s="115"/>
      <x:c r="BJ231" s="115"/>
      <x:c r="BK231" s="115"/>
      <x:c r="BL231" s="115"/>
      <x:c r="BM231" s="115"/>
      <x:c r="BN231" s="115"/>
      <x:c r="BO231" s="115"/>
      <x:c r="BP231" s="115"/>
      <x:c r="BQ231" s="115"/>
      <x:c r="BR231" s="115"/>
      <x:c r="BS231" s="115"/>
      <x:c r="BT231" s="115"/>
      <x:c r="BU231" s="115"/>
      <x:c r="BV231" s="115"/>
      <x:c r="BW231" s="115"/>
      <x:c r="BX231" s="115"/>
      <x:c r="BY231" s="115"/>
      <x:c r="BZ231" s="115"/>
      <x:c r="CA231" s="115"/>
      <x:c r="CB231" s="116"/>
      <x:c r="CC231" s="141" t="str">
        <x:f>IF(COUNT(G231:P231)=0,"",AVERAGE(G231:P231)*4)</x:f>
      </x:c>
      <x:c r="CD231" s="178" t="str">
        <x:f>IF(COUNT(Q231:Z231)=0,"",AVERAGE(Q231:Z231)*4)</x:f>
      </x:c>
      <x:c r="CE231" s="178" t="str">
        <x:f>IF(COUNT(AA231:AJ231)=0,"",AVERAGE(AA231:AJ231)*4)</x:f>
      </x:c>
      <x:c r="CF231" s="178" t="str">
        <x:f>IF(COUNT(AK231:AR231)=0,"",AVERAGE(AK231:AR231)*4)</x:f>
      </x:c>
      <x:c r="CG231" s="178" t="str">
        <x:f>IF(COUNT(AS231:AY231)=0,"",AVERAGE(AS231:AY231)*4)</x:f>
      </x:c>
      <x:c r="CH231" s="178" t="str">
        <x:f>IF(COUNT(AZ231:BG231)=0,"",AVERAGE(AZ231:BG231)*4)</x:f>
      </x:c>
      <x:c r="CI231" s="178" t="str">
        <x:f>IF(COUNT(BH231:BN231)=0,"",AVERAGE(BH231:BN231)*4)</x:f>
      </x:c>
      <x:c r="CJ231" s="178" t="str">
        <x:f>IF(COUNT(BO231:BU231)=0,"",AVERAGE(BO231:BU231)*4)</x:f>
      </x:c>
      <x:c r="CK231" s="178" t="str">
        <x:f>IF(COUNT(BV231:CB231)=0,"",AVERAGE(BV231:CB231)*4)</x:f>
      </x:c>
      <x:c r="CL231" s="178" t="str">
        <x:f>IF(C231="","",IF(COUNT(G231:CB231)&lt;74,"",(CC231*'تنظیمات وزن‌دهی'!$C$5+CD231*'تنظیمات وزن‌دهی'!$C$6+CE231*'تنظیمات وزن‌دهی'!$C$7+CF231*'تنظیمات وزن‌دهی'!$C$8+CG231*'تنظیمات وزن‌دهی'!$C$9+CH231*'تنظیمات وزن‌دهی'!$C$10+CI231*'تنظیمات وزن‌دهی'!$C$11+CJ231*'تنظیمات وزن‌دهی'!$C$12+CK231*'تنظیمات وزن‌دهی'!$C$13)/100))</x:f>
      </x:c>
      <x:c r="CM231" s="178" t="str">
        <x:f>IF(C231="","",IF(COUNT(G231:CB231)=0,"",IF(COUNT(G231:CB231)&lt;74,"موقت - اطلاعات ناقص",IF(CL231&gt;=17,"عالی",IF(CL231&gt;=14,"خوب",IF(CL231&gt;=10,"متوسط","ضعیف"))))))</x:f>
      </x:c>
      <x:c r="CN231" s="178" t="n">
        <x:v>11</x:v>
      </x:c>
      <x:c r="CO231" s="142" t="n">
        <x:f>IF(C231="","",COUNT(G231:CB231)/74)</x:f>
        <x:v>0</x:v>
      </x:c>
      <x:c r="CP231" s="245"/>
    </x:row>
    <x:row r="232">
      <x:c r="A232" s="165" t="n">
        <x:v>228</x:v>
      </x:c>
      <x:c r="B232" s="233" t="str">
        <x:v>خرداد</x:v>
      </x:c>
      <x:c r="C232" s="233" t="n">
        <x:f>IF('دانش‌آموزان'!E23="","",'دانش‌آموزان'!B23)</x:f>
        <x:v>19</x:v>
      </x:c>
      <x:c r="D232" s="233" t="str">
        <x:f>IF('دانش‌آموزان'!C23="","",'دانش‌آموزان'!C23)</x:f>
        <x:v>4000000195</x:v>
      </x:c>
      <x:c r="E232" s="233" t="str">
        <x:f>IF('دانش‌آموزان'!E23="","",'دانش‌آموزان'!E23&amp;" "&amp;'دانش‌آموزان'!F23)</x:f>
        <x:v>رضا صادقی</x:v>
      </x:c>
      <x:c r="F232" s="166" t="str">
        <x:f>IF('دانش‌آموزان'!I23="","",'دانش‌آموزان'!I23)</x:f>
        <x:v>sample-7-a</x:v>
      </x:c>
      <x:c r="G232" s="114"/>
      <x:c r="H232" s="115"/>
      <x:c r="I232" s="115"/>
      <x:c r="J232" s="115"/>
      <x:c r="K232" s="115"/>
      <x:c r="L232" s="115"/>
      <x:c r="M232" s="115"/>
      <x:c r="N232" s="115"/>
      <x:c r="O232" s="115"/>
      <x:c r="P232" s="115"/>
      <x:c r="Q232" s="115"/>
      <x:c r="R232" s="115"/>
      <x:c r="S232" s="115"/>
      <x:c r="T232" s="115"/>
      <x:c r="U232" s="115"/>
      <x:c r="V232" s="115"/>
      <x:c r="W232" s="115"/>
      <x:c r="X232" s="115"/>
      <x:c r="Y232" s="115"/>
      <x:c r="Z232" s="115"/>
      <x:c r="AA232" s="115"/>
      <x:c r="AB232" s="115"/>
      <x:c r="AC232" s="115"/>
      <x:c r="AD232" s="115"/>
      <x:c r="AE232" s="115"/>
      <x:c r="AF232" s="115"/>
      <x:c r="AG232" s="115"/>
      <x:c r="AH232" s="115"/>
      <x:c r="AI232" s="115"/>
      <x:c r="AJ232" s="115"/>
      <x:c r="AK232" s="115"/>
      <x:c r="AL232" s="115"/>
      <x:c r="AM232" s="115"/>
      <x:c r="AN232" s="115"/>
      <x:c r="AO232" s="115"/>
      <x:c r="AP232" s="115"/>
      <x:c r="AQ232" s="115"/>
      <x:c r="AR232" s="115"/>
      <x:c r="AS232" s="115"/>
      <x:c r="AT232" s="115"/>
      <x:c r="AU232" s="115"/>
      <x:c r="AV232" s="115"/>
      <x:c r="AW232" s="115"/>
      <x:c r="AX232" s="115"/>
      <x:c r="AY232" s="115"/>
      <x:c r="AZ232" s="115"/>
      <x:c r="BA232" s="115"/>
      <x:c r="BB232" s="115"/>
      <x:c r="BC232" s="115"/>
      <x:c r="BD232" s="115"/>
      <x:c r="BE232" s="115"/>
      <x:c r="BF232" s="115"/>
      <x:c r="BG232" s="115"/>
      <x:c r="BH232" s="115"/>
      <x:c r="BI232" s="115"/>
      <x:c r="BJ232" s="115"/>
      <x:c r="BK232" s="115"/>
      <x:c r="BL232" s="115"/>
      <x:c r="BM232" s="115"/>
      <x:c r="BN232" s="115"/>
      <x:c r="BO232" s="115"/>
      <x:c r="BP232" s="115"/>
      <x:c r="BQ232" s="115"/>
      <x:c r="BR232" s="115"/>
      <x:c r="BS232" s="115"/>
      <x:c r="BT232" s="115"/>
      <x:c r="BU232" s="115"/>
      <x:c r="BV232" s="115"/>
      <x:c r="BW232" s="115"/>
      <x:c r="BX232" s="115"/>
      <x:c r="BY232" s="115"/>
      <x:c r="BZ232" s="115"/>
      <x:c r="CA232" s="115"/>
      <x:c r="CB232" s="116"/>
      <x:c r="CC232" s="141" t="str">
        <x:f>IF(COUNT(G232:P232)=0,"",AVERAGE(G232:P232)*4)</x:f>
      </x:c>
      <x:c r="CD232" s="178" t="str">
        <x:f>IF(COUNT(Q232:Z232)=0,"",AVERAGE(Q232:Z232)*4)</x:f>
      </x:c>
      <x:c r="CE232" s="178" t="str">
        <x:f>IF(COUNT(AA232:AJ232)=0,"",AVERAGE(AA232:AJ232)*4)</x:f>
      </x:c>
      <x:c r="CF232" s="178" t="str">
        <x:f>IF(COUNT(AK232:AR232)=0,"",AVERAGE(AK232:AR232)*4)</x:f>
      </x:c>
      <x:c r="CG232" s="178" t="str">
        <x:f>IF(COUNT(AS232:AY232)=0,"",AVERAGE(AS232:AY232)*4)</x:f>
      </x:c>
      <x:c r="CH232" s="178" t="str">
        <x:f>IF(COUNT(AZ232:BG232)=0,"",AVERAGE(AZ232:BG232)*4)</x:f>
      </x:c>
      <x:c r="CI232" s="178" t="str">
        <x:f>IF(COUNT(BH232:BN232)=0,"",AVERAGE(BH232:BN232)*4)</x:f>
      </x:c>
      <x:c r="CJ232" s="178" t="str">
        <x:f>IF(COUNT(BO232:BU232)=0,"",AVERAGE(BO232:BU232)*4)</x:f>
      </x:c>
      <x:c r="CK232" s="178" t="str">
        <x:f>IF(COUNT(BV232:CB232)=0,"",AVERAGE(BV232:CB232)*4)</x:f>
      </x:c>
      <x:c r="CL232" s="178" t="str">
        <x:f>IF(C232="","",IF(COUNT(G232:CB232)&lt;74,"",(CC232*'تنظیمات وزن‌دهی'!$C$5+CD232*'تنظیمات وزن‌دهی'!$C$6+CE232*'تنظیمات وزن‌دهی'!$C$7+CF232*'تنظیمات وزن‌دهی'!$C$8+CG232*'تنظیمات وزن‌دهی'!$C$9+CH232*'تنظیمات وزن‌دهی'!$C$10+CI232*'تنظیمات وزن‌دهی'!$C$11+CJ232*'تنظیمات وزن‌دهی'!$C$12+CK232*'تنظیمات وزن‌دهی'!$C$13)/100))</x:f>
      </x:c>
      <x:c r="CM232" s="178" t="str">
        <x:f>IF(C232="","",IF(COUNT(G232:CB232)=0,"",IF(COUNT(G232:CB232)&lt;74,"موقت - اطلاعات ناقص",IF(CL232&gt;=17,"عالی",IF(CL232&gt;=14,"خوب",IF(CL232&gt;=10,"متوسط","ضعیف"))))))</x:f>
      </x:c>
      <x:c r="CN232" s="178" t="n">
        <x:v>12</x:v>
      </x:c>
      <x:c r="CO232" s="142" t="n">
        <x:f>IF(C232="","",COUNT(G232:CB232)/74)</x:f>
        <x:v>0</x:v>
      </x:c>
      <x:c r="CP232" s="245"/>
    </x:row>
    <x:row r="233">
      <x:c r="A233" s="165" t="n">
        <x:v>229</x:v>
      </x:c>
      <x:c r="B233" s="233" t="str">
        <x:v>تیر</x:v>
      </x:c>
      <x:c r="C233" s="233" t="n">
        <x:f>IF('دانش‌آموزان'!E24="","",'دانش‌آموزان'!B24)</x:f>
        <x:v>20</x:v>
      </x:c>
      <x:c r="D233" s="233" t="str">
        <x:f>IF('دانش‌آموزان'!C24="","",'دانش‌آموزان'!C24)</x:f>
        <x:v>4000000209</x:v>
      </x:c>
      <x:c r="E233" s="233" t="str">
        <x:f>IF('دانش‌آموزان'!E24="","",'دانش‌آموزان'!E24&amp;" "&amp;'دانش‌آموزان'!F24)</x:f>
        <x:v>آوا کاظمی</x:v>
      </x:c>
      <x:c r="F233" s="166" t="str">
        <x:f>IF('دانش‌آموزان'!I24="","",'دانش‌آموزان'!I24)</x:f>
        <x:v>sample-7-a</x:v>
      </x:c>
      <x:c r="G233" s="114" t="n">
        <x:v>3</x:v>
      </x:c>
      <x:c r="H233" s="115" t="n">
        <x:v>4</x:v>
      </x:c>
      <x:c r="I233" s="115" t="n">
        <x:v>3</x:v>
      </x:c>
      <x:c r="J233" s="115" t="n">
        <x:v>4</x:v>
      </x:c>
      <x:c r="K233" s="115" t="n">
        <x:v>2</x:v>
      </x:c>
      <x:c r="L233" s="115" t="n">
        <x:v>4</x:v>
      </x:c>
      <x:c r="M233" s="115" t="n">
        <x:v>5</x:v>
      </x:c>
      <x:c r="N233" s="115" t="n">
        <x:v>4</x:v>
      </x:c>
      <x:c r="O233" s="115" t="n">
        <x:v>5</x:v>
      </x:c>
      <x:c r="P233" s="115" t="n">
        <x:v>3</x:v>
      </x:c>
      <x:c r="Q233" s="115" t="n">
        <x:v>5</x:v>
      </x:c>
      <x:c r="R233" s="115" t="n">
        <x:v>3</x:v>
      </x:c>
      <x:c r="S233" s="115" t="n">
        <x:v>4</x:v>
      </x:c>
      <x:c r="T233" s="115" t="n">
        <x:v>3</x:v>
      </x:c>
      <x:c r="U233" s="115" t="n">
        <x:v>4</x:v>
      </x:c>
      <x:c r="V233" s="115" t="n">
        <x:v>2</x:v>
      </x:c>
      <x:c r="W233" s="115" t="n">
        <x:v>4</x:v>
      </x:c>
      <x:c r="X233" s="115" t="n">
        <x:v>5</x:v>
      </x:c>
      <x:c r="Y233" s="115" t="n">
        <x:v>4</x:v>
      </x:c>
      <x:c r="Z233" s="115" t="n">
        <x:v>5</x:v>
      </x:c>
      <x:c r="AA233" s="115" t="n">
        <x:v>3</x:v>
      </x:c>
      <x:c r="AB233" s="115" t="n">
        <x:v>5</x:v>
      </x:c>
      <x:c r="AC233" s="115" t="n">
        <x:v>3</x:v>
      </x:c>
      <x:c r="AD233" s="115" t="n">
        <x:v>4</x:v>
      </x:c>
      <x:c r="AE233" s="115" t="n">
        <x:v>3</x:v>
      </x:c>
      <x:c r="AF233" s="115" t="n">
        <x:v>4</x:v>
      </x:c>
      <x:c r="AG233" s="115" t="n">
        <x:v>2</x:v>
      </x:c>
      <x:c r="AH233" s="115" t="n">
        <x:v>4</x:v>
      </x:c>
      <x:c r="AI233" s="115" t="n">
        <x:v>5</x:v>
      </x:c>
      <x:c r="AJ233" s="115" t="n">
        <x:v>4</x:v>
      </x:c>
      <x:c r="AK233" s="115" t="n">
        <x:v>5</x:v>
      </x:c>
      <x:c r="AL233" s="115" t="n">
        <x:v>3</x:v>
      </x:c>
      <x:c r="AM233" s="115" t="n">
        <x:v>5</x:v>
      </x:c>
      <x:c r="AN233" s="115" t="n">
        <x:v>3</x:v>
      </x:c>
      <x:c r="AO233" s="115" t="n">
        <x:v>4</x:v>
      </x:c>
      <x:c r="AP233" s="115" t="n">
        <x:v>3</x:v>
      </x:c>
      <x:c r="AQ233" s="115" t="n">
        <x:v>4</x:v>
      </x:c>
      <x:c r="AR233" s="115" t="n">
        <x:v>2</x:v>
      </x:c>
      <x:c r="AS233" s="115" t="n">
        <x:v>4</x:v>
      </x:c>
      <x:c r="AT233" s="115" t="n">
        <x:v>5</x:v>
      </x:c>
      <x:c r="AU233" s="115" t="n">
        <x:v>4</x:v>
      </x:c>
      <x:c r="AV233" s="115" t="n">
        <x:v>5</x:v>
      </x:c>
      <x:c r="AW233" s="115" t="n">
        <x:v>3</x:v>
      </x:c>
      <x:c r="AX233" s="115" t="n">
        <x:v>5</x:v>
      </x:c>
      <x:c r="AY233" s="115" t="n">
        <x:v>3</x:v>
      </x:c>
      <x:c r="AZ233" s="115" t="n">
        <x:v>4</x:v>
      </x:c>
      <x:c r="BA233" s="115" t="n">
        <x:v>3</x:v>
      </x:c>
      <x:c r="BB233" s="115" t="n">
        <x:v>4</x:v>
      </x:c>
      <x:c r="BC233" s="115" t="n">
        <x:v>2</x:v>
      </x:c>
      <x:c r="BD233" s="115" t="n">
        <x:v>4</x:v>
      </x:c>
      <x:c r="BE233" s="115" t="n">
        <x:v>5</x:v>
      </x:c>
      <x:c r="BF233" s="115" t="n">
        <x:v>4</x:v>
      </x:c>
      <x:c r="BG233" s="115" t="n">
        <x:v>5</x:v>
      </x:c>
      <x:c r="BH233" s="115" t="n">
        <x:v>3</x:v>
      </x:c>
      <x:c r="BI233" s="115" t="n">
        <x:v>5</x:v>
      </x:c>
      <x:c r="BJ233" s="115" t="n">
        <x:v>3</x:v>
      </x:c>
      <x:c r="BK233" s="115" t="n">
        <x:v>4</x:v>
      </x:c>
      <x:c r="BL233" s="115" t="n">
        <x:v>3</x:v>
      </x:c>
      <x:c r="BM233" s="115" t="n">
        <x:v>4</x:v>
      </x:c>
      <x:c r="BN233" s="115" t="n">
        <x:v>2</x:v>
      </x:c>
      <x:c r="BO233" s="115" t="n">
        <x:v>4</x:v>
      </x:c>
      <x:c r="BP233" s="115" t="n">
        <x:v>5</x:v>
      </x:c>
      <x:c r="BQ233" s="115" t="n">
        <x:v>4</x:v>
      </x:c>
      <x:c r="BR233" s="115" t="n">
        <x:v>5</x:v>
      </x:c>
      <x:c r="BS233" s="115" t="n">
        <x:v>3</x:v>
      </x:c>
      <x:c r="BT233" s="115" t="n">
        <x:v>5</x:v>
      </x:c>
      <x:c r="BU233" s="115" t="n">
        <x:v>3</x:v>
      </x:c>
      <x:c r="BV233" s="115" t="n">
        <x:v>4</x:v>
      </x:c>
      <x:c r="BW233" s="115" t="n">
        <x:v>3</x:v>
      </x:c>
      <x:c r="BX233" s="115" t="n">
        <x:v>4</x:v>
      </x:c>
      <x:c r="BY233" s="115" t="n">
        <x:v>2</x:v>
      </x:c>
      <x:c r="BZ233" s="115" t="n">
        <x:v>4</x:v>
      </x:c>
      <x:c r="CA233" s="115" t="n">
        <x:v>5</x:v>
      </x:c>
      <x:c r="CB233" s="116" t="n">
        <x:v>4</x:v>
      </x:c>
      <x:c r="CC233" s="141" t="n">
        <x:f>IF(COUNT(G233:P233)=0,"",AVERAGE(G233:P233)*4)</x:f>
        <x:v>14.8</x:v>
      </x:c>
      <x:c r="CD233" s="178" t="n">
        <x:f>IF(COUNT(Q233:Z233)=0,"",AVERAGE(Q233:Z233)*4)</x:f>
        <x:v>15.6</x:v>
      </x:c>
      <x:c r="CE233" s="178" t="n">
        <x:f>IF(COUNT(AA233:AJ233)=0,"",AVERAGE(AA233:AJ233)*4)</x:f>
        <x:v>14.8</x:v>
      </x:c>
      <x:c r="CF233" s="178" t="n">
        <x:f>IF(COUNT(AK233:AR233)=0,"",AVERAGE(AK233:AR233)*4)</x:f>
        <x:v>14.5</x:v>
      </x:c>
      <x:c r="CG233" s="178" t="n">
        <x:f>IF(COUNT(AS233:AY233)=0,"",AVERAGE(AS233:AY233)*4)</x:f>
        <x:v>16.571428571428573</x:v>
      </x:c>
      <x:c r="CH233" s="178" t="n">
        <x:f>IF(COUNT(AZ233:BG233)=0,"",AVERAGE(AZ233:BG233)*4)</x:f>
        <x:v>15.5</x:v>
      </x:c>
      <x:c r="CI233" s="178" t="n">
        <x:f>IF(COUNT(BH233:BN233)=0,"",AVERAGE(BH233:BN233)*4)</x:f>
        <x:v>13.714285714285714</x:v>
      </x:c>
      <x:c r="CJ233" s="178" t="n">
        <x:f>IF(COUNT(BO233:BU233)=0,"",AVERAGE(BO233:BU233)*4)</x:f>
        <x:v>16.571428571428573</x:v>
      </x:c>
      <x:c r="CK233" s="178" t="n">
        <x:f>IF(COUNT(BV233:CB233)=0,"",AVERAGE(BV233:CB233)*4)</x:f>
        <x:v>14.857142857142858</x:v>
      </x:c>
      <x:c r="CL233" s="178" t="n">
        <x:f>IF(C233="","",IF(COUNT(G233:CB233)&lt;74,"",(CC233*'تنظیمات وزن‌دهی'!$C$5+CD233*'تنظیمات وزن‌دهی'!$C$6+CE233*'تنظیمات وزن‌دهی'!$C$7+CF233*'تنظیمات وزن‌دهی'!$C$8+CG233*'تنظیمات وزن‌دهی'!$C$9+CH233*'تنظیمات وزن‌دهی'!$C$10+CI233*'تنظیمات وزن‌دهی'!$C$11+CJ233*'تنظیمات وزن‌دهی'!$C$12+CK233*'تنظیمات وزن‌دهی'!$C$13)/100))</x:f>
        <x:v>15.089285714285715</x:v>
      </x:c>
      <x:c r="CM233" s="178" t="str">
        <x:f>IF(C233="","",IF(COUNT(G233:CB233)=0,"",IF(COUNT(G233:CB233)&lt;74,"موقت - اطلاعات ناقص",IF(CL233&gt;=17,"عالی",IF(CL233&gt;=14,"خوب",IF(CL233&gt;=10,"متوسط","ضعیف"))))))</x:f>
        <x:v>خوب</x:v>
      </x:c>
      <x:c r="CN233" s="178" t="n">
        <x:v>1</x:v>
      </x:c>
      <x:c r="CO233" s="142" t="n">
        <x:f>IF(C233="","",COUNT(G233:CB233)/74)</x:f>
        <x:v>1</x:v>
      </x:c>
      <x:c r="CP233" s="245" t="str">
        <x:v>داده نمونه کامل برای ماه تیر - دانش‌آموز شماره 20</x:v>
      </x:c>
    </x:row>
    <x:row r="234">
      <x:c r="A234" s="165" t="n">
        <x:v>230</x:v>
      </x:c>
      <x:c r="B234" s="233" t="str">
        <x:v>مرداد</x:v>
      </x:c>
      <x:c r="C234" s="233" t="n">
        <x:f>IF('دانش‌آموزان'!E24="","",'دانش‌آموزان'!B24)</x:f>
        <x:v>20</x:v>
      </x:c>
      <x:c r="D234" s="233" t="str">
        <x:f>IF('دانش‌آموزان'!C24="","",'دانش‌آموزان'!C24)</x:f>
        <x:v>4000000209</x:v>
      </x:c>
      <x:c r="E234" s="233" t="str">
        <x:f>IF('دانش‌آموزان'!E24="","",'دانش‌آموزان'!E24&amp;" "&amp;'دانش‌آموزان'!F24)</x:f>
        <x:v>آوا کاظمی</x:v>
      </x:c>
      <x:c r="F234" s="166" t="str">
        <x:f>IF('دانش‌آموزان'!I24="","",'دانش‌آموزان'!I24)</x:f>
        <x:v>sample-7-a</x:v>
      </x:c>
      <x:c r="G234" s="114"/>
      <x:c r="H234" s="115"/>
      <x:c r="I234" s="115"/>
      <x:c r="J234" s="115"/>
      <x:c r="K234" s="115"/>
      <x:c r="L234" s="115"/>
      <x:c r="M234" s="115"/>
      <x:c r="N234" s="115"/>
      <x:c r="O234" s="115"/>
      <x:c r="P234" s="115"/>
      <x:c r="Q234" s="115"/>
      <x:c r="R234" s="115"/>
      <x:c r="S234" s="115"/>
      <x:c r="T234" s="115"/>
      <x:c r="U234" s="115"/>
      <x:c r="V234" s="115"/>
      <x:c r="W234" s="115"/>
      <x:c r="X234" s="115"/>
      <x:c r="Y234" s="115"/>
      <x:c r="Z234" s="115"/>
      <x:c r="AA234" s="115"/>
      <x:c r="AB234" s="115"/>
      <x:c r="AC234" s="115"/>
      <x:c r="AD234" s="115"/>
      <x:c r="AE234" s="115"/>
      <x:c r="AF234" s="115"/>
      <x:c r="AG234" s="115"/>
      <x:c r="AH234" s="115"/>
      <x:c r="AI234" s="115"/>
      <x:c r="AJ234" s="115"/>
      <x:c r="AK234" s="115"/>
      <x:c r="AL234" s="115"/>
      <x:c r="AM234" s="115"/>
      <x:c r="AN234" s="115"/>
      <x:c r="AO234" s="115"/>
      <x:c r="AP234" s="115"/>
      <x:c r="AQ234" s="115"/>
      <x:c r="AR234" s="115"/>
      <x:c r="AS234" s="115"/>
      <x:c r="AT234" s="115"/>
      <x:c r="AU234" s="115"/>
      <x:c r="AV234" s="115"/>
      <x:c r="AW234" s="115"/>
      <x:c r="AX234" s="115"/>
      <x:c r="AY234" s="115"/>
      <x:c r="AZ234" s="115"/>
      <x:c r="BA234" s="115"/>
      <x:c r="BB234" s="115"/>
      <x:c r="BC234" s="115"/>
      <x:c r="BD234" s="115"/>
      <x:c r="BE234" s="115"/>
      <x:c r="BF234" s="115"/>
      <x:c r="BG234" s="115"/>
      <x:c r="BH234" s="115"/>
      <x:c r="BI234" s="115"/>
      <x:c r="BJ234" s="115"/>
      <x:c r="BK234" s="115"/>
      <x:c r="BL234" s="115"/>
      <x:c r="BM234" s="115"/>
      <x:c r="BN234" s="115"/>
      <x:c r="BO234" s="115"/>
      <x:c r="BP234" s="115"/>
      <x:c r="BQ234" s="115"/>
      <x:c r="BR234" s="115"/>
      <x:c r="BS234" s="115"/>
      <x:c r="BT234" s="115"/>
      <x:c r="BU234" s="115"/>
      <x:c r="BV234" s="115"/>
      <x:c r="BW234" s="115"/>
      <x:c r="BX234" s="115"/>
      <x:c r="BY234" s="115"/>
      <x:c r="BZ234" s="115"/>
      <x:c r="CA234" s="115"/>
      <x:c r="CB234" s="116"/>
      <x:c r="CC234" s="141" t="str">
        <x:f>IF(COUNT(G234:P234)=0,"",AVERAGE(G234:P234)*4)</x:f>
      </x:c>
      <x:c r="CD234" s="178" t="str">
        <x:f>IF(COUNT(Q234:Z234)=0,"",AVERAGE(Q234:Z234)*4)</x:f>
      </x:c>
      <x:c r="CE234" s="178" t="str">
        <x:f>IF(COUNT(AA234:AJ234)=0,"",AVERAGE(AA234:AJ234)*4)</x:f>
      </x:c>
      <x:c r="CF234" s="178" t="str">
        <x:f>IF(COUNT(AK234:AR234)=0,"",AVERAGE(AK234:AR234)*4)</x:f>
      </x:c>
      <x:c r="CG234" s="178" t="str">
        <x:f>IF(COUNT(AS234:AY234)=0,"",AVERAGE(AS234:AY234)*4)</x:f>
      </x:c>
      <x:c r="CH234" s="178" t="str">
        <x:f>IF(COUNT(AZ234:BG234)=0,"",AVERAGE(AZ234:BG234)*4)</x:f>
      </x:c>
      <x:c r="CI234" s="178" t="str">
        <x:f>IF(COUNT(BH234:BN234)=0,"",AVERAGE(BH234:BN234)*4)</x:f>
      </x:c>
      <x:c r="CJ234" s="178" t="str">
        <x:f>IF(COUNT(BO234:BU234)=0,"",AVERAGE(BO234:BU234)*4)</x:f>
      </x:c>
      <x:c r="CK234" s="178" t="str">
        <x:f>IF(COUNT(BV234:CB234)=0,"",AVERAGE(BV234:CB234)*4)</x:f>
      </x:c>
      <x:c r="CL234" s="178" t="str">
        <x:f>IF(C234="","",IF(COUNT(G234:CB234)&lt;74,"",(CC234*'تنظیمات وزن‌دهی'!$C$5+CD234*'تنظیمات وزن‌دهی'!$C$6+CE234*'تنظیمات وزن‌دهی'!$C$7+CF234*'تنظیمات وزن‌دهی'!$C$8+CG234*'تنظیمات وزن‌دهی'!$C$9+CH234*'تنظیمات وزن‌دهی'!$C$10+CI234*'تنظیمات وزن‌دهی'!$C$11+CJ234*'تنظیمات وزن‌دهی'!$C$12+CK234*'تنظیمات وزن‌دهی'!$C$13)/100))</x:f>
      </x:c>
      <x:c r="CM234" s="178" t="str">
        <x:f>IF(C234="","",IF(COUNT(G234:CB234)=0,"",IF(COUNT(G234:CB234)&lt;74,"موقت - اطلاعات ناقص",IF(CL234&gt;=17,"عالی",IF(CL234&gt;=14,"خوب",IF(CL234&gt;=10,"متوسط","ضعیف"))))))</x:f>
      </x:c>
      <x:c r="CN234" s="178" t="n">
        <x:v>2</x:v>
      </x:c>
      <x:c r="CO234" s="142" t="n">
        <x:f>IF(C234="","",COUNT(G234:CB234)/74)</x:f>
        <x:v>0</x:v>
      </x:c>
      <x:c r="CP234" s="245"/>
    </x:row>
    <x:row r="235">
      <x:c r="A235" s="165" t="n">
        <x:v>231</x:v>
      </x:c>
      <x:c r="B235" s="233" t="str">
        <x:v>شهریور</x:v>
      </x:c>
      <x:c r="C235" s="233" t="n">
        <x:f>IF('دانش‌آموزان'!E24="","",'دانش‌آموزان'!B24)</x:f>
        <x:v>20</x:v>
      </x:c>
      <x:c r="D235" s="233" t="str">
        <x:f>IF('دانش‌آموزان'!C24="","",'دانش‌آموزان'!C24)</x:f>
        <x:v>4000000209</x:v>
      </x:c>
      <x:c r="E235" s="233" t="str">
        <x:f>IF('دانش‌آموزان'!E24="","",'دانش‌آموزان'!E24&amp;" "&amp;'دانش‌آموزان'!F24)</x:f>
        <x:v>آوا کاظمی</x:v>
      </x:c>
      <x:c r="F235" s="166" t="str">
        <x:f>IF('دانش‌آموزان'!I24="","",'دانش‌آموزان'!I24)</x:f>
        <x:v>sample-7-a</x:v>
      </x:c>
      <x:c r="G235" s="114"/>
      <x:c r="H235" s="115"/>
      <x:c r="I235" s="115"/>
      <x:c r="J235" s="115"/>
      <x:c r="K235" s="115"/>
      <x:c r="L235" s="115"/>
      <x:c r="M235" s="115"/>
      <x:c r="N235" s="115"/>
      <x:c r="O235" s="115"/>
      <x:c r="P235" s="115"/>
      <x:c r="Q235" s="115"/>
      <x:c r="R235" s="115"/>
      <x:c r="S235" s="115"/>
      <x:c r="T235" s="115"/>
      <x:c r="U235" s="115"/>
      <x:c r="V235" s="115"/>
      <x:c r="W235" s="115"/>
      <x:c r="X235" s="115"/>
      <x:c r="Y235" s="115"/>
      <x:c r="Z235" s="115"/>
      <x:c r="AA235" s="115"/>
      <x:c r="AB235" s="115"/>
      <x:c r="AC235" s="115"/>
      <x:c r="AD235" s="115"/>
      <x:c r="AE235" s="115"/>
      <x:c r="AF235" s="115"/>
      <x:c r="AG235" s="115"/>
      <x:c r="AH235" s="115"/>
      <x:c r="AI235" s="115"/>
      <x:c r="AJ235" s="115"/>
      <x:c r="AK235" s="115"/>
      <x:c r="AL235" s="115"/>
      <x:c r="AM235" s="115"/>
      <x:c r="AN235" s="115"/>
      <x:c r="AO235" s="115"/>
      <x:c r="AP235" s="115"/>
      <x:c r="AQ235" s="115"/>
      <x:c r="AR235" s="115"/>
      <x:c r="AS235" s="115"/>
      <x:c r="AT235" s="115"/>
      <x:c r="AU235" s="115"/>
      <x:c r="AV235" s="115"/>
      <x:c r="AW235" s="115"/>
      <x:c r="AX235" s="115"/>
      <x:c r="AY235" s="115"/>
      <x:c r="AZ235" s="115"/>
      <x:c r="BA235" s="115"/>
      <x:c r="BB235" s="115"/>
      <x:c r="BC235" s="115"/>
      <x:c r="BD235" s="115"/>
      <x:c r="BE235" s="115"/>
      <x:c r="BF235" s="115"/>
      <x:c r="BG235" s="115"/>
      <x:c r="BH235" s="115"/>
      <x:c r="BI235" s="115"/>
      <x:c r="BJ235" s="115"/>
      <x:c r="BK235" s="115"/>
      <x:c r="BL235" s="115"/>
      <x:c r="BM235" s="115"/>
      <x:c r="BN235" s="115"/>
      <x:c r="BO235" s="115"/>
      <x:c r="BP235" s="115"/>
      <x:c r="BQ235" s="115"/>
      <x:c r="BR235" s="115"/>
      <x:c r="BS235" s="115"/>
      <x:c r="BT235" s="115"/>
      <x:c r="BU235" s="115"/>
      <x:c r="BV235" s="115"/>
      <x:c r="BW235" s="115"/>
      <x:c r="BX235" s="115"/>
      <x:c r="BY235" s="115"/>
      <x:c r="BZ235" s="115"/>
      <x:c r="CA235" s="115"/>
      <x:c r="CB235" s="116"/>
      <x:c r="CC235" s="141" t="str">
        <x:f>IF(COUNT(G235:P235)=0,"",AVERAGE(G235:P235)*4)</x:f>
      </x:c>
      <x:c r="CD235" s="178" t="str">
        <x:f>IF(COUNT(Q235:Z235)=0,"",AVERAGE(Q235:Z235)*4)</x:f>
      </x:c>
      <x:c r="CE235" s="178" t="str">
        <x:f>IF(COUNT(AA235:AJ235)=0,"",AVERAGE(AA235:AJ235)*4)</x:f>
      </x:c>
      <x:c r="CF235" s="178" t="str">
        <x:f>IF(COUNT(AK235:AR235)=0,"",AVERAGE(AK235:AR235)*4)</x:f>
      </x:c>
      <x:c r="CG235" s="178" t="str">
        <x:f>IF(COUNT(AS235:AY235)=0,"",AVERAGE(AS235:AY235)*4)</x:f>
      </x:c>
      <x:c r="CH235" s="178" t="str">
        <x:f>IF(COUNT(AZ235:BG235)=0,"",AVERAGE(AZ235:BG235)*4)</x:f>
      </x:c>
      <x:c r="CI235" s="178" t="str">
        <x:f>IF(COUNT(BH235:BN235)=0,"",AVERAGE(BH235:BN235)*4)</x:f>
      </x:c>
      <x:c r="CJ235" s="178" t="str">
        <x:f>IF(COUNT(BO235:BU235)=0,"",AVERAGE(BO235:BU235)*4)</x:f>
      </x:c>
      <x:c r="CK235" s="178" t="str">
        <x:f>IF(COUNT(BV235:CB235)=0,"",AVERAGE(BV235:CB235)*4)</x:f>
      </x:c>
      <x:c r="CL235" s="178" t="str">
        <x:f>IF(C235="","",IF(COUNT(G235:CB235)&lt;74,"",(CC235*'تنظیمات وزن‌دهی'!$C$5+CD235*'تنظیمات وزن‌دهی'!$C$6+CE235*'تنظیمات وزن‌دهی'!$C$7+CF235*'تنظیمات وزن‌دهی'!$C$8+CG235*'تنظیمات وزن‌دهی'!$C$9+CH235*'تنظیمات وزن‌دهی'!$C$10+CI235*'تنظیمات وزن‌دهی'!$C$11+CJ235*'تنظیمات وزن‌دهی'!$C$12+CK235*'تنظیمات وزن‌دهی'!$C$13)/100))</x:f>
      </x:c>
      <x:c r="CM235" s="178" t="str">
        <x:f>IF(C235="","",IF(COUNT(G235:CB235)=0,"",IF(COUNT(G235:CB235)&lt;74,"موقت - اطلاعات ناقص",IF(CL235&gt;=17,"عالی",IF(CL235&gt;=14,"خوب",IF(CL235&gt;=10,"متوسط","ضعیف"))))))</x:f>
      </x:c>
      <x:c r="CN235" s="178" t="n">
        <x:v>3</x:v>
      </x:c>
      <x:c r="CO235" s="142" t="n">
        <x:f>IF(C235="","",COUNT(G235:CB235)/74)</x:f>
        <x:v>0</x:v>
      </x:c>
      <x:c r="CP235" s="245"/>
    </x:row>
    <x:row r="236">
      <x:c r="A236" s="165" t="n">
        <x:v>232</x:v>
      </x:c>
      <x:c r="B236" s="233" t="str">
        <x:v>مهر</x:v>
      </x:c>
      <x:c r="C236" s="233" t="n">
        <x:f>IF('دانش‌آموزان'!E24="","",'دانش‌آموزان'!B24)</x:f>
        <x:v>20</x:v>
      </x:c>
      <x:c r="D236" s="233" t="str">
        <x:f>IF('دانش‌آموزان'!C24="","",'دانش‌آموزان'!C24)</x:f>
        <x:v>4000000209</x:v>
      </x:c>
      <x:c r="E236" s="233" t="str">
        <x:f>IF('دانش‌آموزان'!E24="","",'دانش‌آموزان'!E24&amp;" "&amp;'دانش‌آموزان'!F24)</x:f>
        <x:v>آوا کاظمی</x:v>
      </x:c>
      <x:c r="F236" s="166" t="str">
        <x:f>IF('دانش‌آموزان'!I24="","",'دانش‌آموزان'!I24)</x:f>
        <x:v>sample-7-a</x:v>
      </x:c>
      <x:c r="G236" s="114"/>
      <x:c r="H236" s="115"/>
      <x:c r="I236" s="115"/>
      <x:c r="J236" s="115"/>
      <x:c r="K236" s="115"/>
      <x:c r="L236" s="115"/>
      <x:c r="M236" s="115"/>
      <x:c r="N236" s="115"/>
      <x:c r="O236" s="115"/>
      <x:c r="P236" s="115"/>
      <x:c r="Q236" s="115"/>
      <x:c r="R236" s="115"/>
      <x:c r="S236" s="115"/>
      <x:c r="T236" s="115"/>
      <x:c r="U236" s="115"/>
      <x:c r="V236" s="115"/>
      <x:c r="W236" s="115"/>
      <x:c r="X236" s="115"/>
      <x:c r="Y236" s="115"/>
      <x:c r="Z236" s="115"/>
      <x:c r="AA236" s="115"/>
      <x:c r="AB236" s="115"/>
      <x:c r="AC236" s="115"/>
      <x:c r="AD236" s="115"/>
      <x:c r="AE236" s="115"/>
      <x:c r="AF236" s="115"/>
      <x:c r="AG236" s="115"/>
      <x:c r="AH236" s="115"/>
      <x:c r="AI236" s="115"/>
      <x:c r="AJ236" s="115"/>
      <x:c r="AK236" s="115"/>
      <x:c r="AL236" s="115"/>
      <x:c r="AM236" s="115"/>
      <x:c r="AN236" s="115"/>
      <x:c r="AO236" s="115"/>
      <x:c r="AP236" s="115"/>
      <x:c r="AQ236" s="115"/>
      <x:c r="AR236" s="115"/>
      <x:c r="AS236" s="115"/>
      <x:c r="AT236" s="115"/>
      <x:c r="AU236" s="115"/>
      <x:c r="AV236" s="115"/>
      <x:c r="AW236" s="115"/>
      <x:c r="AX236" s="115"/>
      <x:c r="AY236" s="115"/>
      <x:c r="AZ236" s="115"/>
      <x:c r="BA236" s="115"/>
      <x:c r="BB236" s="115"/>
      <x:c r="BC236" s="115"/>
      <x:c r="BD236" s="115"/>
      <x:c r="BE236" s="115"/>
      <x:c r="BF236" s="115"/>
      <x:c r="BG236" s="115"/>
      <x:c r="BH236" s="115"/>
      <x:c r="BI236" s="115"/>
      <x:c r="BJ236" s="115"/>
      <x:c r="BK236" s="115"/>
      <x:c r="BL236" s="115"/>
      <x:c r="BM236" s="115"/>
      <x:c r="BN236" s="115"/>
      <x:c r="BO236" s="115"/>
      <x:c r="BP236" s="115"/>
      <x:c r="BQ236" s="115"/>
      <x:c r="BR236" s="115"/>
      <x:c r="BS236" s="115"/>
      <x:c r="BT236" s="115"/>
      <x:c r="BU236" s="115"/>
      <x:c r="BV236" s="115"/>
      <x:c r="BW236" s="115"/>
      <x:c r="BX236" s="115"/>
      <x:c r="BY236" s="115"/>
      <x:c r="BZ236" s="115"/>
      <x:c r="CA236" s="115"/>
      <x:c r="CB236" s="116"/>
      <x:c r="CC236" s="141" t="str">
        <x:f>IF(COUNT(G236:P236)=0,"",AVERAGE(G236:P236)*4)</x:f>
      </x:c>
      <x:c r="CD236" s="178" t="str">
        <x:f>IF(COUNT(Q236:Z236)=0,"",AVERAGE(Q236:Z236)*4)</x:f>
      </x:c>
      <x:c r="CE236" s="178" t="str">
        <x:f>IF(COUNT(AA236:AJ236)=0,"",AVERAGE(AA236:AJ236)*4)</x:f>
      </x:c>
      <x:c r="CF236" s="178" t="str">
        <x:f>IF(COUNT(AK236:AR236)=0,"",AVERAGE(AK236:AR236)*4)</x:f>
      </x:c>
      <x:c r="CG236" s="178" t="str">
        <x:f>IF(COUNT(AS236:AY236)=0,"",AVERAGE(AS236:AY236)*4)</x:f>
      </x:c>
      <x:c r="CH236" s="178" t="str">
        <x:f>IF(COUNT(AZ236:BG236)=0,"",AVERAGE(AZ236:BG236)*4)</x:f>
      </x:c>
      <x:c r="CI236" s="178" t="str">
        <x:f>IF(COUNT(BH236:BN236)=0,"",AVERAGE(BH236:BN236)*4)</x:f>
      </x:c>
      <x:c r="CJ236" s="178" t="str">
        <x:f>IF(COUNT(BO236:BU236)=0,"",AVERAGE(BO236:BU236)*4)</x:f>
      </x:c>
      <x:c r="CK236" s="178" t="str">
        <x:f>IF(COUNT(BV236:CB236)=0,"",AVERAGE(BV236:CB236)*4)</x:f>
      </x:c>
      <x:c r="CL236" s="178" t="str">
        <x:f>IF(C236="","",IF(COUNT(G236:CB236)&lt;74,"",(CC236*'تنظیمات وزن‌دهی'!$C$5+CD236*'تنظیمات وزن‌دهی'!$C$6+CE236*'تنظیمات وزن‌دهی'!$C$7+CF236*'تنظیمات وزن‌دهی'!$C$8+CG236*'تنظیمات وزن‌دهی'!$C$9+CH236*'تنظیمات وزن‌دهی'!$C$10+CI236*'تنظیمات وزن‌دهی'!$C$11+CJ236*'تنظیمات وزن‌دهی'!$C$12+CK236*'تنظیمات وزن‌دهی'!$C$13)/100))</x:f>
      </x:c>
      <x:c r="CM236" s="178" t="str">
        <x:f>IF(C236="","",IF(COUNT(G236:CB236)=0,"",IF(COUNT(G236:CB236)&lt;74,"موقت - اطلاعات ناقص",IF(CL236&gt;=17,"عالی",IF(CL236&gt;=14,"خوب",IF(CL236&gt;=10,"متوسط","ضعیف"))))))</x:f>
      </x:c>
      <x:c r="CN236" s="178" t="n">
        <x:v>4</x:v>
      </x:c>
      <x:c r="CO236" s="142" t="n">
        <x:f>IF(C236="","",COUNT(G236:CB236)/74)</x:f>
        <x:v>0</x:v>
      </x:c>
      <x:c r="CP236" s="245"/>
    </x:row>
    <x:row r="237">
      <x:c r="A237" s="165" t="n">
        <x:v>233</x:v>
      </x:c>
      <x:c r="B237" s="233" t="str">
        <x:v>آبان</x:v>
      </x:c>
      <x:c r="C237" s="233" t="n">
        <x:f>IF('دانش‌آموزان'!E24="","",'دانش‌آموزان'!B24)</x:f>
        <x:v>20</x:v>
      </x:c>
      <x:c r="D237" s="233" t="str">
        <x:f>IF('دانش‌آموزان'!C24="","",'دانش‌آموزان'!C24)</x:f>
        <x:v>4000000209</x:v>
      </x:c>
      <x:c r="E237" s="233" t="str">
        <x:f>IF('دانش‌آموزان'!E24="","",'دانش‌آموزان'!E24&amp;" "&amp;'دانش‌آموزان'!F24)</x:f>
        <x:v>آوا کاظمی</x:v>
      </x:c>
      <x:c r="F237" s="166" t="str">
        <x:f>IF('دانش‌آموزان'!I24="","",'دانش‌آموزان'!I24)</x:f>
        <x:v>sample-7-a</x:v>
      </x:c>
      <x:c r="G237" s="114"/>
      <x:c r="H237" s="115"/>
      <x:c r="I237" s="115"/>
      <x:c r="J237" s="115"/>
      <x:c r="K237" s="115"/>
      <x:c r="L237" s="115"/>
      <x:c r="M237" s="115"/>
      <x:c r="N237" s="115"/>
      <x:c r="O237" s="115"/>
      <x:c r="P237" s="115"/>
      <x:c r="Q237" s="115"/>
      <x:c r="R237" s="115"/>
      <x:c r="S237" s="115"/>
      <x:c r="T237" s="115"/>
      <x:c r="U237" s="115"/>
      <x:c r="V237" s="115"/>
      <x:c r="W237" s="115"/>
      <x:c r="X237" s="115"/>
      <x:c r="Y237" s="115"/>
      <x:c r="Z237" s="115"/>
      <x:c r="AA237" s="115"/>
      <x:c r="AB237" s="115"/>
      <x:c r="AC237" s="115"/>
      <x:c r="AD237" s="115"/>
      <x:c r="AE237" s="115"/>
      <x:c r="AF237" s="115"/>
      <x:c r="AG237" s="115"/>
      <x:c r="AH237" s="115"/>
      <x:c r="AI237" s="115"/>
      <x:c r="AJ237" s="115"/>
      <x:c r="AK237" s="115"/>
      <x:c r="AL237" s="115"/>
      <x:c r="AM237" s="115"/>
      <x:c r="AN237" s="115"/>
      <x:c r="AO237" s="115"/>
      <x:c r="AP237" s="115"/>
      <x:c r="AQ237" s="115"/>
      <x:c r="AR237" s="115"/>
      <x:c r="AS237" s="115"/>
      <x:c r="AT237" s="115"/>
      <x:c r="AU237" s="115"/>
      <x:c r="AV237" s="115"/>
      <x:c r="AW237" s="115"/>
      <x:c r="AX237" s="115"/>
      <x:c r="AY237" s="115"/>
      <x:c r="AZ237" s="115"/>
      <x:c r="BA237" s="115"/>
      <x:c r="BB237" s="115"/>
      <x:c r="BC237" s="115"/>
      <x:c r="BD237" s="115"/>
      <x:c r="BE237" s="115"/>
      <x:c r="BF237" s="115"/>
      <x:c r="BG237" s="115"/>
      <x:c r="BH237" s="115"/>
      <x:c r="BI237" s="115"/>
      <x:c r="BJ237" s="115"/>
      <x:c r="BK237" s="115"/>
      <x:c r="BL237" s="115"/>
      <x:c r="BM237" s="115"/>
      <x:c r="BN237" s="115"/>
      <x:c r="BO237" s="115"/>
      <x:c r="BP237" s="115"/>
      <x:c r="BQ237" s="115"/>
      <x:c r="BR237" s="115"/>
      <x:c r="BS237" s="115"/>
      <x:c r="BT237" s="115"/>
      <x:c r="BU237" s="115"/>
      <x:c r="BV237" s="115"/>
      <x:c r="BW237" s="115"/>
      <x:c r="BX237" s="115"/>
      <x:c r="BY237" s="115"/>
      <x:c r="BZ237" s="115"/>
      <x:c r="CA237" s="115"/>
      <x:c r="CB237" s="116"/>
      <x:c r="CC237" s="141" t="str">
        <x:f>IF(COUNT(G237:P237)=0,"",AVERAGE(G237:P237)*4)</x:f>
      </x:c>
      <x:c r="CD237" s="178" t="str">
        <x:f>IF(COUNT(Q237:Z237)=0,"",AVERAGE(Q237:Z237)*4)</x:f>
      </x:c>
      <x:c r="CE237" s="178" t="str">
        <x:f>IF(COUNT(AA237:AJ237)=0,"",AVERAGE(AA237:AJ237)*4)</x:f>
      </x:c>
      <x:c r="CF237" s="178" t="str">
        <x:f>IF(COUNT(AK237:AR237)=0,"",AVERAGE(AK237:AR237)*4)</x:f>
      </x:c>
      <x:c r="CG237" s="178" t="str">
        <x:f>IF(COUNT(AS237:AY237)=0,"",AVERAGE(AS237:AY237)*4)</x:f>
      </x:c>
      <x:c r="CH237" s="178" t="str">
        <x:f>IF(COUNT(AZ237:BG237)=0,"",AVERAGE(AZ237:BG237)*4)</x:f>
      </x:c>
      <x:c r="CI237" s="178" t="str">
        <x:f>IF(COUNT(BH237:BN237)=0,"",AVERAGE(BH237:BN237)*4)</x:f>
      </x:c>
      <x:c r="CJ237" s="178" t="str">
        <x:f>IF(COUNT(BO237:BU237)=0,"",AVERAGE(BO237:BU237)*4)</x:f>
      </x:c>
      <x:c r="CK237" s="178" t="str">
        <x:f>IF(COUNT(BV237:CB237)=0,"",AVERAGE(BV237:CB237)*4)</x:f>
      </x:c>
      <x:c r="CL237" s="178" t="str">
        <x:f>IF(C237="","",IF(COUNT(G237:CB237)&lt;74,"",(CC237*'تنظیمات وزن‌دهی'!$C$5+CD237*'تنظیمات وزن‌دهی'!$C$6+CE237*'تنظیمات وزن‌دهی'!$C$7+CF237*'تنظیمات وزن‌دهی'!$C$8+CG237*'تنظیمات وزن‌دهی'!$C$9+CH237*'تنظیمات وزن‌دهی'!$C$10+CI237*'تنظیمات وزن‌دهی'!$C$11+CJ237*'تنظیمات وزن‌دهی'!$C$12+CK237*'تنظیمات وزن‌دهی'!$C$13)/100))</x:f>
      </x:c>
      <x:c r="CM237" s="178" t="str">
        <x:f>IF(C237="","",IF(COUNT(G237:CB237)=0,"",IF(COUNT(G237:CB237)&lt;74,"موقت - اطلاعات ناقص",IF(CL237&gt;=17,"عالی",IF(CL237&gt;=14,"خوب",IF(CL237&gt;=10,"متوسط","ضعیف"))))))</x:f>
      </x:c>
      <x:c r="CN237" s="178" t="n">
        <x:v>5</x:v>
      </x:c>
      <x:c r="CO237" s="142" t="n">
        <x:f>IF(C237="","",COUNT(G237:CB237)/74)</x:f>
        <x:v>0</x:v>
      </x:c>
      <x:c r="CP237" s="245"/>
    </x:row>
    <x:row r="238">
      <x:c r="A238" s="165" t="n">
        <x:v>234</x:v>
      </x:c>
      <x:c r="B238" s="233" t="str">
        <x:v>آذر</x:v>
      </x:c>
      <x:c r="C238" s="233" t="n">
        <x:f>IF('دانش‌آموزان'!E24="","",'دانش‌آموزان'!B24)</x:f>
        <x:v>20</x:v>
      </x:c>
      <x:c r="D238" s="233" t="str">
        <x:f>IF('دانش‌آموزان'!C24="","",'دانش‌آموزان'!C24)</x:f>
        <x:v>4000000209</x:v>
      </x:c>
      <x:c r="E238" s="233" t="str">
        <x:f>IF('دانش‌آموزان'!E24="","",'دانش‌آموزان'!E24&amp;" "&amp;'دانش‌آموزان'!F24)</x:f>
        <x:v>آوا کاظمی</x:v>
      </x:c>
      <x:c r="F238" s="166" t="str">
        <x:f>IF('دانش‌آموزان'!I24="","",'دانش‌آموزان'!I24)</x:f>
        <x:v>sample-7-a</x:v>
      </x:c>
      <x:c r="G238" s="114"/>
      <x:c r="H238" s="115"/>
      <x:c r="I238" s="115"/>
      <x:c r="J238" s="115"/>
      <x:c r="K238" s="115"/>
      <x:c r="L238" s="115"/>
      <x:c r="M238" s="115"/>
      <x:c r="N238" s="115"/>
      <x:c r="O238" s="115"/>
      <x:c r="P238" s="115"/>
      <x:c r="Q238" s="115"/>
      <x:c r="R238" s="115"/>
      <x:c r="S238" s="115"/>
      <x:c r="T238" s="115"/>
      <x:c r="U238" s="115"/>
      <x:c r="V238" s="115"/>
      <x:c r="W238" s="115"/>
      <x:c r="X238" s="115"/>
      <x:c r="Y238" s="115"/>
      <x:c r="Z238" s="115"/>
      <x:c r="AA238" s="115"/>
      <x:c r="AB238" s="115"/>
      <x:c r="AC238" s="115"/>
      <x:c r="AD238" s="115"/>
      <x:c r="AE238" s="115"/>
      <x:c r="AF238" s="115"/>
      <x:c r="AG238" s="115"/>
      <x:c r="AH238" s="115"/>
      <x:c r="AI238" s="115"/>
      <x:c r="AJ238" s="115"/>
      <x:c r="AK238" s="115"/>
      <x:c r="AL238" s="115"/>
      <x:c r="AM238" s="115"/>
      <x:c r="AN238" s="115"/>
      <x:c r="AO238" s="115"/>
      <x:c r="AP238" s="115"/>
      <x:c r="AQ238" s="115"/>
      <x:c r="AR238" s="115"/>
      <x:c r="AS238" s="115"/>
      <x:c r="AT238" s="115"/>
      <x:c r="AU238" s="115"/>
      <x:c r="AV238" s="115"/>
      <x:c r="AW238" s="115"/>
      <x:c r="AX238" s="115"/>
      <x:c r="AY238" s="115"/>
      <x:c r="AZ238" s="115"/>
      <x:c r="BA238" s="115"/>
      <x:c r="BB238" s="115"/>
      <x:c r="BC238" s="115"/>
      <x:c r="BD238" s="115"/>
      <x:c r="BE238" s="115"/>
      <x:c r="BF238" s="115"/>
      <x:c r="BG238" s="115"/>
      <x:c r="BH238" s="115"/>
      <x:c r="BI238" s="115"/>
      <x:c r="BJ238" s="115"/>
      <x:c r="BK238" s="115"/>
      <x:c r="BL238" s="115"/>
      <x:c r="BM238" s="115"/>
      <x:c r="BN238" s="115"/>
      <x:c r="BO238" s="115"/>
      <x:c r="BP238" s="115"/>
      <x:c r="BQ238" s="115"/>
      <x:c r="BR238" s="115"/>
      <x:c r="BS238" s="115"/>
      <x:c r="BT238" s="115"/>
      <x:c r="BU238" s="115"/>
      <x:c r="BV238" s="115"/>
      <x:c r="BW238" s="115"/>
      <x:c r="BX238" s="115"/>
      <x:c r="BY238" s="115"/>
      <x:c r="BZ238" s="115"/>
      <x:c r="CA238" s="115"/>
      <x:c r="CB238" s="116"/>
      <x:c r="CC238" s="141" t="str">
        <x:f>IF(COUNT(G238:P238)=0,"",AVERAGE(G238:P238)*4)</x:f>
      </x:c>
      <x:c r="CD238" s="178" t="str">
        <x:f>IF(COUNT(Q238:Z238)=0,"",AVERAGE(Q238:Z238)*4)</x:f>
      </x:c>
      <x:c r="CE238" s="178" t="str">
        <x:f>IF(COUNT(AA238:AJ238)=0,"",AVERAGE(AA238:AJ238)*4)</x:f>
      </x:c>
      <x:c r="CF238" s="178" t="str">
        <x:f>IF(COUNT(AK238:AR238)=0,"",AVERAGE(AK238:AR238)*4)</x:f>
      </x:c>
      <x:c r="CG238" s="178" t="str">
        <x:f>IF(COUNT(AS238:AY238)=0,"",AVERAGE(AS238:AY238)*4)</x:f>
      </x:c>
      <x:c r="CH238" s="178" t="str">
        <x:f>IF(COUNT(AZ238:BG238)=0,"",AVERAGE(AZ238:BG238)*4)</x:f>
      </x:c>
      <x:c r="CI238" s="178" t="str">
        <x:f>IF(COUNT(BH238:BN238)=0,"",AVERAGE(BH238:BN238)*4)</x:f>
      </x:c>
      <x:c r="CJ238" s="178" t="str">
        <x:f>IF(COUNT(BO238:BU238)=0,"",AVERAGE(BO238:BU238)*4)</x:f>
      </x:c>
      <x:c r="CK238" s="178" t="str">
        <x:f>IF(COUNT(BV238:CB238)=0,"",AVERAGE(BV238:CB238)*4)</x:f>
      </x:c>
      <x:c r="CL238" s="178" t="str">
        <x:f>IF(C238="","",IF(COUNT(G238:CB238)&lt;74,"",(CC238*'تنظیمات وزن‌دهی'!$C$5+CD238*'تنظیمات وزن‌دهی'!$C$6+CE238*'تنظیمات وزن‌دهی'!$C$7+CF238*'تنظیمات وزن‌دهی'!$C$8+CG238*'تنظیمات وزن‌دهی'!$C$9+CH238*'تنظیمات وزن‌دهی'!$C$10+CI238*'تنظیمات وزن‌دهی'!$C$11+CJ238*'تنظیمات وزن‌دهی'!$C$12+CK238*'تنظیمات وزن‌دهی'!$C$13)/100))</x:f>
      </x:c>
      <x:c r="CM238" s="178" t="str">
        <x:f>IF(C238="","",IF(COUNT(G238:CB238)=0,"",IF(COUNT(G238:CB238)&lt;74,"موقت - اطلاعات ناقص",IF(CL238&gt;=17,"عالی",IF(CL238&gt;=14,"خوب",IF(CL238&gt;=10,"متوسط","ضعیف"))))))</x:f>
      </x:c>
      <x:c r="CN238" s="178" t="n">
        <x:v>6</x:v>
      </x:c>
      <x:c r="CO238" s="142" t="n">
        <x:f>IF(C238="","",COUNT(G238:CB238)/74)</x:f>
        <x:v>0</x:v>
      </x:c>
      <x:c r="CP238" s="245"/>
    </x:row>
    <x:row r="239">
      <x:c r="A239" s="165" t="n">
        <x:v>235</x:v>
      </x:c>
      <x:c r="B239" s="233" t="str">
        <x:v>دی</x:v>
      </x:c>
      <x:c r="C239" s="233" t="n">
        <x:f>IF('دانش‌آموزان'!E24="","",'دانش‌آموزان'!B24)</x:f>
        <x:v>20</x:v>
      </x:c>
      <x:c r="D239" s="233" t="str">
        <x:f>IF('دانش‌آموزان'!C24="","",'دانش‌آموزان'!C24)</x:f>
        <x:v>4000000209</x:v>
      </x:c>
      <x:c r="E239" s="233" t="str">
        <x:f>IF('دانش‌آموزان'!E24="","",'دانش‌آموزان'!E24&amp;" "&amp;'دانش‌آموزان'!F24)</x:f>
        <x:v>آوا کاظمی</x:v>
      </x:c>
      <x:c r="F239" s="166" t="str">
        <x:f>IF('دانش‌آموزان'!I24="","",'دانش‌آموزان'!I24)</x:f>
        <x:v>sample-7-a</x:v>
      </x:c>
      <x:c r="G239" s="114"/>
      <x:c r="H239" s="115"/>
      <x:c r="I239" s="115"/>
      <x:c r="J239" s="115"/>
      <x:c r="K239" s="115"/>
      <x:c r="L239" s="115"/>
      <x:c r="M239" s="115"/>
      <x:c r="N239" s="115"/>
      <x:c r="O239" s="115"/>
      <x:c r="P239" s="115"/>
      <x:c r="Q239" s="115"/>
      <x:c r="R239" s="115"/>
      <x:c r="S239" s="115"/>
      <x:c r="T239" s="115"/>
      <x:c r="U239" s="115"/>
      <x:c r="V239" s="115"/>
      <x:c r="W239" s="115"/>
      <x:c r="X239" s="115"/>
      <x:c r="Y239" s="115"/>
      <x:c r="Z239" s="115"/>
      <x:c r="AA239" s="115"/>
      <x:c r="AB239" s="115"/>
      <x:c r="AC239" s="115"/>
      <x:c r="AD239" s="115"/>
      <x:c r="AE239" s="115"/>
      <x:c r="AF239" s="115"/>
      <x:c r="AG239" s="115"/>
      <x:c r="AH239" s="115"/>
      <x:c r="AI239" s="115"/>
      <x:c r="AJ239" s="115"/>
      <x:c r="AK239" s="115"/>
      <x:c r="AL239" s="115"/>
      <x:c r="AM239" s="115"/>
      <x:c r="AN239" s="115"/>
      <x:c r="AO239" s="115"/>
      <x:c r="AP239" s="115"/>
      <x:c r="AQ239" s="115"/>
      <x:c r="AR239" s="115"/>
      <x:c r="AS239" s="115"/>
      <x:c r="AT239" s="115"/>
      <x:c r="AU239" s="115"/>
      <x:c r="AV239" s="115"/>
      <x:c r="AW239" s="115"/>
      <x:c r="AX239" s="115"/>
      <x:c r="AY239" s="115"/>
      <x:c r="AZ239" s="115"/>
      <x:c r="BA239" s="115"/>
      <x:c r="BB239" s="115"/>
      <x:c r="BC239" s="115"/>
      <x:c r="BD239" s="115"/>
      <x:c r="BE239" s="115"/>
      <x:c r="BF239" s="115"/>
      <x:c r="BG239" s="115"/>
      <x:c r="BH239" s="115"/>
      <x:c r="BI239" s="115"/>
      <x:c r="BJ239" s="115"/>
      <x:c r="BK239" s="115"/>
      <x:c r="BL239" s="115"/>
      <x:c r="BM239" s="115"/>
      <x:c r="BN239" s="115"/>
      <x:c r="BO239" s="115"/>
      <x:c r="BP239" s="115"/>
      <x:c r="BQ239" s="115"/>
      <x:c r="BR239" s="115"/>
      <x:c r="BS239" s="115"/>
      <x:c r="BT239" s="115"/>
      <x:c r="BU239" s="115"/>
      <x:c r="BV239" s="115"/>
      <x:c r="BW239" s="115"/>
      <x:c r="BX239" s="115"/>
      <x:c r="BY239" s="115"/>
      <x:c r="BZ239" s="115"/>
      <x:c r="CA239" s="115"/>
      <x:c r="CB239" s="116"/>
      <x:c r="CC239" s="141" t="str">
        <x:f>IF(COUNT(G239:P239)=0,"",AVERAGE(G239:P239)*4)</x:f>
      </x:c>
      <x:c r="CD239" s="178" t="str">
        <x:f>IF(COUNT(Q239:Z239)=0,"",AVERAGE(Q239:Z239)*4)</x:f>
      </x:c>
      <x:c r="CE239" s="178" t="str">
        <x:f>IF(COUNT(AA239:AJ239)=0,"",AVERAGE(AA239:AJ239)*4)</x:f>
      </x:c>
      <x:c r="CF239" s="178" t="str">
        <x:f>IF(COUNT(AK239:AR239)=0,"",AVERAGE(AK239:AR239)*4)</x:f>
      </x:c>
      <x:c r="CG239" s="178" t="str">
        <x:f>IF(COUNT(AS239:AY239)=0,"",AVERAGE(AS239:AY239)*4)</x:f>
      </x:c>
      <x:c r="CH239" s="178" t="str">
        <x:f>IF(COUNT(AZ239:BG239)=0,"",AVERAGE(AZ239:BG239)*4)</x:f>
      </x:c>
      <x:c r="CI239" s="178" t="str">
        <x:f>IF(COUNT(BH239:BN239)=0,"",AVERAGE(BH239:BN239)*4)</x:f>
      </x:c>
      <x:c r="CJ239" s="178" t="str">
        <x:f>IF(COUNT(BO239:BU239)=0,"",AVERAGE(BO239:BU239)*4)</x:f>
      </x:c>
      <x:c r="CK239" s="178" t="str">
        <x:f>IF(COUNT(BV239:CB239)=0,"",AVERAGE(BV239:CB239)*4)</x:f>
      </x:c>
      <x:c r="CL239" s="178" t="str">
        <x:f>IF(C239="","",IF(COUNT(G239:CB239)&lt;74,"",(CC239*'تنظیمات وزن‌دهی'!$C$5+CD239*'تنظیمات وزن‌دهی'!$C$6+CE239*'تنظیمات وزن‌دهی'!$C$7+CF239*'تنظیمات وزن‌دهی'!$C$8+CG239*'تنظیمات وزن‌دهی'!$C$9+CH239*'تنظیمات وزن‌دهی'!$C$10+CI239*'تنظیمات وزن‌دهی'!$C$11+CJ239*'تنظیمات وزن‌دهی'!$C$12+CK239*'تنظیمات وزن‌دهی'!$C$13)/100))</x:f>
      </x:c>
      <x:c r="CM239" s="178" t="str">
        <x:f>IF(C239="","",IF(COUNT(G239:CB239)=0,"",IF(COUNT(G239:CB239)&lt;74,"موقت - اطلاعات ناقص",IF(CL239&gt;=17,"عالی",IF(CL239&gt;=14,"خوب",IF(CL239&gt;=10,"متوسط","ضعیف"))))))</x:f>
      </x:c>
      <x:c r="CN239" s="178" t="n">
        <x:v>7</x:v>
      </x:c>
      <x:c r="CO239" s="142" t="n">
        <x:f>IF(C239="","",COUNT(G239:CB239)/74)</x:f>
        <x:v>0</x:v>
      </x:c>
      <x:c r="CP239" s="245"/>
    </x:row>
    <x:row r="240">
      <x:c r="A240" s="165" t="n">
        <x:v>236</x:v>
      </x:c>
      <x:c r="B240" s="233" t="str">
        <x:v>بهمن</x:v>
      </x:c>
      <x:c r="C240" s="233" t="n">
        <x:f>IF('دانش‌آموزان'!E24="","",'دانش‌آموزان'!B24)</x:f>
        <x:v>20</x:v>
      </x:c>
      <x:c r="D240" s="233" t="str">
        <x:f>IF('دانش‌آموزان'!C24="","",'دانش‌آموزان'!C24)</x:f>
        <x:v>4000000209</x:v>
      </x:c>
      <x:c r="E240" s="233" t="str">
        <x:f>IF('دانش‌آموزان'!E24="","",'دانش‌آموزان'!E24&amp;" "&amp;'دانش‌آموزان'!F24)</x:f>
        <x:v>آوا کاظمی</x:v>
      </x:c>
      <x:c r="F240" s="166" t="str">
        <x:f>IF('دانش‌آموزان'!I24="","",'دانش‌آموزان'!I24)</x:f>
        <x:v>sample-7-a</x:v>
      </x:c>
      <x:c r="G240" s="114"/>
      <x:c r="H240" s="115"/>
      <x:c r="I240" s="115"/>
      <x:c r="J240" s="115"/>
      <x:c r="K240" s="115"/>
      <x:c r="L240" s="115"/>
      <x:c r="M240" s="115"/>
      <x:c r="N240" s="115"/>
      <x:c r="O240" s="115"/>
      <x:c r="P240" s="115"/>
      <x:c r="Q240" s="115"/>
      <x:c r="R240" s="115"/>
      <x:c r="S240" s="115"/>
      <x:c r="T240" s="115"/>
      <x:c r="U240" s="115"/>
      <x:c r="V240" s="115"/>
      <x:c r="W240" s="115"/>
      <x:c r="X240" s="115"/>
      <x:c r="Y240" s="115"/>
      <x:c r="Z240" s="115"/>
      <x:c r="AA240" s="115"/>
      <x:c r="AB240" s="115"/>
      <x:c r="AC240" s="115"/>
      <x:c r="AD240" s="115"/>
      <x:c r="AE240" s="115"/>
      <x:c r="AF240" s="115"/>
      <x:c r="AG240" s="115"/>
      <x:c r="AH240" s="115"/>
      <x:c r="AI240" s="115"/>
      <x:c r="AJ240" s="115"/>
      <x:c r="AK240" s="115"/>
      <x:c r="AL240" s="115"/>
      <x:c r="AM240" s="115"/>
      <x:c r="AN240" s="115"/>
      <x:c r="AO240" s="115"/>
      <x:c r="AP240" s="115"/>
      <x:c r="AQ240" s="115"/>
      <x:c r="AR240" s="115"/>
      <x:c r="AS240" s="115"/>
      <x:c r="AT240" s="115"/>
      <x:c r="AU240" s="115"/>
      <x:c r="AV240" s="115"/>
      <x:c r="AW240" s="115"/>
      <x:c r="AX240" s="115"/>
      <x:c r="AY240" s="115"/>
      <x:c r="AZ240" s="115"/>
      <x:c r="BA240" s="115"/>
      <x:c r="BB240" s="115"/>
      <x:c r="BC240" s="115"/>
      <x:c r="BD240" s="115"/>
      <x:c r="BE240" s="115"/>
      <x:c r="BF240" s="115"/>
      <x:c r="BG240" s="115"/>
      <x:c r="BH240" s="115"/>
      <x:c r="BI240" s="115"/>
      <x:c r="BJ240" s="115"/>
      <x:c r="BK240" s="115"/>
      <x:c r="BL240" s="115"/>
      <x:c r="BM240" s="115"/>
      <x:c r="BN240" s="115"/>
      <x:c r="BO240" s="115"/>
      <x:c r="BP240" s="115"/>
      <x:c r="BQ240" s="115"/>
      <x:c r="BR240" s="115"/>
      <x:c r="BS240" s="115"/>
      <x:c r="BT240" s="115"/>
      <x:c r="BU240" s="115"/>
      <x:c r="BV240" s="115"/>
      <x:c r="BW240" s="115"/>
      <x:c r="BX240" s="115"/>
      <x:c r="BY240" s="115"/>
      <x:c r="BZ240" s="115"/>
      <x:c r="CA240" s="115"/>
      <x:c r="CB240" s="116"/>
      <x:c r="CC240" s="141" t="str">
        <x:f>IF(COUNT(G240:P240)=0,"",AVERAGE(G240:P240)*4)</x:f>
      </x:c>
      <x:c r="CD240" s="178" t="str">
        <x:f>IF(COUNT(Q240:Z240)=0,"",AVERAGE(Q240:Z240)*4)</x:f>
      </x:c>
      <x:c r="CE240" s="178" t="str">
        <x:f>IF(COUNT(AA240:AJ240)=0,"",AVERAGE(AA240:AJ240)*4)</x:f>
      </x:c>
      <x:c r="CF240" s="178" t="str">
        <x:f>IF(COUNT(AK240:AR240)=0,"",AVERAGE(AK240:AR240)*4)</x:f>
      </x:c>
      <x:c r="CG240" s="178" t="str">
        <x:f>IF(COUNT(AS240:AY240)=0,"",AVERAGE(AS240:AY240)*4)</x:f>
      </x:c>
      <x:c r="CH240" s="178" t="str">
        <x:f>IF(COUNT(AZ240:BG240)=0,"",AVERAGE(AZ240:BG240)*4)</x:f>
      </x:c>
      <x:c r="CI240" s="178" t="str">
        <x:f>IF(COUNT(BH240:BN240)=0,"",AVERAGE(BH240:BN240)*4)</x:f>
      </x:c>
      <x:c r="CJ240" s="178" t="str">
        <x:f>IF(COUNT(BO240:BU240)=0,"",AVERAGE(BO240:BU240)*4)</x:f>
      </x:c>
      <x:c r="CK240" s="178" t="str">
        <x:f>IF(COUNT(BV240:CB240)=0,"",AVERAGE(BV240:CB240)*4)</x:f>
      </x:c>
      <x:c r="CL240" s="178" t="str">
        <x:f>IF(C240="","",IF(COUNT(G240:CB240)&lt;74,"",(CC240*'تنظیمات وزن‌دهی'!$C$5+CD240*'تنظیمات وزن‌دهی'!$C$6+CE240*'تنظیمات وزن‌دهی'!$C$7+CF240*'تنظیمات وزن‌دهی'!$C$8+CG240*'تنظیمات وزن‌دهی'!$C$9+CH240*'تنظیمات وزن‌دهی'!$C$10+CI240*'تنظیمات وزن‌دهی'!$C$11+CJ240*'تنظیمات وزن‌دهی'!$C$12+CK240*'تنظیمات وزن‌دهی'!$C$13)/100))</x:f>
      </x:c>
      <x:c r="CM240" s="178" t="str">
        <x:f>IF(C240="","",IF(COUNT(G240:CB240)=0,"",IF(COUNT(G240:CB240)&lt;74,"موقت - اطلاعات ناقص",IF(CL240&gt;=17,"عالی",IF(CL240&gt;=14,"خوب",IF(CL240&gt;=10,"متوسط","ضعیف"))))))</x:f>
      </x:c>
      <x:c r="CN240" s="178" t="n">
        <x:v>8</x:v>
      </x:c>
      <x:c r="CO240" s="142" t="n">
        <x:f>IF(C240="","",COUNT(G240:CB240)/74)</x:f>
        <x:v>0</x:v>
      </x:c>
      <x:c r="CP240" s="245"/>
    </x:row>
    <x:row r="241">
      <x:c r="A241" s="165" t="n">
        <x:v>237</x:v>
      </x:c>
      <x:c r="B241" s="233" t="str">
        <x:v>اسفند</x:v>
      </x:c>
      <x:c r="C241" s="233" t="n">
        <x:f>IF('دانش‌آموزان'!E24="","",'دانش‌آموزان'!B24)</x:f>
        <x:v>20</x:v>
      </x:c>
      <x:c r="D241" s="233" t="str">
        <x:f>IF('دانش‌آموزان'!C24="","",'دانش‌آموزان'!C24)</x:f>
        <x:v>4000000209</x:v>
      </x:c>
      <x:c r="E241" s="233" t="str">
        <x:f>IF('دانش‌آموزان'!E24="","",'دانش‌آموزان'!E24&amp;" "&amp;'دانش‌آموزان'!F24)</x:f>
        <x:v>آوا کاظمی</x:v>
      </x:c>
      <x:c r="F241" s="166" t="str">
        <x:f>IF('دانش‌آموزان'!I24="","",'دانش‌آموزان'!I24)</x:f>
        <x:v>sample-7-a</x:v>
      </x:c>
      <x:c r="G241" s="114"/>
      <x:c r="H241" s="115"/>
      <x:c r="I241" s="115"/>
      <x:c r="J241" s="115"/>
      <x:c r="K241" s="115"/>
      <x:c r="L241" s="115"/>
      <x:c r="M241" s="115"/>
      <x:c r="N241" s="115"/>
      <x:c r="O241" s="115"/>
      <x:c r="P241" s="115"/>
      <x:c r="Q241" s="115"/>
      <x:c r="R241" s="115"/>
      <x:c r="S241" s="115"/>
      <x:c r="T241" s="115"/>
      <x:c r="U241" s="115"/>
      <x:c r="V241" s="115"/>
      <x:c r="W241" s="115"/>
      <x:c r="X241" s="115"/>
      <x:c r="Y241" s="115"/>
      <x:c r="Z241" s="115"/>
      <x:c r="AA241" s="115"/>
      <x:c r="AB241" s="115"/>
      <x:c r="AC241" s="115"/>
      <x:c r="AD241" s="115"/>
      <x:c r="AE241" s="115"/>
      <x:c r="AF241" s="115"/>
      <x:c r="AG241" s="115"/>
      <x:c r="AH241" s="115"/>
      <x:c r="AI241" s="115"/>
      <x:c r="AJ241" s="115"/>
      <x:c r="AK241" s="115"/>
      <x:c r="AL241" s="115"/>
      <x:c r="AM241" s="115"/>
      <x:c r="AN241" s="115"/>
      <x:c r="AO241" s="115"/>
      <x:c r="AP241" s="115"/>
      <x:c r="AQ241" s="115"/>
      <x:c r="AR241" s="115"/>
      <x:c r="AS241" s="115"/>
      <x:c r="AT241" s="115"/>
      <x:c r="AU241" s="115"/>
      <x:c r="AV241" s="115"/>
      <x:c r="AW241" s="115"/>
      <x:c r="AX241" s="115"/>
      <x:c r="AY241" s="115"/>
      <x:c r="AZ241" s="115"/>
      <x:c r="BA241" s="115"/>
      <x:c r="BB241" s="115"/>
      <x:c r="BC241" s="115"/>
      <x:c r="BD241" s="115"/>
      <x:c r="BE241" s="115"/>
      <x:c r="BF241" s="115"/>
      <x:c r="BG241" s="115"/>
      <x:c r="BH241" s="115"/>
      <x:c r="BI241" s="115"/>
      <x:c r="BJ241" s="115"/>
      <x:c r="BK241" s="115"/>
      <x:c r="BL241" s="115"/>
      <x:c r="BM241" s="115"/>
      <x:c r="BN241" s="115"/>
      <x:c r="BO241" s="115"/>
      <x:c r="BP241" s="115"/>
      <x:c r="BQ241" s="115"/>
      <x:c r="BR241" s="115"/>
      <x:c r="BS241" s="115"/>
      <x:c r="BT241" s="115"/>
      <x:c r="BU241" s="115"/>
      <x:c r="BV241" s="115"/>
      <x:c r="BW241" s="115"/>
      <x:c r="BX241" s="115"/>
      <x:c r="BY241" s="115"/>
      <x:c r="BZ241" s="115"/>
      <x:c r="CA241" s="115"/>
      <x:c r="CB241" s="116"/>
      <x:c r="CC241" s="141" t="str">
        <x:f>IF(COUNT(G241:P241)=0,"",AVERAGE(G241:P241)*4)</x:f>
      </x:c>
      <x:c r="CD241" s="178" t="str">
        <x:f>IF(COUNT(Q241:Z241)=0,"",AVERAGE(Q241:Z241)*4)</x:f>
      </x:c>
      <x:c r="CE241" s="178" t="str">
        <x:f>IF(COUNT(AA241:AJ241)=0,"",AVERAGE(AA241:AJ241)*4)</x:f>
      </x:c>
      <x:c r="CF241" s="178" t="str">
        <x:f>IF(COUNT(AK241:AR241)=0,"",AVERAGE(AK241:AR241)*4)</x:f>
      </x:c>
      <x:c r="CG241" s="178" t="str">
        <x:f>IF(COUNT(AS241:AY241)=0,"",AVERAGE(AS241:AY241)*4)</x:f>
      </x:c>
      <x:c r="CH241" s="178" t="str">
        <x:f>IF(COUNT(AZ241:BG241)=0,"",AVERAGE(AZ241:BG241)*4)</x:f>
      </x:c>
      <x:c r="CI241" s="178" t="str">
        <x:f>IF(COUNT(BH241:BN241)=0,"",AVERAGE(BH241:BN241)*4)</x:f>
      </x:c>
      <x:c r="CJ241" s="178" t="str">
        <x:f>IF(COUNT(BO241:BU241)=0,"",AVERAGE(BO241:BU241)*4)</x:f>
      </x:c>
      <x:c r="CK241" s="178" t="str">
        <x:f>IF(COUNT(BV241:CB241)=0,"",AVERAGE(BV241:CB241)*4)</x:f>
      </x:c>
      <x:c r="CL241" s="178" t="str">
        <x:f>IF(C241="","",IF(COUNT(G241:CB241)&lt;74,"",(CC241*'تنظیمات وزن‌دهی'!$C$5+CD241*'تنظیمات وزن‌دهی'!$C$6+CE241*'تنظیمات وزن‌دهی'!$C$7+CF241*'تنظیمات وزن‌دهی'!$C$8+CG241*'تنظیمات وزن‌دهی'!$C$9+CH241*'تنظیمات وزن‌دهی'!$C$10+CI241*'تنظیمات وزن‌دهی'!$C$11+CJ241*'تنظیمات وزن‌دهی'!$C$12+CK241*'تنظیمات وزن‌دهی'!$C$13)/100))</x:f>
      </x:c>
      <x:c r="CM241" s="178" t="str">
        <x:f>IF(C241="","",IF(COUNT(G241:CB241)=0,"",IF(COUNT(G241:CB241)&lt;74,"موقت - اطلاعات ناقص",IF(CL241&gt;=17,"عالی",IF(CL241&gt;=14,"خوب",IF(CL241&gt;=10,"متوسط","ضعیف"))))))</x:f>
      </x:c>
      <x:c r="CN241" s="178" t="n">
        <x:v>9</x:v>
      </x:c>
      <x:c r="CO241" s="142" t="n">
        <x:f>IF(C241="","",COUNT(G241:CB241)/74)</x:f>
        <x:v>0</x:v>
      </x:c>
      <x:c r="CP241" s="245"/>
    </x:row>
    <x:row r="242">
      <x:c r="A242" s="165" t="n">
        <x:v>238</x:v>
      </x:c>
      <x:c r="B242" s="233" t="str">
        <x:v>فروردین</x:v>
      </x:c>
      <x:c r="C242" s="233" t="n">
        <x:f>IF('دانش‌آموزان'!E24="","",'دانش‌آموزان'!B24)</x:f>
        <x:v>20</x:v>
      </x:c>
      <x:c r="D242" s="233" t="str">
        <x:f>IF('دانش‌آموزان'!C24="","",'دانش‌آموزان'!C24)</x:f>
        <x:v>4000000209</x:v>
      </x:c>
      <x:c r="E242" s="233" t="str">
        <x:f>IF('دانش‌آموزان'!E24="","",'دانش‌آموزان'!E24&amp;" "&amp;'دانش‌آموزان'!F24)</x:f>
        <x:v>آوا کاظمی</x:v>
      </x:c>
      <x:c r="F242" s="166" t="str">
        <x:f>IF('دانش‌آموزان'!I24="","",'دانش‌آموزان'!I24)</x:f>
        <x:v>sample-7-a</x:v>
      </x:c>
      <x:c r="G242" s="114"/>
      <x:c r="H242" s="115"/>
      <x:c r="I242" s="115"/>
      <x:c r="J242" s="115"/>
      <x:c r="K242" s="115"/>
      <x:c r="L242" s="115"/>
      <x:c r="M242" s="115"/>
      <x:c r="N242" s="115"/>
      <x:c r="O242" s="115"/>
      <x:c r="P242" s="115"/>
      <x:c r="Q242" s="115"/>
      <x:c r="R242" s="115"/>
      <x:c r="S242" s="115"/>
      <x:c r="T242" s="115"/>
      <x:c r="U242" s="115"/>
      <x:c r="V242" s="115"/>
      <x:c r="W242" s="115"/>
      <x:c r="X242" s="115"/>
      <x:c r="Y242" s="115"/>
      <x:c r="Z242" s="115"/>
      <x:c r="AA242" s="115"/>
      <x:c r="AB242" s="115"/>
      <x:c r="AC242" s="115"/>
      <x:c r="AD242" s="115"/>
      <x:c r="AE242" s="115"/>
      <x:c r="AF242" s="115"/>
      <x:c r="AG242" s="115"/>
      <x:c r="AH242" s="115"/>
      <x:c r="AI242" s="115"/>
      <x:c r="AJ242" s="115"/>
      <x:c r="AK242" s="115"/>
      <x:c r="AL242" s="115"/>
      <x:c r="AM242" s="115"/>
      <x:c r="AN242" s="115"/>
      <x:c r="AO242" s="115"/>
      <x:c r="AP242" s="115"/>
      <x:c r="AQ242" s="115"/>
      <x:c r="AR242" s="115"/>
      <x:c r="AS242" s="115"/>
      <x:c r="AT242" s="115"/>
      <x:c r="AU242" s="115"/>
      <x:c r="AV242" s="115"/>
      <x:c r="AW242" s="115"/>
      <x:c r="AX242" s="115"/>
      <x:c r="AY242" s="115"/>
      <x:c r="AZ242" s="115"/>
      <x:c r="BA242" s="115"/>
      <x:c r="BB242" s="115"/>
      <x:c r="BC242" s="115"/>
      <x:c r="BD242" s="115"/>
      <x:c r="BE242" s="115"/>
      <x:c r="BF242" s="115"/>
      <x:c r="BG242" s="115"/>
      <x:c r="BH242" s="115"/>
      <x:c r="BI242" s="115"/>
      <x:c r="BJ242" s="115"/>
      <x:c r="BK242" s="115"/>
      <x:c r="BL242" s="115"/>
      <x:c r="BM242" s="115"/>
      <x:c r="BN242" s="115"/>
      <x:c r="BO242" s="115"/>
      <x:c r="BP242" s="115"/>
      <x:c r="BQ242" s="115"/>
      <x:c r="BR242" s="115"/>
      <x:c r="BS242" s="115"/>
      <x:c r="BT242" s="115"/>
      <x:c r="BU242" s="115"/>
      <x:c r="BV242" s="115"/>
      <x:c r="BW242" s="115"/>
      <x:c r="BX242" s="115"/>
      <x:c r="BY242" s="115"/>
      <x:c r="BZ242" s="115"/>
      <x:c r="CA242" s="115"/>
      <x:c r="CB242" s="116"/>
      <x:c r="CC242" s="141" t="str">
        <x:f>IF(COUNT(G242:P242)=0,"",AVERAGE(G242:P242)*4)</x:f>
      </x:c>
      <x:c r="CD242" s="178" t="str">
        <x:f>IF(COUNT(Q242:Z242)=0,"",AVERAGE(Q242:Z242)*4)</x:f>
      </x:c>
      <x:c r="CE242" s="178" t="str">
        <x:f>IF(COUNT(AA242:AJ242)=0,"",AVERAGE(AA242:AJ242)*4)</x:f>
      </x:c>
      <x:c r="CF242" s="178" t="str">
        <x:f>IF(COUNT(AK242:AR242)=0,"",AVERAGE(AK242:AR242)*4)</x:f>
      </x:c>
      <x:c r="CG242" s="178" t="str">
        <x:f>IF(COUNT(AS242:AY242)=0,"",AVERAGE(AS242:AY242)*4)</x:f>
      </x:c>
      <x:c r="CH242" s="178" t="str">
        <x:f>IF(COUNT(AZ242:BG242)=0,"",AVERAGE(AZ242:BG242)*4)</x:f>
      </x:c>
      <x:c r="CI242" s="178" t="str">
        <x:f>IF(COUNT(BH242:BN242)=0,"",AVERAGE(BH242:BN242)*4)</x:f>
      </x:c>
      <x:c r="CJ242" s="178" t="str">
        <x:f>IF(COUNT(BO242:BU242)=0,"",AVERAGE(BO242:BU242)*4)</x:f>
      </x:c>
      <x:c r="CK242" s="178" t="str">
        <x:f>IF(COUNT(BV242:CB242)=0,"",AVERAGE(BV242:CB242)*4)</x:f>
      </x:c>
      <x:c r="CL242" s="178" t="str">
        <x:f>IF(C242="","",IF(COUNT(G242:CB242)&lt;74,"",(CC242*'تنظیمات وزن‌دهی'!$C$5+CD242*'تنظیمات وزن‌دهی'!$C$6+CE242*'تنظیمات وزن‌دهی'!$C$7+CF242*'تنظیمات وزن‌دهی'!$C$8+CG242*'تنظیمات وزن‌دهی'!$C$9+CH242*'تنظیمات وزن‌دهی'!$C$10+CI242*'تنظیمات وزن‌دهی'!$C$11+CJ242*'تنظیمات وزن‌دهی'!$C$12+CK242*'تنظیمات وزن‌دهی'!$C$13)/100))</x:f>
      </x:c>
      <x:c r="CM242" s="178" t="str">
        <x:f>IF(C242="","",IF(COUNT(G242:CB242)=0,"",IF(COUNT(G242:CB242)&lt;74,"موقت - اطلاعات ناقص",IF(CL242&gt;=17,"عالی",IF(CL242&gt;=14,"خوب",IF(CL242&gt;=10,"متوسط","ضعیف"))))))</x:f>
      </x:c>
      <x:c r="CN242" s="178" t="n">
        <x:v>10</x:v>
      </x:c>
      <x:c r="CO242" s="142" t="n">
        <x:f>IF(C242="","",COUNT(G242:CB242)/74)</x:f>
        <x:v>0</x:v>
      </x:c>
      <x:c r="CP242" s="245"/>
    </x:row>
    <x:row r="243">
      <x:c r="A243" s="165" t="n">
        <x:v>239</x:v>
      </x:c>
      <x:c r="B243" s="233" t="str">
        <x:v>اردیبهشت</x:v>
      </x:c>
      <x:c r="C243" s="233" t="n">
        <x:f>IF('دانش‌آموزان'!E24="","",'دانش‌آموزان'!B24)</x:f>
        <x:v>20</x:v>
      </x:c>
      <x:c r="D243" s="233" t="str">
        <x:f>IF('دانش‌آموزان'!C24="","",'دانش‌آموزان'!C24)</x:f>
        <x:v>4000000209</x:v>
      </x:c>
      <x:c r="E243" s="233" t="str">
        <x:f>IF('دانش‌آموزان'!E24="","",'دانش‌آموزان'!E24&amp;" "&amp;'دانش‌آموزان'!F24)</x:f>
        <x:v>آوا کاظمی</x:v>
      </x:c>
      <x:c r="F243" s="166" t="str">
        <x:f>IF('دانش‌آموزان'!I24="","",'دانش‌آموزان'!I24)</x:f>
        <x:v>sample-7-a</x:v>
      </x:c>
      <x:c r="G243" s="114"/>
      <x:c r="H243" s="115"/>
      <x:c r="I243" s="115"/>
      <x:c r="J243" s="115"/>
      <x:c r="K243" s="115"/>
      <x:c r="L243" s="115"/>
      <x:c r="M243" s="115"/>
      <x:c r="N243" s="115"/>
      <x:c r="O243" s="115"/>
      <x:c r="P243" s="115"/>
      <x:c r="Q243" s="115"/>
      <x:c r="R243" s="115"/>
      <x:c r="S243" s="115"/>
      <x:c r="T243" s="115"/>
      <x:c r="U243" s="115"/>
      <x:c r="V243" s="115"/>
      <x:c r="W243" s="115"/>
      <x:c r="X243" s="115"/>
      <x:c r="Y243" s="115"/>
      <x:c r="Z243" s="115"/>
      <x:c r="AA243" s="115"/>
      <x:c r="AB243" s="115"/>
      <x:c r="AC243" s="115"/>
      <x:c r="AD243" s="115"/>
      <x:c r="AE243" s="115"/>
      <x:c r="AF243" s="115"/>
      <x:c r="AG243" s="115"/>
      <x:c r="AH243" s="115"/>
      <x:c r="AI243" s="115"/>
      <x:c r="AJ243" s="115"/>
      <x:c r="AK243" s="115"/>
      <x:c r="AL243" s="115"/>
      <x:c r="AM243" s="115"/>
      <x:c r="AN243" s="115"/>
      <x:c r="AO243" s="115"/>
      <x:c r="AP243" s="115"/>
      <x:c r="AQ243" s="115"/>
      <x:c r="AR243" s="115"/>
      <x:c r="AS243" s="115"/>
      <x:c r="AT243" s="115"/>
      <x:c r="AU243" s="115"/>
      <x:c r="AV243" s="115"/>
      <x:c r="AW243" s="115"/>
      <x:c r="AX243" s="115"/>
      <x:c r="AY243" s="115"/>
      <x:c r="AZ243" s="115"/>
      <x:c r="BA243" s="115"/>
      <x:c r="BB243" s="115"/>
      <x:c r="BC243" s="115"/>
      <x:c r="BD243" s="115"/>
      <x:c r="BE243" s="115"/>
      <x:c r="BF243" s="115"/>
      <x:c r="BG243" s="115"/>
      <x:c r="BH243" s="115"/>
      <x:c r="BI243" s="115"/>
      <x:c r="BJ243" s="115"/>
      <x:c r="BK243" s="115"/>
      <x:c r="BL243" s="115"/>
      <x:c r="BM243" s="115"/>
      <x:c r="BN243" s="115"/>
      <x:c r="BO243" s="115"/>
      <x:c r="BP243" s="115"/>
      <x:c r="BQ243" s="115"/>
      <x:c r="BR243" s="115"/>
      <x:c r="BS243" s="115"/>
      <x:c r="BT243" s="115"/>
      <x:c r="BU243" s="115"/>
      <x:c r="BV243" s="115"/>
      <x:c r="BW243" s="115"/>
      <x:c r="BX243" s="115"/>
      <x:c r="BY243" s="115"/>
      <x:c r="BZ243" s="115"/>
      <x:c r="CA243" s="115"/>
      <x:c r="CB243" s="116"/>
      <x:c r="CC243" s="141" t="str">
        <x:f>IF(COUNT(G243:P243)=0,"",AVERAGE(G243:P243)*4)</x:f>
      </x:c>
      <x:c r="CD243" s="178" t="str">
        <x:f>IF(COUNT(Q243:Z243)=0,"",AVERAGE(Q243:Z243)*4)</x:f>
      </x:c>
      <x:c r="CE243" s="178" t="str">
        <x:f>IF(COUNT(AA243:AJ243)=0,"",AVERAGE(AA243:AJ243)*4)</x:f>
      </x:c>
      <x:c r="CF243" s="178" t="str">
        <x:f>IF(COUNT(AK243:AR243)=0,"",AVERAGE(AK243:AR243)*4)</x:f>
      </x:c>
      <x:c r="CG243" s="178" t="str">
        <x:f>IF(COUNT(AS243:AY243)=0,"",AVERAGE(AS243:AY243)*4)</x:f>
      </x:c>
      <x:c r="CH243" s="178" t="str">
        <x:f>IF(COUNT(AZ243:BG243)=0,"",AVERAGE(AZ243:BG243)*4)</x:f>
      </x:c>
      <x:c r="CI243" s="178" t="str">
        <x:f>IF(COUNT(BH243:BN243)=0,"",AVERAGE(BH243:BN243)*4)</x:f>
      </x:c>
      <x:c r="CJ243" s="178" t="str">
        <x:f>IF(COUNT(BO243:BU243)=0,"",AVERAGE(BO243:BU243)*4)</x:f>
      </x:c>
      <x:c r="CK243" s="178" t="str">
        <x:f>IF(COUNT(BV243:CB243)=0,"",AVERAGE(BV243:CB243)*4)</x:f>
      </x:c>
      <x:c r="CL243" s="178" t="str">
        <x:f>IF(C243="","",IF(COUNT(G243:CB243)&lt;74,"",(CC243*'تنظیمات وزن‌دهی'!$C$5+CD243*'تنظیمات وزن‌دهی'!$C$6+CE243*'تنظیمات وزن‌دهی'!$C$7+CF243*'تنظیمات وزن‌دهی'!$C$8+CG243*'تنظیمات وزن‌دهی'!$C$9+CH243*'تنظیمات وزن‌دهی'!$C$10+CI243*'تنظیمات وزن‌دهی'!$C$11+CJ243*'تنظیمات وزن‌دهی'!$C$12+CK243*'تنظیمات وزن‌دهی'!$C$13)/100))</x:f>
      </x:c>
      <x:c r="CM243" s="178" t="str">
        <x:f>IF(C243="","",IF(COUNT(G243:CB243)=0,"",IF(COUNT(G243:CB243)&lt;74,"موقت - اطلاعات ناقص",IF(CL243&gt;=17,"عالی",IF(CL243&gt;=14,"خوب",IF(CL243&gt;=10,"متوسط","ضعیف"))))))</x:f>
      </x:c>
      <x:c r="CN243" s="178" t="n">
        <x:v>11</x:v>
      </x:c>
      <x:c r="CO243" s="142" t="n">
        <x:f>IF(C243="","",COUNT(G243:CB243)/74)</x:f>
        <x:v>0</x:v>
      </x:c>
      <x:c r="CP243" s="245"/>
    </x:row>
    <x:row r="244">
      <x:c r="A244" s="165" t="n">
        <x:v>240</x:v>
      </x:c>
      <x:c r="B244" s="233" t="str">
        <x:v>خرداد</x:v>
      </x:c>
      <x:c r="C244" s="233" t="n">
        <x:f>IF('دانش‌آموزان'!E24="","",'دانش‌آموزان'!B24)</x:f>
        <x:v>20</x:v>
      </x:c>
      <x:c r="D244" s="233" t="str">
        <x:f>IF('دانش‌آموزان'!C24="","",'دانش‌آموزان'!C24)</x:f>
        <x:v>4000000209</x:v>
      </x:c>
      <x:c r="E244" s="233" t="str">
        <x:f>IF('دانش‌آموزان'!E24="","",'دانش‌آموزان'!E24&amp;" "&amp;'دانش‌آموزان'!F24)</x:f>
        <x:v>آوا کاظمی</x:v>
      </x:c>
      <x:c r="F244" s="166" t="str">
        <x:f>IF('دانش‌آموزان'!I24="","",'دانش‌آموزان'!I24)</x:f>
        <x:v>sample-7-a</x:v>
      </x:c>
      <x:c r="G244" s="114"/>
      <x:c r="H244" s="115"/>
      <x:c r="I244" s="115"/>
      <x:c r="J244" s="115"/>
      <x:c r="K244" s="115"/>
      <x:c r="L244" s="115"/>
      <x:c r="M244" s="115"/>
      <x:c r="N244" s="115"/>
      <x:c r="O244" s="115"/>
      <x:c r="P244" s="115"/>
      <x:c r="Q244" s="115"/>
      <x:c r="R244" s="115"/>
      <x:c r="S244" s="115"/>
      <x:c r="T244" s="115"/>
      <x:c r="U244" s="115"/>
      <x:c r="V244" s="115"/>
      <x:c r="W244" s="115"/>
      <x:c r="X244" s="115"/>
      <x:c r="Y244" s="115"/>
      <x:c r="Z244" s="115"/>
      <x:c r="AA244" s="115"/>
      <x:c r="AB244" s="115"/>
      <x:c r="AC244" s="115"/>
      <x:c r="AD244" s="115"/>
      <x:c r="AE244" s="115"/>
      <x:c r="AF244" s="115"/>
      <x:c r="AG244" s="115"/>
      <x:c r="AH244" s="115"/>
      <x:c r="AI244" s="115"/>
      <x:c r="AJ244" s="115"/>
      <x:c r="AK244" s="115"/>
      <x:c r="AL244" s="115"/>
      <x:c r="AM244" s="115"/>
      <x:c r="AN244" s="115"/>
      <x:c r="AO244" s="115"/>
      <x:c r="AP244" s="115"/>
      <x:c r="AQ244" s="115"/>
      <x:c r="AR244" s="115"/>
      <x:c r="AS244" s="115"/>
      <x:c r="AT244" s="115"/>
      <x:c r="AU244" s="115"/>
      <x:c r="AV244" s="115"/>
      <x:c r="AW244" s="115"/>
      <x:c r="AX244" s="115"/>
      <x:c r="AY244" s="115"/>
      <x:c r="AZ244" s="115"/>
      <x:c r="BA244" s="115"/>
      <x:c r="BB244" s="115"/>
      <x:c r="BC244" s="115"/>
      <x:c r="BD244" s="115"/>
      <x:c r="BE244" s="115"/>
      <x:c r="BF244" s="115"/>
      <x:c r="BG244" s="115"/>
      <x:c r="BH244" s="115"/>
      <x:c r="BI244" s="115"/>
      <x:c r="BJ244" s="115"/>
      <x:c r="BK244" s="115"/>
      <x:c r="BL244" s="115"/>
      <x:c r="BM244" s="115"/>
      <x:c r="BN244" s="115"/>
      <x:c r="BO244" s="115"/>
      <x:c r="BP244" s="115"/>
      <x:c r="BQ244" s="115"/>
      <x:c r="BR244" s="115"/>
      <x:c r="BS244" s="115"/>
      <x:c r="BT244" s="115"/>
      <x:c r="BU244" s="115"/>
      <x:c r="BV244" s="115"/>
      <x:c r="BW244" s="115"/>
      <x:c r="BX244" s="115"/>
      <x:c r="BY244" s="115"/>
      <x:c r="BZ244" s="115"/>
      <x:c r="CA244" s="115"/>
      <x:c r="CB244" s="116"/>
      <x:c r="CC244" s="141" t="str">
        <x:f>IF(COUNT(G244:P244)=0,"",AVERAGE(G244:P244)*4)</x:f>
      </x:c>
      <x:c r="CD244" s="178" t="str">
        <x:f>IF(COUNT(Q244:Z244)=0,"",AVERAGE(Q244:Z244)*4)</x:f>
      </x:c>
      <x:c r="CE244" s="178" t="str">
        <x:f>IF(COUNT(AA244:AJ244)=0,"",AVERAGE(AA244:AJ244)*4)</x:f>
      </x:c>
      <x:c r="CF244" s="178" t="str">
        <x:f>IF(COUNT(AK244:AR244)=0,"",AVERAGE(AK244:AR244)*4)</x:f>
      </x:c>
      <x:c r="CG244" s="178" t="str">
        <x:f>IF(COUNT(AS244:AY244)=0,"",AVERAGE(AS244:AY244)*4)</x:f>
      </x:c>
      <x:c r="CH244" s="178" t="str">
        <x:f>IF(COUNT(AZ244:BG244)=0,"",AVERAGE(AZ244:BG244)*4)</x:f>
      </x:c>
      <x:c r="CI244" s="178" t="str">
        <x:f>IF(COUNT(BH244:BN244)=0,"",AVERAGE(BH244:BN244)*4)</x:f>
      </x:c>
      <x:c r="CJ244" s="178" t="str">
        <x:f>IF(COUNT(BO244:BU244)=0,"",AVERAGE(BO244:BU244)*4)</x:f>
      </x:c>
      <x:c r="CK244" s="178" t="str">
        <x:f>IF(COUNT(BV244:CB244)=0,"",AVERAGE(BV244:CB244)*4)</x:f>
      </x:c>
      <x:c r="CL244" s="178" t="str">
        <x:f>IF(C244="","",IF(COUNT(G244:CB244)&lt;74,"",(CC244*'تنظیمات وزن‌دهی'!$C$5+CD244*'تنظیمات وزن‌دهی'!$C$6+CE244*'تنظیمات وزن‌دهی'!$C$7+CF244*'تنظیمات وزن‌دهی'!$C$8+CG244*'تنظیمات وزن‌دهی'!$C$9+CH244*'تنظیمات وزن‌دهی'!$C$10+CI244*'تنظیمات وزن‌دهی'!$C$11+CJ244*'تنظیمات وزن‌دهی'!$C$12+CK244*'تنظیمات وزن‌دهی'!$C$13)/100))</x:f>
      </x:c>
      <x:c r="CM244" s="178" t="str">
        <x:f>IF(C244="","",IF(COUNT(G244:CB244)=0,"",IF(COUNT(G244:CB244)&lt;74,"موقت - اطلاعات ناقص",IF(CL244&gt;=17,"عالی",IF(CL244&gt;=14,"خوب",IF(CL244&gt;=10,"متوسط","ضعیف"))))))</x:f>
      </x:c>
      <x:c r="CN244" s="178" t="n">
        <x:v>12</x:v>
      </x:c>
      <x:c r="CO244" s="142" t="n">
        <x:f>IF(C244="","",COUNT(G244:CB244)/74)</x:f>
        <x:v>0</x:v>
      </x:c>
      <x:c r="CP244" s="245"/>
    </x:row>
    <x:row r="245">
      <x:c r="A245" s="165" t="n">
        <x:v>241</x:v>
      </x:c>
      <x:c r="B245" s="233" t="str">
        <x:v>تیر</x:v>
      </x:c>
      <x:c r="C245" s="233" t="n">
        <x:f>IF('دانش‌آموزان'!E25="","",'دانش‌آموزان'!B25)</x:f>
        <x:v>21</x:v>
      </x:c>
      <x:c r="D245" s="233" t="str">
        <x:f>IF('دانش‌آموزان'!C25="","",'دانش‌آموزان'!C25)</x:f>
        <x:v>4000000217</x:v>
      </x:c>
      <x:c r="E245" s="233" t="str">
        <x:f>IF('دانش‌آموزان'!E25="","",'دانش‌آموزان'!E25&amp;" "&amp;'دانش‌آموزان'!F25)</x:f>
        <x:v>علی احمدی</x:v>
      </x:c>
      <x:c r="F245" s="166" t="str">
        <x:f>IF('دانش‌آموزان'!I25="","",'دانش‌آموزان'!I25)</x:f>
        <x:v>sample-7-a</x:v>
      </x:c>
      <x:c r="G245" s="114" t="n">
        <x:v>4</x:v>
      </x:c>
      <x:c r="H245" s="115" t="n">
        <x:v>5</x:v>
      </x:c>
      <x:c r="I245" s="115" t="n">
        <x:v>4</x:v>
      </x:c>
      <x:c r="J245" s="115" t="n">
        <x:v>5</x:v>
      </x:c>
      <x:c r="K245" s="115" t="n">
        <x:v>3</x:v>
      </x:c>
      <x:c r="L245" s="115" t="n">
        <x:v>5</x:v>
      </x:c>
      <x:c r="M245" s="115" t="n">
        <x:v>3</x:v>
      </x:c>
      <x:c r="N245" s="115" t="n">
        <x:v>4</x:v>
      </x:c>
      <x:c r="O245" s="115" t="n">
        <x:v>3</x:v>
      </x:c>
      <x:c r="P245" s="115" t="n">
        <x:v>4</x:v>
      </x:c>
      <x:c r="Q245" s="115" t="n">
        <x:v>2</x:v>
      </x:c>
      <x:c r="R245" s="115" t="n">
        <x:v>4</x:v>
      </x:c>
      <x:c r="S245" s="115" t="n">
        <x:v>5</x:v>
      </x:c>
      <x:c r="T245" s="115" t="n">
        <x:v>4</x:v>
      </x:c>
      <x:c r="U245" s="115" t="n">
        <x:v>5</x:v>
      </x:c>
      <x:c r="V245" s="115" t="n">
        <x:v>3</x:v>
      </x:c>
      <x:c r="W245" s="115" t="n">
        <x:v>5</x:v>
      </x:c>
      <x:c r="X245" s="115" t="n">
        <x:v>3</x:v>
      </x:c>
      <x:c r="Y245" s="115" t="n">
        <x:v>4</x:v>
      </x:c>
      <x:c r="Z245" s="115" t="n">
        <x:v>3</x:v>
      </x:c>
      <x:c r="AA245" s="115" t="n">
        <x:v>4</x:v>
      </x:c>
      <x:c r="AB245" s="115" t="n">
        <x:v>2</x:v>
      </x:c>
      <x:c r="AC245" s="115" t="n">
        <x:v>4</x:v>
      </x:c>
      <x:c r="AD245" s="115" t="n">
        <x:v>5</x:v>
      </x:c>
      <x:c r="AE245" s="115" t="n">
        <x:v>4</x:v>
      </x:c>
      <x:c r="AF245" s="115" t="n">
        <x:v>5</x:v>
      </x:c>
      <x:c r="AG245" s="115" t="n">
        <x:v>3</x:v>
      </x:c>
      <x:c r="AH245" s="115" t="n">
        <x:v>5</x:v>
      </x:c>
      <x:c r="AI245" s="115" t="n">
        <x:v>3</x:v>
      </x:c>
      <x:c r="AJ245" s="115" t="n">
        <x:v>4</x:v>
      </x:c>
      <x:c r="AK245" s="115" t="n">
        <x:v>3</x:v>
      </x:c>
      <x:c r="AL245" s="115" t="n">
        <x:v>4</x:v>
      </x:c>
      <x:c r="AM245" s="115" t="n">
        <x:v>2</x:v>
      </x:c>
      <x:c r="AN245" s="115" t="n">
        <x:v>4</x:v>
      </x:c>
      <x:c r="AO245" s="115" t="n">
        <x:v>5</x:v>
      </x:c>
      <x:c r="AP245" s="115" t="n">
        <x:v>4</x:v>
      </x:c>
      <x:c r="AQ245" s="115" t="n">
        <x:v>5</x:v>
      </x:c>
      <x:c r="AR245" s="115" t="n">
        <x:v>3</x:v>
      </x:c>
      <x:c r="AS245" s="115" t="n">
        <x:v>5</x:v>
      </x:c>
      <x:c r="AT245" s="115" t="n">
        <x:v>3</x:v>
      </x:c>
      <x:c r="AU245" s="115" t="n">
        <x:v>4</x:v>
      </x:c>
      <x:c r="AV245" s="115" t="n">
        <x:v>3</x:v>
      </x:c>
      <x:c r="AW245" s="115" t="n">
        <x:v>4</x:v>
      </x:c>
      <x:c r="AX245" s="115" t="n">
        <x:v>2</x:v>
      </x:c>
      <x:c r="AY245" s="115" t="n">
        <x:v>4</x:v>
      </x:c>
      <x:c r="AZ245" s="115" t="n">
        <x:v>5</x:v>
      </x:c>
      <x:c r="BA245" s="115" t="n">
        <x:v>4</x:v>
      </x:c>
      <x:c r="BB245" s="115" t="n">
        <x:v>5</x:v>
      </x:c>
      <x:c r="BC245" s="115" t="n">
        <x:v>3</x:v>
      </x:c>
      <x:c r="BD245" s="115" t="n">
        <x:v>5</x:v>
      </x:c>
      <x:c r="BE245" s="115" t="n">
        <x:v>3</x:v>
      </x:c>
      <x:c r="BF245" s="115" t="n">
        <x:v>4</x:v>
      </x:c>
      <x:c r="BG245" s="115" t="n">
        <x:v>3</x:v>
      </x:c>
      <x:c r="BH245" s="115" t="n">
        <x:v>4</x:v>
      </x:c>
      <x:c r="BI245" s="115" t="n">
        <x:v>2</x:v>
      </x:c>
      <x:c r="BJ245" s="115" t="n">
        <x:v>4</x:v>
      </x:c>
      <x:c r="BK245" s="115" t="n">
        <x:v>5</x:v>
      </x:c>
      <x:c r="BL245" s="115" t="n">
        <x:v>4</x:v>
      </x:c>
      <x:c r="BM245" s="115" t="n">
        <x:v>5</x:v>
      </x:c>
      <x:c r="BN245" s="115" t="n">
        <x:v>3</x:v>
      </x:c>
      <x:c r="BO245" s="115" t="n">
        <x:v>5</x:v>
      </x:c>
      <x:c r="BP245" s="115" t="n">
        <x:v>3</x:v>
      </x:c>
      <x:c r="BQ245" s="115" t="n">
        <x:v>4</x:v>
      </x:c>
      <x:c r="BR245" s="115" t="n">
        <x:v>3</x:v>
      </x:c>
      <x:c r="BS245" s="115" t="n">
        <x:v>4</x:v>
      </x:c>
      <x:c r="BT245" s="115" t="n">
        <x:v>2</x:v>
      </x:c>
      <x:c r="BU245" s="115" t="n">
        <x:v>4</x:v>
      </x:c>
      <x:c r="BV245" s="115" t="n">
        <x:v>5</x:v>
      </x:c>
      <x:c r="BW245" s="115" t="n">
        <x:v>4</x:v>
      </x:c>
      <x:c r="BX245" s="115" t="n">
        <x:v>5</x:v>
      </x:c>
      <x:c r="BY245" s="115" t="n">
        <x:v>3</x:v>
      </x:c>
      <x:c r="BZ245" s="115" t="n">
        <x:v>5</x:v>
      </x:c>
      <x:c r="CA245" s="115" t="n">
        <x:v>3</x:v>
      </x:c>
      <x:c r="CB245" s="116" t="n">
        <x:v>4</x:v>
      </x:c>
      <x:c r="CC245" s="141" t="n">
        <x:f>IF(COUNT(G245:P245)=0,"",AVERAGE(G245:P245)*4)</x:f>
        <x:v>16</x:v>
      </x:c>
      <x:c r="CD245" s="178" t="n">
        <x:f>IF(COUNT(Q245:Z245)=0,"",AVERAGE(Q245:Z245)*4)</x:f>
        <x:v>15.2</x:v>
      </x:c>
      <x:c r="CE245" s="178" t="n">
        <x:f>IF(COUNT(AA245:AJ245)=0,"",AVERAGE(AA245:AJ245)*4)</x:f>
        <x:v>15.6</x:v>
      </x:c>
      <x:c r="CF245" s="178" t="n">
        <x:f>IF(COUNT(AK245:AR245)=0,"",AVERAGE(AK245:AR245)*4)</x:f>
        <x:v>15</x:v>
      </x:c>
      <x:c r="CG245" s="178" t="n">
        <x:f>IF(COUNT(AS245:AY245)=0,"",AVERAGE(AS245:AY245)*4)</x:f>
        <x:v>14.285714285714286</x:v>
      </x:c>
      <x:c r="CH245" s="178" t="n">
        <x:f>IF(COUNT(AZ245:BG245)=0,"",AVERAGE(AZ245:BG245)*4)</x:f>
        <x:v>16</x:v>
      </x:c>
      <x:c r="CI245" s="178" t="n">
        <x:f>IF(COUNT(BH245:BN245)=0,"",AVERAGE(BH245:BN245)*4)</x:f>
        <x:v>15.428571428571429</x:v>
      </x:c>
      <x:c r="CJ245" s="178" t="n">
        <x:f>IF(COUNT(BO245:BU245)=0,"",AVERAGE(BO245:BU245)*4)</x:f>
        <x:v>14.285714285714286</x:v>
      </x:c>
      <x:c r="CK245" s="178" t="n">
        <x:f>IF(COUNT(BV245:CB245)=0,"",AVERAGE(BV245:CB245)*4)</x:f>
        <x:v>16.571428571428573</x:v>
      </x:c>
      <x:c r="CL245" s="178" t="n">
        <x:f>IF(C245="","",IF(COUNT(G245:CB245)&lt;74,"",(CC245*'تنظیمات وزن‌دهی'!$C$5+CD245*'تنظیمات وزن‌دهی'!$C$6+CE245*'تنظیمات وزن‌دهی'!$C$7+CF245*'تنظیمات وزن‌دهی'!$C$8+CG245*'تنظیمات وزن‌دهی'!$C$9+CH245*'تنظیمات وزن‌دهی'!$C$10+CI245*'تنظیمات وزن‌دهی'!$C$11+CJ245*'تنظیمات وزن‌دهی'!$C$12+CK245*'تنظیمات وزن‌دهی'!$C$13)/100))</x:f>
        <x:v>15.447142857142858</x:v>
      </x:c>
      <x:c r="CM245" s="178" t="str">
        <x:f>IF(C245="","",IF(COUNT(G245:CB245)=0,"",IF(COUNT(G245:CB245)&lt;74,"موقت - اطلاعات ناقص",IF(CL245&gt;=17,"عالی",IF(CL245&gt;=14,"خوب",IF(CL245&gt;=10,"متوسط","ضعیف"))))))</x:f>
        <x:v>خوب</x:v>
      </x:c>
      <x:c r="CN245" s="178" t="n">
        <x:v>1</x:v>
      </x:c>
      <x:c r="CO245" s="142" t="n">
        <x:f>IF(C245="","",COUNT(G245:CB245)/74)</x:f>
        <x:v>1</x:v>
      </x:c>
      <x:c r="CP245" s="245" t="str">
        <x:v>داده نمونه کامل برای ماه تیر - دانش‌آموز شماره 21</x:v>
      </x:c>
    </x:row>
    <x:row r="246">
      <x:c r="A246" s="165" t="n">
        <x:v>242</x:v>
      </x:c>
      <x:c r="B246" s="233" t="str">
        <x:v>مرداد</x:v>
      </x:c>
      <x:c r="C246" s="233" t="n">
        <x:f>IF('دانش‌آموزان'!E25="","",'دانش‌آموزان'!B25)</x:f>
        <x:v>21</x:v>
      </x:c>
      <x:c r="D246" s="233" t="str">
        <x:f>IF('دانش‌آموزان'!C25="","",'دانش‌آموزان'!C25)</x:f>
        <x:v>4000000217</x:v>
      </x:c>
      <x:c r="E246" s="233" t="str">
        <x:f>IF('دانش‌آموزان'!E25="","",'دانش‌آموزان'!E25&amp;" "&amp;'دانش‌آموزان'!F25)</x:f>
        <x:v>علی احمدی</x:v>
      </x:c>
      <x:c r="F246" s="166" t="str">
        <x:f>IF('دانش‌آموزان'!I25="","",'دانش‌آموزان'!I25)</x:f>
        <x:v>sample-7-a</x:v>
      </x:c>
      <x:c r="G246" s="114"/>
      <x:c r="H246" s="115"/>
      <x:c r="I246" s="115"/>
      <x:c r="J246" s="115"/>
      <x:c r="K246" s="115"/>
      <x:c r="L246" s="115"/>
      <x:c r="M246" s="115"/>
      <x:c r="N246" s="115"/>
      <x:c r="O246" s="115"/>
      <x:c r="P246" s="115"/>
      <x:c r="Q246" s="115"/>
      <x:c r="R246" s="115"/>
      <x:c r="S246" s="115"/>
      <x:c r="T246" s="115"/>
      <x:c r="U246" s="115"/>
      <x:c r="V246" s="115"/>
      <x:c r="W246" s="115"/>
      <x:c r="X246" s="115"/>
      <x:c r="Y246" s="115"/>
      <x:c r="Z246" s="115"/>
      <x:c r="AA246" s="115"/>
      <x:c r="AB246" s="115"/>
      <x:c r="AC246" s="115"/>
      <x:c r="AD246" s="115"/>
      <x:c r="AE246" s="115"/>
      <x:c r="AF246" s="115"/>
      <x:c r="AG246" s="115"/>
      <x:c r="AH246" s="115"/>
      <x:c r="AI246" s="115"/>
      <x:c r="AJ246" s="115"/>
      <x:c r="AK246" s="115"/>
      <x:c r="AL246" s="115"/>
      <x:c r="AM246" s="115"/>
      <x:c r="AN246" s="115"/>
      <x:c r="AO246" s="115"/>
      <x:c r="AP246" s="115"/>
      <x:c r="AQ246" s="115"/>
      <x:c r="AR246" s="115"/>
      <x:c r="AS246" s="115"/>
      <x:c r="AT246" s="115"/>
      <x:c r="AU246" s="115"/>
      <x:c r="AV246" s="115"/>
      <x:c r="AW246" s="115"/>
      <x:c r="AX246" s="115"/>
      <x:c r="AY246" s="115"/>
      <x:c r="AZ246" s="115"/>
      <x:c r="BA246" s="115"/>
      <x:c r="BB246" s="115"/>
      <x:c r="BC246" s="115"/>
      <x:c r="BD246" s="115"/>
      <x:c r="BE246" s="115"/>
      <x:c r="BF246" s="115"/>
      <x:c r="BG246" s="115"/>
      <x:c r="BH246" s="115"/>
      <x:c r="BI246" s="115"/>
      <x:c r="BJ246" s="115"/>
      <x:c r="BK246" s="115"/>
      <x:c r="BL246" s="115"/>
      <x:c r="BM246" s="115"/>
      <x:c r="BN246" s="115"/>
      <x:c r="BO246" s="115"/>
      <x:c r="BP246" s="115"/>
      <x:c r="BQ246" s="115"/>
      <x:c r="BR246" s="115"/>
      <x:c r="BS246" s="115"/>
      <x:c r="BT246" s="115"/>
      <x:c r="BU246" s="115"/>
      <x:c r="BV246" s="115"/>
      <x:c r="BW246" s="115"/>
      <x:c r="BX246" s="115"/>
      <x:c r="BY246" s="115"/>
      <x:c r="BZ246" s="115"/>
      <x:c r="CA246" s="115"/>
      <x:c r="CB246" s="116"/>
      <x:c r="CC246" s="141" t="str">
        <x:f>IF(COUNT(G246:P246)=0,"",AVERAGE(G246:P246)*4)</x:f>
      </x:c>
      <x:c r="CD246" s="178" t="str">
        <x:f>IF(COUNT(Q246:Z246)=0,"",AVERAGE(Q246:Z246)*4)</x:f>
      </x:c>
      <x:c r="CE246" s="178" t="str">
        <x:f>IF(COUNT(AA246:AJ246)=0,"",AVERAGE(AA246:AJ246)*4)</x:f>
      </x:c>
      <x:c r="CF246" s="178" t="str">
        <x:f>IF(COUNT(AK246:AR246)=0,"",AVERAGE(AK246:AR246)*4)</x:f>
      </x:c>
      <x:c r="CG246" s="178" t="str">
        <x:f>IF(COUNT(AS246:AY246)=0,"",AVERAGE(AS246:AY246)*4)</x:f>
      </x:c>
      <x:c r="CH246" s="178" t="str">
        <x:f>IF(COUNT(AZ246:BG246)=0,"",AVERAGE(AZ246:BG246)*4)</x:f>
      </x:c>
      <x:c r="CI246" s="178" t="str">
        <x:f>IF(COUNT(BH246:BN246)=0,"",AVERAGE(BH246:BN246)*4)</x:f>
      </x:c>
      <x:c r="CJ246" s="178" t="str">
        <x:f>IF(COUNT(BO246:BU246)=0,"",AVERAGE(BO246:BU246)*4)</x:f>
      </x:c>
      <x:c r="CK246" s="178" t="str">
        <x:f>IF(COUNT(BV246:CB246)=0,"",AVERAGE(BV246:CB246)*4)</x:f>
      </x:c>
      <x:c r="CL246" s="178" t="str">
        <x:f>IF(C246="","",IF(COUNT(G246:CB246)&lt;74,"",(CC246*'تنظیمات وزن‌دهی'!$C$5+CD246*'تنظیمات وزن‌دهی'!$C$6+CE246*'تنظیمات وزن‌دهی'!$C$7+CF246*'تنظیمات وزن‌دهی'!$C$8+CG246*'تنظیمات وزن‌دهی'!$C$9+CH246*'تنظیمات وزن‌دهی'!$C$10+CI246*'تنظیمات وزن‌دهی'!$C$11+CJ246*'تنظیمات وزن‌دهی'!$C$12+CK246*'تنظیمات وزن‌دهی'!$C$13)/100))</x:f>
      </x:c>
      <x:c r="CM246" s="178" t="str">
        <x:f>IF(C246="","",IF(COUNT(G246:CB246)=0,"",IF(COUNT(G246:CB246)&lt;74,"موقت - اطلاعات ناقص",IF(CL246&gt;=17,"عالی",IF(CL246&gt;=14,"خوب",IF(CL246&gt;=10,"متوسط","ضعیف"))))))</x:f>
      </x:c>
      <x:c r="CN246" s="178" t="n">
        <x:v>2</x:v>
      </x:c>
      <x:c r="CO246" s="142" t="n">
        <x:f>IF(C246="","",COUNT(G246:CB246)/74)</x:f>
        <x:v>0</x:v>
      </x:c>
      <x:c r="CP246" s="245"/>
    </x:row>
    <x:row r="247">
      <x:c r="A247" s="165" t="n">
        <x:v>243</x:v>
      </x:c>
      <x:c r="B247" s="233" t="str">
        <x:v>شهریور</x:v>
      </x:c>
      <x:c r="C247" s="233" t="n">
        <x:f>IF('دانش‌آموزان'!E25="","",'دانش‌آموزان'!B25)</x:f>
        <x:v>21</x:v>
      </x:c>
      <x:c r="D247" s="233" t="str">
        <x:f>IF('دانش‌آموزان'!C25="","",'دانش‌آموزان'!C25)</x:f>
        <x:v>4000000217</x:v>
      </x:c>
      <x:c r="E247" s="233" t="str">
        <x:f>IF('دانش‌آموزان'!E25="","",'دانش‌آموزان'!E25&amp;" "&amp;'دانش‌آموزان'!F25)</x:f>
        <x:v>علی احمدی</x:v>
      </x:c>
      <x:c r="F247" s="166" t="str">
        <x:f>IF('دانش‌آموزان'!I25="","",'دانش‌آموزان'!I25)</x:f>
        <x:v>sample-7-a</x:v>
      </x:c>
      <x:c r="G247" s="114"/>
      <x:c r="H247" s="115"/>
      <x:c r="I247" s="115"/>
      <x:c r="J247" s="115"/>
      <x:c r="K247" s="115"/>
      <x:c r="L247" s="115"/>
      <x:c r="M247" s="115"/>
      <x:c r="N247" s="115"/>
      <x:c r="O247" s="115"/>
      <x:c r="P247" s="115"/>
      <x:c r="Q247" s="115"/>
      <x:c r="R247" s="115"/>
      <x:c r="S247" s="115"/>
      <x:c r="T247" s="115"/>
      <x:c r="U247" s="115"/>
      <x:c r="V247" s="115"/>
      <x:c r="W247" s="115"/>
      <x:c r="X247" s="115"/>
      <x:c r="Y247" s="115"/>
      <x:c r="Z247" s="115"/>
      <x:c r="AA247" s="115"/>
      <x:c r="AB247" s="115"/>
      <x:c r="AC247" s="115"/>
      <x:c r="AD247" s="115"/>
      <x:c r="AE247" s="115"/>
      <x:c r="AF247" s="115"/>
      <x:c r="AG247" s="115"/>
      <x:c r="AH247" s="115"/>
      <x:c r="AI247" s="115"/>
      <x:c r="AJ247" s="115"/>
      <x:c r="AK247" s="115"/>
      <x:c r="AL247" s="115"/>
      <x:c r="AM247" s="115"/>
      <x:c r="AN247" s="115"/>
      <x:c r="AO247" s="115"/>
      <x:c r="AP247" s="115"/>
      <x:c r="AQ247" s="115"/>
      <x:c r="AR247" s="115"/>
      <x:c r="AS247" s="115"/>
      <x:c r="AT247" s="115"/>
      <x:c r="AU247" s="115"/>
      <x:c r="AV247" s="115"/>
      <x:c r="AW247" s="115"/>
      <x:c r="AX247" s="115"/>
      <x:c r="AY247" s="115"/>
      <x:c r="AZ247" s="115"/>
      <x:c r="BA247" s="115"/>
      <x:c r="BB247" s="115"/>
      <x:c r="BC247" s="115"/>
      <x:c r="BD247" s="115"/>
      <x:c r="BE247" s="115"/>
      <x:c r="BF247" s="115"/>
      <x:c r="BG247" s="115"/>
      <x:c r="BH247" s="115"/>
      <x:c r="BI247" s="115"/>
      <x:c r="BJ247" s="115"/>
      <x:c r="BK247" s="115"/>
      <x:c r="BL247" s="115"/>
      <x:c r="BM247" s="115"/>
      <x:c r="BN247" s="115"/>
      <x:c r="BO247" s="115"/>
      <x:c r="BP247" s="115"/>
      <x:c r="BQ247" s="115"/>
      <x:c r="BR247" s="115"/>
      <x:c r="BS247" s="115"/>
      <x:c r="BT247" s="115"/>
      <x:c r="BU247" s="115"/>
      <x:c r="BV247" s="115"/>
      <x:c r="BW247" s="115"/>
      <x:c r="BX247" s="115"/>
      <x:c r="BY247" s="115"/>
      <x:c r="BZ247" s="115"/>
      <x:c r="CA247" s="115"/>
      <x:c r="CB247" s="116"/>
      <x:c r="CC247" s="141" t="str">
        <x:f>IF(COUNT(G247:P247)=0,"",AVERAGE(G247:P247)*4)</x:f>
      </x:c>
      <x:c r="CD247" s="178" t="str">
        <x:f>IF(COUNT(Q247:Z247)=0,"",AVERAGE(Q247:Z247)*4)</x:f>
      </x:c>
      <x:c r="CE247" s="178" t="str">
        <x:f>IF(COUNT(AA247:AJ247)=0,"",AVERAGE(AA247:AJ247)*4)</x:f>
      </x:c>
      <x:c r="CF247" s="178" t="str">
        <x:f>IF(COUNT(AK247:AR247)=0,"",AVERAGE(AK247:AR247)*4)</x:f>
      </x:c>
      <x:c r="CG247" s="178" t="str">
        <x:f>IF(COUNT(AS247:AY247)=0,"",AVERAGE(AS247:AY247)*4)</x:f>
      </x:c>
      <x:c r="CH247" s="178" t="str">
        <x:f>IF(COUNT(AZ247:BG247)=0,"",AVERAGE(AZ247:BG247)*4)</x:f>
      </x:c>
      <x:c r="CI247" s="178" t="str">
        <x:f>IF(COUNT(BH247:BN247)=0,"",AVERAGE(BH247:BN247)*4)</x:f>
      </x:c>
      <x:c r="CJ247" s="178" t="str">
        <x:f>IF(COUNT(BO247:BU247)=0,"",AVERAGE(BO247:BU247)*4)</x:f>
      </x:c>
      <x:c r="CK247" s="178" t="str">
        <x:f>IF(COUNT(BV247:CB247)=0,"",AVERAGE(BV247:CB247)*4)</x:f>
      </x:c>
      <x:c r="CL247" s="178" t="str">
        <x:f>IF(C247="","",IF(COUNT(G247:CB247)&lt;74,"",(CC247*'تنظیمات وزن‌دهی'!$C$5+CD247*'تنظیمات وزن‌دهی'!$C$6+CE247*'تنظیمات وزن‌دهی'!$C$7+CF247*'تنظیمات وزن‌دهی'!$C$8+CG247*'تنظیمات وزن‌دهی'!$C$9+CH247*'تنظیمات وزن‌دهی'!$C$10+CI247*'تنظیمات وزن‌دهی'!$C$11+CJ247*'تنظیمات وزن‌دهی'!$C$12+CK247*'تنظیمات وزن‌دهی'!$C$13)/100))</x:f>
      </x:c>
      <x:c r="CM247" s="178" t="str">
        <x:f>IF(C247="","",IF(COUNT(G247:CB247)=0,"",IF(COUNT(G247:CB247)&lt;74,"موقت - اطلاعات ناقص",IF(CL247&gt;=17,"عالی",IF(CL247&gt;=14,"خوب",IF(CL247&gt;=10,"متوسط","ضعیف"))))))</x:f>
      </x:c>
      <x:c r="CN247" s="178" t="n">
        <x:v>3</x:v>
      </x:c>
      <x:c r="CO247" s="142" t="n">
        <x:f>IF(C247="","",COUNT(G247:CB247)/74)</x:f>
        <x:v>0</x:v>
      </x:c>
      <x:c r="CP247" s="245"/>
    </x:row>
    <x:row r="248">
      <x:c r="A248" s="165" t="n">
        <x:v>244</x:v>
      </x:c>
      <x:c r="B248" s="233" t="str">
        <x:v>مهر</x:v>
      </x:c>
      <x:c r="C248" s="233" t="n">
        <x:f>IF('دانش‌آموزان'!E25="","",'دانش‌آموزان'!B25)</x:f>
        <x:v>21</x:v>
      </x:c>
      <x:c r="D248" s="233" t="str">
        <x:f>IF('دانش‌آموزان'!C25="","",'دانش‌آموزان'!C25)</x:f>
        <x:v>4000000217</x:v>
      </x:c>
      <x:c r="E248" s="233" t="str">
        <x:f>IF('دانش‌آموزان'!E25="","",'دانش‌آموزان'!E25&amp;" "&amp;'دانش‌آموزان'!F25)</x:f>
        <x:v>علی احمدی</x:v>
      </x:c>
      <x:c r="F248" s="166" t="str">
        <x:f>IF('دانش‌آموزان'!I25="","",'دانش‌آموزان'!I25)</x:f>
        <x:v>sample-7-a</x:v>
      </x:c>
      <x:c r="G248" s="114"/>
      <x:c r="H248" s="115"/>
      <x:c r="I248" s="115"/>
      <x:c r="J248" s="115"/>
      <x:c r="K248" s="115"/>
      <x:c r="L248" s="115"/>
      <x:c r="M248" s="115"/>
      <x:c r="N248" s="115"/>
      <x:c r="O248" s="115"/>
      <x:c r="P248" s="115"/>
      <x:c r="Q248" s="115"/>
      <x:c r="R248" s="115"/>
      <x:c r="S248" s="115"/>
      <x:c r="T248" s="115"/>
      <x:c r="U248" s="115"/>
      <x:c r="V248" s="115"/>
      <x:c r="W248" s="115"/>
      <x:c r="X248" s="115"/>
      <x:c r="Y248" s="115"/>
      <x:c r="Z248" s="115"/>
      <x:c r="AA248" s="115"/>
      <x:c r="AB248" s="115"/>
      <x:c r="AC248" s="115"/>
      <x:c r="AD248" s="115"/>
      <x:c r="AE248" s="115"/>
      <x:c r="AF248" s="115"/>
      <x:c r="AG248" s="115"/>
      <x:c r="AH248" s="115"/>
      <x:c r="AI248" s="115"/>
      <x:c r="AJ248" s="115"/>
      <x:c r="AK248" s="115"/>
      <x:c r="AL248" s="115"/>
      <x:c r="AM248" s="115"/>
      <x:c r="AN248" s="115"/>
      <x:c r="AO248" s="115"/>
      <x:c r="AP248" s="115"/>
      <x:c r="AQ248" s="115"/>
      <x:c r="AR248" s="115"/>
      <x:c r="AS248" s="115"/>
      <x:c r="AT248" s="115"/>
      <x:c r="AU248" s="115"/>
      <x:c r="AV248" s="115"/>
      <x:c r="AW248" s="115"/>
      <x:c r="AX248" s="115"/>
      <x:c r="AY248" s="115"/>
      <x:c r="AZ248" s="115"/>
      <x:c r="BA248" s="115"/>
      <x:c r="BB248" s="115"/>
      <x:c r="BC248" s="115"/>
      <x:c r="BD248" s="115"/>
      <x:c r="BE248" s="115"/>
      <x:c r="BF248" s="115"/>
      <x:c r="BG248" s="115"/>
      <x:c r="BH248" s="115"/>
      <x:c r="BI248" s="115"/>
      <x:c r="BJ248" s="115"/>
      <x:c r="BK248" s="115"/>
      <x:c r="BL248" s="115"/>
      <x:c r="BM248" s="115"/>
      <x:c r="BN248" s="115"/>
      <x:c r="BO248" s="115"/>
      <x:c r="BP248" s="115"/>
      <x:c r="BQ248" s="115"/>
      <x:c r="BR248" s="115"/>
      <x:c r="BS248" s="115"/>
      <x:c r="BT248" s="115"/>
      <x:c r="BU248" s="115"/>
      <x:c r="BV248" s="115"/>
      <x:c r="BW248" s="115"/>
      <x:c r="BX248" s="115"/>
      <x:c r="BY248" s="115"/>
      <x:c r="BZ248" s="115"/>
      <x:c r="CA248" s="115"/>
      <x:c r="CB248" s="116"/>
      <x:c r="CC248" s="141" t="str">
        <x:f>IF(COUNT(G248:P248)=0,"",AVERAGE(G248:P248)*4)</x:f>
      </x:c>
      <x:c r="CD248" s="178" t="str">
        <x:f>IF(COUNT(Q248:Z248)=0,"",AVERAGE(Q248:Z248)*4)</x:f>
      </x:c>
      <x:c r="CE248" s="178" t="str">
        <x:f>IF(COUNT(AA248:AJ248)=0,"",AVERAGE(AA248:AJ248)*4)</x:f>
      </x:c>
      <x:c r="CF248" s="178" t="str">
        <x:f>IF(COUNT(AK248:AR248)=0,"",AVERAGE(AK248:AR248)*4)</x:f>
      </x:c>
      <x:c r="CG248" s="178" t="str">
        <x:f>IF(COUNT(AS248:AY248)=0,"",AVERAGE(AS248:AY248)*4)</x:f>
      </x:c>
      <x:c r="CH248" s="178" t="str">
        <x:f>IF(COUNT(AZ248:BG248)=0,"",AVERAGE(AZ248:BG248)*4)</x:f>
      </x:c>
      <x:c r="CI248" s="178" t="str">
        <x:f>IF(COUNT(BH248:BN248)=0,"",AVERAGE(BH248:BN248)*4)</x:f>
      </x:c>
      <x:c r="CJ248" s="178" t="str">
        <x:f>IF(COUNT(BO248:BU248)=0,"",AVERAGE(BO248:BU248)*4)</x:f>
      </x:c>
      <x:c r="CK248" s="178" t="str">
        <x:f>IF(COUNT(BV248:CB248)=0,"",AVERAGE(BV248:CB248)*4)</x:f>
      </x:c>
      <x:c r="CL248" s="178" t="str">
        <x:f>IF(C248="","",IF(COUNT(G248:CB248)&lt;74,"",(CC248*'تنظیمات وزن‌دهی'!$C$5+CD248*'تنظیمات وزن‌دهی'!$C$6+CE248*'تنظیمات وزن‌دهی'!$C$7+CF248*'تنظیمات وزن‌دهی'!$C$8+CG248*'تنظیمات وزن‌دهی'!$C$9+CH248*'تنظیمات وزن‌دهی'!$C$10+CI248*'تنظیمات وزن‌دهی'!$C$11+CJ248*'تنظیمات وزن‌دهی'!$C$12+CK248*'تنظیمات وزن‌دهی'!$C$13)/100))</x:f>
      </x:c>
      <x:c r="CM248" s="178" t="str">
        <x:f>IF(C248="","",IF(COUNT(G248:CB248)=0,"",IF(COUNT(G248:CB248)&lt;74,"موقت - اطلاعات ناقص",IF(CL248&gt;=17,"عالی",IF(CL248&gt;=14,"خوب",IF(CL248&gt;=10,"متوسط","ضعیف"))))))</x:f>
      </x:c>
      <x:c r="CN248" s="178" t="n">
        <x:v>4</x:v>
      </x:c>
      <x:c r="CO248" s="142" t="n">
        <x:f>IF(C248="","",COUNT(G248:CB248)/74)</x:f>
        <x:v>0</x:v>
      </x:c>
      <x:c r="CP248" s="245"/>
    </x:row>
    <x:row r="249">
      <x:c r="A249" s="165" t="n">
        <x:v>245</x:v>
      </x:c>
      <x:c r="B249" s="233" t="str">
        <x:v>آبان</x:v>
      </x:c>
      <x:c r="C249" s="233" t="n">
        <x:f>IF('دانش‌آموزان'!E25="","",'دانش‌آموزان'!B25)</x:f>
        <x:v>21</x:v>
      </x:c>
      <x:c r="D249" s="233" t="str">
        <x:f>IF('دانش‌آموزان'!C25="","",'دانش‌آموزان'!C25)</x:f>
        <x:v>4000000217</x:v>
      </x:c>
      <x:c r="E249" s="233" t="str">
        <x:f>IF('دانش‌آموزان'!E25="","",'دانش‌آموزان'!E25&amp;" "&amp;'دانش‌آموزان'!F25)</x:f>
        <x:v>علی احمدی</x:v>
      </x:c>
      <x:c r="F249" s="166" t="str">
        <x:f>IF('دانش‌آموزان'!I25="","",'دانش‌آموزان'!I25)</x:f>
        <x:v>sample-7-a</x:v>
      </x:c>
      <x:c r="G249" s="114"/>
      <x:c r="H249" s="115"/>
      <x:c r="I249" s="115"/>
      <x:c r="J249" s="115"/>
      <x:c r="K249" s="115"/>
      <x:c r="L249" s="115"/>
      <x:c r="M249" s="115"/>
      <x:c r="N249" s="115"/>
      <x:c r="O249" s="115"/>
      <x:c r="P249" s="115"/>
      <x:c r="Q249" s="115"/>
      <x:c r="R249" s="115"/>
      <x:c r="S249" s="115"/>
      <x:c r="T249" s="115"/>
      <x:c r="U249" s="115"/>
      <x:c r="V249" s="115"/>
      <x:c r="W249" s="115"/>
      <x:c r="X249" s="115"/>
      <x:c r="Y249" s="115"/>
      <x:c r="Z249" s="115"/>
      <x:c r="AA249" s="115"/>
      <x:c r="AB249" s="115"/>
      <x:c r="AC249" s="115"/>
      <x:c r="AD249" s="115"/>
      <x:c r="AE249" s="115"/>
      <x:c r="AF249" s="115"/>
      <x:c r="AG249" s="115"/>
      <x:c r="AH249" s="115"/>
      <x:c r="AI249" s="115"/>
      <x:c r="AJ249" s="115"/>
      <x:c r="AK249" s="115"/>
      <x:c r="AL249" s="115"/>
      <x:c r="AM249" s="115"/>
      <x:c r="AN249" s="115"/>
      <x:c r="AO249" s="115"/>
      <x:c r="AP249" s="115"/>
      <x:c r="AQ249" s="115"/>
      <x:c r="AR249" s="115"/>
      <x:c r="AS249" s="115"/>
      <x:c r="AT249" s="115"/>
      <x:c r="AU249" s="115"/>
      <x:c r="AV249" s="115"/>
      <x:c r="AW249" s="115"/>
      <x:c r="AX249" s="115"/>
      <x:c r="AY249" s="115"/>
      <x:c r="AZ249" s="115"/>
      <x:c r="BA249" s="115"/>
      <x:c r="BB249" s="115"/>
      <x:c r="BC249" s="115"/>
      <x:c r="BD249" s="115"/>
      <x:c r="BE249" s="115"/>
      <x:c r="BF249" s="115"/>
      <x:c r="BG249" s="115"/>
      <x:c r="BH249" s="115"/>
      <x:c r="BI249" s="115"/>
      <x:c r="BJ249" s="115"/>
      <x:c r="BK249" s="115"/>
      <x:c r="BL249" s="115"/>
      <x:c r="BM249" s="115"/>
      <x:c r="BN249" s="115"/>
      <x:c r="BO249" s="115"/>
      <x:c r="BP249" s="115"/>
      <x:c r="BQ249" s="115"/>
      <x:c r="BR249" s="115"/>
      <x:c r="BS249" s="115"/>
      <x:c r="BT249" s="115"/>
      <x:c r="BU249" s="115"/>
      <x:c r="BV249" s="115"/>
      <x:c r="BW249" s="115"/>
      <x:c r="BX249" s="115"/>
      <x:c r="BY249" s="115"/>
      <x:c r="BZ249" s="115"/>
      <x:c r="CA249" s="115"/>
      <x:c r="CB249" s="116"/>
      <x:c r="CC249" s="141" t="str">
        <x:f>IF(COUNT(G249:P249)=0,"",AVERAGE(G249:P249)*4)</x:f>
      </x:c>
      <x:c r="CD249" s="178" t="str">
        <x:f>IF(COUNT(Q249:Z249)=0,"",AVERAGE(Q249:Z249)*4)</x:f>
      </x:c>
      <x:c r="CE249" s="178" t="str">
        <x:f>IF(COUNT(AA249:AJ249)=0,"",AVERAGE(AA249:AJ249)*4)</x:f>
      </x:c>
      <x:c r="CF249" s="178" t="str">
        <x:f>IF(COUNT(AK249:AR249)=0,"",AVERAGE(AK249:AR249)*4)</x:f>
      </x:c>
      <x:c r="CG249" s="178" t="str">
        <x:f>IF(COUNT(AS249:AY249)=0,"",AVERAGE(AS249:AY249)*4)</x:f>
      </x:c>
      <x:c r="CH249" s="178" t="str">
        <x:f>IF(COUNT(AZ249:BG249)=0,"",AVERAGE(AZ249:BG249)*4)</x:f>
      </x:c>
      <x:c r="CI249" s="178" t="str">
        <x:f>IF(COUNT(BH249:BN249)=0,"",AVERAGE(BH249:BN249)*4)</x:f>
      </x:c>
      <x:c r="CJ249" s="178" t="str">
        <x:f>IF(COUNT(BO249:BU249)=0,"",AVERAGE(BO249:BU249)*4)</x:f>
      </x:c>
      <x:c r="CK249" s="178" t="str">
        <x:f>IF(COUNT(BV249:CB249)=0,"",AVERAGE(BV249:CB249)*4)</x:f>
      </x:c>
      <x:c r="CL249" s="178" t="str">
        <x:f>IF(C249="","",IF(COUNT(G249:CB249)&lt;74,"",(CC249*'تنظیمات وزن‌دهی'!$C$5+CD249*'تنظیمات وزن‌دهی'!$C$6+CE249*'تنظیمات وزن‌دهی'!$C$7+CF249*'تنظیمات وزن‌دهی'!$C$8+CG249*'تنظیمات وزن‌دهی'!$C$9+CH249*'تنظیمات وزن‌دهی'!$C$10+CI249*'تنظیمات وزن‌دهی'!$C$11+CJ249*'تنظیمات وزن‌دهی'!$C$12+CK249*'تنظیمات وزن‌دهی'!$C$13)/100))</x:f>
      </x:c>
      <x:c r="CM249" s="178" t="str">
        <x:f>IF(C249="","",IF(COUNT(G249:CB249)=0,"",IF(COUNT(G249:CB249)&lt;74,"موقت - اطلاعات ناقص",IF(CL249&gt;=17,"عالی",IF(CL249&gt;=14,"خوب",IF(CL249&gt;=10,"متوسط","ضعیف"))))))</x:f>
      </x:c>
      <x:c r="CN249" s="178" t="n">
        <x:v>5</x:v>
      </x:c>
      <x:c r="CO249" s="142" t="n">
        <x:f>IF(C249="","",COUNT(G249:CB249)/74)</x:f>
        <x:v>0</x:v>
      </x:c>
      <x:c r="CP249" s="245"/>
    </x:row>
    <x:row r="250">
      <x:c r="A250" s="165" t="n">
        <x:v>246</x:v>
      </x:c>
      <x:c r="B250" s="233" t="str">
        <x:v>آذر</x:v>
      </x:c>
      <x:c r="C250" s="233" t="n">
        <x:f>IF('دانش‌آموزان'!E25="","",'دانش‌آموزان'!B25)</x:f>
        <x:v>21</x:v>
      </x:c>
      <x:c r="D250" s="233" t="str">
        <x:f>IF('دانش‌آموزان'!C25="","",'دانش‌آموزان'!C25)</x:f>
        <x:v>4000000217</x:v>
      </x:c>
      <x:c r="E250" s="233" t="str">
        <x:f>IF('دانش‌آموزان'!E25="","",'دانش‌آموزان'!E25&amp;" "&amp;'دانش‌آموزان'!F25)</x:f>
        <x:v>علی احمدی</x:v>
      </x:c>
      <x:c r="F250" s="166" t="str">
        <x:f>IF('دانش‌آموزان'!I25="","",'دانش‌آموزان'!I25)</x:f>
        <x:v>sample-7-a</x:v>
      </x:c>
      <x:c r="G250" s="114"/>
      <x:c r="H250" s="115"/>
      <x:c r="I250" s="115"/>
      <x:c r="J250" s="115"/>
      <x:c r="K250" s="115"/>
      <x:c r="L250" s="115"/>
      <x:c r="M250" s="115"/>
      <x:c r="N250" s="115"/>
      <x:c r="O250" s="115"/>
      <x:c r="P250" s="115"/>
      <x:c r="Q250" s="115"/>
      <x:c r="R250" s="115"/>
      <x:c r="S250" s="115"/>
      <x:c r="T250" s="115"/>
      <x:c r="U250" s="115"/>
      <x:c r="V250" s="115"/>
      <x:c r="W250" s="115"/>
      <x:c r="X250" s="115"/>
      <x:c r="Y250" s="115"/>
      <x:c r="Z250" s="115"/>
      <x:c r="AA250" s="115"/>
      <x:c r="AB250" s="115"/>
      <x:c r="AC250" s="115"/>
      <x:c r="AD250" s="115"/>
      <x:c r="AE250" s="115"/>
      <x:c r="AF250" s="115"/>
      <x:c r="AG250" s="115"/>
      <x:c r="AH250" s="115"/>
      <x:c r="AI250" s="115"/>
      <x:c r="AJ250" s="115"/>
      <x:c r="AK250" s="115"/>
      <x:c r="AL250" s="115"/>
      <x:c r="AM250" s="115"/>
      <x:c r="AN250" s="115"/>
      <x:c r="AO250" s="115"/>
      <x:c r="AP250" s="115"/>
      <x:c r="AQ250" s="115"/>
      <x:c r="AR250" s="115"/>
      <x:c r="AS250" s="115"/>
      <x:c r="AT250" s="115"/>
      <x:c r="AU250" s="115"/>
      <x:c r="AV250" s="115"/>
      <x:c r="AW250" s="115"/>
      <x:c r="AX250" s="115"/>
      <x:c r="AY250" s="115"/>
      <x:c r="AZ250" s="115"/>
      <x:c r="BA250" s="115"/>
      <x:c r="BB250" s="115"/>
      <x:c r="BC250" s="115"/>
      <x:c r="BD250" s="115"/>
      <x:c r="BE250" s="115"/>
      <x:c r="BF250" s="115"/>
      <x:c r="BG250" s="115"/>
      <x:c r="BH250" s="115"/>
      <x:c r="BI250" s="115"/>
      <x:c r="BJ250" s="115"/>
      <x:c r="BK250" s="115"/>
      <x:c r="BL250" s="115"/>
      <x:c r="BM250" s="115"/>
      <x:c r="BN250" s="115"/>
      <x:c r="BO250" s="115"/>
      <x:c r="BP250" s="115"/>
      <x:c r="BQ250" s="115"/>
      <x:c r="BR250" s="115"/>
      <x:c r="BS250" s="115"/>
      <x:c r="BT250" s="115"/>
      <x:c r="BU250" s="115"/>
      <x:c r="BV250" s="115"/>
      <x:c r="BW250" s="115"/>
      <x:c r="BX250" s="115"/>
      <x:c r="BY250" s="115"/>
      <x:c r="BZ250" s="115"/>
      <x:c r="CA250" s="115"/>
      <x:c r="CB250" s="116"/>
      <x:c r="CC250" s="141" t="str">
        <x:f>IF(COUNT(G250:P250)=0,"",AVERAGE(G250:P250)*4)</x:f>
      </x:c>
      <x:c r="CD250" s="178" t="str">
        <x:f>IF(COUNT(Q250:Z250)=0,"",AVERAGE(Q250:Z250)*4)</x:f>
      </x:c>
      <x:c r="CE250" s="178" t="str">
        <x:f>IF(COUNT(AA250:AJ250)=0,"",AVERAGE(AA250:AJ250)*4)</x:f>
      </x:c>
      <x:c r="CF250" s="178" t="str">
        <x:f>IF(COUNT(AK250:AR250)=0,"",AVERAGE(AK250:AR250)*4)</x:f>
      </x:c>
      <x:c r="CG250" s="178" t="str">
        <x:f>IF(COUNT(AS250:AY250)=0,"",AVERAGE(AS250:AY250)*4)</x:f>
      </x:c>
      <x:c r="CH250" s="178" t="str">
        <x:f>IF(COUNT(AZ250:BG250)=0,"",AVERAGE(AZ250:BG250)*4)</x:f>
      </x:c>
      <x:c r="CI250" s="178" t="str">
        <x:f>IF(COUNT(BH250:BN250)=0,"",AVERAGE(BH250:BN250)*4)</x:f>
      </x:c>
      <x:c r="CJ250" s="178" t="str">
        <x:f>IF(COUNT(BO250:BU250)=0,"",AVERAGE(BO250:BU250)*4)</x:f>
      </x:c>
      <x:c r="CK250" s="178" t="str">
        <x:f>IF(COUNT(BV250:CB250)=0,"",AVERAGE(BV250:CB250)*4)</x:f>
      </x:c>
      <x:c r="CL250" s="178" t="str">
        <x:f>IF(C250="","",IF(COUNT(G250:CB250)&lt;74,"",(CC250*'تنظیمات وزن‌دهی'!$C$5+CD250*'تنظیمات وزن‌دهی'!$C$6+CE250*'تنظیمات وزن‌دهی'!$C$7+CF250*'تنظیمات وزن‌دهی'!$C$8+CG250*'تنظیمات وزن‌دهی'!$C$9+CH250*'تنظیمات وزن‌دهی'!$C$10+CI250*'تنظیمات وزن‌دهی'!$C$11+CJ250*'تنظیمات وزن‌دهی'!$C$12+CK250*'تنظیمات وزن‌دهی'!$C$13)/100))</x:f>
      </x:c>
      <x:c r="CM250" s="178" t="str">
        <x:f>IF(C250="","",IF(COUNT(G250:CB250)=0,"",IF(COUNT(G250:CB250)&lt;74,"موقت - اطلاعات ناقص",IF(CL250&gt;=17,"عالی",IF(CL250&gt;=14,"خوب",IF(CL250&gt;=10,"متوسط","ضعیف"))))))</x:f>
      </x:c>
      <x:c r="CN250" s="178" t="n">
        <x:v>6</x:v>
      </x:c>
      <x:c r="CO250" s="142" t="n">
        <x:f>IF(C250="","",COUNT(G250:CB250)/74)</x:f>
        <x:v>0</x:v>
      </x:c>
      <x:c r="CP250" s="245"/>
    </x:row>
    <x:row r="251">
      <x:c r="A251" s="165" t="n">
        <x:v>247</x:v>
      </x:c>
      <x:c r="B251" s="233" t="str">
        <x:v>دی</x:v>
      </x:c>
      <x:c r="C251" s="233" t="n">
        <x:f>IF('دانش‌آموزان'!E25="","",'دانش‌آموزان'!B25)</x:f>
        <x:v>21</x:v>
      </x:c>
      <x:c r="D251" s="233" t="str">
        <x:f>IF('دانش‌آموزان'!C25="","",'دانش‌آموزان'!C25)</x:f>
        <x:v>4000000217</x:v>
      </x:c>
      <x:c r="E251" s="233" t="str">
        <x:f>IF('دانش‌آموزان'!E25="","",'دانش‌آموزان'!E25&amp;" "&amp;'دانش‌آموزان'!F25)</x:f>
        <x:v>علی احمدی</x:v>
      </x:c>
      <x:c r="F251" s="166" t="str">
        <x:f>IF('دانش‌آموزان'!I25="","",'دانش‌آموزان'!I25)</x:f>
        <x:v>sample-7-a</x:v>
      </x:c>
      <x:c r="G251" s="114"/>
      <x:c r="H251" s="115"/>
      <x:c r="I251" s="115"/>
      <x:c r="J251" s="115"/>
      <x:c r="K251" s="115"/>
      <x:c r="L251" s="115"/>
      <x:c r="M251" s="115"/>
      <x:c r="N251" s="115"/>
      <x:c r="O251" s="115"/>
      <x:c r="P251" s="115"/>
      <x:c r="Q251" s="115"/>
      <x:c r="R251" s="115"/>
      <x:c r="S251" s="115"/>
      <x:c r="T251" s="115"/>
      <x:c r="U251" s="115"/>
      <x:c r="V251" s="115"/>
      <x:c r="W251" s="115"/>
      <x:c r="X251" s="115"/>
      <x:c r="Y251" s="115"/>
      <x:c r="Z251" s="115"/>
      <x:c r="AA251" s="115"/>
      <x:c r="AB251" s="115"/>
      <x:c r="AC251" s="115"/>
      <x:c r="AD251" s="115"/>
      <x:c r="AE251" s="115"/>
      <x:c r="AF251" s="115"/>
      <x:c r="AG251" s="115"/>
      <x:c r="AH251" s="115"/>
      <x:c r="AI251" s="115"/>
      <x:c r="AJ251" s="115"/>
      <x:c r="AK251" s="115"/>
      <x:c r="AL251" s="115"/>
      <x:c r="AM251" s="115"/>
      <x:c r="AN251" s="115"/>
      <x:c r="AO251" s="115"/>
      <x:c r="AP251" s="115"/>
      <x:c r="AQ251" s="115"/>
      <x:c r="AR251" s="115"/>
      <x:c r="AS251" s="115"/>
      <x:c r="AT251" s="115"/>
      <x:c r="AU251" s="115"/>
      <x:c r="AV251" s="115"/>
      <x:c r="AW251" s="115"/>
      <x:c r="AX251" s="115"/>
      <x:c r="AY251" s="115"/>
      <x:c r="AZ251" s="115"/>
      <x:c r="BA251" s="115"/>
      <x:c r="BB251" s="115"/>
      <x:c r="BC251" s="115"/>
      <x:c r="BD251" s="115"/>
      <x:c r="BE251" s="115"/>
      <x:c r="BF251" s="115"/>
      <x:c r="BG251" s="115"/>
      <x:c r="BH251" s="115"/>
      <x:c r="BI251" s="115"/>
      <x:c r="BJ251" s="115"/>
      <x:c r="BK251" s="115"/>
      <x:c r="BL251" s="115"/>
      <x:c r="BM251" s="115"/>
      <x:c r="BN251" s="115"/>
      <x:c r="BO251" s="115"/>
      <x:c r="BP251" s="115"/>
      <x:c r="BQ251" s="115"/>
      <x:c r="BR251" s="115"/>
      <x:c r="BS251" s="115"/>
      <x:c r="BT251" s="115"/>
      <x:c r="BU251" s="115"/>
      <x:c r="BV251" s="115"/>
      <x:c r="BW251" s="115"/>
      <x:c r="BX251" s="115"/>
      <x:c r="BY251" s="115"/>
      <x:c r="BZ251" s="115"/>
      <x:c r="CA251" s="115"/>
      <x:c r="CB251" s="116"/>
      <x:c r="CC251" s="141" t="str">
        <x:f>IF(COUNT(G251:P251)=0,"",AVERAGE(G251:P251)*4)</x:f>
      </x:c>
      <x:c r="CD251" s="178" t="str">
        <x:f>IF(COUNT(Q251:Z251)=0,"",AVERAGE(Q251:Z251)*4)</x:f>
      </x:c>
      <x:c r="CE251" s="178" t="str">
        <x:f>IF(COUNT(AA251:AJ251)=0,"",AVERAGE(AA251:AJ251)*4)</x:f>
      </x:c>
      <x:c r="CF251" s="178" t="str">
        <x:f>IF(COUNT(AK251:AR251)=0,"",AVERAGE(AK251:AR251)*4)</x:f>
      </x:c>
      <x:c r="CG251" s="178" t="str">
        <x:f>IF(COUNT(AS251:AY251)=0,"",AVERAGE(AS251:AY251)*4)</x:f>
      </x:c>
      <x:c r="CH251" s="178" t="str">
        <x:f>IF(COUNT(AZ251:BG251)=0,"",AVERAGE(AZ251:BG251)*4)</x:f>
      </x:c>
      <x:c r="CI251" s="178" t="str">
        <x:f>IF(COUNT(BH251:BN251)=0,"",AVERAGE(BH251:BN251)*4)</x:f>
      </x:c>
      <x:c r="CJ251" s="178" t="str">
        <x:f>IF(COUNT(BO251:BU251)=0,"",AVERAGE(BO251:BU251)*4)</x:f>
      </x:c>
      <x:c r="CK251" s="178" t="str">
        <x:f>IF(COUNT(BV251:CB251)=0,"",AVERAGE(BV251:CB251)*4)</x:f>
      </x:c>
      <x:c r="CL251" s="178" t="str">
        <x:f>IF(C251="","",IF(COUNT(G251:CB251)&lt;74,"",(CC251*'تنظیمات وزن‌دهی'!$C$5+CD251*'تنظیمات وزن‌دهی'!$C$6+CE251*'تنظیمات وزن‌دهی'!$C$7+CF251*'تنظیمات وزن‌دهی'!$C$8+CG251*'تنظیمات وزن‌دهی'!$C$9+CH251*'تنظیمات وزن‌دهی'!$C$10+CI251*'تنظیمات وزن‌دهی'!$C$11+CJ251*'تنظیمات وزن‌دهی'!$C$12+CK251*'تنظیمات وزن‌دهی'!$C$13)/100))</x:f>
      </x:c>
      <x:c r="CM251" s="178" t="str">
        <x:f>IF(C251="","",IF(COUNT(G251:CB251)=0,"",IF(COUNT(G251:CB251)&lt;74,"موقت - اطلاعات ناقص",IF(CL251&gt;=17,"عالی",IF(CL251&gt;=14,"خوب",IF(CL251&gt;=10,"متوسط","ضعیف"))))))</x:f>
      </x:c>
      <x:c r="CN251" s="178" t="n">
        <x:v>7</x:v>
      </x:c>
      <x:c r="CO251" s="142" t="n">
        <x:f>IF(C251="","",COUNT(G251:CB251)/74)</x:f>
        <x:v>0</x:v>
      </x:c>
      <x:c r="CP251" s="245"/>
    </x:row>
    <x:row r="252">
      <x:c r="A252" s="165" t="n">
        <x:v>248</x:v>
      </x:c>
      <x:c r="B252" s="233" t="str">
        <x:v>بهمن</x:v>
      </x:c>
      <x:c r="C252" s="233" t="n">
        <x:f>IF('دانش‌آموزان'!E25="","",'دانش‌آموزان'!B25)</x:f>
        <x:v>21</x:v>
      </x:c>
      <x:c r="D252" s="233" t="str">
        <x:f>IF('دانش‌آموزان'!C25="","",'دانش‌آموزان'!C25)</x:f>
        <x:v>4000000217</x:v>
      </x:c>
      <x:c r="E252" s="233" t="str">
        <x:f>IF('دانش‌آموزان'!E25="","",'دانش‌آموزان'!E25&amp;" "&amp;'دانش‌آموزان'!F25)</x:f>
        <x:v>علی احمدی</x:v>
      </x:c>
      <x:c r="F252" s="166" t="str">
        <x:f>IF('دانش‌آموزان'!I25="","",'دانش‌آموزان'!I25)</x:f>
        <x:v>sample-7-a</x:v>
      </x:c>
      <x:c r="G252" s="114"/>
      <x:c r="H252" s="115"/>
      <x:c r="I252" s="115"/>
      <x:c r="J252" s="115"/>
      <x:c r="K252" s="115"/>
      <x:c r="L252" s="115"/>
      <x:c r="M252" s="115"/>
      <x:c r="N252" s="115"/>
      <x:c r="O252" s="115"/>
      <x:c r="P252" s="115"/>
      <x:c r="Q252" s="115"/>
      <x:c r="R252" s="115"/>
      <x:c r="S252" s="115"/>
      <x:c r="T252" s="115"/>
      <x:c r="U252" s="115"/>
      <x:c r="V252" s="115"/>
      <x:c r="W252" s="115"/>
      <x:c r="X252" s="115"/>
      <x:c r="Y252" s="115"/>
      <x:c r="Z252" s="115"/>
      <x:c r="AA252" s="115"/>
      <x:c r="AB252" s="115"/>
      <x:c r="AC252" s="115"/>
      <x:c r="AD252" s="115"/>
      <x:c r="AE252" s="115"/>
      <x:c r="AF252" s="115"/>
      <x:c r="AG252" s="115"/>
      <x:c r="AH252" s="115"/>
      <x:c r="AI252" s="115"/>
      <x:c r="AJ252" s="115"/>
      <x:c r="AK252" s="115"/>
      <x:c r="AL252" s="115"/>
      <x:c r="AM252" s="115"/>
      <x:c r="AN252" s="115"/>
      <x:c r="AO252" s="115"/>
      <x:c r="AP252" s="115"/>
      <x:c r="AQ252" s="115"/>
      <x:c r="AR252" s="115"/>
      <x:c r="AS252" s="115"/>
      <x:c r="AT252" s="115"/>
      <x:c r="AU252" s="115"/>
      <x:c r="AV252" s="115"/>
      <x:c r="AW252" s="115"/>
      <x:c r="AX252" s="115"/>
      <x:c r="AY252" s="115"/>
      <x:c r="AZ252" s="115"/>
      <x:c r="BA252" s="115"/>
      <x:c r="BB252" s="115"/>
      <x:c r="BC252" s="115"/>
      <x:c r="BD252" s="115"/>
      <x:c r="BE252" s="115"/>
      <x:c r="BF252" s="115"/>
      <x:c r="BG252" s="115"/>
      <x:c r="BH252" s="115"/>
      <x:c r="BI252" s="115"/>
      <x:c r="BJ252" s="115"/>
      <x:c r="BK252" s="115"/>
      <x:c r="BL252" s="115"/>
      <x:c r="BM252" s="115"/>
      <x:c r="BN252" s="115"/>
      <x:c r="BO252" s="115"/>
      <x:c r="BP252" s="115"/>
      <x:c r="BQ252" s="115"/>
      <x:c r="BR252" s="115"/>
      <x:c r="BS252" s="115"/>
      <x:c r="BT252" s="115"/>
      <x:c r="BU252" s="115"/>
      <x:c r="BV252" s="115"/>
      <x:c r="BW252" s="115"/>
      <x:c r="BX252" s="115"/>
      <x:c r="BY252" s="115"/>
      <x:c r="BZ252" s="115"/>
      <x:c r="CA252" s="115"/>
      <x:c r="CB252" s="116"/>
      <x:c r="CC252" s="141" t="str">
        <x:f>IF(COUNT(G252:P252)=0,"",AVERAGE(G252:P252)*4)</x:f>
      </x:c>
      <x:c r="CD252" s="178" t="str">
        <x:f>IF(COUNT(Q252:Z252)=0,"",AVERAGE(Q252:Z252)*4)</x:f>
      </x:c>
      <x:c r="CE252" s="178" t="str">
        <x:f>IF(COUNT(AA252:AJ252)=0,"",AVERAGE(AA252:AJ252)*4)</x:f>
      </x:c>
      <x:c r="CF252" s="178" t="str">
        <x:f>IF(COUNT(AK252:AR252)=0,"",AVERAGE(AK252:AR252)*4)</x:f>
      </x:c>
      <x:c r="CG252" s="178" t="str">
        <x:f>IF(COUNT(AS252:AY252)=0,"",AVERAGE(AS252:AY252)*4)</x:f>
      </x:c>
      <x:c r="CH252" s="178" t="str">
        <x:f>IF(COUNT(AZ252:BG252)=0,"",AVERAGE(AZ252:BG252)*4)</x:f>
      </x:c>
      <x:c r="CI252" s="178" t="str">
        <x:f>IF(COUNT(BH252:BN252)=0,"",AVERAGE(BH252:BN252)*4)</x:f>
      </x:c>
      <x:c r="CJ252" s="178" t="str">
        <x:f>IF(COUNT(BO252:BU252)=0,"",AVERAGE(BO252:BU252)*4)</x:f>
      </x:c>
      <x:c r="CK252" s="178" t="str">
        <x:f>IF(COUNT(BV252:CB252)=0,"",AVERAGE(BV252:CB252)*4)</x:f>
      </x:c>
      <x:c r="CL252" s="178" t="str">
        <x:f>IF(C252="","",IF(COUNT(G252:CB252)&lt;74,"",(CC252*'تنظیمات وزن‌دهی'!$C$5+CD252*'تنظیمات وزن‌دهی'!$C$6+CE252*'تنظیمات وزن‌دهی'!$C$7+CF252*'تنظیمات وزن‌دهی'!$C$8+CG252*'تنظیمات وزن‌دهی'!$C$9+CH252*'تنظیمات وزن‌دهی'!$C$10+CI252*'تنظیمات وزن‌دهی'!$C$11+CJ252*'تنظیمات وزن‌دهی'!$C$12+CK252*'تنظیمات وزن‌دهی'!$C$13)/100))</x:f>
      </x:c>
      <x:c r="CM252" s="178" t="str">
        <x:f>IF(C252="","",IF(COUNT(G252:CB252)=0,"",IF(COUNT(G252:CB252)&lt;74,"موقت - اطلاعات ناقص",IF(CL252&gt;=17,"عالی",IF(CL252&gt;=14,"خوب",IF(CL252&gt;=10,"متوسط","ضعیف"))))))</x:f>
      </x:c>
      <x:c r="CN252" s="178" t="n">
        <x:v>8</x:v>
      </x:c>
      <x:c r="CO252" s="142" t="n">
        <x:f>IF(C252="","",COUNT(G252:CB252)/74)</x:f>
        <x:v>0</x:v>
      </x:c>
      <x:c r="CP252" s="245"/>
    </x:row>
    <x:row r="253">
      <x:c r="A253" s="165" t="n">
        <x:v>249</x:v>
      </x:c>
      <x:c r="B253" s="233" t="str">
        <x:v>اسفند</x:v>
      </x:c>
      <x:c r="C253" s="233" t="n">
        <x:f>IF('دانش‌آموزان'!E25="","",'دانش‌آموزان'!B25)</x:f>
        <x:v>21</x:v>
      </x:c>
      <x:c r="D253" s="233" t="str">
        <x:f>IF('دانش‌آموزان'!C25="","",'دانش‌آموزان'!C25)</x:f>
        <x:v>4000000217</x:v>
      </x:c>
      <x:c r="E253" s="233" t="str">
        <x:f>IF('دانش‌آموزان'!E25="","",'دانش‌آموزان'!E25&amp;" "&amp;'دانش‌آموزان'!F25)</x:f>
        <x:v>علی احمدی</x:v>
      </x:c>
      <x:c r="F253" s="166" t="str">
        <x:f>IF('دانش‌آموزان'!I25="","",'دانش‌آموزان'!I25)</x:f>
        <x:v>sample-7-a</x:v>
      </x:c>
      <x:c r="G253" s="114"/>
      <x:c r="H253" s="115"/>
      <x:c r="I253" s="115"/>
      <x:c r="J253" s="115"/>
      <x:c r="K253" s="115"/>
      <x:c r="L253" s="115"/>
      <x:c r="M253" s="115"/>
      <x:c r="N253" s="115"/>
      <x:c r="O253" s="115"/>
      <x:c r="P253" s="115"/>
      <x:c r="Q253" s="115"/>
      <x:c r="R253" s="115"/>
      <x:c r="S253" s="115"/>
      <x:c r="T253" s="115"/>
      <x:c r="U253" s="115"/>
      <x:c r="V253" s="115"/>
      <x:c r="W253" s="115"/>
      <x:c r="X253" s="115"/>
      <x:c r="Y253" s="115"/>
      <x:c r="Z253" s="115"/>
      <x:c r="AA253" s="115"/>
      <x:c r="AB253" s="115"/>
      <x:c r="AC253" s="115"/>
      <x:c r="AD253" s="115"/>
      <x:c r="AE253" s="115"/>
      <x:c r="AF253" s="115"/>
      <x:c r="AG253" s="115"/>
      <x:c r="AH253" s="115"/>
      <x:c r="AI253" s="115"/>
      <x:c r="AJ253" s="115"/>
      <x:c r="AK253" s="115"/>
      <x:c r="AL253" s="115"/>
      <x:c r="AM253" s="115"/>
      <x:c r="AN253" s="115"/>
      <x:c r="AO253" s="115"/>
      <x:c r="AP253" s="115"/>
      <x:c r="AQ253" s="115"/>
      <x:c r="AR253" s="115"/>
      <x:c r="AS253" s="115"/>
      <x:c r="AT253" s="115"/>
      <x:c r="AU253" s="115"/>
      <x:c r="AV253" s="115"/>
      <x:c r="AW253" s="115"/>
      <x:c r="AX253" s="115"/>
      <x:c r="AY253" s="115"/>
      <x:c r="AZ253" s="115"/>
      <x:c r="BA253" s="115"/>
      <x:c r="BB253" s="115"/>
      <x:c r="BC253" s="115"/>
      <x:c r="BD253" s="115"/>
      <x:c r="BE253" s="115"/>
      <x:c r="BF253" s="115"/>
      <x:c r="BG253" s="115"/>
      <x:c r="BH253" s="115"/>
      <x:c r="BI253" s="115"/>
      <x:c r="BJ253" s="115"/>
      <x:c r="BK253" s="115"/>
      <x:c r="BL253" s="115"/>
      <x:c r="BM253" s="115"/>
      <x:c r="BN253" s="115"/>
      <x:c r="BO253" s="115"/>
      <x:c r="BP253" s="115"/>
      <x:c r="BQ253" s="115"/>
      <x:c r="BR253" s="115"/>
      <x:c r="BS253" s="115"/>
      <x:c r="BT253" s="115"/>
      <x:c r="BU253" s="115"/>
      <x:c r="BV253" s="115"/>
      <x:c r="BW253" s="115"/>
      <x:c r="BX253" s="115"/>
      <x:c r="BY253" s="115"/>
      <x:c r="BZ253" s="115"/>
      <x:c r="CA253" s="115"/>
      <x:c r="CB253" s="116"/>
      <x:c r="CC253" s="141" t="str">
        <x:f>IF(COUNT(G253:P253)=0,"",AVERAGE(G253:P253)*4)</x:f>
      </x:c>
      <x:c r="CD253" s="178" t="str">
        <x:f>IF(COUNT(Q253:Z253)=0,"",AVERAGE(Q253:Z253)*4)</x:f>
      </x:c>
      <x:c r="CE253" s="178" t="str">
        <x:f>IF(COUNT(AA253:AJ253)=0,"",AVERAGE(AA253:AJ253)*4)</x:f>
      </x:c>
      <x:c r="CF253" s="178" t="str">
        <x:f>IF(COUNT(AK253:AR253)=0,"",AVERAGE(AK253:AR253)*4)</x:f>
      </x:c>
      <x:c r="CG253" s="178" t="str">
        <x:f>IF(COUNT(AS253:AY253)=0,"",AVERAGE(AS253:AY253)*4)</x:f>
      </x:c>
      <x:c r="CH253" s="178" t="str">
        <x:f>IF(COUNT(AZ253:BG253)=0,"",AVERAGE(AZ253:BG253)*4)</x:f>
      </x:c>
      <x:c r="CI253" s="178" t="str">
        <x:f>IF(COUNT(BH253:BN253)=0,"",AVERAGE(BH253:BN253)*4)</x:f>
      </x:c>
      <x:c r="CJ253" s="178" t="str">
        <x:f>IF(COUNT(BO253:BU253)=0,"",AVERAGE(BO253:BU253)*4)</x:f>
      </x:c>
      <x:c r="CK253" s="178" t="str">
        <x:f>IF(COUNT(BV253:CB253)=0,"",AVERAGE(BV253:CB253)*4)</x:f>
      </x:c>
      <x:c r="CL253" s="178" t="str">
        <x:f>IF(C253="","",IF(COUNT(G253:CB253)&lt;74,"",(CC253*'تنظیمات وزن‌دهی'!$C$5+CD253*'تنظیمات وزن‌دهی'!$C$6+CE253*'تنظیمات وزن‌دهی'!$C$7+CF253*'تنظیمات وزن‌دهی'!$C$8+CG253*'تنظیمات وزن‌دهی'!$C$9+CH253*'تنظیمات وزن‌دهی'!$C$10+CI253*'تنظیمات وزن‌دهی'!$C$11+CJ253*'تنظیمات وزن‌دهی'!$C$12+CK253*'تنظیمات وزن‌دهی'!$C$13)/100))</x:f>
      </x:c>
      <x:c r="CM253" s="178" t="str">
        <x:f>IF(C253="","",IF(COUNT(G253:CB253)=0,"",IF(COUNT(G253:CB253)&lt;74,"موقت - اطلاعات ناقص",IF(CL253&gt;=17,"عالی",IF(CL253&gt;=14,"خوب",IF(CL253&gt;=10,"متوسط","ضعیف"))))))</x:f>
      </x:c>
      <x:c r="CN253" s="178" t="n">
        <x:v>9</x:v>
      </x:c>
      <x:c r="CO253" s="142" t="n">
        <x:f>IF(C253="","",COUNT(G253:CB253)/74)</x:f>
        <x:v>0</x:v>
      </x:c>
      <x:c r="CP253" s="245"/>
    </x:row>
    <x:row r="254">
      <x:c r="A254" s="165" t="n">
        <x:v>250</x:v>
      </x:c>
      <x:c r="B254" s="233" t="str">
        <x:v>فروردین</x:v>
      </x:c>
      <x:c r="C254" s="233" t="n">
        <x:f>IF('دانش‌آموزان'!E25="","",'دانش‌آموزان'!B25)</x:f>
        <x:v>21</x:v>
      </x:c>
      <x:c r="D254" s="233" t="str">
        <x:f>IF('دانش‌آموزان'!C25="","",'دانش‌آموزان'!C25)</x:f>
        <x:v>4000000217</x:v>
      </x:c>
      <x:c r="E254" s="233" t="str">
        <x:f>IF('دانش‌آموزان'!E25="","",'دانش‌آموزان'!E25&amp;" "&amp;'دانش‌آموزان'!F25)</x:f>
        <x:v>علی احمدی</x:v>
      </x:c>
      <x:c r="F254" s="166" t="str">
        <x:f>IF('دانش‌آموزان'!I25="","",'دانش‌آموزان'!I25)</x:f>
        <x:v>sample-7-a</x:v>
      </x:c>
      <x:c r="G254" s="114"/>
      <x:c r="H254" s="115"/>
      <x:c r="I254" s="115"/>
      <x:c r="J254" s="115"/>
      <x:c r="K254" s="115"/>
      <x:c r="L254" s="115"/>
      <x:c r="M254" s="115"/>
      <x:c r="N254" s="115"/>
      <x:c r="O254" s="115"/>
      <x:c r="P254" s="115"/>
      <x:c r="Q254" s="115"/>
      <x:c r="R254" s="115"/>
      <x:c r="S254" s="115"/>
      <x:c r="T254" s="115"/>
      <x:c r="U254" s="115"/>
      <x:c r="V254" s="115"/>
      <x:c r="W254" s="115"/>
      <x:c r="X254" s="115"/>
      <x:c r="Y254" s="115"/>
      <x:c r="Z254" s="115"/>
      <x:c r="AA254" s="115"/>
      <x:c r="AB254" s="115"/>
      <x:c r="AC254" s="115"/>
      <x:c r="AD254" s="115"/>
      <x:c r="AE254" s="115"/>
      <x:c r="AF254" s="115"/>
      <x:c r="AG254" s="115"/>
      <x:c r="AH254" s="115"/>
      <x:c r="AI254" s="115"/>
      <x:c r="AJ254" s="115"/>
      <x:c r="AK254" s="115"/>
      <x:c r="AL254" s="115"/>
      <x:c r="AM254" s="115"/>
      <x:c r="AN254" s="115"/>
      <x:c r="AO254" s="115"/>
      <x:c r="AP254" s="115"/>
      <x:c r="AQ254" s="115"/>
      <x:c r="AR254" s="115"/>
      <x:c r="AS254" s="115"/>
      <x:c r="AT254" s="115"/>
      <x:c r="AU254" s="115"/>
      <x:c r="AV254" s="115"/>
      <x:c r="AW254" s="115"/>
      <x:c r="AX254" s="115"/>
      <x:c r="AY254" s="115"/>
      <x:c r="AZ254" s="115"/>
      <x:c r="BA254" s="115"/>
      <x:c r="BB254" s="115"/>
      <x:c r="BC254" s="115"/>
      <x:c r="BD254" s="115"/>
      <x:c r="BE254" s="115"/>
      <x:c r="BF254" s="115"/>
      <x:c r="BG254" s="115"/>
      <x:c r="BH254" s="115"/>
      <x:c r="BI254" s="115"/>
      <x:c r="BJ254" s="115"/>
      <x:c r="BK254" s="115"/>
      <x:c r="BL254" s="115"/>
      <x:c r="BM254" s="115"/>
      <x:c r="BN254" s="115"/>
      <x:c r="BO254" s="115"/>
      <x:c r="BP254" s="115"/>
      <x:c r="BQ254" s="115"/>
      <x:c r="BR254" s="115"/>
      <x:c r="BS254" s="115"/>
      <x:c r="BT254" s="115"/>
      <x:c r="BU254" s="115"/>
      <x:c r="BV254" s="115"/>
      <x:c r="BW254" s="115"/>
      <x:c r="BX254" s="115"/>
      <x:c r="BY254" s="115"/>
      <x:c r="BZ254" s="115"/>
      <x:c r="CA254" s="115"/>
      <x:c r="CB254" s="116"/>
      <x:c r="CC254" s="141" t="str">
        <x:f>IF(COUNT(G254:P254)=0,"",AVERAGE(G254:P254)*4)</x:f>
      </x:c>
      <x:c r="CD254" s="178" t="str">
        <x:f>IF(COUNT(Q254:Z254)=0,"",AVERAGE(Q254:Z254)*4)</x:f>
      </x:c>
      <x:c r="CE254" s="178" t="str">
        <x:f>IF(COUNT(AA254:AJ254)=0,"",AVERAGE(AA254:AJ254)*4)</x:f>
      </x:c>
      <x:c r="CF254" s="178" t="str">
        <x:f>IF(COUNT(AK254:AR254)=0,"",AVERAGE(AK254:AR254)*4)</x:f>
      </x:c>
      <x:c r="CG254" s="178" t="str">
        <x:f>IF(COUNT(AS254:AY254)=0,"",AVERAGE(AS254:AY254)*4)</x:f>
      </x:c>
      <x:c r="CH254" s="178" t="str">
        <x:f>IF(COUNT(AZ254:BG254)=0,"",AVERAGE(AZ254:BG254)*4)</x:f>
      </x:c>
      <x:c r="CI254" s="178" t="str">
        <x:f>IF(COUNT(BH254:BN254)=0,"",AVERAGE(BH254:BN254)*4)</x:f>
      </x:c>
      <x:c r="CJ254" s="178" t="str">
        <x:f>IF(COUNT(BO254:BU254)=0,"",AVERAGE(BO254:BU254)*4)</x:f>
      </x:c>
      <x:c r="CK254" s="178" t="str">
        <x:f>IF(COUNT(BV254:CB254)=0,"",AVERAGE(BV254:CB254)*4)</x:f>
      </x:c>
      <x:c r="CL254" s="178" t="str">
        <x:f>IF(C254="","",IF(COUNT(G254:CB254)&lt;74,"",(CC254*'تنظیمات وزن‌دهی'!$C$5+CD254*'تنظیمات وزن‌دهی'!$C$6+CE254*'تنظیمات وزن‌دهی'!$C$7+CF254*'تنظیمات وزن‌دهی'!$C$8+CG254*'تنظیمات وزن‌دهی'!$C$9+CH254*'تنظیمات وزن‌دهی'!$C$10+CI254*'تنظیمات وزن‌دهی'!$C$11+CJ254*'تنظیمات وزن‌دهی'!$C$12+CK254*'تنظیمات وزن‌دهی'!$C$13)/100))</x:f>
      </x:c>
      <x:c r="CM254" s="178" t="str">
        <x:f>IF(C254="","",IF(COUNT(G254:CB254)=0,"",IF(COUNT(G254:CB254)&lt;74,"موقت - اطلاعات ناقص",IF(CL254&gt;=17,"عالی",IF(CL254&gt;=14,"خوب",IF(CL254&gt;=10,"متوسط","ضعیف"))))))</x:f>
      </x:c>
      <x:c r="CN254" s="178" t="n">
        <x:v>10</x:v>
      </x:c>
      <x:c r="CO254" s="142" t="n">
        <x:f>IF(C254="","",COUNT(G254:CB254)/74)</x:f>
        <x:v>0</x:v>
      </x:c>
      <x:c r="CP254" s="245"/>
    </x:row>
    <x:row r="255">
      <x:c r="A255" s="165" t="n">
        <x:v>251</x:v>
      </x:c>
      <x:c r="B255" s="233" t="str">
        <x:v>اردیبهشت</x:v>
      </x:c>
      <x:c r="C255" s="233" t="n">
        <x:f>IF('دانش‌آموزان'!E25="","",'دانش‌آموزان'!B25)</x:f>
        <x:v>21</x:v>
      </x:c>
      <x:c r="D255" s="233" t="str">
        <x:f>IF('دانش‌آموزان'!C25="","",'دانش‌آموزان'!C25)</x:f>
        <x:v>4000000217</x:v>
      </x:c>
      <x:c r="E255" s="233" t="str">
        <x:f>IF('دانش‌آموزان'!E25="","",'دانش‌آموزان'!E25&amp;" "&amp;'دانش‌آموزان'!F25)</x:f>
        <x:v>علی احمدی</x:v>
      </x:c>
      <x:c r="F255" s="166" t="str">
        <x:f>IF('دانش‌آموزان'!I25="","",'دانش‌آموزان'!I25)</x:f>
        <x:v>sample-7-a</x:v>
      </x:c>
      <x:c r="G255" s="114"/>
      <x:c r="H255" s="115"/>
      <x:c r="I255" s="115"/>
      <x:c r="J255" s="115"/>
      <x:c r="K255" s="115"/>
      <x:c r="L255" s="115"/>
      <x:c r="M255" s="115"/>
      <x:c r="N255" s="115"/>
      <x:c r="O255" s="115"/>
      <x:c r="P255" s="115"/>
      <x:c r="Q255" s="115"/>
      <x:c r="R255" s="115"/>
      <x:c r="S255" s="115"/>
      <x:c r="T255" s="115"/>
      <x:c r="U255" s="115"/>
      <x:c r="V255" s="115"/>
      <x:c r="W255" s="115"/>
      <x:c r="X255" s="115"/>
      <x:c r="Y255" s="115"/>
      <x:c r="Z255" s="115"/>
      <x:c r="AA255" s="115"/>
      <x:c r="AB255" s="115"/>
      <x:c r="AC255" s="115"/>
      <x:c r="AD255" s="115"/>
      <x:c r="AE255" s="115"/>
      <x:c r="AF255" s="115"/>
      <x:c r="AG255" s="115"/>
      <x:c r="AH255" s="115"/>
      <x:c r="AI255" s="115"/>
      <x:c r="AJ255" s="115"/>
      <x:c r="AK255" s="115"/>
      <x:c r="AL255" s="115"/>
      <x:c r="AM255" s="115"/>
      <x:c r="AN255" s="115"/>
      <x:c r="AO255" s="115"/>
      <x:c r="AP255" s="115"/>
      <x:c r="AQ255" s="115"/>
      <x:c r="AR255" s="115"/>
      <x:c r="AS255" s="115"/>
      <x:c r="AT255" s="115"/>
      <x:c r="AU255" s="115"/>
      <x:c r="AV255" s="115"/>
      <x:c r="AW255" s="115"/>
      <x:c r="AX255" s="115"/>
      <x:c r="AY255" s="115"/>
      <x:c r="AZ255" s="115"/>
      <x:c r="BA255" s="115"/>
      <x:c r="BB255" s="115"/>
      <x:c r="BC255" s="115"/>
      <x:c r="BD255" s="115"/>
      <x:c r="BE255" s="115"/>
      <x:c r="BF255" s="115"/>
      <x:c r="BG255" s="115"/>
      <x:c r="BH255" s="115"/>
      <x:c r="BI255" s="115"/>
      <x:c r="BJ255" s="115"/>
      <x:c r="BK255" s="115"/>
      <x:c r="BL255" s="115"/>
      <x:c r="BM255" s="115"/>
      <x:c r="BN255" s="115"/>
      <x:c r="BO255" s="115"/>
      <x:c r="BP255" s="115"/>
      <x:c r="BQ255" s="115"/>
      <x:c r="BR255" s="115"/>
      <x:c r="BS255" s="115"/>
      <x:c r="BT255" s="115"/>
      <x:c r="BU255" s="115"/>
      <x:c r="BV255" s="115"/>
      <x:c r="BW255" s="115"/>
      <x:c r="BX255" s="115"/>
      <x:c r="BY255" s="115"/>
      <x:c r="BZ255" s="115"/>
      <x:c r="CA255" s="115"/>
      <x:c r="CB255" s="116"/>
      <x:c r="CC255" s="141" t="str">
        <x:f>IF(COUNT(G255:P255)=0,"",AVERAGE(G255:P255)*4)</x:f>
      </x:c>
      <x:c r="CD255" s="178" t="str">
        <x:f>IF(COUNT(Q255:Z255)=0,"",AVERAGE(Q255:Z255)*4)</x:f>
      </x:c>
      <x:c r="CE255" s="178" t="str">
        <x:f>IF(COUNT(AA255:AJ255)=0,"",AVERAGE(AA255:AJ255)*4)</x:f>
      </x:c>
      <x:c r="CF255" s="178" t="str">
        <x:f>IF(COUNT(AK255:AR255)=0,"",AVERAGE(AK255:AR255)*4)</x:f>
      </x:c>
      <x:c r="CG255" s="178" t="str">
        <x:f>IF(COUNT(AS255:AY255)=0,"",AVERAGE(AS255:AY255)*4)</x:f>
      </x:c>
      <x:c r="CH255" s="178" t="str">
        <x:f>IF(COUNT(AZ255:BG255)=0,"",AVERAGE(AZ255:BG255)*4)</x:f>
      </x:c>
      <x:c r="CI255" s="178" t="str">
        <x:f>IF(COUNT(BH255:BN255)=0,"",AVERAGE(BH255:BN255)*4)</x:f>
      </x:c>
      <x:c r="CJ255" s="178" t="str">
        <x:f>IF(COUNT(BO255:BU255)=0,"",AVERAGE(BO255:BU255)*4)</x:f>
      </x:c>
      <x:c r="CK255" s="178" t="str">
        <x:f>IF(COUNT(BV255:CB255)=0,"",AVERAGE(BV255:CB255)*4)</x:f>
      </x:c>
      <x:c r="CL255" s="178" t="str">
        <x:f>IF(C255="","",IF(COUNT(G255:CB255)&lt;74,"",(CC255*'تنظیمات وزن‌دهی'!$C$5+CD255*'تنظیمات وزن‌دهی'!$C$6+CE255*'تنظیمات وزن‌دهی'!$C$7+CF255*'تنظیمات وزن‌دهی'!$C$8+CG255*'تنظیمات وزن‌دهی'!$C$9+CH255*'تنظیمات وزن‌دهی'!$C$10+CI255*'تنظیمات وزن‌دهی'!$C$11+CJ255*'تنظیمات وزن‌دهی'!$C$12+CK255*'تنظیمات وزن‌دهی'!$C$13)/100))</x:f>
      </x:c>
      <x:c r="CM255" s="178" t="str">
        <x:f>IF(C255="","",IF(COUNT(G255:CB255)=0,"",IF(COUNT(G255:CB255)&lt;74,"موقت - اطلاعات ناقص",IF(CL255&gt;=17,"عالی",IF(CL255&gt;=14,"خوب",IF(CL255&gt;=10,"متوسط","ضعیف"))))))</x:f>
      </x:c>
      <x:c r="CN255" s="178" t="n">
        <x:v>11</x:v>
      </x:c>
      <x:c r="CO255" s="142" t="n">
        <x:f>IF(C255="","",COUNT(G255:CB255)/74)</x:f>
        <x:v>0</x:v>
      </x:c>
      <x:c r="CP255" s="245"/>
    </x:row>
    <x:row r="256">
      <x:c r="A256" s="165" t="n">
        <x:v>252</x:v>
      </x:c>
      <x:c r="B256" s="233" t="str">
        <x:v>خرداد</x:v>
      </x:c>
      <x:c r="C256" s="233" t="n">
        <x:f>IF('دانش‌آموزان'!E25="","",'دانش‌آموزان'!B25)</x:f>
        <x:v>21</x:v>
      </x:c>
      <x:c r="D256" s="233" t="str">
        <x:f>IF('دانش‌آموزان'!C25="","",'دانش‌آموزان'!C25)</x:f>
        <x:v>4000000217</x:v>
      </x:c>
      <x:c r="E256" s="233" t="str">
        <x:f>IF('دانش‌آموزان'!E25="","",'دانش‌آموزان'!E25&amp;" "&amp;'دانش‌آموزان'!F25)</x:f>
        <x:v>علی احمدی</x:v>
      </x:c>
      <x:c r="F256" s="166" t="str">
        <x:f>IF('دانش‌آموزان'!I25="","",'دانش‌آموزان'!I25)</x:f>
        <x:v>sample-7-a</x:v>
      </x:c>
      <x:c r="G256" s="114"/>
      <x:c r="H256" s="115"/>
      <x:c r="I256" s="115"/>
      <x:c r="J256" s="115"/>
      <x:c r="K256" s="115"/>
      <x:c r="L256" s="115"/>
      <x:c r="M256" s="115"/>
      <x:c r="N256" s="115"/>
      <x:c r="O256" s="115"/>
      <x:c r="P256" s="115"/>
      <x:c r="Q256" s="115"/>
      <x:c r="R256" s="115"/>
      <x:c r="S256" s="115"/>
      <x:c r="T256" s="115"/>
      <x:c r="U256" s="115"/>
      <x:c r="V256" s="115"/>
      <x:c r="W256" s="115"/>
      <x:c r="X256" s="115"/>
      <x:c r="Y256" s="115"/>
      <x:c r="Z256" s="115"/>
      <x:c r="AA256" s="115"/>
      <x:c r="AB256" s="115"/>
      <x:c r="AC256" s="115"/>
      <x:c r="AD256" s="115"/>
      <x:c r="AE256" s="115"/>
      <x:c r="AF256" s="115"/>
      <x:c r="AG256" s="115"/>
      <x:c r="AH256" s="115"/>
      <x:c r="AI256" s="115"/>
      <x:c r="AJ256" s="115"/>
      <x:c r="AK256" s="115"/>
      <x:c r="AL256" s="115"/>
      <x:c r="AM256" s="115"/>
      <x:c r="AN256" s="115"/>
      <x:c r="AO256" s="115"/>
      <x:c r="AP256" s="115"/>
      <x:c r="AQ256" s="115"/>
      <x:c r="AR256" s="115"/>
      <x:c r="AS256" s="115"/>
      <x:c r="AT256" s="115"/>
      <x:c r="AU256" s="115"/>
      <x:c r="AV256" s="115"/>
      <x:c r="AW256" s="115"/>
      <x:c r="AX256" s="115"/>
      <x:c r="AY256" s="115"/>
      <x:c r="AZ256" s="115"/>
      <x:c r="BA256" s="115"/>
      <x:c r="BB256" s="115"/>
      <x:c r="BC256" s="115"/>
      <x:c r="BD256" s="115"/>
      <x:c r="BE256" s="115"/>
      <x:c r="BF256" s="115"/>
      <x:c r="BG256" s="115"/>
      <x:c r="BH256" s="115"/>
      <x:c r="BI256" s="115"/>
      <x:c r="BJ256" s="115"/>
      <x:c r="BK256" s="115"/>
      <x:c r="BL256" s="115"/>
      <x:c r="BM256" s="115"/>
      <x:c r="BN256" s="115"/>
      <x:c r="BO256" s="115"/>
      <x:c r="BP256" s="115"/>
      <x:c r="BQ256" s="115"/>
      <x:c r="BR256" s="115"/>
      <x:c r="BS256" s="115"/>
      <x:c r="BT256" s="115"/>
      <x:c r="BU256" s="115"/>
      <x:c r="BV256" s="115"/>
      <x:c r="BW256" s="115"/>
      <x:c r="BX256" s="115"/>
      <x:c r="BY256" s="115"/>
      <x:c r="BZ256" s="115"/>
      <x:c r="CA256" s="115"/>
      <x:c r="CB256" s="116"/>
      <x:c r="CC256" s="141" t="str">
        <x:f>IF(COUNT(G256:P256)=0,"",AVERAGE(G256:P256)*4)</x:f>
      </x:c>
      <x:c r="CD256" s="178" t="str">
        <x:f>IF(COUNT(Q256:Z256)=0,"",AVERAGE(Q256:Z256)*4)</x:f>
      </x:c>
      <x:c r="CE256" s="178" t="str">
        <x:f>IF(COUNT(AA256:AJ256)=0,"",AVERAGE(AA256:AJ256)*4)</x:f>
      </x:c>
      <x:c r="CF256" s="178" t="str">
        <x:f>IF(COUNT(AK256:AR256)=0,"",AVERAGE(AK256:AR256)*4)</x:f>
      </x:c>
      <x:c r="CG256" s="178" t="str">
        <x:f>IF(COUNT(AS256:AY256)=0,"",AVERAGE(AS256:AY256)*4)</x:f>
      </x:c>
      <x:c r="CH256" s="178" t="str">
        <x:f>IF(COUNT(AZ256:BG256)=0,"",AVERAGE(AZ256:BG256)*4)</x:f>
      </x:c>
      <x:c r="CI256" s="178" t="str">
        <x:f>IF(COUNT(BH256:BN256)=0,"",AVERAGE(BH256:BN256)*4)</x:f>
      </x:c>
      <x:c r="CJ256" s="178" t="str">
        <x:f>IF(COUNT(BO256:BU256)=0,"",AVERAGE(BO256:BU256)*4)</x:f>
      </x:c>
      <x:c r="CK256" s="178" t="str">
        <x:f>IF(COUNT(BV256:CB256)=0,"",AVERAGE(BV256:CB256)*4)</x:f>
      </x:c>
      <x:c r="CL256" s="178" t="str">
        <x:f>IF(C256="","",IF(COUNT(G256:CB256)&lt;74,"",(CC256*'تنظیمات وزن‌دهی'!$C$5+CD256*'تنظیمات وزن‌دهی'!$C$6+CE256*'تنظیمات وزن‌دهی'!$C$7+CF256*'تنظیمات وزن‌دهی'!$C$8+CG256*'تنظیمات وزن‌دهی'!$C$9+CH256*'تنظیمات وزن‌دهی'!$C$10+CI256*'تنظیمات وزن‌دهی'!$C$11+CJ256*'تنظیمات وزن‌دهی'!$C$12+CK256*'تنظیمات وزن‌دهی'!$C$13)/100))</x:f>
      </x:c>
      <x:c r="CM256" s="178" t="str">
        <x:f>IF(C256="","",IF(COUNT(G256:CB256)=0,"",IF(COUNT(G256:CB256)&lt;74,"موقت - اطلاعات ناقص",IF(CL256&gt;=17,"عالی",IF(CL256&gt;=14,"خوب",IF(CL256&gt;=10,"متوسط","ضعیف"))))))</x:f>
      </x:c>
      <x:c r="CN256" s="178" t="n">
        <x:v>12</x:v>
      </x:c>
      <x:c r="CO256" s="142" t="n">
        <x:f>IF(C256="","",COUNT(G256:CB256)/74)</x:f>
        <x:v>0</x:v>
      </x:c>
      <x:c r="CP256" s="245"/>
    </x:row>
    <x:row r="257">
      <x:c r="A257" s="165" t="n">
        <x:v>253</x:v>
      </x:c>
      <x:c r="B257" s="233" t="str">
        <x:v>تیر</x:v>
      </x:c>
      <x:c r="C257" s="233" t="n">
        <x:f>IF('دانش‌آموزان'!E26="","",'دانش‌آموزان'!B26)</x:f>
        <x:v>22</x:v>
      </x:c>
      <x:c r="D257" s="233" t="str">
        <x:f>IF('دانش‌آموزان'!C26="","",'دانش‌آموزان'!C26)</x:f>
        <x:v>4000000225</x:v>
      </x:c>
      <x:c r="E257" s="233" t="str">
        <x:f>IF('دانش‌آموزان'!E26="","",'دانش‌آموزان'!E26&amp;" "&amp;'دانش‌آموزان'!F26)</x:f>
        <x:v>فاطمه اکبری</x:v>
      </x:c>
      <x:c r="F257" s="166" t="str">
        <x:f>IF('دانش‌آموزان'!I26="","",'دانش‌آموزان'!I26)</x:f>
        <x:v>sample-7-a</x:v>
      </x:c>
      <x:c r="G257" s="114" t="n">
        <x:v>5</x:v>
      </x:c>
      <x:c r="H257" s="115" t="n">
        <x:v>3</x:v>
      </x:c>
      <x:c r="I257" s="115" t="n">
        <x:v>4</x:v>
      </x:c>
      <x:c r="J257" s="115" t="n">
        <x:v>3</x:v>
      </x:c>
      <x:c r="K257" s="115" t="n">
        <x:v>4</x:v>
      </x:c>
      <x:c r="L257" s="115" t="n">
        <x:v>2</x:v>
      </x:c>
      <x:c r="M257" s="115" t="n">
        <x:v>4</x:v>
      </x:c>
      <x:c r="N257" s="115" t="n">
        <x:v>5</x:v>
      </x:c>
      <x:c r="O257" s="115" t="n">
        <x:v>4</x:v>
      </x:c>
      <x:c r="P257" s="115" t="n">
        <x:v>5</x:v>
      </x:c>
      <x:c r="Q257" s="115" t="n">
        <x:v>3</x:v>
      </x:c>
      <x:c r="R257" s="115" t="n">
        <x:v>5</x:v>
      </x:c>
      <x:c r="S257" s="115" t="n">
        <x:v>3</x:v>
      </x:c>
      <x:c r="T257" s="115" t="n">
        <x:v>4</x:v>
      </x:c>
      <x:c r="U257" s="115" t="n">
        <x:v>3</x:v>
      </x:c>
      <x:c r="V257" s="115" t="n">
        <x:v>4</x:v>
      </x:c>
      <x:c r="W257" s="115" t="n">
        <x:v>2</x:v>
      </x:c>
      <x:c r="X257" s="115" t="n">
        <x:v>4</x:v>
      </x:c>
      <x:c r="Y257" s="115" t="n">
        <x:v>5</x:v>
      </x:c>
      <x:c r="Z257" s="115" t="n">
        <x:v>4</x:v>
      </x:c>
      <x:c r="AA257" s="115" t="n">
        <x:v>5</x:v>
      </x:c>
      <x:c r="AB257" s="115" t="n">
        <x:v>3</x:v>
      </x:c>
      <x:c r="AC257" s="115" t="n">
        <x:v>5</x:v>
      </x:c>
      <x:c r="AD257" s="115" t="n">
        <x:v>3</x:v>
      </x:c>
      <x:c r="AE257" s="115" t="n">
        <x:v>4</x:v>
      </x:c>
      <x:c r="AF257" s="115" t="n">
        <x:v>3</x:v>
      </x:c>
      <x:c r="AG257" s="115" t="n">
        <x:v>4</x:v>
      </x:c>
      <x:c r="AH257" s="115" t="n">
        <x:v>2</x:v>
      </x:c>
      <x:c r="AI257" s="115" t="n">
        <x:v>4</x:v>
      </x:c>
      <x:c r="AJ257" s="115" t="n">
        <x:v>5</x:v>
      </x:c>
      <x:c r="AK257" s="115" t="n">
        <x:v>4</x:v>
      </x:c>
      <x:c r="AL257" s="115" t="n">
        <x:v>5</x:v>
      </x:c>
      <x:c r="AM257" s="115" t="n">
        <x:v>3</x:v>
      </x:c>
      <x:c r="AN257" s="115" t="n">
        <x:v>5</x:v>
      </x:c>
      <x:c r="AO257" s="115" t="n">
        <x:v>3</x:v>
      </x:c>
      <x:c r="AP257" s="115" t="n">
        <x:v>4</x:v>
      </x:c>
      <x:c r="AQ257" s="115" t="n">
        <x:v>3</x:v>
      </x:c>
      <x:c r="AR257" s="115" t="n">
        <x:v>4</x:v>
      </x:c>
      <x:c r="AS257" s="115" t="n">
        <x:v>2</x:v>
      </x:c>
      <x:c r="AT257" s="115" t="n">
        <x:v>4</x:v>
      </x:c>
      <x:c r="AU257" s="115" t="n">
        <x:v>5</x:v>
      </x:c>
      <x:c r="AV257" s="115" t="n">
        <x:v>4</x:v>
      </x:c>
      <x:c r="AW257" s="115" t="n">
        <x:v>5</x:v>
      </x:c>
      <x:c r="AX257" s="115" t="n">
        <x:v>3</x:v>
      </x:c>
      <x:c r="AY257" s="115" t="n">
        <x:v>5</x:v>
      </x:c>
      <x:c r="AZ257" s="115" t="n">
        <x:v>3</x:v>
      </x:c>
      <x:c r="BA257" s="115" t="n">
        <x:v>4</x:v>
      </x:c>
      <x:c r="BB257" s="115" t="n">
        <x:v>3</x:v>
      </x:c>
      <x:c r="BC257" s="115" t="n">
        <x:v>4</x:v>
      </x:c>
      <x:c r="BD257" s="115" t="n">
        <x:v>2</x:v>
      </x:c>
      <x:c r="BE257" s="115" t="n">
        <x:v>4</x:v>
      </x:c>
      <x:c r="BF257" s="115" t="n">
        <x:v>5</x:v>
      </x:c>
      <x:c r="BG257" s="115" t="n">
        <x:v>4</x:v>
      </x:c>
      <x:c r="BH257" s="115" t="n">
        <x:v>5</x:v>
      </x:c>
      <x:c r="BI257" s="115" t="n">
        <x:v>3</x:v>
      </x:c>
      <x:c r="BJ257" s="115" t="n">
        <x:v>5</x:v>
      </x:c>
      <x:c r="BK257" s="115" t="n">
        <x:v>3</x:v>
      </x:c>
      <x:c r="BL257" s="115" t="n">
        <x:v>4</x:v>
      </x:c>
      <x:c r="BM257" s="115" t="n">
        <x:v>3</x:v>
      </x:c>
      <x:c r="BN257" s="115" t="n">
        <x:v>4</x:v>
      </x:c>
      <x:c r="BO257" s="115" t="n">
        <x:v>2</x:v>
      </x:c>
      <x:c r="BP257" s="115" t="n">
        <x:v>4</x:v>
      </x:c>
      <x:c r="BQ257" s="115" t="n">
        <x:v>5</x:v>
      </x:c>
      <x:c r="BR257" s="115" t="n">
        <x:v>4</x:v>
      </x:c>
      <x:c r="BS257" s="115" t="n">
        <x:v>5</x:v>
      </x:c>
      <x:c r="BT257" s="115" t="n">
        <x:v>3</x:v>
      </x:c>
      <x:c r="BU257" s="115" t="n">
        <x:v>5</x:v>
      </x:c>
      <x:c r="BV257" s="115" t="n">
        <x:v>3</x:v>
      </x:c>
      <x:c r="BW257" s="115" t="n">
        <x:v>4</x:v>
      </x:c>
      <x:c r="BX257" s="115" t="n">
        <x:v>3</x:v>
      </x:c>
      <x:c r="BY257" s="115" t="n">
        <x:v>4</x:v>
      </x:c>
      <x:c r="BZ257" s="115" t="n">
        <x:v>2</x:v>
      </x:c>
      <x:c r="CA257" s="115" t="n">
        <x:v>4</x:v>
      </x:c>
      <x:c r="CB257" s="116" t="n">
        <x:v>5</x:v>
      </x:c>
      <x:c r="CC257" s="141" t="n">
        <x:f>IF(COUNT(G257:P257)=0,"",AVERAGE(G257:P257)*4)</x:f>
        <x:v>15.6</x:v>
      </x:c>
      <x:c r="CD257" s="178" t="n">
        <x:f>IF(COUNT(Q257:Z257)=0,"",AVERAGE(Q257:Z257)*4)</x:f>
        <x:v>14.8</x:v>
      </x:c>
      <x:c r="CE257" s="178" t="n">
        <x:f>IF(COUNT(AA257:AJ257)=0,"",AVERAGE(AA257:AJ257)*4)</x:f>
        <x:v>15.2</x:v>
      </x:c>
      <x:c r="CF257" s="178" t="n">
        <x:f>IF(COUNT(AK257:AR257)=0,"",AVERAGE(AK257:AR257)*4)</x:f>
        <x:v>15.5</x:v>
      </x:c>
      <x:c r="CG257" s="178" t="n">
        <x:f>IF(COUNT(AS257:AY257)=0,"",AVERAGE(AS257:AY257)*4)</x:f>
        <x:v>16</x:v>
      </x:c>
      <x:c r="CH257" s="178" t="n">
        <x:f>IF(COUNT(AZ257:BG257)=0,"",AVERAGE(AZ257:BG257)*4)</x:f>
        <x:v>14.5</x:v>
      </x:c>
      <x:c r="CI257" s="178" t="n">
        <x:f>IF(COUNT(BH257:BN257)=0,"",AVERAGE(BH257:BN257)*4)</x:f>
        <x:v>15.428571428571429</x:v>
      </x:c>
      <x:c r="CJ257" s="178" t="n">
        <x:f>IF(COUNT(BO257:BU257)=0,"",AVERAGE(BO257:BU257)*4)</x:f>
        <x:v>16</x:v>
      </x:c>
      <x:c r="CK257" s="178" t="n">
        <x:f>IF(COUNT(BV257:CB257)=0,"",AVERAGE(BV257:CB257)*4)</x:f>
        <x:v>14.285714285714286</x:v>
      </x:c>
      <x:c r="CL257" s="178" t="n">
        <x:f>IF(C257="","",IF(COUNT(G257:CB257)&lt;74,"",(CC257*'تنظیمات وزن‌دهی'!$C$5+CD257*'تنظیمات وزن‌دهی'!$C$6+CE257*'تنظیمات وزن‌دهی'!$C$7+CF257*'تنظیمات وزن‌دهی'!$C$8+CG257*'تنظیمات وزن‌دهی'!$C$9+CH257*'تنظیمات وزن‌دهی'!$C$10+CI257*'تنظیمات وزن‌دهی'!$C$11+CJ257*'تنظیمات وزن‌دهی'!$C$12+CK257*'تنظیمات وزن‌دهی'!$C$13)/100))</x:f>
        <x:v>15.265</x:v>
      </x:c>
      <x:c r="CM257" s="178" t="str">
        <x:f>IF(C257="","",IF(COUNT(G257:CB257)=0,"",IF(COUNT(G257:CB257)&lt;74,"موقت - اطلاعات ناقص",IF(CL257&gt;=17,"عالی",IF(CL257&gt;=14,"خوب",IF(CL257&gt;=10,"متوسط","ضعیف"))))))</x:f>
        <x:v>خوب</x:v>
      </x:c>
      <x:c r="CN257" s="178" t="n">
        <x:v>1</x:v>
      </x:c>
      <x:c r="CO257" s="142" t="n">
        <x:f>IF(C257="","",COUNT(G257:CB257)/74)</x:f>
        <x:v>1</x:v>
      </x:c>
      <x:c r="CP257" s="245" t="str">
        <x:v>داده نمونه کامل برای ماه تیر - دانش‌آموز شماره 22</x:v>
      </x:c>
    </x:row>
    <x:row r="258">
      <x:c r="A258" s="165" t="n">
        <x:v>254</x:v>
      </x:c>
      <x:c r="B258" s="233" t="str">
        <x:v>مرداد</x:v>
      </x:c>
      <x:c r="C258" s="233" t="n">
        <x:f>IF('دانش‌آموزان'!E26="","",'دانش‌آموزان'!B26)</x:f>
        <x:v>22</x:v>
      </x:c>
      <x:c r="D258" s="233" t="str">
        <x:f>IF('دانش‌آموزان'!C26="","",'دانش‌آموزان'!C26)</x:f>
        <x:v>4000000225</x:v>
      </x:c>
      <x:c r="E258" s="233" t="str">
        <x:f>IF('دانش‌آموزان'!E26="","",'دانش‌آموزان'!E26&amp;" "&amp;'دانش‌آموزان'!F26)</x:f>
        <x:v>فاطمه اکبری</x:v>
      </x:c>
      <x:c r="F258" s="166" t="str">
        <x:f>IF('دانش‌آموزان'!I26="","",'دانش‌آموزان'!I26)</x:f>
        <x:v>sample-7-a</x:v>
      </x:c>
      <x:c r="G258" s="114"/>
      <x:c r="H258" s="115"/>
      <x:c r="I258" s="115"/>
      <x:c r="J258" s="115"/>
      <x:c r="K258" s="115"/>
      <x:c r="L258" s="115"/>
      <x:c r="M258" s="115"/>
      <x:c r="N258" s="115"/>
      <x:c r="O258" s="115"/>
      <x:c r="P258" s="115"/>
      <x:c r="Q258" s="115"/>
      <x:c r="R258" s="115"/>
      <x:c r="S258" s="115"/>
      <x:c r="T258" s="115"/>
      <x:c r="U258" s="115"/>
      <x:c r="V258" s="115"/>
      <x:c r="W258" s="115"/>
      <x:c r="X258" s="115"/>
      <x:c r="Y258" s="115"/>
      <x:c r="Z258" s="115"/>
      <x:c r="AA258" s="115"/>
      <x:c r="AB258" s="115"/>
      <x:c r="AC258" s="115"/>
      <x:c r="AD258" s="115"/>
      <x:c r="AE258" s="115"/>
      <x:c r="AF258" s="115"/>
      <x:c r="AG258" s="115"/>
      <x:c r="AH258" s="115"/>
      <x:c r="AI258" s="115"/>
      <x:c r="AJ258" s="115"/>
      <x:c r="AK258" s="115"/>
      <x:c r="AL258" s="115"/>
      <x:c r="AM258" s="115"/>
      <x:c r="AN258" s="115"/>
      <x:c r="AO258" s="115"/>
      <x:c r="AP258" s="115"/>
      <x:c r="AQ258" s="115"/>
      <x:c r="AR258" s="115"/>
      <x:c r="AS258" s="115"/>
      <x:c r="AT258" s="115"/>
      <x:c r="AU258" s="115"/>
      <x:c r="AV258" s="115"/>
      <x:c r="AW258" s="115"/>
      <x:c r="AX258" s="115"/>
      <x:c r="AY258" s="115"/>
      <x:c r="AZ258" s="115"/>
      <x:c r="BA258" s="115"/>
      <x:c r="BB258" s="115"/>
      <x:c r="BC258" s="115"/>
      <x:c r="BD258" s="115"/>
      <x:c r="BE258" s="115"/>
      <x:c r="BF258" s="115"/>
      <x:c r="BG258" s="115"/>
      <x:c r="BH258" s="115"/>
      <x:c r="BI258" s="115"/>
      <x:c r="BJ258" s="115"/>
      <x:c r="BK258" s="115"/>
      <x:c r="BL258" s="115"/>
      <x:c r="BM258" s="115"/>
      <x:c r="BN258" s="115"/>
      <x:c r="BO258" s="115"/>
      <x:c r="BP258" s="115"/>
      <x:c r="BQ258" s="115"/>
      <x:c r="BR258" s="115"/>
      <x:c r="BS258" s="115"/>
      <x:c r="BT258" s="115"/>
      <x:c r="BU258" s="115"/>
      <x:c r="BV258" s="115"/>
      <x:c r="BW258" s="115"/>
      <x:c r="BX258" s="115"/>
      <x:c r="BY258" s="115"/>
      <x:c r="BZ258" s="115"/>
      <x:c r="CA258" s="115"/>
      <x:c r="CB258" s="116"/>
      <x:c r="CC258" s="141" t="str">
        <x:f>IF(COUNT(G258:P258)=0,"",AVERAGE(G258:P258)*4)</x:f>
      </x:c>
      <x:c r="CD258" s="178" t="str">
        <x:f>IF(COUNT(Q258:Z258)=0,"",AVERAGE(Q258:Z258)*4)</x:f>
      </x:c>
      <x:c r="CE258" s="178" t="str">
        <x:f>IF(COUNT(AA258:AJ258)=0,"",AVERAGE(AA258:AJ258)*4)</x:f>
      </x:c>
      <x:c r="CF258" s="178" t="str">
        <x:f>IF(COUNT(AK258:AR258)=0,"",AVERAGE(AK258:AR258)*4)</x:f>
      </x:c>
      <x:c r="CG258" s="178" t="str">
        <x:f>IF(COUNT(AS258:AY258)=0,"",AVERAGE(AS258:AY258)*4)</x:f>
      </x:c>
      <x:c r="CH258" s="178" t="str">
        <x:f>IF(COUNT(AZ258:BG258)=0,"",AVERAGE(AZ258:BG258)*4)</x:f>
      </x:c>
      <x:c r="CI258" s="178" t="str">
        <x:f>IF(COUNT(BH258:BN258)=0,"",AVERAGE(BH258:BN258)*4)</x:f>
      </x:c>
      <x:c r="CJ258" s="178" t="str">
        <x:f>IF(COUNT(BO258:BU258)=0,"",AVERAGE(BO258:BU258)*4)</x:f>
      </x:c>
      <x:c r="CK258" s="178" t="str">
        <x:f>IF(COUNT(BV258:CB258)=0,"",AVERAGE(BV258:CB258)*4)</x:f>
      </x:c>
      <x:c r="CL258" s="178" t="str">
        <x:f>IF(C258="","",IF(COUNT(G258:CB258)&lt;74,"",(CC258*'تنظیمات وزن‌دهی'!$C$5+CD258*'تنظیمات وزن‌دهی'!$C$6+CE258*'تنظیمات وزن‌دهی'!$C$7+CF258*'تنظیمات وزن‌دهی'!$C$8+CG258*'تنظیمات وزن‌دهی'!$C$9+CH258*'تنظیمات وزن‌دهی'!$C$10+CI258*'تنظیمات وزن‌دهی'!$C$11+CJ258*'تنظیمات وزن‌دهی'!$C$12+CK258*'تنظیمات وزن‌دهی'!$C$13)/100))</x:f>
      </x:c>
      <x:c r="CM258" s="178" t="str">
        <x:f>IF(C258="","",IF(COUNT(G258:CB258)=0,"",IF(COUNT(G258:CB258)&lt;74,"موقت - اطلاعات ناقص",IF(CL258&gt;=17,"عالی",IF(CL258&gt;=14,"خوب",IF(CL258&gt;=10,"متوسط","ضعیف"))))))</x:f>
      </x:c>
      <x:c r="CN258" s="178" t="n">
        <x:v>2</x:v>
      </x:c>
      <x:c r="CO258" s="142" t="n">
        <x:f>IF(C258="","",COUNT(G258:CB258)/74)</x:f>
        <x:v>0</x:v>
      </x:c>
      <x:c r="CP258" s="245"/>
    </x:row>
    <x:row r="259">
      <x:c r="A259" s="165" t="n">
        <x:v>255</x:v>
      </x:c>
      <x:c r="B259" s="233" t="str">
        <x:v>شهریور</x:v>
      </x:c>
      <x:c r="C259" s="233" t="n">
        <x:f>IF('دانش‌آموزان'!E26="","",'دانش‌آموزان'!B26)</x:f>
        <x:v>22</x:v>
      </x:c>
      <x:c r="D259" s="233" t="str">
        <x:f>IF('دانش‌آموزان'!C26="","",'دانش‌آموزان'!C26)</x:f>
        <x:v>4000000225</x:v>
      </x:c>
      <x:c r="E259" s="233" t="str">
        <x:f>IF('دانش‌آموزان'!E26="","",'دانش‌آموزان'!E26&amp;" "&amp;'دانش‌آموزان'!F26)</x:f>
        <x:v>فاطمه اکبری</x:v>
      </x:c>
      <x:c r="F259" s="166" t="str">
        <x:f>IF('دانش‌آموزان'!I26="","",'دانش‌آموزان'!I26)</x:f>
        <x:v>sample-7-a</x:v>
      </x:c>
      <x:c r="G259" s="114"/>
      <x:c r="H259" s="115"/>
      <x:c r="I259" s="115"/>
      <x:c r="J259" s="115"/>
      <x:c r="K259" s="115"/>
      <x:c r="L259" s="115"/>
      <x:c r="M259" s="115"/>
      <x:c r="N259" s="115"/>
      <x:c r="O259" s="115"/>
      <x:c r="P259" s="115"/>
      <x:c r="Q259" s="115"/>
      <x:c r="R259" s="115"/>
      <x:c r="S259" s="115"/>
      <x:c r="T259" s="115"/>
      <x:c r="U259" s="115"/>
      <x:c r="V259" s="115"/>
      <x:c r="W259" s="115"/>
      <x:c r="X259" s="115"/>
      <x:c r="Y259" s="115"/>
      <x:c r="Z259" s="115"/>
      <x:c r="AA259" s="115"/>
      <x:c r="AB259" s="115"/>
      <x:c r="AC259" s="115"/>
      <x:c r="AD259" s="115"/>
      <x:c r="AE259" s="115"/>
      <x:c r="AF259" s="115"/>
      <x:c r="AG259" s="115"/>
      <x:c r="AH259" s="115"/>
      <x:c r="AI259" s="115"/>
      <x:c r="AJ259" s="115"/>
      <x:c r="AK259" s="115"/>
      <x:c r="AL259" s="115"/>
      <x:c r="AM259" s="115"/>
      <x:c r="AN259" s="115"/>
      <x:c r="AO259" s="115"/>
      <x:c r="AP259" s="115"/>
      <x:c r="AQ259" s="115"/>
      <x:c r="AR259" s="115"/>
      <x:c r="AS259" s="115"/>
      <x:c r="AT259" s="115"/>
      <x:c r="AU259" s="115"/>
      <x:c r="AV259" s="115"/>
      <x:c r="AW259" s="115"/>
      <x:c r="AX259" s="115"/>
      <x:c r="AY259" s="115"/>
      <x:c r="AZ259" s="115"/>
      <x:c r="BA259" s="115"/>
      <x:c r="BB259" s="115"/>
      <x:c r="BC259" s="115"/>
      <x:c r="BD259" s="115"/>
      <x:c r="BE259" s="115"/>
      <x:c r="BF259" s="115"/>
      <x:c r="BG259" s="115"/>
      <x:c r="BH259" s="115"/>
      <x:c r="BI259" s="115"/>
      <x:c r="BJ259" s="115"/>
      <x:c r="BK259" s="115"/>
      <x:c r="BL259" s="115"/>
      <x:c r="BM259" s="115"/>
      <x:c r="BN259" s="115"/>
      <x:c r="BO259" s="115"/>
      <x:c r="BP259" s="115"/>
      <x:c r="BQ259" s="115"/>
      <x:c r="BR259" s="115"/>
      <x:c r="BS259" s="115"/>
      <x:c r="BT259" s="115"/>
      <x:c r="BU259" s="115"/>
      <x:c r="BV259" s="115"/>
      <x:c r="BW259" s="115"/>
      <x:c r="BX259" s="115"/>
      <x:c r="BY259" s="115"/>
      <x:c r="BZ259" s="115"/>
      <x:c r="CA259" s="115"/>
      <x:c r="CB259" s="116"/>
      <x:c r="CC259" s="141" t="str">
        <x:f>IF(COUNT(G259:P259)=0,"",AVERAGE(G259:P259)*4)</x:f>
      </x:c>
      <x:c r="CD259" s="178" t="str">
        <x:f>IF(COUNT(Q259:Z259)=0,"",AVERAGE(Q259:Z259)*4)</x:f>
      </x:c>
      <x:c r="CE259" s="178" t="str">
        <x:f>IF(COUNT(AA259:AJ259)=0,"",AVERAGE(AA259:AJ259)*4)</x:f>
      </x:c>
      <x:c r="CF259" s="178" t="str">
        <x:f>IF(COUNT(AK259:AR259)=0,"",AVERAGE(AK259:AR259)*4)</x:f>
      </x:c>
      <x:c r="CG259" s="178" t="str">
        <x:f>IF(COUNT(AS259:AY259)=0,"",AVERAGE(AS259:AY259)*4)</x:f>
      </x:c>
      <x:c r="CH259" s="178" t="str">
        <x:f>IF(COUNT(AZ259:BG259)=0,"",AVERAGE(AZ259:BG259)*4)</x:f>
      </x:c>
      <x:c r="CI259" s="178" t="str">
        <x:f>IF(COUNT(BH259:BN259)=0,"",AVERAGE(BH259:BN259)*4)</x:f>
      </x:c>
      <x:c r="CJ259" s="178" t="str">
        <x:f>IF(COUNT(BO259:BU259)=0,"",AVERAGE(BO259:BU259)*4)</x:f>
      </x:c>
      <x:c r="CK259" s="178" t="str">
        <x:f>IF(COUNT(BV259:CB259)=0,"",AVERAGE(BV259:CB259)*4)</x:f>
      </x:c>
      <x:c r="CL259" s="178" t="str">
        <x:f>IF(C259="","",IF(COUNT(G259:CB259)&lt;74,"",(CC259*'تنظیمات وزن‌دهی'!$C$5+CD259*'تنظیمات وزن‌دهی'!$C$6+CE259*'تنظیمات وزن‌دهی'!$C$7+CF259*'تنظیمات وزن‌دهی'!$C$8+CG259*'تنظیمات وزن‌دهی'!$C$9+CH259*'تنظیمات وزن‌دهی'!$C$10+CI259*'تنظیمات وزن‌دهی'!$C$11+CJ259*'تنظیمات وزن‌دهی'!$C$12+CK259*'تنظیمات وزن‌دهی'!$C$13)/100))</x:f>
      </x:c>
      <x:c r="CM259" s="178" t="str">
        <x:f>IF(C259="","",IF(COUNT(G259:CB259)=0,"",IF(COUNT(G259:CB259)&lt;74,"موقت - اطلاعات ناقص",IF(CL259&gt;=17,"عالی",IF(CL259&gt;=14,"خوب",IF(CL259&gt;=10,"متوسط","ضعیف"))))))</x:f>
      </x:c>
      <x:c r="CN259" s="178" t="n">
        <x:v>3</x:v>
      </x:c>
      <x:c r="CO259" s="142" t="n">
        <x:f>IF(C259="","",COUNT(G259:CB259)/74)</x:f>
        <x:v>0</x:v>
      </x:c>
      <x:c r="CP259" s="245"/>
    </x:row>
    <x:row r="260">
      <x:c r="A260" s="165" t="n">
        <x:v>256</x:v>
      </x:c>
      <x:c r="B260" s="233" t="str">
        <x:v>مهر</x:v>
      </x:c>
      <x:c r="C260" s="233" t="n">
        <x:f>IF('دانش‌آموزان'!E26="","",'دانش‌آموزان'!B26)</x:f>
        <x:v>22</x:v>
      </x:c>
      <x:c r="D260" s="233" t="str">
        <x:f>IF('دانش‌آموزان'!C26="","",'دانش‌آموزان'!C26)</x:f>
        <x:v>4000000225</x:v>
      </x:c>
      <x:c r="E260" s="233" t="str">
        <x:f>IF('دانش‌آموزان'!E26="","",'دانش‌آموزان'!E26&amp;" "&amp;'دانش‌آموزان'!F26)</x:f>
        <x:v>فاطمه اکبری</x:v>
      </x:c>
      <x:c r="F260" s="166" t="str">
        <x:f>IF('دانش‌آموزان'!I26="","",'دانش‌آموزان'!I26)</x:f>
        <x:v>sample-7-a</x:v>
      </x:c>
      <x:c r="G260" s="114"/>
      <x:c r="H260" s="115"/>
      <x:c r="I260" s="115"/>
      <x:c r="J260" s="115"/>
      <x:c r="K260" s="115"/>
      <x:c r="L260" s="115"/>
      <x:c r="M260" s="115"/>
      <x:c r="N260" s="115"/>
      <x:c r="O260" s="115"/>
      <x:c r="P260" s="115"/>
      <x:c r="Q260" s="115"/>
      <x:c r="R260" s="115"/>
      <x:c r="S260" s="115"/>
      <x:c r="T260" s="115"/>
      <x:c r="U260" s="115"/>
      <x:c r="V260" s="115"/>
      <x:c r="W260" s="115"/>
      <x:c r="X260" s="115"/>
      <x:c r="Y260" s="115"/>
      <x:c r="Z260" s="115"/>
      <x:c r="AA260" s="115"/>
      <x:c r="AB260" s="115"/>
      <x:c r="AC260" s="115"/>
      <x:c r="AD260" s="115"/>
      <x:c r="AE260" s="115"/>
      <x:c r="AF260" s="115"/>
      <x:c r="AG260" s="115"/>
      <x:c r="AH260" s="115"/>
      <x:c r="AI260" s="115"/>
      <x:c r="AJ260" s="115"/>
      <x:c r="AK260" s="115"/>
      <x:c r="AL260" s="115"/>
      <x:c r="AM260" s="115"/>
      <x:c r="AN260" s="115"/>
      <x:c r="AO260" s="115"/>
      <x:c r="AP260" s="115"/>
      <x:c r="AQ260" s="115"/>
      <x:c r="AR260" s="115"/>
      <x:c r="AS260" s="115"/>
      <x:c r="AT260" s="115"/>
      <x:c r="AU260" s="115"/>
      <x:c r="AV260" s="115"/>
      <x:c r="AW260" s="115"/>
      <x:c r="AX260" s="115"/>
      <x:c r="AY260" s="115"/>
      <x:c r="AZ260" s="115"/>
      <x:c r="BA260" s="115"/>
      <x:c r="BB260" s="115"/>
      <x:c r="BC260" s="115"/>
      <x:c r="BD260" s="115"/>
      <x:c r="BE260" s="115"/>
      <x:c r="BF260" s="115"/>
      <x:c r="BG260" s="115"/>
      <x:c r="BH260" s="115"/>
      <x:c r="BI260" s="115"/>
      <x:c r="BJ260" s="115"/>
      <x:c r="BK260" s="115"/>
      <x:c r="BL260" s="115"/>
      <x:c r="BM260" s="115"/>
      <x:c r="BN260" s="115"/>
      <x:c r="BO260" s="115"/>
      <x:c r="BP260" s="115"/>
      <x:c r="BQ260" s="115"/>
      <x:c r="BR260" s="115"/>
      <x:c r="BS260" s="115"/>
      <x:c r="BT260" s="115"/>
      <x:c r="BU260" s="115"/>
      <x:c r="BV260" s="115"/>
      <x:c r="BW260" s="115"/>
      <x:c r="BX260" s="115"/>
      <x:c r="BY260" s="115"/>
      <x:c r="BZ260" s="115"/>
      <x:c r="CA260" s="115"/>
      <x:c r="CB260" s="116"/>
      <x:c r="CC260" s="141" t="str">
        <x:f>IF(COUNT(G260:P260)=0,"",AVERAGE(G260:P260)*4)</x:f>
      </x:c>
      <x:c r="CD260" s="178" t="str">
        <x:f>IF(COUNT(Q260:Z260)=0,"",AVERAGE(Q260:Z260)*4)</x:f>
      </x:c>
      <x:c r="CE260" s="178" t="str">
        <x:f>IF(COUNT(AA260:AJ260)=0,"",AVERAGE(AA260:AJ260)*4)</x:f>
      </x:c>
      <x:c r="CF260" s="178" t="str">
        <x:f>IF(COUNT(AK260:AR260)=0,"",AVERAGE(AK260:AR260)*4)</x:f>
      </x:c>
      <x:c r="CG260" s="178" t="str">
        <x:f>IF(COUNT(AS260:AY260)=0,"",AVERAGE(AS260:AY260)*4)</x:f>
      </x:c>
      <x:c r="CH260" s="178" t="str">
        <x:f>IF(COUNT(AZ260:BG260)=0,"",AVERAGE(AZ260:BG260)*4)</x:f>
      </x:c>
      <x:c r="CI260" s="178" t="str">
        <x:f>IF(COUNT(BH260:BN260)=0,"",AVERAGE(BH260:BN260)*4)</x:f>
      </x:c>
      <x:c r="CJ260" s="178" t="str">
        <x:f>IF(COUNT(BO260:BU260)=0,"",AVERAGE(BO260:BU260)*4)</x:f>
      </x:c>
      <x:c r="CK260" s="178" t="str">
        <x:f>IF(COUNT(BV260:CB260)=0,"",AVERAGE(BV260:CB260)*4)</x:f>
      </x:c>
      <x:c r="CL260" s="178" t="str">
        <x:f>IF(C260="","",IF(COUNT(G260:CB260)&lt;74,"",(CC260*'تنظیمات وزن‌دهی'!$C$5+CD260*'تنظیمات وزن‌دهی'!$C$6+CE260*'تنظیمات وزن‌دهی'!$C$7+CF260*'تنظیمات وزن‌دهی'!$C$8+CG260*'تنظیمات وزن‌دهی'!$C$9+CH260*'تنظیمات وزن‌دهی'!$C$10+CI260*'تنظیمات وزن‌دهی'!$C$11+CJ260*'تنظیمات وزن‌دهی'!$C$12+CK260*'تنظیمات وزن‌دهی'!$C$13)/100))</x:f>
      </x:c>
      <x:c r="CM260" s="178" t="str">
        <x:f>IF(C260="","",IF(COUNT(G260:CB260)=0,"",IF(COUNT(G260:CB260)&lt;74,"موقت - اطلاعات ناقص",IF(CL260&gt;=17,"عالی",IF(CL260&gt;=14,"خوب",IF(CL260&gt;=10,"متوسط","ضعیف"))))))</x:f>
      </x:c>
      <x:c r="CN260" s="178" t="n">
        <x:v>4</x:v>
      </x:c>
      <x:c r="CO260" s="142" t="n">
        <x:f>IF(C260="","",COUNT(G260:CB260)/74)</x:f>
        <x:v>0</x:v>
      </x:c>
      <x:c r="CP260" s="245"/>
    </x:row>
    <x:row r="261">
      <x:c r="A261" s="165" t="n">
        <x:v>257</x:v>
      </x:c>
      <x:c r="B261" s="233" t="str">
        <x:v>آبان</x:v>
      </x:c>
      <x:c r="C261" s="233" t="n">
        <x:f>IF('دانش‌آموزان'!E26="","",'دانش‌آموزان'!B26)</x:f>
        <x:v>22</x:v>
      </x:c>
      <x:c r="D261" s="233" t="str">
        <x:f>IF('دانش‌آموزان'!C26="","",'دانش‌آموزان'!C26)</x:f>
        <x:v>4000000225</x:v>
      </x:c>
      <x:c r="E261" s="233" t="str">
        <x:f>IF('دانش‌آموزان'!E26="","",'دانش‌آموزان'!E26&amp;" "&amp;'دانش‌آموزان'!F26)</x:f>
        <x:v>فاطمه اکبری</x:v>
      </x:c>
      <x:c r="F261" s="166" t="str">
        <x:f>IF('دانش‌آموزان'!I26="","",'دانش‌آموزان'!I26)</x:f>
        <x:v>sample-7-a</x:v>
      </x:c>
      <x:c r="G261" s="114"/>
      <x:c r="H261" s="115"/>
      <x:c r="I261" s="115"/>
      <x:c r="J261" s="115"/>
      <x:c r="K261" s="115"/>
      <x:c r="L261" s="115"/>
      <x:c r="M261" s="115"/>
      <x:c r="N261" s="115"/>
      <x:c r="O261" s="115"/>
      <x:c r="P261" s="115"/>
      <x:c r="Q261" s="115"/>
      <x:c r="R261" s="115"/>
      <x:c r="S261" s="115"/>
      <x:c r="T261" s="115"/>
      <x:c r="U261" s="115"/>
      <x:c r="V261" s="115"/>
      <x:c r="W261" s="115"/>
      <x:c r="X261" s="115"/>
      <x:c r="Y261" s="115"/>
      <x:c r="Z261" s="115"/>
      <x:c r="AA261" s="115"/>
      <x:c r="AB261" s="115"/>
      <x:c r="AC261" s="115"/>
      <x:c r="AD261" s="115"/>
      <x:c r="AE261" s="115"/>
      <x:c r="AF261" s="115"/>
      <x:c r="AG261" s="115"/>
      <x:c r="AH261" s="115"/>
      <x:c r="AI261" s="115"/>
      <x:c r="AJ261" s="115"/>
      <x:c r="AK261" s="115"/>
      <x:c r="AL261" s="115"/>
      <x:c r="AM261" s="115"/>
      <x:c r="AN261" s="115"/>
      <x:c r="AO261" s="115"/>
      <x:c r="AP261" s="115"/>
      <x:c r="AQ261" s="115"/>
      <x:c r="AR261" s="115"/>
      <x:c r="AS261" s="115"/>
      <x:c r="AT261" s="115"/>
      <x:c r="AU261" s="115"/>
      <x:c r="AV261" s="115"/>
      <x:c r="AW261" s="115"/>
      <x:c r="AX261" s="115"/>
      <x:c r="AY261" s="115"/>
      <x:c r="AZ261" s="115"/>
      <x:c r="BA261" s="115"/>
      <x:c r="BB261" s="115"/>
      <x:c r="BC261" s="115"/>
      <x:c r="BD261" s="115"/>
      <x:c r="BE261" s="115"/>
      <x:c r="BF261" s="115"/>
      <x:c r="BG261" s="115"/>
      <x:c r="BH261" s="115"/>
      <x:c r="BI261" s="115"/>
      <x:c r="BJ261" s="115"/>
      <x:c r="BK261" s="115"/>
      <x:c r="BL261" s="115"/>
      <x:c r="BM261" s="115"/>
      <x:c r="BN261" s="115"/>
      <x:c r="BO261" s="115"/>
      <x:c r="BP261" s="115"/>
      <x:c r="BQ261" s="115"/>
      <x:c r="BR261" s="115"/>
      <x:c r="BS261" s="115"/>
      <x:c r="BT261" s="115"/>
      <x:c r="BU261" s="115"/>
      <x:c r="BV261" s="115"/>
      <x:c r="BW261" s="115"/>
      <x:c r="BX261" s="115"/>
      <x:c r="BY261" s="115"/>
      <x:c r="BZ261" s="115"/>
      <x:c r="CA261" s="115"/>
      <x:c r="CB261" s="116"/>
      <x:c r="CC261" s="141" t="str">
        <x:f>IF(COUNT(G261:P261)=0,"",AVERAGE(G261:P261)*4)</x:f>
      </x:c>
      <x:c r="CD261" s="178" t="str">
        <x:f>IF(COUNT(Q261:Z261)=0,"",AVERAGE(Q261:Z261)*4)</x:f>
      </x:c>
      <x:c r="CE261" s="178" t="str">
        <x:f>IF(COUNT(AA261:AJ261)=0,"",AVERAGE(AA261:AJ261)*4)</x:f>
      </x:c>
      <x:c r="CF261" s="178" t="str">
        <x:f>IF(COUNT(AK261:AR261)=0,"",AVERAGE(AK261:AR261)*4)</x:f>
      </x:c>
      <x:c r="CG261" s="178" t="str">
        <x:f>IF(COUNT(AS261:AY261)=0,"",AVERAGE(AS261:AY261)*4)</x:f>
      </x:c>
      <x:c r="CH261" s="178" t="str">
        <x:f>IF(COUNT(AZ261:BG261)=0,"",AVERAGE(AZ261:BG261)*4)</x:f>
      </x:c>
      <x:c r="CI261" s="178" t="str">
        <x:f>IF(COUNT(BH261:BN261)=0,"",AVERAGE(BH261:BN261)*4)</x:f>
      </x:c>
      <x:c r="CJ261" s="178" t="str">
        <x:f>IF(COUNT(BO261:BU261)=0,"",AVERAGE(BO261:BU261)*4)</x:f>
      </x:c>
      <x:c r="CK261" s="178" t="str">
        <x:f>IF(COUNT(BV261:CB261)=0,"",AVERAGE(BV261:CB261)*4)</x:f>
      </x:c>
      <x:c r="CL261" s="178" t="str">
        <x:f>IF(C261="","",IF(COUNT(G261:CB261)&lt;74,"",(CC261*'تنظیمات وزن‌دهی'!$C$5+CD261*'تنظیمات وزن‌دهی'!$C$6+CE261*'تنظیمات وزن‌دهی'!$C$7+CF261*'تنظیمات وزن‌دهی'!$C$8+CG261*'تنظیمات وزن‌دهی'!$C$9+CH261*'تنظیمات وزن‌دهی'!$C$10+CI261*'تنظیمات وزن‌دهی'!$C$11+CJ261*'تنظیمات وزن‌دهی'!$C$12+CK261*'تنظیمات وزن‌دهی'!$C$13)/100))</x:f>
      </x:c>
      <x:c r="CM261" s="178" t="str">
        <x:f>IF(C261="","",IF(COUNT(G261:CB261)=0,"",IF(COUNT(G261:CB261)&lt;74,"موقت - اطلاعات ناقص",IF(CL261&gt;=17,"عالی",IF(CL261&gt;=14,"خوب",IF(CL261&gt;=10,"متوسط","ضعیف"))))))</x:f>
      </x:c>
      <x:c r="CN261" s="178" t="n">
        <x:v>5</x:v>
      </x:c>
      <x:c r="CO261" s="142" t="n">
        <x:f>IF(C261="","",COUNT(G261:CB261)/74)</x:f>
        <x:v>0</x:v>
      </x:c>
      <x:c r="CP261" s="245"/>
    </x:row>
    <x:row r="262">
      <x:c r="A262" s="165" t="n">
        <x:v>258</x:v>
      </x:c>
      <x:c r="B262" s="233" t="str">
        <x:v>آذر</x:v>
      </x:c>
      <x:c r="C262" s="233" t="n">
        <x:f>IF('دانش‌آموزان'!E26="","",'دانش‌آموزان'!B26)</x:f>
        <x:v>22</x:v>
      </x:c>
      <x:c r="D262" s="233" t="str">
        <x:f>IF('دانش‌آموزان'!C26="","",'دانش‌آموزان'!C26)</x:f>
        <x:v>4000000225</x:v>
      </x:c>
      <x:c r="E262" s="233" t="str">
        <x:f>IF('دانش‌آموزان'!E26="","",'دانش‌آموزان'!E26&amp;" "&amp;'دانش‌آموزان'!F26)</x:f>
        <x:v>فاطمه اکبری</x:v>
      </x:c>
      <x:c r="F262" s="166" t="str">
        <x:f>IF('دانش‌آموزان'!I26="","",'دانش‌آموزان'!I26)</x:f>
        <x:v>sample-7-a</x:v>
      </x:c>
      <x:c r="G262" s="114"/>
      <x:c r="H262" s="115"/>
      <x:c r="I262" s="115"/>
      <x:c r="J262" s="115"/>
      <x:c r="K262" s="115"/>
      <x:c r="L262" s="115"/>
      <x:c r="M262" s="115"/>
      <x:c r="N262" s="115"/>
      <x:c r="O262" s="115"/>
      <x:c r="P262" s="115"/>
      <x:c r="Q262" s="115"/>
      <x:c r="R262" s="115"/>
      <x:c r="S262" s="115"/>
      <x:c r="T262" s="115"/>
      <x:c r="U262" s="115"/>
      <x:c r="V262" s="115"/>
      <x:c r="W262" s="115"/>
      <x:c r="X262" s="115"/>
      <x:c r="Y262" s="115"/>
      <x:c r="Z262" s="115"/>
      <x:c r="AA262" s="115"/>
      <x:c r="AB262" s="115"/>
      <x:c r="AC262" s="115"/>
      <x:c r="AD262" s="115"/>
      <x:c r="AE262" s="115"/>
      <x:c r="AF262" s="115"/>
      <x:c r="AG262" s="115"/>
      <x:c r="AH262" s="115"/>
      <x:c r="AI262" s="115"/>
      <x:c r="AJ262" s="115"/>
      <x:c r="AK262" s="115"/>
      <x:c r="AL262" s="115"/>
      <x:c r="AM262" s="115"/>
      <x:c r="AN262" s="115"/>
      <x:c r="AO262" s="115"/>
      <x:c r="AP262" s="115"/>
      <x:c r="AQ262" s="115"/>
      <x:c r="AR262" s="115"/>
      <x:c r="AS262" s="115"/>
      <x:c r="AT262" s="115"/>
      <x:c r="AU262" s="115"/>
      <x:c r="AV262" s="115"/>
      <x:c r="AW262" s="115"/>
      <x:c r="AX262" s="115"/>
      <x:c r="AY262" s="115"/>
      <x:c r="AZ262" s="115"/>
      <x:c r="BA262" s="115"/>
      <x:c r="BB262" s="115"/>
      <x:c r="BC262" s="115"/>
      <x:c r="BD262" s="115"/>
      <x:c r="BE262" s="115"/>
      <x:c r="BF262" s="115"/>
      <x:c r="BG262" s="115"/>
      <x:c r="BH262" s="115"/>
      <x:c r="BI262" s="115"/>
      <x:c r="BJ262" s="115"/>
      <x:c r="BK262" s="115"/>
      <x:c r="BL262" s="115"/>
      <x:c r="BM262" s="115"/>
      <x:c r="BN262" s="115"/>
      <x:c r="BO262" s="115"/>
      <x:c r="BP262" s="115"/>
      <x:c r="BQ262" s="115"/>
      <x:c r="BR262" s="115"/>
      <x:c r="BS262" s="115"/>
      <x:c r="BT262" s="115"/>
      <x:c r="BU262" s="115"/>
      <x:c r="BV262" s="115"/>
      <x:c r="BW262" s="115"/>
      <x:c r="BX262" s="115"/>
      <x:c r="BY262" s="115"/>
      <x:c r="BZ262" s="115"/>
      <x:c r="CA262" s="115"/>
      <x:c r="CB262" s="116"/>
      <x:c r="CC262" s="141" t="str">
        <x:f>IF(COUNT(G262:P262)=0,"",AVERAGE(G262:P262)*4)</x:f>
      </x:c>
      <x:c r="CD262" s="178" t="str">
        <x:f>IF(COUNT(Q262:Z262)=0,"",AVERAGE(Q262:Z262)*4)</x:f>
      </x:c>
      <x:c r="CE262" s="178" t="str">
        <x:f>IF(COUNT(AA262:AJ262)=0,"",AVERAGE(AA262:AJ262)*4)</x:f>
      </x:c>
      <x:c r="CF262" s="178" t="str">
        <x:f>IF(COUNT(AK262:AR262)=0,"",AVERAGE(AK262:AR262)*4)</x:f>
      </x:c>
      <x:c r="CG262" s="178" t="str">
        <x:f>IF(COUNT(AS262:AY262)=0,"",AVERAGE(AS262:AY262)*4)</x:f>
      </x:c>
      <x:c r="CH262" s="178" t="str">
        <x:f>IF(COUNT(AZ262:BG262)=0,"",AVERAGE(AZ262:BG262)*4)</x:f>
      </x:c>
      <x:c r="CI262" s="178" t="str">
        <x:f>IF(COUNT(BH262:BN262)=0,"",AVERAGE(BH262:BN262)*4)</x:f>
      </x:c>
      <x:c r="CJ262" s="178" t="str">
        <x:f>IF(COUNT(BO262:BU262)=0,"",AVERAGE(BO262:BU262)*4)</x:f>
      </x:c>
      <x:c r="CK262" s="178" t="str">
        <x:f>IF(COUNT(BV262:CB262)=0,"",AVERAGE(BV262:CB262)*4)</x:f>
      </x:c>
      <x:c r="CL262" s="178" t="str">
        <x:f>IF(C262="","",IF(COUNT(G262:CB262)&lt;74,"",(CC262*'تنظیمات وزن‌دهی'!$C$5+CD262*'تنظیمات وزن‌دهی'!$C$6+CE262*'تنظیمات وزن‌دهی'!$C$7+CF262*'تنظیمات وزن‌دهی'!$C$8+CG262*'تنظیمات وزن‌دهی'!$C$9+CH262*'تنظیمات وزن‌دهی'!$C$10+CI262*'تنظیمات وزن‌دهی'!$C$11+CJ262*'تنظیمات وزن‌دهی'!$C$12+CK262*'تنظیمات وزن‌دهی'!$C$13)/100))</x:f>
      </x:c>
      <x:c r="CM262" s="178" t="str">
        <x:f>IF(C262="","",IF(COUNT(G262:CB262)=0,"",IF(COUNT(G262:CB262)&lt;74,"موقت - اطلاعات ناقص",IF(CL262&gt;=17,"عالی",IF(CL262&gt;=14,"خوب",IF(CL262&gt;=10,"متوسط","ضعیف"))))))</x:f>
      </x:c>
      <x:c r="CN262" s="178" t="n">
        <x:v>6</x:v>
      </x:c>
      <x:c r="CO262" s="142" t="n">
        <x:f>IF(C262="","",COUNT(G262:CB262)/74)</x:f>
        <x:v>0</x:v>
      </x:c>
      <x:c r="CP262" s="245"/>
    </x:row>
    <x:row r="263">
      <x:c r="A263" s="165" t="n">
        <x:v>259</x:v>
      </x:c>
      <x:c r="B263" s="233" t="str">
        <x:v>دی</x:v>
      </x:c>
      <x:c r="C263" s="233" t="n">
        <x:f>IF('دانش‌آموزان'!E26="","",'دانش‌آموزان'!B26)</x:f>
        <x:v>22</x:v>
      </x:c>
      <x:c r="D263" s="233" t="str">
        <x:f>IF('دانش‌آموزان'!C26="","",'دانش‌آموزان'!C26)</x:f>
        <x:v>4000000225</x:v>
      </x:c>
      <x:c r="E263" s="233" t="str">
        <x:f>IF('دانش‌آموزان'!E26="","",'دانش‌آموزان'!E26&amp;" "&amp;'دانش‌آموزان'!F26)</x:f>
        <x:v>فاطمه اکبری</x:v>
      </x:c>
      <x:c r="F263" s="166" t="str">
        <x:f>IF('دانش‌آموزان'!I26="","",'دانش‌آموزان'!I26)</x:f>
        <x:v>sample-7-a</x:v>
      </x:c>
      <x:c r="G263" s="114"/>
      <x:c r="H263" s="115"/>
      <x:c r="I263" s="115"/>
      <x:c r="J263" s="115"/>
      <x:c r="K263" s="115"/>
      <x:c r="L263" s="115"/>
      <x:c r="M263" s="115"/>
      <x:c r="N263" s="115"/>
      <x:c r="O263" s="115"/>
      <x:c r="P263" s="115"/>
      <x:c r="Q263" s="115"/>
      <x:c r="R263" s="115"/>
      <x:c r="S263" s="115"/>
      <x:c r="T263" s="115"/>
      <x:c r="U263" s="115"/>
      <x:c r="V263" s="115"/>
      <x:c r="W263" s="115"/>
      <x:c r="X263" s="115"/>
      <x:c r="Y263" s="115"/>
      <x:c r="Z263" s="115"/>
      <x:c r="AA263" s="115"/>
      <x:c r="AB263" s="115"/>
      <x:c r="AC263" s="115"/>
      <x:c r="AD263" s="115"/>
      <x:c r="AE263" s="115"/>
      <x:c r="AF263" s="115"/>
      <x:c r="AG263" s="115"/>
      <x:c r="AH263" s="115"/>
      <x:c r="AI263" s="115"/>
      <x:c r="AJ263" s="115"/>
      <x:c r="AK263" s="115"/>
      <x:c r="AL263" s="115"/>
      <x:c r="AM263" s="115"/>
      <x:c r="AN263" s="115"/>
      <x:c r="AO263" s="115"/>
      <x:c r="AP263" s="115"/>
      <x:c r="AQ263" s="115"/>
      <x:c r="AR263" s="115"/>
      <x:c r="AS263" s="115"/>
      <x:c r="AT263" s="115"/>
      <x:c r="AU263" s="115"/>
      <x:c r="AV263" s="115"/>
      <x:c r="AW263" s="115"/>
      <x:c r="AX263" s="115"/>
      <x:c r="AY263" s="115"/>
      <x:c r="AZ263" s="115"/>
      <x:c r="BA263" s="115"/>
      <x:c r="BB263" s="115"/>
      <x:c r="BC263" s="115"/>
      <x:c r="BD263" s="115"/>
      <x:c r="BE263" s="115"/>
      <x:c r="BF263" s="115"/>
      <x:c r="BG263" s="115"/>
      <x:c r="BH263" s="115"/>
      <x:c r="BI263" s="115"/>
      <x:c r="BJ263" s="115"/>
      <x:c r="BK263" s="115"/>
      <x:c r="BL263" s="115"/>
      <x:c r="BM263" s="115"/>
      <x:c r="BN263" s="115"/>
      <x:c r="BO263" s="115"/>
      <x:c r="BP263" s="115"/>
      <x:c r="BQ263" s="115"/>
      <x:c r="BR263" s="115"/>
      <x:c r="BS263" s="115"/>
      <x:c r="BT263" s="115"/>
      <x:c r="BU263" s="115"/>
      <x:c r="BV263" s="115"/>
      <x:c r="BW263" s="115"/>
      <x:c r="BX263" s="115"/>
      <x:c r="BY263" s="115"/>
      <x:c r="BZ263" s="115"/>
      <x:c r="CA263" s="115"/>
      <x:c r="CB263" s="116"/>
      <x:c r="CC263" s="141" t="str">
        <x:f>IF(COUNT(G263:P263)=0,"",AVERAGE(G263:P263)*4)</x:f>
      </x:c>
      <x:c r="CD263" s="178" t="str">
        <x:f>IF(COUNT(Q263:Z263)=0,"",AVERAGE(Q263:Z263)*4)</x:f>
      </x:c>
      <x:c r="CE263" s="178" t="str">
        <x:f>IF(COUNT(AA263:AJ263)=0,"",AVERAGE(AA263:AJ263)*4)</x:f>
      </x:c>
      <x:c r="CF263" s="178" t="str">
        <x:f>IF(COUNT(AK263:AR263)=0,"",AVERAGE(AK263:AR263)*4)</x:f>
      </x:c>
      <x:c r="CG263" s="178" t="str">
        <x:f>IF(COUNT(AS263:AY263)=0,"",AVERAGE(AS263:AY263)*4)</x:f>
      </x:c>
      <x:c r="CH263" s="178" t="str">
        <x:f>IF(COUNT(AZ263:BG263)=0,"",AVERAGE(AZ263:BG263)*4)</x:f>
      </x:c>
      <x:c r="CI263" s="178" t="str">
        <x:f>IF(COUNT(BH263:BN263)=0,"",AVERAGE(BH263:BN263)*4)</x:f>
      </x:c>
      <x:c r="CJ263" s="178" t="str">
        <x:f>IF(COUNT(BO263:BU263)=0,"",AVERAGE(BO263:BU263)*4)</x:f>
      </x:c>
      <x:c r="CK263" s="178" t="str">
        <x:f>IF(COUNT(BV263:CB263)=0,"",AVERAGE(BV263:CB263)*4)</x:f>
      </x:c>
      <x:c r="CL263" s="178" t="str">
        <x:f>IF(C263="","",IF(COUNT(G263:CB263)&lt;74,"",(CC263*'تنظیمات وزن‌دهی'!$C$5+CD263*'تنظیمات وزن‌دهی'!$C$6+CE263*'تنظیمات وزن‌دهی'!$C$7+CF263*'تنظیمات وزن‌دهی'!$C$8+CG263*'تنظیمات وزن‌دهی'!$C$9+CH263*'تنظیمات وزن‌دهی'!$C$10+CI263*'تنظیمات وزن‌دهی'!$C$11+CJ263*'تنظیمات وزن‌دهی'!$C$12+CK263*'تنظیمات وزن‌دهی'!$C$13)/100))</x:f>
      </x:c>
      <x:c r="CM263" s="178" t="str">
        <x:f>IF(C263="","",IF(COUNT(G263:CB263)=0,"",IF(COUNT(G263:CB263)&lt;74,"موقت - اطلاعات ناقص",IF(CL263&gt;=17,"عالی",IF(CL263&gt;=14,"خوب",IF(CL263&gt;=10,"متوسط","ضعیف"))))))</x:f>
      </x:c>
      <x:c r="CN263" s="178" t="n">
        <x:v>7</x:v>
      </x:c>
      <x:c r="CO263" s="142" t="n">
        <x:f>IF(C263="","",COUNT(G263:CB263)/74)</x:f>
        <x:v>0</x:v>
      </x:c>
      <x:c r="CP263" s="245"/>
    </x:row>
    <x:row r="264">
      <x:c r="A264" s="165" t="n">
        <x:v>260</x:v>
      </x:c>
      <x:c r="B264" s="233" t="str">
        <x:v>بهمن</x:v>
      </x:c>
      <x:c r="C264" s="233" t="n">
        <x:f>IF('دانش‌آموزان'!E26="","",'دانش‌آموزان'!B26)</x:f>
        <x:v>22</x:v>
      </x:c>
      <x:c r="D264" s="233" t="str">
        <x:f>IF('دانش‌آموزان'!C26="","",'دانش‌آموزان'!C26)</x:f>
        <x:v>4000000225</x:v>
      </x:c>
      <x:c r="E264" s="233" t="str">
        <x:f>IF('دانش‌آموزان'!E26="","",'دانش‌آموزان'!E26&amp;" "&amp;'دانش‌آموزان'!F26)</x:f>
        <x:v>فاطمه اکبری</x:v>
      </x:c>
      <x:c r="F264" s="166" t="str">
        <x:f>IF('دانش‌آموزان'!I26="","",'دانش‌آموزان'!I26)</x:f>
        <x:v>sample-7-a</x:v>
      </x:c>
      <x:c r="G264" s="114"/>
      <x:c r="H264" s="115"/>
      <x:c r="I264" s="115"/>
      <x:c r="J264" s="115"/>
      <x:c r="K264" s="115"/>
      <x:c r="L264" s="115"/>
      <x:c r="M264" s="115"/>
      <x:c r="N264" s="115"/>
      <x:c r="O264" s="115"/>
      <x:c r="P264" s="115"/>
      <x:c r="Q264" s="115"/>
      <x:c r="R264" s="115"/>
      <x:c r="S264" s="115"/>
      <x:c r="T264" s="115"/>
      <x:c r="U264" s="115"/>
      <x:c r="V264" s="115"/>
      <x:c r="W264" s="115"/>
      <x:c r="X264" s="115"/>
      <x:c r="Y264" s="115"/>
      <x:c r="Z264" s="115"/>
      <x:c r="AA264" s="115"/>
      <x:c r="AB264" s="115"/>
      <x:c r="AC264" s="115"/>
      <x:c r="AD264" s="115"/>
      <x:c r="AE264" s="115"/>
      <x:c r="AF264" s="115"/>
      <x:c r="AG264" s="115"/>
      <x:c r="AH264" s="115"/>
      <x:c r="AI264" s="115"/>
      <x:c r="AJ264" s="115"/>
      <x:c r="AK264" s="115"/>
      <x:c r="AL264" s="115"/>
      <x:c r="AM264" s="115"/>
      <x:c r="AN264" s="115"/>
      <x:c r="AO264" s="115"/>
      <x:c r="AP264" s="115"/>
      <x:c r="AQ264" s="115"/>
      <x:c r="AR264" s="115"/>
      <x:c r="AS264" s="115"/>
      <x:c r="AT264" s="115"/>
      <x:c r="AU264" s="115"/>
      <x:c r="AV264" s="115"/>
      <x:c r="AW264" s="115"/>
      <x:c r="AX264" s="115"/>
      <x:c r="AY264" s="115"/>
      <x:c r="AZ264" s="115"/>
      <x:c r="BA264" s="115"/>
      <x:c r="BB264" s="115"/>
      <x:c r="BC264" s="115"/>
      <x:c r="BD264" s="115"/>
      <x:c r="BE264" s="115"/>
      <x:c r="BF264" s="115"/>
      <x:c r="BG264" s="115"/>
      <x:c r="BH264" s="115"/>
      <x:c r="BI264" s="115"/>
      <x:c r="BJ264" s="115"/>
      <x:c r="BK264" s="115"/>
      <x:c r="BL264" s="115"/>
      <x:c r="BM264" s="115"/>
      <x:c r="BN264" s="115"/>
      <x:c r="BO264" s="115"/>
      <x:c r="BP264" s="115"/>
      <x:c r="BQ264" s="115"/>
      <x:c r="BR264" s="115"/>
      <x:c r="BS264" s="115"/>
      <x:c r="BT264" s="115"/>
      <x:c r="BU264" s="115"/>
      <x:c r="BV264" s="115"/>
      <x:c r="BW264" s="115"/>
      <x:c r="BX264" s="115"/>
      <x:c r="BY264" s="115"/>
      <x:c r="BZ264" s="115"/>
      <x:c r="CA264" s="115"/>
      <x:c r="CB264" s="116"/>
      <x:c r="CC264" s="141" t="str">
        <x:f>IF(COUNT(G264:P264)=0,"",AVERAGE(G264:P264)*4)</x:f>
      </x:c>
      <x:c r="CD264" s="178" t="str">
        <x:f>IF(COUNT(Q264:Z264)=0,"",AVERAGE(Q264:Z264)*4)</x:f>
      </x:c>
      <x:c r="CE264" s="178" t="str">
        <x:f>IF(COUNT(AA264:AJ264)=0,"",AVERAGE(AA264:AJ264)*4)</x:f>
      </x:c>
      <x:c r="CF264" s="178" t="str">
        <x:f>IF(COUNT(AK264:AR264)=0,"",AVERAGE(AK264:AR264)*4)</x:f>
      </x:c>
      <x:c r="CG264" s="178" t="str">
        <x:f>IF(COUNT(AS264:AY264)=0,"",AVERAGE(AS264:AY264)*4)</x:f>
      </x:c>
      <x:c r="CH264" s="178" t="str">
        <x:f>IF(COUNT(AZ264:BG264)=0,"",AVERAGE(AZ264:BG264)*4)</x:f>
      </x:c>
      <x:c r="CI264" s="178" t="str">
        <x:f>IF(COUNT(BH264:BN264)=0,"",AVERAGE(BH264:BN264)*4)</x:f>
      </x:c>
      <x:c r="CJ264" s="178" t="str">
        <x:f>IF(COUNT(BO264:BU264)=0,"",AVERAGE(BO264:BU264)*4)</x:f>
      </x:c>
      <x:c r="CK264" s="178" t="str">
        <x:f>IF(COUNT(BV264:CB264)=0,"",AVERAGE(BV264:CB264)*4)</x:f>
      </x:c>
      <x:c r="CL264" s="178" t="str">
        <x:f>IF(C264="","",IF(COUNT(G264:CB264)&lt;74,"",(CC264*'تنظیمات وزن‌دهی'!$C$5+CD264*'تنظیمات وزن‌دهی'!$C$6+CE264*'تنظیمات وزن‌دهی'!$C$7+CF264*'تنظیمات وزن‌دهی'!$C$8+CG264*'تنظیمات وزن‌دهی'!$C$9+CH264*'تنظیمات وزن‌دهی'!$C$10+CI264*'تنظیمات وزن‌دهی'!$C$11+CJ264*'تنظیمات وزن‌دهی'!$C$12+CK264*'تنظیمات وزن‌دهی'!$C$13)/100))</x:f>
      </x:c>
      <x:c r="CM264" s="178" t="str">
        <x:f>IF(C264="","",IF(COUNT(G264:CB264)=0,"",IF(COUNT(G264:CB264)&lt;74,"موقت - اطلاعات ناقص",IF(CL264&gt;=17,"عالی",IF(CL264&gt;=14,"خوب",IF(CL264&gt;=10,"متوسط","ضعیف"))))))</x:f>
      </x:c>
      <x:c r="CN264" s="178" t="n">
        <x:v>8</x:v>
      </x:c>
      <x:c r="CO264" s="142" t="n">
        <x:f>IF(C264="","",COUNT(G264:CB264)/74)</x:f>
        <x:v>0</x:v>
      </x:c>
      <x:c r="CP264" s="245"/>
    </x:row>
    <x:row r="265">
      <x:c r="A265" s="165" t="n">
        <x:v>261</x:v>
      </x:c>
      <x:c r="B265" s="233" t="str">
        <x:v>اسفند</x:v>
      </x:c>
      <x:c r="C265" s="233" t="n">
        <x:f>IF('دانش‌آموزان'!E26="","",'دانش‌آموزان'!B26)</x:f>
        <x:v>22</x:v>
      </x:c>
      <x:c r="D265" s="233" t="str">
        <x:f>IF('دانش‌آموزان'!C26="","",'دانش‌آموزان'!C26)</x:f>
        <x:v>4000000225</x:v>
      </x:c>
      <x:c r="E265" s="233" t="str">
        <x:f>IF('دانش‌آموزان'!E26="","",'دانش‌آموزان'!E26&amp;" "&amp;'دانش‌آموزان'!F26)</x:f>
        <x:v>فاطمه اکبری</x:v>
      </x:c>
      <x:c r="F265" s="166" t="str">
        <x:f>IF('دانش‌آموزان'!I26="","",'دانش‌آموزان'!I26)</x:f>
        <x:v>sample-7-a</x:v>
      </x:c>
      <x:c r="G265" s="114"/>
      <x:c r="H265" s="115"/>
      <x:c r="I265" s="115"/>
      <x:c r="J265" s="115"/>
      <x:c r="K265" s="115"/>
      <x:c r="L265" s="115"/>
      <x:c r="M265" s="115"/>
      <x:c r="N265" s="115"/>
      <x:c r="O265" s="115"/>
      <x:c r="P265" s="115"/>
      <x:c r="Q265" s="115"/>
      <x:c r="R265" s="115"/>
      <x:c r="S265" s="115"/>
      <x:c r="T265" s="115"/>
      <x:c r="U265" s="115"/>
      <x:c r="V265" s="115"/>
      <x:c r="W265" s="115"/>
      <x:c r="X265" s="115"/>
      <x:c r="Y265" s="115"/>
      <x:c r="Z265" s="115"/>
      <x:c r="AA265" s="115"/>
      <x:c r="AB265" s="115"/>
      <x:c r="AC265" s="115"/>
      <x:c r="AD265" s="115"/>
      <x:c r="AE265" s="115"/>
      <x:c r="AF265" s="115"/>
      <x:c r="AG265" s="115"/>
      <x:c r="AH265" s="115"/>
      <x:c r="AI265" s="115"/>
      <x:c r="AJ265" s="115"/>
      <x:c r="AK265" s="115"/>
      <x:c r="AL265" s="115"/>
      <x:c r="AM265" s="115"/>
      <x:c r="AN265" s="115"/>
      <x:c r="AO265" s="115"/>
      <x:c r="AP265" s="115"/>
      <x:c r="AQ265" s="115"/>
      <x:c r="AR265" s="115"/>
      <x:c r="AS265" s="115"/>
      <x:c r="AT265" s="115"/>
      <x:c r="AU265" s="115"/>
      <x:c r="AV265" s="115"/>
      <x:c r="AW265" s="115"/>
      <x:c r="AX265" s="115"/>
      <x:c r="AY265" s="115"/>
      <x:c r="AZ265" s="115"/>
      <x:c r="BA265" s="115"/>
      <x:c r="BB265" s="115"/>
      <x:c r="BC265" s="115"/>
      <x:c r="BD265" s="115"/>
      <x:c r="BE265" s="115"/>
      <x:c r="BF265" s="115"/>
      <x:c r="BG265" s="115"/>
      <x:c r="BH265" s="115"/>
      <x:c r="BI265" s="115"/>
      <x:c r="BJ265" s="115"/>
      <x:c r="BK265" s="115"/>
      <x:c r="BL265" s="115"/>
      <x:c r="BM265" s="115"/>
      <x:c r="BN265" s="115"/>
      <x:c r="BO265" s="115"/>
      <x:c r="BP265" s="115"/>
      <x:c r="BQ265" s="115"/>
      <x:c r="BR265" s="115"/>
      <x:c r="BS265" s="115"/>
      <x:c r="BT265" s="115"/>
      <x:c r="BU265" s="115"/>
      <x:c r="BV265" s="115"/>
      <x:c r="BW265" s="115"/>
      <x:c r="BX265" s="115"/>
      <x:c r="BY265" s="115"/>
      <x:c r="BZ265" s="115"/>
      <x:c r="CA265" s="115"/>
      <x:c r="CB265" s="116"/>
      <x:c r="CC265" s="141" t="str">
        <x:f>IF(COUNT(G265:P265)=0,"",AVERAGE(G265:P265)*4)</x:f>
      </x:c>
      <x:c r="CD265" s="178" t="str">
        <x:f>IF(COUNT(Q265:Z265)=0,"",AVERAGE(Q265:Z265)*4)</x:f>
      </x:c>
      <x:c r="CE265" s="178" t="str">
        <x:f>IF(COUNT(AA265:AJ265)=0,"",AVERAGE(AA265:AJ265)*4)</x:f>
      </x:c>
      <x:c r="CF265" s="178" t="str">
        <x:f>IF(COUNT(AK265:AR265)=0,"",AVERAGE(AK265:AR265)*4)</x:f>
      </x:c>
      <x:c r="CG265" s="178" t="str">
        <x:f>IF(COUNT(AS265:AY265)=0,"",AVERAGE(AS265:AY265)*4)</x:f>
      </x:c>
      <x:c r="CH265" s="178" t="str">
        <x:f>IF(COUNT(AZ265:BG265)=0,"",AVERAGE(AZ265:BG265)*4)</x:f>
      </x:c>
      <x:c r="CI265" s="178" t="str">
        <x:f>IF(COUNT(BH265:BN265)=0,"",AVERAGE(BH265:BN265)*4)</x:f>
      </x:c>
      <x:c r="CJ265" s="178" t="str">
        <x:f>IF(COUNT(BO265:BU265)=0,"",AVERAGE(BO265:BU265)*4)</x:f>
      </x:c>
      <x:c r="CK265" s="178" t="str">
        <x:f>IF(COUNT(BV265:CB265)=0,"",AVERAGE(BV265:CB265)*4)</x:f>
      </x:c>
      <x:c r="CL265" s="178" t="str">
        <x:f>IF(C265="","",IF(COUNT(G265:CB265)&lt;74,"",(CC265*'تنظیمات وزن‌دهی'!$C$5+CD265*'تنظیمات وزن‌دهی'!$C$6+CE265*'تنظیمات وزن‌دهی'!$C$7+CF265*'تنظیمات وزن‌دهی'!$C$8+CG265*'تنظیمات وزن‌دهی'!$C$9+CH265*'تنظیمات وزن‌دهی'!$C$10+CI265*'تنظیمات وزن‌دهی'!$C$11+CJ265*'تنظیمات وزن‌دهی'!$C$12+CK265*'تنظیمات وزن‌دهی'!$C$13)/100))</x:f>
      </x:c>
      <x:c r="CM265" s="178" t="str">
        <x:f>IF(C265="","",IF(COUNT(G265:CB265)=0,"",IF(COUNT(G265:CB265)&lt;74,"موقت - اطلاعات ناقص",IF(CL265&gt;=17,"عالی",IF(CL265&gt;=14,"خوب",IF(CL265&gt;=10,"متوسط","ضعیف"))))))</x:f>
      </x:c>
      <x:c r="CN265" s="178" t="n">
        <x:v>9</x:v>
      </x:c>
      <x:c r="CO265" s="142" t="n">
        <x:f>IF(C265="","",COUNT(G265:CB265)/74)</x:f>
        <x:v>0</x:v>
      </x:c>
      <x:c r="CP265" s="245"/>
    </x:row>
    <x:row r="266">
      <x:c r="A266" s="165" t="n">
        <x:v>262</x:v>
      </x:c>
      <x:c r="B266" s="233" t="str">
        <x:v>فروردین</x:v>
      </x:c>
      <x:c r="C266" s="233" t="n">
        <x:f>IF('دانش‌آموزان'!E26="","",'دانش‌آموزان'!B26)</x:f>
        <x:v>22</x:v>
      </x:c>
      <x:c r="D266" s="233" t="str">
        <x:f>IF('دانش‌آموزان'!C26="","",'دانش‌آموزان'!C26)</x:f>
        <x:v>4000000225</x:v>
      </x:c>
      <x:c r="E266" s="233" t="str">
        <x:f>IF('دانش‌آموزان'!E26="","",'دانش‌آموزان'!E26&amp;" "&amp;'دانش‌آموزان'!F26)</x:f>
        <x:v>فاطمه اکبری</x:v>
      </x:c>
      <x:c r="F266" s="166" t="str">
        <x:f>IF('دانش‌آموزان'!I26="","",'دانش‌آموزان'!I26)</x:f>
        <x:v>sample-7-a</x:v>
      </x:c>
      <x:c r="G266" s="114"/>
      <x:c r="H266" s="115"/>
      <x:c r="I266" s="115"/>
      <x:c r="J266" s="115"/>
      <x:c r="K266" s="115"/>
      <x:c r="L266" s="115"/>
      <x:c r="M266" s="115"/>
      <x:c r="N266" s="115"/>
      <x:c r="O266" s="115"/>
      <x:c r="P266" s="115"/>
      <x:c r="Q266" s="115"/>
      <x:c r="R266" s="115"/>
      <x:c r="S266" s="115"/>
      <x:c r="T266" s="115"/>
      <x:c r="U266" s="115"/>
      <x:c r="V266" s="115"/>
      <x:c r="W266" s="115"/>
      <x:c r="X266" s="115"/>
      <x:c r="Y266" s="115"/>
      <x:c r="Z266" s="115"/>
      <x:c r="AA266" s="115"/>
      <x:c r="AB266" s="115"/>
      <x:c r="AC266" s="115"/>
      <x:c r="AD266" s="115"/>
      <x:c r="AE266" s="115"/>
      <x:c r="AF266" s="115"/>
      <x:c r="AG266" s="115"/>
      <x:c r="AH266" s="115"/>
      <x:c r="AI266" s="115"/>
      <x:c r="AJ266" s="115"/>
      <x:c r="AK266" s="115"/>
      <x:c r="AL266" s="115"/>
      <x:c r="AM266" s="115"/>
      <x:c r="AN266" s="115"/>
      <x:c r="AO266" s="115"/>
      <x:c r="AP266" s="115"/>
      <x:c r="AQ266" s="115"/>
      <x:c r="AR266" s="115"/>
      <x:c r="AS266" s="115"/>
      <x:c r="AT266" s="115"/>
      <x:c r="AU266" s="115"/>
      <x:c r="AV266" s="115"/>
      <x:c r="AW266" s="115"/>
      <x:c r="AX266" s="115"/>
      <x:c r="AY266" s="115"/>
      <x:c r="AZ266" s="115"/>
      <x:c r="BA266" s="115"/>
      <x:c r="BB266" s="115"/>
      <x:c r="BC266" s="115"/>
      <x:c r="BD266" s="115"/>
      <x:c r="BE266" s="115"/>
      <x:c r="BF266" s="115"/>
      <x:c r="BG266" s="115"/>
      <x:c r="BH266" s="115"/>
      <x:c r="BI266" s="115"/>
      <x:c r="BJ266" s="115"/>
      <x:c r="BK266" s="115"/>
      <x:c r="BL266" s="115"/>
      <x:c r="BM266" s="115"/>
      <x:c r="BN266" s="115"/>
      <x:c r="BO266" s="115"/>
      <x:c r="BP266" s="115"/>
      <x:c r="BQ266" s="115"/>
      <x:c r="BR266" s="115"/>
      <x:c r="BS266" s="115"/>
      <x:c r="BT266" s="115"/>
      <x:c r="BU266" s="115"/>
      <x:c r="BV266" s="115"/>
      <x:c r="BW266" s="115"/>
      <x:c r="BX266" s="115"/>
      <x:c r="BY266" s="115"/>
      <x:c r="BZ266" s="115"/>
      <x:c r="CA266" s="115"/>
      <x:c r="CB266" s="116"/>
      <x:c r="CC266" s="141" t="str">
        <x:f>IF(COUNT(G266:P266)=0,"",AVERAGE(G266:P266)*4)</x:f>
      </x:c>
      <x:c r="CD266" s="178" t="str">
        <x:f>IF(COUNT(Q266:Z266)=0,"",AVERAGE(Q266:Z266)*4)</x:f>
      </x:c>
      <x:c r="CE266" s="178" t="str">
        <x:f>IF(COUNT(AA266:AJ266)=0,"",AVERAGE(AA266:AJ266)*4)</x:f>
      </x:c>
      <x:c r="CF266" s="178" t="str">
        <x:f>IF(COUNT(AK266:AR266)=0,"",AVERAGE(AK266:AR266)*4)</x:f>
      </x:c>
      <x:c r="CG266" s="178" t="str">
        <x:f>IF(COUNT(AS266:AY266)=0,"",AVERAGE(AS266:AY266)*4)</x:f>
      </x:c>
      <x:c r="CH266" s="178" t="str">
        <x:f>IF(COUNT(AZ266:BG266)=0,"",AVERAGE(AZ266:BG266)*4)</x:f>
      </x:c>
      <x:c r="CI266" s="178" t="str">
        <x:f>IF(COUNT(BH266:BN266)=0,"",AVERAGE(BH266:BN266)*4)</x:f>
      </x:c>
      <x:c r="CJ266" s="178" t="str">
        <x:f>IF(COUNT(BO266:BU266)=0,"",AVERAGE(BO266:BU266)*4)</x:f>
      </x:c>
      <x:c r="CK266" s="178" t="str">
        <x:f>IF(COUNT(BV266:CB266)=0,"",AVERAGE(BV266:CB266)*4)</x:f>
      </x:c>
      <x:c r="CL266" s="178" t="str">
        <x:f>IF(C266="","",IF(COUNT(G266:CB266)&lt;74,"",(CC266*'تنظیمات وزن‌دهی'!$C$5+CD266*'تنظیمات وزن‌دهی'!$C$6+CE266*'تنظیمات وزن‌دهی'!$C$7+CF266*'تنظیمات وزن‌دهی'!$C$8+CG266*'تنظیمات وزن‌دهی'!$C$9+CH266*'تنظیمات وزن‌دهی'!$C$10+CI266*'تنظیمات وزن‌دهی'!$C$11+CJ266*'تنظیمات وزن‌دهی'!$C$12+CK266*'تنظیمات وزن‌دهی'!$C$13)/100))</x:f>
      </x:c>
      <x:c r="CM266" s="178" t="str">
        <x:f>IF(C266="","",IF(COUNT(G266:CB266)=0,"",IF(COUNT(G266:CB266)&lt;74,"موقت - اطلاعات ناقص",IF(CL266&gt;=17,"عالی",IF(CL266&gt;=14,"خوب",IF(CL266&gt;=10,"متوسط","ضعیف"))))))</x:f>
      </x:c>
      <x:c r="CN266" s="178" t="n">
        <x:v>10</x:v>
      </x:c>
      <x:c r="CO266" s="142" t="n">
        <x:f>IF(C266="","",COUNT(G266:CB266)/74)</x:f>
        <x:v>0</x:v>
      </x:c>
      <x:c r="CP266" s="245"/>
    </x:row>
    <x:row r="267">
      <x:c r="A267" s="165" t="n">
        <x:v>263</x:v>
      </x:c>
      <x:c r="B267" s="233" t="str">
        <x:v>اردیبهشت</x:v>
      </x:c>
      <x:c r="C267" s="233" t="n">
        <x:f>IF('دانش‌آموزان'!E26="","",'دانش‌آموزان'!B26)</x:f>
        <x:v>22</x:v>
      </x:c>
      <x:c r="D267" s="233" t="str">
        <x:f>IF('دانش‌آموزان'!C26="","",'دانش‌آموزان'!C26)</x:f>
        <x:v>4000000225</x:v>
      </x:c>
      <x:c r="E267" s="233" t="str">
        <x:f>IF('دانش‌آموزان'!E26="","",'دانش‌آموزان'!E26&amp;" "&amp;'دانش‌آموزان'!F26)</x:f>
        <x:v>فاطمه اکبری</x:v>
      </x:c>
      <x:c r="F267" s="166" t="str">
        <x:f>IF('دانش‌آموزان'!I26="","",'دانش‌آموزان'!I26)</x:f>
        <x:v>sample-7-a</x:v>
      </x:c>
      <x:c r="G267" s="114"/>
      <x:c r="H267" s="115"/>
      <x:c r="I267" s="115"/>
      <x:c r="J267" s="115"/>
      <x:c r="K267" s="115"/>
      <x:c r="L267" s="115"/>
      <x:c r="M267" s="115"/>
      <x:c r="N267" s="115"/>
      <x:c r="O267" s="115"/>
      <x:c r="P267" s="115"/>
      <x:c r="Q267" s="115"/>
      <x:c r="R267" s="115"/>
      <x:c r="S267" s="115"/>
      <x:c r="T267" s="115"/>
      <x:c r="U267" s="115"/>
      <x:c r="V267" s="115"/>
      <x:c r="W267" s="115"/>
      <x:c r="X267" s="115"/>
      <x:c r="Y267" s="115"/>
      <x:c r="Z267" s="115"/>
      <x:c r="AA267" s="115"/>
      <x:c r="AB267" s="115"/>
      <x:c r="AC267" s="115"/>
      <x:c r="AD267" s="115"/>
      <x:c r="AE267" s="115"/>
      <x:c r="AF267" s="115"/>
      <x:c r="AG267" s="115"/>
      <x:c r="AH267" s="115"/>
      <x:c r="AI267" s="115"/>
      <x:c r="AJ267" s="115"/>
      <x:c r="AK267" s="115"/>
      <x:c r="AL267" s="115"/>
      <x:c r="AM267" s="115"/>
      <x:c r="AN267" s="115"/>
      <x:c r="AO267" s="115"/>
      <x:c r="AP267" s="115"/>
      <x:c r="AQ267" s="115"/>
      <x:c r="AR267" s="115"/>
      <x:c r="AS267" s="115"/>
      <x:c r="AT267" s="115"/>
      <x:c r="AU267" s="115"/>
      <x:c r="AV267" s="115"/>
      <x:c r="AW267" s="115"/>
      <x:c r="AX267" s="115"/>
      <x:c r="AY267" s="115"/>
      <x:c r="AZ267" s="115"/>
      <x:c r="BA267" s="115"/>
      <x:c r="BB267" s="115"/>
      <x:c r="BC267" s="115"/>
      <x:c r="BD267" s="115"/>
      <x:c r="BE267" s="115"/>
      <x:c r="BF267" s="115"/>
      <x:c r="BG267" s="115"/>
      <x:c r="BH267" s="115"/>
      <x:c r="BI267" s="115"/>
      <x:c r="BJ267" s="115"/>
      <x:c r="BK267" s="115"/>
      <x:c r="BL267" s="115"/>
      <x:c r="BM267" s="115"/>
      <x:c r="BN267" s="115"/>
      <x:c r="BO267" s="115"/>
      <x:c r="BP267" s="115"/>
      <x:c r="BQ267" s="115"/>
      <x:c r="BR267" s="115"/>
      <x:c r="BS267" s="115"/>
      <x:c r="BT267" s="115"/>
      <x:c r="BU267" s="115"/>
      <x:c r="BV267" s="115"/>
      <x:c r="BW267" s="115"/>
      <x:c r="BX267" s="115"/>
      <x:c r="BY267" s="115"/>
      <x:c r="BZ267" s="115"/>
      <x:c r="CA267" s="115"/>
      <x:c r="CB267" s="116"/>
      <x:c r="CC267" s="141" t="str">
        <x:f>IF(COUNT(G267:P267)=0,"",AVERAGE(G267:P267)*4)</x:f>
      </x:c>
      <x:c r="CD267" s="178" t="str">
        <x:f>IF(COUNT(Q267:Z267)=0,"",AVERAGE(Q267:Z267)*4)</x:f>
      </x:c>
      <x:c r="CE267" s="178" t="str">
        <x:f>IF(COUNT(AA267:AJ267)=0,"",AVERAGE(AA267:AJ267)*4)</x:f>
      </x:c>
      <x:c r="CF267" s="178" t="str">
        <x:f>IF(COUNT(AK267:AR267)=0,"",AVERAGE(AK267:AR267)*4)</x:f>
      </x:c>
      <x:c r="CG267" s="178" t="str">
        <x:f>IF(COUNT(AS267:AY267)=0,"",AVERAGE(AS267:AY267)*4)</x:f>
      </x:c>
      <x:c r="CH267" s="178" t="str">
        <x:f>IF(COUNT(AZ267:BG267)=0,"",AVERAGE(AZ267:BG267)*4)</x:f>
      </x:c>
      <x:c r="CI267" s="178" t="str">
        <x:f>IF(COUNT(BH267:BN267)=0,"",AVERAGE(BH267:BN267)*4)</x:f>
      </x:c>
      <x:c r="CJ267" s="178" t="str">
        <x:f>IF(COUNT(BO267:BU267)=0,"",AVERAGE(BO267:BU267)*4)</x:f>
      </x:c>
      <x:c r="CK267" s="178" t="str">
        <x:f>IF(COUNT(BV267:CB267)=0,"",AVERAGE(BV267:CB267)*4)</x:f>
      </x:c>
      <x:c r="CL267" s="178" t="str">
        <x:f>IF(C267="","",IF(COUNT(G267:CB267)&lt;74,"",(CC267*'تنظیمات وزن‌دهی'!$C$5+CD267*'تنظیمات وزن‌دهی'!$C$6+CE267*'تنظیمات وزن‌دهی'!$C$7+CF267*'تنظیمات وزن‌دهی'!$C$8+CG267*'تنظیمات وزن‌دهی'!$C$9+CH267*'تنظیمات وزن‌دهی'!$C$10+CI267*'تنظیمات وزن‌دهی'!$C$11+CJ267*'تنظیمات وزن‌دهی'!$C$12+CK267*'تنظیمات وزن‌دهی'!$C$13)/100))</x:f>
      </x:c>
      <x:c r="CM267" s="178" t="str">
        <x:f>IF(C267="","",IF(COUNT(G267:CB267)=0,"",IF(COUNT(G267:CB267)&lt;74,"موقت - اطلاعات ناقص",IF(CL267&gt;=17,"عالی",IF(CL267&gt;=14,"خوب",IF(CL267&gt;=10,"متوسط","ضعیف"))))))</x:f>
      </x:c>
      <x:c r="CN267" s="178" t="n">
        <x:v>11</x:v>
      </x:c>
      <x:c r="CO267" s="142" t="n">
        <x:f>IF(C267="","",COUNT(G267:CB267)/74)</x:f>
        <x:v>0</x:v>
      </x:c>
      <x:c r="CP267" s="245"/>
    </x:row>
    <x:row r="268">
      <x:c r="A268" s="165" t="n">
        <x:v>264</x:v>
      </x:c>
      <x:c r="B268" s="233" t="str">
        <x:v>خرداد</x:v>
      </x:c>
      <x:c r="C268" s="233" t="n">
        <x:f>IF('دانش‌آموزان'!E26="","",'دانش‌آموزان'!B26)</x:f>
        <x:v>22</x:v>
      </x:c>
      <x:c r="D268" s="233" t="str">
        <x:f>IF('دانش‌آموزان'!C26="","",'دانش‌آموزان'!C26)</x:f>
        <x:v>4000000225</x:v>
      </x:c>
      <x:c r="E268" s="233" t="str">
        <x:f>IF('دانش‌آموزان'!E26="","",'دانش‌آموزان'!E26&amp;" "&amp;'دانش‌آموزان'!F26)</x:f>
        <x:v>فاطمه اکبری</x:v>
      </x:c>
      <x:c r="F268" s="166" t="str">
        <x:f>IF('دانش‌آموزان'!I26="","",'دانش‌آموزان'!I26)</x:f>
        <x:v>sample-7-a</x:v>
      </x:c>
      <x:c r="G268" s="114"/>
      <x:c r="H268" s="115"/>
      <x:c r="I268" s="115"/>
      <x:c r="J268" s="115"/>
      <x:c r="K268" s="115"/>
      <x:c r="L268" s="115"/>
      <x:c r="M268" s="115"/>
      <x:c r="N268" s="115"/>
      <x:c r="O268" s="115"/>
      <x:c r="P268" s="115"/>
      <x:c r="Q268" s="115"/>
      <x:c r="R268" s="115"/>
      <x:c r="S268" s="115"/>
      <x:c r="T268" s="115"/>
      <x:c r="U268" s="115"/>
      <x:c r="V268" s="115"/>
      <x:c r="W268" s="115"/>
      <x:c r="X268" s="115"/>
      <x:c r="Y268" s="115"/>
      <x:c r="Z268" s="115"/>
      <x:c r="AA268" s="115"/>
      <x:c r="AB268" s="115"/>
      <x:c r="AC268" s="115"/>
      <x:c r="AD268" s="115"/>
      <x:c r="AE268" s="115"/>
      <x:c r="AF268" s="115"/>
      <x:c r="AG268" s="115"/>
      <x:c r="AH268" s="115"/>
      <x:c r="AI268" s="115"/>
      <x:c r="AJ268" s="115"/>
      <x:c r="AK268" s="115"/>
      <x:c r="AL268" s="115"/>
      <x:c r="AM268" s="115"/>
      <x:c r="AN268" s="115"/>
      <x:c r="AO268" s="115"/>
      <x:c r="AP268" s="115"/>
      <x:c r="AQ268" s="115"/>
      <x:c r="AR268" s="115"/>
      <x:c r="AS268" s="115"/>
      <x:c r="AT268" s="115"/>
      <x:c r="AU268" s="115"/>
      <x:c r="AV268" s="115"/>
      <x:c r="AW268" s="115"/>
      <x:c r="AX268" s="115"/>
      <x:c r="AY268" s="115"/>
      <x:c r="AZ268" s="115"/>
      <x:c r="BA268" s="115"/>
      <x:c r="BB268" s="115"/>
      <x:c r="BC268" s="115"/>
      <x:c r="BD268" s="115"/>
      <x:c r="BE268" s="115"/>
      <x:c r="BF268" s="115"/>
      <x:c r="BG268" s="115"/>
      <x:c r="BH268" s="115"/>
      <x:c r="BI268" s="115"/>
      <x:c r="BJ268" s="115"/>
      <x:c r="BK268" s="115"/>
      <x:c r="BL268" s="115"/>
      <x:c r="BM268" s="115"/>
      <x:c r="BN268" s="115"/>
      <x:c r="BO268" s="115"/>
      <x:c r="BP268" s="115"/>
      <x:c r="BQ268" s="115"/>
      <x:c r="BR268" s="115"/>
      <x:c r="BS268" s="115"/>
      <x:c r="BT268" s="115"/>
      <x:c r="BU268" s="115"/>
      <x:c r="BV268" s="115"/>
      <x:c r="BW268" s="115"/>
      <x:c r="BX268" s="115"/>
      <x:c r="BY268" s="115"/>
      <x:c r="BZ268" s="115"/>
      <x:c r="CA268" s="115"/>
      <x:c r="CB268" s="116"/>
      <x:c r="CC268" s="141" t="str">
        <x:f>IF(COUNT(G268:P268)=0,"",AVERAGE(G268:P268)*4)</x:f>
      </x:c>
      <x:c r="CD268" s="178" t="str">
        <x:f>IF(COUNT(Q268:Z268)=0,"",AVERAGE(Q268:Z268)*4)</x:f>
      </x:c>
      <x:c r="CE268" s="178" t="str">
        <x:f>IF(COUNT(AA268:AJ268)=0,"",AVERAGE(AA268:AJ268)*4)</x:f>
      </x:c>
      <x:c r="CF268" s="178" t="str">
        <x:f>IF(COUNT(AK268:AR268)=0,"",AVERAGE(AK268:AR268)*4)</x:f>
      </x:c>
      <x:c r="CG268" s="178" t="str">
        <x:f>IF(COUNT(AS268:AY268)=0,"",AVERAGE(AS268:AY268)*4)</x:f>
      </x:c>
      <x:c r="CH268" s="178" t="str">
        <x:f>IF(COUNT(AZ268:BG268)=0,"",AVERAGE(AZ268:BG268)*4)</x:f>
      </x:c>
      <x:c r="CI268" s="178" t="str">
        <x:f>IF(COUNT(BH268:BN268)=0,"",AVERAGE(BH268:BN268)*4)</x:f>
      </x:c>
      <x:c r="CJ268" s="178" t="str">
        <x:f>IF(COUNT(BO268:BU268)=0,"",AVERAGE(BO268:BU268)*4)</x:f>
      </x:c>
      <x:c r="CK268" s="178" t="str">
        <x:f>IF(COUNT(BV268:CB268)=0,"",AVERAGE(BV268:CB268)*4)</x:f>
      </x:c>
      <x:c r="CL268" s="178" t="str">
        <x:f>IF(C268="","",IF(COUNT(G268:CB268)&lt;74,"",(CC268*'تنظیمات وزن‌دهی'!$C$5+CD268*'تنظیمات وزن‌دهی'!$C$6+CE268*'تنظیمات وزن‌دهی'!$C$7+CF268*'تنظیمات وزن‌دهی'!$C$8+CG268*'تنظیمات وزن‌دهی'!$C$9+CH268*'تنظیمات وزن‌دهی'!$C$10+CI268*'تنظیمات وزن‌دهی'!$C$11+CJ268*'تنظیمات وزن‌دهی'!$C$12+CK268*'تنظیمات وزن‌دهی'!$C$13)/100))</x:f>
      </x:c>
      <x:c r="CM268" s="178" t="str">
        <x:f>IF(C268="","",IF(COUNT(G268:CB268)=0,"",IF(COUNT(G268:CB268)&lt;74,"موقت - اطلاعات ناقص",IF(CL268&gt;=17,"عالی",IF(CL268&gt;=14,"خوب",IF(CL268&gt;=10,"متوسط","ضعیف"))))))</x:f>
      </x:c>
      <x:c r="CN268" s="178" t="n">
        <x:v>12</x:v>
      </x:c>
      <x:c r="CO268" s="142" t="n">
        <x:f>IF(C268="","",COUNT(G268:CB268)/74)</x:f>
        <x:v>0</x:v>
      </x:c>
      <x:c r="CP268" s="245"/>
    </x:row>
    <x:row r="269">
      <x:c r="A269" s="165" t="n">
        <x:v>265</x:v>
      </x:c>
      <x:c r="B269" s="233" t="str">
        <x:v>تیر</x:v>
      </x:c>
      <x:c r="C269" s="233" t="n">
        <x:f>IF('دانش‌آموزان'!E27="","",'دانش‌آموزان'!B27)</x:f>
        <x:v>23</x:v>
      </x:c>
      <x:c r="D269" s="233" t="str">
        <x:f>IF('دانش‌آموزان'!C27="","",'دانش‌آموزان'!C27)</x:f>
        <x:v>4000000233</x:v>
      </x:c>
      <x:c r="E269" s="233" t="str">
        <x:f>IF('دانش‌آموزان'!E27="","",'دانش‌آموزان'!E27&amp;" "&amp;'دانش‌آموزان'!F27)</x:f>
        <x:v>امیرحسین طاهری</x:v>
      </x:c>
      <x:c r="F269" s="166" t="str">
        <x:f>IF('دانش‌آموزان'!I27="","",'دانش‌آموزان'!I27)</x:f>
        <x:v>sample-7-a</x:v>
      </x:c>
      <x:c r="G269" s="114" t="n">
        <x:v>2</x:v>
      </x:c>
      <x:c r="H269" s="115" t="n">
        <x:v>4</x:v>
      </x:c>
      <x:c r="I269" s="115" t="n">
        <x:v>5</x:v>
      </x:c>
      <x:c r="J269" s="115" t="n">
        <x:v>4</x:v>
      </x:c>
      <x:c r="K269" s="115" t="n">
        <x:v>5</x:v>
      </x:c>
      <x:c r="L269" s="115" t="n">
        <x:v>3</x:v>
      </x:c>
      <x:c r="M269" s="115" t="n">
        <x:v>5</x:v>
      </x:c>
      <x:c r="N269" s="115" t="n">
        <x:v>3</x:v>
      </x:c>
      <x:c r="O269" s="115" t="n">
        <x:v>4</x:v>
      </x:c>
      <x:c r="P269" s="115" t="n">
        <x:v>3</x:v>
      </x:c>
      <x:c r="Q269" s="115" t="n">
        <x:v>4</x:v>
      </x:c>
      <x:c r="R269" s="115" t="n">
        <x:v>2</x:v>
      </x:c>
      <x:c r="S269" s="115" t="n">
        <x:v>4</x:v>
      </x:c>
      <x:c r="T269" s="115" t="n">
        <x:v>5</x:v>
      </x:c>
      <x:c r="U269" s="115" t="n">
        <x:v>4</x:v>
      </x:c>
      <x:c r="V269" s="115" t="n">
        <x:v>5</x:v>
      </x:c>
      <x:c r="W269" s="115" t="n">
        <x:v>3</x:v>
      </x:c>
      <x:c r="X269" s="115" t="n">
        <x:v>5</x:v>
      </x:c>
      <x:c r="Y269" s="115" t="n">
        <x:v>3</x:v>
      </x:c>
      <x:c r="Z269" s="115" t="n">
        <x:v>4</x:v>
      </x:c>
      <x:c r="AA269" s="115" t="n">
        <x:v>3</x:v>
      </x:c>
      <x:c r="AB269" s="115" t="n">
        <x:v>4</x:v>
      </x:c>
      <x:c r="AC269" s="115" t="n">
        <x:v>2</x:v>
      </x:c>
      <x:c r="AD269" s="115" t="n">
        <x:v>4</x:v>
      </x:c>
      <x:c r="AE269" s="115" t="n">
        <x:v>5</x:v>
      </x:c>
      <x:c r="AF269" s="115" t="n">
        <x:v>4</x:v>
      </x:c>
      <x:c r="AG269" s="115" t="n">
        <x:v>5</x:v>
      </x:c>
      <x:c r="AH269" s="115" t="n">
        <x:v>3</x:v>
      </x:c>
      <x:c r="AI269" s="115" t="n">
        <x:v>5</x:v>
      </x:c>
      <x:c r="AJ269" s="115" t="n">
        <x:v>3</x:v>
      </x:c>
      <x:c r="AK269" s="115" t="n">
        <x:v>4</x:v>
      </x:c>
      <x:c r="AL269" s="115" t="n">
        <x:v>3</x:v>
      </x:c>
      <x:c r="AM269" s="115" t="n">
        <x:v>4</x:v>
      </x:c>
      <x:c r="AN269" s="115" t="n">
        <x:v>2</x:v>
      </x:c>
      <x:c r="AO269" s="115" t="n">
        <x:v>4</x:v>
      </x:c>
      <x:c r="AP269" s="115" t="n">
        <x:v>5</x:v>
      </x:c>
      <x:c r="AQ269" s="115" t="n">
        <x:v>4</x:v>
      </x:c>
      <x:c r="AR269" s="115" t="n">
        <x:v>5</x:v>
      </x:c>
      <x:c r="AS269" s="115" t="n">
        <x:v>3</x:v>
      </x:c>
      <x:c r="AT269" s="115" t="n">
        <x:v>5</x:v>
      </x:c>
      <x:c r="AU269" s="115" t="n">
        <x:v>3</x:v>
      </x:c>
      <x:c r="AV269" s="115" t="n">
        <x:v>4</x:v>
      </x:c>
      <x:c r="AW269" s="115" t="n">
        <x:v>3</x:v>
      </x:c>
      <x:c r="AX269" s="115" t="n">
        <x:v>4</x:v>
      </x:c>
      <x:c r="AY269" s="115" t="n">
        <x:v>2</x:v>
      </x:c>
      <x:c r="AZ269" s="115" t="n">
        <x:v>4</x:v>
      </x:c>
      <x:c r="BA269" s="115" t="n">
        <x:v>5</x:v>
      </x:c>
      <x:c r="BB269" s="115" t="n">
        <x:v>4</x:v>
      </x:c>
      <x:c r="BC269" s="115" t="n">
        <x:v>5</x:v>
      </x:c>
      <x:c r="BD269" s="115" t="n">
        <x:v>3</x:v>
      </x:c>
      <x:c r="BE269" s="115" t="n">
        <x:v>5</x:v>
      </x:c>
      <x:c r="BF269" s="115" t="n">
        <x:v>3</x:v>
      </x:c>
      <x:c r="BG269" s="115" t="n">
        <x:v>4</x:v>
      </x:c>
      <x:c r="BH269" s="115" t="n">
        <x:v>3</x:v>
      </x:c>
      <x:c r="BI269" s="115" t="n">
        <x:v>4</x:v>
      </x:c>
      <x:c r="BJ269" s="115" t="n">
        <x:v>2</x:v>
      </x:c>
      <x:c r="BK269" s="115" t="n">
        <x:v>4</x:v>
      </x:c>
      <x:c r="BL269" s="115" t="n">
        <x:v>5</x:v>
      </x:c>
      <x:c r="BM269" s="115" t="n">
        <x:v>4</x:v>
      </x:c>
      <x:c r="BN269" s="115" t="n">
        <x:v>5</x:v>
      </x:c>
      <x:c r="BO269" s="115" t="n">
        <x:v>3</x:v>
      </x:c>
      <x:c r="BP269" s="115" t="n">
        <x:v>5</x:v>
      </x:c>
      <x:c r="BQ269" s="115" t="n">
        <x:v>3</x:v>
      </x:c>
      <x:c r="BR269" s="115" t="n">
        <x:v>4</x:v>
      </x:c>
      <x:c r="BS269" s="115" t="n">
        <x:v>3</x:v>
      </x:c>
      <x:c r="BT269" s="115" t="n">
        <x:v>4</x:v>
      </x:c>
      <x:c r="BU269" s="115" t="n">
        <x:v>2</x:v>
      </x:c>
      <x:c r="BV269" s="115" t="n">
        <x:v>4</x:v>
      </x:c>
      <x:c r="BW269" s="115" t="n">
        <x:v>5</x:v>
      </x:c>
      <x:c r="BX269" s="115" t="n">
        <x:v>4</x:v>
      </x:c>
      <x:c r="BY269" s="115" t="n">
        <x:v>5</x:v>
      </x:c>
      <x:c r="BZ269" s="115" t="n">
        <x:v>3</x:v>
      </x:c>
      <x:c r="CA269" s="115" t="n">
        <x:v>5</x:v>
      </x:c>
      <x:c r="CB269" s="116" t="n">
        <x:v>3</x:v>
      </x:c>
      <x:c r="CC269" s="141" t="n">
        <x:f>IF(COUNT(G269:P269)=0,"",AVERAGE(G269:P269)*4)</x:f>
        <x:v>15.2</x:v>
      </x:c>
      <x:c r="CD269" s="178" t="n">
        <x:f>IF(COUNT(Q269:Z269)=0,"",AVERAGE(Q269:Z269)*4)</x:f>
        <x:v>15.6</x:v>
      </x:c>
      <x:c r="CE269" s="178" t="n">
        <x:f>IF(COUNT(AA269:AJ269)=0,"",AVERAGE(AA269:AJ269)*4)</x:f>
        <x:v>15.2</x:v>
      </x:c>
      <x:c r="CF269" s="178" t="n">
        <x:f>IF(COUNT(AK269:AR269)=0,"",AVERAGE(AK269:AR269)*4)</x:f>
        <x:v>15.5</x:v>
      </x:c>
      <x:c r="CG269" s="178" t="n">
        <x:f>IF(COUNT(AS269:AY269)=0,"",AVERAGE(AS269:AY269)*4)</x:f>
        <x:v>13.714285714285714</x:v>
      </x:c>
      <x:c r="CH269" s="178" t="n">
        <x:f>IF(COUNT(AZ269:BG269)=0,"",AVERAGE(AZ269:BG269)*4)</x:f>
        <x:v>16.5</x:v>
      </x:c>
      <x:c r="CI269" s="178" t="n">
        <x:f>IF(COUNT(BH269:BN269)=0,"",AVERAGE(BH269:BN269)*4)</x:f>
        <x:v>15.428571428571429</x:v>
      </x:c>
      <x:c r="CJ269" s="178" t="n">
        <x:f>IF(COUNT(BO269:BU269)=0,"",AVERAGE(BO269:BU269)*4)</x:f>
        <x:v>13.714285714285714</x:v>
      </x:c>
      <x:c r="CK269" s="178" t="n">
        <x:f>IF(COUNT(BV269:CB269)=0,"",AVERAGE(BV269:CB269)*4)</x:f>
        <x:v>16.571428571428573</x:v>
      </x:c>
      <x:c r="CL269" s="178" t="n">
        <x:f>IF(C269="","",IF(COUNT(G269:CB269)&lt;74,"",(CC269*'تنظیمات وزن‌دهی'!$C$5+CD269*'تنظیمات وزن‌دهی'!$C$6+CE269*'تنظیمات وزن‌دهی'!$C$7+CF269*'تنظیمات وزن‌دهی'!$C$8+CG269*'تنظیمات وزن‌دهی'!$C$9+CH269*'تنظیمات وزن‌دهی'!$C$10+CI269*'تنظیمات وزن‌دهی'!$C$11+CJ269*'تنظیمات وزن‌دهی'!$C$12+CK269*'تنظیمات وزن‌دهی'!$C$13)/100))</x:f>
        <x:v>15.327857142857143</x:v>
      </x:c>
      <x:c r="CM269" s="178" t="str">
        <x:f>IF(C269="","",IF(COUNT(G269:CB269)=0,"",IF(COUNT(G269:CB269)&lt;74,"موقت - اطلاعات ناقص",IF(CL269&gt;=17,"عالی",IF(CL269&gt;=14,"خوب",IF(CL269&gt;=10,"متوسط","ضعیف"))))))</x:f>
        <x:v>خوب</x:v>
      </x:c>
      <x:c r="CN269" s="178" t="n">
        <x:v>1</x:v>
      </x:c>
      <x:c r="CO269" s="142" t="n">
        <x:f>IF(C269="","",COUNT(G269:CB269)/74)</x:f>
        <x:v>1</x:v>
      </x:c>
      <x:c r="CP269" s="245" t="str">
        <x:v>داده نمونه کامل برای ماه تیر - دانش‌آموز شماره 23</x:v>
      </x:c>
    </x:row>
    <x:row r="270">
      <x:c r="A270" s="165" t="n">
        <x:v>266</x:v>
      </x:c>
      <x:c r="B270" s="233" t="str">
        <x:v>مرداد</x:v>
      </x:c>
      <x:c r="C270" s="233" t="n">
        <x:f>IF('دانش‌آموزان'!E27="","",'دانش‌آموزان'!B27)</x:f>
        <x:v>23</x:v>
      </x:c>
      <x:c r="D270" s="233" t="str">
        <x:f>IF('دانش‌آموزان'!C27="","",'دانش‌آموزان'!C27)</x:f>
        <x:v>4000000233</x:v>
      </x:c>
      <x:c r="E270" s="233" t="str">
        <x:f>IF('دانش‌آموزان'!E27="","",'دانش‌آموزان'!E27&amp;" "&amp;'دانش‌آموزان'!F27)</x:f>
        <x:v>امیرحسین طاهری</x:v>
      </x:c>
      <x:c r="F270" s="166" t="str">
        <x:f>IF('دانش‌آموزان'!I27="","",'دانش‌آموزان'!I27)</x:f>
        <x:v>sample-7-a</x:v>
      </x:c>
      <x:c r="G270" s="114"/>
      <x:c r="H270" s="115"/>
      <x:c r="I270" s="115"/>
      <x:c r="J270" s="115"/>
      <x:c r="K270" s="115"/>
      <x:c r="L270" s="115"/>
      <x:c r="M270" s="115"/>
      <x:c r="N270" s="115"/>
      <x:c r="O270" s="115"/>
      <x:c r="P270" s="115"/>
      <x:c r="Q270" s="115"/>
      <x:c r="R270" s="115"/>
      <x:c r="S270" s="115"/>
      <x:c r="T270" s="115"/>
      <x:c r="U270" s="115"/>
      <x:c r="V270" s="115"/>
      <x:c r="W270" s="115"/>
      <x:c r="X270" s="115"/>
      <x:c r="Y270" s="115"/>
      <x:c r="Z270" s="115"/>
      <x:c r="AA270" s="115"/>
      <x:c r="AB270" s="115"/>
      <x:c r="AC270" s="115"/>
      <x:c r="AD270" s="115"/>
      <x:c r="AE270" s="115"/>
      <x:c r="AF270" s="115"/>
      <x:c r="AG270" s="115"/>
      <x:c r="AH270" s="115"/>
      <x:c r="AI270" s="115"/>
      <x:c r="AJ270" s="115"/>
      <x:c r="AK270" s="115"/>
      <x:c r="AL270" s="115"/>
      <x:c r="AM270" s="115"/>
      <x:c r="AN270" s="115"/>
      <x:c r="AO270" s="115"/>
      <x:c r="AP270" s="115"/>
      <x:c r="AQ270" s="115"/>
      <x:c r="AR270" s="115"/>
      <x:c r="AS270" s="115"/>
      <x:c r="AT270" s="115"/>
      <x:c r="AU270" s="115"/>
      <x:c r="AV270" s="115"/>
      <x:c r="AW270" s="115"/>
      <x:c r="AX270" s="115"/>
      <x:c r="AY270" s="115"/>
      <x:c r="AZ270" s="115"/>
      <x:c r="BA270" s="115"/>
      <x:c r="BB270" s="115"/>
      <x:c r="BC270" s="115"/>
      <x:c r="BD270" s="115"/>
      <x:c r="BE270" s="115"/>
      <x:c r="BF270" s="115"/>
      <x:c r="BG270" s="115"/>
      <x:c r="BH270" s="115"/>
      <x:c r="BI270" s="115"/>
      <x:c r="BJ270" s="115"/>
      <x:c r="BK270" s="115"/>
      <x:c r="BL270" s="115"/>
      <x:c r="BM270" s="115"/>
      <x:c r="BN270" s="115"/>
      <x:c r="BO270" s="115"/>
      <x:c r="BP270" s="115"/>
      <x:c r="BQ270" s="115"/>
      <x:c r="BR270" s="115"/>
      <x:c r="BS270" s="115"/>
      <x:c r="BT270" s="115"/>
      <x:c r="BU270" s="115"/>
      <x:c r="BV270" s="115"/>
      <x:c r="BW270" s="115"/>
      <x:c r="BX270" s="115"/>
      <x:c r="BY270" s="115"/>
      <x:c r="BZ270" s="115"/>
      <x:c r="CA270" s="115"/>
      <x:c r="CB270" s="116"/>
      <x:c r="CC270" s="141" t="str">
        <x:f>IF(COUNT(G270:P270)=0,"",AVERAGE(G270:P270)*4)</x:f>
      </x:c>
      <x:c r="CD270" s="178" t="str">
        <x:f>IF(COUNT(Q270:Z270)=0,"",AVERAGE(Q270:Z270)*4)</x:f>
      </x:c>
      <x:c r="CE270" s="178" t="str">
        <x:f>IF(COUNT(AA270:AJ270)=0,"",AVERAGE(AA270:AJ270)*4)</x:f>
      </x:c>
      <x:c r="CF270" s="178" t="str">
        <x:f>IF(COUNT(AK270:AR270)=0,"",AVERAGE(AK270:AR270)*4)</x:f>
      </x:c>
      <x:c r="CG270" s="178" t="str">
        <x:f>IF(COUNT(AS270:AY270)=0,"",AVERAGE(AS270:AY270)*4)</x:f>
      </x:c>
      <x:c r="CH270" s="178" t="str">
        <x:f>IF(COUNT(AZ270:BG270)=0,"",AVERAGE(AZ270:BG270)*4)</x:f>
      </x:c>
      <x:c r="CI270" s="178" t="str">
        <x:f>IF(COUNT(BH270:BN270)=0,"",AVERAGE(BH270:BN270)*4)</x:f>
      </x:c>
      <x:c r="CJ270" s="178" t="str">
        <x:f>IF(COUNT(BO270:BU270)=0,"",AVERAGE(BO270:BU270)*4)</x:f>
      </x:c>
      <x:c r="CK270" s="178" t="str">
        <x:f>IF(COUNT(BV270:CB270)=0,"",AVERAGE(BV270:CB270)*4)</x:f>
      </x:c>
      <x:c r="CL270" s="178" t="str">
        <x:f>IF(C270="","",IF(COUNT(G270:CB270)&lt;74,"",(CC270*'تنظیمات وزن‌دهی'!$C$5+CD270*'تنظیمات وزن‌دهی'!$C$6+CE270*'تنظیمات وزن‌دهی'!$C$7+CF270*'تنظیمات وزن‌دهی'!$C$8+CG270*'تنظیمات وزن‌دهی'!$C$9+CH270*'تنظیمات وزن‌دهی'!$C$10+CI270*'تنظیمات وزن‌دهی'!$C$11+CJ270*'تنظیمات وزن‌دهی'!$C$12+CK270*'تنظیمات وزن‌دهی'!$C$13)/100))</x:f>
      </x:c>
      <x:c r="CM270" s="178" t="str">
        <x:f>IF(C270="","",IF(COUNT(G270:CB270)=0,"",IF(COUNT(G270:CB270)&lt;74,"موقت - اطلاعات ناقص",IF(CL270&gt;=17,"عالی",IF(CL270&gt;=14,"خوب",IF(CL270&gt;=10,"متوسط","ضعیف"))))))</x:f>
      </x:c>
      <x:c r="CN270" s="178" t="n">
        <x:v>2</x:v>
      </x:c>
      <x:c r="CO270" s="142" t="n">
        <x:f>IF(C270="","",COUNT(G270:CB270)/74)</x:f>
        <x:v>0</x:v>
      </x:c>
      <x:c r="CP270" s="245"/>
    </x:row>
    <x:row r="271">
      <x:c r="A271" s="165" t="n">
        <x:v>267</x:v>
      </x:c>
      <x:c r="B271" s="233" t="str">
        <x:v>شهریور</x:v>
      </x:c>
      <x:c r="C271" s="233" t="n">
        <x:f>IF('دانش‌آموزان'!E27="","",'دانش‌آموزان'!B27)</x:f>
        <x:v>23</x:v>
      </x:c>
      <x:c r="D271" s="233" t="str">
        <x:f>IF('دانش‌آموزان'!C27="","",'دانش‌آموزان'!C27)</x:f>
        <x:v>4000000233</x:v>
      </x:c>
      <x:c r="E271" s="233" t="str">
        <x:f>IF('دانش‌آموزان'!E27="","",'دانش‌آموزان'!E27&amp;" "&amp;'دانش‌آموزان'!F27)</x:f>
        <x:v>امیرحسین طاهری</x:v>
      </x:c>
      <x:c r="F271" s="166" t="str">
        <x:f>IF('دانش‌آموزان'!I27="","",'دانش‌آموزان'!I27)</x:f>
        <x:v>sample-7-a</x:v>
      </x:c>
      <x:c r="G271" s="114"/>
      <x:c r="H271" s="115"/>
      <x:c r="I271" s="115"/>
      <x:c r="J271" s="115"/>
      <x:c r="K271" s="115"/>
      <x:c r="L271" s="115"/>
      <x:c r="M271" s="115"/>
      <x:c r="N271" s="115"/>
      <x:c r="O271" s="115"/>
      <x:c r="P271" s="115"/>
      <x:c r="Q271" s="115"/>
      <x:c r="R271" s="115"/>
      <x:c r="S271" s="115"/>
      <x:c r="T271" s="115"/>
      <x:c r="U271" s="115"/>
      <x:c r="V271" s="115"/>
      <x:c r="W271" s="115"/>
      <x:c r="X271" s="115"/>
      <x:c r="Y271" s="115"/>
      <x:c r="Z271" s="115"/>
      <x:c r="AA271" s="115"/>
      <x:c r="AB271" s="115"/>
      <x:c r="AC271" s="115"/>
      <x:c r="AD271" s="115"/>
      <x:c r="AE271" s="115"/>
      <x:c r="AF271" s="115"/>
      <x:c r="AG271" s="115"/>
      <x:c r="AH271" s="115"/>
      <x:c r="AI271" s="115"/>
      <x:c r="AJ271" s="115"/>
      <x:c r="AK271" s="115"/>
      <x:c r="AL271" s="115"/>
      <x:c r="AM271" s="115"/>
      <x:c r="AN271" s="115"/>
      <x:c r="AO271" s="115"/>
      <x:c r="AP271" s="115"/>
      <x:c r="AQ271" s="115"/>
      <x:c r="AR271" s="115"/>
      <x:c r="AS271" s="115"/>
      <x:c r="AT271" s="115"/>
      <x:c r="AU271" s="115"/>
      <x:c r="AV271" s="115"/>
      <x:c r="AW271" s="115"/>
      <x:c r="AX271" s="115"/>
      <x:c r="AY271" s="115"/>
      <x:c r="AZ271" s="115"/>
      <x:c r="BA271" s="115"/>
      <x:c r="BB271" s="115"/>
      <x:c r="BC271" s="115"/>
      <x:c r="BD271" s="115"/>
      <x:c r="BE271" s="115"/>
      <x:c r="BF271" s="115"/>
      <x:c r="BG271" s="115"/>
      <x:c r="BH271" s="115"/>
      <x:c r="BI271" s="115"/>
      <x:c r="BJ271" s="115"/>
      <x:c r="BK271" s="115"/>
      <x:c r="BL271" s="115"/>
      <x:c r="BM271" s="115"/>
      <x:c r="BN271" s="115"/>
      <x:c r="BO271" s="115"/>
      <x:c r="BP271" s="115"/>
      <x:c r="BQ271" s="115"/>
      <x:c r="BR271" s="115"/>
      <x:c r="BS271" s="115"/>
      <x:c r="BT271" s="115"/>
      <x:c r="BU271" s="115"/>
      <x:c r="BV271" s="115"/>
      <x:c r="BW271" s="115"/>
      <x:c r="BX271" s="115"/>
      <x:c r="BY271" s="115"/>
      <x:c r="BZ271" s="115"/>
      <x:c r="CA271" s="115"/>
      <x:c r="CB271" s="116"/>
      <x:c r="CC271" s="141" t="str">
        <x:f>IF(COUNT(G271:P271)=0,"",AVERAGE(G271:P271)*4)</x:f>
      </x:c>
      <x:c r="CD271" s="178" t="str">
        <x:f>IF(COUNT(Q271:Z271)=0,"",AVERAGE(Q271:Z271)*4)</x:f>
      </x:c>
      <x:c r="CE271" s="178" t="str">
        <x:f>IF(COUNT(AA271:AJ271)=0,"",AVERAGE(AA271:AJ271)*4)</x:f>
      </x:c>
      <x:c r="CF271" s="178" t="str">
        <x:f>IF(COUNT(AK271:AR271)=0,"",AVERAGE(AK271:AR271)*4)</x:f>
      </x:c>
      <x:c r="CG271" s="178" t="str">
        <x:f>IF(COUNT(AS271:AY271)=0,"",AVERAGE(AS271:AY271)*4)</x:f>
      </x:c>
      <x:c r="CH271" s="178" t="str">
        <x:f>IF(COUNT(AZ271:BG271)=0,"",AVERAGE(AZ271:BG271)*4)</x:f>
      </x:c>
      <x:c r="CI271" s="178" t="str">
        <x:f>IF(COUNT(BH271:BN271)=0,"",AVERAGE(BH271:BN271)*4)</x:f>
      </x:c>
      <x:c r="CJ271" s="178" t="str">
        <x:f>IF(COUNT(BO271:BU271)=0,"",AVERAGE(BO271:BU271)*4)</x:f>
      </x:c>
      <x:c r="CK271" s="178" t="str">
        <x:f>IF(COUNT(BV271:CB271)=0,"",AVERAGE(BV271:CB271)*4)</x:f>
      </x:c>
      <x:c r="CL271" s="178" t="str">
        <x:f>IF(C271="","",IF(COUNT(G271:CB271)&lt;74,"",(CC271*'تنظیمات وزن‌دهی'!$C$5+CD271*'تنظیمات وزن‌دهی'!$C$6+CE271*'تنظیمات وزن‌دهی'!$C$7+CF271*'تنظیمات وزن‌دهی'!$C$8+CG271*'تنظیمات وزن‌دهی'!$C$9+CH271*'تنظیمات وزن‌دهی'!$C$10+CI271*'تنظیمات وزن‌دهی'!$C$11+CJ271*'تنظیمات وزن‌دهی'!$C$12+CK271*'تنظیمات وزن‌دهی'!$C$13)/100))</x:f>
      </x:c>
      <x:c r="CM271" s="178" t="str">
        <x:f>IF(C271="","",IF(COUNT(G271:CB271)=0,"",IF(COUNT(G271:CB271)&lt;74,"موقت - اطلاعات ناقص",IF(CL271&gt;=17,"عالی",IF(CL271&gt;=14,"خوب",IF(CL271&gt;=10,"متوسط","ضعیف"))))))</x:f>
      </x:c>
      <x:c r="CN271" s="178" t="n">
        <x:v>3</x:v>
      </x:c>
      <x:c r="CO271" s="142" t="n">
        <x:f>IF(C271="","",COUNT(G271:CB271)/74)</x:f>
        <x:v>0</x:v>
      </x:c>
      <x:c r="CP271" s="245"/>
    </x:row>
    <x:row r="272">
      <x:c r="A272" s="165" t="n">
        <x:v>268</x:v>
      </x:c>
      <x:c r="B272" s="233" t="str">
        <x:v>مهر</x:v>
      </x:c>
      <x:c r="C272" s="233" t="n">
        <x:f>IF('دانش‌آموزان'!E27="","",'دانش‌آموزان'!B27)</x:f>
        <x:v>23</x:v>
      </x:c>
      <x:c r="D272" s="233" t="str">
        <x:f>IF('دانش‌آموزان'!C27="","",'دانش‌آموزان'!C27)</x:f>
        <x:v>4000000233</x:v>
      </x:c>
      <x:c r="E272" s="233" t="str">
        <x:f>IF('دانش‌آموزان'!E27="","",'دانش‌آموزان'!E27&amp;" "&amp;'دانش‌آموزان'!F27)</x:f>
        <x:v>امیرحسین طاهری</x:v>
      </x:c>
      <x:c r="F272" s="166" t="str">
        <x:f>IF('دانش‌آموزان'!I27="","",'دانش‌آموزان'!I27)</x:f>
        <x:v>sample-7-a</x:v>
      </x:c>
      <x:c r="G272" s="114"/>
      <x:c r="H272" s="115"/>
      <x:c r="I272" s="115"/>
      <x:c r="J272" s="115"/>
      <x:c r="K272" s="115"/>
      <x:c r="L272" s="115"/>
      <x:c r="M272" s="115"/>
      <x:c r="N272" s="115"/>
      <x:c r="O272" s="115"/>
      <x:c r="P272" s="115"/>
      <x:c r="Q272" s="115"/>
      <x:c r="R272" s="115"/>
      <x:c r="S272" s="115"/>
      <x:c r="T272" s="115"/>
      <x:c r="U272" s="115"/>
      <x:c r="V272" s="115"/>
      <x:c r="W272" s="115"/>
      <x:c r="X272" s="115"/>
      <x:c r="Y272" s="115"/>
      <x:c r="Z272" s="115"/>
      <x:c r="AA272" s="115"/>
      <x:c r="AB272" s="115"/>
      <x:c r="AC272" s="115"/>
      <x:c r="AD272" s="115"/>
      <x:c r="AE272" s="115"/>
      <x:c r="AF272" s="115"/>
      <x:c r="AG272" s="115"/>
      <x:c r="AH272" s="115"/>
      <x:c r="AI272" s="115"/>
      <x:c r="AJ272" s="115"/>
      <x:c r="AK272" s="115"/>
      <x:c r="AL272" s="115"/>
      <x:c r="AM272" s="115"/>
      <x:c r="AN272" s="115"/>
      <x:c r="AO272" s="115"/>
      <x:c r="AP272" s="115"/>
      <x:c r="AQ272" s="115"/>
      <x:c r="AR272" s="115"/>
      <x:c r="AS272" s="115"/>
      <x:c r="AT272" s="115"/>
      <x:c r="AU272" s="115"/>
      <x:c r="AV272" s="115"/>
      <x:c r="AW272" s="115"/>
      <x:c r="AX272" s="115"/>
      <x:c r="AY272" s="115"/>
      <x:c r="AZ272" s="115"/>
      <x:c r="BA272" s="115"/>
      <x:c r="BB272" s="115"/>
      <x:c r="BC272" s="115"/>
      <x:c r="BD272" s="115"/>
      <x:c r="BE272" s="115"/>
      <x:c r="BF272" s="115"/>
      <x:c r="BG272" s="115"/>
      <x:c r="BH272" s="115"/>
      <x:c r="BI272" s="115"/>
      <x:c r="BJ272" s="115"/>
      <x:c r="BK272" s="115"/>
      <x:c r="BL272" s="115"/>
      <x:c r="BM272" s="115"/>
      <x:c r="BN272" s="115"/>
      <x:c r="BO272" s="115"/>
      <x:c r="BP272" s="115"/>
      <x:c r="BQ272" s="115"/>
      <x:c r="BR272" s="115"/>
      <x:c r="BS272" s="115"/>
      <x:c r="BT272" s="115"/>
      <x:c r="BU272" s="115"/>
      <x:c r="BV272" s="115"/>
      <x:c r="BW272" s="115"/>
      <x:c r="BX272" s="115"/>
      <x:c r="BY272" s="115"/>
      <x:c r="BZ272" s="115"/>
      <x:c r="CA272" s="115"/>
      <x:c r="CB272" s="116"/>
      <x:c r="CC272" s="141" t="str">
        <x:f>IF(COUNT(G272:P272)=0,"",AVERAGE(G272:P272)*4)</x:f>
      </x:c>
      <x:c r="CD272" s="178" t="str">
        <x:f>IF(COUNT(Q272:Z272)=0,"",AVERAGE(Q272:Z272)*4)</x:f>
      </x:c>
      <x:c r="CE272" s="178" t="str">
        <x:f>IF(COUNT(AA272:AJ272)=0,"",AVERAGE(AA272:AJ272)*4)</x:f>
      </x:c>
      <x:c r="CF272" s="178" t="str">
        <x:f>IF(COUNT(AK272:AR272)=0,"",AVERAGE(AK272:AR272)*4)</x:f>
      </x:c>
      <x:c r="CG272" s="178" t="str">
        <x:f>IF(COUNT(AS272:AY272)=0,"",AVERAGE(AS272:AY272)*4)</x:f>
      </x:c>
      <x:c r="CH272" s="178" t="str">
        <x:f>IF(COUNT(AZ272:BG272)=0,"",AVERAGE(AZ272:BG272)*4)</x:f>
      </x:c>
      <x:c r="CI272" s="178" t="str">
        <x:f>IF(COUNT(BH272:BN272)=0,"",AVERAGE(BH272:BN272)*4)</x:f>
      </x:c>
      <x:c r="CJ272" s="178" t="str">
        <x:f>IF(COUNT(BO272:BU272)=0,"",AVERAGE(BO272:BU272)*4)</x:f>
      </x:c>
      <x:c r="CK272" s="178" t="str">
        <x:f>IF(COUNT(BV272:CB272)=0,"",AVERAGE(BV272:CB272)*4)</x:f>
      </x:c>
      <x:c r="CL272" s="178" t="str">
        <x:f>IF(C272="","",IF(COUNT(G272:CB272)&lt;74,"",(CC272*'تنظیمات وزن‌دهی'!$C$5+CD272*'تنظیمات وزن‌دهی'!$C$6+CE272*'تنظیمات وزن‌دهی'!$C$7+CF272*'تنظیمات وزن‌دهی'!$C$8+CG272*'تنظیمات وزن‌دهی'!$C$9+CH272*'تنظیمات وزن‌دهی'!$C$10+CI272*'تنظیمات وزن‌دهی'!$C$11+CJ272*'تنظیمات وزن‌دهی'!$C$12+CK272*'تنظیمات وزن‌دهی'!$C$13)/100))</x:f>
      </x:c>
      <x:c r="CM272" s="178" t="str">
        <x:f>IF(C272="","",IF(COUNT(G272:CB272)=0,"",IF(COUNT(G272:CB272)&lt;74,"موقت - اطلاعات ناقص",IF(CL272&gt;=17,"عالی",IF(CL272&gt;=14,"خوب",IF(CL272&gt;=10,"متوسط","ضعیف"))))))</x:f>
      </x:c>
      <x:c r="CN272" s="178" t="n">
        <x:v>4</x:v>
      </x:c>
      <x:c r="CO272" s="142" t="n">
        <x:f>IF(C272="","",COUNT(G272:CB272)/74)</x:f>
        <x:v>0</x:v>
      </x:c>
      <x:c r="CP272" s="245"/>
    </x:row>
    <x:row r="273">
      <x:c r="A273" s="165" t="n">
        <x:v>269</x:v>
      </x:c>
      <x:c r="B273" s="233" t="str">
        <x:v>آبان</x:v>
      </x:c>
      <x:c r="C273" s="233" t="n">
        <x:f>IF('دانش‌آموزان'!E27="","",'دانش‌آموزان'!B27)</x:f>
        <x:v>23</x:v>
      </x:c>
      <x:c r="D273" s="233" t="str">
        <x:f>IF('دانش‌آموزان'!C27="","",'دانش‌آموزان'!C27)</x:f>
        <x:v>4000000233</x:v>
      </x:c>
      <x:c r="E273" s="233" t="str">
        <x:f>IF('دانش‌آموزان'!E27="","",'دانش‌آموزان'!E27&amp;" "&amp;'دانش‌آموزان'!F27)</x:f>
        <x:v>امیرحسین طاهری</x:v>
      </x:c>
      <x:c r="F273" s="166" t="str">
        <x:f>IF('دانش‌آموزان'!I27="","",'دانش‌آموزان'!I27)</x:f>
        <x:v>sample-7-a</x:v>
      </x:c>
      <x:c r="G273" s="114"/>
      <x:c r="H273" s="115"/>
      <x:c r="I273" s="115"/>
      <x:c r="J273" s="115"/>
      <x:c r="K273" s="115"/>
      <x:c r="L273" s="115"/>
      <x:c r="M273" s="115"/>
      <x:c r="N273" s="115"/>
      <x:c r="O273" s="115"/>
      <x:c r="P273" s="115"/>
      <x:c r="Q273" s="115"/>
      <x:c r="R273" s="115"/>
      <x:c r="S273" s="115"/>
      <x:c r="T273" s="115"/>
      <x:c r="U273" s="115"/>
      <x:c r="V273" s="115"/>
      <x:c r="W273" s="115"/>
      <x:c r="X273" s="115"/>
      <x:c r="Y273" s="115"/>
      <x:c r="Z273" s="115"/>
      <x:c r="AA273" s="115"/>
      <x:c r="AB273" s="115"/>
      <x:c r="AC273" s="115"/>
      <x:c r="AD273" s="115"/>
      <x:c r="AE273" s="115"/>
      <x:c r="AF273" s="115"/>
      <x:c r="AG273" s="115"/>
      <x:c r="AH273" s="115"/>
      <x:c r="AI273" s="115"/>
      <x:c r="AJ273" s="115"/>
      <x:c r="AK273" s="115"/>
      <x:c r="AL273" s="115"/>
      <x:c r="AM273" s="115"/>
      <x:c r="AN273" s="115"/>
      <x:c r="AO273" s="115"/>
      <x:c r="AP273" s="115"/>
      <x:c r="AQ273" s="115"/>
      <x:c r="AR273" s="115"/>
      <x:c r="AS273" s="115"/>
      <x:c r="AT273" s="115"/>
      <x:c r="AU273" s="115"/>
      <x:c r="AV273" s="115"/>
      <x:c r="AW273" s="115"/>
      <x:c r="AX273" s="115"/>
      <x:c r="AY273" s="115"/>
      <x:c r="AZ273" s="115"/>
      <x:c r="BA273" s="115"/>
      <x:c r="BB273" s="115"/>
      <x:c r="BC273" s="115"/>
      <x:c r="BD273" s="115"/>
      <x:c r="BE273" s="115"/>
      <x:c r="BF273" s="115"/>
      <x:c r="BG273" s="115"/>
      <x:c r="BH273" s="115"/>
      <x:c r="BI273" s="115"/>
      <x:c r="BJ273" s="115"/>
      <x:c r="BK273" s="115"/>
      <x:c r="BL273" s="115"/>
      <x:c r="BM273" s="115"/>
      <x:c r="BN273" s="115"/>
      <x:c r="BO273" s="115"/>
      <x:c r="BP273" s="115"/>
      <x:c r="BQ273" s="115"/>
      <x:c r="BR273" s="115"/>
      <x:c r="BS273" s="115"/>
      <x:c r="BT273" s="115"/>
      <x:c r="BU273" s="115"/>
      <x:c r="BV273" s="115"/>
      <x:c r="BW273" s="115"/>
      <x:c r="BX273" s="115"/>
      <x:c r="BY273" s="115"/>
      <x:c r="BZ273" s="115"/>
      <x:c r="CA273" s="115"/>
      <x:c r="CB273" s="116"/>
      <x:c r="CC273" s="141" t="str">
        <x:f>IF(COUNT(G273:P273)=0,"",AVERAGE(G273:P273)*4)</x:f>
      </x:c>
      <x:c r="CD273" s="178" t="str">
        <x:f>IF(COUNT(Q273:Z273)=0,"",AVERAGE(Q273:Z273)*4)</x:f>
      </x:c>
      <x:c r="CE273" s="178" t="str">
        <x:f>IF(COUNT(AA273:AJ273)=0,"",AVERAGE(AA273:AJ273)*4)</x:f>
      </x:c>
      <x:c r="CF273" s="178" t="str">
        <x:f>IF(COUNT(AK273:AR273)=0,"",AVERAGE(AK273:AR273)*4)</x:f>
      </x:c>
      <x:c r="CG273" s="178" t="str">
        <x:f>IF(COUNT(AS273:AY273)=0,"",AVERAGE(AS273:AY273)*4)</x:f>
      </x:c>
      <x:c r="CH273" s="178" t="str">
        <x:f>IF(COUNT(AZ273:BG273)=0,"",AVERAGE(AZ273:BG273)*4)</x:f>
      </x:c>
      <x:c r="CI273" s="178" t="str">
        <x:f>IF(COUNT(BH273:BN273)=0,"",AVERAGE(BH273:BN273)*4)</x:f>
      </x:c>
      <x:c r="CJ273" s="178" t="str">
        <x:f>IF(COUNT(BO273:BU273)=0,"",AVERAGE(BO273:BU273)*4)</x:f>
      </x:c>
      <x:c r="CK273" s="178" t="str">
        <x:f>IF(COUNT(BV273:CB273)=0,"",AVERAGE(BV273:CB273)*4)</x:f>
      </x:c>
      <x:c r="CL273" s="178" t="str">
        <x:f>IF(C273="","",IF(COUNT(G273:CB273)&lt;74,"",(CC273*'تنظیمات وزن‌دهی'!$C$5+CD273*'تنظیمات وزن‌دهی'!$C$6+CE273*'تنظیمات وزن‌دهی'!$C$7+CF273*'تنظیمات وزن‌دهی'!$C$8+CG273*'تنظیمات وزن‌دهی'!$C$9+CH273*'تنظیمات وزن‌دهی'!$C$10+CI273*'تنظیمات وزن‌دهی'!$C$11+CJ273*'تنظیمات وزن‌دهی'!$C$12+CK273*'تنظیمات وزن‌دهی'!$C$13)/100))</x:f>
      </x:c>
      <x:c r="CM273" s="178" t="str">
        <x:f>IF(C273="","",IF(COUNT(G273:CB273)=0,"",IF(COUNT(G273:CB273)&lt;74,"موقت - اطلاعات ناقص",IF(CL273&gt;=17,"عالی",IF(CL273&gt;=14,"خوب",IF(CL273&gt;=10,"متوسط","ضعیف"))))))</x:f>
      </x:c>
      <x:c r="CN273" s="178" t="n">
        <x:v>5</x:v>
      </x:c>
      <x:c r="CO273" s="142" t="n">
        <x:f>IF(C273="","",COUNT(G273:CB273)/74)</x:f>
        <x:v>0</x:v>
      </x:c>
      <x:c r="CP273" s="245"/>
    </x:row>
    <x:row r="274">
      <x:c r="A274" s="165" t="n">
        <x:v>270</x:v>
      </x:c>
      <x:c r="B274" s="233" t="str">
        <x:v>آذر</x:v>
      </x:c>
      <x:c r="C274" s="233" t="n">
        <x:f>IF('دانش‌آموزان'!E27="","",'دانش‌آموزان'!B27)</x:f>
        <x:v>23</x:v>
      </x:c>
      <x:c r="D274" s="233" t="str">
        <x:f>IF('دانش‌آموزان'!C27="","",'دانش‌آموزان'!C27)</x:f>
        <x:v>4000000233</x:v>
      </x:c>
      <x:c r="E274" s="233" t="str">
        <x:f>IF('دانش‌آموزان'!E27="","",'دانش‌آموزان'!E27&amp;" "&amp;'دانش‌آموزان'!F27)</x:f>
        <x:v>امیرحسین طاهری</x:v>
      </x:c>
      <x:c r="F274" s="166" t="str">
        <x:f>IF('دانش‌آموزان'!I27="","",'دانش‌آموزان'!I27)</x:f>
        <x:v>sample-7-a</x:v>
      </x:c>
      <x:c r="G274" s="114"/>
      <x:c r="H274" s="115"/>
      <x:c r="I274" s="115"/>
      <x:c r="J274" s="115"/>
      <x:c r="K274" s="115"/>
      <x:c r="L274" s="115"/>
      <x:c r="M274" s="115"/>
      <x:c r="N274" s="115"/>
      <x:c r="O274" s="115"/>
      <x:c r="P274" s="115"/>
      <x:c r="Q274" s="115"/>
      <x:c r="R274" s="115"/>
      <x:c r="S274" s="115"/>
      <x:c r="T274" s="115"/>
      <x:c r="U274" s="115"/>
      <x:c r="V274" s="115"/>
      <x:c r="W274" s="115"/>
      <x:c r="X274" s="115"/>
      <x:c r="Y274" s="115"/>
      <x:c r="Z274" s="115"/>
      <x:c r="AA274" s="115"/>
      <x:c r="AB274" s="115"/>
      <x:c r="AC274" s="115"/>
      <x:c r="AD274" s="115"/>
      <x:c r="AE274" s="115"/>
      <x:c r="AF274" s="115"/>
      <x:c r="AG274" s="115"/>
      <x:c r="AH274" s="115"/>
      <x:c r="AI274" s="115"/>
      <x:c r="AJ274" s="115"/>
      <x:c r="AK274" s="115"/>
      <x:c r="AL274" s="115"/>
      <x:c r="AM274" s="115"/>
      <x:c r="AN274" s="115"/>
      <x:c r="AO274" s="115"/>
      <x:c r="AP274" s="115"/>
      <x:c r="AQ274" s="115"/>
      <x:c r="AR274" s="115"/>
      <x:c r="AS274" s="115"/>
      <x:c r="AT274" s="115"/>
      <x:c r="AU274" s="115"/>
      <x:c r="AV274" s="115"/>
      <x:c r="AW274" s="115"/>
      <x:c r="AX274" s="115"/>
      <x:c r="AY274" s="115"/>
      <x:c r="AZ274" s="115"/>
      <x:c r="BA274" s="115"/>
      <x:c r="BB274" s="115"/>
      <x:c r="BC274" s="115"/>
      <x:c r="BD274" s="115"/>
      <x:c r="BE274" s="115"/>
      <x:c r="BF274" s="115"/>
      <x:c r="BG274" s="115"/>
      <x:c r="BH274" s="115"/>
      <x:c r="BI274" s="115"/>
      <x:c r="BJ274" s="115"/>
      <x:c r="BK274" s="115"/>
      <x:c r="BL274" s="115"/>
      <x:c r="BM274" s="115"/>
      <x:c r="BN274" s="115"/>
      <x:c r="BO274" s="115"/>
      <x:c r="BP274" s="115"/>
      <x:c r="BQ274" s="115"/>
      <x:c r="BR274" s="115"/>
      <x:c r="BS274" s="115"/>
      <x:c r="BT274" s="115"/>
      <x:c r="BU274" s="115"/>
      <x:c r="BV274" s="115"/>
      <x:c r="BW274" s="115"/>
      <x:c r="BX274" s="115"/>
      <x:c r="BY274" s="115"/>
      <x:c r="BZ274" s="115"/>
      <x:c r="CA274" s="115"/>
      <x:c r="CB274" s="116"/>
      <x:c r="CC274" s="141" t="str">
        <x:f>IF(COUNT(G274:P274)=0,"",AVERAGE(G274:P274)*4)</x:f>
      </x:c>
      <x:c r="CD274" s="178" t="str">
        <x:f>IF(COUNT(Q274:Z274)=0,"",AVERAGE(Q274:Z274)*4)</x:f>
      </x:c>
      <x:c r="CE274" s="178" t="str">
        <x:f>IF(COUNT(AA274:AJ274)=0,"",AVERAGE(AA274:AJ274)*4)</x:f>
      </x:c>
      <x:c r="CF274" s="178" t="str">
        <x:f>IF(COUNT(AK274:AR274)=0,"",AVERAGE(AK274:AR274)*4)</x:f>
      </x:c>
      <x:c r="CG274" s="178" t="str">
        <x:f>IF(COUNT(AS274:AY274)=0,"",AVERAGE(AS274:AY274)*4)</x:f>
      </x:c>
      <x:c r="CH274" s="178" t="str">
        <x:f>IF(COUNT(AZ274:BG274)=0,"",AVERAGE(AZ274:BG274)*4)</x:f>
      </x:c>
      <x:c r="CI274" s="178" t="str">
        <x:f>IF(COUNT(BH274:BN274)=0,"",AVERAGE(BH274:BN274)*4)</x:f>
      </x:c>
      <x:c r="CJ274" s="178" t="str">
        <x:f>IF(COUNT(BO274:BU274)=0,"",AVERAGE(BO274:BU274)*4)</x:f>
      </x:c>
      <x:c r="CK274" s="178" t="str">
        <x:f>IF(COUNT(BV274:CB274)=0,"",AVERAGE(BV274:CB274)*4)</x:f>
      </x:c>
      <x:c r="CL274" s="178" t="str">
        <x:f>IF(C274="","",IF(COUNT(G274:CB274)&lt;74,"",(CC274*'تنظیمات وزن‌دهی'!$C$5+CD274*'تنظیمات وزن‌دهی'!$C$6+CE274*'تنظیمات وزن‌دهی'!$C$7+CF274*'تنظیمات وزن‌دهی'!$C$8+CG274*'تنظیمات وزن‌دهی'!$C$9+CH274*'تنظیمات وزن‌دهی'!$C$10+CI274*'تنظیمات وزن‌دهی'!$C$11+CJ274*'تنظیمات وزن‌دهی'!$C$12+CK274*'تنظیمات وزن‌دهی'!$C$13)/100))</x:f>
      </x:c>
      <x:c r="CM274" s="178" t="str">
        <x:f>IF(C274="","",IF(COUNT(G274:CB274)=0,"",IF(COUNT(G274:CB274)&lt;74,"موقت - اطلاعات ناقص",IF(CL274&gt;=17,"عالی",IF(CL274&gt;=14,"خوب",IF(CL274&gt;=10,"متوسط","ضعیف"))))))</x:f>
      </x:c>
      <x:c r="CN274" s="178" t="n">
        <x:v>6</x:v>
      </x:c>
      <x:c r="CO274" s="142" t="n">
        <x:f>IF(C274="","",COUNT(G274:CB274)/74)</x:f>
        <x:v>0</x:v>
      </x:c>
      <x:c r="CP274" s="245"/>
    </x:row>
    <x:row r="275">
      <x:c r="A275" s="165" t="n">
        <x:v>271</x:v>
      </x:c>
      <x:c r="B275" s="233" t="str">
        <x:v>دی</x:v>
      </x:c>
      <x:c r="C275" s="233" t="n">
        <x:f>IF('دانش‌آموزان'!E27="","",'دانش‌آموزان'!B27)</x:f>
        <x:v>23</x:v>
      </x:c>
      <x:c r="D275" s="233" t="str">
        <x:f>IF('دانش‌آموزان'!C27="","",'دانش‌آموزان'!C27)</x:f>
        <x:v>4000000233</x:v>
      </x:c>
      <x:c r="E275" s="233" t="str">
        <x:f>IF('دانش‌آموزان'!E27="","",'دانش‌آموزان'!E27&amp;" "&amp;'دانش‌آموزان'!F27)</x:f>
        <x:v>امیرحسین طاهری</x:v>
      </x:c>
      <x:c r="F275" s="166" t="str">
        <x:f>IF('دانش‌آموزان'!I27="","",'دانش‌آموزان'!I27)</x:f>
        <x:v>sample-7-a</x:v>
      </x:c>
      <x:c r="G275" s="114"/>
      <x:c r="H275" s="115"/>
      <x:c r="I275" s="115"/>
      <x:c r="J275" s="115"/>
      <x:c r="K275" s="115"/>
      <x:c r="L275" s="115"/>
      <x:c r="M275" s="115"/>
      <x:c r="N275" s="115"/>
      <x:c r="O275" s="115"/>
      <x:c r="P275" s="115"/>
      <x:c r="Q275" s="115"/>
      <x:c r="R275" s="115"/>
      <x:c r="S275" s="115"/>
      <x:c r="T275" s="115"/>
      <x:c r="U275" s="115"/>
      <x:c r="V275" s="115"/>
      <x:c r="W275" s="115"/>
      <x:c r="X275" s="115"/>
      <x:c r="Y275" s="115"/>
      <x:c r="Z275" s="115"/>
      <x:c r="AA275" s="115"/>
      <x:c r="AB275" s="115"/>
      <x:c r="AC275" s="115"/>
      <x:c r="AD275" s="115"/>
      <x:c r="AE275" s="115"/>
      <x:c r="AF275" s="115"/>
      <x:c r="AG275" s="115"/>
      <x:c r="AH275" s="115"/>
      <x:c r="AI275" s="115"/>
      <x:c r="AJ275" s="115"/>
      <x:c r="AK275" s="115"/>
      <x:c r="AL275" s="115"/>
      <x:c r="AM275" s="115"/>
      <x:c r="AN275" s="115"/>
      <x:c r="AO275" s="115"/>
      <x:c r="AP275" s="115"/>
      <x:c r="AQ275" s="115"/>
      <x:c r="AR275" s="115"/>
      <x:c r="AS275" s="115"/>
      <x:c r="AT275" s="115"/>
      <x:c r="AU275" s="115"/>
      <x:c r="AV275" s="115"/>
      <x:c r="AW275" s="115"/>
      <x:c r="AX275" s="115"/>
      <x:c r="AY275" s="115"/>
      <x:c r="AZ275" s="115"/>
      <x:c r="BA275" s="115"/>
      <x:c r="BB275" s="115"/>
      <x:c r="BC275" s="115"/>
      <x:c r="BD275" s="115"/>
      <x:c r="BE275" s="115"/>
      <x:c r="BF275" s="115"/>
      <x:c r="BG275" s="115"/>
      <x:c r="BH275" s="115"/>
      <x:c r="BI275" s="115"/>
      <x:c r="BJ275" s="115"/>
      <x:c r="BK275" s="115"/>
      <x:c r="BL275" s="115"/>
      <x:c r="BM275" s="115"/>
      <x:c r="BN275" s="115"/>
      <x:c r="BO275" s="115"/>
      <x:c r="BP275" s="115"/>
      <x:c r="BQ275" s="115"/>
      <x:c r="BR275" s="115"/>
      <x:c r="BS275" s="115"/>
      <x:c r="BT275" s="115"/>
      <x:c r="BU275" s="115"/>
      <x:c r="BV275" s="115"/>
      <x:c r="BW275" s="115"/>
      <x:c r="BX275" s="115"/>
      <x:c r="BY275" s="115"/>
      <x:c r="BZ275" s="115"/>
      <x:c r="CA275" s="115"/>
      <x:c r="CB275" s="116"/>
      <x:c r="CC275" s="141" t="str">
        <x:f>IF(COUNT(G275:P275)=0,"",AVERAGE(G275:P275)*4)</x:f>
      </x:c>
      <x:c r="CD275" s="178" t="str">
        <x:f>IF(COUNT(Q275:Z275)=0,"",AVERAGE(Q275:Z275)*4)</x:f>
      </x:c>
      <x:c r="CE275" s="178" t="str">
        <x:f>IF(COUNT(AA275:AJ275)=0,"",AVERAGE(AA275:AJ275)*4)</x:f>
      </x:c>
      <x:c r="CF275" s="178" t="str">
        <x:f>IF(COUNT(AK275:AR275)=0,"",AVERAGE(AK275:AR275)*4)</x:f>
      </x:c>
      <x:c r="CG275" s="178" t="str">
        <x:f>IF(COUNT(AS275:AY275)=0,"",AVERAGE(AS275:AY275)*4)</x:f>
      </x:c>
      <x:c r="CH275" s="178" t="str">
        <x:f>IF(COUNT(AZ275:BG275)=0,"",AVERAGE(AZ275:BG275)*4)</x:f>
      </x:c>
      <x:c r="CI275" s="178" t="str">
        <x:f>IF(COUNT(BH275:BN275)=0,"",AVERAGE(BH275:BN275)*4)</x:f>
      </x:c>
      <x:c r="CJ275" s="178" t="str">
        <x:f>IF(COUNT(BO275:BU275)=0,"",AVERAGE(BO275:BU275)*4)</x:f>
      </x:c>
      <x:c r="CK275" s="178" t="str">
        <x:f>IF(COUNT(BV275:CB275)=0,"",AVERAGE(BV275:CB275)*4)</x:f>
      </x:c>
      <x:c r="CL275" s="178" t="str">
        <x:f>IF(C275="","",IF(COUNT(G275:CB275)&lt;74,"",(CC275*'تنظیمات وزن‌دهی'!$C$5+CD275*'تنظیمات وزن‌دهی'!$C$6+CE275*'تنظیمات وزن‌دهی'!$C$7+CF275*'تنظیمات وزن‌دهی'!$C$8+CG275*'تنظیمات وزن‌دهی'!$C$9+CH275*'تنظیمات وزن‌دهی'!$C$10+CI275*'تنظیمات وزن‌دهی'!$C$11+CJ275*'تنظیمات وزن‌دهی'!$C$12+CK275*'تنظیمات وزن‌دهی'!$C$13)/100))</x:f>
      </x:c>
      <x:c r="CM275" s="178" t="str">
        <x:f>IF(C275="","",IF(COUNT(G275:CB275)=0,"",IF(COUNT(G275:CB275)&lt;74,"موقت - اطلاعات ناقص",IF(CL275&gt;=17,"عالی",IF(CL275&gt;=14,"خوب",IF(CL275&gt;=10,"متوسط","ضعیف"))))))</x:f>
      </x:c>
      <x:c r="CN275" s="178" t="n">
        <x:v>7</x:v>
      </x:c>
      <x:c r="CO275" s="142" t="n">
        <x:f>IF(C275="","",COUNT(G275:CB275)/74)</x:f>
        <x:v>0</x:v>
      </x:c>
      <x:c r="CP275" s="245"/>
    </x:row>
    <x:row r="276">
      <x:c r="A276" s="165" t="n">
        <x:v>272</x:v>
      </x:c>
      <x:c r="B276" s="233" t="str">
        <x:v>بهمن</x:v>
      </x:c>
      <x:c r="C276" s="233" t="n">
        <x:f>IF('دانش‌آموزان'!E27="","",'دانش‌آموزان'!B27)</x:f>
        <x:v>23</x:v>
      </x:c>
      <x:c r="D276" s="233" t="str">
        <x:f>IF('دانش‌آموزان'!C27="","",'دانش‌آموزان'!C27)</x:f>
        <x:v>4000000233</x:v>
      </x:c>
      <x:c r="E276" s="233" t="str">
        <x:f>IF('دانش‌آموزان'!E27="","",'دانش‌آموزان'!E27&amp;" "&amp;'دانش‌آموزان'!F27)</x:f>
        <x:v>امیرحسین طاهری</x:v>
      </x:c>
      <x:c r="F276" s="166" t="str">
        <x:f>IF('دانش‌آموزان'!I27="","",'دانش‌آموزان'!I27)</x:f>
        <x:v>sample-7-a</x:v>
      </x:c>
      <x:c r="G276" s="114"/>
      <x:c r="H276" s="115"/>
      <x:c r="I276" s="115"/>
      <x:c r="J276" s="115"/>
      <x:c r="K276" s="115"/>
      <x:c r="L276" s="115"/>
      <x:c r="M276" s="115"/>
      <x:c r="N276" s="115"/>
      <x:c r="O276" s="115"/>
      <x:c r="P276" s="115"/>
      <x:c r="Q276" s="115"/>
      <x:c r="R276" s="115"/>
      <x:c r="S276" s="115"/>
      <x:c r="T276" s="115"/>
      <x:c r="U276" s="115"/>
      <x:c r="V276" s="115"/>
      <x:c r="W276" s="115"/>
      <x:c r="X276" s="115"/>
      <x:c r="Y276" s="115"/>
      <x:c r="Z276" s="115"/>
      <x:c r="AA276" s="115"/>
      <x:c r="AB276" s="115"/>
      <x:c r="AC276" s="115"/>
      <x:c r="AD276" s="115"/>
      <x:c r="AE276" s="115"/>
      <x:c r="AF276" s="115"/>
      <x:c r="AG276" s="115"/>
      <x:c r="AH276" s="115"/>
      <x:c r="AI276" s="115"/>
      <x:c r="AJ276" s="115"/>
      <x:c r="AK276" s="115"/>
      <x:c r="AL276" s="115"/>
      <x:c r="AM276" s="115"/>
      <x:c r="AN276" s="115"/>
      <x:c r="AO276" s="115"/>
      <x:c r="AP276" s="115"/>
      <x:c r="AQ276" s="115"/>
      <x:c r="AR276" s="115"/>
      <x:c r="AS276" s="115"/>
      <x:c r="AT276" s="115"/>
      <x:c r="AU276" s="115"/>
      <x:c r="AV276" s="115"/>
      <x:c r="AW276" s="115"/>
      <x:c r="AX276" s="115"/>
      <x:c r="AY276" s="115"/>
      <x:c r="AZ276" s="115"/>
      <x:c r="BA276" s="115"/>
      <x:c r="BB276" s="115"/>
      <x:c r="BC276" s="115"/>
      <x:c r="BD276" s="115"/>
      <x:c r="BE276" s="115"/>
      <x:c r="BF276" s="115"/>
      <x:c r="BG276" s="115"/>
      <x:c r="BH276" s="115"/>
      <x:c r="BI276" s="115"/>
      <x:c r="BJ276" s="115"/>
      <x:c r="BK276" s="115"/>
      <x:c r="BL276" s="115"/>
      <x:c r="BM276" s="115"/>
      <x:c r="BN276" s="115"/>
      <x:c r="BO276" s="115"/>
      <x:c r="BP276" s="115"/>
      <x:c r="BQ276" s="115"/>
      <x:c r="BR276" s="115"/>
      <x:c r="BS276" s="115"/>
      <x:c r="BT276" s="115"/>
      <x:c r="BU276" s="115"/>
      <x:c r="BV276" s="115"/>
      <x:c r="BW276" s="115"/>
      <x:c r="BX276" s="115"/>
      <x:c r="BY276" s="115"/>
      <x:c r="BZ276" s="115"/>
      <x:c r="CA276" s="115"/>
      <x:c r="CB276" s="116"/>
      <x:c r="CC276" s="141" t="str">
        <x:f>IF(COUNT(G276:P276)=0,"",AVERAGE(G276:P276)*4)</x:f>
      </x:c>
      <x:c r="CD276" s="178" t="str">
        <x:f>IF(COUNT(Q276:Z276)=0,"",AVERAGE(Q276:Z276)*4)</x:f>
      </x:c>
      <x:c r="CE276" s="178" t="str">
        <x:f>IF(COUNT(AA276:AJ276)=0,"",AVERAGE(AA276:AJ276)*4)</x:f>
      </x:c>
      <x:c r="CF276" s="178" t="str">
        <x:f>IF(COUNT(AK276:AR276)=0,"",AVERAGE(AK276:AR276)*4)</x:f>
      </x:c>
      <x:c r="CG276" s="178" t="str">
        <x:f>IF(COUNT(AS276:AY276)=0,"",AVERAGE(AS276:AY276)*4)</x:f>
      </x:c>
      <x:c r="CH276" s="178" t="str">
        <x:f>IF(COUNT(AZ276:BG276)=0,"",AVERAGE(AZ276:BG276)*4)</x:f>
      </x:c>
      <x:c r="CI276" s="178" t="str">
        <x:f>IF(COUNT(BH276:BN276)=0,"",AVERAGE(BH276:BN276)*4)</x:f>
      </x:c>
      <x:c r="CJ276" s="178" t="str">
        <x:f>IF(COUNT(BO276:BU276)=0,"",AVERAGE(BO276:BU276)*4)</x:f>
      </x:c>
      <x:c r="CK276" s="178" t="str">
        <x:f>IF(COUNT(BV276:CB276)=0,"",AVERAGE(BV276:CB276)*4)</x:f>
      </x:c>
      <x:c r="CL276" s="178" t="str">
        <x:f>IF(C276="","",IF(COUNT(G276:CB276)&lt;74,"",(CC276*'تنظیمات وزن‌دهی'!$C$5+CD276*'تنظیمات وزن‌دهی'!$C$6+CE276*'تنظیمات وزن‌دهی'!$C$7+CF276*'تنظیمات وزن‌دهی'!$C$8+CG276*'تنظیمات وزن‌دهی'!$C$9+CH276*'تنظیمات وزن‌دهی'!$C$10+CI276*'تنظیمات وزن‌دهی'!$C$11+CJ276*'تنظیمات وزن‌دهی'!$C$12+CK276*'تنظیمات وزن‌دهی'!$C$13)/100))</x:f>
      </x:c>
      <x:c r="CM276" s="178" t="str">
        <x:f>IF(C276="","",IF(COUNT(G276:CB276)=0,"",IF(COUNT(G276:CB276)&lt;74,"موقت - اطلاعات ناقص",IF(CL276&gt;=17,"عالی",IF(CL276&gt;=14,"خوب",IF(CL276&gt;=10,"متوسط","ضعیف"))))))</x:f>
      </x:c>
      <x:c r="CN276" s="178" t="n">
        <x:v>8</x:v>
      </x:c>
      <x:c r="CO276" s="142" t="n">
        <x:f>IF(C276="","",COUNT(G276:CB276)/74)</x:f>
        <x:v>0</x:v>
      </x:c>
      <x:c r="CP276" s="245"/>
    </x:row>
    <x:row r="277">
      <x:c r="A277" s="165" t="n">
        <x:v>273</x:v>
      </x:c>
      <x:c r="B277" s="233" t="str">
        <x:v>اسفند</x:v>
      </x:c>
      <x:c r="C277" s="233" t="n">
        <x:f>IF('دانش‌آموزان'!E27="","",'دانش‌آموزان'!B27)</x:f>
        <x:v>23</x:v>
      </x:c>
      <x:c r="D277" s="233" t="str">
        <x:f>IF('دانش‌آموزان'!C27="","",'دانش‌آموزان'!C27)</x:f>
        <x:v>4000000233</x:v>
      </x:c>
      <x:c r="E277" s="233" t="str">
        <x:f>IF('دانش‌آموزان'!E27="","",'دانش‌آموزان'!E27&amp;" "&amp;'دانش‌آموزان'!F27)</x:f>
        <x:v>امیرحسین طاهری</x:v>
      </x:c>
      <x:c r="F277" s="166" t="str">
        <x:f>IF('دانش‌آموزان'!I27="","",'دانش‌آموزان'!I27)</x:f>
        <x:v>sample-7-a</x:v>
      </x:c>
      <x:c r="G277" s="114"/>
      <x:c r="H277" s="115"/>
      <x:c r="I277" s="115"/>
      <x:c r="J277" s="115"/>
      <x:c r="K277" s="115"/>
      <x:c r="L277" s="115"/>
      <x:c r="M277" s="115"/>
      <x:c r="N277" s="115"/>
      <x:c r="O277" s="115"/>
      <x:c r="P277" s="115"/>
      <x:c r="Q277" s="115"/>
      <x:c r="R277" s="115"/>
      <x:c r="S277" s="115"/>
      <x:c r="T277" s="115"/>
      <x:c r="U277" s="115"/>
      <x:c r="V277" s="115"/>
      <x:c r="W277" s="115"/>
      <x:c r="X277" s="115"/>
      <x:c r="Y277" s="115"/>
      <x:c r="Z277" s="115"/>
      <x:c r="AA277" s="115"/>
      <x:c r="AB277" s="115"/>
      <x:c r="AC277" s="115"/>
      <x:c r="AD277" s="115"/>
      <x:c r="AE277" s="115"/>
      <x:c r="AF277" s="115"/>
      <x:c r="AG277" s="115"/>
      <x:c r="AH277" s="115"/>
      <x:c r="AI277" s="115"/>
      <x:c r="AJ277" s="115"/>
      <x:c r="AK277" s="115"/>
      <x:c r="AL277" s="115"/>
      <x:c r="AM277" s="115"/>
      <x:c r="AN277" s="115"/>
      <x:c r="AO277" s="115"/>
      <x:c r="AP277" s="115"/>
      <x:c r="AQ277" s="115"/>
      <x:c r="AR277" s="115"/>
      <x:c r="AS277" s="115"/>
      <x:c r="AT277" s="115"/>
      <x:c r="AU277" s="115"/>
      <x:c r="AV277" s="115"/>
      <x:c r="AW277" s="115"/>
      <x:c r="AX277" s="115"/>
      <x:c r="AY277" s="115"/>
      <x:c r="AZ277" s="115"/>
      <x:c r="BA277" s="115"/>
      <x:c r="BB277" s="115"/>
      <x:c r="BC277" s="115"/>
      <x:c r="BD277" s="115"/>
      <x:c r="BE277" s="115"/>
      <x:c r="BF277" s="115"/>
      <x:c r="BG277" s="115"/>
      <x:c r="BH277" s="115"/>
      <x:c r="BI277" s="115"/>
      <x:c r="BJ277" s="115"/>
      <x:c r="BK277" s="115"/>
      <x:c r="BL277" s="115"/>
      <x:c r="BM277" s="115"/>
      <x:c r="BN277" s="115"/>
      <x:c r="BO277" s="115"/>
      <x:c r="BP277" s="115"/>
      <x:c r="BQ277" s="115"/>
      <x:c r="BR277" s="115"/>
      <x:c r="BS277" s="115"/>
      <x:c r="BT277" s="115"/>
      <x:c r="BU277" s="115"/>
      <x:c r="BV277" s="115"/>
      <x:c r="BW277" s="115"/>
      <x:c r="BX277" s="115"/>
      <x:c r="BY277" s="115"/>
      <x:c r="BZ277" s="115"/>
      <x:c r="CA277" s="115"/>
      <x:c r="CB277" s="116"/>
      <x:c r="CC277" s="141" t="str">
        <x:f>IF(COUNT(G277:P277)=0,"",AVERAGE(G277:P277)*4)</x:f>
      </x:c>
      <x:c r="CD277" s="178" t="str">
        <x:f>IF(COUNT(Q277:Z277)=0,"",AVERAGE(Q277:Z277)*4)</x:f>
      </x:c>
      <x:c r="CE277" s="178" t="str">
        <x:f>IF(COUNT(AA277:AJ277)=0,"",AVERAGE(AA277:AJ277)*4)</x:f>
      </x:c>
      <x:c r="CF277" s="178" t="str">
        <x:f>IF(COUNT(AK277:AR277)=0,"",AVERAGE(AK277:AR277)*4)</x:f>
      </x:c>
      <x:c r="CG277" s="178" t="str">
        <x:f>IF(COUNT(AS277:AY277)=0,"",AVERAGE(AS277:AY277)*4)</x:f>
      </x:c>
      <x:c r="CH277" s="178" t="str">
        <x:f>IF(COUNT(AZ277:BG277)=0,"",AVERAGE(AZ277:BG277)*4)</x:f>
      </x:c>
      <x:c r="CI277" s="178" t="str">
        <x:f>IF(COUNT(BH277:BN277)=0,"",AVERAGE(BH277:BN277)*4)</x:f>
      </x:c>
      <x:c r="CJ277" s="178" t="str">
        <x:f>IF(COUNT(BO277:BU277)=0,"",AVERAGE(BO277:BU277)*4)</x:f>
      </x:c>
      <x:c r="CK277" s="178" t="str">
        <x:f>IF(COUNT(BV277:CB277)=0,"",AVERAGE(BV277:CB277)*4)</x:f>
      </x:c>
      <x:c r="CL277" s="178" t="str">
        <x:f>IF(C277="","",IF(COUNT(G277:CB277)&lt;74,"",(CC277*'تنظیمات وزن‌دهی'!$C$5+CD277*'تنظیمات وزن‌دهی'!$C$6+CE277*'تنظیمات وزن‌دهی'!$C$7+CF277*'تنظیمات وزن‌دهی'!$C$8+CG277*'تنظیمات وزن‌دهی'!$C$9+CH277*'تنظیمات وزن‌دهی'!$C$10+CI277*'تنظیمات وزن‌دهی'!$C$11+CJ277*'تنظیمات وزن‌دهی'!$C$12+CK277*'تنظیمات وزن‌دهی'!$C$13)/100))</x:f>
      </x:c>
      <x:c r="CM277" s="178" t="str">
        <x:f>IF(C277="","",IF(COUNT(G277:CB277)=0,"",IF(COUNT(G277:CB277)&lt;74,"موقت - اطلاعات ناقص",IF(CL277&gt;=17,"عالی",IF(CL277&gt;=14,"خوب",IF(CL277&gt;=10,"متوسط","ضعیف"))))))</x:f>
      </x:c>
      <x:c r="CN277" s="178" t="n">
        <x:v>9</x:v>
      </x:c>
      <x:c r="CO277" s="142" t="n">
        <x:f>IF(C277="","",COUNT(G277:CB277)/74)</x:f>
        <x:v>0</x:v>
      </x:c>
      <x:c r="CP277" s="245"/>
    </x:row>
    <x:row r="278">
      <x:c r="A278" s="165" t="n">
        <x:v>274</x:v>
      </x:c>
      <x:c r="B278" s="233" t="str">
        <x:v>فروردین</x:v>
      </x:c>
      <x:c r="C278" s="233" t="n">
        <x:f>IF('دانش‌آموزان'!E27="","",'دانش‌آموزان'!B27)</x:f>
        <x:v>23</x:v>
      </x:c>
      <x:c r="D278" s="233" t="str">
        <x:f>IF('دانش‌آموزان'!C27="","",'دانش‌آموزان'!C27)</x:f>
        <x:v>4000000233</x:v>
      </x:c>
      <x:c r="E278" s="233" t="str">
        <x:f>IF('دانش‌آموزان'!E27="","",'دانش‌آموزان'!E27&amp;" "&amp;'دانش‌آموزان'!F27)</x:f>
        <x:v>امیرحسین طاهری</x:v>
      </x:c>
      <x:c r="F278" s="166" t="str">
        <x:f>IF('دانش‌آموزان'!I27="","",'دانش‌آموزان'!I27)</x:f>
        <x:v>sample-7-a</x:v>
      </x:c>
      <x:c r="G278" s="114"/>
      <x:c r="H278" s="115"/>
      <x:c r="I278" s="115"/>
      <x:c r="J278" s="115"/>
      <x:c r="K278" s="115"/>
      <x:c r="L278" s="115"/>
      <x:c r="M278" s="115"/>
      <x:c r="N278" s="115"/>
      <x:c r="O278" s="115"/>
      <x:c r="P278" s="115"/>
      <x:c r="Q278" s="115"/>
      <x:c r="R278" s="115"/>
      <x:c r="S278" s="115"/>
      <x:c r="T278" s="115"/>
      <x:c r="U278" s="115"/>
      <x:c r="V278" s="115"/>
      <x:c r="W278" s="115"/>
      <x:c r="X278" s="115"/>
      <x:c r="Y278" s="115"/>
      <x:c r="Z278" s="115"/>
      <x:c r="AA278" s="115"/>
      <x:c r="AB278" s="115"/>
      <x:c r="AC278" s="115"/>
      <x:c r="AD278" s="115"/>
      <x:c r="AE278" s="115"/>
      <x:c r="AF278" s="115"/>
      <x:c r="AG278" s="115"/>
      <x:c r="AH278" s="115"/>
      <x:c r="AI278" s="115"/>
      <x:c r="AJ278" s="115"/>
      <x:c r="AK278" s="115"/>
      <x:c r="AL278" s="115"/>
      <x:c r="AM278" s="115"/>
      <x:c r="AN278" s="115"/>
      <x:c r="AO278" s="115"/>
      <x:c r="AP278" s="115"/>
      <x:c r="AQ278" s="115"/>
      <x:c r="AR278" s="115"/>
      <x:c r="AS278" s="115"/>
      <x:c r="AT278" s="115"/>
      <x:c r="AU278" s="115"/>
      <x:c r="AV278" s="115"/>
      <x:c r="AW278" s="115"/>
      <x:c r="AX278" s="115"/>
      <x:c r="AY278" s="115"/>
      <x:c r="AZ278" s="115"/>
      <x:c r="BA278" s="115"/>
      <x:c r="BB278" s="115"/>
      <x:c r="BC278" s="115"/>
      <x:c r="BD278" s="115"/>
      <x:c r="BE278" s="115"/>
      <x:c r="BF278" s="115"/>
      <x:c r="BG278" s="115"/>
      <x:c r="BH278" s="115"/>
      <x:c r="BI278" s="115"/>
      <x:c r="BJ278" s="115"/>
      <x:c r="BK278" s="115"/>
      <x:c r="BL278" s="115"/>
      <x:c r="BM278" s="115"/>
      <x:c r="BN278" s="115"/>
      <x:c r="BO278" s="115"/>
      <x:c r="BP278" s="115"/>
      <x:c r="BQ278" s="115"/>
      <x:c r="BR278" s="115"/>
      <x:c r="BS278" s="115"/>
      <x:c r="BT278" s="115"/>
      <x:c r="BU278" s="115"/>
      <x:c r="BV278" s="115"/>
      <x:c r="BW278" s="115"/>
      <x:c r="BX278" s="115"/>
      <x:c r="BY278" s="115"/>
      <x:c r="BZ278" s="115"/>
      <x:c r="CA278" s="115"/>
      <x:c r="CB278" s="116"/>
      <x:c r="CC278" s="141" t="str">
        <x:f>IF(COUNT(G278:P278)=0,"",AVERAGE(G278:P278)*4)</x:f>
      </x:c>
      <x:c r="CD278" s="178" t="str">
        <x:f>IF(COUNT(Q278:Z278)=0,"",AVERAGE(Q278:Z278)*4)</x:f>
      </x:c>
      <x:c r="CE278" s="178" t="str">
        <x:f>IF(COUNT(AA278:AJ278)=0,"",AVERAGE(AA278:AJ278)*4)</x:f>
      </x:c>
      <x:c r="CF278" s="178" t="str">
        <x:f>IF(COUNT(AK278:AR278)=0,"",AVERAGE(AK278:AR278)*4)</x:f>
      </x:c>
      <x:c r="CG278" s="178" t="str">
        <x:f>IF(COUNT(AS278:AY278)=0,"",AVERAGE(AS278:AY278)*4)</x:f>
      </x:c>
      <x:c r="CH278" s="178" t="str">
        <x:f>IF(COUNT(AZ278:BG278)=0,"",AVERAGE(AZ278:BG278)*4)</x:f>
      </x:c>
      <x:c r="CI278" s="178" t="str">
        <x:f>IF(COUNT(BH278:BN278)=0,"",AVERAGE(BH278:BN278)*4)</x:f>
      </x:c>
      <x:c r="CJ278" s="178" t="str">
        <x:f>IF(COUNT(BO278:BU278)=0,"",AVERAGE(BO278:BU278)*4)</x:f>
      </x:c>
      <x:c r="CK278" s="178" t="str">
        <x:f>IF(COUNT(BV278:CB278)=0,"",AVERAGE(BV278:CB278)*4)</x:f>
      </x:c>
      <x:c r="CL278" s="178" t="str">
        <x:f>IF(C278="","",IF(COUNT(G278:CB278)&lt;74,"",(CC278*'تنظیمات وزن‌دهی'!$C$5+CD278*'تنظیمات وزن‌دهی'!$C$6+CE278*'تنظیمات وزن‌دهی'!$C$7+CF278*'تنظیمات وزن‌دهی'!$C$8+CG278*'تنظیمات وزن‌دهی'!$C$9+CH278*'تنظیمات وزن‌دهی'!$C$10+CI278*'تنظیمات وزن‌دهی'!$C$11+CJ278*'تنظیمات وزن‌دهی'!$C$12+CK278*'تنظیمات وزن‌دهی'!$C$13)/100))</x:f>
      </x:c>
      <x:c r="CM278" s="178" t="str">
        <x:f>IF(C278="","",IF(COUNT(G278:CB278)=0,"",IF(COUNT(G278:CB278)&lt;74,"موقت - اطلاعات ناقص",IF(CL278&gt;=17,"عالی",IF(CL278&gt;=14,"خوب",IF(CL278&gt;=10,"متوسط","ضعیف"))))))</x:f>
      </x:c>
      <x:c r="CN278" s="178" t="n">
        <x:v>10</x:v>
      </x:c>
      <x:c r="CO278" s="142" t="n">
        <x:f>IF(C278="","",COUNT(G278:CB278)/74)</x:f>
        <x:v>0</x:v>
      </x:c>
      <x:c r="CP278" s="245"/>
    </x:row>
    <x:row r="279">
      <x:c r="A279" s="165" t="n">
        <x:v>275</x:v>
      </x:c>
      <x:c r="B279" s="233" t="str">
        <x:v>اردیبهشت</x:v>
      </x:c>
      <x:c r="C279" s="233" t="n">
        <x:f>IF('دانش‌آموزان'!E27="","",'دانش‌آموزان'!B27)</x:f>
        <x:v>23</x:v>
      </x:c>
      <x:c r="D279" s="233" t="str">
        <x:f>IF('دانش‌آموزان'!C27="","",'دانش‌آموزان'!C27)</x:f>
        <x:v>4000000233</x:v>
      </x:c>
      <x:c r="E279" s="233" t="str">
        <x:f>IF('دانش‌آموزان'!E27="","",'دانش‌آموزان'!E27&amp;" "&amp;'دانش‌آموزان'!F27)</x:f>
        <x:v>امیرحسین طاهری</x:v>
      </x:c>
      <x:c r="F279" s="166" t="str">
        <x:f>IF('دانش‌آموزان'!I27="","",'دانش‌آموزان'!I27)</x:f>
        <x:v>sample-7-a</x:v>
      </x:c>
      <x:c r="G279" s="114"/>
      <x:c r="H279" s="115"/>
      <x:c r="I279" s="115"/>
      <x:c r="J279" s="115"/>
      <x:c r="K279" s="115"/>
      <x:c r="L279" s="115"/>
      <x:c r="M279" s="115"/>
      <x:c r="N279" s="115"/>
      <x:c r="O279" s="115"/>
      <x:c r="P279" s="115"/>
      <x:c r="Q279" s="115"/>
      <x:c r="R279" s="115"/>
      <x:c r="S279" s="115"/>
      <x:c r="T279" s="115"/>
      <x:c r="U279" s="115"/>
      <x:c r="V279" s="115"/>
      <x:c r="W279" s="115"/>
      <x:c r="X279" s="115"/>
      <x:c r="Y279" s="115"/>
      <x:c r="Z279" s="115"/>
      <x:c r="AA279" s="115"/>
      <x:c r="AB279" s="115"/>
      <x:c r="AC279" s="115"/>
      <x:c r="AD279" s="115"/>
      <x:c r="AE279" s="115"/>
      <x:c r="AF279" s="115"/>
      <x:c r="AG279" s="115"/>
      <x:c r="AH279" s="115"/>
      <x:c r="AI279" s="115"/>
      <x:c r="AJ279" s="115"/>
      <x:c r="AK279" s="115"/>
      <x:c r="AL279" s="115"/>
      <x:c r="AM279" s="115"/>
      <x:c r="AN279" s="115"/>
      <x:c r="AO279" s="115"/>
      <x:c r="AP279" s="115"/>
      <x:c r="AQ279" s="115"/>
      <x:c r="AR279" s="115"/>
      <x:c r="AS279" s="115"/>
      <x:c r="AT279" s="115"/>
      <x:c r="AU279" s="115"/>
      <x:c r="AV279" s="115"/>
      <x:c r="AW279" s="115"/>
      <x:c r="AX279" s="115"/>
      <x:c r="AY279" s="115"/>
      <x:c r="AZ279" s="115"/>
      <x:c r="BA279" s="115"/>
      <x:c r="BB279" s="115"/>
      <x:c r="BC279" s="115"/>
      <x:c r="BD279" s="115"/>
      <x:c r="BE279" s="115"/>
      <x:c r="BF279" s="115"/>
      <x:c r="BG279" s="115"/>
      <x:c r="BH279" s="115"/>
      <x:c r="BI279" s="115"/>
      <x:c r="BJ279" s="115"/>
      <x:c r="BK279" s="115"/>
      <x:c r="BL279" s="115"/>
      <x:c r="BM279" s="115"/>
      <x:c r="BN279" s="115"/>
      <x:c r="BO279" s="115"/>
      <x:c r="BP279" s="115"/>
      <x:c r="BQ279" s="115"/>
      <x:c r="BR279" s="115"/>
      <x:c r="BS279" s="115"/>
      <x:c r="BT279" s="115"/>
      <x:c r="BU279" s="115"/>
      <x:c r="BV279" s="115"/>
      <x:c r="BW279" s="115"/>
      <x:c r="BX279" s="115"/>
      <x:c r="BY279" s="115"/>
      <x:c r="BZ279" s="115"/>
      <x:c r="CA279" s="115"/>
      <x:c r="CB279" s="116"/>
      <x:c r="CC279" s="141" t="str">
        <x:f>IF(COUNT(G279:P279)=0,"",AVERAGE(G279:P279)*4)</x:f>
      </x:c>
      <x:c r="CD279" s="178" t="str">
        <x:f>IF(COUNT(Q279:Z279)=0,"",AVERAGE(Q279:Z279)*4)</x:f>
      </x:c>
      <x:c r="CE279" s="178" t="str">
        <x:f>IF(COUNT(AA279:AJ279)=0,"",AVERAGE(AA279:AJ279)*4)</x:f>
      </x:c>
      <x:c r="CF279" s="178" t="str">
        <x:f>IF(COUNT(AK279:AR279)=0,"",AVERAGE(AK279:AR279)*4)</x:f>
      </x:c>
      <x:c r="CG279" s="178" t="str">
        <x:f>IF(COUNT(AS279:AY279)=0,"",AVERAGE(AS279:AY279)*4)</x:f>
      </x:c>
      <x:c r="CH279" s="178" t="str">
        <x:f>IF(COUNT(AZ279:BG279)=0,"",AVERAGE(AZ279:BG279)*4)</x:f>
      </x:c>
      <x:c r="CI279" s="178" t="str">
        <x:f>IF(COUNT(BH279:BN279)=0,"",AVERAGE(BH279:BN279)*4)</x:f>
      </x:c>
      <x:c r="CJ279" s="178" t="str">
        <x:f>IF(COUNT(BO279:BU279)=0,"",AVERAGE(BO279:BU279)*4)</x:f>
      </x:c>
      <x:c r="CK279" s="178" t="str">
        <x:f>IF(COUNT(BV279:CB279)=0,"",AVERAGE(BV279:CB279)*4)</x:f>
      </x:c>
      <x:c r="CL279" s="178" t="str">
        <x:f>IF(C279="","",IF(COUNT(G279:CB279)&lt;74,"",(CC279*'تنظیمات وزن‌دهی'!$C$5+CD279*'تنظیمات وزن‌دهی'!$C$6+CE279*'تنظیمات وزن‌دهی'!$C$7+CF279*'تنظیمات وزن‌دهی'!$C$8+CG279*'تنظیمات وزن‌دهی'!$C$9+CH279*'تنظیمات وزن‌دهی'!$C$10+CI279*'تنظیمات وزن‌دهی'!$C$11+CJ279*'تنظیمات وزن‌دهی'!$C$12+CK279*'تنظیمات وزن‌دهی'!$C$13)/100))</x:f>
      </x:c>
      <x:c r="CM279" s="178" t="str">
        <x:f>IF(C279="","",IF(COUNT(G279:CB279)=0,"",IF(COUNT(G279:CB279)&lt;74,"موقت - اطلاعات ناقص",IF(CL279&gt;=17,"عالی",IF(CL279&gt;=14,"خوب",IF(CL279&gt;=10,"متوسط","ضعیف"))))))</x:f>
      </x:c>
      <x:c r="CN279" s="178" t="n">
        <x:v>11</x:v>
      </x:c>
      <x:c r="CO279" s="142" t="n">
        <x:f>IF(C279="","",COUNT(G279:CB279)/74)</x:f>
        <x:v>0</x:v>
      </x:c>
      <x:c r="CP279" s="245"/>
    </x:row>
    <x:row r="280">
      <x:c r="A280" s="165" t="n">
        <x:v>276</x:v>
      </x:c>
      <x:c r="B280" s="233" t="str">
        <x:v>خرداد</x:v>
      </x:c>
      <x:c r="C280" s="233" t="n">
        <x:f>IF('دانش‌آموزان'!E27="","",'دانش‌آموزان'!B27)</x:f>
        <x:v>23</x:v>
      </x:c>
      <x:c r="D280" s="233" t="str">
        <x:f>IF('دانش‌آموزان'!C27="","",'دانش‌آموزان'!C27)</x:f>
        <x:v>4000000233</x:v>
      </x:c>
      <x:c r="E280" s="233" t="str">
        <x:f>IF('دانش‌آموزان'!E27="","",'دانش‌آموزان'!E27&amp;" "&amp;'دانش‌آموزان'!F27)</x:f>
        <x:v>امیرحسین طاهری</x:v>
      </x:c>
      <x:c r="F280" s="166" t="str">
        <x:f>IF('دانش‌آموزان'!I27="","",'دانش‌آموزان'!I27)</x:f>
        <x:v>sample-7-a</x:v>
      </x:c>
      <x:c r="G280" s="114"/>
      <x:c r="H280" s="115"/>
      <x:c r="I280" s="115"/>
      <x:c r="J280" s="115"/>
      <x:c r="K280" s="115"/>
      <x:c r="L280" s="115"/>
      <x:c r="M280" s="115"/>
      <x:c r="N280" s="115"/>
      <x:c r="O280" s="115"/>
      <x:c r="P280" s="115"/>
      <x:c r="Q280" s="115"/>
      <x:c r="R280" s="115"/>
      <x:c r="S280" s="115"/>
      <x:c r="T280" s="115"/>
      <x:c r="U280" s="115"/>
      <x:c r="V280" s="115"/>
      <x:c r="W280" s="115"/>
      <x:c r="X280" s="115"/>
      <x:c r="Y280" s="115"/>
      <x:c r="Z280" s="115"/>
      <x:c r="AA280" s="115"/>
      <x:c r="AB280" s="115"/>
      <x:c r="AC280" s="115"/>
      <x:c r="AD280" s="115"/>
      <x:c r="AE280" s="115"/>
      <x:c r="AF280" s="115"/>
      <x:c r="AG280" s="115"/>
      <x:c r="AH280" s="115"/>
      <x:c r="AI280" s="115"/>
      <x:c r="AJ280" s="115"/>
      <x:c r="AK280" s="115"/>
      <x:c r="AL280" s="115"/>
      <x:c r="AM280" s="115"/>
      <x:c r="AN280" s="115"/>
      <x:c r="AO280" s="115"/>
      <x:c r="AP280" s="115"/>
      <x:c r="AQ280" s="115"/>
      <x:c r="AR280" s="115"/>
      <x:c r="AS280" s="115"/>
      <x:c r="AT280" s="115"/>
      <x:c r="AU280" s="115"/>
      <x:c r="AV280" s="115"/>
      <x:c r="AW280" s="115"/>
      <x:c r="AX280" s="115"/>
      <x:c r="AY280" s="115"/>
      <x:c r="AZ280" s="115"/>
      <x:c r="BA280" s="115"/>
      <x:c r="BB280" s="115"/>
      <x:c r="BC280" s="115"/>
      <x:c r="BD280" s="115"/>
      <x:c r="BE280" s="115"/>
      <x:c r="BF280" s="115"/>
      <x:c r="BG280" s="115"/>
      <x:c r="BH280" s="115"/>
      <x:c r="BI280" s="115"/>
      <x:c r="BJ280" s="115"/>
      <x:c r="BK280" s="115"/>
      <x:c r="BL280" s="115"/>
      <x:c r="BM280" s="115"/>
      <x:c r="BN280" s="115"/>
      <x:c r="BO280" s="115"/>
      <x:c r="BP280" s="115"/>
      <x:c r="BQ280" s="115"/>
      <x:c r="BR280" s="115"/>
      <x:c r="BS280" s="115"/>
      <x:c r="BT280" s="115"/>
      <x:c r="BU280" s="115"/>
      <x:c r="BV280" s="115"/>
      <x:c r="BW280" s="115"/>
      <x:c r="BX280" s="115"/>
      <x:c r="BY280" s="115"/>
      <x:c r="BZ280" s="115"/>
      <x:c r="CA280" s="115"/>
      <x:c r="CB280" s="116"/>
      <x:c r="CC280" s="141" t="str">
        <x:f>IF(COUNT(G280:P280)=0,"",AVERAGE(G280:P280)*4)</x:f>
      </x:c>
      <x:c r="CD280" s="178" t="str">
        <x:f>IF(COUNT(Q280:Z280)=0,"",AVERAGE(Q280:Z280)*4)</x:f>
      </x:c>
      <x:c r="CE280" s="178" t="str">
        <x:f>IF(COUNT(AA280:AJ280)=0,"",AVERAGE(AA280:AJ280)*4)</x:f>
      </x:c>
      <x:c r="CF280" s="178" t="str">
        <x:f>IF(COUNT(AK280:AR280)=0,"",AVERAGE(AK280:AR280)*4)</x:f>
      </x:c>
      <x:c r="CG280" s="178" t="str">
        <x:f>IF(COUNT(AS280:AY280)=0,"",AVERAGE(AS280:AY280)*4)</x:f>
      </x:c>
      <x:c r="CH280" s="178" t="str">
        <x:f>IF(COUNT(AZ280:BG280)=0,"",AVERAGE(AZ280:BG280)*4)</x:f>
      </x:c>
      <x:c r="CI280" s="178" t="str">
        <x:f>IF(COUNT(BH280:BN280)=0,"",AVERAGE(BH280:BN280)*4)</x:f>
      </x:c>
      <x:c r="CJ280" s="178" t="str">
        <x:f>IF(COUNT(BO280:BU280)=0,"",AVERAGE(BO280:BU280)*4)</x:f>
      </x:c>
      <x:c r="CK280" s="178" t="str">
        <x:f>IF(COUNT(BV280:CB280)=0,"",AVERAGE(BV280:CB280)*4)</x:f>
      </x:c>
      <x:c r="CL280" s="178" t="str">
        <x:f>IF(C280="","",IF(COUNT(G280:CB280)&lt;74,"",(CC280*'تنظیمات وزن‌دهی'!$C$5+CD280*'تنظیمات وزن‌دهی'!$C$6+CE280*'تنظیمات وزن‌دهی'!$C$7+CF280*'تنظیمات وزن‌دهی'!$C$8+CG280*'تنظیمات وزن‌دهی'!$C$9+CH280*'تنظیمات وزن‌دهی'!$C$10+CI280*'تنظیمات وزن‌دهی'!$C$11+CJ280*'تنظیمات وزن‌دهی'!$C$12+CK280*'تنظیمات وزن‌دهی'!$C$13)/100))</x:f>
      </x:c>
      <x:c r="CM280" s="178" t="str">
        <x:f>IF(C280="","",IF(COUNT(G280:CB280)=0,"",IF(COUNT(G280:CB280)&lt;74,"موقت - اطلاعات ناقص",IF(CL280&gt;=17,"عالی",IF(CL280&gt;=14,"خوب",IF(CL280&gt;=10,"متوسط","ضعیف"))))))</x:f>
      </x:c>
      <x:c r="CN280" s="178" t="n">
        <x:v>12</x:v>
      </x:c>
      <x:c r="CO280" s="142" t="n">
        <x:f>IF(C280="","",COUNT(G280:CB280)/74)</x:f>
        <x:v>0</x:v>
      </x:c>
      <x:c r="CP280" s="245"/>
    </x:row>
    <x:row r="281">
      <x:c r="A281" s="165" t="n">
        <x:v>277</x:v>
      </x:c>
      <x:c r="B281" s="233" t="str">
        <x:v>تیر</x:v>
      </x:c>
      <x:c r="C281" s="233" t="n">
        <x:f>IF('دانش‌آموزان'!E28="","",'دانش‌آموزان'!B28)</x:f>
        <x:v>24</x:v>
      </x:c>
      <x:c r="D281" s="233" t="str">
        <x:f>IF('دانش‌آموزان'!C28="","",'دانش‌آموزان'!C28)</x:f>
        <x:v>4000000241</x:v>
      </x:c>
      <x:c r="E281" s="233" t="str">
        <x:f>IF('دانش‌آموزان'!E28="","",'دانش‌آموزان'!E28&amp;" "&amp;'دانش‌آموزان'!F28)</x:f>
        <x:v>زهرا محمدی</x:v>
      </x:c>
      <x:c r="F281" s="166" t="str">
        <x:f>IF('دانش‌آموزان'!I28="","",'دانش‌آموزان'!I28)</x:f>
        <x:v>sample-7-a</x:v>
      </x:c>
      <x:c r="G281" s="114" t="n">
        <x:v>3</x:v>
      </x:c>
      <x:c r="H281" s="115" t="n">
        <x:v>5</x:v>
      </x:c>
      <x:c r="I281" s="115" t="n">
        <x:v>3</x:v>
      </x:c>
      <x:c r="J281" s="115" t="n">
        <x:v>4</x:v>
      </x:c>
      <x:c r="K281" s="115" t="n">
        <x:v>3</x:v>
      </x:c>
      <x:c r="L281" s="115" t="n">
        <x:v>4</x:v>
      </x:c>
      <x:c r="M281" s="115" t="n">
        <x:v>2</x:v>
      </x:c>
      <x:c r="N281" s="115" t="n">
        <x:v>4</x:v>
      </x:c>
      <x:c r="O281" s="115" t="n">
        <x:v>5</x:v>
      </x:c>
      <x:c r="P281" s="115" t="n">
        <x:v>4</x:v>
      </x:c>
      <x:c r="Q281" s="115" t="n">
        <x:v>5</x:v>
      </x:c>
      <x:c r="R281" s="115" t="n">
        <x:v>3</x:v>
      </x:c>
      <x:c r="S281" s="115" t="n">
        <x:v>5</x:v>
      </x:c>
      <x:c r="T281" s="115" t="n">
        <x:v>3</x:v>
      </x:c>
      <x:c r="U281" s="115" t="n">
        <x:v>4</x:v>
      </x:c>
      <x:c r="V281" s="115" t="n">
        <x:v>3</x:v>
      </x:c>
      <x:c r="W281" s="115" t="n">
        <x:v>4</x:v>
      </x:c>
      <x:c r="X281" s="115" t="n">
        <x:v>2</x:v>
      </x:c>
      <x:c r="Y281" s="115" t="n">
        <x:v>4</x:v>
      </x:c>
      <x:c r="Z281" s="115" t="n">
        <x:v>5</x:v>
      </x:c>
      <x:c r="AA281" s="115" t="n">
        <x:v>4</x:v>
      </x:c>
      <x:c r="AB281" s="115" t="n">
        <x:v>5</x:v>
      </x:c>
      <x:c r="AC281" s="115" t="n">
        <x:v>3</x:v>
      </x:c>
      <x:c r="AD281" s="115" t="n">
        <x:v>5</x:v>
      </x:c>
      <x:c r="AE281" s="115" t="n">
        <x:v>3</x:v>
      </x:c>
      <x:c r="AF281" s="115" t="n">
        <x:v>4</x:v>
      </x:c>
      <x:c r="AG281" s="115" t="n">
        <x:v>3</x:v>
      </x:c>
      <x:c r="AH281" s="115" t="n">
        <x:v>4</x:v>
      </x:c>
      <x:c r="AI281" s="115" t="n">
        <x:v>2</x:v>
      </x:c>
      <x:c r="AJ281" s="115" t="n">
        <x:v>4</x:v>
      </x:c>
      <x:c r="AK281" s="115" t="n">
        <x:v>5</x:v>
      </x:c>
      <x:c r="AL281" s="115" t="n">
        <x:v>4</x:v>
      </x:c>
      <x:c r="AM281" s="115" t="n">
        <x:v>5</x:v>
      </x:c>
      <x:c r="AN281" s="115" t="n">
        <x:v>3</x:v>
      </x:c>
      <x:c r="AO281" s="115" t="n">
        <x:v>5</x:v>
      </x:c>
      <x:c r="AP281" s="115" t="n">
        <x:v>3</x:v>
      </x:c>
      <x:c r="AQ281" s="115" t="n">
        <x:v>4</x:v>
      </x:c>
      <x:c r="AR281" s="115" t="n">
        <x:v>3</x:v>
      </x:c>
      <x:c r="AS281" s="115" t="n">
        <x:v>4</x:v>
      </x:c>
      <x:c r="AT281" s="115" t="n">
        <x:v>2</x:v>
      </x:c>
      <x:c r="AU281" s="115" t="n">
        <x:v>4</x:v>
      </x:c>
      <x:c r="AV281" s="115" t="n">
        <x:v>5</x:v>
      </x:c>
      <x:c r="AW281" s="115" t="n">
        <x:v>4</x:v>
      </x:c>
      <x:c r="AX281" s="115" t="n">
        <x:v>5</x:v>
      </x:c>
      <x:c r="AY281" s="115" t="n">
        <x:v>3</x:v>
      </x:c>
      <x:c r="AZ281" s="115" t="n">
        <x:v>5</x:v>
      </x:c>
      <x:c r="BA281" s="115" t="n">
        <x:v>3</x:v>
      </x:c>
      <x:c r="BB281" s="115" t="n">
        <x:v>4</x:v>
      </x:c>
      <x:c r="BC281" s="115" t="n">
        <x:v>3</x:v>
      </x:c>
      <x:c r="BD281" s="115" t="n">
        <x:v>4</x:v>
      </x:c>
      <x:c r="BE281" s="115" t="n">
        <x:v>2</x:v>
      </x:c>
      <x:c r="BF281" s="115" t="n">
        <x:v>4</x:v>
      </x:c>
      <x:c r="BG281" s="115" t="n">
        <x:v>5</x:v>
      </x:c>
      <x:c r="BH281" s="115" t="n">
        <x:v>4</x:v>
      </x:c>
      <x:c r="BI281" s="115" t="n">
        <x:v>5</x:v>
      </x:c>
      <x:c r="BJ281" s="115" t="n">
        <x:v>3</x:v>
      </x:c>
      <x:c r="BK281" s="115" t="n">
        <x:v>5</x:v>
      </x:c>
      <x:c r="BL281" s="115" t="n">
        <x:v>3</x:v>
      </x:c>
      <x:c r="BM281" s="115" t="n">
        <x:v>4</x:v>
      </x:c>
      <x:c r="BN281" s="115" t="n">
        <x:v>3</x:v>
      </x:c>
      <x:c r="BO281" s="115" t="n">
        <x:v>4</x:v>
      </x:c>
      <x:c r="BP281" s="115" t="n">
        <x:v>2</x:v>
      </x:c>
      <x:c r="BQ281" s="115" t="n">
        <x:v>4</x:v>
      </x:c>
      <x:c r="BR281" s="115" t="n">
        <x:v>5</x:v>
      </x:c>
      <x:c r="BS281" s="115" t="n">
        <x:v>4</x:v>
      </x:c>
      <x:c r="BT281" s="115" t="n">
        <x:v>5</x:v>
      </x:c>
      <x:c r="BU281" s="115" t="n">
        <x:v>3</x:v>
      </x:c>
      <x:c r="BV281" s="115" t="n">
        <x:v>5</x:v>
      </x:c>
      <x:c r="BW281" s="115" t="n">
        <x:v>3</x:v>
      </x:c>
      <x:c r="BX281" s="115" t="n">
        <x:v>4</x:v>
      </x:c>
      <x:c r="BY281" s="115" t="n">
        <x:v>3</x:v>
      </x:c>
      <x:c r="BZ281" s="115" t="n">
        <x:v>4</x:v>
      </x:c>
      <x:c r="CA281" s="115" t="n">
        <x:v>2</x:v>
      </x:c>
      <x:c r="CB281" s="116" t="n">
        <x:v>4</x:v>
      </x:c>
      <x:c r="CC281" s="141" t="n">
        <x:f>IF(COUNT(G281:P281)=0,"",AVERAGE(G281:P281)*4)</x:f>
        <x:v>14.8</x:v>
      </x:c>
      <x:c r="CD281" s="178" t="n">
        <x:f>IF(COUNT(Q281:Z281)=0,"",AVERAGE(Q281:Z281)*4)</x:f>
        <x:v>15.2</x:v>
      </x:c>
      <x:c r="CE281" s="178" t="n">
        <x:f>IF(COUNT(AA281:AJ281)=0,"",AVERAGE(AA281:AJ281)*4)</x:f>
        <x:v>14.8</x:v>
      </x:c>
      <x:c r="CF281" s="178" t="n">
        <x:f>IF(COUNT(AK281:AR281)=0,"",AVERAGE(AK281:AR281)*4)</x:f>
        <x:v>16</x:v>
      </x:c>
      <x:c r="CG281" s="178" t="n">
        <x:f>IF(COUNT(AS281:AY281)=0,"",AVERAGE(AS281:AY281)*4)</x:f>
        <x:v>15.428571428571429</x:v>
      </x:c>
      <x:c r="CH281" s="178" t="n">
        <x:f>IF(COUNT(AZ281:BG281)=0,"",AVERAGE(AZ281:BG281)*4)</x:f>
        <x:v>15</x:v>
      </x:c>
      <x:c r="CI281" s="178" t="n">
        <x:f>IF(COUNT(BH281:BN281)=0,"",AVERAGE(BH281:BN281)*4)</x:f>
        <x:v>15.428571428571429</x:v>
      </x:c>
      <x:c r="CJ281" s="178" t="n">
        <x:f>IF(COUNT(BO281:BU281)=0,"",AVERAGE(BO281:BU281)*4)</x:f>
        <x:v>15.428571428571429</x:v>
      </x:c>
      <x:c r="CK281" s="178" t="n">
        <x:f>IF(COUNT(BV281:CB281)=0,"",AVERAGE(BV281:CB281)*4)</x:f>
        <x:v>14.285714285714286</x:v>
      </x:c>
      <x:c r="CL281" s="178" t="n">
        <x:f>IF(C281="","",IF(COUNT(G281:CB281)&lt;74,"",(CC281*'تنظیمات وزن‌دهی'!$C$5+CD281*'تنظیمات وزن‌دهی'!$C$6+CE281*'تنظیمات وزن‌دهی'!$C$7+CF281*'تنظیمات وزن‌دهی'!$C$8+CG281*'تنظیمات وزن‌دهی'!$C$9+CH281*'تنظیمات وزن‌دهی'!$C$10+CI281*'تنظیمات وزن‌دهی'!$C$11+CJ281*'تنظیمات وزن‌دهی'!$C$12+CK281*'تنظیمات وزن‌دهی'!$C$13)/100))</x:f>
        <x:v>15.145714285714286</x:v>
      </x:c>
      <x:c r="CM281" s="178" t="str">
        <x:f>IF(C281="","",IF(COUNT(G281:CB281)=0,"",IF(COUNT(G281:CB281)&lt;74,"موقت - اطلاعات ناقص",IF(CL281&gt;=17,"عالی",IF(CL281&gt;=14,"خوب",IF(CL281&gt;=10,"متوسط","ضعیف"))))))</x:f>
        <x:v>خوب</x:v>
      </x:c>
      <x:c r="CN281" s="178" t="n">
        <x:v>1</x:v>
      </x:c>
      <x:c r="CO281" s="142" t="n">
        <x:f>IF(C281="","",COUNT(G281:CB281)/74)</x:f>
        <x:v>1</x:v>
      </x:c>
      <x:c r="CP281" s="245" t="str">
        <x:v>داده نمونه کامل برای ماه تیر - دانش‌آموز شماره 24</x:v>
      </x:c>
    </x:row>
    <x:row r="282">
      <x:c r="A282" s="165" t="n">
        <x:v>278</x:v>
      </x:c>
      <x:c r="B282" s="233" t="str">
        <x:v>مرداد</x:v>
      </x:c>
      <x:c r="C282" s="233" t="n">
        <x:f>IF('دانش‌آموزان'!E28="","",'دانش‌آموزان'!B28)</x:f>
        <x:v>24</x:v>
      </x:c>
      <x:c r="D282" s="233" t="str">
        <x:f>IF('دانش‌آموزان'!C28="","",'دانش‌آموزان'!C28)</x:f>
        <x:v>4000000241</x:v>
      </x:c>
      <x:c r="E282" s="233" t="str">
        <x:f>IF('دانش‌آموزان'!E28="","",'دانش‌آموزان'!E28&amp;" "&amp;'دانش‌آموزان'!F28)</x:f>
        <x:v>زهرا محمدی</x:v>
      </x:c>
      <x:c r="F282" s="166" t="str">
        <x:f>IF('دانش‌آموزان'!I28="","",'دانش‌آموزان'!I28)</x:f>
        <x:v>sample-7-a</x:v>
      </x:c>
      <x:c r="G282" s="114"/>
      <x:c r="H282" s="115"/>
      <x:c r="I282" s="115"/>
      <x:c r="J282" s="115"/>
      <x:c r="K282" s="115"/>
      <x:c r="L282" s="115"/>
      <x:c r="M282" s="115"/>
      <x:c r="N282" s="115"/>
      <x:c r="O282" s="115"/>
      <x:c r="P282" s="115"/>
      <x:c r="Q282" s="115"/>
      <x:c r="R282" s="115"/>
      <x:c r="S282" s="115"/>
      <x:c r="T282" s="115"/>
      <x:c r="U282" s="115"/>
      <x:c r="V282" s="115"/>
      <x:c r="W282" s="115"/>
      <x:c r="X282" s="115"/>
      <x:c r="Y282" s="115"/>
      <x:c r="Z282" s="115"/>
      <x:c r="AA282" s="115"/>
      <x:c r="AB282" s="115"/>
      <x:c r="AC282" s="115"/>
      <x:c r="AD282" s="115"/>
      <x:c r="AE282" s="115"/>
      <x:c r="AF282" s="115"/>
      <x:c r="AG282" s="115"/>
      <x:c r="AH282" s="115"/>
      <x:c r="AI282" s="115"/>
      <x:c r="AJ282" s="115"/>
      <x:c r="AK282" s="115"/>
      <x:c r="AL282" s="115"/>
      <x:c r="AM282" s="115"/>
      <x:c r="AN282" s="115"/>
      <x:c r="AO282" s="115"/>
      <x:c r="AP282" s="115"/>
      <x:c r="AQ282" s="115"/>
      <x:c r="AR282" s="115"/>
      <x:c r="AS282" s="115"/>
      <x:c r="AT282" s="115"/>
      <x:c r="AU282" s="115"/>
      <x:c r="AV282" s="115"/>
      <x:c r="AW282" s="115"/>
      <x:c r="AX282" s="115"/>
      <x:c r="AY282" s="115"/>
      <x:c r="AZ282" s="115"/>
      <x:c r="BA282" s="115"/>
      <x:c r="BB282" s="115"/>
      <x:c r="BC282" s="115"/>
      <x:c r="BD282" s="115"/>
      <x:c r="BE282" s="115"/>
      <x:c r="BF282" s="115"/>
      <x:c r="BG282" s="115"/>
      <x:c r="BH282" s="115"/>
      <x:c r="BI282" s="115"/>
      <x:c r="BJ282" s="115"/>
      <x:c r="BK282" s="115"/>
      <x:c r="BL282" s="115"/>
      <x:c r="BM282" s="115"/>
      <x:c r="BN282" s="115"/>
      <x:c r="BO282" s="115"/>
      <x:c r="BP282" s="115"/>
      <x:c r="BQ282" s="115"/>
      <x:c r="BR282" s="115"/>
      <x:c r="BS282" s="115"/>
      <x:c r="BT282" s="115"/>
      <x:c r="BU282" s="115"/>
      <x:c r="BV282" s="115"/>
      <x:c r="BW282" s="115"/>
      <x:c r="BX282" s="115"/>
      <x:c r="BY282" s="115"/>
      <x:c r="BZ282" s="115"/>
      <x:c r="CA282" s="115"/>
      <x:c r="CB282" s="116"/>
      <x:c r="CC282" s="141" t="str">
        <x:f>IF(COUNT(G282:P282)=0,"",AVERAGE(G282:P282)*4)</x:f>
      </x:c>
      <x:c r="CD282" s="178" t="str">
        <x:f>IF(COUNT(Q282:Z282)=0,"",AVERAGE(Q282:Z282)*4)</x:f>
      </x:c>
      <x:c r="CE282" s="178" t="str">
        <x:f>IF(COUNT(AA282:AJ282)=0,"",AVERAGE(AA282:AJ282)*4)</x:f>
      </x:c>
      <x:c r="CF282" s="178" t="str">
        <x:f>IF(COUNT(AK282:AR282)=0,"",AVERAGE(AK282:AR282)*4)</x:f>
      </x:c>
      <x:c r="CG282" s="178" t="str">
        <x:f>IF(COUNT(AS282:AY282)=0,"",AVERAGE(AS282:AY282)*4)</x:f>
      </x:c>
      <x:c r="CH282" s="178" t="str">
        <x:f>IF(COUNT(AZ282:BG282)=0,"",AVERAGE(AZ282:BG282)*4)</x:f>
      </x:c>
      <x:c r="CI282" s="178" t="str">
        <x:f>IF(COUNT(BH282:BN282)=0,"",AVERAGE(BH282:BN282)*4)</x:f>
      </x:c>
      <x:c r="CJ282" s="178" t="str">
        <x:f>IF(COUNT(BO282:BU282)=0,"",AVERAGE(BO282:BU282)*4)</x:f>
      </x:c>
      <x:c r="CK282" s="178" t="str">
        <x:f>IF(COUNT(BV282:CB282)=0,"",AVERAGE(BV282:CB282)*4)</x:f>
      </x:c>
      <x:c r="CL282" s="178" t="str">
        <x:f>IF(C282="","",IF(COUNT(G282:CB282)&lt;74,"",(CC282*'تنظیمات وزن‌دهی'!$C$5+CD282*'تنظیمات وزن‌دهی'!$C$6+CE282*'تنظیمات وزن‌دهی'!$C$7+CF282*'تنظیمات وزن‌دهی'!$C$8+CG282*'تنظیمات وزن‌دهی'!$C$9+CH282*'تنظیمات وزن‌دهی'!$C$10+CI282*'تنظیمات وزن‌دهی'!$C$11+CJ282*'تنظیمات وزن‌دهی'!$C$12+CK282*'تنظیمات وزن‌دهی'!$C$13)/100))</x:f>
      </x:c>
      <x:c r="CM282" s="178" t="str">
        <x:f>IF(C282="","",IF(COUNT(G282:CB282)=0,"",IF(COUNT(G282:CB282)&lt;74,"موقت - اطلاعات ناقص",IF(CL282&gt;=17,"عالی",IF(CL282&gt;=14,"خوب",IF(CL282&gt;=10,"متوسط","ضعیف"))))))</x:f>
      </x:c>
      <x:c r="CN282" s="178" t="n">
        <x:v>2</x:v>
      </x:c>
      <x:c r="CO282" s="142" t="n">
        <x:f>IF(C282="","",COUNT(G282:CB282)/74)</x:f>
        <x:v>0</x:v>
      </x:c>
      <x:c r="CP282" s="245"/>
    </x:row>
    <x:row r="283">
      <x:c r="A283" s="165" t="n">
        <x:v>279</x:v>
      </x:c>
      <x:c r="B283" s="233" t="str">
        <x:v>شهریور</x:v>
      </x:c>
      <x:c r="C283" s="233" t="n">
        <x:f>IF('دانش‌آموزان'!E28="","",'دانش‌آموزان'!B28)</x:f>
        <x:v>24</x:v>
      </x:c>
      <x:c r="D283" s="233" t="str">
        <x:f>IF('دانش‌آموزان'!C28="","",'دانش‌آموزان'!C28)</x:f>
        <x:v>4000000241</x:v>
      </x:c>
      <x:c r="E283" s="233" t="str">
        <x:f>IF('دانش‌آموزان'!E28="","",'دانش‌آموزان'!E28&amp;" "&amp;'دانش‌آموزان'!F28)</x:f>
        <x:v>زهرا محمدی</x:v>
      </x:c>
      <x:c r="F283" s="166" t="str">
        <x:f>IF('دانش‌آموزان'!I28="","",'دانش‌آموزان'!I28)</x:f>
        <x:v>sample-7-a</x:v>
      </x:c>
      <x:c r="G283" s="114"/>
      <x:c r="H283" s="115"/>
      <x:c r="I283" s="115"/>
      <x:c r="J283" s="115"/>
      <x:c r="K283" s="115"/>
      <x:c r="L283" s="115"/>
      <x:c r="M283" s="115"/>
      <x:c r="N283" s="115"/>
      <x:c r="O283" s="115"/>
      <x:c r="P283" s="115"/>
      <x:c r="Q283" s="115"/>
      <x:c r="R283" s="115"/>
      <x:c r="S283" s="115"/>
      <x:c r="T283" s="115"/>
      <x:c r="U283" s="115"/>
      <x:c r="V283" s="115"/>
      <x:c r="W283" s="115"/>
      <x:c r="X283" s="115"/>
      <x:c r="Y283" s="115"/>
      <x:c r="Z283" s="115"/>
      <x:c r="AA283" s="115"/>
      <x:c r="AB283" s="115"/>
      <x:c r="AC283" s="115"/>
      <x:c r="AD283" s="115"/>
      <x:c r="AE283" s="115"/>
      <x:c r="AF283" s="115"/>
      <x:c r="AG283" s="115"/>
      <x:c r="AH283" s="115"/>
      <x:c r="AI283" s="115"/>
      <x:c r="AJ283" s="115"/>
      <x:c r="AK283" s="115"/>
      <x:c r="AL283" s="115"/>
      <x:c r="AM283" s="115"/>
      <x:c r="AN283" s="115"/>
      <x:c r="AO283" s="115"/>
      <x:c r="AP283" s="115"/>
      <x:c r="AQ283" s="115"/>
      <x:c r="AR283" s="115"/>
      <x:c r="AS283" s="115"/>
      <x:c r="AT283" s="115"/>
      <x:c r="AU283" s="115"/>
      <x:c r="AV283" s="115"/>
      <x:c r="AW283" s="115"/>
      <x:c r="AX283" s="115"/>
      <x:c r="AY283" s="115"/>
      <x:c r="AZ283" s="115"/>
      <x:c r="BA283" s="115"/>
      <x:c r="BB283" s="115"/>
      <x:c r="BC283" s="115"/>
      <x:c r="BD283" s="115"/>
      <x:c r="BE283" s="115"/>
      <x:c r="BF283" s="115"/>
      <x:c r="BG283" s="115"/>
      <x:c r="BH283" s="115"/>
      <x:c r="BI283" s="115"/>
      <x:c r="BJ283" s="115"/>
      <x:c r="BK283" s="115"/>
      <x:c r="BL283" s="115"/>
      <x:c r="BM283" s="115"/>
      <x:c r="BN283" s="115"/>
      <x:c r="BO283" s="115"/>
      <x:c r="BP283" s="115"/>
      <x:c r="BQ283" s="115"/>
      <x:c r="BR283" s="115"/>
      <x:c r="BS283" s="115"/>
      <x:c r="BT283" s="115"/>
      <x:c r="BU283" s="115"/>
      <x:c r="BV283" s="115"/>
      <x:c r="BW283" s="115"/>
      <x:c r="BX283" s="115"/>
      <x:c r="BY283" s="115"/>
      <x:c r="BZ283" s="115"/>
      <x:c r="CA283" s="115"/>
      <x:c r="CB283" s="116"/>
      <x:c r="CC283" s="141" t="str">
        <x:f>IF(COUNT(G283:P283)=0,"",AVERAGE(G283:P283)*4)</x:f>
      </x:c>
      <x:c r="CD283" s="178" t="str">
        <x:f>IF(COUNT(Q283:Z283)=0,"",AVERAGE(Q283:Z283)*4)</x:f>
      </x:c>
      <x:c r="CE283" s="178" t="str">
        <x:f>IF(COUNT(AA283:AJ283)=0,"",AVERAGE(AA283:AJ283)*4)</x:f>
      </x:c>
      <x:c r="CF283" s="178" t="str">
        <x:f>IF(COUNT(AK283:AR283)=0,"",AVERAGE(AK283:AR283)*4)</x:f>
      </x:c>
      <x:c r="CG283" s="178" t="str">
        <x:f>IF(COUNT(AS283:AY283)=0,"",AVERAGE(AS283:AY283)*4)</x:f>
      </x:c>
      <x:c r="CH283" s="178" t="str">
        <x:f>IF(COUNT(AZ283:BG283)=0,"",AVERAGE(AZ283:BG283)*4)</x:f>
      </x:c>
      <x:c r="CI283" s="178" t="str">
        <x:f>IF(COUNT(BH283:BN283)=0,"",AVERAGE(BH283:BN283)*4)</x:f>
      </x:c>
      <x:c r="CJ283" s="178" t="str">
        <x:f>IF(COUNT(BO283:BU283)=0,"",AVERAGE(BO283:BU283)*4)</x:f>
      </x:c>
      <x:c r="CK283" s="178" t="str">
        <x:f>IF(COUNT(BV283:CB283)=0,"",AVERAGE(BV283:CB283)*4)</x:f>
      </x:c>
      <x:c r="CL283" s="178" t="str">
        <x:f>IF(C283="","",IF(COUNT(G283:CB283)&lt;74,"",(CC283*'تنظیمات وزن‌دهی'!$C$5+CD283*'تنظیمات وزن‌دهی'!$C$6+CE283*'تنظیمات وزن‌دهی'!$C$7+CF283*'تنظیمات وزن‌دهی'!$C$8+CG283*'تنظیمات وزن‌دهی'!$C$9+CH283*'تنظیمات وزن‌دهی'!$C$10+CI283*'تنظیمات وزن‌دهی'!$C$11+CJ283*'تنظیمات وزن‌دهی'!$C$12+CK283*'تنظیمات وزن‌دهی'!$C$13)/100))</x:f>
      </x:c>
      <x:c r="CM283" s="178" t="str">
        <x:f>IF(C283="","",IF(COUNT(G283:CB283)=0,"",IF(COUNT(G283:CB283)&lt;74,"موقت - اطلاعات ناقص",IF(CL283&gt;=17,"عالی",IF(CL283&gt;=14,"خوب",IF(CL283&gt;=10,"متوسط","ضعیف"))))))</x:f>
      </x:c>
      <x:c r="CN283" s="178" t="n">
        <x:v>3</x:v>
      </x:c>
      <x:c r="CO283" s="142" t="n">
        <x:f>IF(C283="","",COUNT(G283:CB283)/74)</x:f>
        <x:v>0</x:v>
      </x:c>
      <x:c r="CP283" s="245"/>
    </x:row>
    <x:row r="284">
      <x:c r="A284" s="165" t="n">
        <x:v>280</x:v>
      </x:c>
      <x:c r="B284" s="233" t="str">
        <x:v>مهر</x:v>
      </x:c>
      <x:c r="C284" s="233" t="n">
        <x:f>IF('دانش‌آموزان'!E28="","",'دانش‌آموزان'!B28)</x:f>
        <x:v>24</x:v>
      </x:c>
      <x:c r="D284" s="233" t="str">
        <x:f>IF('دانش‌آموزان'!C28="","",'دانش‌آموزان'!C28)</x:f>
        <x:v>4000000241</x:v>
      </x:c>
      <x:c r="E284" s="233" t="str">
        <x:f>IF('دانش‌آموزان'!E28="","",'دانش‌آموزان'!E28&amp;" "&amp;'دانش‌آموزان'!F28)</x:f>
        <x:v>زهرا محمدی</x:v>
      </x:c>
      <x:c r="F284" s="166" t="str">
        <x:f>IF('دانش‌آموزان'!I28="","",'دانش‌آموزان'!I28)</x:f>
        <x:v>sample-7-a</x:v>
      </x:c>
      <x:c r="G284" s="114"/>
      <x:c r="H284" s="115"/>
      <x:c r="I284" s="115"/>
      <x:c r="J284" s="115"/>
      <x:c r="K284" s="115"/>
      <x:c r="L284" s="115"/>
      <x:c r="M284" s="115"/>
      <x:c r="N284" s="115"/>
      <x:c r="O284" s="115"/>
      <x:c r="P284" s="115"/>
      <x:c r="Q284" s="115"/>
      <x:c r="R284" s="115"/>
      <x:c r="S284" s="115"/>
      <x:c r="T284" s="115"/>
      <x:c r="U284" s="115"/>
      <x:c r="V284" s="115"/>
      <x:c r="W284" s="115"/>
      <x:c r="X284" s="115"/>
      <x:c r="Y284" s="115"/>
      <x:c r="Z284" s="115"/>
      <x:c r="AA284" s="115"/>
      <x:c r="AB284" s="115"/>
      <x:c r="AC284" s="115"/>
      <x:c r="AD284" s="115"/>
      <x:c r="AE284" s="115"/>
      <x:c r="AF284" s="115"/>
      <x:c r="AG284" s="115"/>
      <x:c r="AH284" s="115"/>
      <x:c r="AI284" s="115"/>
      <x:c r="AJ284" s="115"/>
      <x:c r="AK284" s="115"/>
      <x:c r="AL284" s="115"/>
      <x:c r="AM284" s="115"/>
      <x:c r="AN284" s="115"/>
      <x:c r="AO284" s="115"/>
      <x:c r="AP284" s="115"/>
      <x:c r="AQ284" s="115"/>
      <x:c r="AR284" s="115"/>
      <x:c r="AS284" s="115"/>
      <x:c r="AT284" s="115"/>
      <x:c r="AU284" s="115"/>
      <x:c r="AV284" s="115"/>
      <x:c r="AW284" s="115"/>
      <x:c r="AX284" s="115"/>
      <x:c r="AY284" s="115"/>
      <x:c r="AZ284" s="115"/>
      <x:c r="BA284" s="115"/>
      <x:c r="BB284" s="115"/>
      <x:c r="BC284" s="115"/>
      <x:c r="BD284" s="115"/>
      <x:c r="BE284" s="115"/>
      <x:c r="BF284" s="115"/>
      <x:c r="BG284" s="115"/>
      <x:c r="BH284" s="115"/>
      <x:c r="BI284" s="115"/>
      <x:c r="BJ284" s="115"/>
      <x:c r="BK284" s="115"/>
      <x:c r="BL284" s="115"/>
      <x:c r="BM284" s="115"/>
      <x:c r="BN284" s="115"/>
      <x:c r="BO284" s="115"/>
      <x:c r="BP284" s="115"/>
      <x:c r="BQ284" s="115"/>
      <x:c r="BR284" s="115"/>
      <x:c r="BS284" s="115"/>
      <x:c r="BT284" s="115"/>
      <x:c r="BU284" s="115"/>
      <x:c r="BV284" s="115"/>
      <x:c r="BW284" s="115"/>
      <x:c r="BX284" s="115"/>
      <x:c r="BY284" s="115"/>
      <x:c r="BZ284" s="115"/>
      <x:c r="CA284" s="115"/>
      <x:c r="CB284" s="116"/>
      <x:c r="CC284" s="141" t="str">
        <x:f>IF(COUNT(G284:P284)=0,"",AVERAGE(G284:P284)*4)</x:f>
      </x:c>
      <x:c r="CD284" s="178" t="str">
        <x:f>IF(COUNT(Q284:Z284)=0,"",AVERAGE(Q284:Z284)*4)</x:f>
      </x:c>
      <x:c r="CE284" s="178" t="str">
        <x:f>IF(COUNT(AA284:AJ284)=0,"",AVERAGE(AA284:AJ284)*4)</x:f>
      </x:c>
      <x:c r="CF284" s="178" t="str">
        <x:f>IF(COUNT(AK284:AR284)=0,"",AVERAGE(AK284:AR284)*4)</x:f>
      </x:c>
      <x:c r="CG284" s="178" t="str">
        <x:f>IF(COUNT(AS284:AY284)=0,"",AVERAGE(AS284:AY284)*4)</x:f>
      </x:c>
      <x:c r="CH284" s="178" t="str">
        <x:f>IF(COUNT(AZ284:BG284)=0,"",AVERAGE(AZ284:BG284)*4)</x:f>
      </x:c>
      <x:c r="CI284" s="178" t="str">
        <x:f>IF(COUNT(BH284:BN284)=0,"",AVERAGE(BH284:BN284)*4)</x:f>
      </x:c>
      <x:c r="CJ284" s="178" t="str">
        <x:f>IF(COUNT(BO284:BU284)=0,"",AVERAGE(BO284:BU284)*4)</x:f>
      </x:c>
      <x:c r="CK284" s="178" t="str">
        <x:f>IF(COUNT(BV284:CB284)=0,"",AVERAGE(BV284:CB284)*4)</x:f>
      </x:c>
      <x:c r="CL284" s="178" t="str">
        <x:f>IF(C284="","",IF(COUNT(G284:CB284)&lt;74,"",(CC284*'تنظیمات وزن‌دهی'!$C$5+CD284*'تنظیمات وزن‌دهی'!$C$6+CE284*'تنظیمات وزن‌دهی'!$C$7+CF284*'تنظیمات وزن‌دهی'!$C$8+CG284*'تنظیمات وزن‌دهی'!$C$9+CH284*'تنظیمات وزن‌دهی'!$C$10+CI284*'تنظیمات وزن‌دهی'!$C$11+CJ284*'تنظیمات وزن‌دهی'!$C$12+CK284*'تنظیمات وزن‌دهی'!$C$13)/100))</x:f>
      </x:c>
      <x:c r="CM284" s="178" t="str">
        <x:f>IF(C284="","",IF(COUNT(G284:CB284)=0,"",IF(COUNT(G284:CB284)&lt;74,"موقت - اطلاعات ناقص",IF(CL284&gt;=17,"عالی",IF(CL284&gt;=14,"خوب",IF(CL284&gt;=10,"متوسط","ضعیف"))))))</x:f>
      </x:c>
      <x:c r="CN284" s="178" t="n">
        <x:v>4</x:v>
      </x:c>
      <x:c r="CO284" s="142" t="n">
        <x:f>IF(C284="","",COUNT(G284:CB284)/74)</x:f>
        <x:v>0</x:v>
      </x:c>
      <x:c r="CP284" s="245"/>
    </x:row>
    <x:row r="285">
      <x:c r="A285" s="165" t="n">
        <x:v>281</x:v>
      </x:c>
      <x:c r="B285" s="233" t="str">
        <x:v>آبان</x:v>
      </x:c>
      <x:c r="C285" s="233" t="n">
        <x:f>IF('دانش‌آموزان'!E28="","",'دانش‌آموزان'!B28)</x:f>
        <x:v>24</x:v>
      </x:c>
      <x:c r="D285" s="233" t="str">
        <x:f>IF('دانش‌آموزان'!C28="","",'دانش‌آموزان'!C28)</x:f>
        <x:v>4000000241</x:v>
      </x:c>
      <x:c r="E285" s="233" t="str">
        <x:f>IF('دانش‌آموزان'!E28="","",'دانش‌آموزان'!E28&amp;" "&amp;'دانش‌آموزان'!F28)</x:f>
        <x:v>زهرا محمدی</x:v>
      </x:c>
      <x:c r="F285" s="166" t="str">
        <x:f>IF('دانش‌آموزان'!I28="","",'دانش‌آموزان'!I28)</x:f>
        <x:v>sample-7-a</x:v>
      </x:c>
      <x:c r="G285" s="114"/>
      <x:c r="H285" s="115"/>
      <x:c r="I285" s="115"/>
      <x:c r="J285" s="115"/>
      <x:c r="K285" s="115"/>
      <x:c r="L285" s="115"/>
      <x:c r="M285" s="115"/>
      <x:c r="N285" s="115"/>
      <x:c r="O285" s="115"/>
      <x:c r="P285" s="115"/>
      <x:c r="Q285" s="115"/>
      <x:c r="R285" s="115"/>
      <x:c r="S285" s="115"/>
      <x:c r="T285" s="115"/>
      <x:c r="U285" s="115"/>
      <x:c r="V285" s="115"/>
      <x:c r="W285" s="115"/>
      <x:c r="X285" s="115"/>
      <x:c r="Y285" s="115"/>
      <x:c r="Z285" s="115"/>
      <x:c r="AA285" s="115"/>
      <x:c r="AB285" s="115"/>
      <x:c r="AC285" s="115"/>
      <x:c r="AD285" s="115"/>
      <x:c r="AE285" s="115"/>
      <x:c r="AF285" s="115"/>
      <x:c r="AG285" s="115"/>
      <x:c r="AH285" s="115"/>
      <x:c r="AI285" s="115"/>
      <x:c r="AJ285" s="115"/>
      <x:c r="AK285" s="115"/>
      <x:c r="AL285" s="115"/>
      <x:c r="AM285" s="115"/>
      <x:c r="AN285" s="115"/>
      <x:c r="AO285" s="115"/>
      <x:c r="AP285" s="115"/>
      <x:c r="AQ285" s="115"/>
      <x:c r="AR285" s="115"/>
      <x:c r="AS285" s="115"/>
      <x:c r="AT285" s="115"/>
      <x:c r="AU285" s="115"/>
      <x:c r="AV285" s="115"/>
      <x:c r="AW285" s="115"/>
      <x:c r="AX285" s="115"/>
      <x:c r="AY285" s="115"/>
      <x:c r="AZ285" s="115"/>
      <x:c r="BA285" s="115"/>
      <x:c r="BB285" s="115"/>
      <x:c r="BC285" s="115"/>
      <x:c r="BD285" s="115"/>
      <x:c r="BE285" s="115"/>
      <x:c r="BF285" s="115"/>
      <x:c r="BG285" s="115"/>
      <x:c r="BH285" s="115"/>
      <x:c r="BI285" s="115"/>
      <x:c r="BJ285" s="115"/>
      <x:c r="BK285" s="115"/>
      <x:c r="BL285" s="115"/>
      <x:c r="BM285" s="115"/>
      <x:c r="BN285" s="115"/>
      <x:c r="BO285" s="115"/>
      <x:c r="BP285" s="115"/>
      <x:c r="BQ285" s="115"/>
      <x:c r="BR285" s="115"/>
      <x:c r="BS285" s="115"/>
      <x:c r="BT285" s="115"/>
      <x:c r="BU285" s="115"/>
      <x:c r="BV285" s="115"/>
      <x:c r="BW285" s="115"/>
      <x:c r="BX285" s="115"/>
      <x:c r="BY285" s="115"/>
      <x:c r="BZ285" s="115"/>
      <x:c r="CA285" s="115"/>
      <x:c r="CB285" s="116"/>
      <x:c r="CC285" s="141" t="str">
        <x:f>IF(COUNT(G285:P285)=0,"",AVERAGE(G285:P285)*4)</x:f>
      </x:c>
      <x:c r="CD285" s="178" t="str">
        <x:f>IF(COUNT(Q285:Z285)=0,"",AVERAGE(Q285:Z285)*4)</x:f>
      </x:c>
      <x:c r="CE285" s="178" t="str">
        <x:f>IF(COUNT(AA285:AJ285)=0,"",AVERAGE(AA285:AJ285)*4)</x:f>
      </x:c>
      <x:c r="CF285" s="178" t="str">
        <x:f>IF(COUNT(AK285:AR285)=0,"",AVERAGE(AK285:AR285)*4)</x:f>
      </x:c>
      <x:c r="CG285" s="178" t="str">
        <x:f>IF(COUNT(AS285:AY285)=0,"",AVERAGE(AS285:AY285)*4)</x:f>
      </x:c>
      <x:c r="CH285" s="178" t="str">
        <x:f>IF(COUNT(AZ285:BG285)=0,"",AVERAGE(AZ285:BG285)*4)</x:f>
      </x:c>
      <x:c r="CI285" s="178" t="str">
        <x:f>IF(COUNT(BH285:BN285)=0,"",AVERAGE(BH285:BN285)*4)</x:f>
      </x:c>
      <x:c r="CJ285" s="178" t="str">
        <x:f>IF(COUNT(BO285:BU285)=0,"",AVERAGE(BO285:BU285)*4)</x:f>
      </x:c>
      <x:c r="CK285" s="178" t="str">
        <x:f>IF(COUNT(BV285:CB285)=0,"",AVERAGE(BV285:CB285)*4)</x:f>
      </x:c>
      <x:c r="CL285" s="178" t="str">
        <x:f>IF(C285="","",IF(COUNT(G285:CB285)&lt;74,"",(CC285*'تنظیمات وزن‌دهی'!$C$5+CD285*'تنظیمات وزن‌دهی'!$C$6+CE285*'تنظیمات وزن‌دهی'!$C$7+CF285*'تنظیمات وزن‌دهی'!$C$8+CG285*'تنظیمات وزن‌دهی'!$C$9+CH285*'تنظیمات وزن‌دهی'!$C$10+CI285*'تنظیمات وزن‌دهی'!$C$11+CJ285*'تنظیمات وزن‌دهی'!$C$12+CK285*'تنظیمات وزن‌دهی'!$C$13)/100))</x:f>
      </x:c>
      <x:c r="CM285" s="178" t="str">
        <x:f>IF(C285="","",IF(COUNT(G285:CB285)=0,"",IF(COUNT(G285:CB285)&lt;74,"موقت - اطلاعات ناقص",IF(CL285&gt;=17,"عالی",IF(CL285&gt;=14,"خوب",IF(CL285&gt;=10,"متوسط","ضعیف"))))))</x:f>
      </x:c>
      <x:c r="CN285" s="178" t="n">
        <x:v>5</x:v>
      </x:c>
      <x:c r="CO285" s="142" t="n">
        <x:f>IF(C285="","",COUNT(G285:CB285)/74)</x:f>
        <x:v>0</x:v>
      </x:c>
      <x:c r="CP285" s="245"/>
    </x:row>
    <x:row r="286">
      <x:c r="A286" s="165" t="n">
        <x:v>282</x:v>
      </x:c>
      <x:c r="B286" s="233" t="str">
        <x:v>آذر</x:v>
      </x:c>
      <x:c r="C286" s="233" t="n">
        <x:f>IF('دانش‌آموزان'!E28="","",'دانش‌آموزان'!B28)</x:f>
        <x:v>24</x:v>
      </x:c>
      <x:c r="D286" s="233" t="str">
        <x:f>IF('دانش‌آموزان'!C28="","",'دانش‌آموزان'!C28)</x:f>
        <x:v>4000000241</x:v>
      </x:c>
      <x:c r="E286" s="233" t="str">
        <x:f>IF('دانش‌آموزان'!E28="","",'دانش‌آموزان'!E28&amp;" "&amp;'دانش‌آموزان'!F28)</x:f>
        <x:v>زهرا محمدی</x:v>
      </x:c>
      <x:c r="F286" s="166" t="str">
        <x:f>IF('دانش‌آموزان'!I28="","",'دانش‌آموزان'!I28)</x:f>
        <x:v>sample-7-a</x:v>
      </x:c>
      <x:c r="G286" s="114"/>
      <x:c r="H286" s="115"/>
      <x:c r="I286" s="115"/>
      <x:c r="J286" s="115"/>
      <x:c r="K286" s="115"/>
      <x:c r="L286" s="115"/>
      <x:c r="M286" s="115"/>
      <x:c r="N286" s="115"/>
      <x:c r="O286" s="115"/>
      <x:c r="P286" s="115"/>
      <x:c r="Q286" s="115"/>
      <x:c r="R286" s="115"/>
      <x:c r="S286" s="115"/>
      <x:c r="T286" s="115"/>
      <x:c r="U286" s="115"/>
      <x:c r="V286" s="115"/>
      <x:c r="W286" s="115"/>
      <x:c r="X286" s="115"/>
      <x:c r="Y286" s="115"/>
      <x:c r="Z286" s="115"/>
      <x:c r="AA286" s="115"/>
      <x:c r="AB286" s="115"/>
      <x:c r="AC286" s="115"/>
      <x:c r="AD286" s="115"/>
      <x:c r="AE286" s="115"/>
      <x:c r="AF286" s="115"/>
      <x:c r="AG286" s="115"/>
      <x:c r="AH286" s="115"/>
      <x:c r="AI286" s="115"/>
      <x:c r="AJ286" s="115"/>
      <x:c r="AK286" s="115"/>
      <x:c r="AL286" s="115"/>
      <x:c r="AM286" s="115"/>
      <x:c r="AN286" s="115"/>
      <x:c r="AO286" s="115"/>
      <x:c r="AP286" s="115"/>
      <x:c r="AQ286" s="115"/>
      <x:c r="AR286" s="115"/>
      <x:c r="AS286" s="115"/>
      <x:c r="AT286" s="115"/>
      <x:c r="AU286" s="115"/>
      <x:c r="AV286" s="115"/>
      <x:c r="AW286" s="115"/>
      <x:c r="AX286" s="115"/>
      <x:c r="AY286" s="115"/>
      <x:c r="AZ286" s="115"/>
      <x:c r="BA286" s="115"/>
      <x:c r="BB286" s="115"/>
      <x:c r="BC286" s="115"/>
      <x:c r="BD286" s="115"/>
      <x:c r="BE286" s="115"/>
      <x:c r="BF286" s="115"/>
      <x:c r="BG286" s="115"/>
      <x:c r="BH286" s="115"/>
      <x:c r="BI286" s="115"/>
      <x:c r="BJ286" s="115"/>
      <x:c r="BK286" s="115"/>
      <x:c r="BL286" s="115"/>
      <x:c r="BM286" s="115"/>
      <x:c r="BN286" s="115"/>
      <x:c r="BO286" s="115"/>
      <x:c r="BP286" s="115"/>
      <x:c r="BQ286" s="115"/>
      <x:c r="BR286" s="115"/>
      <x:c r="BS286" s="115"/>
      <x:c r="BT286" s="115"/>
      <x:c r="BU286" s="115"/>
      <x:c r="BV286" s="115"/>
      <x:c r="BW286" s="115"/>
      <x:c r="BX286" s="115"/>
      <x:c r="BY286" s="115"/>
      <x:c r="BZ286" s="115"/>
      <x:c r="CA286" s="115"/>
      <x:c r="CB286" s="116"/>
      <x:c r="CC286" s="141" t="str">
        <x:f>IF(COUNT(G286:P286)=0,"",AVERAGE(G286:P286)*4)</x:f>
      </x:c>
      <x:c r="CD286" s="178" t="str">
        <x:f>IF(COUNT(Q286:Z286)=0,"",AVERAGE(Q286:Z286)*4)</x:f>
      </x:c>
      <x:c r="CE286" s="178" t="str">
        <x:f>IF(COUNT(AA286:AJ286)=0,"",AVERAGE(AA286:AJ286)*4)</x:f>
      </x:c>
      <x:c r="CF286" s="178" t="str">
        <x:f>IF(COUNT(AK286:AR286)=0,"",AVERAGE(AK286:AR286)*4)</x:f>
      </x:c>
      <x:c r="CG286" s="178" t="str">
        <x:f>IF(COUNT(AS286:AY286)=0,"",AVERAGE(AS286:AY286)*4)</x:f>
      </x:c>
      <x:c r="CH286" s="178" t="str">
        <x:f>IF(COUNT(AZ286:BG286)=0,"",AVERAGE(AZ286:BG286)*4)</x:f>
      </x:c>
      <x:c r="CI286" s="178" t="str">
        <x:f>IF(COUNT(BH286:BN286)=0,"",AVERAGE(BH286:BN286)*4)</x:f>
      </x:c>
      <x:c r="CJ286" s="178" t="str">
        <x:f>IF(COUNT(BO286:BU286)=0,"",AVERAGE(BO286:BU286)*4)</x:f>
      </x:c>
      <x:c r="CK286" s="178" t="str">
        <x:f>IF(COUNT(BV286:CB286)=0,"",AVERAGE(BV286:CB286)*4)</x:f>
      </x:c>
      <x:c r="CL286" s="178" t="str">
        <x:f>IF(C286="","",IF(COUNT(G286:CB286)&lt;74,"",(CC286*'تنظیمات وزن‌دهی'!$C$5+CD286*'تنظیمات وزن‌دهی'!$C$6+CE286*'تنظیمات وزن‌دهی'!$C$7+CF286*'تنظیمات وزن‌دهی'!$C$8+CG286*'تنظیمات وزن‌دهی'!$C$9+CH286*'تنظیمات وزن‌دهی'!$C$10+CI286*'تنظیمات وزن‌دهی'!$C$11+CJ286*'تنظیمات وزن‌دهی'!$C$12+CK286*'تنظیمات وزن‌دهی'!$C$13)/100))</x:f>
      </x:c>
      <x:c r="CM286" s="178" t="str">
        <x:f>IF(C286="","",IF(COUNT(G286:CB286)=0,"",IF(COUNT(G286:CB286)&lt;74,"موقت - اطلاعات ناقص",IF(CL286&gt;=17,"عالی",IF(CL286&gt;=14,"خوب",IF(CL286&gt;=10,"متوسط","ضعیف"))))))</x:f>
      </x:c>
      <x:c r="CN286" s="178" t="n">
        <x:v>6</x:v>
      </x:c>
      <x:c r="CO286" s="142" t="n">
        <x:f>IF(C286="","",COUNT(G286:CB286)/74)</x:f>
        <x:v>0</x:v>
      </x:c>
      <x:c r="CP286" s="245"/>
    </x:row>
    <x:row r="287">
      <x:c r="A287" s="165" t="n">
        <x:v>283</x:v>
      </x:c>
      <x:c r="B287" s="233" t="str">
        <x:v>دی</x:v>
      </x:c>
      <x:c r="C287" s="233" t="n">
        <x:f>IF('دانش‌آموزان'!E28="","",'دانش‌آموزان'!B28)</x:f>
        <x:v>24</x:v>
      </x:c>
      <x:c r="D287" s="233" t="str">
        <x:f>IF('دانش‌آموزان'!C28="","",'دانش‌آموزان'!C28)</x:f>
        <x:v>4000000241</x:v>
      </x:c>
      <x:c r="E287" s="233" t="str">
        <x:f>IF('دانش‌آموزان'!E28="","",'دانش‌آموزان'!E28&amp;" "&amp;'دانش‌آموزان'!F28)</x:f>
        <x:v>زهرا محمدی</x:v>
      </x:c>
      <x:c r="F287" s="166" t="str">
        <x:f>IF('دانش‌آموزان'!I28="","",'دانش‌آموزان'!I28)</x:f>
        <x:v>sample-7-a</x:v>
      </x:c>
      <x:c r="G287" s="114"/>
      <x:c r="H287" s="115"/>
      <x:c r="I287" s="115"/>
      <x:c r="J287" s="115"/>
      <x:c r="K287" s="115"/>
      <x:c r="L287" s="115"/>
      <x:c r="M287" s="115"/>
      <x:c r="N287" s="115"/>
      <x:c r="O287" s="115"/>
      <x:c r="P287" s="115"/>
      <x:c r="Q287" s="115"/>
      <x:c r="R287" s="115"/>
      <x:c r="S287" s="115"/>
      <x:c r="T287" s="115"/>
      <x:c r="U287" s="115"/>
      <x:c r="V287" s="115"/>
      <x:c r="W287" s="115"/>
      <x:c r="X287" s="115"/>
      <x:c r="Y287" s="115"/>
      <x:c r="Z287" s="115"/>
      <x:c r="AA287" s="115"/>
      <x:c r="AB287" s="115"/>
      <x:c r="AC287" s="115"/>
      <x:c r="AD287" s="115"/>
      <x:c r="AE287" s="115"/>
      <x:c r="AF287" s="115"/>
      <x:c r="AG287" s="115"/>
      <x:c r="AH287" s="115"/>
      <x:c r="AI287" s="115"/>
      <x:c r="AJ287" s="115"/>
      <x:c r="AK287" s="115"/>
      <x:c r="AL287" s="115"/>
      <x:c r="AM287" s="115"/>
      <x:c r="AN287" s="115"/>
      <x:c r="AO287" s="115"/>
      <x:c r="AP287" s="115"/>
      <x:c r="AQ287" s="115"/>
      <x:c r="AR287" s="115"/>
      <x:c r="AS287" s="115"/>
      <x:c r="AT287" s="115"/>
      <x:c r="AU287" s="115"/>
      <x:c r="AV287" s="115"/>
      <x:c r="AW287" s="115"/>
      <x:c r="AX287" s="115"/>
      <x:c r="AY287" s="115"/>
      <x:c r="AZ287" s="115"/>
      <x:c r="BA287" s="115"/>
      <x:c r="BB287" s="115"/>
      <x:c r="BC287" s="115"/>
      <x:c r="BD287" s="115"/>
      <x:c r="BE287" s="115"/>
      <x:c r="BF287" s="115"/>
      <x:c r="BG287" s="115"/>
      <x:c r="BH287" s="115"/>
      <x:c r="BI287" s="115"/>
      <x:c r="BJ287" s="115"/>
      <x:c r="BK287" s="115"/>
      <x:c r="BL287" s="115"/>
      <x:c r="BM287" s="115"/>
      <x:c r="BN287" s="115"/>
      <x:c r="BO287" s="115"/>
      <x:c r="BP287" s="115"/>
      <x:c r="BQ287" s="115"/>
      <x:c r="BR287" s="115"/>
      <x:c r="BS287" s="115"/>
      <x:c r="BT287" s="115"/>
      <x:c r="BU287" s="115"/>
      <x:c r="BV287" s="115"/>
      <x:c r="BW287" s="115"/>
      <x:c r="BX287" s="115"/>
      <x:c r="BY287" s="115"/>
      <x:c r="BZ287" s="115"/>
      <x:c r="CA287" s="115"/>
      <x:c r="CB287" s="116"/>
      <x:c r="CC287" s="141" t="str">
        <x:f>IF(COUNT(G287:P287)=0,"",AVERAGE(G287:P287)*4)</x:f>
      </x:c>
      <x:c r="CD287" s="178" t="str">
        <x:f>IF(COUNT(Q287:Z287)=0,"",AVERAGE(Q287:Z287)*4)</x:f>
      </x:c>
      <x:c r="CE287" s="178" t="str">
        <x:f>IF(COUNT(AA287:AJ287)=0,"",AVERAGE(AA287:AJ287)*4)</x:f>
      </x:c>
      <x:c r="CF287" s="178" t="str">
        <x:f>IF(COUNT(AK287:AR287)=0,"",AVERAGE(AK287:AR287)*4)</x:f>
      </x:c>
      <x:c r="CG287" s="178" t="str">
        <x:f>IF(COUNT(AS287:AY287)=0,"",AVERAGE(AS287:AY287)*4)</x:f>
      </x:c>
      <x:c r="CH287" s="178" t="str">
        <x:f>IF(COUNT(AZ287:BG287)=0,"",AVERAGE(AZ287:BG287)*4)</x:f>
      </x:c>
      <x:c r="CI287" s="178" t="str">
        <x:f>IF(COUNT(BH287:BN287)=0,"",AVERAGE(BH287:BN287)*4)</x:f>
      </x:c>
      <x:c r="CJ287" s="178" t="str">
        <x:f>IF(COUNT(BO287:BU287)=0,"",AVERAGE(BO287:BU287)*4)</x:f>
      </x:c>
      <x:c r="CK287" s="178" t="str">
        <x:f>IF(COUNT(BV287:CB287)=0,"",AVERAGE(BV287:CB287)*4)</x:f>
      </x:c>
      <x:c r="CL287" s="178" t="str">
        <x:f>IF(C287="","",IF(COUNT(G287:CB287)&lt;74,"",(CC287*'تنظیمات وزن‌دهی'!$C$5+CD287*'تنظیمات وزن‌دهی'!$C$6+CE287*'تنظیمات وزن‌دهی'!$C$7+CF287*'تنظیمات وزن‌دهی'!$C$8+CG287*'تنظیمات وزن‌دهی'!$C$9+CH287*'تنظیمات وزن‌دهی'!$C$10+CI287*'تنظیمات وزن‌دهی'!$C$11+CJ287*'تنظیمات وزن‌دهی'!$C$12+CK287*'تنظیمات وزن‌دهی'!$C$13)/100))</x:f>
      </x:c>
      <x:c r="CM287" s="178" t="str">
        <x:f>IF(C287="","",IF(COUNT(G287:CB287)=0,"",IF(COUNT(G287:CB287)&lt;74,"موقت - اطلاعات ناقص",IF(CL287&gt;=17,"عالی",IF(CL287&gt;=14,"خوب",IF(CL287&gt;=10,"متوسط","ضعیف"))))))</x:f>
      </x:c>
      <x:c r="CN287" s="178" t="n">
        <x:v>7</x:v>
      </x:c>
      <x:c r="CO287" s="142" t="n">
        <x:f>IF(C287="","",COUNT(G287:CB287)/74)</x:f>
        <x:v>0</x:v>
      </x:c>
      <x:c r="CP287" s="245"/>
    </x:row>
    <x:row r="288">
      <x:c r="A288" s="165" t="n">
        <x:v>284</x:v>
      </x:c>
      <x:c r="B288" s="233" t="str">
        <x:v>بهمن</x:v>
      </x:c>
      <x:c r="C288" s="233" t="n">
        <x:f>IF('دانش‌آموزان'!E28="","",'دانش‌آموزان'!B28)</x:f>
        <x:v>24</x:v>
      </x:c>
      <x:c r="D288" s="233" t="str">
        <x:f>IF('دانش‌آموزان'!C28="","",'دانش‌آموزان'!C28)</x:f>
        <x:v>4000000241</x:v>
      </x:c>
      <x:c r="E288" s="233" t="str">
        <x:f>IF('دانش‌آموزان'!E28="","",'دانش‌آموزان'!E28&amp;" "&amp;'دانش‌آموزان'!F28)</x:f>
        <x:v>زهرا محمدی</x:v>
      </x:c>
      <x:c r="F288" s="166" t="str">
        <x:f>IF('دانش‌آموزان'!I28="","",'دانش‌آموزان'!I28)</x:f>
        <x:v>sample-7-a</x:v>
      </x:c>
      <x:c r="G288" s="114"/>
      <x:c r="H288" s="115"/>
      <x:c r="I288" s="115"/>
      <x:c r="J288" s="115"/>
      <x:c r="K288" s="115"/>
      <x:c r="L288" s="115"/>
      <x:c r="M288" s="115"/>
      <x:c r="N288" s="115"/>
      <x:c r="O288" s="115"/>
      <x:c r="P288" s="115"/>
      <x:c r="Q288" s="115"/>
      <x:c r="R288" s="115"/>
      <x:c r="S288" s="115"/>
      <x:c r="T288" s="115"/>
      <x:c r="U288" s="115"/>
      <x:c r="V288" s="115"/>
      <x:c r="W288" s="115"/>
      <x:c r="X288" s="115"/>
      <x:c r="Y288" s="115"/>
      <x:c r="Z288" s="115"/>
      <x:c r="AA288" s="115"/>
      <x:c r="AB288" s="115"/>
      <x:c r="AC288" s="115"/>
      <x:c r="AD288" s="115"/>
      <x:c r="AE288" s="115"/>
      <x:c r="AF288" s="115"/>
      <x:c r="AG288" s="115"/>
      <x:c r="AH288" s="115"/>
      <x:c r="AI288" s="115"/>
      <x:c r="AJ288" s="115"/>
      <x:c r="AK288" s="115"/>
      <x:c r="AL288" s="115"/>
      <x:c r="AM288" s="115"/>
      <x:c r="AN288" s="115"/>
      <x:c r="AO288" s="115"/>
      <x:c r="AP288" s="115"/>
      <x:c r="AQ288" s="115"/>
      <x:c r="AR288" s="115"/>
      <x:c r="AS288" s="115"/>
      <x:c r="AT288" s="115"/>
      <x:c r="AU288" s="115"/>
      <x:c r="AV288" s="115"/>
      <x:c r="AW288" s="115"/>
      <x:c r="AX288" s="115"/>
      <x:c r="AY288" s="115"/>
      <x:c r="AZ288" s="115"/>
      <x:c r="BA288" s="115"/>
      <x:c r="BB288" s="115"/>
      <x:c r="BC288" s="115"/>
      <x:c r="BD288" s="115"/>
      <x:c r="BE288" s="115"/>
      <x:c r="BF288" s="115"/>
      <x:c r="BG288" s="115"/>
      <x:c r="BH288" s="115"/>
      <x:c r="BI288" s="115"/>
      <x:c r="BJ288" s="115"/>
      <x:c r="BK288" s="115"/>
      <x:c r="BL288" s="115"/>
      <x:c r="BM288" s="115"/>
      <x:c r="BN288" s="115"/>
      <x:c r="BO288" s="115"/>
      <x:c r="BP288" s="115"/>
      <x:c r="BQ288" s="115"/>
      <x:c r="BR288" s="115"/>
      <x:c r="BS288" s="115"/>
      <x:c r="BT288" s="115"/>
      <x:c r="BU288" s="115"/>
      <x:c r="BV288" s="115"/>
      <x:c r="BW288" s="115"/>
      <x:c r="BX288" s="115"/>
      <x:c r="BY288" s="115"/>
      <x:c r="BZ288" s="115"/>
      <x:c r="CA288" s="115"/>
      <x:c r="CB288" s="116"/>
      <x:c r="CC288" s="141" t="str">
        <x:f>IF(COUNT(G288:P288)=0,"",AVERAGE(G288:P288)*4)</x:f>
      </x:c>
      <x:c r="CD288" s="178" t="str">
        <x:f>IF(COUNT(Q288:Z288)=0,"",AVERAGE(Q288:Z288)*4)</x:f>
      </x:c>
      <x:c r="CE288" s="178" t="str">
        <x:f>IF(COUNT(AA288:AJ288)=0,"",AVERAGE(AA288:AJ288)*4)</x:f>
      </x:c>
      <x:c r="CF288" s="178" t="str">
        <x:f>IF(COUNT(AK288:AR288)=0,"",AVERAGE(AK288:AR288)*4)</x:f>
      </x:c>
      <x:c r="CG288" s="178" t="str">
        <x:f>IF(COUNT(AS288:AY288)=0,"",AVERAGE(AS288:AY288)*4)</x:f>
      </x:c>
      <x:c r="CH288" s="178" t="str">
        <x:f>IF(COUNT(AZ288:BG288)=0,"",AVERAGE(AZ288:BG288)*4)</x:f>
      </x:c>
      <x:c r="CI288" s="178" t="str">
        <x:f>IF(COUNT(BH288:BN288)=0,"",AVERAGE(BH288:BN288)*4)</x:f>
      </x:c>
      <x:c r="CJ288" s="178" t="str">
        <x:f>IF(COUNT(BO288:BU288)=0,"",AVERAGE(BO288:BU288)*4)</x:f>
      </x:c>
      <x:c r="CK288" s="178" t="str">
        <x:f>IF(COUNT(BV288:CB288)=0,"",AVERAGE(BV288:CB288)*4)</x:f>
      </x:c>
      <x:c r="CL288" s="178" t="str">
        <x:f>IF(C288="","",IF(COUNT(G288:CB288)&lt;74,"",(CC288*'تنظیمات وزن‌دهی'!$C$5+CD288*'تنظیمات وزن‌دهی'!$C$6+CE288*'تنظیمات وزن‌دهی'!$C$7+CF288*'تنظیمات وزن‌دهی'!$C$8+CG288*'تنظیمات وزن‌دهی'!$C$9+CH288*'تنظیمات وزن‌دهی'!$C$10+CI288*'تنظیمات وزن‌دهی'!$C$11+CJ288*'تنظیمات وزن‌دهی'!$C$12+CK288*'تنظیمات وزن‌دهی'!$C$13)/100))</x:f>
      </x:c>
      <x:c r="CM288" s="178" t="str">
        <x:f>IF(C288="","",IF(COUNT(G288:CB288)=0,"",IF(COUNT(G288:CB288)&lt;74,"موقت - اطلاعات ناقص",IF(CL288&gt;=17,"عالی",IF(CL288&gt;=14,"خوب",IF(CL288&gt;=10,"متوسط","ضعیف"))))))</x:f>
      </x:c>
      <x:c r="CN288" s="178" t="n">
        <x:v>8</x:v>
      </x:c>
      <x:c r="CO288" s="142" t="n">
        <x:f>IF(C288="","",COUNT(G288:CB288)/74)</x:f>
        <x:v>0</x:v>
      </x:c>
      <x:c r="CP288" s="245"/>
    </x:row>
    <x:row r="289">
      <x:c r="A289" s="165" t="n">
        <x:v>285</x:v>
      </x:c>
      <x:c r="B289" s="233" t="str">
        <x:v>اسفند</x:v>
      </x:c>
      <x:c r="C289" s="233" t="n">
        <x:f>IF('دانش‌آموزان'!E28="","",'دانش‌آموزان'!B28)</x:f>
        <x:v>24</x:v>
      </x:c>
      <x:c r="D289" s="233" t="str">
        <x:f>IF('دانش‌آموزان'!C28="","",'دانش‌آموزان'!C28)</x:f>
        <x:v>4000000241</x:v>
      </x:c>
      <x:c r="E289" s="233" t="str">
        <x:f>IF('دانش‌آموزان'!E28="","",'دانش‌آموزان'!E28&amp;" "&amp;'دانش‌آموزان'!F28)</x:f>
        <x:v>زهرا محمدی</x:v>
      </x:c>
      <x:c r="F289" s="166" t="str">
        <x:f>IF('دانش‌آموزان'!I28="","",'دانش‌آموزان'!I28)</x:f>
        <x:v>sample-7-a</x:v>
      </x:c>
      <x:c r="G289" s="114"/>
      <x:c r="H289" s="115"/>
      <x:c r="I289" s="115"/>
      <x:c r="J289" s="115"/>
      <x:c r="K289" s="115"/>
      <x:c r="L289" s="115"/>
      <x:c r="M289" s="115"/>
      <x:c r="N289" s="115"/>
      <x:c r="O289" s="115"/>
      <x:c r="P289" s="115"/>
      <x:c r="Q289" s="115"/>
      <x:c r="R289" s="115"/>
      <x:c r="S289" s="115"/>
      <x:c r="T289" s="115"/>
      <x:c r="U289" s="115"/>
      <x:c r="V289" s="115"/>
      <x:c r="W289" s="115"/>
      <x:c r="X289" s="115"/>
      <x:c r="Y289" s="115"/>
      <x:c r="Z289" s="115"/>
      <x:c r="AA289" s="115"/>
      <x:c r="AB289" s="115"/>
      <x:c r="AC289" s="115"/>
      <x:c r="AD289" s="115"/>
      <x:c r="AE289" s="115"/>
      <x:c r="AF289" s="115"/>
      <x:c r="AG289" s="115"/>
      <x:c r="AH289" s="115"/>
      <x:c r="AI289" s="115"/>
      <x:c r="AJ289" s="115"/>
      <x:c r="AK289" s="115"/>
      <x:c r="AL289" s="115"/>
      <x:c r="AM289" s="115"/>
      <x:c r="AN289" s="115"/>
      <x:c r="AO289" s="115"/>
      <x:c r="AP289" s="115"/>
      <x:c r="AQ289" s="115"/>
      <x:c r="AR289" s="115"/>
      <x:c r="AS289" s="115"/>
      <x:c r="AT289" s="115"/>
      <x:c r="AU289" s="115"/>
      <x:c r="AV289" s="115"/>
      <x:c r="AW289" s="115"/>
      <x:c r="AX289" s="115"/>
      <x:c r="AY289" s="115"/>
      <x:c r="AZ289" s="115"/>
      <x:c r="BA289" s="115"/>
      <x:c r="BB289" s="115"/>
      <x:c r="BC289" s="115"/>
      <x:c r="BD289" s="115"/>
      <x:c r="BE289" s="115"/>
      <x:c r="BF289" s="115"/>
      <x:c r="BG289" s="115"/>
      <x:c r="BH289" s="115"/>
      <x:c r="BI289" s="115"/>
      <x:c r="BJ289" s="115"/>
      <x:c r="BK289" s="115"/>
      <x:c r="BL289" s="115"/>
      <x:c r="BM289" s="115"/>
      <x:c r="BN289" s="115"/>
      <x:c r="BO289" s="115"/>
      <x:c r="BP289" s="115"/>
      <x:c r="BQ289" s="115"/>
      <x:c r="BR289" s="115"/>
      <x:c r="BS289" s="115"/>
      <x:c r="BT289" s="115"/>
      <x:c r="BU289" s="115"/>
      <x:c r="BV289" s="115"/>
      <x:c r="BW289" s="115"/>
      <x:c r="BX289" s="115"/>
      <x:c r="BY289" s="115"/>
      <x:c r="BZ289" s="115"/>
      <x:c r="CA289" s="115"/>
      <x:c r="CB289" s="116"/>
      <x:c r="CC289" s="141" t="str">
        <x:f>IF(COUNT(G289:P289)=0,"",AVERAGE(G289:P289)*4)</x:f>
      </x:c>
      <x:c r="CD289" s="178" t="str">
        <x:f>IF(COUNT(Q289:Z289)=0,"",AVERAGE(Q289:Z289)*4)</x:f>
      </x:c>
      <x:c r="CE289" s="178" t="str">
        <x:f>IF(COUNT(AA289:AJ289)=0,"",AVERAGE(AA289:AJ289)*4)</x:f>
      </x:c>
      <x:c r="CF289" s="178" t="str">
        <x:f>IF(COUNT(AK289:AR289)=0,"",AVERAGE(AK289:AR289)*4)</x:f>
      </x:c>
      <x:c r="CG289" s="178" t="str">
        <x:f>IF(COUNT(AS289:AY289)=0,"",AVERAGE(AS289:AY289)*4)</x:f>
      </x:c>
      <x:c r="CH289" s="178" t="str">
        <x:f>IF(COUNT(AZ289:BG289)=0,"",AVERAGE(AZ289:BG289)*4)</x:f>
      </x:c>
      <x:c r="CI289" s="178" t="str">
        <x:f>IF(COUNT(BH289:BN289)=0,"",AVERAGE(BH289:BN289)*4)</x:f>
      </x:c>
      <x:c r="CJ289" s="178" t="str">
        <x:f>IF(COUNT(BO289:BU289)=0,"",AVERAGE(BO289:BU289)*4)</x:f>
      </x:c>
      <x:c r="CK289" s="178" t="str">
        <x:f>IF(COUNT(BV289:CB289)=0,"",AVERAGE(BV289:CB289)*4)</x:f>
      </x:c>
      <x:c r="CL289" s="178" t="str">
        <x:f>IF(C289="","",IF(COUNT(G289:CB289)&lt;74,"",(CC289*'تنظیمات وزن‌دهی'!$C$5+CD289*'تنظیمات وزن‌دهی'!$C$6+CE289*'تنظیمات وزن‌دهی'!$C$7+CF289*'تنظیمات وزن‌دهی'!$C$8+CG289*'تنظیمات وزن‌دهی'!$C$9+CH289*'تنظیمات وزن‌دهی'!$C$10+CI289*'تنظیمات وزن‌دهی'!$C$11+CJ289*'تنظیمات وزن‌دهی'!$C$12+CK289*'تنظیمات وزن‌دهی'!$C$13)/100))</x:f>
      </x:c>
      <x:c r="CM289" s="178" t="str">
        <x:f>IF(C289="","",IF(COUNT(G289:CB289)=0,"",IF(COUNT(G289:CB289)&lt;74,"موقت - اطلاعات ناقص",IF(CL289&gt;=17,"عالی",IF(CL289&gt;=14,"خوب",IF(CL289&gt;=10,"متوسط","ضعیف"))))))</x:f>
      </x:c>
      <x:c r="CN289" s="178" t="n">
        <x:v>9</x:v>
      </x:c>
      <x:c r="CO289" s="142" t="n">
        <x:f>IF(C289="","",COUNT(G289:CB289)/74)</x:f>
        <x:v>0</x:v>
      </x:c>
      <x:c r="CP289" s="245"/>
    </x:row>
    <x:row r="290">
      <x:c r="A290" s="165" t="n">
        <x:v>286</x:v>
      </x:c>
      <x:c r="B290" s="233" t="str">
        <x:v>فروردین</x:v>
      </x:c>
      <x:c r="C290" s="233" t="n">
        <x:f>IF('دانش‌آموزان'!E28="","",'دانش‌آموزان'!B28)</x:f>
        <x:v>24</x:v>
      </x:c>
      <x:c r="D290" s="233" t="str">
        <x:f>IF('دانش‌آموزان'!C28="","",'دانش‌آموزان'!C28)</x:f>
        <x:v>4000000241</x:v>
      </x:c>
      <x:c r="E290" s="233" t="str">
        <x:f>IF('دانش‌آموزان'!E28="","",'دانش‌آموزان'!E28&amp;" "&amp;'دانش‌آموزان'!F28)</x:f>
        <x:v>زهرا محمدی</x:v>
      </x:c>
      <x:c r="F290" s="166" t="str">
        <x:f>IF('دانش‌آموزان'!I28="","",'دانش‌آموزان'!I28)</x:f>
        <x:v>sample-7-a</x:v>
      </x:c>
      <x:c r="G290" s="114"/>
      <x:c r="H290" s="115"/>
      <x:c r="I290" s="115"/>
      <x:c r="J290" s="115"/>
      <x:c r="K290" s="115"/>
      <x:c r="L290" s="115"/>
      <x:c r="M290" s="115"/>
      <x:c r="N290" s="115"/>
      <x:c r="O290" s="115"/>
      <x:c r="P290" s="115"/>
      <x:c r="Q290" s="115"/>
      <x:c r="R290" s="115"/>
      <x:c r="S290" s="115"/>
      <x:c r="T290" s="115"/>
      <x:c r="U290" s="115"/>
      <x:c r="V290" s="115"/>
      <x:c r="W290" s="115"/>
      <x:c r="X290" s="115"/>
      <x:c r="Y290" s="115"/>
      <x:c r="Z290" s="115"/>
      <x:c r="AA290" s="115"/>
      <x:c r="AB290" s="115"/>
      <x:c r="AC290" s="115"/>
      <x:c r="AD290" s="115"/>
      <x:c r="AE290" s="115"/>
      <x:c r="AF290" s="115"/>
      <x:c r="AG290" s="115"/>
      <x:c r="AH290" s="115"/>
      <x:c r="AI290" s="115"/>
      <x:c r="AJ290" s="115"/>
      <x:c r="AK290" s="115"/>
      <x:c r="AL290" s="115"/>
      <x:c r="AM290" s="115"/>
      <x:c r="AN290" s="115"/>
      <x:c r="AO290" s="115"/>
      <x:c r="AP290" s="115"/>
      <x:c r="AQ290" s="115"/>
      <x:c r="AR290" s="115"/>
      <x:c r="AS290" s="115"/>
      <x:c r="AT290" s="115"/>
      <x:c r="AU290" s="115"/>
      <x:c r="AV290" s="115"/>
      <x:c r="AW290" s="115"/>
      <x:c r="AX290" s="115"/>
      <x:c r="AY290" s="115"/>
      <x:c r="AZ290" s="115"/>
      <x:c r="BA290" s="115"/>
      <x:c r="BB290" s="115"/>
      <x:c r="BC290" s="115"/>
      <x:c r="BD290" s="115"/>
      <x:c r="BE290" s="115"/>
      <x:c r="BF290" s="115"/>
      <x:c r="BG290" s="115"/>
      <x:c r="BH290" s="115"/>
      <x:c r="BI290" s="115"/>
      <x:c r="BJ290" s="115"/>
      <x:c r="BK290" s="115"/>
      <x:c r="BL290" s="115"/>
      <x:c r="BM290" s="115"/>
      <x:c r="BN290" s="115"/>
      <x:c r="BO290" s="115"/>
      <x:c r="BP290" s="115"/>
      <x:c r="BQ290" s="115"/>
      <x:c r="BR290" s="115"/>
      <x:c r="BS290" s="115"/>
      <x:c r="BT290" s="115"/>
      <x:c r="BU290" s="115"/>
      <x:c r="BV290" s="115"/>
      <x:c r="BW290" s="115"/>
      <x:c r="BX290" s="115"/>
      <x:c r="BY290" s="115"/>
      <x:c r="BZ290" s="115"/>
      <x:c r="CA290" s="115"/>
      <x:c r="CB290" s="116"/>
      <x:c r="CC290" s="141" t="str">
        <x:f>IF(COUNT(G290:P290)=0,"",AVERAGE(G290:P290)*4)</x:f>
      </x:c>
      <x:c r="CD290" s="178" t="str">
        <x:f>IF(COUNT(Q290:Z290)=0,"",AVERAGE(Q290:Z290)*4)</x:f>
      </x:c>
      <x:c r="CE290" s="178" t="str">
        <x:f>IF(COUNT(AA290:AJ290)=0,"",AVERAGE(AA290:AJ290)*4)</x:f>
      </x:c>
      <x:c r="CF290" s="178" t="str">
        <x:f>IF(COUNT(AK290:AR290)=0,"",AVERAGE(AK290:AR290)*4)</x:f>
      </x:c>
      <x:c r="CG290" s="178" t="str">
        <x:f>IF(COUNT(AS290:AY290)=0,"",AVERAGE(AS290:AY290)*4)</x:f>
      </x:c>
      <x:c r="CH290" s="178" t="str">
        <x:f>IF(COUNT(AZ290:BG290)=0,"",AVERAGE(AZ290:BG290)*4)</x:f>
      </x:c>
      <x:c r="CI290" s="178" t="str">
        <x:f>IF(COUNT(BH290:BN290)=0,"",AVERAGE(BH290:BN290)*4)</x:f>
      </x:c>
      <x:c r="CJ290" s="178" t="str">
        <x:f>IF(COUNT(BO290:BU290)=0,"",AVERAGE(BO290:BU290)*4)</x:f>
      </x:c>
      <x:c r="CK290" s="178" t="str">
        <x:f>IF(COUNT(BV290:CB290)=0,"",AVERAGE(BV290:CB290)*4)</x:f>
      </x:c>
      <x:c r="CL290" s="178" t="str">
        <x:f>IF(C290="","",IF(COUNT(G290:CB290)&lt;74,"",(CC290*'تنظیمات وزن‌دهی'!$C$5+CD290*'تنظیمات وزن‌دهی'!$C$6+CE290*'تنظیمات وزن‌دهی'!$C$7+CF290*'تنظیمات وزن‌دهی'!$C$8+CG290*'تنظیمات وزن‌دهی'!$C$9+CH290*'تنظیمات وزن‌دهی'!$C$10+CI290*'تنظیمات وزن‌دهی'!$C$11+CJ290*'تنظیمات وزن‌دهی'!$C$12+CK290*'تنظیمات وزن‌دهی'!$C$13)/100))</x:f>
      </x:c>
      <x:c r="CM290" s="178" t="str">
        <x:f>IF(C290="","",IF(COUNT(G290:CB290)=0,"",IF(COUNT(G290:CB290)&lt;74,"موقت - اطلاعات ناقص",IF(CL290&gt;=17,"عالی",IF(CL290&gt;=14,"خوب",IF(CL290&gt;=10,"متوسط","ضعیف"))))))</x:f>
      </x:c>
      <x:c r="CN290" s="178" t="n">
        <x:v>10</x:v>
      </x:c>
      <x:c r="CO290" s="142" t="n">
        <x:f>IF(C290="","",COUNT(G290:CB290)/74)</x:f>
        <x:v>0</x:v>
      </x:c>
      <x:c r="CP290" s="245"/>
    </x:row>
    <x:row r="291">
      <x:c r="A291" s="165" t="n">
        <x:v>287</x:v>
      </x:c>
      <x:c r="B291" s="233" t="str">
        <x:v>اردیبهشت</x:v>
      </x:c>
      <x:c r="C291" s="233" t="n">
        <x:f>IF('دانش‌آموزان'!E28="","",'دانش‌آموزان'!B28)</x:f>
        <x:v>24</x:v>
      </x:c>
      <x:c r="D291" s="233" t="str">
        <x:f>IF('دانش‌آموزان'!C28="","",'دانش‌آموزان'!C28)</x:f>
        <x:v>4000000241</x:v>
      </x:c>
      <x:c r="E291" s="233" t="str">
        <x:f>IF('دانش‌آموزان'!E28="","",'دانش‌آموزان'!E28&amp;" "&amp;'دانش‌آموزان'!F28)</x:f>
        <x:v>زهرا محمدی</x:v>
      </x:c>
      <x:c r="F291" s="166" t="str">
        <x:f>IF('دانش‌آموزان'!I28="","",'دانش‌آموزان'!I28)</x:f>
        <x:v>sample-7-a</x:v>
      </x:c>
      <x:c r="G291" s="114"/>
      <x:c r="H291" s="115"/>
      <x:c r="I291" s="115"/>
      <x:c r="J291" s="115"/>
      <x:c r="K291" s="115"/>
      <x:c r="L291" s="115"/>
      <x:c r="M291" s="115"/>
      <x:c r="N291" s="115"/>
      <x:c r="O291" s="115"/>
      <x:c r="P291" s="115"/>
      <x:c r="Q291" s="115"/>
      <x:c r="R291" s="115"/>
      <x:c r="S291" s="115"/>
      <x:c r="T291" s="115"/>
      <x:c r="U291" s="115"/>
      <x:c r="V291" s="115"/>
      <x:c r="W291" s="115"/>
      <x:c r="X291" s="115"/>
      <x:c r="Y291" s="115"/>
      <x:c r="Z291" s="115"/>
      <x:c r="AA291" s="115"/>
      <x:c r="AB291" s="115"/>
      <x:c r="AC291" s="115"/>
      <x:c r="AD291" s="115"/>
      <x:c r="AE291" s="115"/>
      <x:c r="AF291" s="115"/>
      <x:c r="AG291" s="115"/>
      <x:c r="AH291" s="115"/>
      <x:c r="AI291" s="115"/>
      <x:c r="AJ291" s="115"/>
      <x:c r="AK291" s="115"/>
      <x:c r="AL291" s="115"/>
      <x:c r="AM291" s="115"/>
      <x:c r="AN291" s="115"/>
      <x:c r="AO291" s="115"/>
      <x:c r="AP291" s="115"/>
      <x:c r="AQ291" s="115"/>
      <x:c r="AR291" s="115"/>
      <x:c r="AS291" s="115"/>
      <x:c r="AT291" s="115"/>
      <x:c r="AU291" s="115"/>
      <x:c r="AV291" s="115"/>
      <x:c r="AW291" s="115"/>
      <x:c r="AX291" s="115"/>
      <x:c r="AY291" s="115"/>
      <x:c r="AZ291" s="115"/>
      <x:c r="BA291" s="115"/>
      <x:c r="BB291" s="115"/>
      <x:c r="BC291" s="115"/>
      <x:c r="BD291" s="115"/>
      <x:c r="BE291" s="115"/>
      <x:c r="BF291" s="115"/>
      <x:c r="BG291" s="115"/>
      <x:c r="BH291" s="115"/>
      <x:c r="BI291" s="115"/>
      <x:c r="BJ291" s="115"/>
      <x:c r="BK291" s="115"/>
      <x:c r="BL291" s="115"/>
      <x:c r="BM291" s="115"/>
      <x:c r="BN291" s="115"/>
      <x:c r="BO291" s="115"/>
      <x:c r="BP291" s="115"/>
      <x:c r="BQ291" s="115"/>
      <x:c r="BR291" s="115"/>
      <x:c r="BS291" s="115"/>
      <x:c r="BT291" s="115"/>
      <x:c r="BU291" s="115"/>
      <x:c r="BV291" s="115"/>
      <x:c r="BW291" s="115"/>
      <x:c r="BX291" s="115"/>
      <x:c r="BY291" s="115"/>
      <x:c r="BZ291" s="115"/>
      <x:c r="CA291" s="115"/>
      <x:c r="CB291" s="116"/>
      <x:c r="CC291" s="141" t="str">
        <x:f>IF(COUNT(G291:P291)=0,"",AVERAGE(G291:P291)*4)</x:f>
      </x:c>
      <x:c r="CD291" s="178" t="str">
        <x:f>IF(COUNT(Q291:Z291)=0,"",AVERAGE(Q291:Z291)*4)</x:f>
      </x:c>
      <x:c r="CE291" s="178" t="str">
        <x:f>IF(COUNT(AA291:AJ291)=0,"",AVERAGE(AA291:AJ291)*4)</x:f>
      </x:c>
      <x:c r="CF291" s="178" t="str">
        <x:f>IF(COUNT(AK291:AR291)=0,"",AVERAGE(AK291:AR291)*4)</x:f>
      </x:c>
      <x:c r="CG291" s="178" t="str">
        <x:f>IF(COUNT(AS291:AY291)=0,"",AVERAGE(AS291:AY291)*4)</x:f>
      </x:c>
      <x:c r="CH291" s="178" t="str">
        <x:f>IF(COUNT(AZ291:BG291)=0,"",AVERAGE(AZ291:BG291)*4)</x:f>
      </x:c>
      <x:c r="CI291" s="178" t="str">
        <x:f>IF(COUNT(BH291:BN291)=0,"",AVERAGE(BH291:BN291)*4)</x:f>
      </x:c>
      <x:c r="CJ291" s="178" t="str">
        <x:f>IF(COUNT(BO291:BU291)=0,"",AVERAGE(BO291:BU291)*4)</x:f>
      </x:c>
      <x:c r="CK291" s="178" t="str">
        <x:f>IF(COUNT(BV291:CB291)=0,"",AVERAGE(BV291:CB291)*4)</x:f>
      </x:c>
      <x:c r="CL291" s="178" t="str">
        <x:f>IF(C291="","",IF(COUNT(G291:CB291)&lt;74,"",(CC291*'تنظیمات وزن‌دهی'!$C$5+CD291*'تنظیمات وزن‌دهی'!$C$6+CE291*'تنظیمات وزن‌دهی'!$C$7+CF291*'تنظیمات وزن‌دهی'!$C$8+CG291*'تنظیمات وزن‌دهی'!$C$9+CH291*'تنظیمات وزن‌دهی'!$C$10+CI291*'تنظیمات وزن‌دهی'!$C$11+CJ291*'تنظیمات وزن‌دهی'!$C$12+CK291*'تنظیمات وزن‌دهی'!$C$13)/100))</x:f>
      </x:c>
      <x:c r="CM291" s="178" t="str">
        <x:f>IF(C291="","",IF(COUNT(G291:CB291)=0,"",IF(COUNT(G291:CB291)&lt;74,"موقت - اطلاعات ناقص",IF(CL291&gt;=17,"عالی",IF(CL291&gt;=14,"خوب",IF(CL291&gt;=10,"متوسط","ضعیف"))))))</x:f>
      </x:c>
      <x:c r="CN291" s="178" t="n">
        <x:v>11</x:v>
      </x:c>
      <x:c r="CO291" s="142" t="n">
        <x:f>IF(C291="","",COUNT(G291:CB291)/74)</x:f>
        <x:v>0</x:v>
      </x:c>
      <x:c r="CP291" s="245"/>
    </x:row>
    <x:row r="292">
      <x:c r="A292" s="165" t="n">
        <x:v>288</x:v>
      </x:c>
      <x:c r="B292" s="233" t="str">
        <x:v>خرداد</x:v>
      </x:c>
      <x:c r="C292" s="233" t="n">
        <x:f>IF('دانش‌آموزان'!E28="","",'دانش‌آموزان'!B28)</x:f>
        <x:v>24</x:v>
      </x:c>
      <x:c r="D292" s="233" t="str">
        <x:f>IF('دانش‌آموزان'!C28="","",'دانش‌آموزان'!C28)</x:f>
        <x:v>4000000241</x:v>
      </x:c>
      <x:c r="E292" s="233" t="str">
        <x:f>IF('دانش‌آموزان'!E28="","",'دانش‌آموزان'!E28&amp;" "&amp;'دانش‌آموزان'!F28)</x:f>
        <x:v>زهرا محمدی</x:v>
      </x:c>
      <x:c r="F292" s="166" t="str">
        <x:f>IF('دانش‌آموزان'!I28="","",'دانش‌آموزان'!I28)</x:f>
        <x:v>sample-7-a</x:v>
      </x:c>
      <x:c r="G292" s="114"/>
      <x:c r="H292" s="115"/>
      <x:c r="I292" s="115"/>
      <x:c r="J292" s="115"/>
      <x:c r="K292" s="115"/>
      <x:c r="L292" s="115"/>
      <x:c r="M292" s="115"/>
      <x:c r="N292" s="115"/>
      <x:c r="O292" s="115"/>
      <x:c r="P292" s="115"/>
      <x:c r="Q292" s="115"/>
      <x:c r="R292" s="115"/>
      <x:c r="S292" s="115"/>
      <x:c r="T292" s="115"/>
      <x:c r="U292" s="115"/>
      <x:c r="V292" s="115"/>
      <x:c r="W292" s="115"/>
      <x:c r="X292" s="115"/>
      <x:c r="Y292" s="115"/>
      <x:c r="Z292" s="115"/>
      <x:c r="AA292" s="115"/>
      <x:c r="AB292" s="115"/>
      <x:c r="AC292" s="115"/>
      <x:c r="AD292" s="115"/>
      <x:c r="AE292" s="115"/>
      <x:c r="AF292" s="115"/>
      <x:c r="AG292" s="115"/>
      <x:c r="AH292" s="115"/>
      <x:c r="AI292" s="115"/>
      <x:c r="AJ292" s="115"/>
      <x:c r="AK292" s="115"/>
      <x:c r="AL292" s="115"/>
      <x:c r="AM292" s="115"/>
      <x:c r="AN292" s="115"/>
      <x:c r="AO292" s="115"/>
      <x:c r="AP292" s="115"/>
      <x:c r="AQ292" s="115"/>
      <x:c r="AR292" s="115"/>
      <x:c r="AS292" s="115"/>
      <x:c r="AT292" s="115"/>
      <x:c r="AU292" s="115"/>
      <x:c r="AV292" s="115"/>
      <x:c r="AW292" s="115"/>
      <x:c r="AX292" s="115"/>
      <x:c r="AY292" s="115"/>
      <x:c r="AZ292" s="115"/>
      <x:c r="BA292" s="115"/>
      <x:c r="BB292" s="115"/>
      <x:c r="BC292" s="115"/>
      <x:c r="BD292" s="115"/>
      <x:c r="BE292" s="115"/>
      <x:c r="BF292" s="115"/>
      <x:c r="BG292" s="115"/>
      <x:c r="BH292" s="115"/>
      <x:c r="BI292" s="115"/>
      <x:c r="BJ292" s="115"/>
      <x:c r="BK292" s="115"/>
      <x:c r="BL292" s="115"/>
      <x:c r="BM292" s="115"/>
      <x:c r="BN292" s="115"/>
      <x:c r="BO292" s="115"/>
      <x:c r="BP292" s="115"/>
      <x:c r="BQ292" s="115"/>
      <x:c r="BR292" s="115"/>
      <x:c r="BS292" s="115"/>
      <x:c r="BT292" s="115"/>
      <x:c r="BU292" s="115"/>
      <x:c r="BV292" s="115"/>
      <x:c r="BW292" s="115"/>
      <x:c r="BX292" s="115"/>
      <x:c r="BY292" s="115"/>
      <x:c r="BZ292" s="115"/>
      <x:c r="CA292" s="115"/>
      <x:c r="CB292" s="116"/>
      <x:c r="CC292" s="141" t="str">
        <x:f>IF(COUNT(G292:P292)=0,"",AVERAGE(G292:P292)*4)</x:f>
      </x:c>
      <x:c r="CD292" s="178" t="str">
        <x:f>IF(COUNT(Q292:Z292)=0,"",AVERAGE(Q292:Z292)*4)</x:f>
      </x:c>
      <x:c r="CE292" s="178" t="str">
        <x:f>IF(COUNT(AA292:AJ292)=0,"",AVERAGE(AA292:AJ292)*4)</x:f>
      </x:c>
      <x:c r="CF292" s="178" t="str">
        <x:f>IF(COUNT(AK292:AR292)=0,"",AVERAGE(AK292:AR292)*4)</x:f>
      </x:c>
      <x:c r="CG292" s="178" t="str">
        <x:f>IF(COUNT(AS292:AY292)=0,"",AVERAGE(AS292:AY292)*4)</x:f>
      </x:c>
      <x:c r="CH292" s="178" t="str">
        <x:f>IF(COUNT(AZ292:BG292)=0,"",AVERAGE(AZ292:BG292)*4)</x:f>
      </x:c>
      <x:c r="CI292" s="178" t="str">
        <x:f>IF(COUNT(BH292:BN292)=0,"",AVERAGE(BH292:BN292)*4)</x:f>
      </x:c>
      <x:c r="CJ292" s="178" t="str">
        <x:f>IF(COUNT(BO292:BU292)=0,"",AVERAGE(BO292:BU292)*4)</x:f>
      </x:c>
      <x:c r="CK292" s="178" t="str">
        <x:f>IF(COUNT(BV292:CB292)=0,"",AVERAGE(BV292:CB292)*4)</x:f>
      </x:c>
      <x:c r="CL292" s="178" t="str">
        <x:f>IF(C292="","",IF(COUNT(G292:CB292)&lt;74,"",(CC292*'تنظیمات وزن‌دهی'!$C$5+CD292*'تنظیمات وزن‌دهی'!$C$6+CE292*'تنظیمات وزن‌دهی'!$C$7+CF292*'تنظیمات وزن‌دهی'!$C$8+CG292*'تنظیمات وزن‌دهی'!$C$9+CH292*'تنظیمات وزن‌دهی'!$C$10+CI292*'تنظیمات وزن‌دهی'!$C$11+CJ292*'تنظیمات وزن‌دهی'!$C$12+CK292*'تنظیمات وزن‌دهی'!$C$13)/100))</x:f>
      </x:c>
      <x:c r="CM292" s="178" t="str">
        <x:f>IF(C292="","",IF(COUNT(G292:CB292)=0,"",IF(COUNT(G292:CB292)&lt;74,"موقت - اطلاعات ناقص",IF(CL292&gt;=17,"عالی",IF(CL292&gt;=14,"خوب",IF(CL292&gt;=10,"متوسط","ضعیف"))))))</x:f>
      </x:c>
      <x:c r="CN292" s="178" t="n">
        <x:v>12</x:v>
      </x:c>
      <x:c r="CO292" s="142" t="n">
        <x:f>IF(C292="","",COUNT(G292:CB292)/74)</x:f>
        <x:v>0</x:v>
      </x:c>
      <x:c r="CP292" s="245"/>
    </x:row>
    <x:row r="293">
      <x:c r="A293" s="165" t="n">
        <x:v>289</x:v>
      </x:c>
      <x:c r="B293" s="233" t="str">
        <x:v>تیر</x:v>
      </x:c>
      <x:c r="C293" s="233" t="n">
        <x:f>IF('دانش‌آموزان'!E29="","",'دانش‌آموزان'!B29)</x:f>
        <x:v>25</x:v>
      </x:c>
      <x:c r="D293" s="233" t="str">
        <x:f>IF('دانش‌آموزان'!C29="","",'دانش‌آموزان'!C29)</x:f>
        <x:v>4000000251</x:v>
      </x:c>
      <x:c r="E293" s="233" t="str">
        <x:f>IF('دانش‌آموزان'!E29="","",'دانش‌آموزان'!E29&amp;" "&amp;'دانش‌آموزان'!F29)</x:f>
        <x:v>محمد قاسمی</x:v>
      </x:c>
      <x:c r="F293" s="166" t="str">
        <x:f>IF('دانش‌آموزان'!I29="","",'دانش‌آموزان'!I29)</x:f>
        <x:v>sample-7-a</x:v>
      </x:c>
      <x:c r="G293" s="114" t="n">
        <x:v>4</x:v>
      </x:c>
      <x:c r="H293" s="115" t="n">
        <x:v>2</x:v>
      </x:c>
      <x:c r="I293" s="115" t="n">
        <x:v>4</x:v>
      </x:c>
      <x:c r="J293" s="115" t="n">
        <x:v>5</x:v>
      </x:c>
      <x:c r="K293" s="115" t="n">
        <x:v>4</x:v>
      </x:c>
      <x:c r="L293" s="115" t="n">
        <x:v>5</x:v>
      </x:c>
      <x:c r="M293" s="115" t="n">
        <x:v>3</x:v>
      </x:c>
      <x:c r="N293" s="115" t="n">
        <x:v>5</x:v>
      </x:c>
      <x:c r="O293" s="115" t="n">
        <x:v>3</x:v>
      </x:c>
      <x:c r="P293" s="115" t="n">
        <x:v>4</x:v>
      </x:c>
      <x:c r="Q293" s="115" t="n">
        <x:v>3</x:v>
      </x:c>
      <x:c r="R293" s="115" t="n">
        <x:v>4</x:v>
      </x:c>
      <x:c r="S293" s="115" t="n">
        <x:v>2</x:v>
      </x:c>
      <x:c r="T293" s="115" t="n">
        <x:v>4</x:v>
      </x:c>
      <x:c r="U293" s="115" t="n">
        <x:v>5</x:v>
      </x:c>
      <x:c r="V293" s="115" t="n">
        <x:v>4</x:v>
      </x:c>
      <x:c r="W293" s="115" t="n">
        <x:v>5</x:v>
      </x:c>
      <x:c r="X293" s="115" t="n">
        <x:v>3</x:v>
      </x:c>
      <x:c r="Y293" s="115" t="n">
        <x:v>5</x:v>
      </x:c>
      <x:c r="Z293" s="115" t="n">
        <x:v>3</x:v>
      </x:c>
      <x:c r="AA293" s="115" t="n">
        <x:v>4</x:v>
      </x:c>
      <x:c r="AB293" s="115" t="n">
        <x:v>3</x:v>
      </x:c>
      <x:c r="AC293" s="115" t="n">
        <x:v>4</x:v>
      </x:c>
      <x:c r="AD293" s="115" t="n">
        <x:v>2</x:v>
      </x:c>
      <x:c r="AE293" s="115" t="n">
        <x:v>4</x:v>
      </x:c>
      <x:c r="AF293" s="115" t="n">
        <x:v>5</x:v>
      </x:c>
      <x:c r="AG293" s="115" t="n">
        <x:v>4</x:v>
      </x:c>
      <x:c r="AH293" s="115" t="n">
        <x:v>5</x:v>
      </x:c>
      <x:c r="AI293" s="115" t="n">
        <x:v>3</x:v>
      </x:c>
      <x:c r="AJ293" s="115" t="n">
        <x:v>5</x:v>
      </x:c>
      <x:c r="AK293" s="115" t="n">
        <x:v>3</x:v>
      </x:c>
      <x:c r="AL293" s="115" t="n">
        <x:v>4</x:v>
      </x:c>
      <x:c r="AM293" s="115" t="n">
        <x:v>3</x:v>
      </x:c>
      <x:c r="AN293" s="115" t="n">
        <x:v>4</x:v>
      </x:c>
      <x:c r="AO293" s="115" t="n">
        <x:v>2</x:v>
      </x:c>
      <x:c r="AP293" s="115" t="n">
        <x:v>4</x:v>
      </x:c>
      <x:c r="AQ293" s="115" t="n">
        <x:v>5</x:v>
      </x:c>
      <x:c r="AR293" s="115" t="n">
        <x:v>4</x:v>
      </x:c>
      <x:c r="AS293" s="115" t="n">
        <x:v>5</x:v>
      </x:c>
      <x:c r="AT293" s="115" t="n">
        <x:v>3</x:v>
      </x:c>
      <x:c r="AU293" s="115" t="n">
        <x:v>5</x:v>
      </x:c>
      <x:c r="AV293" s="115" t="n">
        <x:v>3</x:v>
      </x:c>
      <x:c r="AW293" s="115" t="n">
        <x:v>4</x:v>
      </x:c>
      <x:c r="AX293" s="115" t="n">
        <x:v>3</x:v>
      </x:c>
      <x:c r="AY293" s="115" t="n">
        <x:v>4</x:v>
      </x:c>
      <x:c r="AZ293" s="115" t="n">
        <x:v>2</x:v>
      </x:c>
      <x:c r="BA293" s="115" t="n">
        <x:v>4</x:v>
      </x:c>
      <x:c r="BB293" s="115" t="n">
        <x:v>5</x:v>
      </x:c>
      <x:c r="BC293" s="115" t="n">
        <x:v>4</x:v>
      </x:c>
      <x:c r="BD293" s="115" t="n">
        <x:v>5</x:v>
      </x:c>
      <x:c r="BE293" s="115" t="n">
        <x:v>3</x:v>
      </x:c>
      <x:c r="BF293" s="115" t="n">
        <x:v>5</x:v>
      </x:c>
      <x:c r="BG293" s="115" t="n">
        <x:v>3</x:v>
      </x:c>
      <x:c r="BH293" s="115" t="n">
        <x:v>4</x:v>
      </x:c>
      <x:c r="BI293" s="115" t="n">
        <x:v>3</x:v>
      </x:c>
      <x:c r="BJ293" s="115" t="n">
        <x:v>4</x:v>
      </x:c>
      <x:c r="BK293" s="115" t="n">
        <x:v>2</x:v>
      </x:c>
      <x:c r="BL293" s="115" t="n">
        <x:v>4</x:v>
      </x:c>
      <x:c r="BM293" s="115" t="n">
        <x:v>5</x:v>
      </x:c>
      <x:c r="BN293" s="115" t="n">
        <x:v>4</x:v>
      </x:c>
      <x:c r="BO293" s="115" t="n">
        <x:v>5</x:v>
      </x:c>
      <x:c r="BP293" s="115" t="n">
        <x:v>3</x:v>
      </x:c>
      <x:c r="BQ293" s="115" t="n">
        <x:v>5</x:v>
      </x:c>
      <x:c r="BR293" s="115" t="n">
        <x:v>3</x:v>
      </x:c>
      <x:c r="BS293" s="115" t="n">
        <x:v>4</x:v>
      </x:c>
      <x:c r="BT293" s="115" t="n">
        <x:v>3</x:v>
      </x:c>
      <x:c r="BU293" s="115" t="n">
        <x:v>4</x:v>
      </x:c>
      <x:c r="BV293" s="115" t="n">
        <x:v>2</x:v>
      </x:c>
      <x:c r="BW293" s="115" t="n">
        <x:v>4</x:v>
      </x:c>
      <x:c r="BX293" s="115" t="n">
        <x:v>5</x:v>
      </x:c>
      <x:c r="BY293" s="115" t="n">
        <x:v>4</x:v>
      </x:c>
      <x:c r="BZ293" s="115" t="n">
        <x:v>5</x:v>
      </x:c>
      <x:c r="CA293" s="115" t="n">
        <x:v>3</x:v>
      </x:c>
      <x:c r="CB293" s="116" t="n">
        <x:v>5</x:v>
      </x:c>
      <x:c r="CC293" s="141" t="n">
        <x:f>IF(COUNT(G293:P293)=0,"",AVERAGE(G293:P293)*4)</x:f>
        <x:v>15.6</x:v>
      </x:c>
      <x:c r="CD293" s="178" t="n">
        <x:f>IF(COUNT(Q293:Z293)=0,"",AVERAGE(Q293:Z293)*4)</x:f>
        <x:v>15.2</x:v>
      </x:c>
      <x:c r="CE293" s="178" t="n">
        <x:f>IF(COUNT(AA293:AJ293)=0,"",AVERAGE(AA293:AJ293)*4)</x:f>
        <x:v>15.6</x:v>
      </x:c>
      <x:c r="CF293" s="178" t="n">
        <x:f>IF(COUNT(AK293:AR293)=0,"",AVERAGE(AK293:AR293)*4)</x:f>
        <x:v>14.5</x:v>
      </x:c>
      <x:c r="CG293" s="178" t="n">
        <x:f>IF(COUNT(AS293:AY293)=0,"",AVERAGE(AS293:AY293)*4)</x:f>
        <x:v>15.428571428571429</x:v>
      </x:c>
      <x:c r="CH293" s="178" t="n">
        <x:f>IF(COUNT(AZ293:BG293)=0,"",AVERAGE(AZ293:BG293)*4)</x:f>
        <x:v>15.5</x:v>
      </x:c>
      <x:c r="CI293" s="178" t="n">
        <x:f>IF(COUNT(BH293:BN293)=0,"",AVERAGE(BH293:BN293)*4)</x:f>
        <x:v>14.857142857142858</x:v>
      </x:c>
      <x:c r="CJ293" s="178" t="n">
        <x:f>IF(COUNT(BO293:BU293)=0,"",AVERAGE(BO293:BU293)*4)</x:f>
        <x:v>15.428571428571429</x:v>
      </x:c>
      <x:c r="CK293" s="178" t="n">
        <x:f>IF(COUNT(BV293:CB293)=0,"",AVERAGE(BV293:CB293)*4)</x:f>
        <x:v>16</x:v>
      </x:c>
      <x:c r="CL293" s="178" t="n">
        <x:f>IF(C293="","",IF(COUNT(G293:CB293)&lt;74,"",(CC293*'تنظیمات وزن‌دهی'!$C$5+CD293*'تنظیمات وزن‌دهی'!$C$6+CE293*'تنظیمات وزن‌دهی'!$C$7+CF293*'تنظیمات وزن‌دهی'!$C$8+CG293*'تنظیمات وزن‌دهی'!$C$9+CH293*'تنظیمات وزن‌دهی'!$C$10+CI293*'تنظیمات وزن‌دهی'!$C$11+CJ293*'تنظیمات وزن‌دهی'!$C$12+CK293*'تنظیمات وزن‌دهی'!$C$13)/100))</x:f>
        <x:v>15.320714285714287</x:v>
      </x:c>
      <x:c r="CM293" s="178" t="str">
        <x:f>IF(C293="","",IF(COUNT(G293:CB293)=0,"",IF(COUNT(G293:CB293)&lt;74,"موقت - اطلاعات ناقص",IF(CL293&gt;=17,"عالی",IF(CL293&gt;=14,"خوب",IF(CL293&gt;=10,"متوسط","ضعیف"))))))</x:f>
        <x:v>خوب</x:v>
      </x:c>
      <x:c r="CN293" s="178" t="n">
        <x:v>1</x:v>
      </x:c>
      <x:c r="CO293" s="142" t="n">
        <x:f>IF(C293="","",COUNT(G293:CB293)/74)</x:f>
        <x:v>1</x:v>
      </x:c>
      <x:c r="CP293" s="245" t="str">
        <x:v>داده نمونه کامل برای ماه تیر - دانش‌آموز شماره 25</x:v>
      </x:c>
    </x:row>
    <x:row r="294">
      <x:c r="A294" s="165" t="n">
        <x:v>290</x:v>
      </x:c>
      <x:c r="B294" s="233" t="str">
        <x:v>مرداد</x:v>
      </x:c>
      <x:c r="C294" s="233" t="n">
        <x:f>IF('دانش‌آموزان'!E29="","",'دانش‌آموزان'!B29)</x:f>
        <x:v>25</x:v>
      </x:c>
      <x:c r="D294" s="233" t="str">
        <x:f>IF('دانش‌آموزان'!C29="","",'دانش‌آموزان'!C29)</x:f>
        <x:v>4000000251</x:v>
      </x:c>
      <x:c r="E294" s="233" t="str">
        <x:f>IF('دانش‌آموزان'!E29="","",'دانش‌آموزان'!E29&amp;" "&amp;'دانش‌آموزان'!F29)</x:f>
        <x:v>محمد قاسمی</x:v>
      </x:c>
      <x:c r="F294" s="166" t="str">
        <x:f>IF('دانش‌آموزان'!I29="","",'دانش‌آموزان'!I29)</x:f>
        <x:v>sample-7-a</x:v>
      </x:c>
      <x:c r="G294" s="114"/>
      <x:c r="H294" s="115"/>
      <x:c r="I294" s="115"/>
      <x:c r="J294" s="115"/>
      <x:c r="K294" s="115"/>
      <x:c r="L294" s="115"/>
      <x:c r="M294" s="115"/>
      <x:c r="N294" s="115"/>
      <x:c r="O294" s="115"/>
      <x:c r="P294" s="115"/>
      <x:c r="Q294" s="115"/>
      <x:c r="R294" s="115"/>
      <x:c r="S294" s="115"/>
      <x:c r="T294" s="115"/>
      <x:c r="U294" s="115"/>
      <x:c r="V294" s="115"/>
      <x:c r="W294" s="115"/>
      <x:c r="X294" s="115"/>
      <x:c r="Y294" s="115"/>
      <x:c r="Z294" s="115"/>
      <x:c r="AA294" s="115"/>
      <x:c r="AB294" s="115"/>
      <x:c r="AC294" s="115"/>
      <x:c r="AD294" s="115"/>
      <x:c r="AE294" s="115"/>
      <x:c r="AF294" s="115"/>
      <x:c r="AG294" s="115"/>
      <x:c r="AH294" s="115"/>
      <x:c r="AI294" s="115"/>
      <x:c r="AJ294" s="115"/>
      <x:c r="AK294" s="115"/>
      <x:c r="AL294" s="115"/>
      <x:c r="AM294" s="115"/>
      <x:c r="AN294" s="115"/>
      <x:c r="AO294" s="115"/>
      <x:c r="AP294" s="115"/>
      <x:c r="AQ294" s="115"/>
      <x:c r="AR294" s="115"/>
      <x:c r="AS294" s="115"/>
      <x:c r="AT294" s="115"/>
      <x:c r="AU294" s="115"/>
      <x:c r="AV294" s="115"/>
      <x:c r="AW294" s="115"/>
      <x:c r="AX294" s="115"/>
      <x:c r="AY294" s="115"/>
      <x:c r="AZ294" s="115"/>
      <x:c r="BA294" s="115"/>
      <x:c r="BB294" s="115"/>
      <x:c r="BC294" s="115"/>
      <x:c r="BD294" s="115"/>
      <x:c r="BE294" s="115"/>
      <x:c r="BF294" s="115"/>
      <x:c r="BG294" s="115"/>
      <x:c r="BH294" s="115"/>
      <x:c r="BI294" s="115"/>
      <x:c r="BJ294" s="115"/>
      <x:c r="BK294" s="115"/>
      <x:c r="BL294" s="115"/>
      <x:c r="BM294" s="115"/>
      <x:c r="BN294" s="115"/>
      <x:c r="BO294" s="115"/>
      <x:c r="BP294" s="115"/>
      <x:c r="BQ294" s="115"/>
      <x:c r="BR294" s="115"/>
      <x:c r="BS294" s="115"/>
      <x:c r="BT294" s="115"/>
      <x:c r="BU294" s="115"/>
      <x:c r="BV294" s="115"/>
      <x:c r="BW294" s="115"/>
      <x:c r="BX294" s="115"/>
      <x:c r="BY294" s="115"/>
      <x:c r="BZ294" s="115"/>
      <x:c r="CA294" s="115"/>
      <x:c r="CB294" s="116"/>
      <x:c r="CC294" s="141" t="str">
        <x:f>IF(COUNT(G294:P294)=0,"",AVERAGE(G294:P294)*4)</x:f>
      </x:c>
      <x:c r="CD294" s="178" t="str">
        <x:f>IF(COUNT(Q294:Z294)=0,"",AVERAGE(Q294:Z294)*4)</x:f>
      </x:c>
      <x:c r="CE294" s="178" t="str">
        <x:f>IF(COUNT(AA294:AJ294)=0,"",AVERAGE(AA294:AJ294)*4)</x:f>
      </x:c>
      <x:c r="CF294" s="178" t="str">
        <x:f>IF(COUNT(AK294:AR294)=0,"",AVERAGE(AK294:AR294)*4)</x:f>
      </x:c>
      <x:c r="CG294" s="178" t="str">
        <x:f>IF(COUNT(AS294:AY294)=0,"",AVERAGE(AS294:AY294)*4)</x:f>
      </x:c>
      <x:c r="CH294" s="178" t="str">
        <x:f>IF(COUNT(AZ294:BG294)=0,"",AVERAGE(AZ294:BG294)*4)</x:f>
      </x:c>
      <x:c r="CI294" s="178" t="str">
        <x:f>IF(COUNT(BH294:BN294)=0,"",AVERAGE(BH294:BN294)*4)</x:f>
      </x:c>
      <x:c r="CJ294" s="178" t="str">
        <x:f>IF(COUNT(BO294:BU294)=0,"",AVERAGE(BO294:BU294)*4)</x:f>
      </x:c>
      <x:c r="CK294" s="178" t="str">
        <x:f>IF(COUNT(BV294:CB294)=0,"",AVERAGE(BV294:CB294)*4)</x:f>
      </x:c>
      <x:c r="CL294" s="178" t="str">
        <x:f>IF(C294="","",IF(COUNT(G294:CB294)&lt;74,"",(CC294*'تنظیمات وزن‌دهی'!$C$5+CD294*'تنظیمات وزن‌دهی'!$C$6+CE294*'تنظیمات وزن‌دهی'!$C$7+CF294*'تنظیمات وزن‌دهی'!$C$8+CG294*'تنظیمات وزن‌دهی'!$C$9+CH294*'تنظیمات وزن‌دهی'!$C$10+CI294*'تنظیمات وزن‌دهی'!$C$11+CJ294*'تنظیمات وزن‌دهی'!$C$12+CK294*'تنظیمات وزن‌دهی'!$C$13)/100))</x:f>
      </x:c>
      <x:c r="CM294" s="178" t="str">
        <x:f>IF(C294="","",IF(COUNT(G294:CB294)=0,"",IF(COUNT(G294:CB294)&lt;74,"موقت - اطلاعات ناقص",IF(CL294&gt;=17,"عالی",IF(CL294&gt;=14,"خوب",IF(CL294&gt;=10,"متوسط","ضعیف"))))))</x:f>
      </x:c>
      <x:c r="CN294" s="178" t="n">
        <x:v>2</x:v>
      </x:c>
      <x:c r="CO294" s="142" t="n">
        <x:f>IF(C294="","",COUNT(G294:CB294)/74)</x:f>
        <x:v>0</x:v>
      </x:c>
      <x:c r="CP294" s="245"/>
    </x:row>
    <x:row r="295">
      <x:c r="A295" s="165" t="n">
        <x:v>291</x:v>
      </x:c>
      <x:c r="B295" s="233" t="str">
        <x:v>شهریور</x:v>
      </x:c>
      <x:c r="C295" s="233" t="n">
        <x:f>IF('دانش‌آموزان'!E29="","",'دانش‌آموزان'!B29)</x:f>
        <x:v>25</x:v>
      </x:c>
      <x:c r="D295" s="233" t="str">
        <x:f>IF('دانش‌آموزان'!C29="","",'دانش‌آموزان'!C29)</x:f>
        <x:v>4000000251</x:v>
      </x:c>
      <x:c r="E295" s="233" t="str">
        <x:f>IF('دانش‌آموزان'!E29="","",'دانش‌آموزان'!E29&amp;" "&amp;'دانش‌آموزان'!F29)</x:f>
        <x:v>محمد قاسمی</x:v>
      </x:c>
      <x:c r="F295" s="166" t="str">
        <x:f>IF('دانش‌آموزان'!I29="","",'دانش‌آموزان'!I29)</x:f>
        <x:v>sample-7-a</x:v>
      </x:c>
      <x:c r="G295" s="114"/>
      <x:c r="H295" s="115"/>
      <x:c r="I295" s="115"/>
      <x:c r="J295" s="115"/>
      <x:c r="K295" s="115"/>
      <x:c r="L295" s="115"/>
      <x:c r="M295" s="115"/>
      <x:c r="N295" s="115"/>
      <x:c r="O295" s="115"/>
      <x:c r="P295" s="115"/>
      <x:c r="Q295" s="115"/>
      <x:c r="R295" s="115"/>
      <x:c r="S295" s="115"/>
      <x:c r="T295" s="115"/>
      <x:c r="U295" s="115"/>
      <x:c r="V295" s="115"/>
      <x:c r="W295" s="115"/>
      <x:c r="X295" s="115"/>
      <x:c r="Y295" s="115"/>
      <x:c r="Z295" s="115"/>
      <x:c r="AA295" s="115"/>
      <x:c r="AB295" s="115"/>
      <x:c r="AC295" s="115"/>
      <x:c r="AD295" s="115"/>
      <x:c r="AE295" s="115"/>
      <x:c r="AF295" s="115"/>
      <x:c r="AG295" s="115"/>
      <x:c r="AH295" s="115"/>
      <x:c r="AI295" s="115"/>
      <x:c r="AJ295" s="115"/>
      <x:c r="AK295" s="115"/>
      <x:c r="AL295" s="115"/>
      <x:c r="AM295" s="115"/>
      <x:c r="AN295" s="115"/>
      <x:c r="AO295" s="115"/>
      <x:c r="AP295" s="115"/>
      <x:c r="AQ295" s="115"/>
      <x:c r="AR295" s="115"/>
      <x:c r="AS295" s="115"/>
      <x:c r="AT295" s="115"/>
      <x:c r="AU295" s="115"/>
      <x:c r="AV295" s="115"/>
      <x:c r="AW295" s="115"/>
      <x:c r="AX295" s="115"/>
      <x:c r="AY295" s="115"/>
      <x:c r="AZ295" s="115"/>
      <x:c r="BA295" s="115"/>
      <x:c r="BB295" s="115"/>
      <x:c r="BC295" s="115"/>
      <x:c r="BD295" s="115"/>
      <x:c r="BE295" s="115"/>
      <x:c r="BF295" s="115"/>
      <x:c r="BG295" s="115"/>
      <x:c r="BH295" s="115"/>
      <x:c r="BI295" s="115"/>
      <x:c r="BJ295" s="115"/>
      <x:c r="BK295" s="115"/>
      <x:c r="BL295" s="115"/>
      <x:c r="BM295" s="115"/>
      <x:c r="BN295" s="115"/>
      <x:c r="BO295" s="115"/>
      <x:c r="BP295" s="115"/>
      <x:c r="BQ295" s="115"/>
      <x:c r="BR295" s="115"/>
      <x:c r="BS295" s="115"/>
      <x:c r="BT295" s="115"/>
      <x:c r="BU295" s="115"/>
      <x:c r="BV295" s="115"/>
      <x:c r="BW295" s="115"/>
      <x:c r="BX295" s="115"/>
      <x:c r="BY295" s="115"/>
      <x:c r="BZ295" s="115"/>
      <x:c r="CA295" s="115"/>
      <x:c r="CB295" s="116"/>
      <x:c r="CC295" s="141" t="str">
        <x:f>IF(COUNT(G295:P295)=0,"",AVERAGE(G295:P295)*4)</x:f>
      </x:c>
      <x:c r="CD295" s="178" t="str">
        <x:f>IF(COUNT(Q295:Z295)=0,"",AVERAGE(Q295:Z295)*4)</x:f>
      </x:c>
      <x:c r="CE295" s="178" t="str">
        <x:f>IF(COUNT(AA295:AJ295)=0,"",AVERAGE(AA295:AJ295)*4)</x:f>
      </x:c>
      <x:c r="CF295" s="178" t="str">
        <x:f>IF(COUNT(AK295:AR295)=0,"",AVERAGE(AK295:AR295)*4)</x:f>
      </x:c>
      <x:c r="CG295" s="178" t="str">
        <x:f>IF(COUNT(AS295:AY295)=0,"",AVERAGE(AS295:AY295)*4)</x:f>
      </x:c>
      <x:c r="CH295" s="178" t="str">
        <x:f>IF(COUNT(AZ295:BG295)=0,"",AVERAGE(AZ295:BG295)*4)</x:f>
      </x:c>
      <x:c r="CI295" s="178" t="str">
        <x:f>IF(COUNT(BH295:BN295)=0,"",AVERAGE(BH295:BN295)*4)</x:f>
      </x:c>
      <x:c r="CJ295" s="178" t="str">
        <x:f>IF(COUNT(BO295:BU295)=0,"",AVERAGE(BO295:BU295)*4)</x:f>
      </x:c>
      <x:c r="CK295" s="178" t="str">
        <x:f>IF(COUNT(BV295:CB295)=0,"",AVERAGE(BV295:CB295)*4)</x:f>
      </x:c>
      <x:c r="CL295" s="178" t="str">
        <x:f>IF(C295="","",IF(COUNT(G295:CB295)&lt;74,"",(CC295*'تنظیمات وزن‌دهی'!$C$5+CD295*'تنظیمات وزن‌دهی'!$C$6+CE295*'تنظیمات وزن‌دهی'!$C$7+CF295*'تنظیمات وزن‌دهی'!$C$8+CG295*'تنظیمات وزن‌دهی'!$C$9+CH295*'تنظیمات وزن‌دهی'!$C$10+CI295*'تنظیمات وزن‌دهی'!$C$11+CJ295*'تنظیمات وزن‌دهی'!$C$12+CK295*'تنظیمات وزن‌دهی'!$C$13)/100))</x:f>
      </x:c>
      <x:c r="CM295" s="178" t="str">
        <x:f>IF(C295="","",IF(COUNT(G295:CB295)=0,"",IF(COUNT(G295:CB295)&lt;74,"موقت - اطلاعات ناقص",IF(CL295&gt;=17,"عالی",IF(CL295&gt;=14,"خوب",IF(CL295&gt;=10,"متوسط","ضعیف"))))))</x:f>
      </x:c>
      <x:c r="CN295" s="178" t="n">
        <x:v>3</x:v>
      </x:c>
      <x:c r="CO295" s="142" t="n">
        <x:f>IF(C295="","",COUNT(G295:CB295)/74)</x:f>
        <x:v>0</x:v>
      </x:c>
      <x:c r="CP295" s="245"/>
    </x:row>
    <x:row r="296">
      <x:c r="A296" s="165" t="n">
        <x:v>292</x:v>
      </x:c>
      <x:c r="B296" s="233" t="str">
        <x:v>مهر</x:v>
      </x:c>
      <x:c r="C296" s="233" t="n">
        <x:f>IF('دانش‌آموزان'!E29="","",'دانش‌آموزان'!B29)</x:f>
        <x:v>25</x:v>
      </x:c>
      <x:c r="D296" s="233" t="str">
        <x:f>IF('دانش‌آموزان'!C29="","",'دانش‌آموزان'!C29)</x:f>
        <x:v>4000000251</x:v>
      </x:c>
      <x:c r="E296" s="233" t="str">
        <x:f>IF('دانش‌آموزان'!E29="","",'دانش‌آموزان'!E29&amp;" "&amp;'دانش‌آموزان'!F29)</x:f>
        <x:v>محمد قاسمی</x:v>
      </x:c>
      <x:c r="F296" s="166" t="str">
        <x:f>IF('دانش‌آموزان'!I29="","",'دانش‌آموزان'!I29)</x:f>
        <x:v>sample-7-a</x:v>
      </x:c>
      <x:c r="G296" s="114"/>
      <x:c r="H296" s="115"/>
      <x:c r="I296" s="115"/>
      <x:c r="J296" s="115"/>
      <x:c r="K296" s="115"/>
      <x:c r="L296" s="115"/>
      <x:c r="M296" s="115"/>
      <x:c r="N296" s="115"/>
      <x:c r="O296" s="115"/>
      <x:c r="P296" s="115"/>
      <x:c r="Q296" s="115"/>
      <x:c r="R296" s="115"/>
      <x:c r="S296" s="115"/>
      <x:c r="T296" s="115"/>
      <x:c r="U296" s="115"/>
      <x:c r="V296" s="115"/>
      <x:c r="W296" s="115"/>
      <x:c r="X296" s="115"/>
      <x:c r="Y296" s="115"/>
      <x:c r="Z296" s="115"/>
      <x:c r="AA296" s="115"/>
      <x:c r="AB296" s="115"/>
      <x:c r="AC296" s="115"/>
      <x:c r="AD296" s="115"/>
      <x:c r="AE296" s="115"/>
      <x:c r="AF296" s="115"/>
      <x:c r="AG296" s="115"/>
      <x:c r="AH296" s="115"/>
      <x:c r="AI296" s="115"/>
      <x:c r="AJ296" s="115"/>
      <x:c r="AK296" s="115"/>
      <x:c r="AL296" s="115"/>
      <x:c r="AM296" s="115"/>
      <x:c r="AN296" s="115"/>
      <x:c r="AO296" s="115"/>
      <x:c r="AP296" s="115"/>
      <x:c r="AQ296" s="115"/>
      <x:c r="AR296" s="115"/>
      <x:c r="AS296" s="115"/>
      <x:c r="AT296" s="115"/>
      <x:c r="AU296" s="115"/>
      <x:c r="AV296" s="115"/>
      <x:c r="AW296" s="115"/>
      <x:c r="AX296" s="115"/>
      <x:c r="AY296" s="115"/>
      <x:c r="AZ296" s="115"/>
      <x:c r="BA296" s="115"/>
      <x:c r="BB296" s="115"/>
      <x:c r="BC296" s="115"/>
      <x:c r="BD296" s="115"/>
      <x:c r="BE296" s="115"/>
      <x:c r="BF296" s="115"/>
      <x:c r="BG296" s="115"/>
      <x:c r="BH296" s="115"/>
      <x:c r="BI296" s="115"/>
      <x:c r="BJ296" s="115"/>
      <x:c r="BK296" s="115"/>
      <x:c r="BL296" s="115"/>
      <x:c r="BM296" s="115"/>
      <x:c r="BN296" s="115"/>
      <x:c r="BO296" s="115"/>
      <x:c r="BP296" s="115"/>
      <x:c r="BQ296" s="115"/>
      <x:c r="BR296" s="115"/>
      <x:c r="BS296" s="115"/>
      <x:c r="BT296" s="115"/>
      <x:c r="BU296" s="115"/>
      <x:c r="BV296" s="115"/>
      <x:c r="BW296" s="115"/>
      <x:c r="BX296" s="115"/>
      <x:c r="BY296" s="115"/>
      <x:c r="BZ296" s="115"/>
      <x:c r="CA296" s="115"/>
      <x:c r="CB296" s="116"/>
      <x:c r="CC296" s="141" t="str">
        <x:f>IF(COUNT(G296:P296)=0,"",AVERAGE(G296:P296)*4)</x:f>
      </x:c>
      <x:c r="CD296" s="178" t="str">
        <x:f>IF(COUNT(Q296:Z296)=0,"",AVERAGE(Q296:Z296)*4)</x:f>
      </x:c>
      <x:c r="CE296" s="178" t="str">
        <x:f>IF(COUNT(AA296:AJ296)=0,"",AVERAGE(AA296:AJ296)*4)</x:f>
      </x:c>
      <x:c r="CF296" s="178" t="str">
        <x:f>IF(COUNT(AK296:AR296)=0,"",AVERAGE(AK296:AR296)*4)</x:f>
      </x:c>
      <x:c r="CG296" s="178" t="str">
        <x:f>IF(COUNT(AS296:AY296)=0,"",AVERAGE(AS296:AY296)*4)</x:f>
      </x:c>
      <x:c r="CH296" s="178" t="str">
        <x:f>IF(COUNT(AZ296:BG296)=0,"",AVERAGE(AZ296:BG296)*4)</x:f>
      </x:c>
      <x:c r="CI296" s="178" t="str">
        <x:f>IF(COUNT(BH296:BN296)=0,"",AVERAGE(BH296:BN296)*4)</x:f>
      </x:c>
      <x:c r="CJ296" s="178" t="str">
        <x:f>IF(COUNT(BO296:BU296)=0,"",AVERAGE(BO296:BU296)*4)</x:f>
      </x:c>
      <x:c r="CK296" s="178" t="str">
        <x:f>IF(COUNT(BV296:CB296)=0,"",AVERAGE(BV296:CB296)*4)</x:f>
      </x:c>
      <x:c r="CL296" s="178" t="str">
        <x:f>IF(C296="","",IF(COUNT(G296:CB296)&lt;74,"",(CC296*'تنظیمات وزن‌دهی'!$C$5+CD296*'تنظیمات وزن‌دهی'!$C$6+CE296*'تنظیمات وزن‌دهی'!$C$7+CF296*'تنظیمات وزن‌دهی'!$C$8+CG296*'تنظیمات وزن‌دهی'!$C$9+CH296*'تنظیمات وزن‌دهی'!$C$10+CI296*'تنظیمات وزن‌دهی'!$C$11+CJ296*'تنظیمات وزن‌دهی'!$C$12+CK296*'تنظیمات وزن‌دهی'!$C$13)/100))</x:f>
      </x:c>
      <x:c r="CM296" s="178" t="str">
        <x:f>IF(C296="","",IF(COUNT(G296:CB296)=0,"",IF(COUNT(G296:CB296)&lt;74,"موقت - اطلاعات ناقص",IF(CL296&gt;=17,"عالی",IF(CL296&gt;=14,"خوب",IF(CL296&gt;=10,"متوسط","ضعیف"))))))</x:f>
      </x:c>
      <x:c r="CN296" s="178" t="n">
        <x:v>4</x:v>
      </x:c>
      <x:c r="CO296" s="142" t="n">
        <x:f>IF(C296="","",COUNT(G296:CB296)/74)</x:f>
        <x:v>0</x:v>
      </x:c>
      <x:c r="CP296" s="245"/>
    </x:row>
    <x:row r="297">
      <x:c r="A297" s="165" t="n">
        <x:v>293</x:v>
      </x:c>
      <x:c r="B297" s="233" t="str">
        <x:v>آبان</x:v>
      </x:c>
      <x:c r="C297" s="233" t="n">
        <x:f>IF('دانش‌آموزان'!E29="","",'دانش‌آموزان'!B29)</x:f>
        <x:v>25</x:v>
      </x:c>
      <x:c r="D297" s="233" t="str">
        <x:f>IF('دانش‌آموزان'!C29="","",'دانش‌آموزان'!C29)</x:f>
        <x:v>4000000251</x:v>
      </x:c>
      <x:c r="E297" s="233" t="str">
        <x:f>IF('دانش‌آموزان'!E29="","",'دانش‌آموزان'!E29&amp;" "&amp;'دانش‌آموزان'!F29)</x:f>
        <x:v>محمد قاسمی</x:v>
      </x:c>
      <x:c r="F297" s="166" t="str">
        <x:f>IF('دانش‌آموزان'!I29="","",'دانش‌آموزان'!I29)</x:f>
        <x:v>sample-7-a</x:v>
      </x:c>
      <x:c r="G297" s="114"/>
      <x:c r="H297" s="115"/>
      <x:c r="I297" s="115"/>
      <x:c r="J297" s="115"/>
      <x:c r="K297" s="115"/>
      <x:c r="L297" s="115"/>
      <x:c r="M297" s="115"/>
      <x:c r="N297" s="115"/>
      <x:c r="O297" s="115"/>
      <x:c r="P297" s="115"/>
      <x:c r="Q297" s="115"/>
      <x:c r="R297" s="115"/>
      <x:c r="S297" s="115"/>
      <x:c r="T297" s="115"/>
      <x:c r="U297" s="115"/>
      <x:c r="V297" s="115"/>
      <x:c r="W297" s="115"/>
      <x:c r="X297" s="115"/>
      <x:c r="Y297" s="115"/>
      <x:c r="Z297" s="115"/>
      <x:c r="AA297" s="115"/>
      <x:c r="AB297" s="115"/>
      <x:c r="AC297" s="115"/>
      <x:c r="AD297" s="115"/>
      <x:c r="AE297" s="115"/>
      <x:c r="AF297" s="115"/>
      <x:c r="AG297" s="115"/>
      <x:c r="AH297" s="115"/>
      <x:c r="AI297" s="115"/>
      <x:c r="AJ297" s="115"/>
      <x:c r="AK297" s="115"/>
      <x:c r="AL297" s="115"/>
      <x:c r="AM297" s="115"/>
      <x:c r="AN297" s="115"/>
      <x:c r="AO297" s="115"/>
      <x:c r="AP297" s="115"/>
      <x:c r="AQ297" s="115"/>
      <x:c r="AR297" s="115"/>
      <x:c r="AS297" s="115"/>
      <x:c r="AT297" s="115"/>
      <x:c r="AU297" s="115"/>
      <x:c r="AV297" s="115"/>
      <x:c r="AW297" s="115"/>
      <x:c r="AX297" s="115"/>
      <x:c r="AY297" s="115"/>
      <x:c r="AZ297" s="115"/>
      <x:c r="BA297" s="115"/>
      <x:c r="BB297" s="115"/>
      <x:c r="BC297" s="115"/>
      <x:c r="BD297" s="115"/>
      <x:c r="BE297" s="115"/>
      <x:c r="BF297" s="115"/>
      <x:c r="BG297" s="115"/>
      <x:c r="BH297" s="115"/>
      <x:c r="BI297" s="115"/>
      <x:c r="BJ297" s="115"/>
      <x:c r="BK297" s="115"/>
      <x:c r="BL297" s="115"/>
      <x:c r="BM297" s="115"/>
      <x:c r="BN297" s="115"/>
      <x:c r="BO297" s="115"/>
      <x:c r="BP297" s="115"/>
      <x:c r="BQ297" s="115"/>
      <x:c r="BR297" s="115"/>
      <x:c r="BS297" s="115"/>
      <x:c r="BT297" s="115"/>
      <x:c r="BU297" s="115"/>
      <x:c r="BV297" s="115"/>
      <x:c r="BW297" s="115"/>
      <x:c r="BX297" s="115"/>
      <x:c r="BY297" s="115"/>
      <x:c r="BZ297" s="115"/>
      <x:c r="CA297" s="115"/>
      <x:c r="CB297" s="116"/>
      <x:c r="CC297" s="141" t="str">
        <x:f>IF(COUNT(G297:P297)=0,"",AVERAGE(G297:P297)*4)</x:f>
      </x:c>
      <x:c r="CD297" s="178" t="str">
        <x:f>IF(COUNT(Q297:Z297)=0,"",AVERAGE(Q297:Z297)*4)</x:f>
      </x:c>
      <x:c r="CE297" s="178" t="str">
        <x:f>IF(COUNT(AA297:AJ297)=0,"",AVERAGE(AA297:AJ297)*4)</x:f>
      </x:c>
      <x:c r="CF297" s="178" t="str">
        <x:f>IF(COUNT(AK297:AR297)=0,"",AVERAGE(AK297:AR297)*4)</x:f>
      </x:c>
      <x:c r="CG297" s="178" t="str">
        <x:f>IF(COUNT(AS297:AY297)=0,"",AVERAGE(AS297:AY297)*4)</x:f>
      </x:c>
      <x:c r="CH297" s="178" t="str">
        <x:f>IF(COUNT(AZ297:BG297)=0,"",AVERAGE(AZ297:BG297)*4)</x:f>
      </x:c>
      <x:c r="CI297" s="178" t="str">
        <x:f>IF(COUNT(BH297:BN297)=0,"",AVERAGE(BH297:BN297)*4)</x:f>
      </x:c>
      <x:c r="CJ297" s="178" t="str">
        <x:f>IF(COUNT(BO297:BU297)=0,"",AVERAGE(BO297:BU297)*4)</x:f>
      </x:c>
      <x:c r="CK297" s="178" t="str">
        <x:f>IF(COUNT(BV297:CB297)=0,"",AVERAGE(BV297:CB297)*4)</x:f>
      </x:c>
      <x:c r="CL297" s="178" t="str">
        <x:f>IF(C297="","",IF(COUNT(G297:CB297)&lt;74,"",(CC297*'تنظیمات وزن‌دهی'!$C$5+CD297*'تنظیمات وزن‌دهی'!$C$6+CE297*'تنظیمات وزن‌دهی'!$C$7+CF297*'تنظیمات وزن‌دهی'!$C$8+CG297*'تنظیمات وزن‌دهی'!$C$9+CH297*'تنظیمات وزن‌دهی'!$C$10+CI297*'تنظیمات وزن‌دهی'!$C$11+CJ297*'تنظیمات وزن‌دهی'!$C$12+CK297*'تنظیمات وزن‌دهی'!$C$13)/100))</x:f>
      </x:c>
      <x:c r="CM297" s="178" t="str">
        <x:f>IF(C297="","",IF(COUNT(G297:CB297)=0,"",IF(COUNT(G297:CB297)&lt;74,"موقت - اطلاعات ناقص",IF(CL297&gt;=17,"عالی",IF(CL297&gt;=14,"خوب",IF(CL297&gt;=10,"متوسط","ضعیف"))))))</x:f>
      </x:c>
      <x:c r="CN297" s="178" t="n">
        <x:v>5</x:v>
      </x:c>
      <x:c r="CO297" s="142" t="n">
        <x:f>IF(C297="","",COUNT(G297:CB297)/74)</x:f>
        <x:v>0</x:v>
      </x:c>
      <x:c r="CP297" s="245"/>
    </x:row>
    <x:row r="298">
      <x:c r="A298" s="165" t="n">
        <x:v>294</x:v>
      </x:c>
      <x:c r="B298" s="233" t="str">
        <x:v>آذر</x:v>
      </x:c>
      <x:c r="C298" s="233" t="n">
        <x:f>IF('دانش‌آموزان'!E29="","",'دانش‌آموزان'!B29)</x:f>
        <x:v>25</x:v>
      </x:c>
      <x:c r="D298" s="233" t="str">
        <x:f>IF('دانش‌آموزان'!C29="","",'دانش‌آموزان'!C29)</x:f>
        <x:v>4000000251</x:v>
      </x:c>
      <x:c r="E298" s="233" t="str">
        <x:f>IF('دانش‌آموزان'!E29="","",'دانش‌آموزان'!E29&amp;" "&amp;'دانش‌آموزان'!F29)</x:f>
        <x:v>محمد قاسمی</x:v>
      </x:c>
      <x:c r="F298" s="166" t="str">
        <x:f>IF('دانش‌آموزان'!I29="","",'دانش‌آموزان'!I29)</x:f>
        <x:v>sample-7-a</x:v>
      </x:c>
      <x:c r="G298" s="114"/>
      <x:c r="H298" s="115"/>
      <x:c r="I298" s="115"/>
      <x:c r="J298" s="115"/>
      <x:c r="K298" s="115"/>
      <x:c r="L298" s="115"/>
      <x:c r="M298" s="115"/>
      <x:c r="N298" s="115"/>
      <x:c r="O298" s="115"/>
      <x:c r="P298" s="115"/>
      <x:c r="Q298" s="115"/>
      <x:c r="R298" s="115"/>
      <x:c r="S298" s="115"/>
      <x:c r="T298" s="115"/>
      <x:c r="U298" s="115"/>
      <x:c r="V298" s="115"/>
      <x:c r="W298" s="115"/>
      <x:c r="X298" s="115"/>
      <x:c r="Y298" s="115"/>
      <x:c r="Z298" s="115"/>
      <x:c r="AA298" s="115"/>
      <x:c r="AB298" s="115"/>
      <x:c r="AC298" s="115"/>
      <x:c r="AD298" s="115"/>
      <x:c r="AE298" s="115"/>
      <x:c r="AF298" s="115"/>
      <x:c r="AG298" s="115"/>
      <x:c r="AH298" s="115"/>
      <x:c r="AI298" s="115"/>
      <x:c r="AJ298" s="115"/>
      <x:c r="AK298" s="115"/>
      <x:c r="AL298" s="115"/>
      <x:c r="AM298" s="115"/>
      <x:c r="AN298" s="115"/>
      <x:c r="AO298" s="115"/>
      <x:c r="AP298" s="115"/>
      <x:c r="AQ298" s="115"/>
      <x:c r="AR298" s="115"/>
      <x:c r="AS298" s="115"/>
      <x:c r="AT298" s="115"/>
      <x:c r="AU298" s="115"/>
      <x:c r="AV298" s="115"/>
      <x:c r="AW298" s="115"/>
      <x:c r="AX298" s="115"/>
      <x:c r="AY298" s="115"/>
      <x:c r="AZ298" s="115"/>
      <x:c r="BA298" s="115"/>
      <x:c r="BB298" s="115"/>
      <x:c r="BC298" s="115"/>
      <x:c r="BD298" s="115"/>
      <x:c r="BE298" s="115"/>
      <x:c r="BF298" s="115"/>
      <x:c r="BG298" s="115"/>
      <x:c r="BH298" s="115"/>
      <x:c r="BI298" s="115"/>
      <x:c r="BJ298" s="115"/>
      <x:c r="BK298" s="115"/>
      <x:c r="BL298" s="115"/>
      <x:c r="BM298" s="115"/>
      <x:c r="BN298" s="115"/>
      <x:c r="BO298" s="115"/>
      <x:c r="BP298" s="115"/>
      <x:c r="BQ298" s="115"/>
      <x:c r="BR298" s="115"/>
      <x:c r="BS298" s="115"/>
      <x:c r="BT298" s="115"/>
      <x:c r="BU298" s="115"/>
      <x:c r="BV298" s="115"/>
      <x:c r="BW298" s="115"/>
      <x:c r="BX298" s="115"/>
      <x:c r="BY298" s="115"/>
      <x:c r="BZ298" s="115"/>
      <x:c r="CA298" s="115"/>
      <x:c r="CB298" s="116"/>
      <x:c r="CC298" s="141" t="str">
        <x:f>IF(COUNT(G298:P298)=0,"",AVERAGE(G298:P298)*4)</x:f>
      </x:c>
      <x:c r="CD298" s="178" t="str">
        <x:f>IF(COUNT(Q298:Z298)=0,"",AVERAGE(Q298:Z298)*4)</x:f>
      </x:c>
      <x:c r="CE298" s="178" t="str">
        <x:f>IF(COUNT(AA298:AJ298)=0,"",AVERAGE(AA298:AJ298)*4)</x:f>
      </x:c>
      <x:c r="CF298" s="178" t="str">
        <x:f>IF(COUNT(AK298:AR298)=0,"",AVERAGE(AK298:AR298)*4)</x:f>
      </x:c>
      <x:c r="CG298" s="178" t="str">
        <x:f>IF(COUNT(AS298:AY298)=0,"",AVERAGE(AS298:AY298)*4)</x:f>
      </x:c>
      <x:c r="CH298" s="178" t="str">
        <x:f>IF(COUNT(AZ298:BG298)=0,"",AVERAGE(AZ298:BG298)*4)</x:f>
      </x:c>
      <x:c r="CI298" s="178" t="str">
        <x:f>IF(COUNT(BH298:BN298)=0,"",AVERAGE(BH298:BN298)*4)</x:f>
      </x:c>
      <x:c r="CJ298" s="178" t="str">
        <x:f>IF(COUNT(BO298:BU298)=0,"",AVERAGE(BO298:BU298)*4)</x:f>
      </x:c>
      <x:c r="CK298" s="178" t="str">
        <x:f>IF(COUNT(BV298:CB298)=0,"",AVERAGE(BV298:CB298)*4)</x:f>
      </x:c>
      <x:c r="CL298" s="178" t="str">
        <x:f>IF(C298="","",IF(COUNT(G298:CB298)&lt;74,"",(CC298*'تنظیمات وزن‌دهی'!$C$5+CD298*'تنظیمات وزن‌دهی'!$C$6+CE298*'تنظیمات وزن‌دهی'!$C$7+CF298*'تنظیمات وزن‌دهی'!$C$8+CG298*'تنظیمات وزن‌دهی'!$C$9+CH298*'تنظیمات وزن‌دهی'!$C$10+CI298*'تنظیمات وزن‌دهی'!$C$11+CJ298*'تنظیمات وزن‌دهی'!$C$12+CK298*'تنظیمات وزن‌دهی'!$C$13)/100))</x:f>
      </x:c>
      <x:c r="CM298" s="178" t="str">
        <x:f>IF(C298="","",IF(COUNT(G298:CB298)=0,"",IF(COUNT(G298:CB298)&lt;74,"موقت - اطلاعات ناقص",IF(CL298&gt;=17,"عالی",IF(CL298&gt;=14,"خوب",IF(CL298&gt;=10,"متوسط","ضعیف"))))))</x:f>
      </x:c>
      <x:c r="CN298" s="178" t="n">
        <x:v>6</x:v>
      </x:c>
      <x:c r="CO298" s="142" t="n">
        <x:f>IF(C298="","",COUNT(G298:CB298)/74)</x:f>
        <x:v>0</x:v>
      </x:c>
      <x:c r="CP298" s="245"/>
    </x:row>
    <x:row r="299">
      <x:c r="A299" s="165" t="n">
        <x:v>295</x:v>
      </x:c>
      <x:c r="B299" s="233" t="str">
        <x:v>دی</x:v>
      </x:c>
      <x:c r="C299" s="233" t="n">
        <x:f>IF('دانش‌آموزان'!E29="","",'دانش‌آموزان'!B29)</x:f>
        <x:v>25</x:v>
      </x:c>
      <x:c r="D299" s="233" t="str">
        <x:f>IF('دانش‌آموزان'!C29="","",'دانش‌آموزان'!C29)</x:f>
        <x:v>4000000251</x:v>
      </x:c>
      <x:c r="E299" s="233" t="str">
        <x:f>IF('دانش‌آموزان'!E29="","",'دانش‌آموزان'!E29&amp;" "&amp;'دانش‌آموزان'!F29)</x:f>
        <x:v>محمد قاسمی</x:v>
      </x:c>
      <x:c r="F299" s="166" t="str">
        <x:f>IF('دانش‌آموزان'!I29="","",'دانش‌آموزان'!I29)</x:f>
        <x:v>sample-7-a</x:v>
      </x:c>
      <x:c r="G299" s="114"/>
      <x:c r="H299" s="115"/>
      <x:c r="I299" s="115"/>
      <x:c r="J299" s="115"/>
      <x:c r="K299" s="115"/>
      <x:c r="L299" s="115"/>
      <x:c r="M299" s="115"/>
      <x:c r="N299" s="115"/>
      <x:c r="O299" s="115"/>
      <x:c r="P299" s="115"/>
      <x:c r="Q299" s="115"/>
      <x:c r="R299" s="115"/>
      <x:c r="S299" s="115"/>
      <x:c r="T299" s="115"/>
      <x:c r="U299" s="115"/>
      <x:c r="V299" s="115"/>
      <x:c r="W299" s="115"/>
      <x:c r="X299" s="115"/>
      <x:c r="Y299" s="115"/>
      <x:c r="Z299" s="115"/>
      <x:c r="AA299" s="115"/>
      <x:c r="AB299" s="115"/>
      <x:c r="AC299" s="115"/>
      <x:c r="AD299" s="115"/>
      <x:c r="AE299" s="115"/>
      <x:c r="AF299" s="115"/>
      <x:c r="AG299" s="115"/>
      <x:c r="AH299" s="115"/>
      <x:c r="AI299" s="115"/>
      <x:c r="AJ299" s="115"/>
      <x:c r="AK299" s="115"/>
      <x:c r="AL299" s="115"/>
      <x:c r="AM299" s="115"/>
      <x:c r="AN299" s="115"/>
      <x:c r="AO299" s="115"/>
      <x:c r="AP299" s="115"/>
      <x:c r="AQ299" s="115"/>
      <x:c r="AR299" s="115"/>
      <x:c r="AS299" s="115"/>
      <x:c r="AT299" s="115"/>
      <x:c r="AU299" s="115"/>
      <x:c r="AV299" s="115"/>
      <x:c r="AW299" s="115"/>
      <x:c r="AX299" s="115"/>
      <x:c r="AY299" s="115"/>
      <x:c r="AZ299" s="115"/>
      <x:c r="BA299" s="115"/>
      <x:c r="BB299" s="115"/>
      <x:c r="BC299" s="115"/>
      <x:c r="BD299" s="115"/>
      <x:c r="BE299" s="115"/>
      <x:c r="BF299" s="115"/>
      <x:c r="BG299" s="115"/>
      <x:c r="BH299" s="115"/>
      <x:c r="BI299" s="115"/>
      <x:c r="BJ299" s="115"/>
      <x:c r="BK299" s="115"/>
      <x:c r="BL299" s="115"/>
      <x:c r="BM299" s="115"/>
      <x:c r="BN299" s="115"/>
      <x:c r="BO299" s="115"/>
      <x:c r="BP299" s="115"/>
      <x:c r="BQ299" s="115"/>
      <x:c r="BR299" s="115"/>
      <x:c r="BS299" s="115"/>
      <x:c r="BT299" s="115"/>
      <x:c r="BU299" s="115"/>
      <x:c r="BV299" s="115"/>
      <x:c r="BW299" s="115"/>
      <x:c r="BX299" s="115"/>
      <x:c r="BY299" s="115"/>
      <x:c r="BZ299" s="115"/>
      <x:c r="CA299" s="115"/>
      <x:c r="CB299" s="116"/>
      <x:c r="CC299" s="141" t="str">
        <x:f>IF(COUNT(G299:P299)=0,"",AVERAGE(G299:P299)*4)</x:f>
      </x:c>
      <x:c r="CD299" s="178" t="str">
        <x:f>IF(COUNT(Q299:Z299)=0,"",AVERAGE(Q299:Z299)*4)</x:f>
      </x:c>
      <x:c r="CE299" s="178" t="str">
        <x:f>IF(COUNT(AA299:AJ299)=0,"",AVERAGE(AA299:AJ299)*4)</x:f>
      </x:c>
      <x:c r="CF299" s="178" t="str">
        <x:f>IF(COUNT(AK299:AR299)=0,"",AVERAGE(AK299:AR299)*4)</x:f>
      </x:c>
      <x:c r="CG299" s="178" t="str">
        <x:f>IF(COUNT(AS299:AY299)=0,"",AVERAGE(AS299:AY299)*4)</x:f>
      </x:c>
      <x:c r="CH299" s="178" t="str">
        <x:f>IF(COUNT(AZ299:BG299)=0,"",AVERAGE(AZ299:BG299)*4)</x:f>
      </x:c>
      <x:c r="CI299" s="178" t="str">
        <x:f>IF(COUNT(BH299:BN299)=0,"",AVERAGE(BH299:BN299)*4)</x:f>
      </x:c>
      <x:c r="CJ299" s="178" t="str">
        <x:f>IF(COUNT(BO299:BU299)=0,"",AVERAGE(BO299:BU299)*4)</x:f>
      </x:c>
      <x:c r="CK299" s="178" t="str">
        <x:f>IF(COUNT(BV299:CB299)=0,"",AVERAGE(BV299:CB299)*4)</x:f>
      </x:c>
      <x:c r="CL299" s="178" t="str">
        <x:f>IF(C299="","",IF(COUNT(G299:CB299)&lt;74,"",(CC299*'تنظیمات وزن‌دهی'!$C$5+CD299*'تنظیمات وزن‌دهی'!$C$6+CE299*'تنظیمات وزن‌دهی'!$C$7+CF299*'تنظیمات وزن‌دهی'!$C$8+CG299*'تنظیمات وزن‌دهی'!$C$9+CH299*'تنظیمات وزن‌دهی'!$C$10+CI299*'تنظیمات وزن‌دهی'!$C$11+CJ299*'تنظیمات وزن‌دهی'!$C$12+CK299*'تنظیمات وزن‌دهی'!$C$13)/100))</x:f>
      </x:c>
      <x:c r="CM299" s="178" t="str">
        <x:f>IF(C299="","",IF(COUNT(G299:CB299)=0,"",IF(COUNT(G299:CB299)&lt;74,"موقت - اطلاعات ناقص",IF(CL299&gt;=17,"عالی",IF(CL299&gt;=14,"خوب",IF(CL299&gt;=10,"متوسط","ضعیف"))))))</x:f>
      </x:c>
      <x:c r="CN299" s="178" t="n">
        <x:v>7</x:v>
      </x:c>
      <x:c r="CO299" s="142" t="n">
        <x:f>IF(C299="","",COUNT(G299:CB299)/74)</x:f>
        <x:v>0</x:v>
      </x:c>
      <x:c r="CP299" s="245"/>
    </x:row>
    <x:row r="300">
      <x:c r="A300" s="165" t="n">
        <x:v>296</x:v>
      </x:c>
      <x:c r="B300" s="233" t="str">
        <x:v>بهمن</x:v>
      </x:c>
      <x:c r="C300" s="233" t="n">
        <x:f>IF('دانش‌آموزان'!E29="","",'دانش‌آموزان'!B29)</x:f>
        <x:v>25</x:v>
      </x:c>
      <x:c r="D300" s="233" t="str">
        <x:f>IF('دانش‌آموزان'!C29="","",'دانش‌آموزان'!C29)</x:f>
        <x:v>4000000251</x:v>
      </x:c>
      <x:c r="E300" s="233" t="str">
        <x:f>IF('دانش‌آموزان'!E29="","",'دانش‌آموزان'!E29&amp;" "&amp;'دانش‌آموزان'!F29)</x:f>
        <x:v>محمد قاسمی</x:v>
      </x:c>
      <x:c r="F300" s="166" t="str">
        <x:f>IF('دانش‌آموزان'!I29="","",'دانش‌آموزان'!I29)</x:f>
        <x:v>sample-7-a</x:v>
      </x:c>
      <x:c r="G300" s="114"/>
      <x:c r="H300" s="115"/>
      <x:c r="I300" s="115"/>
      <x:c r="J300" s="115"/>
      <x:c r="K300" s="115"/>
      <x:c r="L300" s="115"/>
      <x:c r="M300" s="115"/>
      <x:c r="N300" s="115"/>
      <x:c r="O300" s="115"/>
      <x:c r="P300" s="115"/>
      <x:c r="Q300" s="115"/>
      <x:c r="R300" s="115"/>
      <x:c r="S300" s="115"/>
      <x:c r="T300" s="115"/>
      <x:c r="U300" s="115"/>
      <x:c r="V300" s="115"/>
      <x:c r="W300" s="115"/>
      <x:c r="X300" s="115"/>
      <x:c r="Y300" s="115"/>
      <x:c r="Z300" s="115"/>
      <x:c r="AA300" s="115"/>
      <x:c r="AB300" s="115"/>
      <x:c r="AC300" s="115"/>
      <x:c r="AD300" s="115"/>
      <x:c r="AE300" s="115"/>
      <x:c r="AF300" s="115"/>
      <x:c r="AG300" s="115"/>
      <x:c r="AH300" s="115"/>
      <x:c r="AI300" s="115"/>
      <x:c r="AJ300" s="115"/>
      <x:c r="AK300" s="115"/>
      <x:c r="AL300" s="115"/>
      <x:c r="AM300" s="115"/>
      <x:c r="AN300" s="115"/>
      <x:c r="AO300" s="115"/>
      <x:c r="AP300" s="115"/>
      <x:c r="AQ300" s="115"/>
      <x:c r="AR300" s="115"/>
      <x:c r="AS300" s="115"/>
      <x:c r="AT300" s="115"/>
      <x:c r="AU300" s="115"/>
      <x:c r="AV300" s="115"/>
      <x:c r="AW300" s="115"/>
      <x:c r="AX300" s="115"/>
      <x:c r="AY300" s="115"/>
      <x:c r="AZ300" s="115"/>
      <x:c r="BA300" s="115"/>
      <x:c r="BB300" s="115"/>
      <x:c r="BC300" s="115"/>
      <x:c r="BD300" s="115"/>
      <x:c r="BE300" s="115"/>
      <x:c r="BF300" s="115"/>
      <x:c r="BG300" s="115"/>
      <x:c r="BH300" s="115"/>
      <x:c r="BI300" s="115"/>
      <x:c r="BJ300" s="115"/>
      <x:c r="BK300" s="115"/>
      <x:c r="BL300" s="115"/>
      <x:c r="BM300" s="115"/>
      <x:c r="BN300" s="115"/>
      <x:c r="BO300" s="115"/>
      <x:c r="BP300" s="115"/>
      <x:c r="BQ300" s="115"/>
      <x:c r="BR300" s="115"/>
      <x:c r="BS300" s="115"/>
      <x:c r="BT300" s="115"/>
      <x:c r="BU300" s="115"/>
      <x:c r="BV300" s="115"/>
      <x:c r="BW300" s="115"/>
      <x:c r="BX300" s="115"/>
      <x:c r="BY300" s="115"/>
      <x:c r="BZ300" s="115"/>
      <x:c r="CA300" s="115"/>
      <x:c r="CB300" s="116"/>
      <x:c r="CC300" s="141" t="str">
        <x:f>IF(COUNT(G300:P300)=0,"",AVERAGE(G300:P300)*4)</x:f>
      </x:c>
      <x:c r="CD300" s="178" t="str">
        <x:f>IF(COUNT(Q300:Z300)=0,"",AVERAGE(Q300:Z300)*4)</x:f>
      </x:c>
      <x:c r="CE300" s="178" t="str">
        <x:f>IF(COUNT(AA300:AJ300)=0,"",AVERAGE(AA300:AJ300)*4)</x:f>
      </x:c>
      <x:c r="CF300" s="178" t="str">
        <x:f>IF(COUNT(AK300:AR300)=0,"",AVERAGE(AK300:AR300)*4)</x:f>
      </x:c>
      <x:c r="CG300" s="178" t="str">
        <x:f>IF(COUNT(AS300:AY300)=0,"",AVERAGE(AS300:AY300)*4)</x:f>
      </x:c>
      <x:c r="CH300" s="178" t="str">
        <x:f>IF(COUNT(AZ300:BG300)=0,"",AVERAGE(AZ300:BG300)*4)</x:f>
      </x:c>
      <x:c r="CI300" s="178" t="str">
        <x:f>IF(COUNT(BH300:BN300)=0,"",AVERAGE(BH300:BN300)*4)</x:f>
      </x:c>
      <x:c r="CJ300" s="178" t="str">
        <x:f>IF(COUNT(BO300:BU300)=0,"",AVERAGE(BO300:BU300)*4)</x:f>
      </x:c>
      <x:c r="CK300" s="178" t="str">
        <x:f>IF(COUNT(BV300:CB300)=0,"",AVERAGE(BV300:CB300)*4)</x:f>
      </x:c>
      <x:c r="CL300" s="178" t="str">
        <x:f>IF(C300="","",IF(COUNT(G300:CB300)&lt;74,"",(CC300*'تنظیمات وزن‌دهی'!$C$5+CD300*'تنظیمات وزن‌دهی'!$C$6+CE300*'تنظیمات وزن‌دهی'!$C$7+CF300*'تنظیمات وزن‌دهی'!$C$8+CG300*'تنظیمات وزن‌دهی'!$C$9+CH300*'تنظیمات وزن‌دهی'!$C$10+CI300*'تنظیمات وزن‌دهی'!$C$11+CJ300*'تنظیمات وزن‌دهی'!$C$12+CK300*'تنظیمات وزن‌دهی'!$C$13)/100))</x:f>
      </x:c>
      <x:c r="CM300" s="178" t="str">
        <x:f>IF(C300="","",IF(COUNT(G300:CB300)=0,"",IF(COUNT(G300:CB300)&lt;74,"موقت - اطلاعات ناقص",IF(CL300&gt;=17,"عالی",IF(CL300&gt;=14,"خوب",IF(CL300&gt;=10,"متوسط","ضعیف"))))))</x:f>
      </x:c>
      <x:c r="CN300" s="178" t="n">
        <x:v>8</x:v>
      </x:c>
      <x:c r="CO300" s="142" t="n">
        <x:f>IF(C300="","",COUNT(G300:CB300)/74)</x:f>
        <x:v>0</x:v>
      </x:c>
      <x:c r="CP300" s="245"/>
    </x:row>
    <x:row r="301">
      <x:c r="A301" s="165" t="n">
        <x:v>297</x:v>
      </x:c>
      <x:c r="B301" s="233" t="str">
        <x:v>اسفند</x:v>
      </x:c>
      <x:c r="C301" s="233" t="n">
        <x:f>IF('دانش‌آموزان'!E29="","",'دانش‌آموزان'!B29)</x:f>
        <x:v>25</x:v>
      </x:c>
      <x:c r="D301" s="233" t="str">
        <x:f>IF('دانش‌آموزان'!C29="","",'دانش‌آموزان'!C29)</x:f>
        <x:v>4000000251</x:v>
      </x:c>
      <x:c r="E301" s="233" t="str">
        <x:f>IF('دانش‌آموزان'!E29="","",'دانش‌آموزان'!E29&amp;" "&amp;'دانش‌آموزان'!F29)</x:f>
        <x:v>محمد قاسمی</x:v>
      </x:c>
      <x:c r="F301" s="166" t="str">
        <x:f>IF('دانش‌آموزان'!I29="","",'دانش‌آموزان'!I29)</x:f>
        <x:v>sample-7-a</x:v>
      </x:c>
      <x:c r="G301" s="114"/>
      <x:c r="H301" s="115"/>
      <x:c r="I301" s="115"/>
      <x:c r="J301" s="115"/>
      <x:c r="K301" s="115"/>
      <x:c r="L301" s="115"/>
      <x:c r="M301" s="115"/>
      <x:c r="N301" s="115"/>
      <x:c r="O301" s="115"/>
      <x:c r="P301" s="115"/>
      <x:c r="Q301" s="115"/>
      <x:c r="R301" s="115"/>
      <x:c r="S301" s="115"/>
      <x:c r="T301" s="115"/>
      <x:c r="U301" s="115"/>
      <x:c r="V301" s="115"/>
      <x:c r="W301" s="115"/>
      <x:c r="X301" s="115"/>
      <x:c r="Y301" s="115"/>
      <x:c r="Z301" s="115"/>
      <x:c r="AA301" s="115"/>
      <x:c r="AB301" s="115"/>
      <x:c r="AC301" s="115"/>
      <x:c r="AD301" s="115"/>
      <x:c r="AE301" s="115"/>
      <x:c r="AF301" s="115"/>
      <x:c r="AG301" s="115"/>
      <x:c r="AH301" s="115"/>
      <x:c r="AI301" s="115"/>
      <x:c r="AJ301" s="115"/>
      <x:c r="AK301" s="115"/>
      <x:c r="AL301" s="115"/>
      <x:c r="AM301" s="115"/>
      <x:c r="AN301" s="115"/>
      <x:c r="AO301" s="115"/>
      <x:c r="AP301" s="115"/>
      <x:c r="AQ301" s="115"/>
      <x:c r="AR301" s="115"/>
      <x:c r="AS301" s="115"/>
      <x:c r="AT301" s="115"/>
      <x:c r="AU301" s="115"/>
      <x:c r="AV301" s="115"/>
      <x:c r="AW301" s="115"/>
      <x:c r="AX301" s="115"/>
      <x:c r="AY301" s="115"/>
      <x:c r="AZ301" s="115"/>
      <x:c r="BA301" s="115"/>
      <x:c r="BB301" s="115"/>
      <x:c r="BC301" s="115"/>
      <x:c r="BD301" s="115"/>
      <x:c r="BE301" s="115"/>
      <x:c r="BF301" s="115"/>
      <x:c r="BG301" s="115"/>
      <x:c r="BH301" s="115"/>
      <x:c r="BI301" s="115"/>
      <x:c r="BJ301" s="115"/>
      <x:c r="BK301" s="115"/>
      <x:c r="BL301" s="115"/>
      <x:c r="BM301" s="115"/>
      <x:c r="BN301" s="115"/>
      <x:c r="BO301" s="115"/>
      <x:c r="BP301" s="115"/>
      <x:c r="BQ301" s="115"/>
      <x:c r="BR301" s="115"/>
      <x:c r="BS301" s="115"/>
      <x:c r="BT301" s="115"/>
      <x:c r="BU301" s="115"/>
      <x:c r="BV301" s="115"/>
      <x:c r="BW301" s="115"/>
      <x:c r="BX301" s="115"/>
      <x:c r="BY301" s="115"/>
      <x:c r="BZ301" s="115"/>
      <x:c r="CA301" s="115"/>
      <x:c r="CB301" s="116"/>
      <x:c r="CC301" s="141" t="str">
        <x:f>IF(COUNT(G301:P301)=0,"",AVERAGE(G301:P301)*4)</x:f>
      </x:c>
      <x:c r="CD301" s="178" t="str">
        <x:f>IF(COUNT(Q301:Z301)=0,"",AVERAGE(Q301:Z301)*4)</x:f>
      </x:c>
      <x:c r="CE301" s="178" t="str">
        <x:f>IF(COUNT(AA301:AJ301)=0,"",AVERAGE(AA301:AJ301)*4)</x:f>
      </x:c>
      <x:c r="CF301" s="178" t="str">
        <x:f>IF(COUNT(AK301:AR301)=0,"",AVERAGE(AK301:AR301)*4)</x:f>
      </x:c>
      <x:c r="CG301" s="178" t="str">
        <x:f>IF(COUNT(AS301:AY301)=0,"",AVERAGE(AS301:AY301)*4)</x:f>
      </x:c>
      <x:c r="CH301" s="178" t="str">
        <x:f>IF(COUNT(AZ301:BG301)=0,"",AVERAGE(AZ301:BG301)*4)</x:f>
      </x:c>
      <x:c r="CI301" s="178" t="str">
        <x:f>IF(COUNT(BH301:BN301)=0,"",AVERAGE(BH301:BN301)*4)</x:f>
      </x:c>
      <x:c r="CJ301" s="178" t="str">
        <x:f>IF(COUNT(BO301:BU301)=0,"",AVERAGE(BO301:BU301)*4)</x:f>
      </x:c>
      <x:c r="CK301" s="178" t="str">
        <x:f>IF(COUNT(BV301:CB301)=0,"",AVERAGE(BV301:CB301)*4)</x:f>
      </x:c>
      <x:c r="CL301" s="178" t="str">
        <x:f>IF(C301="","",IF(COUNT(G301:CB301)&lt;74,"",(CC301*'تنظیمات وزن‌دهی'!$C$5+CD301*'تنظیمات وزن‌دهی'!$C$6+CE301*'تنظیمات وزن‌دهی'!$C$7+CF301*'تنظیمات وزن‌دهی'!$C$8+CG301*'تنظیمات وزن‌دهی'!$C$9+CH301*'تنظیمات وزن‌دهی'!$C$10+CI301*'تنظیمات وزن‌دهی'!$C$11+CJ301*'تنظیمات وزن‌دهی'!$C$12+CK301*'تنظیمات وزن‌دهی'!$C$13)/100))</x:f>
      </x:c>
      <x:c r="CM301" s="178" t="str">
        <x:f>IF(C301="","",IF(COUNT(G301:CB301)=0,"",IF(COUNT(G301:CB301)&lt;74,"موقت - اطلاعات ناقص",IF(CL301&gt;=17,"عالی",IF(CL301&gt;=14,"خوب",IF(CL301&gt;=10,"متوسط","ضعیف"))))))</x:f>
      </x:c>
      <x:c r="CN301" s="178" t="n">
        <x:v>9</x:v>
      </x:c>
      <x:c r="CO301" s="142" t="n">
        <x:f>IF(C301="","",COUNT(G301:CB301)/74)</x:f>
        <x:v>0</x:v>
      </x:c>
      <x:c r="CP301" s="245"/>
    </x:row>
    <x:row r="302">
      <x:c r="A302" s="165" t="n">
        <x:v>298</x:v>
      </x:c>
      <x:c r="B302" s="233" t="str">
        <x:v>فروردین</x:v>
      </x:c>
      <x:c r="C302" s="233" t="n">
        <x:f>IF('دانش‌آموزان'!E29="","",'دانش‌آموزان'!B29)</x:f>
        <x:v>25</x:v>
      </x:c>
      <x:c r="D302" s="233" t="str">
        <x:f>IF('دانش‌آموزان'!C29="","",'دانش‌آموزان'!C29)</x:f>
        <x:v>4000000251</x:v>
      </x:c>
      <x:c r="E302" s="233" t="str">
        <x:f>IF('دانش‌آموزان'!E29="","",'دانش‌آموزان'!E29&amp;" "&amp;'دانش‌آموزان'!F29)</x:f>
        <x:v>محمد قاسمی</x:v>
      </x:c>
      <x:c r="F302" s="166" t="str">
        <x:f>IF('دانش‌آموزان'!I29="","",'دانش‌آموزان'!I29)</x:f>
        <x:v>sample-7-a</x:v>
      </x:c>
      <x:c r="G302" s="114"/>
      <x:c r="H302" s="115"/>
      <x:c r="I302" s="115"/>
      <x:c r="J302" s="115"/>
      <x:c r="K302" s="115"/>
      <x:c r="L302" s="115"/>
      <x:c r="M302" s="115"/>
      <x:c r="N302" s="115"/>
      <x:c r="O302" s="115"/>
      <x:c r="P302" s="115"/>
      <x:c r="Q302" s="115"/>
      <x:c r="R302" s="115"/>
      <x:c r="S302" s="115"/>
      <x:c r="T302" s="115"/>
      <x:c r="U302" s="115"/>
      <x:c r="V302" s="115"/>
      <x:c r="W302" s="115"/>
      <x:c r="X302" s="115"/>
      <x:c r="Y302" s="115"/>
      <x:c r="Z302" s="115"/>
      <x:c r="AA302" s="115"/>
      <x:c r="AB302" s="115"/>
      <x:c r="AC302" s="115"/>
      <x:c r="AD302" s="115"/>
      <x:c r="AE302" s="115"/>
      <x:c r="AF302" s="115"/>
      <x:c r="AG302" s="115"/>
      <x:c r="AH302" s="115"/>
      <x:c r="AI302" s="115"/>
      <x:c r="AJ302" s="115"/>
      <x:c r="AK302" s="115"/>
      <x:c r="AL302" s="115"/>
      <x:c r="AM302" s="115"/>
      <x:c r="AN302" s="115"/>
      <x:c r="AO302" s="115"/>
      <x:c r="AP302" s="115"/>
      <x:c r="AQ302" s="115"/>
      <x:c r="AR302" s="115"/>
      <x:c r="AS302" s="115"/>
      <x:c r="AT302" s="115"/>
      <x:c r="AU302" s="115"/>
      <x:c r="AV302" s="115"/>
      <x:c r="AW302" s="115"/>
      <x:c r="AX302" s="115"/>
      <x:c r="AY302" s="115"/>
      <x:c r="AZ302" s="115"/>
      <x:c r="BA302" s="115"/>
      <x:c r="BB302" s="115"/>
      <x:c r="BC302" s="115"/>
      <x:c r="BD302" s="115"/>
      <x:c r="BE302" s="115"/>
      <x:c r="BF302" s="115"/>
      <x:c r="BG302" s="115"/>
      <x:c r="BH302" s="115"/>
      <x:c r="BI302" s="115"/>
      <x:c r="BJ302" s="115"/>
      <x:c r="BK302" s="115"/>
      <x:c r="BL302" s="115"/>
      <x:c r="BM302" s="115"/>
      <x:c r="BN302" s="115"/>
      <x:c r="BO302" s="115"/>
      <x:c r="BP302" s="115"/>
      <x:c r="BQ302" s="115"/>
      <x:c r="BR302" s="115"/>
      <x:c r="BS302" s="115"/>
      <x:c r="BT302" s="115"/>
      <x:c r="BU302" s="115"/>
      <x:c r="BV302" s="115"/>
      <x:c r="BW302" s="115"/>
      <x:c r="BX302" s="115"/>
      <x:c r="BY302" s="115"/>
      <x:c r="BZ302" s="115"/>
      <x:c r="CA302" s="115"/>
      <x:c r="CB302" s="116"/>
      <x:c r="CC302" s="141" t="str">
        <x:f>IF(COUNT(G302:P302)=0,"",AVERAGE(G302:P302)*4)</x:f>
      </x:c>
      <x:c r="CD302" s="178" t="str">
        <x:f>IF(COUNT(Q302:Z302)=0,"",AVERAGE(Q302:Z302)*4)</x:f>
      </x:c>
      <x:c r="CE302" s="178" t="str">
        <x:f>IF(COUNT(AA302:AJ302)=0,"",AVERAGE(AA302:AJ302)*4)</x:f>
      </x:c>
      <x:c r="CF302" s="178" t="str">
        <x:f>IF(COUNT(AK302:AR302)=0,"",AVERAGE(AK302:AR302)*4)</x:f>
      </x:c>
      <x:c r="CG302" s="178" t="str">
        <x:f>IF(COUNT(AS302:AY302)=0,"",AVERAGE(AS302:AY302)*4)</x:f>
      </x:c>
      <x:c r="CH302" s="178" t="str">
        <x:f>IF(COUNT(AZ302:BG302)=0,"",AVERAGE(AZ302:BG302)*4)</x:f>
      </x:c>
      <x:c r="CI302" s="178" t="str">
        <x:f>IF(COUNT(BH302:BN302)=0,"",AVERAGE(BH302:BN302)*4)</x:f>
      </x:c>
      <x:c r="CJ302" s="178" t="str">
        <x:f>IF(COUNT(BO302:BU302)=0,"",AVERAGE(BO302:BU302)*4)</x:f>
      </x:c>
      <x:c r="CK302" s="178" t="str">
        <x:f>IF(COUNT(BV302:CB302)=0,"",AVERAGE(BV302:CB302)*4)</x:f>
      </x:c>
      <x:c r="CL302" s="178" t="str">
        <x:f>IF(C302="","",IF(COUNT(G302:CB302)&lt;74,"",(CC302*'تنظیمات وزن‌دهی'!$C$5+CD302*'تنظیمات وزن‌دهی'!$C$6+CE302*'تنظیمات وزن‌دهی'!$C$7+CF302*'تنظیمات وزن‌دهی'!$C$8+CG302*'تنظیمات وزن‌دهی'!$C$9+CH302*'تنظیمات وزن‌دهی'!$C$10+CI302*'تنظیمات وزن‌دهی'!$C$11+CJ302*'تنظیمات وزن‌دهی'!$C$12+CK302*'تنظیمات وزن‌دهی'!$C$13)/100))</x:f>
      </x:c>
      <x:c r="CM302" s="178" t="str">
        <x:f>IF(C302="","",IF(COUNT(G302:CB302)=0,"",IF(COUNT(G302:CB302)&lt;74,"موقت - اطلاعات ناقص",IF(CL302&gt;=17,"عالی",IF(CL302&gt;=14,"خوب",IF(CL302&gt;=10,"متوسط","ضعیف"))))))</x:f>
      </x:c>
      <x:c r="CN302" s="178" t="n">
        <x:v>10</x:v>
      </x:c>
      <x:c r="CO302" s="142" t="n">
        <x:f>IF(C302="","",COUNT(G302:CB302)/74)</x:f>
        <x:v>0</x:v>
      </x:c>
      <x:c r="CP302" s="245"/>
    </x:row>
    <x:row r="303">
      <x:c r="A303" s="165" t="n">
        <x:v>299</x:v>
      </x:c>
      <x:c r="B303" s="233" t="str">
        <x:v>اردیبهشت</x:v>
      </x:c>
      <x:c r="C303" s="233" t="n">
        <x:f>IF('دانش‌آموزان'!E29="","",'دانش‌آموزان'!B29)</x:f>
        <x:v>25</x:v>
      </x:c>
      <x:c r="D303" s="233" t="str">
        <x:f>IF('دانش‌آموزان'!C29="","",'دانش‌آموزان'!C29)</x:f>
        <x:v>4000000251</x:v>
      </x:c>
      <x:c r="E303" s="233" t="str">
        <x:f>IF('دانش‌آموزان'!E29="","",'دانش‌آموزان'!E29&amp;" "&amp;'دانش‌آموزان'!F29)</x:f>
        <x:v>محمد قاسمی</x:v>
      </x:c>
      <x:c r="F303" s="166" t="str">
        <x:f>IF('دانش‌آموزان'!I29="","",'دانش‌آموزان'!I29)</x:f>
        <x:v>sample-7-a</x:v>
      </x:c>
      <x:c r="G303" s="114"/>
      <x:c r="H303" s="115"/>
      <x:c r="I303" s="115"/>
      <x:c r="J303" s="115"/>
      <x:c r="K303" s="115"/>
      <x:c r="L303" s="115"/>
      <x:c r="M303" s="115"/>
      <x:c r="N303" s="115"/>
      <x:c r="O303" s="115"/>
      <x:c r="P303" s="115"/>
      <x:c r="Q303" s="115"/>
      <x:c r="R303" s="115"/>
      <x:c r="S303" s="115"/>
      <x:c r="T303" s="115"/>
      <x:c r="U303" s="115"/>
      <x:c r="V303" s="115"/>
      <x:c r="W303" s="115"/>
      <x:c r="X303" s="115"/>
      <x:c r="Y303" s="115"/>
      <x:c r="Z303" s="115"/>
      <x:c r="AA303" s="115"/>
      <x:c r="AB303" s="115"/>
      <x:c r="AC303" s="115"/>
      <x:c r="AD303" s="115"/>
      <x:c r="AE303" s="115"/>
      <x:c r="AF303" s="115"/>
      <x:c r="AG303" s="115"/>
      <x:c r="AH303" s="115"/>
      <x:c r="AI303" s="115"/>
      <x:c r="AJ303" s="115"/>
      <x:c r="AK303" s="115"/>
      <x:c r="AL303" s="115"/>
      <x:c r="AM303" s="115"/>
      <x:c r="AN303" s="115"/>
      <x:c r="AO303" s="115"/>
      <x:c r="AP303" s="115"/>
      <x:c r="AQ303" s="115"/>
      <x:c r="AR303" s="115"/>
      <x:c r="AS303" s="115"/>
      <x:c r="AT303" s="115"/>
      <x:c r="AU303" s="115"/>
      <x:c r="AV303" s="115"/>
      <x:c r="AW303" s="115"/>
      <x:c r="AX303" s="115"/>
      <x:c r="AY303" s="115"/>
      <x:c r="AZ303" s="115"/>
      <x:c r="BA303" s="115"/>
      <x:c r="BB303" s="115"/>
      <x:c r="BC303" s="115"/>
      <x:c r="BD303" s="115"/>
      <x:c r="BE303" s="115"/>
      <x:c r="BF303" s="115"/>
      <x:c r="BG303" s="115"/>
      <x:c r="BH303" s="115"/>
      <x:c r="BI303" s="115"/>
      <x:c r="BJ303" s="115"/>
      <x:c r="BK303" s="115"/>
      <x:c r="BL303" s="115"/>
      <x:c r="BM303" s="115"/>
      <x:c r="BN303" s="115"/>
      <x:c r="BO303" s="115"/>
      <x:c r="BP303" s="115"/>
      <x:c r="BQ303" s="115"/>
      <x:c r="BR303" s="115"/>
      <x:c r="BS303" s="115"/>
      <x:c r="BT303" s="115"/>
      <x:c r="BU303" s="115"/>
      <x:c r="BV303" s="115"/>
      <x:c r="BW303" s="115"/>
      <x:c r="BX303" s="115"/>
      <x:c r="BY303" s="115"/>
      <x:c r="BZ303" s="115"/>
      <x:c r="CA303" s="115"/>
      <x:c r="CB303" s="116"/>
      <x:c r="CC303" s="141" t="str">
        <x:f>IF(COUNT(G303:P303)=0,"",AVERAGE(G303:P303)*4)</x:f>
      </x:c>
      <x:c r="CD303" s="178" t="str">
        <x:f>IF(COUNT(Q303:Z303)=0,"",AVERAGE(Q303:Z303)*4)</x:f>
      </x:c>
      <x:c r="CE303" s="178" t="str">
        <x:f>IF(COUNT(AA303:AJ303)=0,"",AVERAGE(AA303:AJ303)*4)</x:f>
      </x:c>
      <x:c r="CF303" s="178" t="str">
        <x:f>IF(COUNT(AK303:AR303)=0,"",AVERAGE(AK303:AR303)*4)</x:f>
      </x:c>
      <x:c r="CG303" s="178" t="str">
        <x:f>IF(COUNT(AS303:AY303)=0,"",AVERAGE(AS303:AY303)*4)</x:f>
      </x:c>
      <x:c r="CH303" s="178" t="str">
        <x:f>IF(COUNT(AZ303:BG303)=0,"",AVERAGE(AZ303:BG303)*4)</x:f>
      </x:c>
      <x:c r="CI303" s="178" t="str">
        <x:f>IF(COUNT(BH303:BN303)=0,"",AVERAGE(BH303:BN303)*4)</x:f>
      </x:c>
      <x:c r="CJ303" s="178" t="str">
        <x:f>IF(COUNT(BO303:BU303)=0,"",AVERAGE(BO303:BU303)*4)</x:f>
      </x:c>
      <x:c r="CK303" s="178" t="str">
        <x:f>IF(COUNT(BV303:CB303)=0,"",AVERAGE(BV303:CB303)*4)</x:f>
      </x:c>
      <x:c r="CL303" s="178" t="str">
        <x:f>IF(C303="","",IF(COUNT(G303:CB303)&lt;74,"",(CC303*'تنظیمات وزن‌دهی'!$C$5+CD303*'تنظیمات وزن‌دهی'!$C$6+CE303*'تنظیمات وزن‌دهی'!$C$7+CF303*'تنظیمات وزن‌دهی'!$C$8+CG303*'تنظیمات وزن‌دهی'!$C$9+CH303*'تنظیمات وزن‌دهی'!$C$10+CI303*'تنظیمات وزن‌دهی'!$C$11+CJ303*'تنظیمات وزن‌دهی'!$C$12+CK303*'تنظیمات وزن‌دهی'!$C$13)/100))</x:f>
      </x:c>
      <x:c r="CM303" s="178" t="str">
        <x:f>IF(C303="","",IF(COUNT(G303:CB303)=0,"",IF(COUNT(G303:CB303)&lt;74,"موقت - اطلاعات ناقص",IF(CL303&gt;=17,"عالی",IF(CL303&gt;=14,"خوب",IF(CL303&gt;=10,"متوسط","ضعیف"))))))</x:f>
      </x:c>
      <x:c r="CN303" s="178" t="n">
        <x:v>11</x:v>
      </x:c>
      <x:c r="CO303" s="142" t="n">
        <x:f>IF(C303="","",COUNT(G303:CB303)/74)</x:f>
        <x:v>0</x:v>
      </x:c>
      <x:c r="CP303" s="245"/>
    </x:row>
    <x:row r="304">
      <x:c r="A304" s="165" t="n">
        <x:v>300</x:v>
      </x:c>
      <x:c r="B304" s="233" t="str">
        <x:v>خرداد</x:v>
      </x:c>
      <x:c r="C304" s="233" t="n">
        <x:f>IF('دانش‌آموزان'!E29="","",'دانش‌آموزان'!B29)</x:f>
        <x:v>25</x:v>
      </x:c>
      <x:c r="D304" s="233" t="str">
        <x:f>IF('دانش‌آموزان'!C29="","",'دانش‌آموزان'!C29)</x:f>
        <x:v>4000000251</x:v>
      </x:c>
      <x:c r="E304" s="233" t="str">
        <x:f>IF('دانش‌آموزان'!E29="","",'دانش‌آموزان'!E29&amp;" "&amp;'دانش‌آموزان'!F29)</x:f>
        <x:v>محمد قاسمی</x:v>
      </x:c>
      <x:c r="F304" s="166" t="str">
        <x:f>IF('دانش‌آموزان'!I29="","",'دانش‌آموزان'!I29)</x:f>
        <x:v>sample-7-a</x:v>
      </x:c>
      <x:c r="G304" s="114"/>
      <x:c r="H304" s="115"/>
      <x:c r="I304" s="115"/>
      <x:c r="J304" s="115"/>
      <x:c r="K304" s="115"/>
      <x:c r="L304" s="115"/>
      <x:c r="M304" s="115"/>
      <x:c r="N304" s="115"/>
      <x:c r="O304" s="115"/>
      <x:c r="P304" s="115"/>
      <x:c r="Q304" s="115"/>
      <x:c r="R304" s="115"/>
      <x:c r="S304" s="115"/>
      <x:c r="T304" s="115"/>
      <x:c r="U304" s="115"/>
      <x:c r="V304" s="115"/>
      <x:c r="W304" s="115"/>
      <x:c r="X304" s="115"/>
      <x:c r="Y304" s="115"/>
      <x:c r="Z304" s="115"/>
      <x:c r="AA304" s="115"/>
      <x:c r="AB304" s="115"/>
      <x:c r="AC304" s="115"/>
      <x:c r="AD304" s="115"/>
      <x:c r="AE304" s="115"/>
      <x:c r="AF304" s="115"/>
      <x:c r="AG304" s="115"/>
      <x:c r="AH304" s="115"/>
      <x:c r="AI304" s="115"/>
      <x:c r="AJ304" s="115"/>
      <x:c r="AK304" s="115"/>
      <x:c r="AL304" s="115"/>
      <x:c r="AM304" s="115"/>
      <x:c r="AN304" s="115"/>
      <x:c r="AO304" s="115"/>
      <x:c r="AP304" s="115"/>
      <x:c r="AQ304" s="115"/>
      <x:c r="AR304" s="115"/>
      <x:c r="AS304" s="115"/>
      <x:c r="AT304" s="115"/>
      <x:c r="AU304" s="115"/>
      <x:c r="AV304" s="115"/>
      <x:c r="AW304" s="115"/>
      <x:c r="AX304" s="115"/>
      <x:c r="AY304" s="115"/>
      <x:c r="AZ304" s="115"/>
      <x:c r="BA304" s="115"/>
      <x:c r="BB304" s="115"/>
      <x:c r="BC304" s="115"/>
      <x:c r="BD304" s="115"/>
      <x:c r="BE304" s="115"/>
      <x:c r="BF304" s="115"/>
      <x:c r="BG304" s="115"/>
      <x:c r="BH304" s="115"/>
      <x:c r="BI304" s="115"/>
      <x:c r="BJ304" s="115"/>
      <x:c r="BK304" s="115"/>
      <x:c r="BL304" s="115"/>
      <x:c r="BM304" s="115"/>
      <x:c r="BN304" s="115"/>
      <x:c r="BO304" s="115"/>
      <x:c r="BP304" s="115"/>
      <x:c r="BQ304" s="115"/>
      <x:c r="BR304" s="115"/>
      <x:c r="BS304" s="115"/>
      <x:c r="BT304" s="115"/>
      <x:c r="BU304" s="115"/>
      <x:c r="BV304" s="115"/>
      <x:c r="BW304" s="115"/>
      <x:c r="BX304" s="115"/>
      <x:c r="BY304" s="115"/>
      <x:c r="BZ304" s="115"/>
      <x:c r="CA304" s="115"/>
      <x:c r="CB304" s="116"/>
      <x:c r="CC304" s="141" t="str">
        <x:f>IF(COUNT(G304:P304)=0,"",AVERAGE(G304:P304)*4)</x:f>
      </x:c>
      <x:c r="CD304" s="178" t="str">
        <x:f>IF(COUNT(Q304:Z304)=0,"",AVERAGE(Q304:Z304)*4)</x:f>
      </x:c>
      <x:c r="CE304" s="178" t="str">
        <x:f>IF(COUNT(AA304:AJ304)=0,"",AVERAGE(AA304:AJ304)*4)</x:f>
      </x:c>
      <x:c r="CF304" s="178" t="str">
        <x:f>IF(COUNT(AK304:AR304)=0,"",AVERAGE(AK304:AR304)*4)</x:f>
      </x:c>
      <x:c r="CG304" s="178" t="str">
        <x:f>IF(COUNT(AS304:AY304)=0,"",AVERAGE(AS304:AY304)*4)</x:f>
      </x:c>
      <x:c r="CH304" s="178" t="str">
        <x:f>IF(COUNT(AZ304:BG304)=0,"",AVERAGE(AZ304:BG304)*4)</x:f>
      </x:c>
      <x:c r="CI304" s="178" t="str">
        <x:f>IF(COUNT(BH304:BN304)=0,"",AVERAGE(BH304:BN304)*4)</x:f>
      </x:c>
      <x:c r="CJ304" s="178" t="str">
        <x:f>IF(COUNT(BO304:BU304)=0,"",AVERAGE(BO304:BU304)*4)</x:f>
      </x:c>
      <x:c r="CK304" s="178" t="str">
        <x:f>IF(COUNT(BV304:CB304)=0,"",AVERAGE(BV304:CB304)*4)</x:f>
      </x:c>
      <x:c r="CL304" s="178" t="str">
        <x:f>IF(C304="","",IF(COUNT(G304:CB304)&lt;74,"",(CC304*'تنظیمات وزن‌دهی'!$C$5+CD304*'تنظیمات وزن‌دهی'!$C$6+CE304*'تنظیمات وزن‌دهی'!$C$7+CF304*'تنظیمات وزن‌دهی'!$C$8+CG304*'تنظیمات وزن‌دهی'!$C$9+CH304*'تنظیمات وزن‌دهی'!$C$10+CI304*'تنظیمات وزن‌دهی'!$C$11+CJ304*'تنظیمات وزن‌دهی'!$C$12+CK304*'تنظیمات وزن‌دهی'!$C$13)/100))</x:f>
      </x:c>
      <x:c r="CM304" s="178" t="str">
        <x:f>IF(C304="","",IF(COUNT(G304:CB304)=0,"",IF(COUNT(G304:CB304)&lt;74,"موقت - اطلاعات ناقص",IF(CL304&gt;=17,"عالی",IF(CL304&gt;=14,"خوب",IF(CL304&gt;=10,"متوسط","ضعیف"))))))</x:f>
      </x:c>
      <x:c r="CN304" s="178" t="n">
        <x:v>12</x:v>
      </x:c>
      <x:c r="CO304" s="142" t="n">
        <x:f>IF(C304="","",COUNT(G304:CB304)/74)</x:f>
        <x:v>0</x:v>
      </x:c>
      <x:c r="CP304" s="245"/>
    </x:row>
    <x:row r="305">
      <x:c r="A305" s="165" t="n">
        <x:v>301</x:v>
      </x:c>
      <x:c r="B305" s="233" t="str">
        <x:v>تیر</x:v>
      </x:c>
      <x:c r="C305" s="233" t="n">
        <x:f>IF('دانش‌آموزان'!E30="","",'دانش‌آموزان'!B30)</x:f>
        <x:v>26</x:v>
      </x:c>
      <x:c r="D305" s="233" t="str">
        <x:f>IF('دانش‌آموزان'!C30="","",'دانش‌آموزان'!C30)</x:f>
        <x:v>4000000268</x:v>
      </x:c>
      <x:c r="E305" s="233" t="str">
        <x:f>IF('دانش‌آموزان'!E30="","",'دانش‌آموزان'!E30&amp;" "&amp;'دانش‌آموزان'!F30)</x:f>
        <x:v>سارا خلیلی</x:v>
      </x:c>
      <x:c r="F305" s="166" t="str">
        <x:f>IF('دانش‌آموزان'!I30="","",'دانش‌آموزان'!I30)</x:f>
        <x:v>sample-7-b</x:v>
      </x:c>
      <x:c r="G305" s="114" t="n">
        <x:v>5</x:v>
      </x:c>
      <x:c r="H305" s="115" t="n">
        <x:v>3</x:v>
      </x:c>
      <x:c r="I305" s="115" t="n">
        <x:v>5</x:v>
      </x:c>
      <x:c r="J305" s="115" t="n">
        <x:v>3</x:v>
      </x:c>
      <x:c r="K305" s="115" t="n">
        <x:v>4</x:v>
      </x:c>
      <x:c r="L305" s="115" t="n">
        <x:v>3</x:v>
      </x:c>
      <x:c r="M305" s="115" t="n">
        <x:v>4</x:v>
      </x:c>
      <x:c r="N305" s="115" t="n">
        <x:v>2</x:v>
      </x:c>
      <x:c r="O305" s="115" t="n">
        <x:v>4</x:v>
      </x:c>
      <x:c r="P305" s="115" t="n">
        <x:v>5</x:v>
      </x:c>
      <x:c r="Q305" s="115" t="n">
        <x:v>4</x:v>
      </x:c>
      <x:c r="R305" s="115" t="n">
        <x:v>5</x:v>
      </x:c>
      <x:c r="S305" s="115" t="n">
        <x:v>3</x:v>
      </x:c>
      <x:c r="T305" s="115" t="n">
        <x:v>5</x:v>
      </x:c>
      <x:c r="U305" s="115" t="n">
        <x:v>3</x:v>
      </x:c>
      <x:c r="V305" s="115" t="n">
        <x:v>4</x:v>
      </x:c>
      <x:c r="W305" s="115" t="n">
        <x:v>3</x:v>
      </x:c>
      <x:c r="X305" s="115" t="n">
        <x:v>4</x:v>
      </x:c>
      <x:c r="Y305" s="115" t="n">
        <x:v>2</x:v>
      </x:c>
      <x:c r="Z305" s="115" t="n">
        <x:v>4</x:v>
      </x:c>
      <x:c r="AA305" s="115" t="n">
        <x:v>5</x:v>
      </x:c>
      <x:c r="AB305" s="115" t="n">
        <x:v>4</x:v>
      </x:c>
      <x:c r="AC305" s="115" t="n">
        <x:v>5</x:v>
      </x:c>
      <x:c r="AD305" s="115" t="n">
        <x:v>3</x:v>
      </x:c>
      <x:c r="AE305" s="115" t="n">
        <x:v>5</x:v>
      </x:c>
      <x:c r="AF305" s="115" t="n">
        <x:v>3</x:v>
      </x:c>
      <x:c r="AG305" s="115" t="n">
        <x:v>4</x:v>
      </x:c>
      <x:c r="AH305" s="115" t="n">
        <x:v>3</x:v>
      </x:c>
      <x:c r="AI305" s="115" t="n">
        <x:v>4</x:v>
      </x:c>
      <x:c r="AJ305" s="115" t="n">
        <x:v>2</x:v>
      </x:c>
      <x:c r="AK305" s="115" t="n">
        <x:v>4</x:v>
      </x:c>
      <x:c r="AL305" s="115" t="n">
        <x:v>5</x:v>
      </x:c>
      <x:c r="AM305" s="115" t="n">
        <x:v>4</x:v>
      </x:c>
      <x:c r="AN305" s="115" t="n">
        <x:v>5</x:v>
      </x:c>
      <x:c r="AO305" s="115" t="n">
        <x:v>3</x:v>
      </x:c>
      <x:c r="AP305" s="115" t="n">
        <x:v>5</x:v>
      </x:c>
      <x:c r="AQ305" s="115" t="n">
        <x:v>3</x:v>
      </x:c>
      <x:c r="AR305" s="115" t="n">
        <x:v>4</x:v>
      </x:c>
      <x:c r="AS305" s="115" t="n">
        <x:v>3</x:v>
      </x:c>
      <x:c r="AT305" s="115" t="n">
        <x:v>4</x:v>
      </x:c>
      <x:c r="AU305" s="115" t="n">
        <x:v>2</x:v>
      </x:c>
      <x:c r="AV305" s="115" t="n">
        <x:v>4</x:v>
      </x:c>
      <x:c r="AW305" s="115" t="n">
        <x:v>5</x:v>
      </x:c>
      <x:c r="AX305" s="115" t="n">
        <x:v>4</x:v>
      </x:c>
      <x:c r="AY305" s="115" t="n">
        <x:v>5</x:v>
      </x:c>
      <x:c r="AZ305" s="115" t="n">
        <x:v>3</x:v>
      </x:c>
      <x:c r="BA305" s="115" t="n">
        <x:v>5</x:v>
      </x:c>
      <x:c r="BB305" s="115" t="n">
        <x:v>3</x:v>
      </x:c>
      <x:c r="BC305" s="115" t="n">
        <x:v>4</x:v>
      </x:c>
      <x:c r="BD305" s="115" t="n">
        <x:v>3</x:v>
      </x:c>
      <x:c r="BE305" s="115" t="n">
        <x:v>4</x:v>
      </x:c>
      <x:c r="BF305" s="115" t="n">
        <x:v>2</x:v>
      </x:c>
      <x:c r="BG305" s="115" t="n">
        <x:v>4</x:v>
      </x:c>
      <x:c r="BH305" s="115" t="n">
        <x:v>5</x:v>
      </x:c>
      <x:c r="BI305" s="115" t="n">
        <x:v>4</x:v>
      </x:c>
      <x:c r="BJ305" s="115" t="n">
        <x:v>5</x:v>
      </x:c>
      <x:c r="BK305" s="115" t="n">
        <x:v>3</x:v>
      </x:c>
      <x:c r="BL305" s="115" t="n">
        <x:v>5</x:v>
      </x:c>
      <x:c r="BM305" s="115" t="n">
        <x:v>3</x:v>
      </x:c>
      <x:c r="BN305" s="115" t="n">
        <x:v>4</x:v>
      </x:c>
      <x:c r="BO305" s="115" t="n">
        <x:v>3</x:v>
      </x:c>
      <x:c r="BP305" s="115" t="n">
        <x:v>4</x:v>
      </x:c>
      <x:c r="BQ305" s="115" t="n">
        <x:v>2</x:v>
      </x:c>
      <x:c r="BR305" s="115" t="n">
        <x:v>4</x:v>
      </x:c>
      <x:c r="BS305" s="115" t="n">
        <x:v>5</x:v>
      </x:c>
      <x:c r="BT305" s="115" t="n">
        <x:v>4</x:v>
      </x:c>
      <x:c r="BU305" s="115" t="n">
        <x:v>5</x:v>
      </x:c>
      <x:c r="BV305" s="115" t="n">
        <x:v>3</x:v>
      </x:c>
      <x:c r="BW305" s="115" t="n">
        <x:v>5</x:v>
      </x:c>
      <x:c r="BX305" s="115" t="n">
        <x:v>3</x:v>
      </x:c>
      <x:c r="BY305" s="115" t="n">
        <x:v>4</x:v>
      </x:c>
      <x:c r="BZ305" s="115" t="n">
        <x:v>3</x:v>
      </x:c>
      <x:c r="CA305" s="115" t="n">
        <x:v>4</x:v>
      </x:c>
      <x:c r="CB305" s="116" t="n">
        <x:v>2</x:v>
      </x:c>
      <x:c r="CC305" s="141" t="n">
        <x:f>IF(COUNT(G305:P305)=0,"",AVERAGE(G305:P305)*4)</x:f>
        <x:v>15.2</x:v>
      </x:c>
      <x:c r="CD305" s="178" t="n">
        <x:f>IF(COUNT(Q305:Z305)=0,"",AVERAGE(Q305:Z305)*4)</x:f>
        <x:v>14.8</x:v>
      </x:c>
      <x:c r="CE305" s="178" t="n">
        <x:f>IF(COUNT(AA305:AJ305)=0,"",AVERAGE(AA305:AJ305)*4)</x:f>
        <x:v>15.2</x:v>
      </x:c>
      <x:c r="CF305" s="178" t="n">
        <x:f>IF(COUNT(AK305:AR305)=0,"",AVERAGE(AK305:AR305)*4)</x:f>
        <x:v>16.5</x:v>
      </x:c>
      <x:c r="CG305" s="178" t="n">
        <x:f>IF(COUNT(AS305:AY305)=0,"",AVERAGE(AS305:AY305)*4)</x:f>
        <x:v>15.428571428571429</x:v>
      </x:c>
      <x:c r="CH305" s="178" t="n">
        <x:f>IF(COUNT(AZ305:BG305)=0,"",AVERAGE(AZ305:BG305)*4)</x:f>
        <x:v>14</x:v>
      </x:c>
      <x:c r="CI305" s="178" t="n">
        <x:f>IF(COUNT(BH305:BN305)=0,"",AVERAGE(BH305:BN305)*4)</x:f>
        <x:v>16.571428571428573</x:v>
      </x:c>
      <x:c r="CJ305" s="178" t="n">
        <x:f>IF(COUNT(BO305:BU305)=0,"",AVERAGE(BO305:BU305)*4)</x:f>
        <x:v>15.428571428571429</x:v>
      </x:c>
      <x:c r="CK305" s="178" t="n">
        <x:f>IF(COUNT(BV305:CB305)=0,"",AVERAGE(BV305:CB305)*4)</x:f>
        <x:v>13.714285714285714</x:v>
      </x:c>
      <x:c r="CL305" s="178" t="n">
        <x:f>IF(C305="","",IF(COUNT(G305:CB305)&lt;74,"",(CC305*'تنظیمات وزن‌دهی'!$C$5+CD305*'تنظیمات وزن‌دهی'!$C$6+CE305*'تنظیمات وزن‌دهی'!$C$7+CF305*'تنظیمات وزن‌دهی'!$C$8+CG305*'تنظیمات وزن‌دهی'!$C$9+CH305*'تنظیمات وزن‌دهی'!$C$10+CI305*'تنظیمات وزن‌دهی'!$C$11+CJ305*'تنظیمات وزن‌دهی'!$C$12+CK305*'تنظیمات وزن‌دهی'!$C$13)/100))</x:f>
        <x:v>15.260714285714286</x:v>
      </x:c>
      <x:c r="CM305" s="178" t="str">
        <x:f>IF(C305="","",IF(COUNT(G305:CB305)=0,"",IF(COUNT(G305:CB305)&lt;74,"موقت - اطلاعات ناقص",IF(CL305&gt;=17,"عالی",IF(CL305&gt;=14,"خوب",IF(CL305&gt;=10,"متوسط","ضعیف"))))))</x:f>
        <x:v>خوب</x:v>
      </x:c>
      <x:c r="CN305" s="178" t="n">
        <x:v>1</x:v>
      </x:c>
      <x:c r="CO305" s="142" t="n">
        <x:f>IF(C305="","",COUNT(G305:CB305)/74)</x:f>
        <x:v>1</x:v>
      </x:c>
      <x:c r="CP305" s="245" t="str">
        <x:v>داده نمونه کامل برای ماه تیر - دانش‌آموز شماره 26</x:v>
      </x:c>
    </x:row>
    <x:row r="306">
      <x:c r="A306" s="165" t="n">
        <x:v>302</x:v>
      </x:c>
      <x:c r="B306" s="233" t="str">
        <x:v>مرداد</x:v>
      </x:c>
      <x:c r="C306" s="233" t="n">
        <x:f>IF('دانش‌آموزان'!E30="","",'دانش‌آموزان'!B30)</x:f>
        <x:v>26</x:v>
      </x:c>
      <x:c r="D306" s="233" t="str">
        <x:f>IF('دانش‌آموزان'!C30="","",'دانش‌آموزان'!C30)</x:f>
        <x:v>4000000268</x:v>
      </x:c>
      <x:c r="E306" s="233" t="str">
        <x:f>IF('دانش‌آموزان'!E30="","",'دانش‌آموزان'!E30&amp;" "&amp;'دانش‌آموزان'!F30)</x:f>
        <x:v>سارا خلیلی</x:v>
      </x:c>
      <x:c r="F306" s="166" t="str">
        <x:f>IF('دانش‌آموزان'!I30="","",'دانش‌آموزان'!I30)</x:f>
        <x:v>sample-7-b</x:v>
      </x:c>
      <x:c r="G306" s="114"/>
      <x:c r="H306" s="115"/>
      <x:c r="I306" s="115"/>
      <x:c r="J306" s="115"/>
      <x:c r="K306" s="115"/>
      <x:c r="L306" s="115"/>
      <x:c r="M306" s="115"/>
      <x:c r="N306" s="115"/>
      <x:c r="O306" s="115"/>
      <x:c r="P306" s="115"/>
      <x:c r="Q306" s="115"/>
      <x:c r="R306" s="115"/>
      <x:c r="S306" s="115"/>
      <x:c r="T306" s="115"/>
      <x:c r="U306" s="115"/>
      <x:c r="V306" s="115"/>
      <x:c r="W306" s="115"/>
      <x:c r="X306" s="115"/>
      <x:c r="Y306" s="115"/>
      <x:c r="Z306" s="115"/>
      <x:c r="AA306" s="115"/>
      <x:c r="AB306" s="115"/>
      <x:c r="AC306" s="115"/>
      <x:c r="AD306" s="115"/>
      <x:c r="AE306" s="115"/>
      <x:c r="AF306" s="115"/>
      <x:c r="AG306" s="115"/>
      <x:c r="AH306" s="115"/>
      <x:c r="AI306" s="115"/>
      <x:c r="AJ306" s="115"/>
      <x:c r="AK306" s="115"/>
      <x:c r="AL306" s="115"/>
      <x:c r="AM306" s="115"/>
      <x:c r="AN306" s="115"/>
      <x:c r="AO306" s="115"/>
      <x:c r="AP306" s="115"/>
      <x:c r="AQ306" s="115"/>
      <x:c r="AR306" s="115"/>
      <x:c r="AS306" s="115"/>
      <x:c r="AT306" s="115"/>
      <x:c r="AU306" s="115"/>
      <x:c r="AV306" s="115"/>
      <x:c r="AW306" s="115"/>
      <x:c r="AX306" s="115"/>
      <x:c r="AY306" s="115"/>
      <x:c r="AZ306" s="115"/>
      <x:c r="BA306" s="115"/>
      <x:c r="BB306" s="115"/>
      <x:c r="BC306" s="115"/>
      <x:c r="BD306" s="115"/>
      <x:c r="BE306" s="115"/>
      <x:c r="BF306" s="115"/>
      <x:c r="BG306" s="115"/>
      <x:c r="BH306" s="115"/>
      <x:c r="BI306" s="115"/>
      <x:c r="BJ306" s="115"/>
      <x:c r="BK306" s="115"/>
      <x:c r="BL306" s="115"/>
      <x:c r="BM306" s="115"/>
      <x:c r="BN306" s="115"/>
      <x:c r="BO306" s="115"/>
      <x:c r="BP306" s="115"/>
      <x:c r="BQ306" s="115"/>
      <x:c r="BR306" s="115"/>
      <x:c r="BS306" s="115"/>
      <x:c r="BT306" s="115"/>
      <x:c r="BU306" s="115"/>
      <x:c r="BV306" s="115"/>
      <x:c r="BW306" s="115"/>
      <x:c r="BX306" s="115"/>
      <x:c r="BY306" s="115"/>
      <x:c r="BZ306" s="115"/>
      <x:c r="CA306" s="115"/>
      <x:c r="CB306" s="116"/>
      <x:c r="CC306" s="141" t="str">
        <x:f>IF(COUNT(G306:P306)=0,"",AVERAGE(G306:P306)*4)</x:f>
      </x:c>
      <x:c r="CD306" s="178" t="str">
        <x:f>IF(COUNT(Q306:Z306)=0,"",AVERAGE(Q306:Z306)*4)</x:f>
      </x:c>
      <x:c r="CE306" s="178" t="str">
        <x:f>IF(COUNT(AA306:AJ306)=0,"",AVERAGE(AA306:AJ306)*4)</x:f>
      </x:c>
      <x:c r="CF306" s="178" t="str">
        <x:f>IF(COUNT(AK306:AR306)=0,"",AVERAGE(AK306:AR306)*4)</x:f>
      </x:c>
      <x:c r="CG306" s="178" t="str">
        <x:f>IF(COUNT(AS306:AY306)=0,"",AVERAGE(AS306:AY306)*4)</x:f>
      </x:c>
      <x:c r="CH306" s="178" t="str">
        <x:f>IF(COUNT(AZ306:BG306)=0,"",AVERAGE(AZ306:BG306)*4)</x:f>
      </x:c>
      <x:c r="CI306" s="178" t="str">
        <x:f>IF(COUNT(BH306:BN306)=0,"",AVERAGE(BH306:BN306)*4)</x:f>
      </x:c>
      <x:c r="CJ306" s="178" t="str">
        <x:f>IF(COUNT(BO306:BU306)=0,"",AVERAGE(BO306:BU306)*4)</x:f>
      </x:c>
      <x:c r="CK306" s="178" t="str">
        <x:f>IF(COUNT(BV306:CB306)=0,"",AVERAGE(BV306:CB306)*4)</x:f>
      </x:c>
      <x:c r="CL306" s="178" t="str">
        <x:f>IF(C306="","",IF(COUNT(G306:CB306)&lt;74,"",(CC306*'تنظیمات وزن‌دهی'!$C$5+CD306*'تنظیمات وزن‌دهی'!$C$6+CE306*'تنظیمات وزن‌دهی'!$C$7+CF306*'تنظیمات وزن‌دهی'!$C$8+CG306*'تنظیمات وزن‌دهی'!$C$9+CH306*'تنظیمات وزن‌دهی'!$C$10+CI306*'تنظیمات وزن‌دهی'!$C$11+CJ306*'تنظیمات وزن‌دهی'!$C$12+CK306*'تنظیمات وزن‌دهی'!$C$13)/100))</x:f>
      </x:c>
      <x:c r="CM306" s="178" t="str">
        <x:f>IF(C306="","",IF(COUNT(G306:CB306)=0,"",IF(COUNT(G306:CB306)&lt;74,"موقت - اطلاعات ناقص",IF(CL306&gt;=17,"عالی",IF(CL306&gt;=14,"خوب",IF(CL306&gt;=10,"متوسط","ضعیف"))))))</x:f>
      </x:c>
      <x:c r="CN306" s="178" t="n">
        <x:v>2</x:v>
      </x:c>
      <x:c r="CO306" s="142" t="n">
        <x:f>IF(C306="","",COUNT(G306:CB306)/74)</x:f>
        <x:v>0</x:v>
      </x:c>
      <x:c r="CP306" s="245"/>
    </x:row>
    <x:row r="307">
      <x:c r="A307" s="165" t="n">
        <x:v>303</x:v>
      </x:c>
      <x:c r="B307" s="233" t="str">
        <x:v>شهریور</x:v>
      </x:c>
      <x:c r="C307" s="233" t="n">
        <x:f>IF('دانش‌آموزان'!E30="","",'دانش‌آموزان'!B30)</x:f>
        <x:v>26</x:v>
      </x:c>
      <x:c r="D307" s="233" t="str">
        <x:f>IF('دانش‌آموزان'!C30="","",'دانش‌آموزان'!C30)</x:f>
        <x:v>4000000268</x:v>
      </x:c>
      <x:c r="E307" s="233" t="str">
        <x:f>IF('دانش‌آموزان'!E30="","",'دانش‌آموزان'!E30&amp;" "&amp;'دانش‌آموزان'!F30)</x:f>
        <x:v>سارا خلیلی</x:v>
      </x:c>
      <x:c r="F307" s="166" t="str">
        <x:f>IF('دانش‌آموزان'!I30="","",'دانش‌آموزان'!I30)</x:f>
        <x:v>sample-7-b</x:v>
      </x:c>
      <x:c r="G307" s="114"/>
      <x:c r="H307" s="115"/>
      <x:c r="I307" s="115"/>
      <x:c r="J307" s="115"/>
      <x:c r="K307" s="115"/>
      <x:c r="L307" s="115"/>
      <x:c r="M307" s="115"/>
      <x:c r="N307" s="115"/>
      <x:c r="O307" s="115"/>
      <x:c r="P307" s="115"/>
      <x:c r="Q307" s="115"/>
      <x:c r="R307" s="115"/>
      <x:c r="S307" s="115"/>
      <x:c r="T307" s="115"/>
      <x:c r="U307" s="115"/>
      <x:c r="V307" s="115"/>
      <x:c r="W307" s="115"/>
      <x:c r="X307" s="115"/>
      <x:c r="Y307" s="115"/>
      <x:c r="Z307" s="115"/>
      <x:c r="AA307" s="115"/>
      <x:c r="AB307" s="115"/>
      <x:c r="AC307" s="115"/>
      <x:c r="AD307" s="115"/>
      <x:c r="AE307" s="115"/>
      <x:c r="AF307" s="115"/>
      <x:c r="AG307" s="115"/>
      <x:c r="AH307" s="115"/>
      <x:c r="AI307" s="115"/>
      <x:c r="AJ307" s="115"/>
      <x:c r="AK307" s="115"/>
      <x:c r="AL307" s="115"/>
      <x:c r="AM307" s="115"/>
      <x:c r="AN307" s="115"/>
      <x:c r="AO307" s="115"/>
      <x:c r="AP307" s="115"/>
      <x:c r="AQ307" s="115"/>
      <x:c r="AR307" s="115"/>
      <x:c r="AS307" s="115"/>
      <x:c r="AT307" s="115"/>
      <x:c r="AU307" s="115"/>
      <x:c r="AV307" s="115"/>
      <x:c r="AW307" s="115"/>
      <x:c r="AX307" s="115"/>
      <x:c r="AY307" s="115"/>
      <x:c r="AZ307" s="115"/>
      <x:c r="BA307" s="115"/>
      <x:c r="BB307" s="115"/>
      <x:c r="BC307" s="115"/>
      <x:c r="BD307" s="115"/>
      <x:c r="BE307" s="115"/>
      <x:c r="BF307" s="115"/>
      <x:c r="BG307" s="115"/>
      <x:c r="BH307" s="115"/>
      <x:c r="BI307" s="115"/>
      <x:c r="BJ307" s="115"/>
      <x:c r="BK307" s="115"/>
      <x:c r="BL307" s="115"/>
      <x:c r="BM307" s="115"/>
      <x:c r="BN307" s="115"/>
      <x:c r="BO307" s="115"/>
      <x:c r="BP307" s="115"/>
      <x:c r="BQ307" s="115"/>
      <x:c r="BR307" s="115"/>
      <x:c r="BS307" s="115"/>
      <x:c r="BT307" s="115"/>
      <x:c r="BU307" s="115"/>
      <x:c r="BV307" s="115"/>
      <x:c r="BW307" s="115"/>
      <x:c r="BX307" s="115"/>
      <x:c r="BY307" s="115"/>
      <x:c r="BZ307" s="115"/>
      <x:c r="CA307" s="115"/>
      <x:c r="CB307" s="116"/>
      <x:c r="CC307" s="141" t="str">
        <x:f>IF(COUNT(G307:P307)=0,"",AVERAGE(G307:P307)*4)</x:f>
      </x:c>
      <x:c r="CD307" s="178" t="str">
        <x:f>IF(COUNT(Q307:Z307)=0,"",AVERAGE(Q307:Z307)*4)</x:f>
      </x:c>
      <x:c r="CE307" s="178" t="str">
        <x:f>IF(COUNT(AA307:AJ307)=0,"",AVERAGE(AA307:AJ307)*4)</x:f>
      </x:c>
      <x:c r="CF307" s="178" t="str">
        <x:f>IF(COUNT(AK307:AR307)=0,"",AVERAGE(AK307:AR307)*4)</x:f>
      </x:c>
      <x:c r="CG307" s="178" t="str">
        <x:f>IF(COUNT(AS307:AY307)=0,"",AVERAGE(AS307:AY307)*4)</x:f>
      </x:c>
      <x:c r="CH307" s="178" t="str">
        <x:f>IF(COUNT(AZ307:BG307)=0,"",AVERAGE(AZ307:BG307)*4)</x:f>
      </x:c>
      <x:c r="CI307" s="178" t="str">
        <x:f>IF(COUNT(BH307:BN307)=0,"",AVERAGE(BH307:BN307)*4)</x:f>
      </x:c>
      <x:c r="CJ307" s="178" t="str">
        <x:f>IF(COUNT(BO307:BU307)=0,"",AVERAGE(BO307:BU307)*4)</x:f>
      </x:c>
      <x:c r="CK307" s="178" t="str">
        <x:f>IF(COUNT(BV307:CB307)=0,"",AVERAGE(BV307:CB307)*4)</x:f>
      </x:c>
      <x:c r="CL307" s="178" t="str">
        <x:f>IF(C307="","",IF(COUNT(G307:CB307)&lt;74,"",(CC307*'تنظیمات وزن‌دهی'!$C$5+CD307*'تنظیمات وزن‌دهی'!$C$6+CE307*'تنظیمات وزن‌دهی'!$C$7+CF307*'تنظیمات وزن‌دهی'!$C$8+CG307*'تنظیمات وزن‌دهی'!$C$9+CH307*'تنظیمات وزن‌دهی'!$C$10+CI307*'تنظیمات وزن‌دهی'!$C$11+CJ307*'تنظیمات وزن‌دهی'!$C$12+CK307*'تنظیمات وزن‌دهی'!$C$13)/100))</x:f>
      </x:c>
      <x:c r="CM307" s="178" t="str">
        <x:f>IF(C307="","",IF(COUNT(G307:CB307)=0,"",IF(COUNT(G307:CB307)&lt;74,"موقت - اطلاعات ناقص",IF(CL307&gt;=17,"عالی",IF(CL307&gt;=14,"خوب",IF(CL307&gt;=10,"متوسط","ضعیف"))))))</x:f>
      </x:c>
      <x:c r="CN307" s="178" t="n">
        <x:v>3</x:v>
      </x:c>
      <x:c r="CO307" s="142" t="n">
        <x:f>IF(C307="","",COUNT(G307:CB307)/74)</x:f>
        <x:v>0</x:v>
      </x:c>
      <x:c r="CP307" s="245"/>
    </x:row>
    <x:row r="308">
      <x:c r="A308" s="165" t="n">
        <x:v>304</x:v>
      </x:c>
      <x:c r="B308" s="233" t="str">
        <x:v>مهر</x:v>
      </x:c>
      <x:c r="C308" s="233" t="n">
        <x:f>IF('دانش‌آموزان'!E30="","",'دانش‌آموزان'!B30)</x:f>
        <x:v>26</x:v>
      </x:c>
      <x:c r="D308" s="233" t="str">
        <x:f>IF('دانش‌آموزان'!C30="","",'دانش‌آموزان'!C30)</x:f>
        <x:v>4000000268</x:v>
      </x:c>
      <x:c r="E308" s="233" t="str">
        <x:f>IF('دانش‌آموزان'!E30="","",'دانش‌آموزان'!E30&amp;" "&amp;'دانش‌آموزان'!F30)</x:f>
        <x:v>سارا خلیلی</x:v>
      </x:c>
      <x:c r="F308" s="166" t="str">
        <x:f>IF('دانش‌آموزان'!I30="","",'دانش‌آموزان'!I30)</x:f>
        <x:v>sample-7-b</x:v>
      </x:c>
      <x:c r="G308" s="114"/>
      <x:c r="H308" s="115"/>
      <x:c r="I308" s="115"/>
      <x:c r="J308" s="115"/>
      <x:c r="K308" s="115"/>
      <x:c r="L308" s="115"/>
      <x:c r="M308" s="115"/>
      <x:c r="N308" s="115"/>
      <x:c r="O308" s="115"/>
      <x:c r="P308" s="115"/>
      <x:c r="Q308" s="115"/>
      <x:c r="R308" s="115"/>
      <x:c r="S308" s="115"/>
      <x:c r="T308" s="115"/>
      <x:c r="U308" s="115"/>
      <x:c r="V308" s="115"/>
      <x:c r="W308" s="115"/>
      <x:c r="X308" s="115"/>
      <x:c r="Y308" s="115"/>
      <x:c r="Z308" s="115"/>
      <x:c r="AA308" s="115"/>
      <x:c r="AB308" s="115"/>
      <x:c r="AC308" s="115"/>
      <x:c r="AD308" s="115"/>
      <x:c r="AE308" s="115"/>
      <x:c r="AF308" s="115"/>
      <x:c r="AG308" s="115"/>
      <x:c r="AH308" s="115"/>
      <x:c r="AI308" s="115"/>
      <x:c r="AJ308" s="115"/>
      <x:c r="AK308" s="115"/>
      <x:c r="AL308" s="115"/>
      <x:c r="AM308" s="115"/>
      <x:c r="AN308" s="115"/>
      <x:c r="AO308" s="115"/>
      <x:c r="AP308" s="115"/>
      <x:c r="AQ308" s="115"/>
      <x:c r="AR308" s="115"/>
      <x:c r="AS308" s="115"/>
      <x:c r="AT308" s="115"/>
      <x:c r="AU308" s="115"/>
      <x:c r="AV308" s="115"/>
      <x:c r="AW308" s="115"/>
      <x:c r="AX308" s="115"/>
      <x:c r="AY308" s="115"/>
      <x:c r="AZ308" s="115"/>
      <x:c r="BA308" s="115"/>
      <x:c r="BB308" s="115"/>
      <x:c r="BC308" s="115"/>
      <x:c r="BD308" s="115"/>
      <x:c r="BE308" s="115"/>
      <x:c r="BF308" s="115"/>
      <x:c r="BG308" s="115"/>
      <x:c r="BH308" s="115"/>
      <x:c r="BI308" s="115"/>
      <x:c r="BJ308" s="115"/>
      <x:c r="BK308" s="115"/>
      <x:c r="BL308" s="115"/>
      <x:c r="BM308" s="115"/>
      <x:c r="BN308" s="115"/>
      <x:c r="BO308" s="115"/>
      <x:c r="BP308" s="115"/>
      <x:c r="BQ308" s="115"/>
      <x:c r="BR308" s="115"/>
      <x:c r="BS308" s="115"/>
      <x:c r="BT308" s="115"/>
      <x:c r="BU308" s="115"/>
      <x:c r="BV308" s="115"/>
      <x:c r="BW308" s="115"/>
      <x:c r="BX308" s="115"/>
      <x:c r="BY308" s="115"/>
      <x:c r="BZ308" s="115"/>
      <x:c r="CA308" s="115"/>
      <x:c r="CB308" s="116"/>
      <x:c r="CC308" s="141" t="str">
        <x:f>IF(COUNT(G308:P308)=0,"",AVERAGE(G308:P308)*4)</x:f>
      </x:c>
      <x:c r="CD308" s="178" t="str">
        <x:f>IF(COUNT(Q308:Z308)=0,"",AVERAGE(Q308:Z308)*4)</x:f>
      </x:c>
      <x:c r="CE308" s="178" t="str">
        <x:f>IF(COUNT(AA308:AJ308)=0,"",AVERAGE(AA308:AJ308)*4)</x:f>
      </x:c>
      <x:c r="CF308" s="178" t="str">
        <x:f>IF(COUNT(AK308:AR308)=0,"",AVERAGE(AK308:AR308)*4)</x:f>
      </x:c>
      <x:c r="CG308" s="178" t="str">
        <x:f>IF(COUNT(AS308:AY308)=0,"",AVERAGE(AS308:AY308)*4)</x:f>
      </x:c>
      <x:c r="CH308" s="178" t="str">
        <x:f>IF(COUNT(AZ308:BG308)=0,"",AVERAGE(AZ308:BG308)*4)</x:f>
      </x:c>
      <x:c r="CI308" s="178" t="str">
        <x:f>IF(COUNT(BH308:BN308)=0,"",AVERAGE(BH308:BN308)*4)</x:f>
      </x:c>
      <x:c r="CJ308" s="178" t="str">
        <x:f>IF(COUNT(BO308:BU308)=0,"",AVERAGE(BO308:BU308)*4)</x:f>
      </x:c>
      <x:c r="CK308" s="178" t="str">
        <x:f>IF(COUNT(BV308:CB308)=0,"",AVERAGE(BV308:CB308)*4)</x:f>
      </x:c>
      <x:c r="CL308" s="178" t="str">
        <x:f>IF(C308="","",IF(COUNT(G308:CB308)&lt;74,"",(CC308*'تنظیمات وزن‌دهی'!$C$5+CD308*'تنظیمات وزن‌دهی'!$C$6+CE308*'تنظیمات وزن‌دهی'!$C$7+CF308*'تنظیمات وزن‌دهی'!$C$8+CG308*'تنظیمات وزن‌دهی'!$C$9+CH308*'تنظیمات وزن‌دهی'!$C$10+CI308*'تنظیمات وزن‌دهی'!$C$11+CJ308*'تنظیمات وزن‌دهی'!$C$12+CK308*'تنظیمات وزن‌دهی'!$C$13)/100))</x:f>
      </x:c>
      <x:c r="CM308" s="178" t="str">
        <x:f>IF(C308="","",IF(COUNT(G308:CB308)=0,"",IF(COUNT(G308:CB308)&lt;74,"موقت - اطلاعات ناقص",IF(CL308&gt;=17,"عالی",IF(CL308&gt;=14,"خوب",IF(CL308&gt;=10,"متوسط","ضعیف"))))))</x:f>
      </x:c>
      <x:c r="CN308" s="178" t="n">
        <x:v>4</x:v>
      </x:c>
      <x:c r="CO308" s="142" t="n">
        <x:f>IF(C308="","",COUNT(G308:CB308)/74)</x:f>
        <x:v>0</x:v>
      </x:c>
      <x:c r="CP308" s="245"/>
    </x:row>
    <x:row r="309">
      <x:c r="A309" s="165" t="n">
        <x:v>305</x:v>
      </x:c>
      <x:c r="B309" s="233" t="str">
        <x:v>آبان</x:v>
      </x:c>
      <x:c r="C309" s="233" t="n">
        <x:f>IF('دانش‌آموزان'!E30="","",'دانش‌آموزان'!B30)</x:f>
        <x:v>26</x:v>
      </x:c>
      <x:c r="D309" s="233" t="str">
        <x:f>IF('دانش‌آموزان'!C30="","",'دانش‌آموزان'!C30)</x:f>
        <x:v>4000000268</x:v>
      </x:c>
      <x:c r="E309" s="233" t="str">
        <x:f>IF('دانش‌آموزان'!E30="","",'دانش‌آموزان'!E30&amp;" "&amp;'دانش‌آموزان'!F30)</x:f>
        <x:v>سارا خلیلی</x:v>
      </x:c>
      <x:c r="F309" s="166" t="str">
        <x:f>IF('دانش‌آموزان'!I30="","",'دانش‌آموزان'!I30)</x:f>
        <x:v>sample-7-b</x:v>
      </x:c>
      <x:c r="G309" s="114"/>
      <x:c r="H309" s="115"/>
      <x:c r="I309" s="115"/>
      <x:c r="J309" s="115"/>
      <x:c r="K309" s="115"/>
      <x:c r="L309" s="115"/>
      <x:c r="M309" s="115"/>
      <x:c r="N309" s="115"/>
      <x:c r="O309" s="115"/>
      <x:c r="P309" s="115"/>
      <x:c r="Q309" s="115"/>
      <x:c r="R309" s="115"/>
      <x:c r="S309" s="115"/>
      <x:c r="T309" s="115"/>
      <x:c r="U309" s="115"/>
      <x:c r="V309" s="115"/>
      <x:c r="W309" s="115"/>
      <x:c r="X309" s="115"/>
      <x:c r="Y309" s="115"/>
      <x:c r="Z309" s="115"/>
      <x:c r="AA309" s="115"/>
      <x:c r="AB309" s="115"/>
      <x:c r="AC309" s="115"/>
      <x:c r="AD309" s="115"/>
      <x:c r="AE309" s="115"/>
      <x:c r="AF309" s="115"/>
      <x:c r="AG309" s="115"/>
      <x:c r="AH309" s="115"/>
      <x:c r="AI309" s="115"/>
      <x:c r="AJ309" s="115"/>
      <x:c r="AK309" s="115"/>
      <x:c r="AL309" s="115"/>
      <x:c r="AM309" s="115"/>
      <x:c r="AN309" s="115"/>
      <x:c r="AO309" s="115"/>
      <x:c r="AP309" s="115"/>
      <x:c r="AQ309" s="115"/>
      <x:c r="AR309" s="115"/>
      <x:c r="AS309" s="115"/>
      <x:c r="AT309" s="115"/>
      <x:c r="AU309" s="115"/>
      <x:c r="AV309" s="115"/>
      <x:c r="AW309" s="115"/>
      <x:c r="AX309" s="115"/>
      <x:c r="AY309" s="115"/>
      <x:c r="AZ309" s="115"/>
      <x:c r="BA309" s="115"/>
      <x:c r="BB309" s="115"/>
      <x:c r="BC309" s="115"/>
      <x:c r="BD309" s="115"/>
      <x:c r="BE309" s="115"/>
      <x:c r="BF309" s="115"/>
      <x:c r="BG309" s="115"/>
      <x:c r="BH309" s="115"/>
      <x:c r="BI309" s="115"/>
      <x:c r="BJ309" s="115"/>
      <x:c r="BK309" s="115"/>
      <x:c r="BL309" s="115"/>
      <x:c r="BM309" s="115"/>
      <x:c r="BN309" s="115"/>
      <x:c r="BO309" s="115"/>
      <x:c r="BP309" s="115"/>
      <x:c r="BQ309" s="115"/>
      <x:c r="BR309" s="115"/>
      <x:c r="BS309" s="115"/>
      <x:c r="BT309" s="115"/>
      <x:c r="BU309" s="115"/>
      <x:c r="BV309" s="115"/>
      <x:c r="BW309" s="115"/>
      <x:c r="BX309" s="115"/>
      <x:c r="BY309" s="115"/>
      <x:c r="BZ309" s="115"/>
      <x:c r="CA309" s="115"/>
      <x:c r="CB309" s="116"/>
      <x:c r="CC309" s="141" t="str">
        <x:f>IF(COUNT(G309:P309)=0,"",AVERAGE(G309:P309)*4)</x:f>
      </x:c>
      <x:c r="CD309" s="178" t="str">
        <x:f>IF(COUNT(Q309:Z309)=0,"",AVERAGE(Q309:Z309)*4)</x:f>
      </x:c>
      <x:c r="CE309" s="178" t="str">
        <x:f>IF(COUNT(AA309:AJ309)=0,"",AVERAGE(AA309:AJ309)*4)</x:f>
      </x:c>
      <x:c r="CF309" s="178" t="str">
        <x:f>IF(COUNT(AK309:AR309)=0,"",AVERAGE(AK309:AR309)*4)</x:f>
      </x:c>
      <x:c r="CG309" s="178" t="str">
        <x:f>IF(COUNT(AS309:AY309)=0,"",AVERAGE(AS309:AY309)*4)</x:f>
      </x:c>
      <x:c r="CH309" s="178" t="str">
        <x:f>IF(COUNT(AZ309:BG309)=0,"",AVERAGE(AZ309:BG309)*4)</x:f>
      </x:c>
      <x:c r="CI309" s="178" t="str">
        <x:f>IF(COUNT(BH309:BN309)=0,"",AVERAGE(BH309:BN309)*4)</x:f>
      </x:c>
      <x:c r="CJ309" s="178" t="str">
        <x:f>IF(COUNT(BO309:BU309)=0,"",AVERAGE(BO309:BU309)*4)</x:f>
      </x:c>
      <x:c r="CK309" s="178" t="str">
        <x:f>IF(COUNT(BV309:CB309)=0,"",AVERAGE(BV309:CB309)*4)</x:f>
      </x:c>
      <x:c r="CL309" s="178" t="str">
        <x:f>IF(C309="","",IF(COUNT(G309:CB309)&lt;74,"",(CC309*'تنظیمات وزن‌دهی'!$C$5+CD309*'تنظیمات وزن‌دهی'!$C$6+CE309*'تنظیمات وزن‌دهی'!$C$7+CF309*'تنظیمات وزن‌دهی'!$C$8+CG309*'تنظیمات وزن‌دهی'!$C$9+CH309*'تنظیمات وزن‌دهی'!$C$10+CI309*'تنظیمات وزن‌دهی'!$C$11+CJ309*'تنظیمات وزن‌دهی'!$C$12+CK309*'تنظیمات وزن‌دهی'!$C$13)/100))</x:f>
      </x:c>
      <x:c r="CM309" s="178" t="str">
        <x:f>IF(C309="","",IF(COUNT(G309:CB309)=0,"",IF(COUNT(G309:CB309)&lt;74,"موقت - اطلاعات ناقص",IF(CL309&gt;=17,"عالی",IF(CL309&gt;=14,"خوب",IF(CL309&gt;=10,"متوسط","ضعیف"))))))</x:f>
      </x:c>
      <x:c r="CN309" s="178" t="n">
        <x:v>5</x:v>
      </x:c>
      <x:c r="CO309" s="142" t="n">
        <x:f>IF(C309="","",COUNT(G309:CB309)/74)</x:f>
        <x:v>0</x:v>
      </x:c>
      <x:c r="CP309" s="245"/>
    </x:row>
    <x:row r="310">
      <x:c r="A310" s="165" t="n">
        <x:v>306</x:v>
      </x:c>
      <x:c r="B310" s="233" t="str">
        <x:v>آذر</x:v>
      </x:c>
      <x:c r="C310" s="233" t="n">
        <x:f>IF('دانش‌آموزان'!E30="","",'دانش‌آموزان'!B30)</x:f>
        <x:v>26</x:v>
      </x:c>
      <x:c r="D310" s="233" t="str">
        <x:f>IF('دانش‌آموزان'!C30="","",'دانش‌آموزان'!C30)</x:f>
        <x:v>4000000268</x:v>
      </x:c>
      <x:c r="E310" s="233" t="str">
        <x:f>IF('دانش‌آموزان'!E30="","",'دانش‌آموزان'!E30&amp;" "&amp;'دانش‌آموزان'!F30)</x:f>
        <x:v>سارا خلیلی</x:v>
      </x:c>
      <x:c r="F310" s="166" t="str">
        <x:f>IF('دانش‌آموزان'!I30="","",'دانش‌آموزان'!I30)</x:f>
        <x:v>sample-7-b</x:v>
      </x:c>
      <x:c r="G310" s="114"/>
      <x:c r="H310" s="115"/>
      <x:c r="I310" s="115"/>
      <x:c r="J310" s="115"/>
      <x:c r="K310" s="115"/>
      <x:c r="L310" s="115"/>
      <x:c r="M310" s="115"/>
      <x:c r="N310" s="115"/>
      <x:c r="O310" s="115"/>
      <x:c r="P310" s="115"/>
      <x:c r="Q310" s="115"/>
      <x:c r="R310" s="115"/>
      <x:c r="S310" s="115"/>
      <x:c r="T310" s="115"/>
      <x:c r="U310" s="115"/>
      <x:c r="V310" s="115"/>
      <x:c r="W310" s="115"/>
      <x:c r="X310" s="115"/>
      <x:c r="Y310" s="115"/>
      <x:c r="Z310" s="115"/>
      <x:c r="AA310" s="115"/>
      <x:c r="AB310" s="115"/>
      <x:c r="AC310" s="115"/>
      <x:c r="AD310" s="115"/>
      <x:c r="AE310" s="115"/>
      <x:c r="AF310" s="115"/>
      <x:c r="AG310" s="115"/>
      <x:c r="AH310" s="115"/>
      <x:c r="AI310" s="115"/>
      <x:c r="AJ310" s="115"/>
      <x:c r="AK310" s="115"/>
      <x:c r="AL310" s="115"/>
      <x:c r="AM310" s="115"/>
      <x:c r="AN310" s="115"/>
      <x:c r="AO310" s="115"/>
      <x:c r="AP310" s="115"/>
      <x:c r="AQ310" s="115"/>
      <x:c r="AR310" s="115"/>
      <x:c r="AS310" s="115"/>
      <x:c r="AT310" s="115"/>
      <x:c r="AU310" s="115"/>
      <x:c r="AV310" s="115"/>
      <x:c r="AW310" s="115"/>
      <x:c r="AX310" s="115"/>
      <x:c r="AY310" s="115"/>
      <x:c r="AZ310" s="115"/>
      <x:c r="BA310" s="115"/>
      <x:c r="BB310" s="115"/>
      <x:c r="BC310" s="115"/>
      <x:c r="BD310" s="115"/>
      <x:c r="BE310" s="115"/>
      <x:c r="BF310" s="115"/>
      <x:c r="BG310" s="115"/>
      <x:c r="BH310" s="115"/>
      <x:c r="BI310" s="115"/>
      <x:c r="BJ310" s="115"/>
      <x:c r="BK310" s="115"/>
      <x:c r="BL310" s="115"/>
      <x:c r="BM310" s="115"/>
      <x:c r="BN310" s="115"/>
      <x:c r="BO310" s="115"/>
      <x:c r="BP310" s="115"/>
      <x:c r="BQ310" s="115"/>
      <x:c r="BR310" s="115"/>
      <x:c r="BS310" s="115"/>
      <x:c r="BT310" s="115"/>
      <x:c r="BU310" s="115"/>
      <x:c r="BV310" s="115"/>
      <x:c r="BW310" s="115"/>
      <x:c r="BX310" s="115"/>
      <x:c r="BY310" s="115"/>
      <x:c r="BZ310" s="115"/>
      <x:c r="CA310" s="115"/>
      <x:c r="CB310" s="116"/>
      <x:c r="CC310" s="141" t="str">
        <x:f>IF(COUNT(G310:P310)=0,"",AVERAGE(G310:P310)*4)</x:f>
      </x:c>
      <x:c r="CD310" s="178" t="str">
        <x:f>IF(COUNT(Q310:Z310)=0,"",AVERAGE(Q310:Z310)*4)</x:f>
      </x:c>
      <x:c r="CE310" s="178" t="str">
        <x:f>IF(COUNT(AA310:AJ310)=0,"",AVERAGE(AA310:AJ310)*4)</x:f>
      </x:c>
      <x:c r="CF310" s="178" t="str">
        <x:f>IF(COUNT(AK310:AR310)=0,"",AVERAGE(AK310:AR310)*4)</x:f>
      </x:c>
      <x:c r="CG310" s="178" t="str">
        <x:f>IF(COUNT(AS310:AY310)=0,"",AVERAGE(AS310:AY310)*4)</x:f>
      </x:c>
      <x:c r="CH310" s="178" t="str">
        <x:f>IF(COUNT(AZ310:BG310)=0,"",AVERAGE(AZ310:BG310)*4)</x:f>
      </x:c>
      <x:c r="CI310" s="178" t="str">
        <x:f>IF(COUNT(BH310:BN310)=0,"",AVERAGE(BH310:BN310)*4)</x:f>
      </x:c>
      <x:c r="CJ310" s="178" t="str">
        <x:f>IF(COUNT(BO310:BU310)=0,"",AVERAGE(BO310:BU310)*4)</x:f>
      </x:c>
      <x:c r="CK310" s="178" t="str">
        <x:f>IF(COUNT(BV310:CB310)=0,"",AVERAGE(BV310:CB310)*4)</x:f>
      </x:c>
      <x:c r="CL310" s="178" t="str">
        <x:f>IF(C310="","",IF(COUNT(G310:CB310)&lt;74,"",(CC310*'تنظیمات وزن‌دهی'!$C$5+CD310*'تنظیمات وزن‌دهی'!$C$6+CE310*'تنظیمات وزن‌دهی'!$C$7+CF310*'تنظیمات وزن‌دهی'!$C$8+CG310*'تنظیمات وزن‌دهی'!$C$9+CH310*'تنظیمات وزن‌دهی'!$C$10+CI310*'تنظیمات وزن‌دهی'!$C$11+CJ310*'تنظیمات وزن‌دهی'!$C$12+CK310*'تنظیمات وزن‌دهی'!$C$13)/100))</x:f>
      </x:c>
      <x:c r="CM310" s="178" t="str">
        <x:f>IF(C310="","",IF(COUNT(G310:CB310)=0,"",IF(COUNT(G310:CB310)&lt;74,"موقت - اطلاعات ناقص",IF(CL310&gt;=17,"عالی",IF(CL310&gt;=14,"خوب",IF(CL310&gt;=10,"متوسط","ضعیف"))))))</x:f>
      </x:c>
      <x:c r="CN310" s="178" t="n">
        <x:v>6</x:v>
      </x:c>
      <x:c r="CO310" s="142" t="n">
        <x:f>IF(C310="","",COUNT(G310:CB310)/74)</x:f>
        <x:v>0</x:v>
      </x:c>
      <x:c r="CP310" s="245"/>
    </x:row>
    <x:row r="311">
      <x:c r="A311" s="165" t="n">
        <x:v>307</x:v>
      </x:c>
      <x:c r="B311" s="233" t="str">
        <x:v>دی</x:v>
      </x:c>
      <x:c r="C311" s="233" t="n">
        <x:f>IF('دانش‌آموزان'!E30="","",'دانش‌آموزان'!B30)</x:f>
        <x:v>26</x:v>
      </x:c>
      <x:c r="D311" s="233" t="str">
        <x:f>IF('دانش‌آموزان'!C30="","",'دانش‌آموزان'!C30)</x:f>
        <x:v>4000000268</x:v>
      </x:c>
      <x:c r="E311" s="233" t="str">
        <x:f>IF('دانش‌آموزان'!E30="","",'دانش‌آموزان'!E30&amp;" "&amp;'دانش‌آموزان'!F30)</x:f>
        <x:v>سارا خلیلی</x:v>
      </x:c>
      <x:c r="F311" s="166" t="str">
        <x:f>IF('دانش‌آموزان'!I30="","",'دانش‌آموزان'!I30)</x:f>
        <x:v>sample-7-b</x:v>
      </x:c>
      <x:c r="G311" s="114"/>
      <x:c r="H311" s="115"/>
      <x:c r="I311" s="115"/>
      <x:c r="J311" s="115"/>
      <x:c r="K311" s="115"/>
      <x:c r="L311" s="115"/>
      <x:c r="M311" s="115"/>
      <x:c r="N311" s="115"/>
      <x:c r="O311" s="115"/>
      <x:c r="P311" s="115"/>
      <x:c r="Q311" s="115"/>
      <x:c r="R311" s="115"/>
      <x:c r="S311" s="115"/>
      <x:c r="T311" s="115"/>
      <x:c r="U311" s="115"/>
      <x:c r="V311" s="115"/>
      <x:c r="W311" s="115"/>
      <x:c r="X311" s="115"/>
      <x:c r="Y311" s="115"/>
      <x:c r="Z311" s="115"/>
      <x:c r="AA311" s="115"/>
      <x:c r="AB311" s="115"/>
      <x:c r="AC311" s="115"/>
      <x:c r="AD311" s="115"/>
      <x:c r="AE311" s="115"/>
      <x:c r="AF311" s="115"/>
      <x:c r="AG311" s="115"/>
      <x:c r="AH311" s="115"/>
      <x:c r="AI311" s="115"/>
      <x:c r="AJ311" s="115"/>
      <x:c r="AK311" s="115"/>
      <x:c r="AL311" s="115"/>
      <x:c r="AM311" s="115"/>
      <x:c r="AN311" s="115"/>
      <x:c r="AO311" s="115"/>
      <x:c r="AP311" s="115"/>
      <x:c r="AQ311" s="115"/>
      <x:c r="AR311" s="115"/>
      <x:c r="AS311" s="115"/>
      <x:c r="AT311" s="115"/>
      <x:c r="AU311" s="115"/>
      <x:c r="AV311" s="115"/>
      <x:c r="AW311" s="115"/>
      <x:c r="AX311" s="115"/>
      <x:c r="AY311" s="115"/>
      <x:c r="AZ311" s="115"/>
      <x:c r="BA311" s="115"/>
      <x:c r="BB311" s="115"/>
      <x:c r="BC311" s="115"/>
      <x:c r="BD311" s="115"/>
      <x:c r="BE311" s="115"/>
      <x:c r="BF311" s="115"/>
      <x:c r="BG311" s="115"/>
      <x:c r="BH311" s="115"/>
      <x:c r="BI311" s="115"/>
      <x:c r="BJ311" s="115"/>
      <x:c r="BK311" s="115"/>
      <x:c r="BL311" s="115"/>
      <x:c r="BM311" s="115"/>
      <x:c r="BN311" s="115"/>
      <x:c r="BO311" s="115"/>
      <x:c r="BP311" s="115"/>
      <x:c r="BQ311" s="115"/>
      <x:c r="BR311" s="115"/>
      <x:c r="BS311" s="115"/>
      <x:c r="BT311" s="115"/>
      <x:c r="BU311" s="115"/>
      <x:c r="BV311" s="115"/>
      <x:c r="BW311" s="115"/>
      <x:c r="BX311" s="115"/>
      <x:c r="BY311" s="115"/>
      <x:c r="BZ311" s="115"/>
      <x:c r="CA311" s="115"/>
      <x:c r="CB311" s="116"/>
      <x:c r="CC311" s="141" t="str">
        <x:f>IF(COUNT(G311:P311)=0,"",AVERAGE(G311:P311)*4)</x:f>
      </x:c>
      <x:c r="CD311" s="178" t="str">
        <x:f>IF(COUNT(Q311:Z311)=0,"",AVERAGE(Q311:Z311)*4)</x:f>
      </x:c>
      <x:c r="CE311" s="178" t="str">
        <x:f>IF(COUNT(AA311:AJ311)=0,"",AVERAGE(AA311:AJ311)*4)</x:f>
      </x:c>
      <x:c r="CF311" s="178" t="str">
        <x:f>IF(COUNT(AK311:AR311)=0,"",AVERAGE(AK311:AR311)*4)</x:f>
      </x:c>
      <x:c r="CG311" s="178" t="str">
        <x:f>IF(COUNT(AS311:AY311)=0,"",AVERAGE(AS311:AY311)*4)</x:f>
      </x:c>
      <x:c r="CH311" s="178" t="str">
        <x:f>IF(COUNT(AZ311:BG311)=0,"",AVERAGE(AZ311:BG311)*4)</x:f>
      </x:c>
      <x:c r="CI311" s="178" t="str">
        <x:f>IF(COUNT(BH311:BN311)=0,"",AVERAGE(BH311:BN311)*4)</x:f>
      </x:c>
      <x:c r="CJ311" s="178" t="str">
        <x:f>IF(COUNT(BO311:BU311)=0,"",AVERAGE(BO311:BU311)*4)</x:f>
      </x:c>
      <x:c r="CK311" s="178" t="str">
        <x:f>IF(COUNT(BV311:CB311)=0,"",AVERAGE(BV311:CB311)*4)</x:f>
      </x:c>
      <x:c r="CL311" s="178" t="str">
        <x:f>IF(C311="","",IF(COUNT(G311:CB311)&lt;74,"",(CC311*'تنظیمات وزن‌دهی'!$C$5+CD311*'تنظیمات وزن‌دهی'!$C$6+CE311*'تنظیمات وزن‌دهی'!$C$7+CF311*'تنظیمات وزن‌دهی'!$C$8+CG311*'تنظیمات وزن‌دهی'!$C$9+CH311*'تنظیمات وزن‌دهی'!$C$10+CI311*'تنظیمات وزن‌دهی'!$C$11+CJ311*'تنظیمات وزن‌دهی'!$C$12+CK311*'تنظیمات وزن‌دهی'!$C$13)/100))</x:f>
      </x:c>
      <x:c r="CM311" s="178" t="str">
        <x:f>IF(C311="","",IF(COUNT(G311:CB311)=0,"",IF(COUNT(G311:CB311)&lt;74,"موقت - اطلاعات ناقص",IF(CL311&gt;=17,"عالی",IF(CL311&gt;=14,"خوب",IF(CL311&gt;=10,"متوسط","ضعیف"))))))</x:f>
      </x:c>
      <x:c r="CN311" s="178" t="n">
        <x:v>7</x:v>
      </x:c>
      <x:c r="CO311" s="142" t="n">
        <x:f>IF(C311="","",COUNT(G311:CB311)/74)</x:f>
        <x:v>0</x:v>
      </x:c>
      <x:c r="CP311" s="245"/>
    </x:row>
    <x:row r="312">
      <x:c r="A312" s="165" t="n">
        <x:v>308</x:v>
      </x:c>
      <x:c r="B312" s="233" t="str">
        <x:v>بهمن</x:v>
      </x:c>
      <x:c r="C312" s="233" t="n">
        <x:f>IF('دانش‌آموزان'!E30="","",'دانش‌آموزان'!B30)</x:f>
        <x:v>26</x:v>
      </x:c>
      <x:c r="D312" s="233" t="str">
        <x:f>IF('دانش‌آموزان'!C30="","",'دانش‌آموزان'!C30)</x:f>
        <x:v>4000000268</x:v>
      </x:c>
      <x:c r="E312" s="233" t="str">
        <x:f>IF('دانش‌آموزان'!E30="","",'دانش‌آموزان'!E30&amp;" "&amp;'دانش‌آموزان'!F30)</x:f>
        <x:v>سارا خلیلی</x:v>
      </x:c>
      <x:c r="F312" s="166" t="str">
        <x:f>IF('دانش‌آموزان'!I30="","",'دانش‌آموزان'!I30)</x:f>
        <x:v>sample-7-b</x:v>
      </x:c>
      <x:c r="G312" s="114"/>
      <x:c r="H312" s="115"/>
      <x:c r="I312" s="115"/>
      <x:c r="J312" s="115"/>
      <x:c r="K312" s="115"/>
      <x:c r="L312" s="115"/>
      <x:c r="M312" s="115"/>
      <x:c r="N312" s="115"/>
      <x:c r="O312" s="115"/>
      <x:c r="P312" s="115"/>
      <x:c r="Q312" s="115"/>
      <x:c r="R312" s="115"/>
      <x:c r="S312" s="115"/>
      <x:c r="T312" s="115"/>
      <x:c r="U312" s="115"/>
      <x:c r="V312" s="115"/>
      <x:c r="W312" s="115"/>
      <x:c r="X312" s="115"/>
      <x:c r="Y312" s="115"/>
      <x:c r="Z312" s="115"/>
      <x:c r="AA312" s="115"/>
      <x:c r="AB312" s="115"/>
      <x:c r="AC312" s="115"/>
      <x:c r="AD312" s="115"/>
      <x:c r="AE312" s="115"/>
      <x:c r="AF312" s="115"/>
      <x:c r="AG312" s="115"/>
      <x:c r="AH312" s="115"/>
      <x:c r="AI312" s="115"/>
      <x:c r="AJ312" s="115"/>
      <x:c r="AK312" s="115"/>
      <x:c r="AL312" s="115"/>
      <x:c r="AM312" s="115"/>
      <x:c r="AN312" s="115"/>
      <x:c r="AO312" s="115"/>
      <x:c r="AP312" s="115"/>
      <x:c r="AQ312" s="115"/>
      <x:c r="AR312" s="115"/>
      <x:c r="AS312" s="115"/>
      <x:c r="AT312" s="115"/>
      <x:c r="AU312" s="115"/>
      <x:c r="AV312" s="115"/>
      <x:c r="AW312" s="115"/>
      <x:c r="AX312" s="115"/>
      <x:c r="AY312" s="115"/>
      <x:c r="AZ312" s="115"/>
      <x:c r="BA312" s="115"/>
      <x:c r="BB312" s="115"/>
      <x:c r="BC312" s="115"/>
      <x:c r="BD312" s="115"/>
      <x:c r="BE312" s="115"/>
      <x:c r="BF312" s="115"/>
      <x:c r="BG312" s="115"/>
      <x:c r="BH312" s="115"/>
      <x:c r="BI312" s="115"/>
      <x:c r="BJ312" s="115"/>
      <x:c r="BK312" s="115"/>
      <x:c r="BL312" s="115"/>
      <x:c r="BM312" s="115"/>
      <x:c r="BN312" s="115"/>
      <x:c r="BO312" s="115"/>
      <x:c r="BP312" s="115"/>
      <x:c r="BQ312" s="115"/>
      <x:c r="BR312" s="115"/>
      <x:c r="BS312" s="115"/>
      <x:c r="BT312" s="115"/>
      <x:c r="BU312" s="115"/>
      <x:c r="BV312" s="115"/>
      <x:c r="BW312" s="115"/>
      <x:c r="BX312" s="115"/>
      <x:c r="BY312" s="115"/>
      <x:c r="BZ312" s="115"/>
      <x:c r="CA312" s="115"/>
      <x:c r="CB312" s="116"/>
      <x:c r="CC312" s="141" t="str">
        <x:f>IF(COUNT(G312:P312)=0,"",AVERAGE(G312:P312)*4)</x:f>
      </x:c>
      <x:c r="CD312" s="178" t="str">
        <x:f>IF(COUNT(Q312:Z312)=0,"",AVERAGE(Q312:Z312)*4)</x:f>
      </x:c>
      <x:c r="CE312" s="178" t="str">
        <x:f>IF(COUNT(AA312:AJ312)=0,"",AVERAGE(AA312:AJ312)*4)</x:f>
      </x:c>
      <x:c r="CF312" s="178" t="str">
        <x:f>IF(COUNT(AK312:AR312)=0,"",AVERAGE(AK312:AR312)*4)</x:f>
      </x:c>
      <x:c r="CG312" s="178" t="str">
        <x:f>IF(COUNT(AS312:AY312)=0,"",AVERAGE(AS312:AY312)*4)</x:f>
      </x:c>
      <x:c r="CH312" s="178" t="str">
        <x:f>IF(COUNT(AZ312:BG312)=0,"",AVERAGE(AZ312:BG312)*4)</x:f>
      </x:c>
      <x:c r="CI312" s="178" t="str">
        <x:f>IF(COUNT(BH312:BN312)=0,"",AVERAGE(BH312:BN312)*4)</x:f>
      </x:c>
      <x:c r="CJ312" s="178" t="str">
        <x:f>IF(COUNT(BO312:BU312)=0,"",AVERAGE(BO312:BU312)*4)</x:f>
      </x:c>
      <x:c r="CK312" s="178" t="str">
        <x:f>IF(COUNT(BV312:CB312)=0,"",AVERAGE(BV312:CB312)*4)</x:f>
      </x:c>
      <x:c r="CL312" s="178" t="str">
        <x:f>IF(C312="","",IF(COUNT(G312:CB312)&lt;74,"",(CC312*'تنظیمات وزن‌دهی'!$C$5+CD312*'تنظیمات وزن‌دهی'!$C$6+CE312*'تنظیمات وزن‌دهی'!$C$7+CF312*'تنظیمات وزن‌دهی'!$C$8+CG312*'تنظیمات وزن‌دهی'!$C$9+CH312*'تنظیمات وزن‌دهی'!$C$10+CI312*'تنظیمات وزن‌دهی'!$C$11+CJ312*'تنظیمات وزن‌دهی'!$C$12+CK312*'تنظیمات وزن‌دهی'!$C$13)/100))</x:f>
      </x:c>
      <x:c r="CM312" s="178" t="str">
        <x:f>IF(C312="","",IF(COUNT(G312:CB312)=0,"",IF(COUNT(G312:CB312)&lt;74,"موقت - اطلاعات ناقص",IF(CL312&gt;=17,"عالی",IF(CL312&gt;=14,"خوب",IF(CL312&gt;=10,"متوسط","ضعیف"))))))</x:f>
      </x:c>
      <x:c r="CN312" s="178" t="n">
        <x:v>8</x:v>
      </x:c>
      <x:c r="CO312" s="142" t="n">
        <x:f>IF(C312="","",COUNT(G312:CB312)/74)</x:f>
        <x:v>0</x:v>
      </x:c>
      <x:c r="CP312" s="245"/>
    </x:row>
    <x:row r="313">
      <x:c r="A313" s="165" t="n">
        <x:v>309</x:v>
      </x:c>
      <x:c r="B313" s="233" t="str">
        <x:v>اسفند</x:v>
      </x:c>
      <x:c r="C313" s="233" t="n">
        <x:f>IF('دانش‌آموزان'!E30="","",'دانش‌آموزان'!B30)</x:f>
        <x:v>26</x:v>
      </x:c>
      <x:c r="D313" s="233" t="str">
        <x:f>IF('دانش‌آموزان'!C30="","",'دانش‌آموزان'!C30)</x:f>
        <x:v>4000000268</x:v>
      </x:c>
      <x:c r="E313" s="233" t="str">
        <x:f>IF('دانش‌آموزان'!E30="","",'دانش‌آموزان'!E30&amp;" "&amp;'دانش‌آموزان'!F30)</x:f>
        <x:v>سارا خلیلی</x:v>
      </x:c>
      <x:c r="F313" s="166" t="str">
        <x:f>IF('دانش‌آموزان'!I30="","",'دانش‌آموزان'!I30)</x:f>
        <x:v>sample-7-b</x:v>
      </x:c>
      <x:c r="G313" s="114"/>
      <x:c r="H313" s="115"/>
      <x:c r="I313" s="115"/>
      <x:c r="J313" s="115"/>
      <x:c r="K313" s="115"/>
      <x:c r="L313" s="115"/>
      <x:c r="M313" s="115"/>
      <x:c r="N313" s="115"/>
      <x:c r="O313" s="115"/>
      <x:c r="P313" s="115"/>
      <x:c r="Q313" s="115"/>
      <x:c r="R313" s="115"/>
      <x:c r="S313" s="115"/>
      <x:c r="T313" s="115"/>
      <x:c r="U313" s="115"/>
      <x:c r="V313" s="115"/>
      <x:c r="W313" s="115"/>
      <x:c r="X313" s="115"/>
      <x:c r="Y313" s="115"/>
      <x:c r="Z313" s="115"/>
      <x:c r="AA313" s="115"/>
      <x:c r="AB313" s="115"/>
      <x:c r="AC313" s="115"/>
      <x:c r="AD313" s="115"/>
      <x:c r="AE313" s="115"/>
      <x:c r="AF313" s="115"/>
      <x:c r="AG313" s="115"/>
      <x:c r="AH313" s="115"/>
      <x:c r="AI313" s="115"/>
      <x:c r="AJ313" s="115"/>
      <x:c r="AK313" s="115"/>
      <x:c r="AL313" s="115"/>
      <x:c r="AM313" s="115"/>
      <x:c r="AN313" s="115"/>
      <x:c r="AO313" s="115"/>
      <x:c r="AP313" s="115"/>
      <x:c r="AQ313" s="115"/>
      <x:c r="AR313" s="115"/>
      <x:c r="AS313" s="115"/>
      <x:c r="AT313" s="115"/>
      <x:c r="AU313" s="115"/>
      <x:c r="AV313" s="115"/>
      <x:c r="AW313" s="115"/>
      <x:c r="AX313" s="115"/>
      <x:c r="AY313" s="115"/>
      <x:c r="AZ313" s="115"/>
      <x:c r="BA313" s="115"/>
      <x:c r="BB313" s="115"/>
      <x:c r="BC313" s="115"/>
      <x:c r="BD313" s="115"/>
      <x:c r="BE313" s="115"/>
      <x:c r="BF313" s="115"/>
      <x:c r="BG313" s="115"/>
      <x:c r="BH313" s="115"/>
      <x:c r="BI313" s="115"/>
      <x:c r="BJ313" s="115"/>
      <x:c r="BK313" s="115"/>
      <x:c r="BL313" s="115"/>
      <x:c r="BM313" s="115"/>
      <x:c r="BN313" s="115"/>
      <x:c r="BO313" s="115"/>
      <x:c r="BP313" s="115"/>
      <x:c r="BQ313" s="115"/>
      <x:c r="BR313" s="115"/>
      <x:c r="BS313" s="115"/>
      <x:c r="BT313" s="115"/>
      <x:c r="BU313" s="115"/>
      <x:c r="BV313" s="115"/>
      <x:c r="BW313" s="115"/>
      <x:c r="BX313" s="115"/>
      <x:c r="BY313" s="115"/>
      <x:c r="BZ313" s="115"/>
      <x:c r="CA313" s="115"/>
      <x:c r="CB313" s="116"/>
      <x:c r="CC313" s="141" t="str">
        <x:f>IF(COUNT(G313:P313)=0,"",AVERAGE(G313:P313)*4)</x:f>
      </x:c>
      <x:c r="CD313" s="178" t="str">
        <x:f>IF(COUNT(Q313:Z313)=0,"",AVERAGE(Q313:Z313)*4)</x:f>
      </x:c>
      <x:c r="CE313" s="178" t="str">
        <x:f>IF(COUNT(AA313:AJ313)=0,"",AVERAGE(AA313:AJ313)*4)</x:f>
      </x:c>
      <x:c r="CF313" s="178" t="str">
        <x:f>IF(COUNT(AK313:AR313)=0,"",AVERAGE(AK313:AR313)*4)</x:f>
      </x:c>
      <x:c r="CG313" s="178" t="str">
        <x:f>IF(COUNT(AS313:AY313)=0,"",AVERAGE(AS313:AY313)*4)</x:f>
      </x:c>
      <x:c r="CH313" s="178" t="str">
        <x:f>IF(COUNT(AZ313:BG313)=0,"",AVERAGE(AZ313:BG313)*4)</x:f>
      </x:c>
      <x:c r="CI313" s="178" t="str">
        <x:f>IF(COUNT(BH313:BN313)=0,"",AVERAGE(BH313:BN313)*4)</x:f>
      </x:c>
      <x:c r="CJ313" s="178" t="str">
        <x:f>IF(COUNT(BO313:BU313)=0,"",AVERAGE(BO313:BU313)*4)</x:f>
      </x:c>
      <x:c r="CK313" s="178" t="str">
        <x:f>IF(COUNT(BV313:CB313)=0,"",AVERAGE(BV313:CB313)*4)</x:f>
      </x:c>
      <x:c r="CL313" s="178" t="str">
        <x:f>IF(C313="","",IF(COUNT(G313:CB313)&lt;74,"",(CC313*'تنظیمات وزن‌دهی'!$C$5+CD313*'تنظیمات وزن‌دهی'!$C$6+CE313*'تنظیمات وزن‌دهی'!$C$7+CF313*'تنظیمات وزن‌دهی'!$C$8+CG313*'تنظیمات وزن‌دهی'!$C$9+CH313*'تنظیمات وزن‌دهی'!$C$10+CI313*'تنظیمات وزن‌دهی'!$C$11+CJ313*'تنظیمات وزن‌دهی'!$C$12+CK313*'تنظیمات وزن‌دهی'!$C$13)/100))</x:f>
      </x:c>
      <x:c r="CM313" s="178" t="str">
        <x:f>IF(C313="","",IF(COUNT(G313:CB313)=0,"",IF(COUNT(G313:CB313)&lt;74,"موقت - اطلاعات ناقص",IF(CL313&gt;=17,"عالی",IF(CL313&gt;=14,"خوب",IF(CL313&gt;=10,"متوسط","ضعیف"))))))</x:f>
      </x:c>
      <x:c r="CN313" s="178" t="n">
        <x:v>9</x:v>
      </x:c>
      <x:c r="CO313" s="142" t="n">
        <x:f>IF(C313="","",COUNT(G313:CB313)/74)</x:f>
        <x:v>0</x:v>
      </x:c>
      <x:c r="CP313" s="245"/>
    </x:row>
    <x:row r="314">
      <x:c r="A314" s="165" t="n">
        <x:v>310</x:v>
      </x:c>
      <x:c r="B314" s="233" t="str">
        <x:v>فروردین</x:v>
      </x:c>
      <x:c r="C314" s="233" t="n">
        <x:f>IF('دانش‌آموزان'!E30="","",'دانش‌آموزان'!B30)</x:f>
        <x:v>26</x:v>
      </x:c>
      <x:c r="D314" s="233" t="str">
        <x:f>IF('دانش‌آموزان'!C30="","",'دانش‌آموزان'!C30)</x:f>
        <x:v>4000000268</x:v>
      </x:c>
      <x:c r="E314" s="233" t="str">
        <x:f>IF('دانش‌آموزان'!E30="","",'دانش‌آموزان'!E30&amp;" "&amp;'دانش‌آموزان'!F30)</x:f>
        <x:v>سارا خلیلی</x:v>
      </x:c>
      <x:c r="F314" s="166" t="str">
        <x:f>IF('دانش‌آموزان'!I30="","",'دانش‌آموزان'!I30)</x:f>
        <x:v>sample-7-b</x:v>
      </x:c>
      <x:c r="G314" s="114"/>
      <x:c r="H314" s="115"/>
      <x:c r="I314" s="115"/>
      <x:c r="J314" s="115"/>
      <x:c r="K314" s="115"/>
      <x:c r="L314" s="115"/>
      <x:c r="M314" s="115"/>
      <x:c r="N314" s="115"/>
      <x:c r="O314" s="115"/>
      <x:c r="P314" s="115"/>
      <x:c r="Q314" s="115"/>
      <x:c r="R314" s="115"/>
      <x:c r="S314" s="115"/>
      <x:c r="T314" s="115"/>
      <x:c r="U314" s="115"/>
      <x:c r="V314" s="115"/>
      <x:c r="W314" s="115"/>
      <x:c r="X314" s="115"/>
      <x:c r="Y314" s="115"/>
      <x:c r="Z314" s="115"/>
      <x:c r="AA314" s="115"/>
      <x:c r="AB314" s="115"/>
      <x:c r="AC314" s="115"/>
      <x:c r="AD314" s="115"/>
      <x:c r="AE314" s="115"/>
      <x:c r="AF314" s="115"/>
      <x:c r="AG314" s="115"/>
      <x:c r="AH314" s="115"/>
      <x:c r="AI314" s="115"/>
      <x:c r="AJ314" s="115"/>
      <x:c r="AK314" s="115"/>
      <x:c r="AL314" s="115"/>
      <x:c r="AM314" s="115"/>
      <x:c r="AN314" s="115"/>
      <x:c r="AO314" s="115"/>
      <x:c r="AP314" s="115"/>
      <x:c r="AQ314" s="115"/>
      <x:c r="AR314" s="115"/>
      <x:c r="AS314" s="115"/>
      <x:c r="AT314" s="115"/>
      <x:c r="AU314" s="115"/>
      <x:c r="AV314" s="115"/>
      <x:c r="AW314" s="115"/>
      <x:c r="AX314" s="115"/>
      <x:c r="AY314" s="115"/>
      <x:c r="AZ314" s="115"/>
      <x:c r="BA314" s="115"/>
      <x:c r="BB314" s="115"/>
      <x:c r="BC314" s="115"/>
      <x:c r="BD314" s="115"/>
      <x:c r="BE314" s="115"/>
      <x:c r="BF314" s="115"/>
      <x:c r="BG314" s="115"/>
      <x:c r="BH314" s="115"/>
      <x:c r="BI314" s="115"/>
      <x:c r="BJ314" s="115"/>
      <x:c r="BK314" s="115"/>
      <x:c r="BL314" s="115"/>
      <x:c r="BM314" s="115"/>
      <x:c r="BN314" s="115"/>
      <x:c r="BO314" s="115"/>
      <x:c r="BP314" s="115"/>
      <x:c r="BQ314" s="115"/>
      <x:c r="BR314" s="115"/>
      <x:c r="BS314" s="115"/>
      <x:c r="BT314" s="115"/>
      <x:c r="BU314" s="115"/>
      <x:c r="BV314" s="115"/>
      <x:c r="BW314" s="115"/>
      <x:c r="BX314" s="115"/>
      <x:c r="BY314" s="115"/>
      <x:c r="BZ314" s="115"/>
      <x:c r="CA314" s="115"/>
      <x:c r="CB314" s="116"/>
      <x:c r="CC314" s="141" t="str">
        <x:f>IF(COUNT(G314:P314)=0,"",AVERAGE(G314:P314)*4)</x:f>
      </x:c>
      <x:c r="CD314" s="178" t="str">
        <x:f>IF(COUNT(Q314:Z314)=0,"",AVERAGE(Q314:Z314)*4)</x:f>
      </x:c>
      <x:c r="CE314" s="178" t="str">
        <x:f>IF(COUNT(AA314:AJ314)=0,"",AVERAGE(AA314:AJ314)*4)</x:f>
      </x:c>
      <x:c r="CF314" s="178" t="str">
        <x:f>IF(COUNT(AK314:AR314)=0,"",AVERAGE(AK314:AR314)*4)</x:f>
      </x:c>
      <x:c r="CG314" s="178" t="str">
        <x:f>IF(COUNT(AS314:AY314)=0,"",AVERAGE(AS314:AY314)*4)</x:f>
      </x:c>
      <x:c r="CH314" s="178" t="str">
        <x:f>IF(COUNT(AZ314:BG314)=0,"",AVERAGE(AZ314:BG314)*4)</x:f>
      </x:c>
      <x:c r="CI314" s="178" t="str">
        <x:f>IF(COUNT(BH314:BN314)=0,"",AVERAGE(BH314:BN314)*4)</x:f>
      </x:c>
      <x:c r="CJ314" s="178" t="str">
        <x:f>IF(COUNT(BO314:BU314)=0,"",AVERAGE(BO314:BU314)*4)</x:f>
      </x:c>
      <x:c r="CK314" s="178" t="str">
        <x:f>IF(COUNT(BV314:CB314)=0,"",AVERAGE(BV314:CB314)*4)</x:f>
      </x:c>
      <x:c r="CL314" s="178" t="str">
        <x:f>IF(C314="","",IF(COUNT(G314:CB314)&lt;74,"",(CC314*'تنظیمات وزن‌دهی'!$C$5+CD314*'تنظیمات وزن‌دهی'!$C$6+CE314*'تنظیمات وزن‌دهی'!$C$7+CF314*'تنظیمات وزن‌دهی'!$C$8+CG314*'تنظیمات وزن‌دهی'!$C$9+CH314*'تنظیمات وزن‌دهی'!$C$10+CI314*'تنظیمات وزن‌دهی'!$C$11+CJ314*'تنظیمات وزن‌دهی'!$C$12+CK314*'تنظیمات وزن‌دهی'!$C$13)/100))</x:f>
      </x:c>
      <x:c r="CM314" s="178" t="str">
        <x:f>IF(C314="","",IF(COUNT(G314:CB314)=0,"",IF(COUNT(G314:CB314)&lt;74,"موقت - اطلاعات ناقص",IF(CL314&gt;=17,"عالی",IF(CL314&gt;=14,"خوب",IF(CL314&gt;=10,"متوسط","ضعیف"))))))</x:f>
      </x:c>
      <x:c r="CN314" s="178" t="n">
        <x:v>10</x:v>
      </x:c>
      <x:c r="CO314" s="142" t="n">
        <x:f>IF(C314="","",COUNT(G314:CB314)/74)</x:f>
        <x:v>0</x:v>
      </x:c>
      <x:c r="CP314" s="245"/>
    </x:row>
    <x:row r="315">
      <x:c r="A315" s="165" t="n">
        <x:v>311</x:v>
      </x:c>
      <x:c r="B315" s="233" t="str">
        <x:v>اردیبهشت</x:v>
      </x:c>
      <x:c r="C315" s="233" t="n">
        <x:f>IF('دانش‌آموزان'!E30="","",'دانش‌آموزان'!B30)</x:f>
        <x:v>26</x:v>
      </x:c>
      <x:c r="D315" s="233" t="str">
        <x:f>IF('دانش‌آموزان'!C30="","",'دانش‌آموزان'!C30)</x:f>
        <x:v>4000000268</x:v>
      </x:c>
      <x:c r="E315" s="233" t="str">
        <x:f>IF('دانش‌آموزان'!E30="","",'دانش‌آموزان'!E30&amp;" "&amp;'دانش‌آموزان'!F30)</x:f>
        <x:v>سارا خلیلی</x:v>
      </x:c>
      <x:c r="F315" s="166" t="str">
        <x:f>IF('دانش‌آموزان'!I30="","",'دانش‌آموزان'!I30)</x:f>
        <x:v>sample-7-b</x:v>
      </x:c>
      <x:c r="G315" s="114"/>
      <x:c r="H315" s="115"/>
      <x:c r="I315" s="115"/>
      <x:c r="J315" s="115"/>
      <x:c r="K315" s="115"/>
      <x:c r="L315" s="115"/>
      <x:c r="M315" s="115"/>
      <x:c r="N315" s="115"/>
      <x:c r="O315" s="115"/>
      <x:c r="P315" s="115"/>
      <x:c r="Q315" s="115"/>
      <x:c r="R315" s="115"/>
      <x:c r="S315" s="115"/>
      <x:c r="T315" s="115"/>
      <x:c r="U315" s="115"/>
      <x:c r="V315" s="115"/>
      <x:c r="W315" s="115"/>
      <x:c r="X315" s="115"/>
      <x:c r="Y315" s="115"/>
      <x:c r="Z315" s="115"/>
      <x:c r="AA315" s="115"/>
      <x:c r="AB315" s="115"/>
      <x:c r="AC315" s="115"/>
      <x:c r="AD315" s="115"/>
      <x:c r="AE315" s="115"/>
      <x:c r="AF315" s="115"/>
      <x:c r="AG315" s="115"/>
      <x:c r="AH315" s="115"/>
      <x:c r="AI315" s="115"/>
      <x:c r="AJ315" s="115"/>
      <x:c r="AK315" s="115"/>
      <x:c r="AL315" s="115"/>
      <x:c r="AM315" s="115"/>
      <x:c r="AN315" s="115"/>
      <x:c r="AO315" s="115"/>
      <x:c r="AP315" s="115"/>
      <x:c r="AQ315" s="115"/>
      <x:c r="AR315" s="115"/>
      <x:c r="AS315" s="115"/>
      <x:c r="AT315" s="115"/>
      <x:c r="AU315" s="115"/>
      <x:c r="AV315" s="115"/>
      <x:c r="AW315" s="115"/>
      <x:c r="AX315" s="115"/>
      <x:c r="AY315" s="115"/>
      <x:c r="AZ315" s="115"/>
      <x:c r="BA315" s="115"/>
      <x:c r="BB315" s="115"/>
      <x:c r="BC315" s="115"/>
      <x:c r="BD315" s="115"/>
      <x:c r="BE315" s="115"/>
      <x:c r="BF315" s="115"/>
      <x:c r="BG315" s="115"/>
      <x:c r="BH315" s="115"/>
      <x:c r="BI315" s="115"/>
      <x:c r="BJ315" s="115"/>
      <x:c r="BK315" s="115"/>
      <x:c r="BL315" s="115"/>
      <x:c r="BM315" s="115"/>
      <x:c r="BN315" s="115"/>
      <x:c r="BO315" s="115"/>
      <x:c r="BP315" s="115"/>
      <x:c r="BQ315" s="115"/>
      <x:c r="BR315" s="115"/>
      <x:c r="BS315" s="115"/>
      <x:c r="BT315" s="115"/>
      <x:c r="BU315" s="115"/>
      <x:c r="BV315" s="115"/>
      <x:c r="BW315" s="115"/>
      <x:c r="BX315" s="115"/>
      <x:c r="BY315" s="115"/>
      <x:c r="BZ315" s="115"/>
      <x:c r="CA315" s="115"/>
      <x:c r="CB315" s="116"/>
      <x:c r="CC315" s="141" t="str">
        <x:f>IF(COUNT(G315:P315)=0,"",AVERAGE(G315:P315)*4)</x:f>
      </x:c>
      <x:c r="CD315" s="178" t="str">
        <x:f>IF(COUNT(Q315:Z315)=0,"",AVERAGE(Q315:Z315)*4)</x:f>
      </x:c>
      <x:c r="CE315" s="178" t="str">
        <x:f>IF(COUNT(AA315:AJ315)=0,"",AVERAGE(AA315:AJ315)*4)</x:f>
      </x:c>
      <x:c r="CF315" s="178" t="str">
        <x:f>IF(COUNT(AK315:AR315)=0,"",AVERAGE(AK315:AR315)*4)</x:f>
      </x:c>
      <x:c r="CG315" s="178" t="str">
        <x:f>IF(COUNT(AS315:AY315)=0,"",AVERAGE(AS315:AY315)*4)</x:f>
      </x:c>
      <x:c r="CH315" s="178" t="str">
        <x:f>IF(COUNT(AZ315:BG315)=0,"",AVERAGE(AZ315:BG315)*4)</x:f>
      </x:c>
      <x:c r="CI315" s="178" t="str">
        <x:f>IF(COUNT(BH315:BN315)=0,"",AVERAGE(BH315:BN315)*4)</x:f>
      </x:c>
      <x:c r="CJ315" s="178" t="str">
        <x:f>IF(COUNT(BO315:BU315)=0,"",AVERAGE(BO315:BU315)*4)</x:f>
      </x:c>
      <x:c r="CK315" s="178" t="str">
        <x:f>IF(COUNT(BV315:CB315)=0,"",AVERAGE(BV315:CB315)*4)</x:f>
      </x:c>
      <x:c r="CL315" s="178" t="str">
        <x:f>IF(C315="","",IF(COUNT(G315:CB315)&lt;74,"",(CC315*'تنظیمات وزن‌دهی'!$C$5+CD315*'تنظیمات وزن‌دهی'!$C$6+CE315*'تنظیمات وزن‌دهی'!$C$7+CF315*'تنظیمات وزن‌دهی'!$C$8+CG315*'تنظیمات وزن‌دهی'!$C$9+CH315*'تنظیمات وزن‌دهی'!$C$10+CI315*'تنظیمات وزن‌دهی'!$C$11+CJ315*'تنظیمات وزن‌دهی'!$C$12+CK315*'تنظیمات وزن‌دهی'!$C$13)/100))</x:f>
      </x:c>
      <x:c r="CM315" s="178" t="str">
        <x:f>IF(C315="","",IF(COUNT(G315:CB315)=0,"",IF(COUNT(G315:CB315)&lt;74,"موقت - اطلاعات ناقص",IF(CL315&gt;=17,"عالی",IF(CL315&gt;=14,"خوب",IF(CL315&gt;=10,"متوسط","ضعیف"))))))</x:f>
      </x:c>
      <x:c r="CN315" s="178" t="n">
        <x:v>11</x:v>
      </x:c>
      <x:c r="CO315" s="142" t="n">
        <x:f>IF(C315="","",COUNT(G315:CB315)/74)</x:f>
        <x:v>0</x:v>
      </x:c>
      <x:c r="CP315" s="245"/>
    </x:row>
    <x:row r="316">
      <x:c r="A316" s="165" t="n">
        <x:v>312</x:v>
      </x:c>
      <x:c r="B316" s="233" t="str">
        <x:v>خرداد</x:v>
      </x:c>
      <x:c r="C316" s="233" t="n">
        <x:f>IF('دانش‌آموزان'!E30="","",'دانش‌آموزان'!B30)</x:f>
        <x:v>26</x:v>
      </x:c>
      <x:c r="D316" s="233" t="str">
        <x:f>IF('دانش‌آموزان'!C30="","",'دانش‌آموزان'!C30)</x:f>
        <x:v>4000000268</x:v>
      </x:c>
      <x:c r="E316" s="233" t="str">
        <x:f>IF('دانش‌آموزان'!E30="","",'دانش‌آموزان'!E30&amp;" "&amp;'دانش‌آموزان'!F30)</x:f>
        <x:v>سارا خلیلی</x:v>
      </x:c>
      <x:c r="F316" s="166" t="str">
        <x:f>IF('دانش‌آموزان'!I30="","",'دانش‌آموزان'!I30)</x:f>
        <x:v>sample-7-b</x:v>
      </x:c>
      <x:c r="G316" s="114"/>
      <x:c r="H316" s="115"/>
      <x:c r="I316" s="115"/>
      <x:c r="J316" s="115"/>
      <x:c r="K316" s="115"/>
      <x:c r="L316" s="115"/>
      <x:c r="M316" s="115"/>
      <x:c r="N316" s="115"/>
      <x:c r="O316" s="115"/>
      <x:c r="P316" s="115"/>
      <x:c r="Q316" s="115"/>
      <x:c r="R316" s="115"/>
      <x:c r="S316" s="115"/>
      <x:c r="T316" s="115"/>
      <x:c r="U316" s="115"/>
      <x:c r="V316" s="115"/>
      <x:c r="W316" s="115"/>
      <x:c r="X316" s="115"/>
      <x:c r="Y316" s="115"/>
      <x:c r="Z316" s="115"/>
      <x:c r="AA316" s="115"/>
      <x:c r="AB316" s="115"/>
      <x:c r="AC316" s="115"/>
      <x:c r="AD316" s="115"/>
      <x:c r="AE316" s="115"/>
      <x:c r="AF316" s="115"/>
      <x:c r="AG316" s="115"/>
      <x:c r="AH316" s="115"/>
      <x:c r="AI316" s="115"/>
      <x:c r="AJ316" s="115"/>
      <x:c r="AK316" s="115"/>
      <x:c r="AL316" s="115"/>
      <x:c r="AM316" s="115"/>
      <x:c r="AN316" s="115"/>
      <x:c r="AO316" s="115"/>
      <x:c r="AP316" s="115"/>
      <x:c r="AQ316" s="115"/>
      <x:c r="AR316" s="115"/>
      <x:c r="AS316" s="115"/>
      <x:c r="AT316" s="115"/>
      <x:c r="AU316" s="115"/>
      <x:c r="AV316" s="115"/>
      <x:c r="AW316" s="115"/>
      <x:c r="AX316" s="115"/>
      <x:c r="AY316" s="115"/>
      <x:c r="AZ316" s="115"/>
      <x:c r="BA316" s="115"/>
      <x:c r="BB316" s="115"/>
      <x:c r="BC316" s="115"/>
      <x:c r="BD316" s="115"/>
      <x:c r="BE316" s="115"/>
      <x:c r="BF316" s="115"/>
      <x:c r="BG316" s="115"/>
      <x:c r="BH316" s="115"/>
      <x:c r="BI316" s="115"/>
      <x:c r="BJ316" s="115"/>
      <x:c r="BK316" s="115"/>
      <x:c r="BL316" s="115"/>
      <x:c r="BM316" s="115"/>
      <x:c r="BN316" s="115"/>
      <x:c r="BO316" s="115"/>
      <x:c r="BP316" s="115"/>
      <x:c r="BQ316" s="115"/>
      <x:c r="BR316" s="115"/>
      <x:c r="BS316" s="115"/>
      <x:c r="BT316" s="115"/>
      <x:c r="BU316" s="115"/>
      <x:c r="BV316" s="115"/>
      <x:c r="BW316" s="115"/>
      <x:c r="BX316" s="115"/>
      <x:c r="BY316" s="115"/>
      <x:c r="BZ316" s="115"/>
      <x:c r="CA316" s="115"/>
      <x:c r="CB316" s="116"/>
      <x:c r="CC316" s="141" t="str">
        <x:f>IF(COUNT(G316:P316)=0,"",AVERAGE(G316:P316)*4)</x:f>
      </x:c>
      <x:c r="CD316" s="178" t="str">
        <x:f>IF(COUNT(Q316:Z316)=0,"",AVERAGE(Q316:Z316)*4)</x:f>
      </x:c>
      <x:c r="CE316" s="178" t="str">
        <x:f>IF(COUNT(AA316:AJ316)=0,"",AVERAGE(AA316:AJ316)*4)</x:f>
      </x:c>
      <x:c r="CF316" s="178" t="str">
        <x:f>IF(COUNT(AK316:AR316)=0,"",AVERAGE(AK316:AR316)*4)</x:f>
      </x:c>
      <x:c r="CG316" s="178" t="str">
        <x:f>IF(COUNT(AS316:AY316)=0,"",AVERAGE(AS316:AY316)*4)</x:f>
      </x:c>
      <x:c r="CH316" s="178" t="str">
        <x:f>IF(COUNT(AZ316:BG316)=0,"",AVERAGE(AZ316:BG316)*4)</x:f>
      </x:c>
      <x:c r="CI316" s="178" t="str">
        <x:f>IF(COUNT(BH316:BN316)=0,"",AVERAGE(BH316:BN316)*4)</x:f>
      </x:c>
      <x:c r="CJ316" s="178" t="str">
        <x:f>IF(COUNT(BO316:BU316)=0,"",AVERAGE(BO316:BU316)*4)</x:f>
      </x:c>
      <x:c r="CK316" s="178" t="str">
        <x:f>IF(COUNT(BV316:CB316)=0,"",AVERAGE(BV316:CB316)*4)</x:f>
      </x:c>
      <x:c r="CL316" s="178" t="str">
        <x:f>IF(C316="","",IF(COUNT(G316:CB316)&lt;74,"",(CC316*'تنظیمات وزن‌دهی'!$C$5+CD316*'تنظیمات وزن‌دهی'!$C$6+CE316*'تنظیمات وزن‌دهی'!$C$7+CF316*'تنظیمات وزن‌دهی'!$C$8+CG316*'تنظیمات وزن‌دهی'!$C$9+CH316*'تنظیمات وزن‌دهی'!$C$10+CI316*'تنظیمات وزن‌دهی'!$C$11+CJ316*'تنظیمات وزن‌دهی'!$C$12+CK316*'تنظیمات وزن‌دهی'!$C$13)/100))</x:f>
      </x:c>
      <x:c r="CM316" s="178" t="str">
        <x:f>IF(C316="","",IF(COUNT(G316:CB316)=0,"",IF(COUNT(G316:CB316)&lt;74,"موقت - اطلاعات ناقص",IF(CL316&gt;=17,"عالی",IF(CL316&gt;=14,"خوب",IF(CL316&gt;=10,"متوسط","ضعیف"))))))</x:f>
      </x:c>
      <x:c r="CN316" s="178" t="n">
        <x:v>12</x:v>
      </x:c>
      <x:c r="CO316" s="142" t="n">
        <x:f>IF(C316="","",COUNT(G316:CB316)/74)</x:f>
        <x:v>0</x:v>
      </x:c>
      <x:c r="CP316" s="245"/>
    </x:row>
    <x:row r="317">
      <x:c r="A317" s="165" t="n">
        <x:v>313</x:v>
      </x:c>
      <x:c r="B317" s="233" t="str">
        <x:v>تیر</x:v>
      </x:c>
      <x:c r="C317" s="233" t="n">
        <x:f>IF('دانش‌آموزان'!E31="","",'دانش‌آموزان'!B31)</x:f>
        <x:v>27</x:v>
      </x:c>
      <x:c r="D317" s="233" t="str">
        <x:f>IF('دانش‌آموزان'!C31="","",'دانش‌آموزان'!C31)</x:f>
        <x:v>4000000276</x:v>
      </x:c>
      <x:c r="E317" s="233" t="str">
        <x:f>IF('دانش‌آموزان'!E31="","",'دانش‌آموزان'!E31&amp;" "&amp;'دانش‌آموزان'!F31)</x:f>
        <x:v>آراد حسینی</x:v>
      </x:c>
      <x:c r="F317" s="166" t="str">
        <x:f>IF('دانش‌آموزان'!I31="","",'دانش‌آموزان'!I31)</x:f>
        <x:v>sample-7-b</x:v>
      </x:c>
      <x:c r="G317" s="114" t="n">
        <x:v>3</x:v>
      </x:c>
      <x:c r="H317" s="115" t="n">
        <x:v>4</x:v>
      </x:c>
      <x:c r="I317" s="115" t="n">
        <x:v>2</x:v>
      </x:c>
      <x:c r="J317" s="115" t="n">
        <x:v>4</x:v>
      </x:c>
      <x:c r="K317" s="115" t="n">
        <x:v>5</x:v>
      </x:c>
      <x:c r="L317" s="115" t="n">
        <x:v>4</x:v>
      </x:c>
      <x:c r="M317" s="115" t="n">
        <x:v>5</x:v>
      </x:c>
      <x:c r="N317" s="115" t="n">
        <x:v>3</x:v>
      </x:c>
      <x:c r="O317" s="115" t="n">
        <x:v>5</x:v>
      </x:c>
      <x:c r="P317" s="115" t="n">
        <x:v>3</x:v>
      </x:c>
      <x:c r="Q317" s="115" t="n">
        <x:v>4</x:v>
      </x:c>
      <x:c r="R317" s="115" t="n">
        <x:v>3</x:v>
      </x:c>
      <x:c r="S317" s="115" t="n">
        <x:v>4</x:v>
      </x:c>
      <x:c r="T317" s="115" t="n">
        <x:v>2</x:v>
      </x:c>
      <x:c r="U317" s="115" t="n">
        <x:v>4</x:v>
      </x:c>
      <x:c r="V317" s="115" t="n">
        <x:v>5</x:v>
      </x:c>
      <x:c r="W317" s="115" t="n">
        <x:v>4</x:v>
      </x:c>
      <x:c r="X317" s="115" t="n">
        <x:v>5</x:v>
      </x:c>
      <x:c r="Y317" s="115" t="n">
        <x:v>3</x:v>
      </x:c>
      <x:c r="Z317" s="115" t="n">
        <x:v>5</x:v>
      </x:c>
      <x:c r="AA317" s="115" t="n">
        <x:v>3</x:v>
      </x:c>
      <x:c r="AB317" s="115" t="n">
        <x:v>4</x:v>
      </x:c>
      <x:c r="AC317" s="115" t="n">
        <x:v>3</x:v>
      </x:c>
      <x:c r="AD317" s="115" t="n">
        <x:v>4</x:v>
      </x:c>
      <x:c r="AE317" s="115" t="n">
        <x:v>2</x:v>
      </x:c>
      <x:c r="AF317" s="115" t="n">
        <x:v>4</x:v>
      </x:c>
      <x:c r="AG317" s="115" t="n">
        <x:v>5</x:v>
      </x:c>
      <x:c r="AH317" s="115" t="n">
        <x:v>4</x:v>
      </x:c>
      <x:c r="AI317" s="115" t="n">
        <x:v>5</x:v>
      </x:c>
      <x:c r="AJ317" s="115" t="n">
        <x:v>3</x:v>
      </x:c>
      <x:c r="AK317" s="115" t="n">
        <x:v>5</x:v>
      </x:c>
      <x:c r="AL317" s="115" t="n">
        <x:v>3</x:v>
      </x:c>
      <x:c r="AM317" s="115" t="n">
        <x:v>4</x:v>
      </x:c>
      <x:c r="AN317" s="115" t="n">
        <x:v>3</x:v>
      </x:c>
      <x:c r="AO317" s="115" t="n">
        <x:v>4</x:v>
      </x:c>
      <x:c r="AP317" s="115" t="n">
        <x:v>2</x:v>
      </x:c>
      <x:c r="AQ317" s="115" t="n">
        <x:v>4</x:v>
      </x:c>
      <x:c r="AR317" s="115" t="n">
        <x:v>5</x:v>
      </x:c>
      <x:c r="AS317" s="115" t="n">
        <x:v>4</x:v>
      </x:c>
      <x:c r="AT317" s="115" t="n">
        <x:v>5</x:v>
      </x:c>
      <x:c r="AU317" s="115" t="n">
        <x:v>3</x:v>
      </x:c>
      <x:c r="AV317" s="115" t="n">
        <x:v>5</x:v>
      </x:c>
      <x:c r="AW317" s="115" t="n">
        <x:v>3</x:v>
      </x:c>
      <x:c r="AX317" s="115" t="n">
        <x:v>4</x:v>
      </x:c>
      <x:c r="AY317" s="115" t="n">
        <x:v>3</x:v>
      </x:c>
      <x:c r="AZ317" s="115" t="n">
        <x:v>4</x:v>
      </x:c>
      <x:c r="BA317" s="115" t="n">
        <x:v>2</x:v>
      </x:c>
      <x:c r="BB317" s="115" t="n">
        <x:v>4</x:v>
      </x:c>
      <x:c r="BC317" s="115" t="n">
        <x:v>5</x:v>
      </x:c>
      <x:c r="BD317" s="115" t="n">
        <x:v>4</x:v>
      </x:c>
      <x:c r="BE317" s="115" t="n">
        <x:v>5</x:v>
      </x:c>
      <x:c r="BF317" s="115" t="n">
        <x:v>3</x:v>
      </x:c>
      <x:c r="BG317" s="115" t="n">
        <x:v>5</x:v>
      </x:c>
      <x:c r="BH317" s="115" t="n">
        <x:v>3</x:v>
      </x:c>
      <x:c r="BI317" s="115" t="n">
        <x:v>4</x:v>
      </x:c>
      <x:c r="BJ317" s="115" t="n">
        <x:v>3</x:v>
      </x:c>
      <x:c r="BK317" s="115" t="n">
        <x:v>4</x:v>
      </x:c>
      <x:c r="BL317" s="115" t="n">
        <x:v>2</x:v>
      </x:c>
      <x:c r="BM317" s="115" t="n">
        <x:v>4</x:v>
      </x:c>
      <x:c r="BN317" s="115" t="n">
        <x:v>5</x:v>
      </x:c>
      <x:c r="BO317" s="115" t="n">
        <x:v>4</x:v>
      </x:c>
      <x:c r="BP317" s="115" t="n">
        <x:v>5</x:v>
      </x:c>
      <x:c r="BQ317" s="115" t="n">
        <x:v>3</x:v>
      </x:c>
      <x:c r="BR317" s="115" t="n">
        <x:v>5</x:v>
      </x:c>
      <x:c r="BS317" s="115" t="n">
        <x:v>3</x:v>
      </x:c>
      <x:c r="BT317" s="115" t="n">
        <x:v>4</x:v>
      </x:c>
      <x:c r="BU317" s="115" t="n">
        <x:v>3</x:v>
      </x:c>
      <x:c r="BV317" s="115" t="n">
        <x:v>4</x:v>
      </x:c>
      <x:c r="BW317" s="115" t="n">
        <x:v>2</x:v>
      </x:c>
      <x:c r="BX317" s="115" t="n">
        <x:v>4</x:v>
      </x:c>
      <x:c r="BY317" s="115" t="n">
        <x:v>5</x:v>
      </x:c>
      <x:c r="BZ317" s="115" t="n">
        <x:v>4</x:v>
      </x:c>
      <x:c r="CA317" s="115" t="n">
        <x:v>5</x:v>
      </x:c>
      <x:c r="CB317" s="116" t="n">
        <x:v>3</x:v>
      </x:c>
      <x:c r="CC317" s="141" t="n">
        <x:f>IF(COUNT(G317:P317)=0,"",AVERAGE(G317:P317)*4)</x:f>
        <x:v>15.2</x:v>
      </x:c>
      <x:c r="CD317" s="178" t="n">
        <x:f>IF(COUNT(Q317:Z317)=0,"",AVERAGE(Q317:Z317)*4)</x:f>
        <x:v>15.6</x:v>
      </x:c>
      <x:c r="CE317" s="178" t="n">
        <x:f>IF(COUNT(AA317:AJ317)=0,"",AVERAGE(AA317:AJ317)*4)</x:f>
        <x:v>14.8</x:v>
      </x:c>
      <x:c r="CF317" s="178" t="n">
        <x:f>IF(COUNT(AK317:AR317)=0,"",AVERAGE(AK317:AR317)*4)</x:f>
        <x:v>15</x:v>
      </x:c>
      <x:c r="CG317" s="178" t="n">
        <x:f>IF(COUNT(AS317:AY317)=0,"",AVERAGE(AS317:AY317)*4)</x:f>
        <x:v>15.428571428571429</x:v>
      </x:c>
      <x:c r="CH317" s="178" t="n">
        <x:f>IF(COUNT(AZ317:BG317)=0,"",AVERAGE(AZ317:BG317)*4)</x:f>
        <x:v>16</x:v>
      </x:c>
      <x:c r="CI317" s="178" t="n">
        <x:f>IF(COUNT(BH317:BN317)=0,"",AVERAGE(BH317:BN317)*4)</x:f>
        <x:v>14.285714285714286</x:v>
      </x:c>
      <x:c r="CJ317" s="178" t="n">
        <x:f>IF(COUNT(BO317:BU317)=0,"",AVERAGE(BO317:BU317)*4)</x:f>
        <x:v>15.428571428571429</x:v>
      </x:c>
      <x:c r="CK317" s="178" t="n">
        <x:f>IF(COUNT(BV317:CB317)=0,"",AVERAGE(BV317:CB317)*4)</x:f>
        <x:v>15.428571428571429</x:v>
      </x:c>
      <x:c r="CL317" s="178" t="n">
        <x:f>IF(C317="","",IF(COUNT(G317:CB317)&lt;74,"",(CC317*'تنظیمات وزن‌دهی'!$C$5+CD317*'تنظیمات وزن‌دهی'!$C$6+CE317*'تنظیمات وزن‌دهی'!$C$7+CF317*'تنظیمات وزن‌دهی'!$C$8+CG317*'تنظیمات وزن‌دهی'!$C$9+CH317*'تنظیمات وزن‌دهی'!$C$10+CI317*'تنظیمات وزن‌دهی'!$C$11+CJ317*'تنظیمات وزن‌دهی'!$C$12+CK317*'تنظیمات وزن‌دهی'!$C$13)/100))</x:f>
        <x:v>15.215714285714286</x:v>
      </x:c>
      <x:c r="CM317" s="178" t="str">
        <x:f>IF(C317="","",IF(COUNT(G317:CB317)=0,"",IF(COUNT(G317:CB317)&lt;74,"موقت - اطلاعات ناقص",IF(CL317&gt;=17,"عالی",IF(CL317&gt;=14,"خوب",IF(CL317&gt;=10,"متوسط","ضعیف"))))))</x:f>
        <x:v>خوب</x:v>
      </x:c>
      <x:c r="CN317" s="178" t="n">
        <x:v>1</x:v>
      </x:c>
      <x:c r="CO317" s="142" t="n">
        <x:f>IF(C317="","",COUNT(G317:CB317)/74)</x:f>
        <x:v>1</x:v>
      </x:c>
      <x:c r="CP317" s="245" t="str">
        <x:v>داده نمونه کامل برای ماه تیر - دانش‌آموز شماره 27</x:v>
      </x:c>
    </x:row>
    <x:row r="318">
      <x:c r="A318" s="165" t="n">
        <x:v>314</x:v>
      </x:c>
      <x:c r="B318" s="233" t="str">
        <x:v>مرداد</x:v>
      </x:c>
      <x:c r="C318" s="233" t="n">
        <x:f>IF('دانش‌آموزان'!E31="","",'دانش‌آموزان'!B31)</x:f>
        <x:v>27</x:v>
      </x:c>
      <x:c r="D318" s="233" t="str">
        <x:f>IF('دانش‌آموزان'!C31="","",'دانش‌آموزان'!C31)</x:f>
        <x:v>4000000276</x:v>
      </x:c>
      <x:c r="E318" s="233" t="str">
        <x:f>IF('دانش‌آموزان'!E31="","",'دانش‌آموزان'!E31&amp;" "&amp;'دانش‌آموزان'!F31)</x:f>
        <x:v>آراد حسینی</x:v>
      </x:c>
      <x:c r="F318" s="166" t="str">
        <x:f>IF('دانش‌آموزان'!I31="","",'دانش‌آموزان'!I31)</x:f>
        <x:v>sample-7-b</x:v>
      </x:c>
      <x:c r="G318" s="114"/>
      <x:c r="H318" s="115"/>
      <x:c r="I318" s="115"/>
      <x:c r="J318" s="115"/>
      <x:c r="K318" s="115"/>
      <x:c r="L318" s="115"/>
      <x:c r="M318" s="115"/>
      <x:c r="N318" s="115"/>
      <x:c r="O318" s="115"/>
      <x:c r="P318" s="115"/>
      <x:c r="Q318" s="115"/>
      <x:c r="R318" s="115"/>
      <x:c r="S318" s="115"/>
      <x:c r="T318" s="115"/>
      <x:c r="U318" s="115"/>
      <x:c r="V318" s="115"/>
      <x:c r="W318" s="115"/>
      <x:c r="X318" s="115"/>
      <x:c r="Y318" s="115"/>
      <x:c r="Z318" s="115"/>
      <x:c r="AA318" s="115"/>
      <x:c r="AB318" s="115"/>
      <x:c r="AC318" s="115"/>
      <x:c r="AD318" s="115"/>
      <x:c r="AE318" s="115"/>
      <x:c r="AF318" s="115"/>
      <x:c r="AG318" s="115"/>
      <x:c r="AH318" s="115"/>
      <x:c r="AI318" s="115"/>
      <x:c r="AJ318" s="115"/>
      <x:c r="AK318" s="115"/>
      <x:c r="AL318" s="115"/>
      <x:c r="AM318" s="115"/>
      <x:c r="AN318" s="115"/>
      <x:c r="AO318" s="115"/>
      <x:c r="AP318" s="115"/>
      <x:c r="AQ318" s="115"/>
      <x:c r="AR318" s="115"/>
      <x:c r="AS318" s="115"/>
      <x:c r="AT318" s="115"/>
      <x:c r="AU318" s="115"/>
      <x:c r="AV318" s="115"/>
      <x:c r="AW318" s="115"/>
      <x:c r="AX318" s="115"/>
      <x:c r="AY318" s="115"/>
      <x:c r="AZ318" s="115"/>
      <x:c r="BA318" s="115"/>
      <x:c r="BB318" s="115"/>
      <x:c r="BC318" s="115"/>
      <x:c r="BD318" s="115"/>
      <x:c r="BE318" s="115"/>
      <x:c r="BF318" s="115"/>
      <x:c r="BG318" s="115"/>
      <x:c r="BH318" s="115"/>
      <x:c r="BI318" s="115"/>
      <x:c r="BJ318" s="115"/>
      <x:c r="BK318" s="115"/>
      <x:c r="BL318" s="115"/>
      <x:c r="BM318" s="115"/>
      <x:c r="BN318" s="115"/>
      <x:c r="BO318" s="115"/>
      <x:c r="BP318" s="115"/>
      <x:c r="BQ318" s="115"/>
      <x:c r="BR318" s="115"/>
      <x:c r="BS318" s="115"/>
      <x:c r="BT318" s="115"/>
      <x:c r="BU318" s="115"/>
      <x:c r="BV318" s="115"/>
      <x:c r="BW318" s="115"/>
      <x:c r="BX318" s="115"/>
      <x:c r="BY318" s="115"/>
      <x:c r="BZ318" s="115"/>
      <x:c r="CA318" s="115"/>
      <x:c r="CB318" s="116"/>
      <x:c r="CC318" s="141" t="str">
        <x:f>IF(COUNT(G318:P318)=0,"",AVERAGE(G318:P318)*4)</x:f>
      </x:c>
      <x:c r="CD318" s="178" t="str">
        <x:f>IF(COUNT(Q318:Z318)=0,"",AVERAGE(Q318:Z318)*4)</x:f>
      </x:c>
      <x:c r="CE318" s="178" t="str">
        <x:f>IF(COUNT(AA318:AJ318)=0,"",AVERAGE(AA318:AJ318)*4)</x:f>
      </x:c>
      <x:c r="CF318" s="178" t="str">
        <x:f>IF(COUNT(AK318:AR318)=0,"",AVERAGE(AK318:AR318)*4)</x:f>
      </x:c>
      <x:c r="CG318" s="178" t="str">
        <x:f>IF(COUNT(AS318:AY318)=0,"",AVERAGE(AS318:AY318)*4)</x:f>
      </x:c>
      <x:c r="CH318" s="178" t="str">
        <x:f>IF(COUNT(AZ318:BG318)=0,"",AVERAGE(AZ318:BG318)*4)</x:f>
      </x:c>
      <x:c r="CI318" s="178" t="str">
        <x:f>IF(COUNT(BH318:BN318)=0,"",AVERAGE(BH318:BN318)*4)</x:f>
      </x:c>
      <x:c r="CJ318" s="178" t="str">
        <x:f>IF(COUNT(BO318:BU318)=0,"",AVERAGE(BO318:BU318)*4)</x:f>
      </x:c>
      <x:c r="CK318" s="178" t="str">
        <x:f>IF(COUNT(BV318:CB318)=0,"",AVERAGE(BV318:CB318)*4)</x:f>
      </x:c>
      <x:c r="CL318" s="178" t="str">
        <x:f>IF(C318="","",IF(COUNT(G318:CB318)&lt;74,"",(CC318*'تنظیمات وزن‌دهی'!$C$5+CD318*'تنظیمات وزن‌دهی'!$C$6+CE318*'تنظیمات وزن‌دهی'!$C$7+CF318*'تنظیمات وزن‌دهی'!$C$8+CG318*'تنظیمات وزن‌دهی'!$C$9+CH318*'تنظیمات وزن‌دهی'!$C$10+CI318*'تنظیمات وزن‌دهی'!$C$11+CJ318*'تنظیمات وزن‌دهی'!$C$12+CK318*'تنظیمات وزن‌دهی'!$C$13)/100))</x:f>
      </x:c>
      <x:c r="CM318" s="178" t="str">
        <x:f>IF(C318="","",IF(COUNT(G318:CB318)=0,"",IF(COUNT(G318:CB318)&lt;74,"موقت - اطلاعات ناقص",IF(CL318&gt;=17,"عالی",IF(CL318&gt;=14,"خوب",IF(CL318&gt;=10,"متوسط","ضعیف"))))))</x:f>
      </x:c>
      <x:c r="CN318" s="178" t="n">
        <x:v>2</x:v>
      </x:c>
      <x:c r="CO318" s="142" t="n">
        <x:f>IF(C318="","",COUNT(G318:CB318)/74)</x:f>
        <x:v>0</x:v>
      </x:c>
      <x:c r="CP318" s="245"/>
    </x:row>
    <x:row r="319">
      <x:c r="A319" s="165" t="n">
        <x:v>315</x:v>
      </x:c>
      <x:c r="B319" s="233" t="str">
        <x:v>شهریور</x:v>
      </x:c>
      <x:c r="C319" s="233" t="n">
        <x:f>IF('دانش‌آموزان'!E31="","",'دانش‌آموزان'!B31)</x:f>
        <x:v>27</x:v>
      </x:c>
      <x:c r="D319" s="233" t="str">
        <x:f>IF('دانش‌آموزان'!C31="","",'دانش‌آموزان'!C31)</x:f>
        <x:v>4000000276</x:v>
      </x:c>
      <x:c r="E319" s="233" t="str">
        <x:f>IF('دانش‌آموزان'!E31="","",'دانش‌آموزان'!E31&amp;" "&amp;'دانش‌آموزان'!F31)</x:f>
        <x:v>آراد حسینی</x:v>
      </x:c>
      <x:c r="F319" s="166" t="str">
        <x:f>IF('دانش‌آموزان'!I31="","",'دانش‌آموزان'!I31)</x:f>
        <x:v>sample-7-b</x:v>
      </x:c>
      <x:c r="G319" s="114"/>
      <x:c r="H319" s="115"/>
      <x:c r="I319" s="115"/>
      <x:c r="J319" s="115"/>
      <x:c r="K319" s="115"/>
      <x:c r="L319" s="115"/>
      <x:c r="M319" s="115"/>
      <x:c r="N319" s="115"/>
      <x:c r="O319" s="115"/>
      <x:c r="P319" s="115"/>
      <x:c r="Q319" s="115"/>
      <x:c r="R319" s="115"/>
      <x:c r="S319" s="115"/>
      <x:c r="T319" s="115"/>
      <x:c r="U319" s="115"/>
      <x:c r="V319" s="115"/>
      <x:c r="W319" s="115"/>
      <x:c r="X319" s="115"/>
      <x:c r="Y319" s="115"/>
      <x:c r="Z319" s="115"/>
      <x:c r="AA319" s="115"/>
      <x:c r="AB319" s="115"/>
      <x:c r="AC319" s="115"/>
      <x:c r="AD319" s="115"/>
      <x:c r="AE319" s="115"/>
      <x:c r="AF319" s="115"/>
      <x:c r="AG319" s="115"/>
      <x:c r="AH319" s="115"/>
      <x:c r="AI319" s="115"/>
      <x:c r="AJ319" s="115"/>
      <x:c r="AK319" s="115"/>
      <x:c r="AL319" s="115"/>
      <x:c r="AM319" s="115"/>
      <x:c r="AN319" s="115"/>
      <x:c r="AO319" s="115"/>
      <x:c r="AP319" s="115"/>
      <x:c r="AQ319" s="115"/>
      <x:c r="AR319" s="115"/>
      <x:c r="AS319" s="115"/>
      <x:c r="AT319" s="115"/>
      <x:c r="AU319" s="115"/>
      <x:c r="AV319" s="115"/>
      <x:c r="AW319" s="115"/>
      <x:c r="AX319" s="115"/>
      <x:c r="AY319" s="115"/>
      <x:c r="AZ319" s="115"/>
      <x:c r="BA319" s="115"/>
      <x:c r="BB319" s="115"/>
      <x:c r="BC319" s="115"/>
      <x:c r="BD319" s="115"/>
      <x:c r="BE319" s="115"/>
      <x:c r="BF319" s="115"/>
      <x:c r="BG319" s="115"/>
      <x:c r="BH319" s="115"/>
      <x:c r="BI319" s="115"/>
      <x:c r="BJ319" s="115"/>
      <x:c r="BK319" s="115"/>
      <x:c r="BL319" s="115"/>
      <x:c r="BM319" s="115"/>
      <x:c r="BN319" s="115"/>
      <x:c r="BO319" s="115"/>
      <x:c r="BP319" s="115"/>
      <x:c r="BQ319" s="115"/>
      <x:c r="BR319" s="115"/>
      <x:c r="BS319" s="115"/>
      <x:c r="BT319" s="115"/>
      <x:c r="BU319" s="115"/>
      <x:c r="BV319" s="115"/>
      <x:c r="BW319" s="115"/>
      <x:c r="BX319" s="115"/>
      <x:c r="BY319" s="115"/>
      <x:c r="BZ319" s="115"/>
      <x:c r="CA319" s="115"/>
      <x:c r="CB319" s="116"/>
      <x:c r="CC319" s="141" t="str">
        <x:f>IF(COUNT(G319:P319)=0,"",AVERAGE(G319:P319)*4)</x:f>
      </x:c>
      <x:c r="CD319" s="178" t="str">
        <x:f>IF(COUNT(Q319:Z319)=0,"",AVERAGE(Q319:Z319)*4)</x:f>
      </x:c>
      <x:c r="CE319" s="178" t="str">
        <x:f>IF(COUNT(AA319:AJ319)=0,"",AVERAGE(AA319:AJ319)*4)</x:f>
      </x:c>
      <x:c r="CF319" s="178" t="str">
        <x:f>IF(COUNT(AK319:AR319)=0,"",AVERAGE(AK319:AR319)*4)</x:f>
      </x:c>
      <x:c r="CG319" s="178" t="str">
        <x:f>IF(COUNT(AS319:AY319)=0,"",AVERAGE(AS319:AY319)*4)</x:f>
      </x:c>
      <x:c r="CH319" s="178" t="str">
        <x:f>IF(COUNT(AZ319:BG319)=0,"",AVERAGE(AZ319:BG319)*4)</x:f>
      </x:c>
      <x:c r="CI319" s="178" t="str">
        <x:f>IF(COUNT(BH319:BN319)=0,"",AVERAGE(BH319:BN319)*4)</x:f>
      </x:c>
      <x:c r="CJ319" s="178" t="str">
        <x:f>IF(COUNT(BO319:BU319)=0,"",AVERAGE(BO319:BU319)*4)</x:f>
      </x:c>
      <x:c r="CK319" s="178" t="str">
        <x:f>IF(COUNT(BV319:CB319)=0,"",AVERAGE(BV319:CB319)*4)</x:f>
      </x:c>
      <x:c r="CL319" s="178" t="str">
        <x:f>IF(C319="","",IF(COUNT(G319:CB319)&lt;74,"",(CC319*'تنظیمات وزن‌دهی'!$C$5+CD319*'تنظیمات وزن‌دهی'!$C$6+CE319*'تنظیمات وزن‌دهی'!$C$7+CF319*'تنظیمات وزن‌دهی'!$C$8+CG319*'تنظیمات وزن‌دهی'!$C$9+CH319*'تنظیمات وزن‌دهی'!$C$10+CI319*'تنظیمات وزن‌دهی'!$C$11+CJ319*'تنظیمات وزن‌دهی'!$C$12+CK319*'تنظیمات وزن‌دهی'!$C$13)/100))</x:f>
      </x:c>
      <x:c r="CM319" s="178" t="str">
        <x:f>IF(C319="","",IF(COUNT(G319:CB319)=0,"",IF(COUNT(G319:CB319)&lt;74,"موقت - اطلاعات ناقص",IF(CL319&gt;=17,"عالی",IF(CL319&gt;=14,"خوب",IF(CL319&gt;=10,"متوسط","ضعیف"))))))</x:f>
      </x:c>
      <x:c r="CN319" s="178" t="n">
        <x:v>3</x:v>
      </x:c>
      <x:c r="CO319" s="142" t="n">
        <x:f>IF(C319="","",COUNT(G319:CB319)/74)</x:f>
        <x:v>0</x:v>
      </x:c>
      <x:c r="CP319" s="245"/>
    </x:row>
    <x:row r="320">
      <x:c r="A320" s="165" t="n">
        <x:v>316</x:v>
      </x:c>
      <x:c r="B320" s="233" t="str">
        <x:v>مهر</x:v>
      </x:c>
      <x:c r="C320" s="233" t="n">
        <x:f>IF('دانش‌آموزان'!E31="","",'دانش‌آموزان'!B31)</x:f>
        <x:v>27</x:v>
      </x:c>
      <x:c r="D320" s="233" t="str">
        <x:f>IF('دانش‌آموزان'!C31="","",'دانش‌آموزان'!C31)</x:f>
        <x:v>4000000276</x:v>
      </x:c>
      <x:c r="E320" s="233" t="str">
        <x:f>IF('دانش‌آموزان'!E31="","",'دانش‌آموزان'!E31&amp;" "&amp;'دانش‌آموزان'!F31)</x:f>
        <x:v>آراد حسینی</x:v>
      </x:c>
      <x:c r="F320" s="166" t="str">
        <x:f>IF('دانش‌آموزان'!I31="","",'دانش‌آموزان'!I31)</x:f>
        <x:v>sample-7-b</x:v>
      </x:c>
      <x:c r="G320" s="114"/>
      <x:c r="H320" s="115"/>
      <x:c r="I320" s="115"/>
      <x:c r="J320" s="115"/>
      <x:c r="K320" s="115"/>
      <x:c r="L320" s="115"/>
      <x:c r="M320" s="115"/>
      <x:c r="N320" s="115"/>
      <x:c r="O320" s="115"/>
      <x:c r="P320" s="115"/>
      <x:c r="Q320" s="115"/>
      <x:c r="R320" s="115"/>
      <x:c r="S320" s="115"/>
      <x:c r="T320" s="115"/>
      <x:c r="U320" s="115"/>
      <x:c r="V320" s="115"/>
      <x:c r="W320" s="115"/>
      <x:c r="X320" s="115"/>
      <x:c r="Y320" s="115"/>
      <x:c r="Z320" s="115"/>
      <x:c r="AA320" s="115"/>
      <x:c r="AB320" s="115"/>
      <x:c r="AC320" s="115"/>
      <x:c r="AD320" s="115"/>
      <x:c r="AE320" s="115"/>
      <x:c r="AF320" s="115"/>
      <x:c r="AG320" s="115"/>
      <x:c r="AH320" s="115"/>
      <x:c r="AI320" s="115"/>
      <x:c r="AJ320" s="115"/>
      <x:c r="AK320" s="115"/>
      <x:c r="AL320" s="115"/>
      <x:c r="AM320" s="115"/>
      <x:c r="AN320" s="115"/>
      <x:c r="AO320" s="115"/>
      <x:c r="AP320" s="115"/>
      <x:c r="AQ320" s="115"/>
      <x:c r="AR320" s="115"/>
      <x:c r="AS320" s="115"/>
      <x:c r="AT320" s="115"/>
      <x:c r="AU320" s="115"/>
      <x:c r="AV320" s="115"/>
      <x:c r="AW320" s="115"/>
      <x:c r="AX320" s="115"/>
      <x:c r="AY320" s="115"/>
      <x:c r="AZ320" s="115"/>
      <x:c r="BA320" s="115"/>
      <x:c r="BB320" s="115"/>
      <x:c r="BC320" s="115"/>
      <x:c r="BD320" s="115"/>
      <x:c r="BE320" s="115"/>
      <x:c r="BF320" s="115"/>
      <x:c r="BG320" s="115"/>
      <x:c r="BH320" s="115"/>
      <x:c r="BI320" s="115"/>
      <x:c r="BJ320" s="115"/>
      <x:c r="BK320" s="115"/>
      <x:c r="BL320" s="115"/>
      <x:c r="BM320" s="115"/>
      <x:c r="BN320" s="115"/>
      <x:c r="BO320" s="115"/>
      <x:c r="BP320" s="115"/>
      <x:c r="BQ320" s="115"/>
      <x:c r="BR320" s="115"/>
      <x:c r="BS320" s="115"/>
      <x:c r="BT320" s="115"/>
      <x:c r="BU320" s="115"/>
      <x:c r="BV320" s="115"/>
      <x:c r="BW320" s="115"/>
      <x:c r="BX320" s="115"/>
      <x:c r="BY320" s="115"/>
      <x:c r="BZ320" s="115"/>
      <x:c r="CA320" s="115"/>
      <x:c r="CB320" s="116"/>
      <x:c r="CC320" s="141" t="str">
        <x:f>IF(COUNT(G320:P320)=0,"",AVERAGE(G320:P320)*4)</x:f>
      </x:c>
      <x:c r="CD320" s="178" t="str">
        <x:f>IF(COUNT(Q320:Z320)=0,"",AVERAGE(Q320:Z320)*4)</x:f>
      </x:c>
      <x:c r="CE320" s="178" t="str">
        <x:f>IF(COUNT(AA320:AJ320)=0,"",AVERAGE(AA320:AJ320)*4)</x:f>
      </x:c>
      <x:c r="CF320" s="178" t="str">
        <x:f>IF(COUNT(AK320:AR320)=0,"",AVERAGE(AK320:AR320)*4)</x:f>
      </x:c>
      <x:c r="CG320" s="178" t="str">
        <x:f>IF(COUNT(AS320:AY320)=0,"",AVERAGE(AS320:AY320)*4)</x:f>
      </x:c>
      <x:c r="CH320" s="178" t="str">
        <x:f>IF(COUNT(AZ320:BG320)=0,"",AVERAGE(AZ320:BG320)*4)</x:f>
      </x:c>
      <x:c r="CI320" s="178" t="str">
        <x:f>IF(COUNT(BH320:BN320)=0,"",AVERAGE(BH320:BN320)*4)</x:f>
      </x:c>
      <x:c r="CJ320" s="178" t="str">
        <x:f>IF(COUNT(BO320:BU320)=0,"",AVERAGE(BO320:BU320)*4)</x:f>
      </x:c>
      <x:c r="CK320" s="178" t="str">
        <x:f>IF(COUNT(BV320:CB320)=0,"",AVERAGE(BV320:CB320)*4)</x:f>
      </x:c>
      <x:c r="CL320" s="178" t="str">
        <x:f>IF(C320="","",IF(COUNT(G320:CB320)&lt;74,"",(CC320*'تنظیمات وزن‌دهی'!$C$5+CD320*'تنظیمات وزن‌دهی'!$C$6+CE320*'تنظیمات وزن‌دهی'!$C$7+CF320*'تنظیمات وزن‌دهی'!$C$8+CG320*'تنظیمات وزن‌دهی'!$C$9+CH320*'تنظیمات وزن‌دهی'!$C$10+CI320*'تنظیمات وزن‌دهی'!$C$11+CJ320*'تنظیمات وزن‌دهی'!$C$12+CK320*'تنظیمات وزن‌دهی'!$C$13)/100))</x:f>
      </x:c>
      <x:c r="CM320" s="178" t="str">
        <x:f>IF(C320="","",IF(COUNT(G320:CB320)=0,"",IF(COUNT(G320:CB320)&lt;74,"موقت - اطلاعات ناقص",IF(CL320&gt;=17,"عالی",IF(CL320&gt;=14,"خوب",IF(CL320&gt;=10,"متوسط","ضعیف"))))))</x:f>
      </x:c>
      <x:c r="CN320" s="178" t="n">
        <x:v>4</x:v>
      </x:c>
      <x:c r="CO320" s="142" t="n">
        <x:f>IF(C320="","",COUNT(G320:CB320)/74)</x:f>
        <x:v>0</x:v>
      </x:c>
      <x:c r="CP320" s="245"/>
    </x:row>
    <x:row r="321">
      <x:c r="A321" s="165" t="n">
        <x:v>317</x:v>
      </x:c>
      <x:c r="B321" s="233" t="str">
        <x:v>آبان</x:v>
      </x:c>
      <x:c r="C321" s="233" t="n">
        <x:f>IF('دانش‌آموزان'!E31="","",'دانش‌آموزان'!B31)</x:f>
        <x:v>27</x:v>
      </x:c>
      <x:c r="D321" s="233" t="str">
        <x:f>IF('دانش‌آموزان'!C31="","",'دانش‌آموزان'!C31)</x:f>
        <x:v>4000000276</x:v>
      </x:c>
      <x:c r="E321" s="233" t="str">
        <x:f>IF('دانش‌آموزان'!E31="","",'دانش‌آموزان'!E31&amp;" "&amp;'دانش‌آموزان'!F31)</x:f>
        <x:v>آراد حسینی</x:v>
      </x:c>
      <x:c r="F321" s="166" t="str">
        <x:f>IF('دانش‌آموزان'!I31="","",'دانش‌آموزان'!I31)</x:f>
        <x:v>sample-7-b</x:v>
      </x:c>
      <x:c r="G321" s="114"/>
      <x:c r="H321" s="115"/>
      <x:c r="I321" s="115"/>
      <x:c r="J321" s="115"/>
      <x:c r="K321" s="115"/>
      <x:c r="L321" s="115"/>
      <x:c r="M321" s="115"/>
      <x:c r="N321" s="115"/>
      <x:c r="O321" s="115"/>
      <x:c r="P321" s="115"/>
      <x:c r="Q321" s="115"/>
      <x:c r="R321" s="115"/>
      <x:c r="S321" s="115"/>
      <x:c r="T321" s="115"/>
      <x:c r="U321" s="115"/>
      <x:c r="V321" s="115"/>
      <x:c r="W321" s="115"/>
      <x:c r="X321" s="115"/>
      <x:c r="Y321" s="115"/>
      <x:c r="Z321" s="115"/>
      <x:c r="AA321" s="115"/>
      <x:c r="AB321" s="115"/>
      <x:c r="AC321" s="115"/>
      <x:c r="AD321" s="115"/>
      <x:c r="AE321" s="115"/>
      <x:c r="AF321" s="115"/>
      <x:c r="AG321" s="115"/>
      <x:c r="AH321" s="115"/>
      <x:c r="AI321" s="115"/>
      <x:c r="AJ321" s="115"/>
      <x:c r="AK321" s="115"/>
      <x:c r="AL321" s="115"/>
      <x:c r="AM321" s="115"/>
      <x:c r="AN321" s="115"/>
      <x:c r="AO321" s="115"/>
      <x:c r="AP321" s="115"/>
      <x:c r="AQ321" s="115"/>
      <x:c r="AR321" s="115"/>
      <x:c r="AS321" s="115"/>
      <x:c r="AT321" s="115"/>
      <x:c r="AU321" s="115"/>
      <x:c r="AV321" s="115"/>
      <x:c r="AW321" s="115"/>
      <x:c r="AX321" s="115"/>
      <x:c r="AY321" s="115"/>
      <x:c r="AZ321" s="115"/>
      <x:c r="BA321" s="115"/>
      <x:c r="BB321" s="115"/>
      <x:c r="BC321" s="115"/>
      <x:c r="BD321" s="115"/>
      <x:c r="BE321" s="115"/>
      <x:c r="BF321" s="115"/>
      <x:c r="BG321" s="115"/>
      <x:c r="BH321" s="115"/>
      <x:c r="BI321" s="115"/>
      <x:c r="BJ321" s="115"/>
      <x:c r="BK321" s="115"/>
      <x:c r="BL321" s="115"/>
      <x:c r="BM321" s="115"/>
      <x:c r="BN321" s="115"/>
      <x:c r="BO321" s="115"/>
      <x:c r="BP321" s="115"/>
      <x:c r="BQ321" s="115"/>
      <x:c r="BR321" s="115"/>
      <x:c r="BS321" s="115"/>
      <x:c r="BT321" s="115"/>
      <x:c r="BU321" s="115"/>
      <x:c r="BV321" s="115"/>
      <x:c r="BW321" s="115"/>
      <x:c r="BX321" s="115"/>
      <x:c r="BY321" s="115"/>
      <x:c r="BZ321" s="115"/>
      <x:c r="CA321" s="115"/>
      <x:c r="CB321" s="116"/>
      <x:c r="CC321" s="141" t="str">
        <x:f>IF(COUNT(G321:P321)=0,"",AVERAGE(G321:P321)*4)</x:f>
      </x:c>
      <x:c r="CD321" s="178" t="str">
        <x:f>IF(COUNT(Q321:Z321)=0,"",AVERAGE(Q321:Z321)*4)</x:f>
      </x:c>
      <x:c r="CE321" s="178" t="str">
        <x:f>IF(COUNT(AA321:AJ321)=0,"",AVERAGE(AA321:AJ321)*4)</x:f>
      </x:c>
      <x:c r="CF321" s="178" t="str">
        <x:f>IF(COUNT(AK321:AR321)=0,"",AVERAGE(AK321:AR321)*4)</x:f>
      </x:c>
      <x:c r="CG321" s="178" t="str">
        <x:f>IF(COUNT(AS321:AY321)=0,"",AVERAGE(AS321:AY321)*4)</x:f>
      </x:c>
      <x:c r="CH321" s="178" t="str">
        <x:f>IF(COUNT(AZ321:BG321)=0,"",AVERAGE(AZ321:BG321)*4)</x:f>
      </x:c>
      <x:c r="CI321" s="178" t="str">
        <x:f>IF(COUNT(BH321:BN321)=0,"",AVERAGE(BH321:BN321)*4)</x:f>
      </x:c>
      <x:c r="CJ321" s="178" t="str">
        <x:f>IF(COUNT(BO321:BU321)=0,"",AVERAGE(BO321:BU321)*4)</x:f>
      </x:c>
      <x:c r="CK321" s="178" t="str">
        <x:f>IF(COUNT(BV321:CB321)=0,"",AVERAGE(BV321:CB321)*4)</x:f>
      </x:c>
      <x:c r="CL321" s="178" t="str">
        <x:f>IF(C321="","",IF(COUNT(G321:CB321)&lt;74,"",(CC321*'تنظیمات وزن‌دهی'!$C$5+CD321*'تنظیمات وزن‌دهی'!$C$6+CE321*'تنظیمات وزن‌دهی'!$C$7+CF321*'تنظیمات وزن‌دهی'!$C$8+CG321*'تنظیمات وزن‌دهی'!$C$9+CH321*'تنظیمات وزن‌دهی'!$C$10+CI321*'تنظیمات وزن‌دهی'!$C$11+CJ321*'تنظیمات وزن‌دهی'!$C$12+CK321*'تنظیمات وزن‌دهی'!$C$13)/100))</x:f>
      </x:c>
      <x:c r="CM321" s="178" t="str">
        <x:f>IF(C321="","",IF(COUNT(G321:CB321)=0,"",IF(COUNT(G321:CB321)&lt;74,"موقت - اطلاعات ناقص",IF(CL321&gt;=17,"عالی",IF(CL321&gt;=14,"خوب",IF(CL321&gt;=10,"متوسط","ضعیف"))))))</x:f>
      </x:c>
      <x:c r="CN321" s="178" t="n">
        <x:v>5</x:v>
      </x:c>
      <x:c r="CO321" s="142" t="n">
        <x:f>IF(C321="","",COUNT(G321:CB321)/74)</x:f>
        <x:v>0</x:v>
      </x:c>
      <x:c r="CP321" s="245"/>
    </x:row>
    <x:row r="322">
      <x:c r="A322" s="165" t="n">
        <x:v>318</x:v>
      </x:c>
      <x:c r="B322" s="233" t="str">
        <x:v>آذر</x:v>
      </x:c>
      <x:c r="C322" s="233" t="n">
        <x:f>IF('دانش‌آموزان'!E31="","",'دانش‌آموزان'!B31)</x:f>
        <x:v>27</x:v>
      </x:c>
      <x:c r="D322" s="233" t="str">
        <x:f>IF('دانش‌آموزان'!C31="","",'دانش‌آموزان'!C31)</x:f>
        <x:v>4000000276</x:v>
      </x:c>
      <x:c r="E322" s="233" t="str">
        <x:f>IF('دانش‌آموزان'!E31="","",'دانش‌آموزان'!E31&amp;" "&amp;'دانش‌آموزان'!F31)</x:f>
        <x:v>آراد حسینی</x:v>
      </x:c>
      <x:c r="F322" s="166" t="str">
        <x:f>IF('دانش‌آموزان'!I31="","",'دانش‌آموزان'!I31)</x:f>
        <x:v>sample-7-b</x:v>
      </x:c>
      <x:c r="G322" s="114"/>
      <x:c r="H322" s="115"/>
      <x:c r="I322" s="115"/>
      <x:c r="J322" s="115"/>
      <x:c r="K322" s="115"/>
      <x:c r="L322" s="115"/>
      <x:c r="M322" s="115"/>
      <x:c r="N322" s="115"/>
      <x:c r="O322" s="115"/>
      <x:c r="P322" s="115"/>
      <x:c r="Q322" s="115"/>
      <x:c r="R322" s="115"/>
      <x:c r="S322" s="115"/>
      <x:c r="T322" s="115"/>
      <x:c r="U322" s="115"/>
      <x:c r="V322" s="115"/>
      <x:c r="W322" s="115"/>
      <x:c r="X322" s="115"/>
      <x:c r="Y322" s="115"/>
      <x:c r="Z322" s="115"/>
      <x:c r="AA322" s="115"/>
      <x:c r="AB322" s="115"/>
      <x:c r="AC322" s="115"/>
      <x:c r="AD322" s="115"/>
      <x:c r="AE322" s="115"/>
      <x:c r="AF322" s="115"/>
      <x:c r="AG322" s="115"/>
      <x:c r="AH322" s="115"/>
      <x:c r="AI322" s="115"/>
      <x:c r="AJ322" s="115"/>
      <x:c r="AK322" s="115"/>
      <x:c r="AL322" s="115"/>
      <x:c r="AM322" s="115"/>
      <x:c r="AN322" s="115"/>
      <x:c r="AO322" s="115"/>
      <x:c r="AP322" s="115"/>
      <x:c r="AQ322" s="115"/>
      <x:c r="AR322" s="115"/>
      <x:c r="AS322" s="115"/>
      <x:c r="AT322" s="115"/>
      <x:c r="AU322" s="115"/>
      <x:c r="AV322" s="115"/>
      <x:c r="AW322" s="115"/>
      <x:c r="AX322" s="115"/>
      <x:c r="AY322" s="115"/>
      <x:c r="AZ322" s="115"/>
      <x:c r="BA322" s="115"/>
      <x:c r="BB322" s="115"/>
      <x:c r="BC322" s="115"/>
      <x:c r="BD322" s="115"/>
      <x:c r="BE322" s="115"/>
      <x:c r="BF322" s="115"/>
      <x:c r="BG322" s="115"/>
      <x:c r="BH322" s="115"/>
      <x:c r="BI322" s="115"/>
      <x:c r="BJ322" s="115"/>
      <x:c r="BK322" s="115"/>
      <x:c r="BL322" s="115"/>
      <x:c r="BM322" s="115"/>
      <x:c r="BN322" s="115"/>
      <x:c r="BO322" s="115"/>
      <x:c r="BP322" s="115"/>
      <x:c r="BQ322" s="115"/>
      <x:c r="BR322" s="115"/>
      <x:c r="BS322" s="115"/>
      <x:c r="BT322" s="115"/>
      <x:c r="BU322" s="115"/>
      <x:c r="BV322" s="115"/>
      <x:c r="BW322" s="115"/>
      <x:c r="BX322" s="115"/>
      <x:c r="BY322" s="115"/>
      <x:c r="BZ322" s="115"/>
      <x:c r="CA322" s="115"/>
      <x:c r="CB322" s="116"/>
      <x:c r="CC322" s="141" t="str">
        <x:f>IF(COUNT(G322:P322)=0,"",AVERAGE(G322:P322)*4)</x:f>
      </x:c>
      <x:c r="CD322" s="178" t="str">
        <x:f>IF(COUNT(Q322:Z322)=0,"",AVERAGE(Q322:Z322)*4)</x:f>
      </x:c>
      <x:c r="CE322" s="178" t="str">
        <x:f>IF(COUNT(AA322:AJ322)=0,"",AVERAGE(AA322:AJ322)*4)</x:f>
      </x:c>
      <x:c r="CF322" s="178" t="str">
        <x:f>IF(COUNT(AK322:AR322)=0,"",AVERAGE(AK322:AR322)*4)</x:f>
      </x:c>
      <x:c r="CG322" s="178" t="str">
        <x:f>IF(COUNT(AS322:AY322)=0,"",AVERAGE(AS322:AY322)*4)</x:f>
      </x:c>
      <x:c r="CH322" s="178" t="str">
        <x:f>IF(COUNT(AZ322:BG322)=0,"",AVERAGE(AZ322:BG322)*4)</x:f>
      </x:c>
      <x:c r="CI322" s="178" t="str">
        <x:f>IF(COUNT(BH322:BN322)=0,"",AVERAGE(BH322:BN322)*4)</x:f>
      </x:c>
      <x:c r="CJ322" s="178" t="str">
        <x:f>IF(COUNT(BO322:BU322)=0,"",AVERAGE(BO322:BU322)*4)</x:f>
      </x:c>
      <x:c r="CK322" s="178" t="str">
        <x:f>IF(COUNT(BV322:CB322)=0,"",AVERAGE(BV322:CB322)*4)</x:f>
      </x:c>
      <x:c r="CL322" s="178" t="str">
        <x:f>IF(C322="","",IF(COUNT(G322:CB322)&lt;74,"",(CC322*'تنظیمات وزن‌دهی'!$C$5+CD322*'تنظیمات وزن‌دهی'!$C$6+CE322*'تنظیمات وزن‌دهی'!$C$7+CF322*'تنظیمات وزن‌دهی'!$C$8+CG322*'تنظیمات وزن‌دهی'!$C$9+CH322*'تنظیمات وزن‌دهی'!$C$10+CI322*'تنظیمات وزن‌دهی'!$C$11+CJ322*'تنظیمات وزن‌دهی'!$C$12+CK322*'تنظیمات وزن‌دهی'!$C$13)/100))</x:f>
      </x:c>
      <x:c r="CM322" s="178" t="str">
        <x:f>IF(C322="","",IF(COUNT(G322:CB322)=0,"",IF(COUNT(G322:CB322)&lt;74,"موقت - اطلاعات ناقص",IF(CL322&gt;=17,"عالی",IF(CL322&gt;=14,"خوب",IF(CL322&gt;=10,"متوسط","ضعیف"))))))</x:f>
      </x:c>
      <x:c r="CN322" s="178" t="n">
        <x:v>6</x:v>
      </x:c>
      <x:c r="CO322" s="142" t="n">
        <x:f>IF(C322="","",COUNT(G322:CB322)/74)</x:f>
        <x:v>0</x:v>
      </x:c>
      <x:c r="CP322" s="245"/>
    </x:row>
    <x:row r="323">
      <x:c r="A323" s="165" t="n">
        <x:v>319</x:v>
      </x:c>
      <x:c r="B323" s="233" t="str">
        <x:v>دی</x:v>
      </x:c>
      <x:c r="C323" s="233" t="n">
        <x:f>IF('دانش‌آموزان'!E31="","",'دانش‌آموزان'!B31)</x:f>
        <x:v>27</x:v>
      </x:c>
      <x:c r="D323" s="233" t="str">
        <x:f>IF('دانش‌آموزان'!C31="","",'دانش‌آموزان'!C31)</x:f>
        <x:v>4000000276</x:v>
      </x:c>
      <x:c r="E323" s="233" t="str">
        <x:f>IF('دانش‌آموزان'!E31="","",'دانش‌آموزان'!E31&amp;" "&amp;'دانش‌آموزان'!F31)</x:f>
        <x:v>آراد حسینی</x:v>
      </x:c>
      <x:c r="F323" s="166" t="str">
        <x:f>IF('دانش‌آموزان'!I31="","",'دانش‌آموزان'!I31)</x:f>
        <x:v>sample-7-b</x:v>
      </x:c>
      <x:c r="G323" s="114"/>
      <x:c r="H323" s="115"/>
      <x:c r="I323" s="115"/>
      <x:c r="J323" s="115"/>
      <x:c r="K323" s="115"/>
      <x:c r="L323" s="115"/>
      <x:c r="M323" s="115"/>
      <x:c r="N323" s="115"/>
      <x:c r="O323" s="115"/>
      <x:c r="P323" s="115"/>
      <x:c r="Q323" s="115"/>
      <x:c r="R323" s="115"/>
      <x:c r="S323" s="115"/>
      <x:c r="T323" s="115"/>
      <x:c r="U323" s="115"/>
      <x:c r="V323" s="115"/>
      <x:c r="W323" s="115"/>
      <x:c r="X323" s="115"/>
      <x:c r="Y323" s="115"/>
      <x:c r="Z323" s="115"/>
      <x:c r="AA323" s="115"/>
      <x:c r="AB323" s="115"/>
      <x:c r="AC323" s="115"/>
      <x:c r="AD323" s="115"/>
      <x:c r="AE323" s="115"/>
      <x:c r="AF323" s="115"/>
      <x:c r="AG323" s="115"/>
      <x:c r="AH323" s="115"/>
      <x:c r="AI323" s="115"/>
      <x:c r="AJ323" s="115"/>
      <x:c r="AK323" s="115"/>
      <x:c r="AL323" s="115"/>
      <x:c r="AM323" s="115"/>
      <x:c r="AN323" s="115"/>
      <x:c r="AO323" s="115"/>
      <x:c r="AP323" s="115"/>
      <x:c r="AQ323" s="115"/>
      <x:c r="AR323" s="115"/>
      <x:c r="AS323" s="115"/>
      <x:c r="AT323" s="115"/>
      <x:c r="AU323" s="115"/>
      <x:c r="AV323" s="115"/>
      <x:c r="AW323" s="115"/>
      <x:c r="AX323" s="115"/>
      <x:c r="AY323" s="115"/>
      <x:c r="AZ323" s="115"/>
      <x:c r="BA323" s="115"/>
      <x:c r="BB323" s="115"/>
      <x:c r="BC323" s="115"/>
      <x:c r="BD323" s="115"/>
      <x:c r="BE323" s="115"/>
      <x:c r="BF323" s="115"/>
      <x:c r="BG323" s="115"/>
      <x:c r="BH323" s="115"/>
      <x:c r="BI323" s="115"/>
      <x:c r="BJ323" s="115"/>
      <x:c r="BK323" s="115"/>
      <x:c r="BL323" s="115"/>
      <x:c r="BM323" s="115"/>
      <x:c r="BN323" s="115"/>
      <x:c r="BO323" s="115"/>
      <x:c r="BP323" s="115"/>
      <x:c r="BQ323" s="115"/>
      <x:c r="BR323" s="115"/>
      <x:c r="BS323" s="115"/>
      <x:c r="BT323" s="115"/>
      <x:c r="BU323" s="115"/>
      <x:c r="BV323" s="115"/>
      <x:c r="BW323" s="115"/>
      <x:c r="BX323" s="115"/>
      <x:c r="BY323" s="115"/>
      <x:c r="BZ323" s="115"/>
      <x:c r="CA323" s="115"/>
      <x:c r="CB323" s="116"/>
      <x:c r="CC323" s="141" t="str">
        <x:f>IF(COUNT(G323:P323)=0,"",AVERAGE(G323:P323)*4)</x:f>
      </x:c>
      <x:c r="CD323" s="178" t="str">
        <x:f>IF(COUNT(Q323:Z323)=0,"",AVERAGE(Q323:Z323)*4)</x:f>
      </x:c>
      <x:c r="CE323" s="178" t="str">
        <x:f>IF(COUNT(AA323:AJ323)=0,"",AVERAGE(AA323:AJ323)*4)</x:f>
      </x:c>
      <x:c r="CF323" s="178" t="str">
        <x:f>IF(COUNT(AK323:AR323)=0,"",AVERAGE(AK323:AR323)*4)</x:f>
      </x:c>
      <x:c r="CG323" s="178" t="str">
        <x:f>IF(COUNT(AS323:AY323)=0,"",AVERAGE(AS323:AY323)*4)</x:f>
      </x:c>
      <x:c r="CH323" s="178" t="str">
        <x:f>IF(COUNT(AZ323:BG323)=0,"",AVERAGE(AZ323:BG323)*4)</x:f>
      </x:c>
      <x:c r="CI323" s="178" t="str">
        <x:f>IF(COUNT(BH323:BN323)=0,"",AVERAGE(BH323:BN323)*4)</x:f>
      </x:c>
      <x:c r="CJ323" s="178" t="str">
        <x:f>IF(COUNT(BO323:BU323)=0,"",AVERAGE(BO323:BU323)*4)</x:f>
      </x:c>
      <x:c r="CK323" s="178" t="str">
        <x:f>IF(COUNT(BV323:CB323)=0,"",AVERAGE(BV323:CB323)*4)</x:f>
      </x:c>
      <x:c r="CL323" s="178" t="str">
        <x:f>IF(C323="","",IF(COUNT(G323:CB323)&lt;74,"",(CC323*'تنظیمات وزن‌دهی'!$C$5+CD323*'تنظیمات وزن‌دهی'!$C$6+CE323*'تنظیمات وزن‌دهی'!$C$7+CF323*'تنظیمات وزن‌دهی'!$C$8+CG323*'تنظیمات وزن‌دهی'!$C$9+CH323*'تنظیمات وزن‌دهی'!$C$10+CI323*'تنظیمات وزن‌دهی'!$C$11+CJ323*'تنظیمات وزن‌دهی'!$C$12+CK323*'تنظیمات وزن‌دهی'!$C$13)/100))</x:f>
      </x:c>
      <x:c r="CM323" s="178" t="str">
        <x:f>IF(C323="","",IF(COUNT(G323:CB323)=0,"",IF(COUNT(G323:CB323)&lt;74,"موقت - اطلاعات ناقص",IF(CL323&gt;=17,"عالی",IF(CL323&gt;=14,"خوب",IF(CL323&gt;=10,"متوسط","ضعیف"))))))</x:f>
      </x:c>
      <x:c r="CN323" s="178" t="n">
        <x:v>7</x:v>
      </x:c>
      <x:c r="CO323" s="142" t="n">
        <x:f>IF(C323="","",COUNT(G323:CB323)/74)</x:f>
        <x:v>0</x:v>
      </x:c>
      <x:c r="CP323" s="245"/>
    </x:row>
    <x:row r="324">
      <x:c r="A324" s="165" t="n">
        <x:v>320</x:v>
      </x:c>
      <x:c r="B324" s="233" t="str">
        <x:v>بهمن</x:v>
      </x:c>
      <x:c r="C324" s="233" t="n">
        <x:f>IF('دانش‌آموزان'!E31="","",'دانش‌آموزان'!B31)</x:f>
        <x:v>27</x:v>
      </x:c>
      <x:c r="D324" s="233" t="str">
        <x:f>IF('دانش‌آموزان'!C31="","",'دانش‌آموزان'!C31)</x:f>
        <x:v>4000000276</x:v>
      </x:c>
      <x:c r="E324" s="233" t="str">
        <x:f>IF('دانش‌آموزان'!E31="","",'دانش‌آموزان'!E31&amp;" "&amp;'دانش‌آموزان'!F31)</x:f>
        <x:v>آراد حسینی</x:v>
      </x:c>
      <x:c r="F324" s="166" t="str">
        <x:f>IF('دانش‌آموزان'!I31="","",'دانش‌آموزان'!I31)</x:f>
        <x:v>sample-7-b</x:v>
      </x:c>
      <x:c r="G324" s="114"/>
      <x:c r="H324" s="115"/>
      <x:c r="I324" s="115"/>
      <x:c r="J324" s="115"/>
      <x:c r="K324" s="115"/>
      <x:c r="L324" s="115"/>
      <x:c r="M324" s="115"/>
      <x:c r="N324" s="115"/>
      <x:c r="O324" s="115"/>
      <x:c r="P324" s="115"/>
      <x:c r="Q324" s="115"/>
      <x:c r="R324" s="115"/>
      <x:c r="S324" s="115"/>
      <x:c r="T324" s="115"/>
      <x:c r="U324" s="115"/>
      <x:c r="V324" s="115"/>
      <x:c r="W324" s="115"/>
      <x:c r="X324" s="115"/>
      <x:c r="Y324" s="115"/>
      <x:c r="Z324" s="115"/>
      <x:c r="AA324" s="115"/>
      <x:c r="AB324" s="115"/>
      <x:c r="AC324" s="115"/>
      <x:c r="AD324" s="115"/>
      <x:c r="AE324" s="115"/>
      <x:c r="AF324" s="115"/>
      <x:c r="AG324" s="115"/>
      <x:c r="AH324" s="115"/>
      <x:c r="AI324" s="115"/>
      <x:c r="AJ324" s="115"/>
      <x:c r="AK324" s="115"/>
      <x:c r="AL324" s="115"/>
      <x:c r="AM324" s="115"/>
      <x:c r="AN324" s="115"/>
      <x:c r="AO324" s="115"/>
      <x:c r="AP324" s="115"/>
      <x:c r="AQ324" s="115"/>
      <x:c r="AR324" s="115"/>
      <x:c r="AS324" s="115"/>
      <x:c r="AT324" s="115"/>
      <x:c r="AU324" s="115"/>
      <x:c r="AV324" s="115"/>
      <x:c r="AW324" s="115"/>
      <x:c r="AX324" s="115"/>
      <x:c r="AY324" s="115"/>
      <x:c r="AZ324" s="115"/>
      <x:c r="BA324" s="115"/>
      <x:c r="BB324" s="115"/>
      <x:c r="BC324" s="115"/>
      <x:c r="BD324" s="115"/>
      <x:c r="BE324" s="115"/>
      <x:c r="BF324" s="115"/>
      <x:c r="BG324" s="115"/>
      <x:c r="BH324" s="115"/>
      <x:c r="BI324" s="115"/>
      <x:c r="BJ324" s="115"/>
      <x:c r="BK324" s="115"/>
      <x:c r="BL324" s="115"/>
      <x:c r="BM324" s="115"/>
      <x:c r="BN324" s="115"/>
      <x:c r="BO324" s="115"/>
      <x:c r="BP324" s="115"/>
      <x:c r="BQ324" s="115"/>
      <x:c r="BR324" s="115"/>
      <x:c r="BS324" s="115"/>
      <x:c r="BT324" s="115"/>
      <x:c r="BU324" s="115"/>
      <x:c r="BV324" s="115"/>
      <x:c r="BW324" s="115"/>
      <x:c r="BX324" s="115"/>
      <x:c r="BY324" s="115"/>
      <x:c r="BZ324" s="115"/>
      <x:c r="CA324" s="115"/>
      <x:c r="CB324" s="116"/>
      <x:c r="CC324" s="141" t="str">
        <x:f>IF(COUNT(G324:P324)=0,"",AVERAGE(G324:P324)*4)</x:f>
      </x:c>
      <x:c r="CD324" s="178" t="str">
        <x:f>IF(COUNT(Q324:Z324)=0,"",AVERAGE(Q324:Z324)*4)</x:f>
      </x:c>
      <x:c r="CE324" s="178" t="str">
        <x:f>IF(COUNT(AA324:AJ324)=0,"",AVERAGE(AA324:AJ324)*4)</x:f>
      </x:c>
      <x:c r="CF324" s="178" t="str">
        <x:f>IF(COUNT(AK324:AR324)=0,"",AVERAGE(AK324:AR324)*4)</x:f>
      </x:c>
      <x:c r="CG324" s="178" t="str">
        <x:f>IF(COUNT(AS324:AY324)=0,"",AVERAGE(AS324:AY324)*4)</x:f>
      </x:c>
      <x:c r="CH324" s="178" t="str">
        <x:f>IF(COUNT(AZ324:BG324)=0,"",AVERAGE(AZ324:BG324)*4)</x:f>
      </x:c>
      <x:c r="CI324" s="178" t="str">
        <x:f>IF(COUNT(BH324:BN324)=0,"",AVERAGE(BH324:BN324)*4)</x:f>
      </x:c>
      <x:c r="CJ324" s="178" t="str">
        <x:f>IF(COUNT(BO324:BU324)=0,"",AVERAGE(BO324:BU324)*4)</x:f>
      </x:c>
      <x:c r="CK324" s="178" t="str">
        <x:f>IF(COUNT(BV324:CB324)=0,"",AVERAGE(BV324:CB324)*4)</x:f>
      </x:c>
      <x:c r="CL324" s="178" t="str">
        <x:f>IF(C324="","",IF(COUNT(G324:CB324)&lt;74,"",(CC324*'تنظیمات وزن‌دهی'!$C$5+CD324*'تنظیمات وزن‌دهی'!$C$6+CE324*'تنظیمات وزن‌دهی'!$C$7+CF324*'تنظیمات وزن‌دهی'!$C$8+CG324*'تنظیمات وزن‌دهی'!$C$9+CH324*'تنظیمات وزن‌دهی'!$C$10+CI324*'تنظیمات وزن‌دهی'!$C$11+CJ324*'تنظیمات وزن‌دهی'!$C$12+CK324*'تنظیمات وزن‌دهی'!$C$13)/100))</x:f>
      </x:c>
      <x:c r="CM324" s="178" t="str">
        <x:f>IF(C324="","",IF(COUNT(G324:CB324)=0,"",IF(COUNT(G324:CB324)&lt;74,"موقت - اطلاعات ناقص",IF(CL324&gt;=17,"عالی",IF(CL324&gt;=14,"خوب",IF(CL324&gt;=10,"متوسط","ضعیف"))))))</x:f>
      </x:c>
      <x:c r="CN324" s="178" t="n">
        <x:v>8</x:v>
      </x:c>
      <x:c r="CO324" s="142" t="n">
        <x:f>IF(C324="","",COUNT(G324:CB324)/74)</x:f>
        <x:v>0</x:v>
      </x:c>
      <x:c r="CP324" s="245"/>
    </x:row>
    <x:row r="325">
      <x:c r="A325" s="165" t="n">
        <x:v>321</x:v>
      </x:c>
      <x:c r="B325" s="233" t="str">
        <x:v>اسفند</x:v>
      </x:c>
      <x:c r="C325" s="233" t="n">
        <x:f>IF('دانش‌آموزان'!E31="","",'دانش‌آموزان'!B31)</x:f>
        <x:v>27</x:v>
      </x:c>
      <x:c r="D325" s="233" t="str">
        <x:f>IF('دانش‌آموزان'!C31="","",'دانش‌آموزان'!C31)</x:f>
        <x:v>4000000276</x:v>
      </x:c>
      <x:c r="E325" s="233" t="str">
        <x:f>IF('دانش‌آموزان'!E31="","",'دانش‌آموزان'!E31&amp;" "&amp;'دانش‌آموزان'!F31)</x:f>
        <x:v>آراد حسینی</x:v>
      </x:c>
      <x:c r="F325" s="166" t="str">
        <x:f>IF('دانش‌آموزان'!I31="","",'دانش‌آموزان'!I31)</x:f>
        <x:v>sample-7-b</x:v>
      </x:c>
      <x:c r="G325" s="114"/>
      <x:c r="H325" s="115"/>
      <x:c r="I325" s="115"/>
      <x:c r="J325" s="115"/>
      <x:c r="K325" s="115"/>
      <x:c r="L325" s="115"/>
      <x:c r="M325" s="115"/>
      <x:c r="N325" s="115"/>
      <x:c r="O325" s="115"/>
      <x:c r="P325" s="115"/>
      <x:c r="Q325" s="115"/>
      <x:c r="R325" s="115"/>
      <x:c r="S325" s="115"/>
      <x:c r="T325" s="115"/>
      <x:c r="U325" s="115"/>
      <x:c r="V325" s="115"/>
      <x:c r="W325" s="115"/>
      <x:c r="X325" s="115"/>
      <x:c r="Y325" s="115"/>
      <x:c r="Z325" s="115"/>
      <x:c r="AA325" s="115"/>
      <x:c r="AB325" s="115"/>
      <x:c r="AC325" s="115"/>
      <x:c r="AD325" s="115"/>
      <x:c r="AE325" s="115"/>
      <x:c r="AF325" s="115"/>
      <x:c r="AG325" s="115"/>
      <x:c r="AH325" s="115"/>
      <x:c r="AI325" s="115"/>
      <x:c r="AJ325" s="115"/>
      <x:c r="AK325" s="115"/>
      <x:c r="AL325" s="115"/>
      <x:c r="AM325" s="115"/>
      <x:c r="AN325" s="115"/>
      <x:c r="AO325" s="115"/>
      <x:c r="AP325" s="115"/>
      <x:c r="AQ325" s="115"/>
      <x:c r="AR325" s="115"/>
      <x:c r="AS325" s="115"/>
      <x:c r="AT325" s="115"/>
      <x:c r="AU325" s="115"/>
      <x:c r="AV325" s="115"/>
      <x:c r="AW325" s="115"/>
      <x:c r="AX325" s="115"/>
      <x:c r="AY325" s="115"/>
      <x:c r="AZ325" s="115"/>
      <x:c r="BA325" s="115"/>
      <x:c r="BB325" s="115"/>
      <x:c r="BC325" s="115"/>
      <x:c r="BD325" s="115"/>
      <x:c r="BE325" s="115"/>
      <x:c r="BF325" s="115"/>
      <x:c r="BG325" s="115"/>
      <x:c r="BH325" s="115"/>
      <x:c r="BI325" s="115"/>
      <x:c r="BJ325" s="115"/>
      <x:c r="BK325" s="115"/>
      <x:c r="BL325" s="115"/>
      <x:c r="BM325" s="115"/>
      <x:c r="BN325" s="115"/>
      <x:c r="BO325" s="115"/>
      <x:c r="BP325" s="115"/>
      <x:c r="BQ325" s="115"/>
      <x:c r="BR325" s="115"/>
      <x:c r="BS325" s="115"/>
      <x:c r="BT325" s="115"/>
      <x:c r="BU325" s="115"/>
      <x:c r="BV325" s="115"/>
      <x:c r="BW325" s="115"/>
      <x:c r="BX325" s="115"/>
      <x:c r="BY325" s="115"/>
      <x:c r="BZ325" s="115"/>
      <x:c r="CA325" s="115"/>
      <x:c r="CB325" s="116"/>
      <x:c r="CC325" s="141" t="str">
        <x:f>IF(COUNT(G325:P325)=0,"",AVERAGE(G325:P325)*4)</x:f>
      </x:c>
      <x:c r="CD325" s="178" t="str">
        <x:f>IF(COUNT(Q325:Z325)=0,"",AVERAGE(Q325:Z325)*4)</x:f>
      </x:c>
      <x:c r="CE325" s="178" t="str">
        <x:f>IF(COUNT(AA325:AJ325)=0,"",AVERAGE(AA325:AJ325)*4)</x:f>
      </x:c>
      <x:c r="CF325" s="178" t="str">
        <x:f>IF(COUNT(AK325:AR325)=0,"",AVERAGE(AK325:AR325)*4)</x:f>
      </x:c>
      <x:c r="CG325" s="178" t="str">
        <x:f>IF(COUNT(AS325:AY325)=0,"",AVERAGE(AS325:AY325)*4)</x:f>
      </x:c>
      <x:c r="CH325" s="178" t="str">
        <x:f>IF(COUNT(AZ325:BG325)=0,"",AVERAGE(AZ325:BG325)*4)</x:f>
      </x:c>
      <x:c r="CI325" s="178" t="str">
        <x:f>IF(COUNT(BH325:BN325)=0,"",AVERAGE(BH325:BN325)*4)</x:f>
      </x:c>
      <x:c r="CJ325" s="178" t="str">
        <x:f>IF(COUNT(BO325:BU325)=0,"",AVERAGE(BO325:BU325)*4)</x:f>
      </x:c>
      <x:c r="CK325" s="178" t="str">
        <x:f>IF(COUNT(BV325:CB325)=0,"",AVERAGE(BV325:CB325)*4)</x:f>
      </x:c>
      <x:c r="CL325" s="178" t="str">
        <x:f>IF(C325="","",IF(COUNT(G325:CB325)&lt;74,"",(CC325*'تنظیمات وزن‌دهی'!$C$5+CD325*'تنظیمات وزن‌دهی'!$C$6+CE325*'تنظیمات وزن‌دهی'!$C$7+CF325*'تنظیمات وزن‌دهی'!$C$8+CG325*'تنظیمات وزن‌دهی'!$C$9+CH325*'تنظیمات وزن‌دهی'!$C$10+CI325*'تنظیمات وزن‌دهی'!$C$11+CJ325*'تنظیمات وزن‌دهی'!$C$12+CK325*'تنظیمات وزن‌دهی'!$C$13)/100))</x:f>
      </x:c>
      <x:c r="CM325" s="178" t="str">
        <x:f>IF(C325="","",IF(COUNT(G325:CB325)=0,"",IF(COUNT(G325:CB325)&lt;74,"موقت - اطلاعات ناقص",IF(CL325&gt;=17,"عالی",IF(CL325&gt;=14,"خوب",IF(CL325&gt;=10,"متوسط","ضعیف"))))))</x:f>
      </x:c>
      <x:c r="CN325" s="178" t="n">
        <x:v>9</x:v>
      </x:c>
      <x:c r="CO325" s="142" t="n">
        <x:f>IF(C325="","",COUNT(G325:CB325)/74)</x:f>
        <x:v>0</x:v>
      </x:c>
      <x:c r="CP325" s="245"/>
    </x:row>
    <x:row r="326">
      <x:c r="A326" s="165" t="n">
        <x:v>322</x:v>
      </x:c>
      <x:c r="B326" s="233" t="str">
        <x:v>فروردین</x:v>
      </x:c>
      <x:c r="C326" s="233" t="n">
        <x:f>IF('دانش‌آموزان'!E31="","",'دانش‌آموزان'!B31)</x:f>
        <x:v>27</x:v>
      </x:c>
      <x:c r="D326" s="233" t="str">
        <x:f>IF('دانش‌آموزان'!C31="","",'دانش‌آموزان'!C31)</x:f>
        <x:v>4000000276</x:v>
      </x:c>
      <x:c r="E326" s="233" t="str">
        <x:f>IF('دانش‌آموزان'!E31="","",'دانش‌آموزان'!E31&amp;" "&amp;'دانش‌آموزان'!F31)</x:f>
        <x:v>آراد حسینی</x:v>
      </x:c>
      <x:c r="F326" s="166" t="str">
        <x:f>IF('دانش‌آموزان'!I31="","",'دانش‌آموزان'!I31)</x:f>
        <x:v>sample-7-b</x:v>
      </x:c>
      <x:c r="G326" s="114"/>
      <x:c r="H326" s="115"/>
      <x:c r="I326" s="115"/>
      <x:c r="J326" s="115"/>
      <x:c r="K326" s="115"/>
      <x:c r="L326" s="115"/>
      <x:c r="M326" s="115"/>
      <x:c r="N326" s="115"/>
      <x:c r="O326" s="115"/>
      <x:c r="P326" s="115"/>
      <x:c r="Q326" s="115"/>
      <x:c r="R326" s="115"/>
      <x:c r="S326" s="115"/>
      <x:c r="T326" s="115"/>
      <x:c r="U326" s="115"/>
      <x:c r="V326" s="115"/>
      <x:c r="W326" s="115"/>
      <x:c r="X326" s="115"/>
      <x:c r="Y326" s="115"/>
      <x:c r="Z326" s="115"/>
      <x:c r="AA326" s="115"/>
      <x:c r="AB326" s="115"/>
      <x:c r="AC326" s="115"/>
      <x:c r="AD326" s="115"/>
      <x:c r="AE326" s="115"/>
      <x:c r="AF326" s="115"/>
      <x:c r="AG326" s="115"/>
      <x:c r="AH326" s="115"/>
      <x:c r="AI326" s="115"/>
      <x:c r="AJ326" s="115"/>
      <x:c r="AK326" s="115"/>
      <x:c r="AL326" s="115"/>
      <x:c r="AM326" s="115"/>
      <x:c r="AN326" s="115"/>
      <x:c r="AO326" s="115"/>
      <x:c r="AP326" s="115"/>
      <x:c r="AQ326" s="115"/>
      <x:c r="AR326" s="115"/>
      <x:c r="AS326" s="115"/>
      <x:c r="AT326" s="115"/>
      <x:c r="AU326" s="115"/>
      <x:c r="AV326" s="115"/>
      <x:c r="AW326" s="115"/>
      <x:c r="AX326" s="115"/>
      <x:c r="AY326" s="115"/>
      <x:c r="AZ326" s="115"/>
      <x:c r="BA326" s="115"/>
      <x:c r="BB326" s="115"/>
      <x:c r="BC326" s="115"/>
      <x:c r="BD326" s="115"/>
      <x:c r="BE326" s="115"/>
      <x:c r="BF326" s="115"/>
      <x:c r="BG326" s="115"/>
      <x:c r="BH326" s="115"/>
      <x:c r="BI326" s="115"/>
      <x:c r="BJ326" s="115"/>
      <x:c r="BK326" s="115"/>
      <x:c r="BL326" s="115"/>
      <x:c r="BM326" s="115"/>
      <x:c r="BN326" s="115"/>
      <x:c r="BO326" s="115"/>
      <x:c r="BP326" s="115"/>
      <x:c r="BQ326" s="115"/>
      <x:c r="BR326" s="115"/>
      <x:c r="BS326" s="115"/>
      <x:c r="BT326" s="115"/>
      <x:c r="BU326" s="115"/>
      <x:c r="BV326" s="115"/>
      <x:c r="BW326" s="115"/>
      <x:c r="BX326" s="115"/>
      <x:c r="BY326" s="115"/>
      <x:c r="BZ326" s="115"/>
      <x:c r="CA326" s="115"/>
      <x:c r="CB326" s="116"/>
      <x:c r="CC326" s="141" t="str">
        <x:f>IF(COUNT(G326:P326)=0,"",AVERAGE(G326:P326)*4)</x:f>
      </x:c>
      <x:c r="CD326" s="178" t="str">
        <x:f>IF(COUNT(Q326:Z326)=0,"",AVERAGE(Q326:Z326)*4)</x:f>
      </x:c>
      <x:c r="CE326" s="178" t="str">
        <x:f>IF(COUNT(AA326:AJ326)=0,"",AVERAGE(AA326:AJ326)*4)</x:f>
      </x:c>
      <x:c r="CF326" s="178" t="str">
        <x:f>IF(COUNT(AK326:AR326)=0,"",AVERAGE(AK326:AR326)*4)</x:f>
      </x:c>
      <x:c r="CG326" s="178" t="str">
        <x:f>IF(COUNT(AS326:AY326)=0,"",AVERAGE(AS326:AY326)*4)</x:f>
      </x:c>
      <x:c r="CH326" s="178" t="str">
        <x:f>IF(COUNT(AZ326:BG326)=0,"",AVERAGE(AZ326:BG326)*4)</x:f>
      </x:c>
      <x:c r="CI326" s="178" t="str">
        <x:f>IF(COUNT(BH326:BN326)=0,"",AVERAGE(BH326:BN326)*4)</x:f>
      </x:c>
      <x:c r="CJ326" s="178" t="str">
        <x:f>IF(COUNT(BO326:BU326)=0,"",AVERAGE(BO326:BU326)*4)</x:f>
      </x:c>
      <x:c r="CK326" s="178" t="str">
        <x:f>IF(COUNT(BV326:CB326)=0,"",AVERAGE(BV326:CB326)*4)</x:f>
      </x:c>
      <x:c r="CL326" s="178" t="str">
        <x:f>IF(C326="","",IF(COUNT(G326:CB326)&lt;74,"",(CC326*'تنظیمات وزن‌دهی'!$C$5+CD326*'تنظیمات وزن‌دهی'!$C$6+CE326*'تنظیمات وزن‌دهی'!$C$7+CF326*'تنظیمات وزن‌دهی'!$C$8+CG326*'تنظیمات وزن‌دهی'!$C$9+CH326*'تنظیمات وزن‌دهی'!$C$10+CI326*'تنظیمات وزن‌دهی'!$C$11+CJ326*'تنظیمات وزن‌دهی'!$C$12+CK326*'تنظیمات وزن‌دهی'!$C$13)/100))</x:f>
      </x:c>
      <x:c r="CM326" s="178" t="str">
        <x:f>IF(C326="","",IF(COUNT(G326:CB326)=0,"",IF(COUNT(G326:CB326)&lt;74,"موقت - اطلاعات ناقص",IF(CL326&gt;=17,"عالی",IF(CL326&gt;=14,"خوب",IF(CL326&gt;=10,"متوسط","ضعیف"))))))</x:f>
      </x:c>
      <x:c r="CN326" s="178" t="n">
        <x:v>10</x:v>
      </x:c>
      <x:c r="CO326" s="142" t="n">
        <x:f>IF(C326="","",COUNT(G326:CB326)/74)</x:f>
        <x:v>0</x:v>
      </x:c>
      <x:c r="CP326" s="245"/>
    </x:row>
    <x:row r="327">
      <x:c r="A327" s="165" t="n">
        <x:v>323</x:v>
      </x:c>
      <x:c r="B327" s="233" t="str">
        <x:v>اردیبهشت</x:v>
      </x:c>
      <x:c r="C327" s="233" t="n">
        <x:f>IF('دانش‌آموزان'!E31="","",'دانش‌آموزان'!B31)</x:f>
        <x:v>27</x:v>
      </x:c>
      <x:c r="D327" s="233" t="str">
        <x:f>IF('دانش‌آموزان'!C31="","",'دانش‌آموزان'!C31)</x:f>
        <x:v>4000000276</x:v>
      </x:c>
      <x:c r="E327" s="233" t="str">
        <x:f>IF('دانش‌آموزان'!E31="","",'دانش‌آموزان'!E31&amp;" "&amp;'دانش‌آموزان'!F31)</x:f>
        <x:v>آراد حسینی</x:v>
      </x:c>
      <x:c r="F327" s="166" t="str">
        <x:f>IF('دانش‌آموزان'!I31="","",'دانش‌آموزان'!I31)</x:f>
        <x:v>sample-7-b</x:v>
      </x:c>
      <x:c r="G327" s="114"/>
      <x:c r="H327" s="115"/>
      <x:c r="I327" s="115"/>
      <x:c r="J327" s="115"/>
      <x:c r="K327" s="115"/>
      <x:c r="L327" s="115"/>
      <x:c r="M327" s="115"/>
      <x:c r="N327" s="115"/>
      <x:c r="O327" s="115"/>
      <x:c r="P327" s="115"/>
      <x:c r="Q327" s="115"/>
      <x:c r="R327" s="115"/>
      <x:c r="S327" s="115"/>
      <x:c r="T327" s="115"/>
      <x:c r="U327" s="115"/>
      <x:c r="V327" s="115"/>
      <x:c r="W327" s="115"/>
      <x:c r="X327" s="115"/>
      <x:c r="Y327" s="115"/>
      <x:c r="Z327" s="115"/>
      <x:c r="AA327" s="115"/>
      <x:c r="AB327" s="115"/>
      <x:c r="AC327" s="115"/>
      <x:c r="AD327" s="115"/>
      <x:c r="AE327" s="115"/>
      <x:c r="AF327" s="115"/>
      <x:c r="AG327" s="115"/>
      <x:c r="AH327" s="115"/>
      <x:c r="AI327" s="115"/>
      <x:c r="AJ327" s="115"/>
      <x:c r="AK327" s="115"/>
      <x:c r="AL327" s="115"/>
      <x:c r="AM327" s="115"/>
      <x:c r="AN327" s="115"/>
      <x:c r="AO327" s="115"/>
      <x:c r="AP327" s="115"/>
      <x:c r="AQ327" s="115"/>
      <x:c r="AR327" s="115"/>
      <x:c r="AS327" s="115"/>
      <x:c r="AT327" s="115"/>
      <x:c r="AU327" s="115"/>
      <x:c r="AV327" s="115"/>
      <x:c r="AW327" s="115"/>
      <x:c r="AX327" s="115"/>
      <x:c r="AY327" s="115"/>
      <x:c r="AZ327" s="115"/>
      <x:c r="BA327" s="115"/>
      <x:c r="BB327" s="115"/>
      <x:c r="BC327" s="115"/>
      <x:c r="BD327" s="115"/>
      <x:c r="BE327" s="115"/>
      <x:c r="BF327" s="115"/>
      <x:c r="BG327" s="115"/>
      <x:c r="BH327" s="115"/>
      <x:c r="BI327" s="115"/>
      <x:c r="BJ327" s="115"/>
      <x:c r="BK327" s="115"/>
      <x:c r="BL327" s="115"/>
      <x:c r="BM327" s="115"/>
      <x:c r="BN327" s="115"/>
      <x:c r="BO327" s="115"/>
      <x:c r="BP327" s="115"/>
      <x:c r="BQ327" s="115"/>
      <x:c r="BR327" s="115"/>
      <x:c r="BS327" s="115"/>
      <x:c r="BT327" s="115"/>
      <x:c r="BU327" s="115"/>
      <x:c r="BV327" s="115"/>
      <x:c r="BW327" s="115"/>
      <x:c r="BX327" s="115"/>
      <x:c r="BY327" s="115"/>
      <x:c r="BZ327" s="115"/>
      <x:c r="CA327" s="115"/>
      <x:c r="CB327" s="116"/>
      <x:c r="CC327" s="141" t="str">
        <x:f>IF(COUNT(G327:P327)=0,"",AVERAGE(G327:P327)*4)</x:f>
      </x:c>
      <x:c r="CD327" s="178" t="str">
        <x:f>IF(COUNT(Q327:Z327)=0,"",AVERAGE(Q327:Z327)*4)</x:f>
      </x:c>
      <x:c r="CE327" s="178" t="str">
        <x:f>IF(COUNT(AA327:AJ327)=0,"",AVERAGE(AA327:AJ327)*4)</x:f>
      </x:c>
      <x:c r="CF327" s="178" t="str">
        <x:f>IF(COUNT(AK327:AR327)=0,"",AVERAGE(AK327:AR327)*4)</x:f>
      </x:c>
      <x:c r="CG327" s="178" t="str">
        <x:f>IF(COUNT(AS327:AY327)=0,"",AVERAGE(AS327:AY327)*4)</x:f>
      </x:c>
      <x:c r="CH327" s="178" t="str">
        <x:f>IF(COUNT(AZ327:BG327)=0,"",AVERAGE(AZ327:BG327)*4)</x:f>
      </x:c>
      <x:c r="CI327" s="178" t="str">
        <x:f>IF(COUNT(BH327:BN327)=0,"",AVERAGE(BH327:BN327)*4)</x:f>
      </x:c>
      <x:c r="CJ327" s="178" t="str">
        <x:f>IF(COUNT(BO327:BU327)=0,"",AVERAGE(BO327:BU327)*4)</x:f>
      </x:c>
      <x:c r="CK327" s="178" t="str">
        <x:f>IF(COUNT(BV327:CB327)=0,"",AVERAGE(BV327:CB327)*4)</x:f>
      </x:c>
      <x:c r="CL327" s="178" t="str">
        <x:f>IF(C327="","",IF(COUNT(G327:CB327)&lt;74,"",(CC327*'تنظیمات وزن‌دهی'!$C$5+CD327*'تنظیمات وزن‌دهی'!$C$6+CE327*'تنظیمات وزن‌دهی'!$C$7+CF327*'تنظیمات وزن‌دهی'!$C$8+CG327*'تنظیمات وزن‌دهی'!$C$9+CH327*'تنظیمات وزن‌دهی'!$C$10+CI327*'تنظیمات وزن‌دهی'!$C$11+CJ327*'تنظیمات وزن‌دهی'!$C$12+CK327*'تنظیمات وزن‌دهی'!$C$13)/100))</x:f>
      </x:c>
      <x:c r="CM327" s="178" t="str">
        <x:f>IF(C327="","",IF(COUNT(G327:CB327)=0,"",IF(COUNT(G327:CB327)&lt;74,"موقت - اطلاعات ناقص",IF(CL327&gt;=17,"عالی",IF(CL327&gt;=14,"خوب",IF(CL327&gt;=10,"متوسط","ضعیف"))))))</x:f>
      </x:c>
      <x:c r="CN327" s="178" t="n">
        <x:v>11</x:v>
      </x:c>
      <x:c r="CO327" s="142" t="n">
        <x:f>IF(C327="","",COUNT(G327:CB327)/74)</x:f>
        <x:v>0</x:v>
      </x:c>
      <x:c r="CP327" s="245"/>
    </x:row>
    <x:row r="328">
      <x:c r="A328" s="165" t="n">
        <x:v>324</x:v>
      </x:c>
      <x:c r="B328" s="233" t="str">
        <x:v>خرداد</x:v>
      </x:c>
      <x:c r="C328" s="233" t="n">
        <x:f>IF('دانش‌آموزان'!E31="","",'دانش‌آموزان'!B31)</x:f>
        <x:v>27</x:v>
      </x:c>
      <x:c r="D328" s="233" t="str">
        <x:f>IF('دانش‌آموزان'!C31="","",'دانش‌آموزان'!C31)</x:f>
        <x:v>4000000276</x:v>
      </x:c>
      <x:c r="E328" s="233" t="str">
        <x:f>IF('دانش‌آموزان'!E31="","",'دانش‌آموزان'!E31&amp;" "&amp;'دانش‌آموزان'!F31)</x:f>
        <x:v>آراد حسینی</x:v>
      </x:c>
      <x:c r="F328" s="166" t="str">
        <x:f>IF('دانش‌آموزان'!I31="","",'دانش‌آموزان'!I31)</x:f>
        <x:v>sample-7-b</x:v>
      </x:c>
      <x:c r="G328" s="114"/>
      <x:c r="H328" s="115"/>
      <x:c r="I328" s="115"/>
      <x:c r="J328" s="115"/>
      <x:c r="K328" s="115"/>
      <x:c r="L328" s="115"/>
      <x:c r="M328" s="115"/>
      <x:c r="N328" s="115"/>
      <x:c r="O328" s="115"/>
      <x:c r="P328" s="115"/>
      <x:c r="Q328" s="115"/>
      <x:c r="R328" s="115"/>
      <x:c r="S328" s="115"/>
      <x:c r="T328" s="115"/>
      <x:c r="U328" s="115"/>
      <x:c r="V328" s="115"/>
      <x:c r="W328" s="115"/>
      <x:c r="X328" s="115"/>
      <x:c r="Y328" s="115"/>
      <x:c r="Z328" s="115"/>
      <x:c r="AA328" s="115"/>
      <x:c r="AB328" s="115"/>
      <x:c r="AC328" s="115"/>
      <x:c r="AD328" s="115"/>
      <x:c r="AE328" s="115"/>
      <x:c r="AF328" s="115"/>
      <x:c r="AG328" s="115"/>
      <x:c r="AH328" s="115"/>
      <x:c r="AI328" s="115"/>
      <x:c r="AJ328" s="115"/>
      <x:c r="AK328" s="115"/>
      <x:c r="AL328" s="115"/>
      <x:c r="AM328" s="115"/>
      <x:c r="AN328" s="115"/>
      <x:c r="AO328" s="115"/>
      <x:c r="AP328" s="115"/>
      <x:c r="AQ328" s="115"/>
      <x:c r="AR328" s="115"/>
      <x:c r="AS328" s="115"/>
      <x:c r="AT328" s="115"/>
      <x:c r="AU328" s="115"/>
      <x:c r="AV328" s="115"/>
      <x:c r="AW328" s="115"/>
      <x:c r="AX328" s="115"/>
      <x:c r="AY328" s="115"/>
      <x:c r="AZ328" s="115"/>
      <x:c r="BA328" s="115"/>
      <x:c r="BB328" s="115"/>
      <x:c r="BC328" s="115"/>
      <x:c r="BD328" s="115"/>
      <x:c r="BE328" s="115"/>
      <x:c r="BF328" s="115"/>
      <x:c r="BG328" s="115"/>
      <x:c r="BH328" s="115"/>
      <x:c r="BI328" s="115"/>
      <x:c r="BJ328" s="115"/>
      <x:c r="BK328" s="115"/>
      <x:c r="BL328" s="115"/>
      <x:c r="BM328" s="115"/>
      <x:c r="BN328" s="115"/>
      <x:c r="BO328" s="115"/>
      <x:c r="BP328" s="115"/>
      <x:c r="BQ328" s="115"/>
      <x:c r="BR328" s="115"/>
      <x:c r="BS328" s="115"/>
      <x:c r="BT328" s="115"/>
      <x:c r="BU328" s="115"/>
      <x:c r="BV328" s="115"/>
      <x:c r="BW328" s="115"/>
      <x:c r="BX328" s="115"/>
      <x:c r="BY328" s="115"/>
      <x:c r="BZ328" s="115"/>
      <x:c r="CA328" s="115"/>
      <x:c r="CB328" s="116"/>
      <x:c r="CC328" s="141" t="str">
        <x:f>IF(COUNT(G328:P328)=0,"",AVERAGE(G328:P328)*4)</x:f>
      </x:c>
      <x:c r="CD328" s="178" t="str">
        <x:f>IF(COUNT(Q328:Z328)=0,"",AVERAGE(Q328:Z328)*4)</x:f>
      </x:c>
      <x:c r="CE328" s="178" t="str">
        <x:f>IF(COUNT(AA328:AJ328)=0,"",AVERAGE(AA328:AJ328)*4)</x:f>
      </x:c>
      <x:c r="CF328" s="178" t="str">
        <x:f>IF(COUNT(AK328:AR328)=0,"",AVERAGE(AK328:AR328)*4)</x:f>
      </x:c>
      <x:c r="CG328" s="178" t="str">
        <x:f>IF(COUNT(AS328:AY328)=0,"",AVERAGE(AS328:AY328)*4)</x:f>
      </x:c>
      <x:c r="CH328" s="178" t="str">
        <x:f>IF(COUNT(AZ328:BG328)=0,"",AVERAGE(AZ328:BG328)*4)</x:f>
      </x:c>
      <x:c r="CI328" s="178" t="str">
        <x:f>IF(COUNT(BH328:BN328)=0,"",AVERAGE(BH328:BN328)*4)</x:f>
      </x:c>
      <x:c r="CJ328" s="178" t="str">
        <x:f>IF(COUNT(BO328:BU328)=0,"",AVERAGE(BO328:BU328)*4)</x:f>
      </x:c>
      <x:c r="CK328" s="178" t="str">
        <x:f>IF(COUNT(BV328:CB328)=0,"",AVERAGE(BV328:CB328)*4)</x:f>
      </x:c>
      <x:c r="CL328" s="178" t="str">
        <x:f>IF(C328="","",IF(COUNT(G328:CB328)&lt;74,"",(CC328*'تنظیمات وزن‌دهی'!$C$5+CD328*'تنظیمات وزن‌دهی'!$C$6+CE328*'تنظیمات وزن‌دهی'!$C$7+CF328*'تنظیمات وزن‌دهی'!$C$8+CG328*'تنظیمات وزن‌دهی'!$C$9+CH328*'تنظیمات وزن‌دهی'!$C$10+CI328*'تنظیمات وزن‌دهی'!$C$11+CJ328*'تنظیمات وزن‌دهی'!$C$12+CK328*'تنظیمات وزن‌دهی'!$C$13)/100))</x:f>
      </x:c>
      <x:c r="CM328" s="178" t="str">
        <x:f>IF(C328="","",IF(COUNT(G328:CB328)=0,"",IF(COUNT(G328:CB328)&lt;74,"موقت - اطلاعات ناقص",IF(CL328&gt;=17,"عالی",IF(CL328&gt;=14,"خوب",IF(CL328&gt;=10,"متوسط","ضعیف"))))))</x:f>
      </x:c>
      <x:c r="CN328" s="178" t="n">
        <x:v>12</x:v>
      </x:c>
      <x:c r="CO328" s="142" t="n">
        <x:f>IF(C328="","",COUNT(G328:CB328)/74)</x:f>
        <x:v>0</x:v>
      </x:c>
      <x:c r="CP328" s="245"/>
    </x:row>
    <x:row r="329">
      <x:c r="A329" s="165" t="n">
        <x:v>325</x:v>
      </x:c>
      <x:c r="B329" s="233" t="str">
        <x:v>تیر</x:v>
      </x:c>
      <x:c r="C329" s="233" t="n">
        <x:f>IF('دانش‌آموزان'!E32="","",'دانش‌آموزان'!B32)</x:f>
        <x:v>28</x:v>
      </x:c>
      <x:c r="D329" s="233" t="str">
        <x:f>IF('دانش‌آموزان'!C32="","",'دانش‌آموزان'!C32)</x:f>
        <x:v>4000000284</x:v>
      </x:c>
      <x:c r="E329" s="233" t="str">
        <x:f>IF('دانش‌آموزان'!E32="","",'دانش‌آموزان'!E32&amp;" "&amp;'دانش‌آموزان'!F32)</x:f>
        <x:v>نگار جعفری</x:v>
      </x:c>
      <x:c r="F329" s="166" t="str">
        <x:f>IF('دانش‌آموزان'!I32="","",'دانش‌آموزان'!I32)</x:f>
        <x:v>sample-7-b</x:v>
      </x:c>
      <x:c r="G329" s="114" t="n">
        <x:v>4</x:v>
      </x:c>
      <x:c r="H329" s="115" t="n">
        <x:v>5</x:v>
      </x:c>
      <x:c r="I329" s="115" t="n">
        <x:v>3</x:v>
      </x:c>
      <x:c r="J329" s="115" t="n">
        <x:v>5</x:v>
      </x:c>
      <x:c r="K329" s="115" t="n">
        <x:v>3</x:v>
      </x:c>
      <x:c r="L329" s="115" t="n">
        <x:v>4</x:v>
      </x:c>
      <x:c r="M329" s="115" t="n">
        <x:v>3</x:v>
      </x:c>
      <x:c r="N329" s="115" t="n">
        <x:v>4</x:v>
      </x:c>
      <x:c r="O329" s="115" t="n">
        <x:v>2</x:v>
      </x:c>
      <x:c r="P329" s="115" t="n">
        <x:v>4</x:v>
      </x:c>
      <x:c r="Q329" s="115" t="n">
        <x:v>5</x:v>
      </x:c>
      <x:c r="R329" s="115" t="n">
        <x:v>4</x:v>
      </x:c>
      <x:c r="S329" s="115" t="n">
        <x:v>5</x:v>
      </x:c>
      <x:c r="T329" s="115" t="n">
        <x:v>3</x:v>
      </x:c>
      <x:c r="U329" s="115" t="n">
        <x:v>5</x:v>
      </x:c>
      <x:c r="V329" s="115" t="n">
        <x:v>3</x:v>
      </x:c>
      <x:c r="W329" s="115" t="n">
        <x:v>4</x:v>
      </x:c>
      <x:c r="X329" s="115" t="n">
        <x:v>3</x:v>
      </x:c>
      <x:c r="Y329" s="115" t="n">
        <x:v>4</x:v>
      </x:c>
      <x:c r="Z329" s="115" t="n">
        <x:v>2</x:v>
      </x:c>
      <x:c r="AA329" s="115" t="n">
        <x:v>4</x:v>
      </x:c>
      <x:c r="AB329" s="115" t="n">
        <x:v>5</x:v>
      </x:c>
      <x:c r="AC329" s="115" t="n">
        <x:v>4</x:v>
      </x:c>
      <x:c r="AD329" s="115" t="n">
        <x:v>5</x:v>
      </x:c>
      <x:c r="AE329" s="115" t="n">
        <x:v>3</x:v>
      </x:c>
      <x:c r="AF329" s="115" t="n">
        <x:v>5</x:v>
      </x:c>
      <x:c r="AG329" s="115" t="n">
        <x:v>3</x:v>
      </x:c>
      <x:c r="AH329" s="115" t="n">
        <x:v>4</x:v>
      </x:c>
      <x:c r="AI329" s="115" t="n">
        <x:v>3</x:v>
      </x:c>
      <x:c r="AJ329" s="115" t="n">
        <x:v>4</x:v>
      </x:c>
      <x:c r="AK329" s="115" t="n">
        <x:v>2</x:v>
      </x:c>
      <x:c r="AL329" s="115" t="n">
        <x:v>4</x:v>
      </x:c>
      <x:c r="AM329" s="115" t="n">
        <x:v>5</x:v>
      </x:c>
      <x:c r="AN329" s="115" t="n">
        <x:v>4</x:v>
      </x:c>
      <x:c r="AO329" s="115" t="n">
        <x:v>5</x:v>
      </x:c>
      <x:c r="AP329" s="115" t="n">
        <x:v>3</x:v>
      </x:c>
      <x:c r="AQ329" s="115" t="n">
        <x:v>5</x:v>
      </x:c>
      <x:c r="AR329" s="115" t="n">
        <x:v>3</x:v>
      </x:c>
      <x:c r="AS329" s="115" t="n">
        <x:v>4</x:v>
      </x:c>
      <x:c r="AT329" s="115" t="n">
        <x:v>3</x:v>
      </x:c>
      <x:c r="AU329" s="115" t="n">
        <x:v>4</x:v>
      </x:c>
      <x:c r="AV329" s="115" t="n">
        <x:v>2</x:v>
      </x:c>
      <x:c r="AW329" s="115" t="n">
        <x:v>4</x:v>
      </x:c>
      <x:c r="AX329" s="115" t="n">
        <x:v>5</x:v>
      </x:c>
      <x:c r="AY329" s="115" t="n">
        <x:v>4</x:v>
      </x:c>
      <x:c r="AZ329" s="115" t="n">
        <x:v>5</x:v>
      </x:c>
      <x:c r="BA329" s="115" t="n">
        <x:v>3</x:v>
      </x:c>
      <x:c r="BB329" s="115" t="n">
        <x:v>5</x:v>
      </x:c>
      <x:c r="BC329" s="115" t="n">
        <x:v>3</x:v>
      </x:c>
      <x:c r="BD329" s="115" t="n">
        <x:v>4</x:v>
      </x:c>
      <x:c r="BE329" s="115" t="n">
        <x:v>3</x:v>
      </x:c>
      <x:c r="BF329" s="115" t="n">
        <x:v>4</x:v>
      </x:c>
      <x:c r="BG329" s="115" t="n">
        <x:v>2</x:v>
      </x:c>
      <x:c r="BH329" s="115" t="n">
        <x:v>4</x:v>
      </x:c>
      <x:c r="BI329" s="115" t="n">
        <x:v>5</x:v>
      </x:c>
      <x:c r="BJ329" s="115" t="n">
        <x:v>4</x:v>
      </x:c>
      <x:c r="BK329" s="115" t="n">
        <x:v>5</x:v>
      </x:c>
      <x:c r="BL329" s="115" t="n">
        <x:v>3</x:v>
      </x:c>
      <x:c r="BM329" s="115" t="n">
        <x:v>5</x:v>
      </x:c>
      <x:c r="BN329" s="115" t="n">
        <x:v>3</x:v>
      </x:c>
      <x:c r="BO329" s="115" t="n">
        <x:v>4</x:v>
      </x:c>
      <x:c r="BP329" s="115" t="n">
        <x:v>3</x:v>
      </x:c>
      <x:c r="BQ329" s="115" t="n">
        <x:v>4</x:v>
      </x:c>
      <x:c r="BR329" s="115" t="n">
        <x:v>2</x:v>
      </x:c>
      <x:c r="BS329" s="115" t="n">
        <x:v>4</x:v>
      </x:c>
      <x:c r="BT329" s="115" t="n">
        <x:v>5</x:v>
      </x:c>
      <x:c r="BU329" s="115" t="n">
        <x:v>4</x:v>
      </x:c>
      <x:c r="BV329" s="115" t="n">
        <x:v>5</x:v>
      </x:c>
      <x:c r="BW329" s="115" t="n">
        <x:v>3</x:v>
      </x:c>
      <x:c r="BX329" s="115" t="n">
        <x:v>5</x:v>
      </x:c>
      <x:c r="BY329" s="115" t="n">
        <x:v>3</x:v>
      </x:c>
      <x:c r="BZ329" s="115" t="n">
        <x:v>4</x:v>
      </x:c>
      <x:c r="CA329" s="115" t="n">
        <x:v>3</x:v>
      </x:c>
      <x:c r="CB329" s="116" t="n">
        <x:v>4</x:v>
      </x:c>
      <x:c r="CC329" s="141" t="n">
        <x:f>IF(COUNT(G329:P329)=0,"",AVERAGE(G329:P329)*4)</x:f>
        <x:v>14.8</x:v>
      </x:c>
      <x:c r="CD329" s="178" t="n">
        <x:f>IF(COUNT(Q329:Z329)=0,"",AVERAGE(Q329:Z329)*4)</x:f>
        <x:v>15.2</x:v>
      </x:c>
      <x:c r="CE329" s="178" t="n">
        <x:f>IF(COUNT(AA329:AJ329)=0,"",AVERAGE(AA329:AJ329)*4)</x:f>
        <x:v>16</x:v>
      </x:c>
      <x:c r="CF329" s="178" t="n">
        <x:f>IF(COUNT(AK329:AR329)=0,"",AVERAGE(AK329:AR329)*4)</x:f>
        <x:v>15.5</x:v>
      </x:c>
      <x:c r="CG329" s="178" t="n">
        <x:f>IF(COUNT(AS329:AY329)=0,"",AVERAGE(AS329:AY329)*4)</x:f>
        <x:v>14.857142857142858</x:v>
      </x:c>
      <x:c r="CH329" s="178" t="n">
        <x:f>IF(COUNT(AZ329:BG329)=0,"",AVERAGE(AZ329:BG329)*4)</x:f>
        <x:v>14.5</x:v>
      </x:c>
      <x:c r="CI329" s="178" t="n">
        <x:f>IF(COUNT(BH329:BN329)=0,"",AVERAGE(BH329:BN329)*4)</x:f>
        <x:v>16.571428571428573</x:v>
      </x:c>
      <x:c r="CJ329" s="178" t="n">
        <x:f>IF(COUNT(BO329:BU329)=0,"",AVERAGE(BO329:BU329)*4)</x:f>
        <x:v>14.857142857142858</x:v>
      </x:c>
      <x:c r="CK329" s="178" t="n">
        <x:f>IF(COUNT(BV329:CB329)=0,"",AVERAGE(BV329:CB329)*4)</x:f>
        <x:v>15.428571428571429</x:v>
      </x:c>
      <x:c r="CL329" s="178" t="n">
        <x:f>IF(C329="","",IF(COUNT(G329:CB329)&lt;74,"",(CC329*'تنظیمات وزن‌دهی'!$C$5+CD329*'تنظیمات وزن‌دهی'!$C$6+CE329*'تنظیمات وزن‌دهی'!$C$7+CF329*'تنظیمات وزن‌دهی'!$C$8+CG329*'تنظیمات وزن‌دهی'!$C$9+CH329*'تنظیمات وزن‌دهی'!$C$10+CI329*'تنظیمات وزن‌دهی'!$C$11+CJ329*'تنظیمات وزن‌دهی'!$C$12+CK329*'تنظیمات وزن‌دهی'!$C$13)/100))</x:f>
        <x:v>15.29642857142857</x:v>
      </x:c>
      <x:c r="CM329" s="178" t="str">
        <x:f>IF(C329="","",IF(COUNT(G329:CB329)=0,"",IF(COUNT(G329:CB329)&lt;74,"موقت - اطلاعات ناقص",IF(CL329&gt;=17,"عالی",IF(CL329&gt;=14,"خوب",IF(CL329&gt;=10,"متوسط","ضعیف"))))))</x:f>
        <x:v>خوب</x:v>
      </x:c>
      <x:c r="CN329" s="178" t="n">
        <x:v>1</x:v>
      </x:c>
      <x:c r="CO329" s="142" t="n">
        <x:f>IF(C329="","",COUNT(G329:CB329)/74)</x:f>
        <x:v>1</x:v>
      </x:c>
      <x:c r="CP329" s="245" t="str">
        <x:v>داده نمونه کامل برای ماه تیر - دانش‌آموز شماره 28</x:v>
      </x:c>
    </x:row>
    <x:row r="330">
      <x:c r="A330" s="165" t="n">
        <x:v>326</x:v>
      </x:c>
      <x:c r="B330" s="233" t="str">
        <x:v>مرداد</x:v>
      </x:c>
      <x:c r="C330" s="233" t="n">
        <x:f>IF('دانش‌آموزان'!E32="","",'دانش‌آموزان'!B32)</x:f>
        <x:v>28</x:v>
      </x:c>
      <x:c r="D330" s="233" t="str">
        <x:f>IF('دانش‌آموزان'!C32="","",'دانش‌آموزان'!C32)</x:f>
        <x:v>4000000284</x:v>
      </x:c>
      <x:c r="E330" s="233" t="str">
        <x:f>IF('دانش‌آموزان'!E32="","",'دانش‌آموزان'!E32&amp;" "&amp;'دانش‌آموزان'!F32)</x:f>
        <x:v>نگار جعفری</x:v>
      </x:c>
      <x:c r="F330" s="166" t="str">
        <x:f>IF('دانش‌آموزان'!I32="","",'دانش‌آموزان'!I32)</x:f>
        <x:v>sample-7-b</x:v>
      </x:c>
      <x:c r="G330" s="114"/>
      <x:c r="H330" s="115"/>
      <x:c r="I330" s="115"/>
      <x:c r="J330" s="115"/>
      <x:c r="K330" s="115"/>
      <x:c r="L330" s="115"/>
      <x:c r="M330" s="115"/>
      <x:c r="N330" s="115"/>
      <x:c r="O330" s="115"/>
      <x:c r="P330" s="115"/>
      <x:c r="Q330" s="115"/>
      <x:c r="R330" s="115"/>
      <x:c r="S330" s="115"/>
      <x:c r="T330" s="115"/>
      <x:c r="U330" s="115"/>
      <x:c r="V330" s="115"/>
      <x:c r="W330" s="115"/>
      <x:c r="X330" s="115"/>
      <x:c r="Y330" s="115"/>
      <x:c r="Z330" s="115"/>
      <x:c r="AA330" s="115"/>
      <x:c r="AB330" s="115"/>
      <x:c r="AC330" s="115"/>
      <x:c r="AD330" s="115"/>
      <x:c r="AE330" s="115"/>
      <x:c r="AF330" s="115"/>
      <x:c r="AG330" s="115"/>
      <x:c r="AH330" s="115"/>
      <x:c r="AI330" s="115"/>
      <x:c r="AJ330" s="115"/>
      <x:c r="AK330" s="115"/>
      <x:c r="AL330" s="115"/>
      <x:c r="AM330" s="115"/>
      <x:c r="AN330" s="115"/>
      <x:c r="AO330" s="115"/>
      <x:c r="AP330" s="115"/>
      <x:c r="AQ330" s="115"/>
      <x:c r="AR330" s="115"/>
      <x:c r="AS330" s="115"/>
      <x:c r="AT330" s="115"/>
      <x:c r="AU330" s="115"/>
      <x:c r="AV330" s="115"/>
      <x:c r="AW330" s="115"/>
      <x:c r="AX330" s="115"/>
      <x:c r="AY330" s="115"/>
      <x:c r="AZ330" s="115"/>
      <x:c r="BA330" s="115"/>
      <x:c r="BB330" s="115"/>
      <x:c r="BC330" s="115"/>
      <x:c r="BD330" s="115"/>
      <x:c r="BE330" s="115"/>
      <x:c r="BF330" s="115"/>
      <x:c r="BG330" s="115"/>
      <x:c r="BH330" s="115"/>
      <x:c r="BI330" s="115"/>
      <x:c r="BJ330" s="115"/>
      <x:c r="BK330" s="115"/>
      <x:c r="BL330" s="115"/>
      <x:c r="BM330" s="115"/>
      <x:c r="BN330" s="115"/>
      <x:c r="BO330" s="115"/>
      <x:c r="BP330" s="115"/>
      <x:c r="BQ330" s="115"/>
      <x:c r="BR330" s="115"/>
      <x:c r="BS330" s="115"/>
      <x:c r="BT330" s="115"/>
      <x:c r="BU330" s="115"/>
      <x:c r="BV330" s="115"/>
      <x:c r="BW330" s="115"/>
      <x:c r="BX330" s="115"/>
      <x:c r="BY330" s="115"/>
      <x:c r="BZ330" s="115"/>
      <x:c r="CA330" s="115"/>
      <x:c r="CB330" s="116"/>
      <x:c r="CC330" s="141" t="str">
        <x:f>IF(COUNT(G330:P330)=0,"",AVERAGE(G330:P330)*4)</x:f>
      </x:c>
      <x:c r="CD330" s="178" t="str">
        <x:f>IF(COUNT(Q330:Z330)=0,"",AVERAGE(Q330:Z330)*4)</x:f>
      </x:c>
      <x:c r="CE330" s="178" t="str">
        <x:f>IF(COUNT(AA330:AJ330)=0,"",AVERAGE(AA330:AJ330)*4)</x:f>
      </x:c>
      <x:c r="CF330" s="178" t="str">
        <x:f>IF(COUNT(AK330:AR330)=0,"",AVERAGE(AK330:AR330)*4)</x:f>
      </x:c>
      <x:c r="CG330" s="178" t="str">
        <x:f>IF(COUNT(AS330:AY330)=0,"",AVERAGE(AS330:AY330)*4)</x:f>
      </x:c>
      <x:c r="CH330" s="178" t="str">
        <x:f>IF(COUNT(AZ330:BG330)=0,"",AVERAGE(AZ330:BG330)*4)</x:f>
      </x:c>
      <x:c r="CI330" s="178" t="str">
        <x:f>IF(COUNT(BH330:BN330)=0,"",AVERAGE(BH330:BN330)*4)</x:f>
      </x:c>
      <x:c r="CJ330" s="178" t="str">
        <x:f>IF(COUNT(BO330:BU330)=0,"",AVERAGE(BO330:BU330)*4)</x:f>
      </x:c>
      <x:c r="CK330" s="178" t="str">
        <x:f>IF(COUNT(BV330:CB330)=0,"",AVERAGE(BV330:CB330)*4)</x:f>
      </x:c>
      <x:c r="CL330" s="178" t="str">
        <x:f>IF(C330="","",IF(COUNT(G330:CB330)&lt;74,"",(CC330*'تنظیمات وزن‌دهی'!$C$5+CD330*'تنظیمات وزن‌دهی'!$C$6+CE330*'تنظیمات وزن‌دهی'!$C$7+CF330*'تنظیمات وزن‌دهی'!$C$8+CG330*'تنظیمات وزن‌دهی'!$C$9+CH330*'تنظیمات وزن‌دهی'!$C$10+CI330*'تنظیمات وزن‌دهی'!$C$11+CJ330*'تنظیمات وزن‌دهی'!$C$12+CK330*'تنظیمات وزن‌دهی'!$C$13)/100))</x:f>
      </x:c>
      <x:c r="CM330" s="178" t="str">
        <x:f>IF(C330="","",IF(COUNT(G330:CB330)=0,"",IF(COUNT(G330:CB330)&lt;74,"موقت - اطلاعات ناقص",IF(CL330&gt;=17,"عالی",IF(CL330&gt;=14,"خوب",IF(CL330&gt;=10,"متوسط","ضعیف"))))))</x:f>
      </x:c>
      <x:c r="CN330" s="178" t="n">
        <x:v>2</x:v>
      </x:c>
      <x:c r="CO330" s="142" t="n">
        <x:f>IF(C330="","",COUNT(G330:CB330)/74)</x:f>
        <x:v>0</x:v>
      </x:c>
      <x:c r="CP330" s="245"/>
    </x:row>
    <x:row r="331">
      <x:c r="A331" s="165" t="n">
        <x:v>327</x:v>
      </x:c>
      <x:c r="B331" s="233" t="str">
        <x:v>شهریور</x:v>
      </x:c>
      <x:c r="C331" s="233" t="n">
        <x:f>IF('دانش‌آموزان'!E32="","",'دانش‌آموزان'!B32)</x:f>
        <x:v>28</x:v>
      </x:c>
      <x:c r="D331" s="233" t="str">
        <x:f>IF('دانش‌آموزان'!C32="","",'دانش‌آموزان'!C32)</x:f>
        <x:v>4000000284</x:v>
      </x:c>
      <x:c r="E331" s="233" t="str">
        <x:f>IF('دانش‌آموزان'!E32="","",'دانش‌آموزان'!E32&amp;" "&amp;'دانش‌آموزان'!F32)</x:f>
        <x:v>نگار جعفری</x:v>
      </x:c>
      <x:c r="F331" s="166" t="str">
        <x:f>IF('دانش‌آموزان'!I32="","",'دانش‌آموزان'!I32)</x:f>
        <x:v>sample-7-b</x:v>
      </x:c>
      <x:c r="G331" s="114"/>
      <x:c r="H331" s="115"/>
      <x:c r="I331" s="115"/>
      <x:c r="J331" s="115"/>
      <x:c r="K331" s="115"/>
      <x:c r="L331" s="115"/>
      <x:c r="M331" s="115"/>
      <x:c r="N331" s="115"/>
      <x:c r="O331" s="115"/>
      <x:c r="P331" s="115"/>
      <x:c r="Q331" s="115"/>
      <x:c r="R331" s="115"/>
      <x:c r="S331" s="115"/>
      <x:c r="T331" s="115"/>
      <x:c r="U331" s="115"/>
      <x:c r="V331" s="115"/>
      <x:c r="W331" s="115"/>
      <x:c r="X331" s="115"/>
      <x:c r="Y331" s="115"/>
      <x:c r="Z331" s="115"/>
      <x:c r="AA331" s="115"/>
      <x:c r="AB331" s="115"/>
      <x:c r="AC331" s="115"/>
      <x:c r="AD331" s="115"/>
      <x:c r="AE331" s="115"/>
      <x:c r="AF331" s="115"/>
      <x:c r="AG331" s="115"/>
      <x:c r="AH331" s="115"/>
      <x:c r="AI331" s="115"/>
      <x:c r="AJ331" s="115"/>
      <x:c r="AK331" s="115"/>
      <x:c r="AL331" s="115"/>
      <x:c r="AM331" s="115"/>
      <x:c r="AN331" s="115"/>
      <x:c r="AO331" s="115"/>
      <x:c r="AP331" s="115"/>
      <x:c r="AQ331" s="115"/>
      <x:c r="AR331" s="115"/>
      <x:c r="AS331" s="115"/>
      <x:c r="AT331" s="115"/>
      <x:c r="AU331" s="115"/>
      <x:c r="AV331" s="115"/>
      <x:c r="AW331" s="115"/>
      <x:c r="AX331" s="115"/>
      <x:c r="AY331" s="115"/>
      <x:c r="AZ331" s="115"/>
      <x:c r="BA331" s="115"/>
      <x:c r="BB331" s="115"/>
      <x:c r="BC331" s="115"/>
      <x:c r="BD331" s="115"/>
      <x:c r="BE331" s="115"/>
      <x:c r="BF331" s="115"/>
      <x:c r="BG331" s="115"/>
      <x:c r="BH331" s="115"/>
      <x:c r="BI331" s="115"/>
      <x:c r="BJ331" s="115"/>
      <x:c r="BK331" s="115"/>
      <x:c r="BL331" s="115"/>
      <x:c r="BM331" s="115"/>
      <x:c r="BN331" s="115"/>
      <x:c r="BO331" s="115"/>
      <x:c r="BP331" s="115"/>
      <x:c r="BQ331" s="115"/>
      <x:c r="BR331" s="115"/>
      <x:c r="BS331" s="115"/>
      <x:c r="BT331" s="115"/>
      <x:c r="BU331" s="115"/>
      <x:c r="BV331" s="115"/>
      <x:c r="BW331" s="115"/>
      <x:c r="BX331" s="115"/>
      <x:c r="BY331" s="115"/>
      <x:c r="BZ331" s="115"/>
      <x:c r="CA331" s="115"/>
      <x:c r="CB331" s="116"/>
      <x:c r="CC331" s="141" t="str">
        <x:f>IF(COUNT(G331:P331)=0,"",AVERAGE(G331:P331)*4)</x:f>
      </x:c>
      <x:c r="CD331" s="178" t="str">
        <x:f>IF(COUNT(Q331:Z331)=0,"",AVERAGE(Q331:Z331)*4)</x:f>
      </x:c>
      <x:c r="CE331" s="178" t="str">
        <x:f>IF(COUNT(AA331:AJ331)=0,"",AVERAGE(AA331:AJ331)*4)</x:f>
      </x:c>
      <x:c r="CF331" s="178" t="str">
        <x:f>IF(COUNT(AK331:AR331)=0,"",AVERAGE(AK331:AR331)*4)</x:f>
      </x:c>
      <x:c r="CG331" s="178" t="str">
        <x:f>IF(COUNT(AS331:AY331)=0,"",AVERAGE(AS331:AY331)*4)</x:f>
      </x:c>
      <x:c r="CH331" s="178" t="str">
        <x:f>IF(COUNT(AZ331:BG331)=0,"",AVERAGE(AZ331:BG331)*4)</x:f>
      </x:c>
      <x:c r="CI331" s="178" t="str">
        <x:f>IF(COUNT(BH331:BN331)=0,"",AVERAGE(BH331:BN331)*4)</x:f>
      </x:c>
      <x:c r="CJ331" s="178" t="str">
        <x:f>IF(COUNT(BO331:BU331)=0,"",AVERAGE(BO331:BU331)*4)</x:f>
      </x:c>
      <x:c r="CK331" s="178" t="str">
        <x:f>IF(COUNT(BV331:CB331)=0,"",AVERAGE(BV331:CB331)*4)</x:f>
      </x:c>
      <x:c r="CL331" s="178" t="str">
        <x:f>IF(C331="","",IF(COUNT(G331:CB331)&lt;74,"",(CC331*'تنظیمات وزن‌دهی'!$C$5+CD331*'تنظیمات وزن‌دهی'!$C$6+CE331*'تنظیمات وزن‌دهی'!$C$7+CF331*'تنظیمات وزن‌دهی'!$C$8+CG331*'تنظیمات وزن‌دهی'!$C$9+CH331*'تنظیمات وزن‌دهی'!$C$10+CI331*'تنظیمات وزن‌دهی'!$C$11+CJ331*'تنظیمات وزن‌دهی'!$C$12+CK331*'تنظیمات وزن‌دهی'!$C$13)/100))</x:f>
      </x:c>
      <x:c r="CM331" s="178" t="str">
        <x:f>IF(C331="","",IF(COUNT(G331:CB331)=0,"",IF(COUNT(G331:CB331)&lt;74,"موقت - اطلاعات ناقص",IF(CL331&gt;=17,"عالی",IF(CL331&gt;=14,"خوب",IF(CL331&gt;=10,"متوسط","ضعیف"))))))</x:f>
      </x:c>
      <x:c r="CN331" s="178" t="n">
        <x:v>3</x:v>
      </x:c>
      <x:c r="CO331" s="142" t="n">
        <x:f>IF(C331="","",COUNT(G331:CB331)/74)</x:f>
        <x:v>0</x:v>
      </x:c>
      <x:c r="CP331" s="245"/>
    </x:row>
    <x:row r="332">
      <x:c r="A332" s="165" t="n">
        <x:v>328</x:v>
      </x:c>
      <x:c r="B332" s="233" t="str">
        <x:v>مهر</x:v>
      </x:c>
      <x:c r="C332" s="233" t="n">
        <x:f>IF('دانش‌آموزان'!E32="","",'دانش‌آموزان'!B32)</x:f>
        <x:v>28</x:v>
      </x:c>
      <x:c r="D332" s="233" t="str">
        <x:f>IF('دانش‌آموزان'!C32="","",'دانش‌آموزان'!C32)</x:f>
        <x:v>4000000284</x:v>
      </x:c>
      <x:c r="E332" s="233" t="str">
        <x:f>IF('دانش‌آموزان'!E32="","",'دانش‌آموزان'!E32&amp;" "&amp;'دانش‌آموزان'!F32)</x:f>
        <x:v>نگار جعفری</x:v>
      </x:c>
      <x:c r="F332" s="166" t="str">
        <x:f>IF('دانش‌آموزان'!I32="","",'دانش‌آموزان'!I32)</x:f>
        <x:v>sample-7-b</x:v>
      </x:c>
      <x:c r="G332" s="114"/>
      <x:c r="H332" s="115"/>
      <x:c r="I332" s="115"/>
      <x:c r="J332" s="115"/>
      <x:c r="K332" s="115"/>
      <x:c r="L332" s="115"/>
      <x:c r="M332" s="115"/>
      <x:c r="N332" s="115"/>
      <x:c r="O332" s="115"/>
      <x:c r="P332" s="115"/>
      <x:c r="Q332" s="115"/>
      <x:c r="R332" s="115"/>
      <x:c r="S332" s="115"/>
      <x:c r="T332" s="115"/>
      <x:c r="U332" s="115"/>
      <x:c r="V332" s="115"/>
      <x:c r="W332" s="115"/>
      <x:c r="X332" s="115"/>
      <x:c r="Y332" s="115"/>
      <x:c r="Z332" s="115"/>
      <x:c r="AA332" s="115"/>
      <x:c r="AB332" s="115"/>
      <x:c r="AC332" s="115"/>
      <x:c r="AD332" s="115"/>
      <x:c r="AE332" s="115"/>
      <x:c r="AF332" s="115"/>
      <x:c r="AG332" s="115"/>
      <x:c r="AH332" s="115"/>
      <x:c r="AI332" s="115"/>
      <x:c r="AJ332" s="115"/>
      <x:c r="AK332" s="115"/>
      <x:c r="AL332" s="115"/>
      <x:c r="AM332" s="115"/>
      <x:c r="AN332" s="115"/>
      <x:c r="AO332" s="115"/>
      <x:c r="AP332" s="115"/>
      <x:c r="AQ332" s="115"/>
      <x:c r="AR332" s="115"/>
      <x:c r="AS332" s="115"/>
      <x:c r="AT332" s="115"/>
      <x:c r="AU332" s="115"/>
      <x:c r="AV332" s="115"/>
      <x:c r="AW332" s="115"/>
      <x:c r="AX332" s="115"/>
      <x:c r="AY332" s="115"/>
      <x:c r="AZ332" s="115"/>
      <x:c r="BA332" s="115"/>
      <x:c r="BB332" s="115"/>
      <x:c r="BC332" s="115"/>
      <x:c r="BD332" s="115"/>
      <x:c r="BE332" s="115"/>
      <x:c r="BF332" s="115"/>
      <x:c r="BG332" s="115"/>
      <x:c r="BH332" s="115"/>
      <x:c r="BI332" s="115"/>
      <x:c r="BJ332" s="115"/>
      <x:c r="BK332" s="115"/>
      <x:c r="BL332" s="115"/>
      <x:c r="BM332" s="115"/>
      <x:c r="BN332" s="115"/>
      <x:c r="BO332" s="115"/>
      <x:c r="BP332" s="115"/>
      <x:c r="BQ332" s="115"/>
      <x:c r="BR332" s="115"/>
      <x:c r="BS332" s="115"/>
      <x:c r="BT332" s="115"/>
      <x:c r="BU332" s="115"/>
      <x:c r="BV332" s="115"/>
      <x:c r="BW332" s="115"/>
      <x:c r="BX332" s="115"/>
      <x:c r="BY332" s="115"/>
      <x:c r="BZ332" s="115"/>
      <x:c r="CA332" s="115"/>
      <x:c r="CB332" s="116"/>
      <x:c r="CC332" s="141" t="str">
        <x:f>IF(COUNT(G332:P332)=0,"",AVERAGE(G332:P332)*4)</x:f>
      </x:c>
      <x:c r="CD332" s="178" t="str">
        <x:f>IF(COUNT(Q332:Z332)=0,"",AVERAGE(Q332:Z332)*4)</x:f>
      </x:c>
      <x:c r="CE332" s="178" t="str">
        <x:f>IF(COUNT(AA332:AJ332)=0,"",AVERAGE(AA332:AJ332)*4)</x:f>
      </x:c>
      <x:c r="CF332" s="178" t="str">
        <x:f>IF(COUNT(AK332:AR332)=0,"",AVERAGE(AK332:AR332)*4)</x:f>
      </x:c>
      <x:c r="CG332" s="178" t="str">
        <x:f>IF(COUNT(AS332:AY332)=0,"",AVERAGE(AS332:AY332)*4)</x:f>
      </x:c>
      <x:c r="CH332" s="178" t="str">
        <x:f>IF(COUNT(AZ332:BG332)=0,"",AVERAGE(AZ332:BG332)*4)</x:f>
      </x:c>
      <x:c r="CI332" s="178" t="str">
        <x:f>IF(COUNT(BH332:BN332)=0,"",AVERAGE(BH332:BN332)*4)</x:f>
      </x:c>
      <x:c r="CJ332" s="178" t="str">
        <x:f>IF(COUNT(BO332:BU332)=0,"",AVERAGE(BO332:BU332)*4)</x:f>
      </x:c>
      <x:c r="CK332" s="178" t="str">
        <x:f>IF(COUNT(BV332:CB332)=0,"",AVERAGE(BV332:CB332)*4)</x:f>
      </x:c>
      <x:c r="CL332" s="178" t="str">
        <x:f>IF(C332="","",IF(COUNT(G332:CB332)&lt;74,"",(CC332*'تنظیمات وزن‌دهی'!$C$5+CD332*'تنظیمات وزن‌دهی'!$C$6+CE332*'تنظیمات وزن‌دهی'!$C$7+CF332*'تنظیمات وزن‌دهی'!$C$8+CG332*'تنظیمات وزن‌دهی'!$C$9+CH332*'تنظیمات وزن‌دهی'!$C$10+CI332*'تنظیمات وزن‌دهی'!$C$11+CJ332*'تنظیمات وزن‌دهی'!$C$12+CK332*'تنظیمات وزن‌دهی'!$C$13)/100))</x:f>
      </x:c>
      <x:c r="CM332" s="178" t="str">
        <x:f>IF(C332="","",IF(COUNT(G332:CB332)=0,"",IF(COUNT(G332:CB332)&lt;74,"موقت - اطلاعات ناقص",IF(CL332&gt;=17,"عالی",IF(CL332&gt;=14,"خوب",IF(CL332&gt;=10,"متوسط","ضعیف"))))))</x:f>
      </x:c>
      <x:c r="CN332" s="178" t="n">
        <x:v>4</x:v>
      </x:c>
      <x:c r="CO332" s="142" t="n">
        <x:f>IF(C332="","",COUNT(G332:CB332)/74)</x:f>
        <x:v>0</x:v>
      </x:c>
      <x:c r="CP332" s="245"/>
    </x:row>
    <x:row r="333">
      <x:c r="A333" s="165" t="n">
        <x:v>329</x:v>
      </x:c>
      <x:c r="B333" s="233" t="str">
        <x:v>آبان</x:v>
      </x:c>
      <x:c r="C333" s="233" t="n">
        <x:f>IF('دانش‌آموزان'!E32="","",'دانش‌آموزان'!B32)</x:f>
        <x:v>28</x:v>
      </x:c>
      <x:c r="D333" s="233" t="str">
        <x:f>IF('دانش‌آموزان'!C32="","",'دانش‌آموزان'!C32)</x:f>
        <x:v>4000000284</x:v>
      </x:c>
      <x:c r="E333" s="233" t="str">
        <x:f>IF('دانش‌آموزان'!E32="","",'دانش‌آموزان'!E32&amp;" "&amp;'دانش‌آموزان'!F32)</x:f>
        <x:v>نگار جعفری</x:v>
      </x:c>
      <x:c r="F333" s="166" t="str">
        <x:f>IF('دانش‌آموزان'!I32="","",'دانش‌آموزان'!I32)</x:f>
        <x:v>sample-7-b</x:v>
      </x:c>
      <x:c r="G333" s="114"/>
      <x:c r="H333" s="115"/>
      <x:c r="I333" s="115"/>
      <x:c r="J333" s="115"/>
      <x:c r="K333" s="115"/>
      <x:c r="L333" s="115"/>
      <x:c r="M333" s="115"/>
      <x:c r="N333" s="115"/>
      <x:c r="O333" s="115"/>
      <x:c r="P333" s="115"/>
      <x:c r="Q333" s="115"/>
      <x:c r="R333" s="115"/>
      <x:c r="S333" s="115"/>
      <x:c r="T333" s="115"/>
      <x:c r="U333" s="115"/>
      <x:c r="V333" s="115"/>
      <x:c r="W333" s="115"/>
      <x:c r="X333" s="115"/>
      <x:c r="Y333" s="115"/>
      <x:c r="Z333" s="115"/>
      <x:c r="AA333" s="115"/>
      <x:c r="AB333" s="115"/>
      <x:c r="AC333" s="115"/>
      <x:c r="AD333" s="115"/>
      <x:c r="AE333" s="115"/>
      <x:c r="AF333" s="115"/>
      <x:c r="AG333" s="115"/>
      <x:c r="AH333" s="115"/>
      <x:c r="AI333" s="115"/>
      <x:c r="AJ333" s="115"/>
      <x:c r="AK333" s="115"/>
      <x:c r="AL333" s="115"/>
      <x:c r="AM333" s="115"/>
      <x:c r="AN333" s="115"/>
      <x:c r="AO333" s="115"/>
      <x:c r="AP333" s="115"/>
      <x:c r="AQ333" s="115"/>
      <x:c r="AR333" s="115"/>
      <x:c r="AS333" s="115"/>
      <x:c r="AT333" s="115"/>
      <x:c r="AU333" s="115"/>
      <x:c r="AV333" s="115"/>
      <x:c r="AW333" s="115"/>
      <x:c r="AX333" s="115"/>
      <x:c r="AY333" s="115"/>
      <x:c r="AZ333" s="115"/>
      <x:c r="BA333" s="115"/>
      <x:c r="BB333" s="115"/>
      <x:c r="BC333" s="115"/>
      <x:c r="BD333" s="115"/>
      <x:c r="BE333" s="115"/>
      <x:c r="BF333" s="115"/>
      <x:c r="BG333" s="115"/>
      <x:c r="BH333" s="115"/>
      <x:c r="BI333" s="115"/>
      <x:c r="BJ333" s="115"/>
      <x:c r="BK333" s="115"/>
      <x:c r="BL333" s="115"/>
      <x:c r="BM333" s="115"/>
      <x:c r="BN333" s="115"/>
      <x:c r="BO333" s="115"/>
      <x:c r="BP333" s="115"/>
      <x:c r="BQ333" s="115"/>
      <x:c r="BR333" s="115"/>
      <x:c r="BS333" s="115"/>
      <x:c r="BT333" s="115"/>
      <x:c r="BU333" s="115"/>
      <x:c r="BV333" s="115"/>
      <x:c r="BW333" s="115"/>
      <x:c r="BX333" s="115"/>
      <x:c r="BY333" s="115"/>
      <x:c r="BZ333" s="115"/>
      <x:c r="CA333" s="115"/>
      <x:c r="CB333" s="116"/>
      <x:c r="CC333" s="141" t="str">
        <x:f>IF(COUNT(G333:P333)=0,"",AVERAGE(G333:P333)*4)</x:f>
      </x:c>
      <x:c r="CD333" s="178" t="str">
        <x:f>IF(COUNT(Q333:Z333)=0,"",AVERAGE(Q333:Z333)*4)</x:f>
      </x:c>
      <x:c r="CE333" s="178" t="str">
        <x:f>IF(COUNT(AA333:AJ333)=0,"",AVERAGE(AA333:AJ333)*4)</x:f>
      </x:c>
      <x:c r="CF333" s="178" t="str">
        <x:f>IF(COUNT(AK333:AR333)=0,"",AVERAGE(AK333:AR333)*4)</x:f>
      </x:c>
      <x:c r="CG333" s="178" t="str">
        <x:f>IF(COUNT(AS333:AY333)=0,"",AVERAGE(AS333:AY333)*4)</x:f>
      </x:c>
      <x:c r="CH333" s="178" t="str">
        <x:f>IF(COUNT(AZ333:BG333)=0,"",AVERAGE(AZ333:BG333)*4)</x:f>
      </x:c>
      <x:c r="CI333" s="178" t="str">
        <x:f>IF(COUNT(BH333:BN333)=0,"",AVERAGE(BH333:BN333)*4)</x:f>
      </x:c>
      <x:c r="CJ333" s="178" t="str">
        <x:f>IF(COUNT(BO333:BU333)=0,"",AVERAGE(BO333:BU333)*4)</x:f>
      </x:c>
      <x:c r="CK333" s="178" t="str">
        <x:f>IF(COUNT(BV333:CB333)=0,"",AVERAGE(BV333:CB333)*4)</x:f>
      </x:c>
      <x:c r="CL333" s="178" t="str">
        <x:f>IF(C333="","",IF(COUNT(G333:CB333)&lt;74,"",(CC333*'تنظیمات وزن‌دهی'!$C$5+CD333*'تنظیمات وزن‌دهی'!$C$6+CE333*'تنظیمات وزن‌دهی'!$C$7+CF333*'تنظیمات وزن‌دهی'!$C$8+CG333*'تنظیمات وزن‌دهی'!$C$9+CH333*'تنظیمات وزن‌دهی'!$C$10+CI333*'تنظیمات وزن‌دهی'!$C$11+CJ333*'تنظیمات وزن‌دهی'!$C$12+CK333*'تنظیمات وزن‌دهی'!$C$13)/100))</x:f>
      </x:c>
      <x:c r="CM333" s="178" t="str">
        <x:f>IF(C333="","",IF(COUNT(G333:CB333)=0,"",IF(COUNT(G333:CB333)&lt;74,"موقت - اطلاعات ناقص",IF(CL333&gt;=17,"عالی",IF(CL333&gt;=14,"خوب",IF(CL333&gt;=10,"متوسط","ضعیف"))))))</x:f>
      </x:c>
      <x:c r="CN333" s="178" t="n">
        <x:v>5</x:v>
      </x:c>
      <x:c r="CO333" s="142" t="n">
        <x:f>IF(C333="","",COUNT(G333:CB333)/74)</x:f>
        <x:v>0</x:v>
      </x:c>
      <x:c r="CP333" s="245"/>
    </x:row>
    <x:row r="334">
      <x:c r="A334" s="165" t="n">
        <x:v>330</x:v>
      </x:c>
      <x:c r="B334" s="233" t="str">
        <x:v>آذر</x:v>
      </x:c>
      <x:c r="C334" s="233" t="n">
        <x:f>IF('دانش‌آموزان'!E32="","",'دانش‌آموزان'!B32)</x:f>
        <x:v>28</x:v>
      </x:c>
      <x:c r="D334" s="233" t="str">
        <x:f>IF('دانش‌آموزان'!C32="","",'دانش‌آموزان'!C32)</x:f>
        <x:v>4000000284</x:v>
      </x:c>
      <x:c r="E334" s="233" t="str">
        <x:f>IF('دانش‌آموزان'!E32="","",'دانش‌آموزان'!E32&amp;" "&amp;'دانش‌آموزان'!F32)</x:f>
        <x:v>نگار جعفری</x:v>
      </x:c>
      <x:c r="F334" s="166" t="str">
        <x:f>IF('دانش‌آموزان'!I32="","",'دانش‌آموزان'!I32)</x:f>
        <x:v>sample-7-b</x:v>
      </x:c>
      <x:c r="G334" s="114"/>
      <x:c r="H334" s="115"/>
      <x:c r="I334" s="115"/>
      <x:c r="J334" s="115"/>
      <x:c r="K334" s="115"/>
      <x:c r="L334" s="115"/>
      <x:c r="M334" s="115"/>
      <x:c r="N334" s="115"/>
      <x:c r="O334" s="115"/>
      <x:c r="P334" s="115"/>
      <x:c r="Q334" s="115"/>
      <x:c r="R334" s="115"/>
      <x:c r="S334" s="115"/>
      <x:c r="T334" s="115"/>
      <x:c r="U334" s="115"/>
      <x:c r="V334" s="115"/>
      <x:c r="W334" s="115"/>
      <x:c r="X334" s="115"/>
      <x:c r="Y334" s="115"/>
      <x:c r="Z334" s="115"/>
      <x:c r="AA334" s="115"/>
      <x:c r="AB334" s="115"/>
      <x:c r="AC334" s="115"/>
      <x:c r="AD334" s="115"/>
      <x:c r="AE334" s="115"/>
      <x:c r="AF334" s="115"/>
      <x:c r="AG334" s="115"/>
      <x:c r="AH334" s="115"/>
      <x:c r="AI334" s="115"/>
      <x:c r="AJ334" s="115"/>
      <x:c r="AK334" s="115"/>
      <x:c r="AL334" s="115"/>
      <x:c r="AM334" s="115"/>
      <x:c r="AN334" s="115"/>
      <x:c r="AO334" s="115"/>
      <x:c r="AP334" s="115"/>
      <x:c r="AQ334" s="115"/>
      <x:c r="AR334" s="115"/>
      <x:c r="AS334" s="115"/>
      <x:c r="AT334" s="115"/>
      <x:c r="AU334" s="115"/>
      <x:c r="AV334" s="115"/>
      <x:c r="AW334" s="115"/>
      <x:c r="AX334" s="115"/>
      <x:c r="AY334" s="115"/>
      <x:c r="AZ334" s="115"/>
      <x:c r="BA334" s="115"/>
      <x:c r="BB334" s="115"/>
      <x:c r="BC334" s="115"/>
      <x:c r="BD334" s="115"/>
      <x:c r="BE334" s="115"/>
      <x:c r="BF334" s="115"/>
      <x:c r="BG334" s="115"/>
      <x:c r="BH334" s="115"/>
      <x:c r="BI334" s="115"/>
      <x:c r="BJ334" s="115"/>
      <x:c r="BK334" s="115"/>
      <x:c r="BL334" s="115"/>
      <x:c r="BM334" s="115"/>
      <x:c r="BN334" s="115"/>
      <x:c r="BO334" s="115"/>
      <x:c r="BP334" s="115"/>
      <x:c r="BQ334" s="115"/>
      <x:c r="BR334" s="115"/>
      <x:c r="BS334" s="115"/>
      <x:c r="BT334" s="115"/>
      <x:c r="BU334" s="115"/>
      <x:c r="BV334" s="115"/>
      <x:c r="BW334" s="115"/>
      <x:c r="BX334" s="115"/>
      <x:c r="BY334" s="115"/>
      <x:c r="BZ334" s="115"/>
      <x:c r="CA334" s="115"/>
      <x:c r="CB334" s="116"/>
      <x:c r="CC334" s="141" t="str">
        <x:f>IF(COUNT(G334:P334)=0,"",AVERAGE(G334:P334)*4)</x:f>
      </x:c>
      <x:c r="CD334" s="178" t="str">
        <x:f>IF(COUNT(Q334:Z334)=0,"",AVERAGE(Q334:Z334)*4)</x:f>
      </x:c>
      <x:c r="CE334" s="178" t="str">
        <x:f>IF(COUNT(AA334:AJ334)=0,"",AVERAGE(AA334:AJ334)*4)</x:f>
      </x:c>
      <x:c r="CF334" s="178" t="str">
        <x:f>IF(COUNT(AK334:AR334)=0,"",AVERAGE(AK334:AR334)*4)</x:f>
      </x:c>
      <x:c r="CG334" s="178" t="str">
        <x:f>IF(COUNT(AS334:AY334)=0,"",AVERAGE(AS334:AY334)*4)</x:f>
      </x:c>
      <x:c r="CH334" s="178" t="str">
        <x:f>IF(COUNT(AZ334:BG334)=0,"",AVERAGE(AZ334:BG334)*4)</x:f>
      </x:c>
      <x:c r="CI334" s="178" t="str">
        <x:f>IF(COUNT(BH334:BN334)=0,"",AVERAGE(BH334:BN334)*4)</x:f>
      </x:c>
      <x:c r="CJ334" s="178" t="str">
        <x:f>IF(COUNT(BO334:BU334)=0,"",AVERAGE(BO334:BU334)*4)</x:f>
      </x:c>
      <x:c r="CK334" s="178" t="str">
        <x:f>IF(COUNT(BV334:CB334)=0,"",AVERAGE(BV334:CB334)*4)</x:f>
      </x:c>
      <x:c r="CL334" s="178" t="str">
        <x:f>IF(C334="","",IF(COUNT(G334:CB334)&lt;74,"",(CC334*'تنظیمات وزن‌دهی'!$C$5+CD334*'تنظیمات وزن‌دهی'!$C$6+CE334*'تنظیمات وزن‌دهی'!$C$7+CF334*'تنظیمات وزن‌دهی'!$C$8+CG334*'تنظیمات وزن‌دهی'!$C$9+CH334*'تنظیمات وزن‌دهی'!$C$10+CI334*'تنظیمات وزن‌دهی'!$C$11+CJ334*'تنظیمات وزن‌دهی'!$C$12+CK334*'تنظیمات وزن‌دهی'!$C$13)/100))</x:f>
      </x:c>
      <x:c r="CM334" s="178" t="str">
        <x:f>IF(C334="","",IF(COUNT(G334:CB334)=0,"",IF(COUNT(G334:CB334)&lt;74,"موقت - اطلاعات ناقص",IF(CL334&gt;=17,"عالی",IF(CL334&gt;=14,"خوب",IF(CL334&gt;=10,"متوسط","ضعیف"))))))</x:f>
      </x:c>
      <x:c r="CN334" s="178" t="n">
        <x:v>6</x:v>
      </x:c>
      <x:c r="CO334" s="142" t="n">
        <x:f>IF(C334="","",COUNT(G334:CB334)/74)</x:f>
        <x:v>0</x:v>
      </x:c>
      <x:c r="CP334" s="245"/>
    </x:row>
    <x:row r="335">
      <x:c r="A335" s="165" t="n">
        <x:v>331</x:v>
      </x:c>
      <x:c r="B335" s="233" t="str">
        <x:v>دی</x:v>
      </x:c>
      <x:c r="C335" s="233" t="n">
        <x:f>IF('دانش‌آموزان'!E32="","",'دانش‌آموزان'!B32)</x:f>
        <x:v>28</x:v>
      </x:c>
      <x:c r="D335" s="233" t="str">
        <x:f>IF('دانش‌آموزان'!C32="","",'دانش‌آموزان'!C32)</x:f>
        <x:v>4000000284</x:v>
      </x:c>
      <x:c r="E335" s="233" t="str">
        <x:f>IF('دانش‌آموزان'!E32="","",'دانش‌آموزان'!E32&amp;" "&amp;'دانش‌آموزان'!F32)</x:f>
        <x:v>نگار جعفری</x:v>
      </x:c>
      <x:c r="F335" s="166" t="str">
        <x:f>IF('دانش‌آموزان'!I32="","",'دانش‌آموزان'!I32)</x:f>
        <x:v>sample-7-b</x:v>
      </x:c>
      <x:c r="G335" s="114"/>
      <x:c r="H335" s="115"/>
      <x:c r="I335" s="115"/>
      <x:c r="J335" s="115"/>
      <x:c r="K335" s="115"/>
      <x:c r="L335" s="115"/>
      <x:c r="M335" s="115"/>
      <x:c r="N335" s="115"/>
      <x:c r="O335" s="115"/>
      <x:c r="P335" s="115"/>
      <x:c r="Q335" s="115"/>
      <x:c r="R335" s="115"/>
      <x:c r="S335" s="115"/>
      <x:c r="T335" s="115"/>
      <x:c r="U335" s="115"/>
      <x:c r="V335" s="115"/>
      <x:c r="W335" s="115"/>
      <x:c r="X335" s="115"/>
      <x:c r="Y335" s="115"/>
      <x:c r="Z335" s="115"/>
      <x:c r="AA335" s="115"/>
      <x:c r="AB335" s="115"/>
      <x:c r="AC335" s="115"/>
      <x:c r="AD335" s="115"/>
      <x:c r="AE335" s="115"/>
      <x:c r="AF335" s="115"/>
      <x:c r="AG335" s="115"/>
      <x:c r="AH335" s="115"/>
      <x:c r="AI335" s="115"/>
      <x:c r="AJ335" s="115"/>
      <x:c r="AK335" s="115"/>
      <x:c r="AL335" s="115"/>
      <x:c r="AM335" s="115"/>
      <x:c r="AN335" s="115"/>
      <x:c r="AO335" s="115"/>
      <x:c r="AP335" s="115"/>
      <x:c r="AQ335" s="115"/>
      <x:c r="AR335" s="115"/>
      <x:c r="AS335" s="115"/>
      <x:c r="AT335" s="115"/>
      <x:c r="AU335" s="115"/>
      <x:c r="AV335" s="115"/>
      <x:c r="AW335" s="115"/>
      <x:c r="AX335" s="115"/>
      <x:c r="AY335" s="115"/>
      <x:c r="AZ335" s="115"/>
      <x:c r="BA335" s="115"/>
      <x:c r="BB335" s="115"/>
      <x:c r="BC335" s="115"/>
      <x:c r="BD335" s="115"/>
      <x:c r="BE335" s="115"/>
      <x:c r="BF335" s="115"/>
      <x:c r="BG335" s="115"/>
      <x:c r="BH335" s="115"/>
      <x:c r="BI335" s="115"/>
      <x:c r="BJ335" s="115"/>
      <x:c r="BK335" s="115"/>
      <x:c r="BL335" s="115"/>
      <x:c r="BM335" s="115"/>
      <x:c r="BN335" s="115"/>
      <x:c r="BO335" s="115"/>
      <x:c r="BP335" s="115"/>
      <x:c r="BQ335" s="115"/>
      <x:c r="BR335" s="115"/>
      <x:c r="BS335" s="115"/>
      <x:c r="BT335" s="115"/>
      <x:c r="BU335" s="115"/>
      <x:c r="BV335" s="115"/>
      <x:c r="BW335" s="115"/>
      <x:c r="BX335" s="115"/>
      <x:c r="BY335" s="115"/>
      <x:c r="BZ335" s="115"/>
      <x:c r="CA335" s="115"/>
      <x:c r="CB335" s="116"/>
      <x:c r="CC335" s="141" t="str">
        <x:f>IF(COUNT(G335:P335)=0,"",AVERAGE(G335:P335)*4)</x:f>
      </x:c>
      <x:c r="CD335" s="178" t="str">
        <x:f>IF(COUNT(Q335:Z335)=0,"",AVERAGE(Q335:Z335)*4)</x:f>
      </x:c>
      <x:c r="CE335" s="178" t="str">
        <x:f>IF(COUNT(AA335:AJ335)=0,"",AVERAGE(AA335:AJ335)*4)</x:f>
      </x:c>
      <x:c r="CF335" s="178" t="str">
        <x:f>IF(COUNT(AK335:AR335)=0,"",AVERAGE(AK335:AR335)*4)</x:f>
      </x:c>
      <x:c r="CG335" s="178" t="str">
        <x:f>IF(COUNT(AS335:AY335)=0,"",AVERAGE(AS335:AY335)*4)</x:f>
      </x:c>
      <x:c r="CH335" s="178" t="str">
        <x:f>IF(COUNT(AZ335:BG335)=0,"",AVERAGE(AZ335:BG335)*4)</x:f>
      </x:c>
      <x:c r="CI335" s="178" t="str">
        <x:f>IF(COUNT(BH335:BN335)=0,"",AVERAGE(BH335:BN335)*4)</x:f>
      </x:c>
      <x:c r="CJ335" s="178" t="str">
        <x:f>IF(COUNT(BO335:BU335)=0,"",AVERAGE(BO335:BU335)*4)</x:f>
      </x:c>
      <x:c r="CK335" s="178" t="str">
        <x:f>IF(COUNT(BV335:CB335)=0,"",AVERAGE(BV335:CB335)*4)</x:f>
      </x:c>
      <x:c r="CL335" s="178" t="str">
        <x:f>IF(C335="","",IF(COUNT(G335:CB335)&lt;74,"",(CC335*'تنظیمات وزن‌دهی'!$C$5+CD335*'تنظیمات وزن‌دهی'!$C$6+CE335*'تنظیمات وزن‌دهی'!$C$7+CF335*'تنظیمات وزن‌دهی'!$C$8+CG335*'تنظیمات وزن‌دهی'!$C$9+CH335*'تنظیمات وزن‌دهی'!$C$10+CI335*'تنظیمات وزن‌دهی'!$C$11+CJ335*'تنظیمات وزن‌دهی'!$C$12+CK335*'تنظیمات وزن‌دهی'!$C$13)/100))</x:f>
      </x:c>
      <x:c r="CM335" s="178" t="str">
        <x:f>IF(C335="","",IF(COUNT(G335:CB335)=0,"",IF(COUNT(G335:CB335)&lt;74,"موقت - اطلاعات ناقص",IF(CL335&gt;=17,"عالی",IF(CL335&gt;=14,"خوب",IF(CL335&gt;=10,"متوسط","ضعیف"))))))</x:f>
      </x:c>
      <x:c r="CN335" s="178" t="n">
        <x:v>7</x:v>
      </x:c>
      <x:c r="CO335" s="142" t="n">
        <x:f>IF(C335="","",COUNT(G335:CB335)/74)</x:f>
        <x:v>0</x:v>
      </x:c>
      <x:c r="CP335" s="245"/>
    </x:row>
    <x:row r="336">
      <x:c r="A336" s="165" t="n">
        <x:v>332</x:v>
      </x:c>
      <x:c r="B336" s="233" t="str">
        <x:v>بهمن</x:v>
      </x:c>
      <x:c r="C336" s="233" t="n">
        <x:f>IF('دانش‌آموزان'!E32="","",'دانش‌آموزان'!B32)</x:f>
        <x:v>28</x:v>
      </x:c>
      <x:c r="D336" s="233" t="str">
        <x:f>IF('دانش‌آموزان'!C32="","",'دانش‌آموزان'!C32)</x:f>
        <x:v>4000000284</x:v>
      </x:c>
      <x:c r="E336" s="233" t="str">
        <x:f>IF('دانش‌آموزان'!E32="","",'دانش‌آموزان'!E32&amp;" "&amp;'دانش‌آموزان'!F32)</x:f>
        <x:v>نگار جعفری</x:v>
      </x:c>
      <x:c r="F336" s="166" t="str">
        <x:f>IF('دانش‌آموزان'!I32="","",'دانش‌آموزان'!I32)</x:f>
        <x:v>sample-7-b</x:v>
      </x:c>
      <x:c r="G336" s="114"/>
      <x:c r="H336" s="115"/>
      <x:c r="I336" s="115"/>
      <x:c r="J336" s="115"/>
      <x:c r="K336" s="115"/>
      <x:c r="L336" s="115"/>
      <x:c r="M336" s="115"/>
      <x:c r="N336" s="115"/>
      <x:c r="O336" s="115"/>
      <x:c r="P336" s="115"/>
      <x:c r="Q336" s="115"/>
      <x:c r="R336" s="115"/>
      <x:c r="S336" s="115"/>
      <x:c r="T336" s="115"/>
      <x:c r="U336" s="115"/>
      <x:c r="V336" s="115"/>
      <x:c r="W336" s="115"/>
      <x:c r="X336" s="115"/>
      <x:c r="Y336" s="115"/>
      <x:c r="Z336" s="115"/>
      <x:c r="AA336" s="115"/>
      <x:c r="AB336" s="115"/>
      <x:c r="AC336" s="115"/>
      <x:c r="AD336" s="115"/>
      <x:c r="AE336" s="115"/>
      <x:c r="AF336" s="115"/>
      <x:c r="AG336" s="115"/>
      <x:c r="AH336" s="115"/>
      <x:c r="AI336" s="115"/>
      <x:c r="AJ336" s="115"/>
      <x:c r="AK336" s="115"/>
      <x:c r="AL336" s="115"/>
      <x:c r="AM336" s="115"/>
      <x:c r="AN336" s="115"/>
      <x:c r="AO336" s="115"/>
      <x:c r="AP336" s="115"/>
      <x:c r="AQ336" s="115"/>
      <x:c r="AR336" s="115"/>
      <x:c r="AS336" s="115"/>
      <x:c r="AT336" s="115"/>
      <x:c r="AU336" s="115"/>
      <x:c r="AV336" s="115"/>
      <x:c r="AW336" s="115"/>
      <x:c r="AX336" s="115"/>
      <x:c r="AY336" s="115"/>
      <x:c r="AZ336" s="115"/>
      <x:c r="BA336" s="115"/>
      <x:c r="BB336" s="115"/>
      <x:c r="BC336" s="115"/>
      <x:c r="BD336" s="115"/>
      <x:c r="BE336" s="115"/>
      <x:c r="BF336" s="115"/>
      <x:c r="BG336" s="115"/>
      <x:c r="BH336" s="115"/>
      <x:c r="BI336" s="115"/>
      <x:c r="BJ336" s="115"/>
      <x:c r="BK336" s="115"/>
      <x:c r="BL336" s="115"/>
      <x:c r="BM336" s="115"/>
      <x:c r="BN336" s="115"/>
      <x:c r="BO336" s="115"/>
      <x:c r="BP336" s="115"/>
      <x:c r="BQ336" s="115"/>
      <x:c r="BR336" s="115"/>
      <x:c r="BS336" s="115"/>
      <x:c r="BT336" s="115"/>
      <x:c r="BU336" s="115"/>
      <x:c r="BV336" s="115"/>
      <x:c r="BW336" s="115"/>
      <x:c r="BX336" s="115"/>
      <x:c r="BY336" s="115"/>
      <x:c r="BZ336" s="115"/>
      <x:c r="CA336" s="115"/>
      <x:c r="CB336" s="116"/>
      <x:c r="CC336" s="141" t="str">
        <x:f>IF(COUNT(G336:P336)=0,"",AVERAGE(G336:P336)*4)</x:f>
      </x:c>
      <x:c r="CD336" s="178" t="str">
        <x:f>IF(COUNT(Q336:Z336)=0,"",AVERAGE(Q336:Z336)*4)</x:f>
      </x:c>
      <x:c r="CE336" s="178" t="str">
        <x:f>IF(COUNT(AA336:AJ336)=0,"",AVERAGE(AA336:AJ336)*4)</x:f>
      </x:c>
      <x:c r="CF336" s="178" t="str">
        <x:f>IF(COUNT(AK336:AR336)=0,"",AVERAGE(AK336:AR336)*4)</x:f>
      </x:c>
      <x:c r="CG336" s="178" t="str">
        <x:f>IF(COUNT(AS336:AY336)=0,"",AVERAGE(AS336:AY336)*4)</x:f>
      </x:c>
      <x:c r="CH336" s="178" t="str">
        <x:f>IF(COUNT(AZ336:BG336)=0,"",AVERAGE(AZ336:BG336)*4)</x:f>
      </x:c>
      <x:c r="CI336" s="178" t="str">
        <x:f>IF(COUNT(BH336:BN336)=0,"",AVERAGE(BH336:BN336)*4)</x:f>
      </x:c>
      <x:c r="CJ336" s="178" t="str">
        <x:f>IF(COUNT(BO336:BU336)=0,"",AVERAGE(BO336:BU336)*4)</x:f>
      </x:c>
      <x:c r="CK336" s="178" t="str">
        <x:f>IF(COUNT(BV336:CB336)=0,"",AVERAGE(BV336:CB336)*4)</x:f>
      </x:c>
      <x:c r="CL336" s="178" t="str">
        <x:f>IF(C336="","",IF(COUNT(G336:CB336)&lt;74,"",(CC336*'تنظیمات وزن‌دهی'!$C$5+CD336*'تنظیمات وزن‌دهی'!$C$6+CE336*'تنظیمات وزن‌دهی'!$C$7+CF336*'تنظیمات وزن‌دهی'!$C$8+CG336*'تنظیمات وزن‌دهی'!$C$9+CH336*'تنظیمات وزن‌دهی'!$C$10+CI336*'تنظیمات وزن‌دهی'!$C$11+CJ336*'تنظیمات وزن‌دهی'!$C$12+CK336*'تنظیمات وزن‌دهی'!$C$13)/100))</x:f>
      </x:c>
      <x:c r="CM336" s="178" t="str">
        <x:f>IF(C336="","",IF(COUNT(G336:CB336)=0,"",IF(COUNT(G336:CB336)&lt;74,"موقت - اطلاعات ناقص",IF(CL336&gt;=17,"عالی",IF(CL336&gt;=14,"خوب",IF(CL336&gt;=10,"متوسط","ضعیف"))))))</x:f>
      </x:c>
      <x:c r="CN336" s="178" t="n">
        <x:v>8</x:v>
      </x:c>
      <x:c r="CO336" s="142" t="n">
        <x:f>IF(C336="","",COUNT(G336:CB336)/74)</x:f>
        <x:v>0</x:v>
      </x:c>
      <x:c r="CP336" s="245"/>
    </x:row>
    <x:row r="337">
      <x:c r="A337" s="165" t="n">
        <x:v>333</x:v>
      </x:c>
      <x:c r="B337" s="233" t="str">
        <x:v>اسفند</x:v>
      </x:c>
      <x:c r="C337" s="233" t="n">
        <x:f>IF('دانش‌آموزان'!E32="","",'دانش‌آموزان'!B32)</x:f>
        <x:v>28</x:v>
      </x:c>
      <x:c r="D337" s="233" t="str">
        <x:f>IF('دانش‌آموزان'!C32="","",'دانش‌آموزان'!C32)</x:f>
        <x:v>4000000284</x:v>
      </x:c>
      <x:c r="E337" s="233" t="str">
        <x:f>IF('دانش‌آموزان'!E32="","",'دانش‌آموزان'!E32&amp;" "&amp;'دانش‌آموزان'!F32)</x:f>
        <x:v>نگار جعفری</x:v>
      </x:c>
      <x:c r="F337" s="166" t="str">
        <x:f>IF('دانش‌آموزان'!I32="","",'دانش‌آموزان'!I32)</x:f>
        <x:v>sample-7-b</x:v>
      </x:c>
      <x:c r="G337" s="114"/>
      <x:c r="H337" s="115"/>
      <x:c r="I337" s="115"/>
      <x:c r="J337" s="115"/>
      <x:c r="K337" s="115"/>
      <x:c r="L337" s="115"/>
      <x:c r="M337" s="115"/>
      <x:c r="N337" s="115"/>
      <x:c r="O337" s="115"/>
      <x:c r="P337" s="115"/>
      <x:c r="Q337" s="115"/>
      <x:c r="R337" s="115"/>
      <x:c r="S337" s="115"/>
      <x:c r="T337" s="115"/>
      <x:c r="U337" s="115"/>
      <x:c r="V337" s="115"/>
      <x:c r="W337" s="115"/>
      <x:c r="X337" s="115"/>
      <x:c r="Y337" s="115"/>
      <x:c r="Z337" s="115"/>
      <x:c r="AA337" s="115"/>
      <x:c r="AB337" s="115"/>
      <x:c r="AC337" s="115"/>
      <x:c r="AD337" s="115"/>
      <x:c r="AE337" s="115"/>
      <x:c r="AF337" s="115"/>
      <x:c r="AG337" s="115"/>
      <x:c r="AH337" s="115"/>
      <x:c r="AI337" s="115"/>
      <x:c r="AJ337" s="115"/>
      <x:c r="AK337" s="115"/>
      <x:c r="AL337" s="115"/>
      <x:c r="AM337" s="115"/>
      <x:c r="AN337" s="115"/>
      <x:c r="AO337" s="115"/>
      <x:c r="AP337" s="115"/>
      <x:c r="AQ337" s="115"/>
      <x:c r="AR337" s="115"/>
      <x:c r="AS337" s="115"/>
      <x:c r="AT337" s="115"/>
      <x:c r="AU337" s="115"/>
      <x:c r="AV337" s="115"/>
      <x:c r="AW337" s="115"/>
      <x:c r="AX337" s="115"/>
      <x:c r="AY337" s="115"/>
      <x:c r="AZ337" s="115"/>
      <x:c r="BA337" s="115"/>
      <x:c r="BB337" s="115"/>
      <x:c r="BC337" s="115"/>
      <x:c r="BD337" s="115"/>
      <x:c r="BE337" s="115"/>
      <x:c r="BF337" s="115"/>
      <x:c r="BG337" s="115"/>
      <x:c r="BH337" s="115"/>
      <x:c r="BI337" s="115"/>
      <x:c r="BJ337" s="115"/>
      <x:c r="BK337" s="115"/>
      <x:c r="BL337" s="115"/>
      <x:c r="BM337" s="115"/>
      <x:c r="BN337" s="115"/>
      <x:c r="BO337" s="115"/>
      <x:c r="BP337" s="115"/>
      <x:c r="BQ337" s="115"/>
      <x:c r="BR337" s="115"/>
      <x:c r="BS337" s="115"/>
      <x:c r="BT337" s="115"/>
      <x:c r="BU337" s="115"/>
      <x:c r="BV337" s="115"/>
      <x:c r="BW337" s="115"/>
      <x:c r="BX337" s="115"/>
      <x:c r="BY337" s="115"/>
      <x:c r="BZ337" s="115"/>
      <x:c r="CA337" s="115"/>
      <x:c r="CB337" s="116"/>
      <x:c r="CC337" s="141" t="str">
        <x:f>IF(COUNT(G337:P337)=0,"",AVERAGE(G337:P337)*4)</x:f>
      </x:c>
      <x:c r="CD337" s="178" t="str">
        <x:f>IF(COUNT(Q337:Z337)=0,"",AVERAGE(Q337:Z337)*4)</x:f>
      </x:c>
      <x:c r="CE337" s="178" t="str">
        <x:f>IF(COUNT(AA337:AJ337)=0,"",AVERAGE(AA337:AJ337)*4)</x:f>
      </x:c>
      <x:c r="CF337" s="178" t="str">
        <x:f>IF(COUNT(AK337:AR337)=0,"",AVERAGE(AK337:AR337)*4)</x:f>
      </x:c>
      <x:c r="CG337" s="178" t="str">
        <x:f>IF(COUNT(AS337:AY337)=0,"",AVERAGE(AS337:AY337)*4)</x:f>
      </x:c>
      <x:c r="CH337" s="178" t="str">
        <x:f>IF(COUNT(AZ337:BG337)=0,"",AVERAGE(AZ337:BG337)*4)</x:f>
      </x:c>
      <x:c r="CI337" s="178" t="str">
        <x:f>IF(COUNT(BH337:BN337)=0,"",AVERAGE(BH337:BN337)*4)</x:f>
      </x:c>
      <x:c r="CJ337" s="178" t="str">
        <x:f>IF(COUNT(BO337:BU337)=0,"",AVERAGE(BO337:BU337)*4)</x:f>
      </x:c>
      <x:c r="CK337" s="178" t="str">
        <x:f>IF(COUNT(BV337:CB337)=0,"",AVERAGE(BV337:CB337)*4)</x:f>
      </x:c>
      <x:c r="CL337" s="178" t="str">
        <x:f>IF(C337="","",IF(COUNT(G337:CB337)&lt;74,"",(CC337*'تنظیمات وزن‌دهی'!$C$5+CD337*'تنظیمات وزن‌دهی'!$C$6+CE337*'تنظیمات وزن‌دهی'!$C$7+CF337*'تنظیمات وزن‌دهی'!$C$8+CG337*'تنظیمات وزن‌دهی'!$C$9+CH337*'تنظیمات وزن‌دهی'!$C$10+CI337*'تنظیمات وزن‌دهی'!$C$11+CJ337*'تنظیمات وزن‌دهی'!$C$12+CK337*'تنظیمات وزن‌دهی'!$C$13)/100))</x:f>
      </x:c>
      <x:c r="CM337" s="178" t="str">
        <x:f>IF(C337="","",IF(COUNT(G337:CB337)=0,"",IF(COUNT(G337:CB337)&lt;74,"موقت - اطلاعات ناقص",IF(CL337&gt;=17,"عالی",IF(CL337&gt;=14,"خوب",IF(CL337&gt;=10,"متوسط","ضعیف"))))))</x:f>
      </x:c>
      <x:c r="CN337" s="178" t="n">
        <x:v>9</x:v>
      </x:c>
      <x:c r="CO337" s="142" t="n">
        <x:f>IF(C337="","",COUNT(G337:CB337)/74)</x:f>
        <x:v>0</x:v>
      </x:c>
      <x:c r="CP337" s="245"/>
    </x:row>
    <x:row r="338">
      <x:c r="A338" s="165" t="n">
        <x:v>334</x:v>
      </x:c>
      <x:c r="B338" s="233" t="str">
        <x:v>فروردین</x:v>
      </x:c>
      <x:c r="C338" s="233" t="n">
        <x:f>IF('دانش‌آموزان'!E32="","",'دانش‌آموزان'!B32)</x:f>
        <x:v>28</x:v>
      </x:c>
      <x:c r="D338" s="233" t="str">
        <x:f>IF('دانش‌آموزان'!C32="","",'دانش‌آموزان'!C32)</x:f>
        <x:v>4000000284</x:v>
      </x:c>
      <x:c r="E338" s="233" t="str">
        <x:f>IF('دانش‌آموزان'!E32="","",'دانش‌آموزان'!E32&amp;" "&amp;'دانش‌آموزان'!F32)</x:f>
        <x:v>نگار جعفری</x:v>
      </x:c>
      <x:c r="F338" s="166" t="str">
        <x:f>IF('دانش‌آموزان'!I32="","",'دانش‌آموزان'!I32)</x:f>
        <x:v>sample-7-b</x:v>
      </x:c>
      <x:c r="G338" s="114"/>
      <x:c r="H338" s="115"/>
      <x:c r="I338" s="115"/>
      <x:c r="J338" s="115"/>
      <x:c r="K338" s="115"/>
      <x:c r="L338" s="115"/>
      <x:c r="M338" s="115"/>
      <x:c r="N338" s="115"/>
      <x:c r="O338" s="115"/>
      <x:c r="P338" s="115"/>
      <x:c r="Q338" s="115"/>
      <x:c r="R338" s="115"/>
      <x:c r="S338" s="115"/>
      <x:c r="T338" s="115"/>
      <x:c r="U338" s="115"/>
      <x:c r="V338" s="115"/>
      <x:c r="W338" s="115"/>
      <x:c r="X338" s="115"/>
      <x:c r="Y338" s="115"/>
      <x:c r="Z338" s="115"/>
      <x:c r="AA338" s="115"/>
      <x:c r="AB338" s="115"/>
      <x:c r="AC338" s="115"/>
      <x:c r="AD338" s="115"/>
      <x:c r="AE338" s="115"/>
      <x:c r="AF338" s="115"/>
      <x:c r="AG338" s="115"/>
      <x:c r="AH338" s="115"/>
      <x:c r="AI338" s="115"/>
      <x:c r="AJ338" s="115"/>
      <x:c r="AK338" s="115"/>
      <x:c r="AL338" s="115"/>
      <x:c r="AM338" s="115"/>
      <x:c r="AN338" s="115"/>
      <x:c r="AO338" s="115"/>
      <x:c r="AP338" s="115"/>
      <x:c r="AQ338" s="115"/>
      <x:c r="AR338" s="115"/>
      <x:c r="AS338" s="115"/>
      <x:c r="AT338" s="115"/>
      <x:c r="AU338" s="115"/>
      <x:c r="AV338" s="115"/>
      <x:c r="AW338" s="115"/>
      <x:c r="AX338" s="115"/>
      <x:c r="AY338" s="115"/>
      <x:c r="AZ338" s="115"/>
      <x:c r="BA338" s="115"/>
      <x:c r="BB338" s="115"/>
      <x:c r="BC338" s="115"/>
      <x:c r="BD338" s="115"/>
      <x:c r="BE338" s="115"/>
      <x:c r="BF338" s="115"/>
      <x:c r="BG338" s="115"/>
      <x:c r="BH338" s="115"/>
      <x:c r="BI338" s="115"/>
      <x:c r="BJ338" s="115"/>
      <x:c r="BK338" s="115"/>
      <x:c r="BL338" s="115"/>
      <x:c r="BM338" s="115"/>
      <x:c r="BN338" s="115"/>
      <x:c r="BO338" s="115"/>
      <x:c r="BP338" s="115"/>
      <x:c r="BQ338" s="115"/>
      <x:c r="BR338" s="115"/>
      <x:c r="BS338" s="115"/>
      <x:c r="BT338" s="115"/>
      <x:c r="BU338" s="115"/>
      <x:c r="BV338" s="115"/>
      <x:c r="BW338" s="115"/>
      <x:c r="BX338" s="115"/>
      <x:c r="BY338" s="115"/>
      <x:c r="BZ338" s="115"/>
      <x:c r="CA338" s="115"/>
      <x:c r="CB338" s="116"/>
      <x:c r="CC338" s="141" t="str">
        <x:f>IF(COUNT(G338:P338)=0,"",AVERAGE(G338:P338)*4)</x:f>
      </x:c>
      <x:c r="CD338" s="178" t="str">
        <x:f>IF(COUNT(Q338:Z338)=0,"",AVERAGE(Q338:Z338)*4)</x:f>
      </x:c>
      <x:c r="CE338" s="178" t="str">
        <x:f>IF(COUNT(AA338:AJ338)=0,"",AVERAGE(AA338:AJ338)*4)</x:f>
      </x:c>
      <x:c r="CF338" s="178" t="str">
        <x:f>IF(COUNT(AK338:AR338)=0,"",AVERAGE(AK338:AR338)*4)</x:f>
      </x:c>
      <x:c r="CG338" s="178" t="str">
        <x:f>IF(COUNT(AS338:AY338)=0,"",AVERAGE(AS338:AY338)*4)</x:f>
      </x:c>
      <x:c r="CH338" s="178" t="str">
        <x:f>IF(COUNT(AZ338:BG338)=0,"",AVERAGE(AZ338:BG338)*4)</x:f>
      </x:c>
      <x:c r="CI338" s="178" t="str">
        <x:f>IF(COUNT(BH338:BN338)=0,"",AVERAGE(BH338:BN338)*4)</x:f>
      </x:c>
      <x:c r="CJ338" s="178" t="str">
        <x:f>IF(COUNT(BO338:BU338)=0,"",AVERAGE(BO338:BU338)*4)</x:f>
      </x:c>
      <x:c r="CK338" s="178" t="str">
        <x:f>IF(COUNT(BV338:CB338)=0,"",AVERAGE(BV338:CB338)*4)</x:f>
      </x:c>
      <x:c r="CL338" s="178" t="str">
        <x:f>IF(C338="","",IF(COUNT(G338:CB338)&lt;74,"",(CC338*'تنظیمات وزن‌دهی'!$C$5+CD338*'تنظیمات وزن‌دهی'!$C$6+CE338*'تنظیمات وزن‌دهی'!$C$7+CF338*'تنظیمات وزن‌دهی'!$C$8+CG338*'تنظیمات وزن‌دهی'!$C$9+CH338*'تنظیمات وزن‌دهی'!$C$10+CI338*'تنظیمات وزن‌دهی'!$C$11+CJ338*'تنظیمات وزن‌دهی'!$C$12+CK338*'تنظیمات وزن‌دهی'!$C$13)/100))</x:f>
      </x:c>
      <x:c r="CM338" s="178" t="str">
        <x:f>IF(C338="","",IF(COUNT(G338:CB338)=0,"",IF(COUNT(G338:CB338)&lt;74,"موقت - اطلاعات ناقص",IF(CL338&gt;=17,"عالی",IF(CL338&gt;=14,"خوب",IF(CL338&gt;=10,"متوسط","ضعیف"))))))</x:f>
      </x:c>
      <x:c r="CN338" s="178" t="n">
        <x:v>10</x:v>
      </x:c>
      <x:c r="CO338" s="142" t="n">
        <x:f>IF(C338="","",COUNT(G338:CB338)/74)</x:f>
        <x:v>0</x:v>
      </x:c>
      <x:c r="CP338" s="245"/>
    </x:row>
    <x:row r="339">
      <x:c r="A339" s="165" t="n">
        <x:v>335</x:v>
      </x:c>
      <x:c r="B339" s="233" t="str">
        <x:v>اردیبهشت</x:v>
      </x:c>
      <x:c r="C339" s="233" t="n">
        <x:f>IF('دانش‌آموزان'!E32="","",'دانش‌آموزان'!B32)</x:f>
        <x:v>28</x:v>
      </x:c>
      <x:c r="D339" s="233" t="str">
        <x:f>IF('دانش‌آموزان'!C32="","",'دانش‌آموزان'!C32)</x:f>
        <x:v>4000000284</x:v>
      </x:c>
      <x:c r="E339" s="233" t="str">
        <x:f>IF('دانش‌آموزان'!E32="","",'دانش‌آموزان'!E32&amp;" "&amp;'دانش‌آموزان'!F32)</x:f>
        <x:v>نگار جعفری</x:v>
      </x:c>
      <x:c r="F339" s="166" t="str">
        <x:f>IF('دانش‌آموزان'!I32="","",'دانش‌آموزان'!I32)</x:f>
        <x:v>sample-7-b</x:v>
      </x:c>
      <x:c r="G339" s="114"/>
      <x:c r="H339" s="115"/>
      <x:c r="I339" s="115"/>
      <x:c r="J339" s="115"/>
      <x:c r="K339" s="115"/>
      <x:c r="L339" s="115"/>
      <x:c r="M339" s="115"/>
      <x:c r="N339" s="115"/>
      <x:c r="O339" s="115"/>
      <x:c r="P339" s="115"/>
      <x:c r="Q339" s="115"/>
      <x:c r="R339" s="115"/>
      <x:c r="S339" s="115"/>
      <x:c r="T339" s="115"/>
      <x:c r="U339" s="115"/>
      <x:c r="V339" s="115"/>
      <x:c r="W339" s="115"/>
      <x:c r="X339" s="115"/>
      <x:c r="Y339" s="115"/>
      <x:c r="Z339" s="115"/>
      <x:c r="AA339" s="115"/>
      <x:c r="AB339" s="115"/>
      <x:c r="AC339" s="115"/>
      <x:c r="AD339" s="115"/>
      <x:c r="AE339" s="115"/>
      <x:c r="AF339" s="115"/>
      <x:c r="AG339" s="115"/>
      <x:c r="AH339" s="115"/>
      <x:c r="AI339" s="115"/>
      <x:c r="AJ339" s="115"/>
      <x:c r="AK339" s="115"/>
      <x:c r="AL339" s="115"/>
      <x:c r="AM339" s="115"/>
      <x:c r="AN339" s="115"/>
      <x:c r="AO339" s="115"/>
      <x:c r="AP339" s="115"/>
      <x:c r="AQ339" s="115"/>
      <x:c r="AR339" s="115"/>
      <x:c r="AS339" s="115"/>
      <x:c r="AT339" s="115"/>
      <x:c r="AU339" s="115"/>
      <x:c r="AV339" s="115"/>
      <x:c r="AW339" s="115"/>
      <x:c r="AX339" s="115"/>
      <x:c r="AY339" s="115"/>
      <x:c r="AZ339" s="115"/>
      <x:c r="BA339" s="115"/>
      <x:c r="BB339" s="115"/>
      <x:c r="BC339" s="115"/>
      <x:c r="BD339" s="115"/>
      <x:c r="BE339" s="115"/>
      <x:c r="BF339" s="115"/>
      <x:c r="BG339" s="115"/>
      <x:c r="BH339" s="115"/>
      <x:c r="BI339" s="115"/>
      <x:c r="BJ339" s="115"/>
      <x:c r="BK339" s="115"/>
      <x:c r="BL339" s="115"/>
      <x:c r="BM339" s="115"/>
      <x:c r="BN339" s="115"/>
      <x:c r="BO339" s="115"/>
      <x:c r="BP339" s="115"/>
      <x:c r="BQ339" s="115"/>
      <x:c r="BR339" s="115"/>
      <x:c r="BS339" s="115"/>
      <x:c r="BT339" s="115"/>
      <x:c r="BU339" s="115"/>
      <x:c r="BV339" s="115"/>
      <x:c r="BW339" s="115"/>
      <x:c r="BX339" s="115"/>
      <x:c r="BY339" s="115"/>
      <x:c r="BZ339" s="115"/>
      <x:c r="CA339" s="115"/>
      <x:c r="CB339" s="116"/>
      <x:c r="CC339" s="141" t="str">
        <x:f>IF(COUNT(G339:P339)=0,"",AVERAGE(G339:P339)*4)</x:f>
      </x:c>
      <x:c r="CD339" s="178" t="str">
        <x:f>IF(COUNT(Q339:Z339)=0,"",AVERAGE(Q339:Z339)*4)</x:f>
      </x:c>
      <x:c r="CE339" s="178" t="str">
        <x:f>IF(COUNT(AA339:AJ339)=0,"",AVERAGE(AA339:AJ339)*4)</x:f>
      </x:c>
      <x:c r="CF339" s="178" t="str">
        <x:f>IF(COUNT(AK339:AR339)=0,"",AVERAGE(AK339:AR339)*4)</x:f>
      </x:c>
      <x:c r="CG339" s="178" t="str">
        <x:f>IF(COUNT(AS339:AY339)=0,"",AVERAGE(AS339:AY339)*4)</x:f>
      </x:c>
      <x:c r="CH339" s="178" t="str">
        <x:f>IF(COUNT(AZ339:BG339)=0,"",AVERAGE(AZ339:BG339)*4)</x:f>
      </x:c>
      <x:c r="CI339" s="178" t="str">
        <x:f>IF(COUNT(BH339:BN339)=0,"",AVERAGE(BH339:BN339)*4)</x:f>
      </x:c>
      <x:c r="CJ339" s="178" t="str">
        <x:f>IF(COUNT(BO339:BU339)=0,"",AVERAGE(BO339:BU339)*4)</x:f>
      </x:c>
      <x:c r="CK339" s="178" t="str">
        <x:f>IF(COUNT(BV339:CB339)=0,"",AVERAGE(BV339:CB339)*4)</x:f>
      </x:c>
      <x:c r="CL339" s="178" t="str">
        <x:f>IF(C339="","",IF(COUNT(G339:CB339)&lt;74,"",(CC339*'تنظیمات وزن‌دهی'!$C$5+CD339*'تنظیمات وزن‌دهی'!$C$6+CE339*'تنظیمات وزن‌دهی'!$C$7+CF339*'تنظیمات وزن‌دهی'!$C$8+CG339*'تنظیمات وزن‌دهی'!$C$9+CH339*'تنظیمات وزن‌دهی'!$C$10+CI339*'تنظیمات وزن‌دهی'!$C$11+CJ339*'تنظیمات وزن‌دهی'!$C$12+CK339*'تنظیمات وزن‌دهی'!$C$13)/100))</x:f>
      </x:c>
      <x:c r="CM339" s="178" t="str">
        <x:f>IF(C339="","",IF(COUNT(G339:CB339)=0,"",IF(COUNT(G339:CB339)&lt;74,"موقت - اطلاعات ناقص",IF(CL339&gt;=17,"عالی",IF(CL339&gt;=14,"خوب",IF(CL339&gt;=10,"متوسط","ضعیف"))))))</x:f>
      </x:c>
      <x:c r="CN339" s="178" t="n">
        <x:v>11</x:v>
      </x:c>
      <x:c r="CO339" s="142" t="n">
        <x:f>IF(C339="","",COUNT(G339:CB339)/74)</x:f>
        <x:v>0</x:v>
      </x:c>
      <x:c r="CP339" s="245"/>
    </x:row>
    <x:row r="340">
      <x:c r="A340" s="165" t="n">
        <x:v>336</x:v>
      </x:c>
      <x:c r="B340" s="233" t="str">
        <x:v>خرداد</x:v>
      </x:c>
      <x:c r="C340" s="233" t="n">
        <x:f>IF('دانش‌آموزان'!E32="","",'دانش‌آموزان'!B32)</x:f>
        <x:v>28</x:v>
      </x:c>
      <x:c r="D340" s="233" t="str">
        <x:f>IF('دانش‌آموزان'!C32="","",'دانش‌آموزان'!C32)</x:f>
        <x:v>4000000284</x:v>
      </x:c>
      <x:c r="E340" s="233" t="str">
        <x:f>IF('دانش‌آموزان'!E32="","",'دانش‌آموزان'!E32&amp;" "&amp;'دانش‌آموزان'!F32)</x:f>
        <x:v>نگار جعفری</x:v>
      </x:c>
      <x:c r="F340" s="166" t="str">
        <x:f>IF('دانش‌آموزان'!I32="","",'دانش‌آموزان'!I32)</x:f>
        <x:v>sample-7-b</x:v>
      </x:c>
      <x:c r="G340" s="114"/>
      <x:c r="H340" s="115"/>
      <x:c r="I340" s="115"/>
      <x:c r="J340" s="115"/>
      <x:c r="K340" s="115"/>
      <x:c r="L340" s="115"/>
      <x:c r="M340" s="115"/>
      <x:c r="N340" s="115"/>
      <x:c r="O340" s="115"/>
      <x:c r="P340" s="115"/>
      <x:c r="Q340" s="115"/>
      <x:c r="R340" s="115"/>
      <x:c r="S340" s="115"/>
      <x:c r="T340" s="115"/>
      <x:c r="U340" s="115"/>
      <x:c r="V340" s="115"/>
      <x:c r="W340" s="115"/>
      <x:c r="X340" s="115"/>
      <x:c r="Y340" s="115"/>
      <x:c r="Z340" s="115"/>
      <x:c r="AA340" s="115"/>
      <x:c r="AB340" s="115"/>
      <x:c r="AC340" s="115"/>
      <x:c r="AD340" s="115"/>
      <x:c r="AE340" s="115"/>
      <x:c r="AF340" s="115"/>
      <x:c r="AG340" s="115"/>
      <x:c r="AH340" s="115"/>
      <x:c r="AI340" s="115"/>
      <x:c r="AJ340" s="115"/>
      <x:c r="AK340" s="115"/>
      <x:c r="AL340" s="115"/>
      <x:c r="AM340" s="115"/>
      <x:c r="AN340" s="115"/>
      <x:c r="AO340" s="115"/>
      <x:c r="AP340" s="115"/>
      <x:c r="AQ340" s="115"/>
      <x:c r="AR340" s="115"/>
      <x:c r="AS340" s="115"/>
      <x:c r="AT340" s="115"/>
      <x:c r="AU340" s="115"/>
      <x:c r="AV340" s="115"/>
      <x:c r="AW340" s="115"/>
      <x:c r="AX340" s="115"/>
      <x:c r="AY340" s="115"/>
      <x:c r="AZ340" s="115"/>
      <x:c r="BA340" s="115"/>
      <x:c r="BB340" s="115"/>
      <x:c r="BC340" s="115"/>
      <x:c r="BD340" s="115"/>
      <x:c r="BE340" s="115"/>
      <x:c r="BF340" s="115"/>
      <x:c r="BG340" s="115"/>
      <x:c r="BH340" s="115"/>
      <x:c r="BI340" s="115"/>
      <x:c r="BJ340" s="115"/>
      <x:c r="BK340" s="115"/>
      <x:c r="BL340" s="115"/>
      <x:c r="BM340" s="115"/>
      <x:c r="BN340" s="115"/>
      <x:c r="BO340" s="115"/>
      <x:c r="BP340" s="115"/>
      <x:c r="BQ340" s="115"/>
      <x:c r="BR340" s="115"/>
      <x:c r="BS340" s="115"/>
      <x:c r="BT340" s="115"/>
      <x:c r="BU340" s="115"/>
      <x:c r="BV340" s="115"/>
      <x:c r="BW340" s="115"/>
      <x:c r="BX340" s="115"/>
      <x:c r="BY340" s="115"/>
      <x:c r="BZ340" s="115"/>
      <x:c r="CA340" s="115"/>
      <x:c r="CB340" s="116"/>
      <x:c r="CC340" s="141" t="str">
        <x:f>IF(COUNT(G340:P340)=0,"",AVERAGE(G340:P340)*4)</x:f>
      </x:c>
      <x:c r="CD340" s="178" t="str">
        <x:f>IF(COUNT(Q340:Z340)=0,"",AVERAGE(Q340:Z340)*4)</x:f>
      </x:c>
      <x:c r="CE340" s="178" t="str">
        <x:f>IF(COUNT(AA340:AJ340)=0,"",AVERAGE(AA340:AJ340)*4)</x:f>
      </x:c>
      <x:c r="CF340" s="178" t="str">
        <x:f>IF(COUNT(AK340:AR340)=0,"",AVERAGE(AK340:AR340)*4)</x:f>
      </x:c>
      <x:c r="CG340" s="178" t="str">
        <x:f>IF(COUNT(AS340:AY340)=0,"",AVERAGE(AS340:AY340)*4)</x:f>
      </x:c>
      <x:c r="CH340" s="178" t="str">
        <x:f>IF(COUNT(AZ340:BG340)=0,"",AVERAGE(AZ340:BG340)*4)</x:f>
      </x:c>
      <x:c r="CI340" s="178" t="str">
        <x:f>IF(COUNT(BH340:BN340)=0,"",AVERAGE(BH340:BN340)*4)</x:f>
      </x:c>
      <x:c r="CJ340" s="178" t="str">
        <x:f>IF(COUNT(BO340:BU340)=0,"",AVERAGE(BO340:BU340)*4)</x:f>
      </x:c>
      <x:c r="CK340" s="178" t="str">
        <x:f>IF(COUNT(BV340:CB340)=0,"",AVERAGE(BV340:CB340)*4)</x:f>
      </x:c>
      <x:c r="CL340" s="178" t="str">
        <x:f>IF(C340="","",IF(COUNT(G340:CB340)&lt;74,"",(CC340*'تنظیمات وزن‌دهی'!$C$5+CD340*'تنظیمات وزن‌دهی'!$C$6+CE340*'تنظیمات وزن‌دهی'!$C$7+CF340*'تنظیمات وزن‌دهی'!$C$8+CG340*'تنظیمات وزن‌دهی'!$C$9+CH340*'تنظیمات وزن‌دهی'!$C$10+CI340*'تنظیمات وزن‌دهی'!$C$11+CJ340*'تنظیمات وزن‌دهی'!$C$12+CK340*'تنظیمات وزن‌دهی'!$C$13)/100))</x:f>
      </x:c>
      <x:c r="CM340" s="178" t="str">
        <x:f>IF(C340="","",IF(COUNT(G340:CB340)=0,"",IF(COUNT(G340:CB340)&lt;74,"موقت - اطلاعات ناقص",IF(CL340&gt;=17,"عالی",IF(CL340&gt;=14,"خوب",IF(CL340&gt;=10,"متوسط","ضعیف"))))))</x:f>
      </x:c>
      <x:c r="CN340" s="178" t="n">
        <x:v>12</x:v>
      </x:c>
      <x:c r="CO340" s="142" t="n">
        <x:f>IF(C340="","",COUNT(G340:CB340)/74)</x:f>
        <x:v>0</x:v>
      </x:c>
      <x:c r="CP340" s="245"/>
    </x:row>
    <x:row r="341">
      <x:c r="A341" s="165" t="n">
        <x:v>337</x:v>
      </x:c>
      <x:c r="B341" s="233" t="str">
        <x:v>تیر</x:v>
      </x:c>
      <x:c r="C341" s="233" t="n">
        <x:f>IF('دانش‌آموزان'!E33="","",'دانش‌آموزان'!B33)</x:f>
        <x:v>29</x:v>
      </x:c>
      <x:c r="D341" s="233" t="str">
        <x:f>IF('دانش‌آموزان'!C33="","",'دانش‌آموزان'!C33)</x:f>
        <x:v>4000000292</x:v>
      </x:c>
      <x:c r="E341" s="233" t="str">
        <x:f>IF('دانش‌آموزان'!E33="","",'دانش‌آموزان'!E33&amp;" "&amp;'دانش‌آموزان'!F33)</x:f>
        <x:v>سام امینی</x:v>
      </x:c>
      <x:c r="F341" s="166" t="str">
        <x:f>IF('دانش‌آموزان'!I33="","",'دانش‌آموزان'!I33)</x:f>
        <x:v>sample-7-b</x:v>
      </x:c>
      <x:c r="G341" s="114" t="n">
        <x:v>4</x:v>
      </x:c>
      <x:c r="H341" s="115" t="n">
        <x:v>3</x:v>
      </x:c>
      <x:c r="I341" s="115" t="n">
        <x:v>4</x:v>
      </x:c>
      <x:c r="J341" s="115" t="n">
        <x:v>2</x:v>
      </x:c>
      <x:c r="K341" s="115" t="n">
        <x:v>4</x:v>
      </x:c>
      <x:c r="L341" s="115" t="n">
        <x:v>5</x:v>
      </x:c>
      <x:c r="M341" s="115" t="n">
        <x:v>4</x:v>
      </x:c>
      <x:c r="N341" s="115" t="n">
        <x:v>5</x:v>
      </x:c>
      <x:c r="O341" s="115" t="n">
        <x:v>3</x:v>
      </x:c>
      <x:c r="P341" s="115" t="n">
        <x:v>5</x:v>
      </x:c>
      <x:c r="Q341" s="115" t="n">
        <x:v>3</x:v>
      </x:c>
      <x:c r="R341" s="115" t="n">
        <x:v>4</x:v>
      </x:c>
      <x:c r="S341" s="115" t="n">
        <x:v>3</x:v>
      </x:c>
      <x:c r="T341" s="115" t="n">
        <x:v>4</x:v>
      </x:c>
      <x:c r="U341" s="115" t="n">
        <x:v>2</x:v>
      </x:c>
      <x:c r="V341" s="115" t="n">
        <x:v>4</x:v>
      </x:c>
      <x:c r="W341" s="115" t="n">
        <x:v>5</x:v>
      </x:c>
      <x:c r="X341" s="115" t="n">
        <x:v>4</x:v>
      </x:c>
      <x:c r="Y341" s="115" t="n">
        <x:v>5</x:v>
      </x:c>
      <x:c r="Z341" s="115" t="n">
        <x:v>3</x:v>
      </x:c>
      <x:c r="AA341" s="115" t="n">
        <x:v>5</x:v>
      </x:c>
      <x:c r="AB341" s="115" t="n">
        <x:v>3</x:v>
      </x:c>
      <x:c r="AC341" s="115" t="n">
        <x:v>4</x:v>
      </x:c>
      <x:c r="AD341" s="115" t="n">
        <x:v>3</x:v>
      </x:c>
      <x:c r="AE341" s="115" t="n">
        <x:v>4</x:v>
      </x:c>
      <x:c r="AF341" s="115" t="n">
        <x:v>2</x:v>
      </x:c>
      <x:c r="AG341" s="115" t="n">
        <x:v>4</x:v>
      </x:c>
      <x:c r="AH341" s="115" t="n">
        <x:v>5</x:v>
      </x:c>
      <x:c r="AI341" s="115" t="n">
        <x:v>4</x:v>
      </x:c>
      <x:c r="AJ341" s="115" t="n">
        <x:v>5</x:v>
      </x:c>
      <x:c r="AK341" s="115" t="n">
        <x:v>3</x:v>
      </x:c>
      <x:c r="AL341" s="115" t="n">
        <x:v>5</x:v>
      </x:c>
      <x:c r="AM341" s="115" t="n">
        <x:v>3</x:v>
      </x:c>
      <x:c r="AN341" s="115" t="n">
        <x:v>4</x:v>
      </x:c>
      <x:c r="AO341" s="115" t="n">
        <x:v>3</x:v>
      </x:c>
      <x:c r="AP341" s="115" t="n">
        <x:v>4</x:v>
      </x:c>
      <x:c r="AQ341" s="115" t="n">
        <x:v>2</x:v>
      </x:c>
      <x:c r="AR341" s="115" t="n">
        <x:v>4</x:v>
      </x:c>
      <x:c r="AS341" s="115" t="n">
        <x:v>5</x:v>
      </x:c>
      <x:c r="AT341" s="115" t="n">
        <x:v>4</x:v>
      </x:c>
      <x:c r="AU341" s="115" t="n">
        <x:v>5</x:v>
      </x:c>
      <x:c r="AV341" s="115" t="n">
        <x:v>3</x:v>
      </x:c>
      <x:c r="AW341" s="115" t="n">
        <x:v>5</x:v>
      </x:c>
      <x:c r="AX341" s="115" t="n">
        <x:v>3</x:v>
      </x:c>
      <x:c r="AY341" s="115" t="n">
        <x:v>4</x:v>
      </x:c>
      <x:c r="AZ341" s="115" t="n">
        <x:v>3</x:v>
      </x:c>
      <x:c r="BA341" s="115" t="n">
        <x:v>4</x:v>
      </x:c>
      <x:c r="BB341" s="115" t="n">
        <x:v>2</x:v>
      </x:c>
      <x:c r="BC341" s="115" t="n">
        <x:v>4</x:v>
      </x:c>
      <x:c r="BD341" s="115" t="n">
        <x:v>5</x:v>
      </x:c>
      <x:c r="BE341" s="115" t="n">
        <x:v>4</x:v>
      </x:c>
      <x:c r="BF341" s="115" t="n">
        <x:v>5</x:v>
      </x:c>
      <x:c r="BG341" s="115" t="n">
        <x:v>3</x:v>
      </x:c>
      <x:c r="BH341" s="115" t="n">
        <x:v>5</x:v>
      </x:c>
      <x:c r="BI341" s="115" t="n">
        <x:v>3</x:v>
      </x:c>
      <x:c r="BJ341" s="115" t="n">
        <x:v>4</x:v>
      </x:c>
      <x:c r="BK341" s="115" t="n">
        <x:v>3</x:v>
      </x:c>
      <x:c r="BL341" s="115" t="n">
        <x:v>4</x:v>
      </x:c>
      <x:c r="BM341" s="115" t="n">
        <x:v>2</x:v>
      </x:c>
      <x:c r="BN341" s="115" t="n">
        <x:v>4</x:v>
      </x:c>
      <x:c r="BO341" s="115" t="n">
        <x:v>5</x:v>
      </x:c>
      <x:c r="BP341" s="115" t="n">
        <x:v>4</x:v>
      </x:c>
      <x:c r="BQ341" s="115" t="n">
        <x:v>5</x:v>
      </x:c>
      <x:c r="BR341" s="115" t="n">
        <x:v>3</x:v>
      </x:c>
      <x:c r="BS341" s="115" t="n">
        <x:v>5</x:v>
      </x:c>
      <x:c r="BT341" s="115" t="n">
        <x:v>3</x:v>
      </x:c>
      <x:c r="BU341" s="115" t="n">
        <x:v>4</x:v>
      </x:c>
      <x:c r="BV341" s="115" t="n">
        <x:v>3</x:v>
      </x:c>
      <x:c r="BW341" s="115" t="n">
        <x:v>4</x:v>
      </x:c>
      <x:c r="BX341" s="115" t="n">
        <x:v>2</x:v>
      </x:c>
      <x:c r="BY341" s="115" t="n">
        <x:v>4</x:v>
      </x:c>
      <x:c r="BZ341" s="115" t="n">
        <x:v>5</x:v>
      </x:c>
      <x:c r="CA341" s="115" t="n">
        <x:v>4</x:v>
      </x:c>
      <x:c r="CB341" s="116" t="n">
        <x:v>5</x:v>
      </x:c>
      <x:c r="CC341" s="141" t="n">
        <x:f>IF(COUNT(G341:P341)=0,"",AVERAGE(G341:P341)*4)</x:f>
        <x:v>15.6</x:v>
      </x:c>
      <x:c r="CD341" s="178" t="n">
        <x:f>IF(COUNT(Q341:Z341)=0,"",AVERAGE(Q341:Z341)*4)</x:f>
        <x:v>14.8</x:v>
      </x:c>
      <x:c r="CE341" s="178" t="n">
        <x:f>IF(COUNT(AA341:AJ341)=0,"",AVERAGE(AA341:AJ341)*4)</x:f>
        <x:v>15.6</x:v>
      </x:c>
      <x:c r="CF341" s="178" t="n">
        <x:f>IF(COUNT(AK341:AR341)=0,"",AVERAGE(AK341:AR341)*4)</x:f>
        <x:v>14</x:v>
      </x:c>
      <x:c r="CG341" s="178" t="n">
        <x:f>IF(COUNT(AS341:AY341)=0,"",AVERAGE(AS341:AY341)*4)</x:f>
        <x:v>16.571428571428573</x:v>
      </x:c>
      <x:c r="CH341" s="178" t="n">
        <x:f>IF(COUNT(AZ341:BG341)=0,"",AVERAGE(AZ341:BG341)*4)</x:f>
        <x:v>15</x:v>
      </x:c>
      <x:c r="CI341" s="178" t="n">
        <x:f>IF(COUNT(BH341:BN341)=0,"",AVERAGE(BH341:BN341)*4)</x:f>
        <x:v>14.285714285714286</x:v>
      </x:c>
      <x:c r="CJ341" s="178" t="n">
        <x:f>IF(COUNT(BO341:BU341)=0,"",AVERAGE(BO341:BU341)*4)</x:f>
        <x:v>16.571428571428573</x:v>
      </x:c>
      <x:c r="CK341" s="178" t="n">
        <x:f>IF(COUNT(BV341:CB341)=0,"",AVERAGE(BV341:CB341)*4)</x:f>
        <x:v>15.428571428571429</x:v>
      </x:c>
      <x:c r="CL341" s="178" t="n">
        <x:f>IF(C341="","",IF(COUNT(G341:CB341)&lt;74,"",(CC341*'تنظیمات وزن‌دهی'!$C$5+CD341*'تنظیمات وزن‌دهی'!$C$6+CE341*'تنظیمات وزن‌دهی'!$C$7+CF341*'تنظیمات وزن‌دهی'!$C$8+CG341*'تنظیمات وزن‌دهی'!$C$9+CH341*'تنظیمات وزن‌دهی'!$C$10+CI341*'تنظیمات وزن‌دهی'!$C$11+CJ341*'تنظیمات وزن‌دهی'!$C$12+CK341*'تنظیمات وزن‌دهی'!$C$13)/100))</x:f>
        <x:v>15.214285714285715</x:v>
      </x:c>
      <x:c r="CM341" s="178" t="str">
        <x:f>IF(C341="","",IF(COUNT(G341:CB341)=0,"",IF(COUNT(G341:CB341)&lt;74,"موقت - اطلاعات ناقص",IF(CL341&gt;=17,"عالی",IF(CL341&gt;=14,"خوب",IF(CL341&gt;=10,"متوسط","ضعیف"))))))</x:f>
        <x:v>خوب</x:v>
      </x:c>
      <x:c r="CN341" s="178" t="n">
        <x:v>1</x:v>
      </x:c>
      <x:c r="CO341" s="142" t="n">
        <x:f>IF(C341="","",COUNT(G341:CB341)/74)</x:f>
        <x:v>1</x:v>
      </x:c>
      <x:c r="CP341" s="245" t="str">
        <x:v>داده نمونه کامل برای ماه تیر - دانش‌آموز شماره 29</x:v>
      </x:c>
    </x:row>
    <x:row r="342">
      <x:c r="A342" s="165" t="n">
        <x:v>338</x:v>
      </x:c>
      <x:c r="B342" s="233" t="str">
        <x:v>مرداد</x:v>
      </x:c>
      <x:c r="C342" s="233" t="n">
        <x:f>IF('دانش‌آموزان'!E33="","",'دانش‌آموزان'!B33)</x:f>
        <x:v>29</x:v>
      </x:c>
      <x:c r="D342" s="233" t="str">
        <x:f>IF('دانش‌آموزان'!C33="","",'دانش‌آموزان'!C33)</x:f>
        <x:v>4000000292</x:v>
      </x:c>
      <x:c r="E342" s="233" t="str">
        <x:f>IF('دانش‌آموزان'!E33="","",'دانش‌آموزان'!E33&amp;" "&amp;'دانش‌آموزان'!F33)</x:f>
        <x:v>سام امینی</x:v>
      </x:c>
      <x:c r="F342" s="166" t="str">
        <x:f>IF('دانش‌آموزان'!I33="","",'دانش‌آموزان'!I33)</x:f>
        <x:v>sample-7-b</x:v>
      </x:c>
      <x:c r="G342" s="114"/>
      <x:c r="H342" s="115"/>
      <x:c r="I342" s="115"/>
      <x:c r="J342" s="115"/>
      <x:c r="K342" s="115"/>
      <x:c r="L342" s="115"/>
      <x:c r="M342" s="115"/>
      <x:c r="N342" s="115"/>
      <x:c r="O342" s="115"/>
      <x:c r="P342" s="115"/>
      <x:c r="Q342" s="115"/>
      <x:c r="R342" s="115"/>
      <x:c r="S342" s="115"/>
      <x:c r="T342" s="115"/>
      <x:c r="U342" s="115"/>
      <x:c r="V342" s="115"/>
      <x:c r="W342" s="115"/>
      <x:c r="X342" s="115"/>
      <x:c r="Y342" s="115"/>
      <x:c r="Z342" s="115"/>
      <x:c r="AA342" s="115"/>
      <x:c r="AB342" s="115"/>
      <x:c r="AC342" s="115"/>
      <x:c r="AD342" s="115"/>
      <x:c r="AE342" s="115"/>
      <x:c r="AF342" s="115"/>
      <x:c r="AG342" s="115"/>
      <x:c r="AH342" s="115"/>
      <x:c r="AI342" s="115"/>
      <x:c r="AJ342" s="115"/>
      <x:c r="AK342" s="115"/>
      <x:c r="AL342" s="115"/>
      <x:c r="AM342" s="115"/>
      <x:c r="AN342" s="115"/>
      <x:c r="AO342" s="115"/>
      <x:c r="AP342" s="115"/>
      <x:c r="AQ342" s="115"/>
      <x:c r="AR342" s="115"/>
      <x:c r="AS342" s="115"/>
      <x:c r="AT342" s="115"/>
      <x:c r="AU342" s="115"/>
      <x:c r="AV342" s="115"/>
      <x:c r="AW342" s="115"/>
      <x:c r="AX342" s="115"/>
      <x:c r="AY342" s="115"/>
      <x:c r="AZ342" s="115"/>
      <x:c r="BA342" s="115"/>
      <x:c r="BB342" s="115"/>
      <x:c r="BC342" s="115"/>
      <x:c r="BD342" s="115"/>
      <x:c r="BE342" s="115"/>
      <x:c r="BF342" s="115"/>
      <x:c r="BG342" s="115"/>
      <x:c r="BH342" s="115"/>
      <x:c r="BI342" s="115"/>
      <x:c r="BJ342" s="115"/>
      <x:c r="BK342" s="115"/>
      <x:c r="BL342" s="115"/>
      <x:c r="BM342" s="115"/>
      <x:c r="BN342" s="115"/>
      <x:c r="BO342" s="115"/>
      <x:c r="BP342" s="115"/>
      <x:c r="BQ342" s="115"/>
      <x:c r="BR342" s="115"/>
      <x:c r="BS342" s="115"/>
      <x:c r="BT342" s="115"/>
      <x:c r="BU342" s="115"/>
      <x:c r="BV342" s="115"/>
      <x:c r="BW342" s="115"/>
      <x:c r="BX342" s="115"/>
      <x:c r="BY342" s="115"/>
      <x:c r="BZ342" s="115"/>
      <x:c r="CA342" s="115"/>
      <x:c r="CB342" s="116"/>
      <x:c r="CC342" s="141" t="str">
        <x:f>IF(COUNT(G342:P342)=0,"",AVERAGE(G342:P342)*4)</x:f>
      </x:c>
      <x:c r="CD342" s="178" t="str">
        <x:f>IF(COUNT(Q342:Z342)=0,"",AVERAGE(Q342:Z342)*4)</x:f>
      </x:c>
      <x:c r="CE342" s="178" t="str">
        <x:f>IF(COUNT(AA342:AJ342)=0,"",AVERAGE(AA342:AJ342)*4)</x:f>
      </x:c>
      <x:c r="CF342" s="178" t="str">
        <x:f>IF(COUNT(AK342:AR342)=0,"",AVERAGE(AK342:AR342)*4)</x:f>
      </x:c>
      <x:c r="CG342" s="178" t="str">
        <x:f>IF(COUNT(AS342:AY342)=0,"",AVERAGE(AS342:AY342)*4)</x:f>
      </x:c>
      <x:c r="CH342" s="178" t="str">
        <x:f>IF(COUNT(AZ342:BG342)=0,"",AVERAGE(AZ342:BG342)*4)</x:f>
      </x:c>
      <x:c r="CI342" s="178" t="str">
        <x:f>IF(COUNT(BH342:BN342)=0,"",AVERAGE(BH342:BN342)*4)</x:f>
      </x:c>
      <x:c r="CJ342" s="178" t="str">
        <x:f>IF(COUNT(BO342:BU342)=0,"",AVERAGE(BO342:BU342)*4)</x:f>
      </x:c>
      <x:c r="CK342" s="178" t="str">
        <x:f>IF(COUNT(BV342:CB342)=0,"",AVERAGE(BV342:CB342)*4)</x:f>
      </x:c>
      <x:c r="CL342" s="178" t="str">
        <x:f>IF(C342="","",IF(COUNT(G342:CB342)&lt;74,"",(CC342*'تنظیمات وزن‌دهی'!$C$5+CD342*'تنظیمات وزن‌دهی'!$C$6+CE342*'تنظیمات وزن‌دهی'!$C$7+CF342*'تنظیمات وزن‌دهی'!$C$8+CG342*'تنظیمات وزن‌دهی'!$C$9+CH342*'تنظیمات وزن‌دهی'!$C$10+CI342*'تنظیمات وزن‌دهی'!$C$11+CJ342*'تنظیمات وزن‌دهی'!$C$12+CK342*'تنظیمات وزن‌دهی'!$C$13)/100))</x:f>
      </x:c>
      <x:c r="CM342" s="178" t="str">
        <x:f>IF(C342="","",IF(COUNT(G342:CB342)=0,"",IF(COUNT(G342:CB342)&lt;74,"موقت - اطلاعات ناقص",IF(CL342&gt;=17,"عالی",IF(CL342&gt;=14,"خوب",IF(CL342&gt;=10,"متوسط","ضعیف"))))))</x:f>
      </x:c>
      <x:c r="CN342" s="178" t="n">
        <x:v>2</x:v>
      </x:c>
      <x:c r="CO342" s="142" t="n">
        <x:f>IF(C342="","",COUNT(G342:CB342)/74)</x:f>
        <x:v>0</x:v>
      </x:c>
      <x:c r="CP342" s="245"/>
    </x:row>
    <x:row r="343">
      <x:c r="A343" s="165" t="n">
        <x:v>339</x:v>
      </x:c>
      <x:c r="B343" s="233" t="str">
        <x:v>شهریور</x:v>
      </x:c>
      <x:c r="C343" s="233" t="n">
        <x:f>IF('دانش‌آموزان'!E33="","",'دانش‌آموزان'!B33)</x:f>
        <x:v>29</x:v>
      </x:c>
      <x:c r="D343" s="233" t="str">
        <x:f>IF('دانش‌آموزان'!C33="","",'دانش‌آموزان'!C33)</x:f>
        <x:v>4000000292</x:v>
      </x:c>
      <x:c r="E343" s="233" t="str">
        <x:f>IF('دانش‌آموزان'!E33="","",'دانش‌آموزان'!E33&amp;" "&amp;'دانش‌آموزان'!F33)</x:f>
        <x:v>سام امینی</x:v>
      </x:c>
      <x:c r="F343" s="166" t="str">
        <x:f>IF('دانش‌آموزان'!I33="","",'دانش‌آموزان'!I33)</x:f>
        <x:v>sample-7-b</x:v>
      </x:c>
      <x:c r="G343" s="114"/>
      <x:c r="H343" s="115"/>
      <x:c r="I343" s="115"/>
      <x:c r="J343" s="115"/>
      <x:c r="K343" s="115"/>
      <x:c r="L343" s="115"/>
      <x:c r="M343" s="115"/>
      <x:c r="N343" s="115"/>
      <x:c r="O343" s="115"/>
      <x:c r="P343" s="115"/>
      <x:c r="Q343" s="115"/>
      <x:c r="R343" s="115"/>
      <x:c r="S343" s="115"/>
      <x:c r="T343" s="115"/>
      <x:c r="U343" s="115"/>
      <x:c r="V343" s="115"/>
      <x:c r="W343" s="115"/>
      <x:c r="X343" s="115"/>
      <x:c r="Y343" s="115"/>
      <x:c r="Z343" s="115"/>
      <x:c r="AA343" s="115"/>
      <x:c r="AB343" s="115"/>
      <x:c r="AC343" s="115"/>
      <x:c r="AD343" s="115"/>
      <x:c r="AE343" s="115"/>
      <x:c r="AF343" s="115"/>
      <x:c r="AG343" s="115"/>
      <x:c r="AH343" s="115"/>
      <x:c r="AI343" s="115"/>
      <x:c r="AJ343" s="115"/>
      <x:c r="AK343" s="115"/>
      <x:c r="AL343" s="115"/>
      <x:c r="AM343" s="115"/>
      <x:c r="AN343" s="115"/>
      <x:c r="AO343" s="115"/>
      <x:c r="AP343" s="115"/>
      <x:c r="AQ343" s="115"/>
      <x:c r="AR343" s="115"/>
      <x:c r="AS343" s="115"/>
      <x:c r="AT343" s="115"/>
      <x:c r="AU343" s="115"/>
      <x:c r="AV343" s="115"/>
      <x:c r="AW343" s="115"/>
      <x:c r="AX343" s="115"/>
      <x:c r="AY343" s="115"/>
      <x:c r="AZ343" s="115"/>
      <x:c r="BA343" s="115"/>
      <x:c r="BB343" s="115"/>
      <x:c r="BC343" s="115"/>
      <x:c r="BD343" s="115"/>
      <x:c r="BE343" s="115"/>
      <x:c r="BF343" s="115"/>
      <x:c r="BG343" s="115"/>
      <x:c r="BH343" s="115"/>
      <x:c r="BI343" s="115"/>
      <x:c r="BJ343" s="115"/>
      <x:c r="BK343" s="115"/>
      <x:c r="BL343" s="115"/>
      <x:c r="BM343" s="115"/>
      <x:c r="BN343" s="115"/>
      <x:c r="BO343" s="115"/>
      <x:c r="BP343" s="115"/>
      <x:c r="BQ343" s="115"/>
      <x:c r="BR343" s="115"/>
      <x:c r="BS343" s="115"/>
      <x:c r="BT343" s="115"/>
      <x:c r="BU343" s="115"/>
      <x:c r="BV343" s="115"/>
      <x:c r="BW343" s="115"/>
      <x:c r="BX343" s="115"/>
      <x:c r="BY343" s="115"/>
      <x:c r="BZ343" s="115"/>
      <x:c r="CA343" s="115"/>
      <x:c r="CB343" s="116"/>
      <x:c r="CC343" s="141" t="str">
        <x:f>IF(COUNT(G343:P343)=0,"",AVERAGE(G343:P343)*4)</x:f>
      </x:c>
      <x:c r="CD343" s="178" t="str">
        <x:f>IF(COUNT(Q343:Z343)=0,"",AVERAGE(Q343:Z343)*4)</x:f>
      </x:c>
      <x:c r="CE343" s="178" t="str">
        <x:f>IF(COUNT(AA343:AJ343)=0,"",AVERAGE(AA343:AJ343)*4)</x:f>
      </x:c>
      <x:c r="CF343" s="178" t="str">
        <x:f>IF(COUNT(AK343:AR343)=0,"",AVERAGE(AK343:AR343)*4)</x:f>
      </x:c>
      <x:c r="CG343" s="178" t="str">
        <x:f>IF(COUNT(AS343:AY343)=0,"",AVERAGE(AS343:AY343)*4)</x:f>
      </x:c>
      <x:c r="CH343" s="178" t="str">
        <x:f>IF(COUNT(AZ343:BG343)=0,"",AVERAGE(AZ343:BG343)*4)</x:f>
      </x:c>
      <x:c r="CI343" s="178" t="str">
        <x:f>IF(COUNT(BH343:BN343)=0,"",AVERAGE(BH343:BN343)*4)</x:f>
      </x:c>
      <x:c r="CJ343" s="178" t="str">
        <x:f>IF(COUNT(BO343:BU343)=0,"",AVERAGE(BO343:BU343)*4)</x:f>
      </x:c>
      <x:c r="CK343" s="178" t="str">
        <x:f>IF(COUNT(BV343:CB343)=0,"",AVERAGE(BV343:CB343)*4)</x:f>
      </x:c>
      <x:c r="CL343" s="178" t="str">
        <x:f>IF(C343="","",IF(COUNT(G343:CB343)&lt;74,"",(CC343*'تنظیمات وزن‌دهی'!$C$5+CD343*'تنظیمات وزن‌دهی'!$C$6+CE343*'تنظیمات وزن‌دهی'!$C$7+CF343*'تنظیمات وزن‌دهی'!$C$8+CG343*'تنظیمات وزن‌دهی'!$C$9+CH343*'تنظیمات وزن‌دهی'!$C$10+CI343*'تنظیمات وزن‌دهی'!$C$11+CJ343*'تنظیمات وزن‌دهی'!$C$12+CK343*'تنظیمات وزن‌دهی'!$C$13)/100))</x:f>
      </x:c>
      <x:c r="CM343" s="178" t="str">
        <x:f>IF(C343="","",IF(COUNT(G343:CB343)=0,"",IF(COUNT(G343:CB343)&lt;74,"موقت - اطلاعات ناقص",IF(CL343&gt;=17,"عالی",IF(CL343&gt;=14,"خوب",IF(CL343&gt;=10,"متوسط","ضعیف"))))))</x:f>
      </x:c>
      <x:c r="CN343" s="178" t="n">
        <x:v>3</x:v>
      </x:c>
      <x:c r="CO343" s="142" t="n">
        <x:f>IF(C343="","",COUNT(G343:CB343)/74)</x:f>
        <x:v>0</x:v>
      </x:c>
      <x:c r="CP343" s="245"/>
    </x:row>
    <x:row r="344">
      <x:c r="A344" s="165" t="n">
        <x:v>340</x:v>
      </x:c>
      <x:c r="B344" s="233" t="str">
        <x:v>مهر</x:v>
      </x:c>
      <x:c r="C344" s="233" t="n">
        <x:f>IF('دانش‌آموزان'!E33="","",'دانش‌آموزان'!B33)</x:f>
        <x:v>29</x:v>
      </x:c>
      <x:c r="D344" s="233" t="str">
        <x:f>IF('دانش‌آموزان'!C33="","",'دانش‌آموزان'!C33)</x:f>
        <x:v>4000000292</x:v>
      </x:c>
      <x:c r="E344" s="233" t="str">
        <x:f>IF('دانش‌آموزان'!E33="","",'دانش‌آموزان'!E33&amp;" "&amp;'دانش‌آموزان'!F33)</x:f>
        <x:v>سام امینی</x:v>
      </x:c>
      <x:c r="F344" s="166" t="str">
        <x:f>IF('دانش‌آموزان'!I33="","",'دانش‌آموزان'!I33)</x:f>
        <x:v>sample-7-b</x:v>
      </x:c>
      <x:c r="G344" s="114"/>
      <x:c r="H344" s="115"/>
      <x:c r="I344" s="115"/>
      <x:c r="J344" s="115"/>
      <x:c r="K344" s="115"/>
      <x:c r="L344" s="115"/>
      <x:c r="M344" s="115"/>
      <x:c r="N344" s="115"/>
      <x:c r="O344" s="115"/>
      <x:c r="P344" s="115"/>
      <x:c r="Q344" s="115"/>
      <x:c r="R344" s="115"/>
      <x:c r="S344" s="115"/>
      <x:c r="T344" s="115"/>
      <x:c r="U344" s="115"/>
      <x:c r="V344" s="115"/>
      <x:c r="W344" s="115"/>
      <x:c r="X344" s="115"/>
      <x:c r="Y344" s="115"/>
      <x:c r="Z344" s="115"/>
      <x:c r="AA344" s="115"/>
      <x:c r="AB344" s="115"/>
      <x:c r="AC344" s="115"/>
      <x:c r="AD344" s="115"/>
      <x:c r="AE344" s="115"/>
      <x:c r="AF344" s="115"/>
      <x:c r="AG344" s="115"/>
      <x:c r="AH344" s="115"/>
      <x:c r="AI344" s="115"/>
      <x:c r="AJ344" s="115"/>
      <x:c r="AK344" s="115"/>
      <x:c r="AL344" s="115"/>
      <x:c r="AM344" s="115"/>
      <x:c r="AN344" s="115"/>
      <x:c r="AO344" s="115"/>
      <x:c r="AP344" s="115"/>
      <x:c r="AQ344" s="115"/>
      <x:c r="AR344" s="115"/>
      <x:c r="AS344" s="115"/>
      <x:c r="AT344" s="115"/>
      <x:c r="AU344" s="115"/>
      <x:c r="AV344" s="115"/>
      <x:c r="AW344" s="115"/>
      <x:c r="AX344" s="115"/>
      <x:c r="AY344" s="115"/>
      <x:c r="AZ344" s="115"/>
      <x:c r="BA344" s="115"/>
      <x:c r="BB344" s="115"/>
      <x:c r="BC344" s="115"/>
      <x:c r="BD344" s="115"/>
      <x:c r="BE344" s="115"/>
      <x:c r="BF344" s="115"/>
      <x:c r="BG344" s="115"/>
      <x:c r="BH344" s="115"/>
      <x:c r="BI344" s="115"/>
      <x:c r="BJ344" s="115"/>
      <x:c r="BK344" s="115"/>
      <x:c r="BL344" s="115"/>
      <x:c r="BM344" s="115"/>
      <x:c r="BN344" s="115"/>
      <x:c r="BO344" s="115"/>
      <x:c r="BP344" s="115"/>
      <x:c r="BQ344" s="115"/>
      <x:c r="BR344" s="115"/>
      <x:c r="BS344" s="115"/>
      <x:c r="BT344" s="115"/>
      <x:c r="BU344" s="115"/>
      <x:c r="BV344" s="115"/>
      <x:c r="BW344" s="115"/>
      <x:c r="BX344" s="115"/>
      <x:c r="BY344" s="115"/>
      <x:c r="BZ344" s="115"/>
      <x:c r="CA344" s="115"/>
      <x:c r="CB344" s="116"/>
      <x:c r="CC344" s="141" t="str">
        <x:f>IF(COUNT(G344:P344)=0,"",AVERAGE(G344:P344)*4)</x:f>
      </x:c>
      <x:c r="CD344" s="178" t="str">
        <x:f>IF(COUNT(Q344:Z344)=0,"",AVERAGE(Q344:Z344)*4)</x:f>
      </x:c>
      <x:c r="CE344" s="178" t="str">
        <x:f>IF(COUNT(AA344:AJ344)=0,"",AVERAGE(AA344:AJ344)*4)</x:f>
      </x:c>
      <x:c r="CF344" s="178" t="str">
        <x:f>IF(COUNT(AK344:AR344)=0,"",AVERAGE(AK344:AR344)*4)</x:f>
      </x:c>
      <x:c r="CG344" s="178" t="str">
        <x:f>IF(COUNT(AS344:AY344)=0,"",AVERAGE(AS344:AY344)*4)</x:f>
      </x:c>
      <x:c r="CH344" s="178" t="str">
        <x:f>IF(COUNT(AZ344:BG344)=0,"",AVERAGE(AZ344:BG344)*4)</x:f>
      </x:c>
      <x:c r="CI344" s="178" t="str">
        <x:f>IF(COUNT(BH344:BN344)=0,"",AVERAGE(BH344:BN344)*4)</x:f>
      </x:c>
      <x:c r="CJ344" s="178" t="str">
        <x:f>IF(COUNT(BO344:BU344)=0,"",AVERAGE(BO344:BU344)*4)</x:f>
      </x:c>
      <x:c r="CK344" s="178" t="str">
        <x:f>IF(COUNT(BV344:CB344)=0,"",AVERAGE(BV344:CB344)*4)</x:f>
      </x:c>
      <x:c r="CL344" s="178" t="str">
        <x:f>IF(C344="","",IF(COUNT(G344:CB344)&lt;74,"",(CC344*'تنظیمات وزن‌دهی'!$C$5+CD344*'تنظیمات وزن‌دهی'!$C$6+CE344*'تنظیمات وزن‌دهی'!$C$7+CF344*'تنظیمات وزن‌دهی'!$C$8+CG344*'تنظیمات وزن‌دهی'!$C$9+CH344*'تنظیمات وزن‌دهی'!$C$10+CI344*'تنظیمات وزن‌دهی'!$C$11+CJ344*'تنظیمات وزن‌دهی'!$C$12+CK344*'تنظیمات وزن‌دهی'!$C$13)/100))</x:f>
      </x:c>
      <x:c r="CM344" s="178" t="str">
        <x:f>IF(C344="","",IF(COUNT(G344:CB344)=0,"",IF(COUNT(G344:CB344)&lt;74,"موقت - اطلاعات ناقص",IF(CL344&gt;=17,"عالی",IF(CL344&gt;=14,"خوب",IF(CL344&gt;=10,"متوسط","ضعیف"))))))</x:f>
      </x:c>
      <x:c r="CN344" s="178" t="n">
        <x:v>4</x:v>
      </x:c>
      <x:c r="CO344" s="142" t="n">
        <x:f>IF(C344="","",COUNT(G344:CB344)/74)</x:f>
        <x:v>0</x:v>
      </x:c>
      <x:c r="CP344" s="245"/>
    </x:row>
    <x:row r="345">
      <x:c r="A345" s="165" t="n">
        <x:v>341</x:v>
      </x:c>
      <x:c r="B345" s="233" t="str">
        <x:v>آبان</x:v>
      </x:c>
      <x:c r="C345" s="233" t="n">
        <x:f>IF('دانش‌آموزان'!E33="","",'دانش‌آموزان'!B33)</x:f>
        <x:v>29</x:v>
      </x:c>
      <x:c r="D345" s="233" t="str">
        <x:f>IF('دانش‌آموزان'!C33="","",'دانش‌آموزان'!C33)</x:f>
        <x:v>4000000292</x:v>
      </x:c>
      <x:c r="E345" s="233" t="str">
        <x:f>IF('دانش‌آموزان'!E33="","",'دانش‌آموزان'!E33&amp;" "&amp;'دانش‌آموزان'!F33)</x:f>
        <x:v>سام امینی</x:v>
      </x:c>
      <x:c r="F345" s="166" t="str">
        <x:f>IF('دانش‌آموزان'!I33="","",'دانش‌آموزان'!I33)</x:f>
        <x:v>sample-7-b</x:v>
      </x:c>
      <x:c r="G345" s="114"/>
      <x:c r="H345" s="115"/>
      <x:c r="I345" s="115"/>
      <x:c r="J345" s="115"/>
      <x:c r="K345" s="115"/>
      <x:c r="L345" s="115"/>
      <x:c r="M345" s="115"/>
      <x:c r="N345" s="115"/>
      <x:c r="O345" s="115"/>
      <x:c r="P345" s="115"/>
      <x:c r="Q345" s="115"/>
      <x:c r="R345" s="115"/>
      <x:c r="S345" s="115"/>
      <x:c r="T345" s="115"/>
      <x:c r="U345" s="115"/>
      <x:c r="V345" s="115"/>
      <x:c r="W345" s="115"/>
      <x:c r="X345" s="115"/>
      <x:c r="Y345" s="115"/>
      <x:c r="Z345" s="115"/>
      <x:c r="AA345" s="115"/>
      <x:c r="AB345" s="115"/>
      <x:c r="AC345" s="115"/>
      <x:c r="AD345" s="115"/>
      <x:c r="AE345" s="115"/>
      <x:c r="AF345" s="115"/>
      <x:c r="AG345" s="115"/>
      <x:c r="AH345" s="115"/>
      <x:c r="AI345" s="115"/>
      <x:c r="AJ345" s="115"/>
      <x:c r="AK345" s="115"/>
      <x:c r="AL345" s="115"/>
      <x:c r="AM345" s="115"/>
      <x:c r="AN345" s="115"/>
      <x:c r="AO345" s="115"/>
      <x:c r="AP345" s="115"/>
      <x:c r="AQ345" s="115"/>
      <x:c r="AR345" s="115"/>
      <x:c r="AS345" s="115"/>
      <x:c r="AT345" s="115"/>
      <x:c r="AU345" s="115"/>
      <x:c r="AV345" s="115"/>
      <x:c r="AW345" s="115"/>
      <x:c r="AX345" s="115"/>
      <x:c r="AY345" s="115"/>
      <x:c r="AZ345" s="115"/>
      <x:c r="BA345" s="115"/>
      <x:c r="BB345" s="115"/>
      <x:c r="BC345" s="115"/>
      <x:c r="BD345" s="115"/>
      <x:c r="BE345" s="115"/>
      <x:c r="BF345" s="115"/>
      <x:c r="BG345" s="115"/>
      <x:c r="BH345" s="115"/>
      <x:c r="BI345" s="115"/>
      <x:c r="BJ345" s="115"/>
      <x:c r="BK345" s="115"/>
      <x:c r="BL345" s="115"/>
      <x:c r="BM345" s="115"/>
      <x:c r="BN345" s="115"/>
      <x:c r="BO345" s="115"/>
      <x:c r="BP345" s="115"/>
      <x:c r="BQ345" s="115"/>
      <x:c r="BR345" s="115"/>
      <x:c r="BS345" s="115"/>
      <x:c r="BT345" s="115"/>
      <x:c r="BU345" s="115"/>
      <x:c r="BV345" s="115"/>
      <x:c r="BW345" s="115"/>
      <x:c r="BX345" s="115"/>
      <x:c r="BY345" s="115"/>
      <x:c r="BZ345" s="115"/>
      <x:c r="CA345" s="115"/>
      <x:c r="CB345" s="116"/>
      <x:c r="CC345" s="141" t="str">
        <x:f>IF(COUNT(G345:P345)=0,"",AVERAGE(G345:P345)*4)</x:f>
      </x:c>
      <x:c r="CD345" s="178" t="str">
        <x:f>IF(COUNT(Q345:Z345)=0,"",AVERAGE(Q345:Z345)*4)</x:f>
      </x:c>
      <x:c r="CE345" s="178" t="str">
        <x:f>IF(COUNT(AA345:AJ345)=0,"",AVERAGE(AA345:AJ345)*4)</x:f>
      </x:c>
      <x:c r="CF345" s="178" t="str">
        <x:f>IF(COUNT(AK345:AR345)=0,"",AVERAGE(AK345:AR345)*4)</x:f>
      </x:c>
      <x:c r="CG345" s="178" t="str">
        <x:f>IF(COUNT(AS345:AY345)=0,"",AVERAGE(AS345:AY345)*4)</x:f>
      </x:c>
      <x:c r="CH345" s="178" t="str">
        <x:f>IF(COUNT(AZ345:BG345)=0,"",AVERAGE(AZ345:BG345)*4)</x:f>
      </x:c>
      <x:c r="CI345" s="178" t="str">
        <x:f>IF(COUNT(BH345:BN345)=0,"",AVERAGE(BH345:BN345)*4)</x:f>
      </x:c>
      <x:c r="CJ345" s="178" t="str">
        <x:f>IF(COUNT(BO345:BU345)=0,"",AVERAGE(BO345:BU345)*4)</x:f>
      </x:c>
      <x:c r="CK345" s="178" t="str">
        <x:f>IF(COUNT(BV345:CB345)=0,"",AVERAGE(BV345:CB345)*4)</x:f>
      </x:c>
      <x:c r="CL345" s="178" t="str">
        <x:f>IF(C345="","",IF(COUNT(G345:CB345)&lt;74,"",(CC345*'تنظیمات وزن‌دهی'!$C$5+CD345*'تنظیمات وزن‌دهی'!$C$6+CE345*'تنظیمات وزن‌دهی'!$C$7+CF345*'تنظیمات وزن‌دهی'!$C$8+CG345*'تنظیمات وزن‌دهی'!$C$9+CH345*'تنظیمات وزن‌دهی'!$C$10+CI345*'تنظیمات وزن‌دهی'!$C$11+CJ345*'تنظیمات وزن‌دهی'!$C$12+CK345*'تنظیمات وزن‌دهی'!$C$13)/100))</x:f>
      </x:c>
      <x:c r="CM345" s="178" t="str">
        <x:f>IF(C345="","",IF(COUNT(G345:CB345)=0,"",IF(COUNT(G345:CB345)&lt;74,"موقت - اطلاعات ناقص",IF(CL345&gt;=17,"عالی",IF(CL345&gt;=14,"خوب",IF(CL345&gt;=10,"متوسط","ضعیف"))))))</x:f>
      </x:c>
      <x:c r="CN345" s="178" t="n">
        <x:v>5</x:v>
      </x:c>
      <x:c r="CO345" s="142" t="n">
        <x:f>IF(C345="","",COUNT(G345:CB345)/74)</x:f>
        <x:v>0</x:v>
      </x:c>
      <x:c r="CP345" s="245"/>
    </x:row>
    <x:row r="346">
      <x:c r="A346" s="165" t="n">
        <x:v>342</x:v>
      </x:c>
      <x:c r="B346" s="233" t="str">
        <x:v>آذر</x:v>
      </x:c>
      <x:c r="C346" s="233" t="n">
        <x:f>IF('دانش‌آموزان'!E33="","",'دانش‌آموزان'!B33)</x:f>
        <x:v>29</x:v>
      </x:c>
      <x:c r="D346" s="233" t="str">
        <x:f>IF('دانش‌آموزان'!C33="","",'دانش‌آموزان'!C33)</x:f>
        <x:v>4000000292</x:v>
      </x:c>
      <x:c r="E346" s="233" t="str">
        <x:f>IF('دانش‌آموزان'!E33="","",'دانش‌آموزان'!E33&amp;" "&amp;'دانش‌آموزان'!F33)</x:f>
        <x:v>سام امینی</x:v>
      </x:c>
      <x:c r="F346" s="166" t="str">
        <x:f>IF('دانش‌آموزان'!I33="","",'دانش‌آموزان'!I33)</x:f>
        <x:v>sample-7-b</x:v>
      </x:c>
      <x:c r="G346" s="114"/>
      <x:c r="H346" s="115"/>
      <x:c r="I346" s="115"/>
      <x:c r="J346" s="115"/>
      <x:c r="K346" s="115"/>
      <x:c r="L346" s="115"/>
      <x:c r="M346" s="115"/>
      <x:c r="N346" s="115"/>
      <x:c r="O346" s="115"/>
      <x:c r="P346" s="115"/>
      <x:c r="Q346" s="115"/>
      <x:c r="R346" s="115"/>
      <x:c r="S346" s="115"/>
      <x:c r="T346" s="115"/>
      <x:c r="U346" s="115"/>
      <x:c r="V346" s="115"/>
      <x:c r="W346" s="115"/>
      <x:c r="X346" s="115"/>
      <x:c r="Y346" s="115"/>
      <x:c r="Z346" s="115"/>
      <x:c r="AA346" s="115"/>
      <x:c r="AB346" s="115"/>
      <x:c r="AC346" s="115"/>
      <x:c r="AD346" s="115"/>
      <x:c r="AE346" s="115"/>
      <x:c r="AF346" s="115"/>
      <x:c r="AG346" s="115"/>
      <x:c r="AH346" s="115"/>
      <x:c r="AI346" s="115"/>
      <x:c r="AJ346" s="115"/>
      <x:c r="AK346" s="115"/>
      <x:c r="AL346" s="115"/>
      <x:c r="AM346" s="115"/>
      <x:c r="AN346" s="115"/>
      <x:c r="AO346" s="115"/>
      <x:c r="AP346" s="115"/>
      <x:c r="AQ346" s="115"/>
      <x:c r="AR346" s="115"/>
      <x:c r="AS346" s="115"/>
      <x:c r="AT346" s="115"/>
      <x:c r="AU346" s="115"/>
      <x:c r="AV346" s="115"/>
      <x:c r="AW346" s="115"/>
      <x:c r="AX346" s="115"/>
      <x:c r="AY346" s="115"/>
      <x:c r="AZ346" s="115"/>
      <x:c r="BA346" s="115"/>
      <x:c r="BB346" s="115"/>
      <x:c r="BC346" s="115"/>
      <x:c r="BD346" s="115"/>
      <x:c r="BE346" s="115"/>
      <x:c r="BF346" s="115"/>
      <x:c r="BG346" s="115"/>
      <x:c r="BH346" s="115"/>
      <x:c r="BI346" s="115"/>
      <x:c r="BJ346" s="115"/>
      <x:c r="BK346" s="115"/>
      <x:c r="BL346" s="115"/>
      <x:c r="BM346" s="115"/>
      <x:c r="BN346" s="115"/>
      <x:c r="BO346" s="115"/>
      <x:c r="BP346" s="115"/>
      <x:c r="BQ346" s="115"/>
      <x:c r="BR346" s="115"/>
      <x:c r="BS346" s="115"/>
      <x:c r="BT346" s="115"/>
      <x:c r="BU346" s="115"/>
      <x:c r="BV346" s="115"/>
      <x:c r="BW346" s="115"/>
      <x:c r="BX346" s="115"/>
      <x:c r="BY346" s="115"/>
      <x:c r="BZ346" s="115"/>
      <x:c r="CA346" s="115"/>
      <x:c r="CB346" s="116"/>
      <x:c r="CC346" s="141" t="str">
        <x:f>IF(COUNT(G346:P346)=0,"",AVERAGE(G346:P346)*4)</x:f>
      </x:c>
      <x:c r="CD346" s="178" t="str">
        <x:f>IF(COUNT(Q346:Z346)=0,"",AVERAGE(Q346:Z346)*4)</x:f>
      </x:c>
      <x:c r="CE346" s="178" t="str">
        <x:f>IF(COUNT(AA346:AJ346)=0,"",AVERAGE(AA346:AJ346)*4)</x:f>
      </x:c>
      <x:c r="CF346" s="178" t="str">
        <x:f>IF(COUNT(AK346:AR346)=0,"",AVERAGE(AK346:AR346)*4)</x:f>
      </x:c>
      <x:c r="CG346" s="178" t="str">
        <x:f>IF(COUNT(AS346:AY346)=0,"",AVERAGE(AS346:AY346)*4)</x:f>
      </x:c>
      <x:c r="CH346" s="178" t="str">
        <x:f>IF(COUNT(AZ346:BG346)=0,"",AVERAGE(AZ346:BG346)*4)</x:f>
      </x:c>
      <x:c r="CI346" s="178" t="str">
        <x:f>IF(COUNT(BH346:BN346)=0,"",AVERAGE(BH346:BN346)*4)</x:f>
      </x:c>
      <x:c r="CJ346" s="178" t="str">
        <x:f>IF(COUNT(BO346:BU346)=0,"",AVERAGE(BO346:BU346)*4)</x:f>
      </x:c>
      <x:c r="CK346" s="178" t="str">
        <x:f>IF(COUNT(BV346:CB346)=0,"",AVERAGE(BV346:CB346)*4)</x:f>
      </x:c>
      <x:c r="CL346" s="178" t="str">
        <x:f>IF(C346="","",IF(COUNT(G346:CB346)&lt;74,"",(CC346*'تنظیمات وزن‌دهی'!$C$5+CD346*'تنظیمات وزن‌دهی'!$C$6+CE346*'تنظیمات وزن‌دهی'!$C$7+CF346*'تنظیمات وزن‌دهی'!$C$8+CG346*'تنظیمات وزن‌دهی'!$C$9+CH346*'تنظیمات وزن‌دهی'!$C$10+CI346*'تنظیمات وزن‌دهی'!$C$11+CJ346*'تنظیمات وزن‌دهی'!$C$12+CK346*'تنظیمات وزن‌دهی'!$C$13)/100))</x:f>
      </x:c>
      <x:c r="CM346" s="178" t="str">
        <x:f>IF(C346="","",IF(COUNT(G346:CB346)=0,"",IF(COUNT(G346:CB346)&lt;74,"موقت - اطلاعات ناقص",IF(CL346&gt;=17,"عالی",IF(CL346&gt;=14,"خوب",IF(CL346&gt;=10,"متوسط","ضعیف"))))))</x:f>
      </x:c>
      <x:c r="CN346" s="178" t="n">
        <x:v>6</x:v>
      </x:c>
      <x:c r="CO346" s="142" t="n">
        <x:f>IF(C346="","",COUNT(G346:CB346)/74)</x:f>
        <x:v>0</x:v>
      </x:c>
      <x:c r="CP346" s="245"/>
    </x:row>
    <x:row r="347">
      <x:c r="A347" s="165" t="n">
        <x:v>343</x:v>
      </x:c>
      <x:c r="B347" s="233" t="str">
        <x:v>دی</x:v>
      </x:c>
      <x:c r="C347" s="233" t="n">
        <x:f>IF('دانش‌آموزان'!E33="","",'دانش‌آموزان'!B33)</x:f>
        <x:v>29</x:v>
      </x:c>
      <x:c r="D347" s="233" t="str">
        <x:f>IF('دانش‌آموزان'!C33="","",'دانش‌آموزان'!C33)</x:f>
        <x:v>4000000292</x:v>
      </x:c>
      <x:c r="E347" s="233" t="str">
        <x:f>IF('دانش‌آموزان'!E33="","",'دانش‌آموزان'!E33&amp;" "&amp;'دانش‌آموزان'!F33)</x:f>
        <x:v>سام امینی</x:v>
      </x:c>
      <x:c r="F347" s="166" t="str">
        <x:f>IF('دانش‌آموزان'!I33="","",'دانش‌آموزان'!I33)</x:f>
        <x:v>sample-7-b</x:v>
      </x:c>
      <x:c r="G347" s="114"/>
      <x:c r="H347" s="115"/>
      <x:c r="I347" s="115"/>
      <x:c r="J347" s="115"/>
      <x:c r="K347" s="115"/>
      <x:c r="L347" s="115"/>
      <x:c r="M347" s="115"/>
      <x:c r="N347" s="115"/>
      <x:c r="O347" s="115"/>
      <x:c r="P347" s="115"/>
      <x:c r="Q347" s="115"/>
      <x:c r="R347" s="115"/>
      <x:c r="S347" s="115"/>
      <x:c r="T347" s="115"/>
      <x:c r="U347" s="115"/>
      <x:c r="V347" s="115"/>
      <x:c r="W347" s="115"/>
      <x:c r="X347" s="115"/>
      <x:c r="Y347" s="115"/>
      <x:c r="Z347" s="115"/>
      <x:c r="AA347" s="115"/>
      <x:c r="AB347" s="115"/>
      <x:c r="AC347" s="115"/>
      <x:c r="AD347" s="115"/>
      <x:c r="AE347" s="115"/>
      <x:c r="AF347" s="115"/>
      <x:c r="AG347" s="115"/>
      <x:c r="AH347" s="115"/>
      <x:c r="AI347" s="115"/>
      <x:c r="AJ347" s="115"/>
      <x:c r="AK347" s="115"/>
      <x:c r="AL347" s="115"/>
      <x:c r="AM347" s="115"/>
      <x:c r="AN347" s="115"/>
      <x:c r="AO347" s="115"/>
      <x:c r="AP347" s="115"/>
      <x:c r="AQ347" s="115"/>
      <x:c r="AR347" s="115"/>
      <x:c r="AS347" s="115"/>
      <x:c r="AT347" s="115"/>
      <x:c r="AU347" s="115"/>
      <x:c r="AV347" s="115"/>
      <x:c r="AW347" s="115"/>
      <x:c r="AX347" s="115"/>
      <x:c r="AY347" s="115"/>
      <x:c r="AZ347" s="115"/>
      <x:c r="BA347" s="115"/>
      <x:c r="BB347" s="115"/>
      <x:c r="BC347" s="115"/>
      <x:c r="BD347" s="115"/>
      <x:c r="BE347" s="115"/>
      <x:c r="BF347" s="115"/>
      <x:c r="BG347" s="115"/>
      <x:c r="BH347" s="115"/>
      <x:c r="BI347" s="115"/>
      <x:c r="BJ347" s="115"/>
      <x:c r="BK347" s="115"/>
      <x:c r="BL347" s="115"/>
      <x:c r="BM347" s="115"/>
      <x:c r="BN347" s="115"/>
      <x:c r="BO347" s="115"/>
      <x:c r="BP347" s="115"/>
      <x:c r="BQ347" s="115"/>
      <x:c r="BR347" s="115"/>
      <x:c r="BS347" s="115"/>
      <x:c r="BT347" s="115"/>
      <x:c r="BU347" s="115"/>
      <x:c r="BV347" s="115"/>
      <x:c r="BW347" s="115"/>
      <x:c r="BX347" s="115"/>
      <x:c r="BY347" s="115"/>
      <x:c r="BZ347" s="115"/>
      <x:c r="CA347" s="115"/>
      <x:c r="CB347" s="116"/>
      <x:c r="CC347" s="141" t="str">
        <x:f>IF(COUNT(G347:P347)=0,"",AVERAGE(G347:P347)*4)</x:f>
      </x:c>
      <x:c r="CD347" s="178" t="str">
        <x:f>IF(COUNT(Q347:Z347)=0,"",AVERAGE(Q347:Z347)*4)</x:f>
      </x:c>
      <x:c r="CE347" s="178" t="str">
        <x:f>IF(COUNT(AA347:AJ347)=0,"",AVERAGE(AA347:AJ347)*4)</x:f>
      </x:c>
      <x:c r="CF347" s="178" t="str">
        <x:f>IF(COUNT(AK347:AR347)=0,"",AVERAGE(AK347:AR347)*4)</x:f>
      </x:c>
      <x:c r="CG347" s="178" t="str">
        <x:f>IF(COUNT(AS347:AY347)=0,"",AVERAGE(AS347:AY347)*4)</x:f>
      </x:c>
      <x:c r="CH347" s="178" t="str">
        <x:f>IF(COUNT(AZ347:BG347)=0,"",AVERAGE(AZ347:BG347)*4)</x:f>
      </x:c>
      <x:c r="CI347" s="178" t="str">
        <x:f>IF(COUNT(BH347:BN347)=0,"",AVERAGE(BH347:BN347)*4)</x:f>
      </x:c>
      <x:c r="CJ347" s="178" t="str">
        <x:f>IF(COUNT(BO347:BU347)=0,"",AVERAGE(BO347:BU347)*4)</x:f>
      </x:c>
      <x:c r="CK347" s="178" t="str">
        <x:f>IF(COUNT(BV347:CB347)=0,"",AVERAGE(BV347:CB347)*4)</x:f>
      </x:c>
      <x:c r="CL347" s="178" t="str">
        <x:f>IF(C347="","",IF(COUNT(G347:CB347)&lt;74,"",(CC347*'تنظیمات وزن‌دهی'!$C$5+CD347*'تنظیمات وزن‌دهی'!$C$6+CE347*'تنظیمات وزن‌دهی'!$C$7+CF347*'تنظیمات وزن‌دهی'!$C$8+CG347*'تنظیمات وزن‌دهی'!$C$9+CH347*'تنظیمات وزن‌دهی'!$C$10+CI347*'تنظیمات وزن‌دهی'!$C$11+CJ347*'تنظیمات وزن‌دهی'!$C$12+CK347*'تنظیمات وزن‌دهی'!$C$13)/100))</x:f>
      </x:c>
      <x:c r="CM347" s="178" t="str">
        <x:f>IF(C347="","",IF(COUNT(G347:CB347)=0,"",IF(COUNT(G347:CB347)&lt;74,"موقت - اطلاعات ناقص",IF(CL347&gt;=17,"عالی",IF(CL347&gt;=14,"خوب",IF(CL347&gt;=10,"متوسط","ضعیف"))))))</x:f>
      </x:c>
      <x:c r="CN347" s="178" t="n">
        <x:v>7</x:v>
      </x:c>
      <x:c r="CO347" s="142" t="n">
        <x:f>IF(C347="","",COUNT(G347:CB347)/74)</x:f>
        <x:v>0</x:v>
      </x:c>
      <x:c r="CP347" s="245"/>
    </x:row>
    <x:row r="348">
      <x:c r="A348" s="165" t="n">
        <x:v>344</x:v>
      </x:c>
      <x:c r="B348" s="233" t="str">
        <x:v>بهمن</x:v>
      </x:c>
      <x:c r="C348" s="233" t="n">
        <x:f>IF('دانش‌آموزان'!E33="","",'دانش‌آموزان'!B33)</x:f>
        <x:v>29</x:v>
      </x:c>
      <x:c r="D348" s="233" t="str">
        <x:f>IF('دانش‌آموزان'!C33="","",'دانش‌آموزان'!C33)</x:f>
        <x:v>4000000292</x:v>
      </x:c>
      <x:c r="E348" s="233" t="str">
        <x:f>IF('دانش‌آموزان'!E33="","",'دانش‌آموزان'!E33&amp;" "&amp;'دانش‌آموزان'!F33)</x:f>
        <x:v>سام امینی</x:v>
      </x:c>
      <x:c r="F348" s="166" t="str">
        <x:f>IF('دانش‌آموزان'!I33="","",'دانش‌آموزان'!I33)</x:f>
        <x:v>sample-7-b</x:v>
      </x:c>
      <x:c r="G348" s="114"/>
      <x:c r="H348" s="115"/>
      <x:c r="I348" s="115"/>
      <x:c r="J348" s="115"/>
      <x:c r="K348" s="115"/>
      <x:c r="L348" s="115"/>
      <x:c r="M348" s="115"/>
      <x:c r="N348" s="115"/>
      <x:c r="O348" s="115"/>
      <x:c r="P348" s="115"/>
      <x:c r="Q348" s="115"/>
      <x:c r="R348" s="115"/>
      <x:c r="S348" s="115"/>
      <x:c r="T348" s="115"/>
      <x:c r="U348" s="115"/>
      <x:c r="V348" s="115"/>
      <x:c r="W348" s="115"/>
      <x:c r="X348" s="115"/>
      <x:c r="Y348" s="115"/>
      <x:c r="Z348" s="115"/>
      <x:c r="AA348" s="115"/>
      <x:c r="AB348" s="115"/>
      <x:c r="AC348" s="115"/>
      <x:c r="AD348" s="115"/>
      <x:c r="AE348" s="115"/>
      <x:c r="AF348" s="115"/>
      <x:c r="AG348" s="115"/>
      <x:c r="AH348" s="115"/>
      <x:c r="AI348" s="115"/>
      <x:c r="AJ348" s="115"/>
      <x:c r="AK348" s="115"/>
      <x:c r="AL348" s="115"/>
      <x:c r="AM348" s="115"/>
      <x:c r="AN348" s="115"/>
      <x:c r="AO348" s="115"/>
      <x:c r="AP348" s="115"/>
      <x:c r="AQ348" s="115"/>
      <x:c r="AR348" s="115"/>
      <x:c r="AS348" s="115"/>
      <x:c r="AT348" s="115"/>
      <x:c r="AU348" s="115"/>
      <x:c r="AV348" s="115"/>
      <x:c r="AW348" s="115"/>
      <x:c r="AX348" s="115"/>
      <x:c r="AY348" s="115"/>
      <x:c r="AZ348" s="115"/>
      <x:c r="BA348" s="115"/>
      <x:c r="BB348" s="115"/>
      <x:c r="BC348" s="115"/>
      <x:c r="BD348" s="115"/>
      <x:c r="BE348" s="115"/>
      <x:c r="BF348" s="115"/>
      <x:c r="BG348" s="115"/>
      <x:c r="BH348" s="115"/>
      <x:c r="BI348" s="115"/>
      <x:c r="BJ348" s="115"/>
      <x:c r="BK348" s="115"/>
      <x:c r="BL348" s="115"/>
      <x:c r="BM348" s="115"/>
      <x:c r="BN348" s="115"/>
      <x:c r="BO348" s="115"/>
      <x:c r="BP348" s="115"/>
      <x:c r="BQ348" s="115"/>
      <x:c r="BR348" s="115"/>
      <x:c r="BS348" s="115"/>
      <x:c r="BT348" s="115"/>
      <x:c r="BU348" s="115"/>
      <x:c r="BV348" s="115"/>
      <x:c r="BW348" s="115"/>
      <x:c r="BX348" s="115"/>
      <x:c r="BY348" s="115"/>
      <x:c r="BZ348" s="115"/>
      <x:c r="CA348" s="115"/>
      <x:c r="CB348" s="116"/>
      <x:c r="CC348" s="141" t="str">
        <x:f>IF(COUNT(G348:P348)=0,"",AVERAGE(G348:P348)*4)</x:f>
      </x:c>
      <x:c r="CD348" s="178" t="str">
        <x:f>IF(COUNT(Q348:Z348)=0,"",AVERAGE(Q348:Z348)*4)</x:f>
      </x:c>
      <x:c r="CE348" s="178" t="str">
        <x:f>IF(COUNT(AA348:AJ348)=0,"",AVERAGE(AA348:AJ348)*4)</x:f>
      </x:c>
      <x:c r="CF348" s="178" t="str">
        <x:f>IF(COUNT(AK348:AR348)=0,"",AVERAGE(AK348:AR348)*4)</x:f>
      </x:c>
      <x:c r="CG348" s="178" t="str">
        <x:f>IF(COUNT(AS348:AY348)=0,"",AVERAGE(AS348:AY348)*4)</x:f>
      </x:c>
      <x:c r="CH348" s="178" t="str">
        <x:f>IF(COUNT(AZ348:BG348)=0,"",AVERAGE(AZ348:BG348)*4)</x:f>
      </x:c>
      <x:c r="CI348" s="178" t="str">
        <x:f>IF(COUNT(BH348:BN348)=0,"",AVERAGE(BH348:BN348)*4)</x:f>
      </x:c>
      <x:c r="CJ348" s="178" t="str">
        <x:f>IF(COUNT(BO348:BU348)=0,"",AVERAGE(BO348:BU348)*4)</x:f>
      </x:c>
      <x:c r="CK348" s="178" t="str">
        <x:f>IF(COUNT(BV348:CB348)=0,"",AVERAGE(BV348:CB348)*4)</x:f>
      </x:c>
      <x:c r="CL348" s="178" t="str">
        <x:f>IF(C348="","",IF(COUNT(G348:CB348)&lt;74,"",(CC348*'تنظیمات وزن‌دهی'!$C$5+CD348*'تنظیمات وزن‌دهی'!$C$6+CE348*'تنظیمات وزن‌دهی'!$C$7+CF348*'تنظیمات وزن‌دهی'!$C$8+CG348*'تنظیمات وزن‌دهی'!$C$9+CH348*'تنظیمات وزن‌دهی'!$C$10+CI348*'تنظیمات وزن‌دهی'!$C$11+CJ348*'تنظیمات وزن‌دهی'!$C$12+CK348*'تنظیمات وزن‌دهی'!$C$13)/100))</x:f>
      </x:c>
      <x:c r="CM348" s="178" t="str">
        <x:f>IF(C348="","",IF(COUNT(G348:CB348)=0,"",IF(COUNT(G348:CB348)&lt;74,"موقت - اطلاعات ناقص",IF(CL348&gt;=17,"عالی",IF(CL348&gt;=14,"خوب",IF(CL348&gt;=10,"متوسط","ضعیف"))))))</x:f>
      </x:c>
      <x:c r="CN348" s="178" t="n">
        <x:v>8</x:v>
      </x:c>
      <x:c r="CO348" s="142" t="n">
        <x:f>IF(C348="","",COUNT(G348:CB348)/74)</x:f>
        <x:v>0</x:v>
      </x:c>
      <x:c r="CP348" s="245"/>
    </x:row>
    <x:row r="349">
      <x:c r="A349" s="165" t="n">
        <x:v>345</x:v>
      </x:c>
      <x:c r="B349" s="233" t="str">
        <x:v>اسفند</x:v>
      </x:c>
      <x:c r="C349" s="233" t="n">
        <x:f>IF('دانش‌آموزان'!E33="","",'دانش‌آموزان'!B33)</x:f>
        <x:v>29</x:v>
      </x:c>
      <x:c r="D349" s="233" t="str">
        <x:f>IF('دانش‌آموزان'!C33="","",'دانش‌آموزان'!C33)</x:f>
        <x:v>4000000292</x:v>
      </x:c>
      <x:c r="E349" s="233" t="str">
        <x:f>IF('دانش‌آموزان'!E33="","",'دانش‌آموزان'!E33&amp;" "&amp;'دانش‌آموزان'!F33)</x:f>
        <x:v>سام امینی</x:v>
      </x:c>
      <x:c r="F349" s="166" t="str">
        <x:f>IF('دانش‌آموزان'!I33="","",'دانش‌آموزان'!I33)</x:f>
        <x:v>sample-7-b</x:v>
      </x:c>
      <x:c r="G349" s="114"/>
      <x:c r="H349" s="115"/>
      <x:c r="I349" s="115"/>
      <x:c r="J349" s="115"/>
      <x:c r="K349" s="115"/>
      <x:c r="L349" s="115"/>
      <x:c r="M349" s="115"/>
      <x:c r="N349" s="115"/>
      <x:c r="O349" s="115"/>
      <x:c r="P349" s="115"/>
      <x:c r="Q349" s="115"/>
      <x:c r="R349" s="115"/>
      <x:c r="S349" s="115"/>
      <x:c r="T349" s="115"/>
      <x:c r="U349" s="115"/>
      <x:c r="V349" s="115"/>
      <x:c r="W349" s="115"/>
      <x:c r="X349" s="115"/>
      <x:c r="Y349" s="115"/>
      <x:c r="Z349" s="115"/>
      <x:c r="AA349" s="115"/>
      <x:c r="AB349" s="115"/>
      <x:c r="AC349" s="115"/>
      <x:c r="AD349" s="115"/>
      <x:c r="AE349" s="115"/>
      <x:c r="AF349" s="115"/>
      <x:c r="AG349" s="115"/>
      <x:c r="AH349" s="115"/>
      <x:c r="AI349" s="115"/>
      <x:c r="AJ349" s="115"/>
      <x:c r="AK349" s="115"/>
      <x:c r="AL349" s="115"/>
      <x:c r="AM349" s="115"/>
      <x:c r="AN349" s="115"/>
      <x:c r="AO349" s="115"/>
      <x:c r="AP349" s="115"/>
      <x:c r="AQ349" s="115"/>
      <x:c r="AR349" s="115"/>
      <x:c r="AS349" s="115"/>
      <x:c r="AT349" s="115"/>
      <x:c r="AU349" s="115"/>
      <x:c r="AV349" s="115"/>
      <x:c r="AW349" s="115"/>
      <x:c r="AX349" s="115"/>
      <x:c r="AY349" s="115"/>
      <x:c r="AZ349" s="115"/>
      <x:c r="BA349" s="115"/>
      <x:c r="BB349" s="115"/>
      <x:c r="BC349" s="115"/>
      <x:c r="BD349" s="115"/>
      <x:c r="BE349" s="115"/>
      <x:c r="BF349" s="115"/>
      <x:c r="BG349" s="115"/>
      <x:c r="BH349" s="115"/>
      <x:c r="BI349" s="115"/>
      <x:c r="BJ349" s="115"/>
      <x:c r="BK349" s="115"/>
      <x:c r="BL349" s="115"/>
      <x:c r="BM349" s="115"/>
      <x:c r="BN349" s="115"/>
      <x:c r="BO349" s="115"/>
      <x:c r="BP349" s="115"/>
      <x:c r="BQ349" s="115"/>
      <x:c r="BR349" s="115"/>
      <x:c r="BS349" s="115"/>
      <x:c r="BT349" s="115"/>
      <x:c r="BU349" s="115"/>
      <x:c r="BV349" s="115"/>
      <x:c r="BW349" s="115"/>
      <x:c r="BX349" s="115"/>
      <x:c r="BY349" s="115"/>
      <x:c r="BZ349" s="115"/>
      <x:c r="CA349" s="115"/>
      <x:c r="CB349" s="116"/>
      <x:c r="CC349" s="141" t="str">
        <x:f>IF(COUNT(G349:P349)=0,"",AVERAGE(G349:P349)*4)</x:f>
      </x:c>
      <x:c r="CD349" s="178" t="str">
        <x:f>IF(COUNT(Q349:Z349)=0,"",AVERAGE(Q349:Z349)*4)</x:f>
      </x:c>
      <x:c r="CE349" s="178" t="str">
        <x:f>IF(COUNT(AA349:AJ349)=0,"",AVERAGE(AA349:AJ349)*4)</x:f>
      </x:c>
      <x:c r="CF349" s="178" t="str">
        <x:f>IF(COUNT(AK349:AR349)=0,"",AVERAGE(AK349:AR349)*4)</x:f>
      </x:c>
      <x:c r="CG349" s="178" t="str">
        <x:f>IF(COUNT(AS349:AY349)=0,"",AVERAGE(AS349:AY349)*4)</x:f>
      </x:c>
      <x:c r="CH349" s="178" t="str">
        <x:f>IF(COUNT(AZ349:BG349)=0,"",AVERAGE(AZ349:BG349)*4)</x:f>
      </x:c>
      <x:c r="CI349" s="178" t="str">
        <x:f>IF(COUNT(BH349:BN349)=0,"",AVERAGE(BH349:BN349)*4)</x:f>
      </x:c>
      <x:c r="CJ349" s="178" t="str">
        <x:f>IF(COUNT(BO349:BU349)=0,"",AVERAGE(BO349:BU349)*4)</x:f>
      </x:c>
      <x:c r="CK349" s="178" t="str">
        <x:f>IF(COUNT(BV349:CB349)=0,"",AVERAGE(BV349:CB349)*4)</x:f>
      </x:c>
      <x:c r="CL349" s="178" t="str">
        <x:f>IF(C349="","",IF(COUNT(G349:CB349)&lt;74,"",(CC349*'تنظیمات وزن‌دهی'!$C$5+CD349*'تنظیمات وزن‌دهی'!$C$6+CE349*'تنظیمات وزن‌دهی'!$C$7+CF349*'تنظیمات وزن‌دهی'!$C$8+CG349*'تنظیمات وزن‌دهی'!$C$9+CH349*'تنظیمات وزن‌دهی'!$C$10+CI349*'تنظیمات وزن‌دهی'!$C$11+CJ349*'تنظیمات وزن‌دهی'!$C$12+CK349*'تنظیمات وزن‌دهی'!$C$13)/100))</x:f>
      </x:c>
      <x:c r="CM349" s="178" t="str">
        <x:f>IF(C349="","",IF(COUNT(G349:CB349)=0,"",IF(COUNT(G349:CB349)&lt;74,"موقت - اطلاعات ناقص",IF(CL349&gt;=17,"عالی",IF(CL349&gt;=14,"خوب",IF(CL349&gt;=10,"متوسط","ضعیف"))))))</x:f>
      </x:c>
      <x:c r="CN349" s="178" t="n">
        <x:v>9</x:v>
      </x:c>
      <x:c r="CO349" s="142" t="n">
        <x:f>IF(C349="","",COUNT(G349:CB349)/74)</x:f>
        <x:v>0</x:v>
      </x:c>
      <x:c r="CP349" s="245"/>
    </x:row>
    <x:row r="350">
      <x:c r="A350" s="165" t="n">
        <x:v>346</x:v>
      </x:c>
      <x:c r="B350" s="233" t="str">
        <x:v>فروردین</x:v>
      </x:c>
      <x:c r="C350" s="233" t="n">
        <x:f>IF('دانش‌آموزان'!E33="","",'دانش‌آموزان'!B33)</x:f>
        <x:v>29</x:v>
      </x:c>
      <x:c r="D350" s="233" t="str">
        <x:f>IF('دانش‌آموزان'!C33="","",'دانش‌آموزان'!C33)</x:f>
        <x:v>4000000292</x:v>
      </x:c>
      <x:c r="E350" s="233" t="str">
        <x:f>IF('دانش‌آموزان'!E33="","",'دانش‌آموزان'!E33&amp;" "&amp;'دانش‌آموزان'!F33)</x:f>
        <x:v>سام امینی</x:v>
      </x:c>
      <x:c r="F350" s="166" t="str">
        <x:f>IF('دانش‌آموزان'!I33="","",'دانش‌آموزان'!I33)</x:f>
        <x:v>sample-7-b</x:v>
      </x:c>
      <x:c r="G350" s="114"/>
      <x:c r="H350" s="115"/>
      <x:c r="I350" s="115"/>
      <x:c r="J350" s="115"/>
      <x:c r="K350" s="115"/>
      <x:c r="L350" s="115"/>
      <x:c r="M350" s="115"/>
      <x:c r="N350" s="115"/>
      <x:c r="O350" s="115"/>
      <x:c r="P350" s="115"/>
      <x:c r="Q350" s="115"/>
      <x:c r="R350" s="115"/>
      <x:c r="S350" s="115"/>
      <x:c r="T350" s="115"/>
      <x:c r="U350" s="115"/>
      <x:c r="V350" s="115"/>
      <x:c r="W350" s="115"/>
      <x:c r="X350" s="115"/>
      <x:c r="Y350" s="115"/>
      <x:c r="Z350" s="115"/>
      <x:c r="AA350" s="115"/>
      <x:c r="AB350" s="115"/>
      <x:c r="AC350" s="115"/>
      <x:c r="AD350" s="115"/>
      <x:c r="AE350" s="115"/>
      <x:c r="AF350" s="115"/>
      <x:c r="AG350" s="115"/>
      <x:c r="AH350" s="115"/>
      <x:c r="AI350" s="115"/>
      <x:c r="AJ350" s="115"/>
      <x:c r="AK350" s="115"/>
      <x:c r="AL350" s="115"/>
      <x:c r="AM350" s="115"/>
      <x:c r="AN350" s="115"/>
      <x:c r="AO350" s="115"/>
      <x:c r="AP350" s="115"/>
      <x:c r="AQ350" s="115"/>
      <x:c r="AR350" s="115"/>
      <x:c r="AS350" s="115"/>
      <x:c r="AT350" s="115"/>
      <x:c r="AU350" s="115"/>
      <x:c r="AV350" s="115"/>
      <x:c r="AW350" s="115"/>
      <x:c r="AX350" s="115"/>
      <x:c r="AY350" s="115"/>
      <x:c r="AZ350" s="115"/>
      <x:c r="BA350" s="115"/>
      <x:c r="BB350" s="115"/>
      <x:c r="BC350" s="115"/>
      <x:c r="BD350" s="115"/>
      <x:c r="BE350" s="115"/>
      <x:c r="BF350" s="115"/>
      <x:c r="BG350" s="115"/>
      <x:c r="BH350" s="115"/>
      <x:c r="BI350" s="115"/>
      <x:c r="BJ350" s="115"/>
      <x:c r="BK350" s="115"/>
      <x:c r="BL350" s="115"/>
      <x:c r="BM350" s="115"/>
      <x:c r="BN350" s="115"/>
      <x:c r="BO350" s="115"/>
      <x:c r="BP350" s="115"/>
      <x:c r="BQ350" s="115"/>
      <x:c r="BR350" s="115"/>
      <x:c r="BS350" s="115"/>
      <x:c r="BT350" s="115"/>
      <x:c r="BU350" s="115"/>
      <x:c r="BV350" s="115"/>
      <x:c r="BW350" s="115"/>
      <x:c r="BX350" s="115"/>
      <x:c r="BY350" s="115"/>
      <x:c r="BZ350" s="115"/>
      <x:c r="CA350" s="115"/>
      <x:c r="CB350" s="116"/>
      <x:c r="CC350" s="141" t="str">
        <x:f>IF(COUNT(G350:P350)=0,"",AVERAGE(G350:P350)*4)</x:f>
      </x:c>
      <x:c r="CD350" s="178" t="str">
        <x:f>IF(COUNT(Q350:Z350)=0,"",AVERAGE(Q350:Z350)*4)</x:f>
      </x:c>
      <x:c r="CE350" s="178" t="str">
        <x:f>IF(COUNT(AA350:AJ350)=0,"",AVERAGE(AA350:AJ350)*4)</x:f>
      </x:c>
      <x:c r="CF350" s="178" t="str">
        <x:f>IF(COUNT(AK350:AR350)=0,"",AVERAGE(AK350:AR350)*4)</x:f>
      </x:c>
      <x:c r="CG350" s="178" t="str">
        <x:f>IF(COUNT(AS350:AY350)=0,"",AVERAGE(AS350:AY350)*4)</x:f>
      </x:c>
      <x:c r="CH350" s="178" t="str">
        <x:f>IF(COUNT(AZ350:BG350)=0,"",AVERAGE(AZ350:BG350)*4)</x:f>
      </x:c>
      <x:c r="CI350" s="178" t="str">
        <x:f>IF(COUNT(BH350:BN350)=0,"",AVERAGE(BH350:BN350)*4)</x:f>
      </x:c>
      <x:c r="CJ350" s="178" t="str">
        <x:f>IF(COUNT(BO350:BU350)=0,"",AVERAGE(BO350:BU350)*4)</x:f>
      </x:c>
      <x:c r="CK350" s="178" t="str">
        <x:f>IF(COUNT(BV350:CB350)=0,"",AVERAGE(BV350:CB350)*4)</x:f>
      </x:c>
      <x:c r="CL350" s="178" t="str">
        <x:f>IF(C350="","",IF(COUNT(G350:CB350)&lt;74,"",(CC350*'تنظیمات وزن‌دهی'!$C$5+CD350*'تنظیمات وزن‌دهی'!$C$6+CE350*'تنظیمات وزن‌دهی'!$C$7+CF350*'تنظیمات وزن‌دهی'!$C$8+CG350*'تنظیمات وزن‌دهی'!$C$9+CH350*'تنظیمات وزن‌دهی'!$C$10+CI350*'تنظیمات وزن‌دهی'!$C$11+CJ350*'تنظیمات وزن‌دهی'!$C$12+CK350*'تنظیمات وزن‌دهی'!$C$13)/100))</x:f>
      </x:c>
      <x:c r="CM350" s="178" t="str">
        <x:f>IF(C350="","",IF(COUNT(G350:CB350)=0,"",IF(COUNT(G350:CB350)&lt;74,"موقت - اطلاعات ناقص",IF(CL350&gt;=17,"عالی",IF(CL350&gt;=14,"خوب",IF(CL350&gt;=10,"متوسط","ضعیف"))))))</x:f>
      </x:c>
      <x:c r="CN350" s="178" t="n">
        <x:v>10</x:v>
      </x:c>
      <x:c r="CO350" s="142" t="n">
        <x:f>IF(C350="","",COUNT(G350:CB350)/74)</x:f>
        <x:v>0</x:v>
      </x:c>
      <x:c r="CP350" s="245"/>
    </x:row>
    <x:row r="351">
      <x:c r="A351" s="165" t="n">
        <x:v>347</x:v>
      </x:c>
      <x:c r="B351" s="233" t="str">
        <x:v>اردیبهشت</x:v>
      </x:c>
      <x:c r="C351" s="233" t="n">
        <x:f>IF('دانش‌آموزان'!E33="","",'دانش‌آموزان'!B33)</x:f>
        <x:v>29</x:v>
      </x:c>
      <x:c r="D351" s="233" t="str">
        <x:f>IF('دانش‌آموزان'!C33="","",'دانش‌آموزان'!C33)</x:f>
        <x:v>4000000292</x:v>
      </x:c>
      <x:c r="E351" s="233" t="str">
        <x:f>IF('دانش‌آموزان'!E33="","",'دانش‌آموزان'!E33&amp;" "&amp;'دانش‌آموزان'!F33)</x:f>
        <x:v>سام امینی</x:v>
      </x:c>
      <x:c r="F351" s="166" t="str">
        <x:f>IF('دانش‌آموزان'!I33="","",'دانش‌آموزان'!I33)</x:f>
        <x:v>sample-7-b</x:v>
      </x:c>
      <x:c r="G351" s="114"/>
      <x:c r="H351" s="115"/>
      <x:c r="I351" s="115"/>
      <x:c r="J351" s="115"/>
      <x:c r="K351" s="115"/>
      <x:c r="L351" s="115"/>
      <x:c r="M351" s="115"/>
      <x:c r="N351" s="115"/>
      <x:c r="O351" s="115"/>
      <x:c r="P351" s="115"/>
      <x:c r="Q351" s="115"/>
      <x:c r="R351" s="115"/>
      <x:c r="S351" s="115"/>
      <x:c r="T351" s="115"/>
      <x:c r="U351" s="115"/>
      <x:c r="V351" s="115"/>
      <x:c r="W351" s="115"/>
      <x:c r="X351" s="115"/>
      <x:c r="Y351" s="115"/>
      <x:c r="Z351" s="115"/>
      <x:c r="AA351" s="115"/>
      <x:c r="AB351" s="115"/>
      <x:c r="AC351" s="115"/>
      <x:c r="AD351" s="115"/>
      <x:c r="AE351" s="115"/>
      <x:c r="AF351" s="115"/>
      <x:c r="AG351" s="115"/>
      <x:c r="AH351" s="115"/>
      <x:c r="AI351" s="115"/>
      <x:c r="AJ351" s="115"/>
      <x:c r="AK351" s="115"/>
      <x:c r="AL351" s="115"/>
      <x:c r="AM351" s="115"/>
      <x:c r="AN351" s="115"/>
      <x:c r="AO351" s="115"/>
      <x:c r="AP351" s="115"/>
      <x:c r="AQ351" s="115"/>
      <x:c r="AR351" s="115"/>
      <x:c r="AS351" s="115"/>
      <x:c r="AT351" s="115"/>
      <x:c r="AU351" s="115"/>
      <x:c r="AV351" s="115"/>
      <x:c r="AW351" s="115"/>
      <x:c r="AX351" s="115"/>
      <x:c r="AY351" s="115"/>
      <x:c r="AZ351" s="115"/>
      <x:c r="BA351" s="115"/>
      <x:c r="BB351" s="115"/>
      <x:c r="BC351" s="115"/>
      <x:c r="BD351" s="115"/>
      <x:c r="BE351" s="115"/>
      <x:c r="BF351" s="115"/>
      <x:c r="BG351" s="115"/>
      <x:c r="BH351" s="115"/>
      <x:c r="BI351" s="115"/>
      <x:c r="BJ351" s="115"/>
      <x:c r="BK351" s="115"/>
      <x:c r="BL351" s="115"/>
      <x:c r="BM351" s="115"/>
      <x:c r="BN351" s="115"/>
      <x:c r="BO351" s="115"/>
      <x:c r="BP351" s="115"/>
      <x:c r="BQ351" s="115"/>
      <x:c r="BR351" s="115"/>
      <x:c r="BS351" s="115"/>
      <x:c r="BT351" s="115"/>
      <x:c r="BU351" s="115"/>
      <x:c r="BV351" s="115"/>
      <x:c r="BW351" s="115"/>
      <x:c r="BX351" s="115"/>
      <x:c r="BY351" s="115"/>
      <x:c r="BZ351" s="115"/>
      <x:c r="CA351" s="115"/>
      <x:c r="CB351" s="116"/>
      <x:c r="CC351" s="141" t="str">
        <x:f>IF(COUNT(G351:P351)=0,"",AVERAGE(G351:P351)*4)</x:f>
      </x:c>
      <x:c r="CD351" s="178" t="str">
        <x:f>IF(COUNT(Q351:Z351)=0,"",AVERAGE(Q351:Z351)*4)</x:f>
      </x:c>
      <x:c r="CE351" s="178" t="str">
        <x:f>IF(COUNT(AA351:AJ351)=0,"",AVERAGE(AA351:AJ351)*4)</x:f>
      </x:c>
      <x:c r="CF351" s="178" t="str">
        <x:f>IF(COUNT(AK351:AR351)=0,"",AVERAGE(AK351:AR351)*4)</x:f>
      </x:c>
      <x:c r="CG351" s="178" t="str">
        <x:f>IF(COUNT(AS351:AY351)=0,"",AVERAGE(AS351:AY351)*4)</x:f>
      </x:c>
      <x:c r="CH351" s="178" t="str">
        <x:f>IF(COUNT(AZ351:BG351)=0,"",AVERAGE(AZ351:BG351)*4)</x:f>
      </x:c>
      <x:c r="CI351" s="178" t="str">
        <x:f>IF(COUNT(BH351:BN351)=0,"",AVERAGE(BH351:BN351)*4)</x:f>
      </x:c>
      <x:c r="CJ351" s="178" t="str">
        <x:f>IF(COUNT(BO351:BU351)=0,"",AVERAGE(BO351:BU351)*4)</x:f>
      </x:c>
      <x:c r="CK351" s="178" t="str">
        <x:f>IF(COUNT(BV351:CB351)=0,"",AVERAGE(BV351:CB351)*4)</x:f>
      </x:c>
      <x:c r="CL351" s="178" t="str">
        <x:f>IF(C351="","",IF(COUNT(G351:CB351)&lt;74,"",(CC351*'تنظیمات وزن‌دهی'!$C$5+CD351*'تنظیمات وزن‌دهی'!$C$6+CE351*'تنظیمات وزن‌دهی'!$C$7+CF351*'تنظیمات وزن‌دهی'!$C$8+CG351*'تنظیمات وزن‌دهی'!$C$9+CH351*'تنظیمات وزن‌دهی'!$C$10+CI351*'تنظیمات وزن‌دهی'!$C$11+CJ351*'تنظیمات وزن‌دهی'!$C$12+CK351*'تنظیمات وزن‌دهی'!$C$13)/100))</x:f>
      </x:c>
      <x:c r="CM351" s="178" t="str">
        <x:f>IF(C351="","",IF(COUNT(G351:CB351)=0,"",IF(COUNT(G351:CB351)&lt;74,"موقت - اطلاعات ناقص",IF(CL351&gt;=17,"عالی",IF(CL351&gt;=14,"خوب",IF(CL351&gt;=10,"متوسط","ضعیف"))))))</x:f>
      </x:c>
      <x:c r="CN351" s="178" t="n">
        <x:v>11</x:v>
      </x:c>
      <x:c r="CO351" s="142" t="n">
        <x:f>IF(C351="","",COUNT(G351:CB351)/74)</x:f>
        <x:v>0</x:v>
      </x:c>
      <x:c r="CP351" s="245"/>
    </x:row>
    <x:row r="352">
      <x:c r="A352" s="165" t="n">
        <x:v>348</x:v>
      </x:c>
      <x:c r="B352" s="233" t="str">
        <x:v>خرداد</x:v>
      </x:c>
      <x:c r="C352" s="233" t="n">
        <x:f>IF('دانش‌آموزان'!E33="","",'دانش‌آموزان'!B33)</x:f>
        <x:v>29</x:v>
      </x:c>
      <x:c r="D352" s="233" t="str">
        <x:f>IF('دانش‌آموزان'!C33="","",'دانش‌آموزان'!C33)</x:f>
        <x:v>4000000292</x:v>
      </x:c>
      <x:c r="E352" s="233" t="str">
        <x:f>IF('دانش‌آموزان'!E33="","",'دانش‌آموزان'!E33&amp;" "&amp;'دانش‌آموزان'!F33)</x:f>
        <x:v>سام امینی</x:v>
      </x:c>
      <x:c r="F352" s="166" t="str">
        <x:f>IF('دانش‌آموزان'!I33="","",'دانش‌آموزان'!I33)</x:f>
        <x:v>sample-7-b</x:v>
      </x:c>
      <x:c r="G352" s="114"/>
      <x:c r="H352" s="115"/>
      <x:c r="I352" s="115"/>
      <x:c r="J352" s="115"/>
      <x:c r="K352" s="115"/>
      <x:c r="L352" s="115"/>
      <x:c r="M352" s="115"/>
      <x:c r="N352" s="115"/>
      <x:c r="O352" s="115"/>
      <x:c r="P352" s="115"/>
      <x:c r="Q352" s="115"/>
      <x:c r="R352" s="115"/>
      <x:c r="S352" s="115"/>
      <x:c r="T352" s="115"/>
      <x:c r="U352" s="115"/>
      <x:c r="V352" s="115"/>
      <x:c r="W352" s="115"/>
      <x:c r="X352" s="115"/>
      <x:c r="Y352" s="115"/>
      <x:c r="Z352" s="115"/>
      <x:c r="AA352" s="115"/>
      <x:c r="AB352" s="115"/>
      <x:c r="AC352" s="115"/>
      <x:c r="AD352" s="115"/>
      <x:c r="AE352" s="115"/>
      <x:c r="AF352" s="115"/>
      <x:c r="AG352" s="115"/>
      <x:c r="AH352" s="115"/>
      <x:c r="AI352" s="115"/>
      <x:c r="AJ352" s="115"/>
      <x:c r="AK352" s="115"/>
      <x:c r="AL352" s="115"/>
      <x:c r="AM352" s="115"/>
      <x:c r="AN352" s="115"/>
      <x:c r="AO352" s="115"/>
      <x:c r="AP352" s="115"/>
      <x:c r="AQ352" s="115"/>
      <x:c r="AR352" s="115"/>
      <x:c r="AS352" s="115"/>
      <x:c r="AT352" s="115"/>
      <x:c r="AU352" s="115"/>
      <x:c r="AV352" s="115"/>
      <x:c r="AW352" s="115"/>
      <x:c r="AX352" s="115"/>
      <x:c r="AY352" s="115"/>
      <x:c r="AZ352" s="115"/>
      <x:c r="BA352" s="115"/>
      <x:c r="BB352" s="115"/>
      <x:c r="BC352" s="115"/>
      <x:c r="BD352" s="115"/>
      <x:c r="BE352" s="115"/>
      <x:c r="BF352" s="115"/>
      <x:c r="BG352" s="115"/>
      <x:c r="BH352" s="115"/>
      <x:c r="BI352" s="115"/>
      <x:c r="BJ352" s="115"/>
      <x:c r="BK352" s="115"/>
      <x:c r="BL352" s="115"/>
      <x:c r="BM352" s="115"/>
      <x:c r="BN352" s="115"/>
      <x:c r="BO352" s="115"/>
      <x:c r="BP352" s="115"/>
      <x:c r="BQ352" s="115"/>
      <x:c r="BR352" s="115"/>
      <x:c r="BS352" s="115"/>
      <x:c r="BT352" s="115"/>
      <x:c r="BU352" s="115"/>
      <x:c r="BV352" s="115"/>
      <x:c r="BW352" s="115"/>
      <x:c r="BX352" s="115"/>
      <x:c r="BY352" s="115"/>
      <x:c r="BZ352" s="115"/>
      <x:c r="CA352" s="115"/>
      <x:c r="CB352" s="116"/>
      <x:c r="CC352" s="141" t="str">
        <x:f>IF(COUNT(G352:P352)=0,"",AVERAGE(G352:P352)*4)</x:f>
      </x:c>
      <x:c r="CD352" s="178" t="str">
        <x:f>IF(COUNT(Q352:Z352)=0,"",AVERAGE(Q352:Z352)*4)</x:f>
      </x:c>
      <x:c r="CE352" s="178" t="str">
        <x:f>IF(COUNT(AA352:AJ352)=0,"",AVERAGE(AA352:AJ352)*4)</x:f>
      </x:c>
      <x:c r="CF352" s="178" t="str">
        <x:f>IF(COUNT(AK352:AR352)=0,"",AVERAGE(AK352:AR352)*4)</x:f>
      </x:c>
      <x:c r="CG352" s="178" t="str">
        <x:f>IF(COUNT(AS352:AY352)=0,"",AVERAGE(AS352:AY352)*4)</x:f>
      </x:c>
      <x:c r="CH352" s="178" t="str">
        <x:f>IF(COUNT(AZ352:BG352)=0,"",AVERAGE(AZ352:BG352)*4)</x:f>
      </x:c>
      <x:c r="CI352" s="178" t="str">
        <x:f>IF(COUNT(BH352:BN352)=0,"",AVERAGE(BH352:BN352)*4)</x:f>
      </x:c>
      <x:c r="CJ352" s="178" t="str">
        <x:f>IF(COUNT(BO352:BU352)=0,"",AVERAGE(BO352:BU352)*4)</x:f>
      </x:c>
      <x:c r="CK352" s="178" t="str">
        <x:f>IF(COUNT(BV352:CB352)=0,"",AVERAGE(BV352:CB352)*4)</x:f>
      </x:c>
      <x:c r="CL352" s="178" t="str">
        <x:f>IF(C352="","",IF(COUNT(G352:CB352)&lt;74,"",(CC352*'تنظیمات وزن‌دهی'!$C$5+CD352*'تنظیمات وزن‌دهی'!$C$6+CE352*'تنظیمات وزن‌دهی'!$C$7+CF352*'تنظیمات وزن‌دهی'!$C$8+CG352*'تنظیمات وزن‌دهی'!$C$9+CH352*'تنظیمات وزن‌دهی'!$C$10+CI352*'تنظیمات وزن‌دهی'!$C$11+CJ352*'تنظیمات وزن‌دهی'!$C$12+CK352*'تنظیمات وزن‌دهی'!$C$13)/100))</x:f>
      </x:c>
      <x:c r="CM352" s="178" t="str">
        <x:f>IF(C352="","",IF(COUNT(G352:CB352)=0,"",IF(COUNT(G352:CB352)&lt;74,"موقت - اطلاعات ناقص",IF(CL352&gt;=17,"عالی",IF(CL352&gt;=14,"خوب",IF(CL352&gt;=10,"متوسط","ضعیف"))))))</x:f>
      </x:c>
      <x:c r="CN352" s="178" t="n">
        <x:v>12</x:v>
      </x:c>
      <x:c r="CO352" s="142" t="n">
        <x:f>IF(C352="","",COUNT(G352:CB352)/74)</x:f>
        <x:v>0</x:v>
      </x:c>
      <x:c r="CP352" s="245"/>
    </x:row>
    <x:row r="353">
      <x:c r="A353" s="165" t="n">
        <x:v>349</x:v>
      </x:c>
      <x:c r="B353" s="233" t="str">
        <x:v>تیر</x:v>
      </x:c>
      <x:c r="C353" s="233" t="n">
        <x:f>IF('دانش‌آموزان'!E34="","",'دانش‌آموزان'!B34)</x:f>
        <x:v>30</x:v>
      </x:c>
      <x:c r="D353" s="233" t="str">
        <x:f>IF('دانش‌آموزان'!C34="","",'دانش‌آموزان'!C34)</x:f>
        <x:v>4000000306</x:v>
      </x:c>
      <x:c r="E353" s="233" t="str">
        <x:f>IF('دانش‌آموزان'!E34="","",'دانش‌آموزان'!E34&amp;" "&amp;'دانش‌آموزان'!F34)</x:f>
        <x:v>هلیا کریمی</x:v>
      </x:c>
      <x:c r="F353" s="166" t="str">
        <x:f>IF('دانش‌آموزان'!I34="","",'دانش‌آموزان'!I34)</x:f>
        <x:v>sample-7-b</x:v>
      </x:c>
      <x:c r="G353" s="114" t="n">
        <x:v>5</x:v>
      </x:c>
      <x:c r="H353" s="115" t="n">
        <x:v>4</x:v>
      </x:c>
      <x:c r="I353" s="115" t="n">
        <x:v>5</x:v>
      </x:c>
      <x:c r="J353" s="115" t="n">
        <x:v>3</x:v>
      </x:c>
      <x:c r="K353" s="115" t="n">
        <x:v>5</x:v>
      </x:c>
      <x:c r="L353" s="115" t="n">
        <x:v>3</x:v>
      </x:c>
      <x:c r="M353" s="115" t="n">
        <x:v>4</x:v>
      </x:c>
      <x:c r="N353" s="115" t="n">
        <x:v>3</x:v>
      </x:c>
      <x:c r="O353" s="115" t="n">
        <x:v>4</x:v>
      </x:c>
      <x:c r="P353" s="115" t="n">
        <x:v>2</x:v>
      </x:c>
      <x:c r="Q353" s="115" t="n">
        <x:v>4</x:v>
      </x:c>
      <x:c r="R353" s="115" t="n">
        <x:v>5</x:v>
      </x:c>
      <x:c r="S353" s="115" t="n">
        <x:v>4</x:v>
      </x:c>
      <x:c r="T353" s="115" t="n">
        <x:v>5</x:v>
      </x:c>
      <x:c r="U353" s="115" t="n">
        <x:v>3</x:v>
      </x:c>
      <x:c r="V353" s="115" t="n">
        <x:v>5</x:v>
      </x:c>
      <x:c r="W353" s="115" t="n">
        <x:v>3</x:v>
      </x:c>
      <x:c r="X353" s="115" t="n">
        <x:v>4</x:v>
      </x:c>
      <x:c r="Y353" s="115" t="n">
        <x:v>3</x:v>
      </x:c>
      <x:c r="Z353" s="115" t="n">
        <x:v>4</x:v>
      </x:c>
      <x:c r="AA353" s="115" t="n">
        <x:v>2</x:v>
      </x:c>
      <x:c r="AB353" s="115" t="n">
        <x:v>4</x:v>
      </x:c>
      <x:c r="AC353" s="115" t="n">
        <x:v>5</x:v>
      </x:c>
      <x:c r="AD353" s="115" t="n">
        <x:v>4</x:v>
      </x:c>
      <x:c r="AE353" s="115" t="n">
        <x:v>5</x:v>
      </x:c>
      <x:c r="AF353" s="115" t="n">
        <x:v>3</x:v>
      </x:c>
      <x:c r="AG353" s="115" t="n">
        <x:v>5</x:v>
      </x:c>
      <x:c r="AH353" s="115" t="n">
        <x:v>3</x:v>
      </x:c>
      <x:c r="AI353" s="115" t="n">
        <x:v>4</x:v>
      </x:c>
      <x:c r="AJ353" s="115" t="n">
        <x:v>3</x:v>
      </x:c>
      <x:c r="AK353" s="115" t="n">
        <x:v>4</x:v>
      </x:c>
      <x:c r="AL353" s="115" t="n">
        <x:v>2</x:v>
      </x:c>
      <x:c r="AM353" s="115" t="n">
        <x:v>4</x:v>
      </x:c>
      <x:c r="AN353" s="115" t="n">
        <x:v>5</x:v>
      </x:c>
      <x:c r="AO353" s="115" t="n">
        <x:v>4</x:v>
      </x:c>
      <x:c r="AP353" s="115" t="n">
        <x:v>5</x:v>
      </x:c>
      <x:c r="AQ353" s="115" t="n">
        <x:v>3</x:v>
      </x:c>
      <x:c r="AR353" s="115" t="n">
        <x:v>5</x:v>
      </x:c>
      <x:c r="AS353" s="115" t="n">
        <x:v>3</x:v>
      </x:c>
      <x:c r="AT353" s="115" t="n">
        <x:v>4</x:v>
      </x:c>
      <x:c r="AU353" s="115" t="n">
        <x:v>3</x:v>
      </x:c>
      <x:c r="AV353" s="115" t="n">
        <x:v>4</x:v>
      </x:c>
      <x:c r="AW353" s="115" t="n">
        <x:v>2</x:v>
      </x:c>
      <x:c r="AX353" s="115" t="n">
        <x:v>4</x:v>
      </x:c>
      <x:c r="AY353" s="115" t="n">
        <x:v>5</x:v>
      </x:c>
      <x:c r="AZ353" s="115" t="n">
        <x:v>4</x:v>
      </x:c>
      <x:c r="BA353" s="115" t="n">
        <x:v>5</x:v>
      </x:c>
      <x:c r="BB353" s="115" t="n">
        <x:v>3</x:v>
      </x:c>
      <x:c r="BC353" s="115" t="n">
        <x:v>5</x:v>
      </x:c>
      <x:c r="BD353" s="115" t="n">
        <x:v>3</x:v>
      </x:c>
      <x:c r="BE353" s="115" t="n">
        <x:v>4</x:v>
      </x:c>
      <x:c r="BF353" s="115" t="n">
        <x:v>3</x:v>
      </x:c>
      <x:c r="BG353" s="115" t="n">
        <x:v>4</x:v>
      </x:c>
      <x:c r="BH353" s="115" t="n">
        <x:v>2</x:v>
      </x:c>
      <x:c r="BI353" s="115" t="n">
        <x:v>4</x:v>
      </x:c>
      <x:c r="BJ353" s="115" t="n">
        <x:v>5</x:v>
      </x:c>
      <x:c r="BK353" s="115" t="n">
        <x:v>4</x:v>
      </x:c>
      <x:c r="BL353" s="115" t="n">
        <x:v>5</x:v>
      </x:c>
      <x:c r="BM353" s="115" t="n">
        <x:v>3</x:v>
      </x:c>
      <x:c r="BN353" s="115" t="n">
        <x:v>5</x:v>
      </x:c>
      <x:c r="BO353" s="115" t="n">
        <x:v>3</x:v>
      </x:c>
      <x:c r="BP353" s="115" t="n">
        <x:v>4</x:v>
      </x:c>
      <x:c r="BQ353" s="115" t="n">
        <x:v>3</x:v>
      </x:c>
      <x:c r="BR353" s="115" t="n">
        <x:v>4</x:v>
      </x:c>
      <x:c r="BS353" s="115" t="n">
        <x:v>2</x:v>
      </x:c>
      <x:c r="BT353" s="115" t="n">
        <x:v>4</x:v>
      </x:c>
      <x:c r="BU353" s="115" t="n">
        <x:v>5</x:v>
      </x:c>
      <x:c r="BV353" s="115" t="n">
        <x:v>4</x:v>
      </x:c>
      <x:c r="BW353" s="115" t="n">
        <x:v>5</x:v>
      </x:c>
      <x:c r="BX353" s="115" t="n">
        <x:v>3</x:v>
      </x:c>
      <x:c r="BY353" s="115" t="n">
        <x:v>5</x:v>
      </x:c>
      <x:c r="BZ353" s="115" t="n">
        <x:v>3</x:v>
      </x:c>
      <x:c r="CA353" s="115" t="n">
        <x:v>4</x:v>
      </x:c>
      <x:c r="CB353" s="116" t="n">
        <x:v>3</x:v>
      </x:c>
      <x:c r="CC353" s="141" t="n">
        <x:f>IF(COUNT(G353:P353)=0,"",AVERAGE(G353:P353)*4)</x:f>
        <x:v>15.2</x:v>
      </x:c>
      <x:c r="CD353" s="178" t="n">
        <x:f>IF(COUNT(Q353:Z353)=0,"",AVERAGE(Q353:Z353)*4)</x:f>
        <x:v>16</x:v>
      </x:c>
      <x:c r="CE353" s="178" t="n">
        <x:f>IF(COUNT(AA353:AJ353)=0,"",AVERAGE(AA353:AJ353)*4)</x:f>
        <x:v>15.2</x:v>
      </x:c>
      <x:c r="CF353" s="178" t="n">
        <x:f>IF(COUNT(AK353:AR353)=0,"",AVERAGE(AK353:AR353)*4)</x:f>
        <x:v>16</x:v>
      </x:c>
      <x:c r="CG353" s="178" t="n">
        <x:f>IF(COUNT(AS353:AY353)=0,"",AVERAGE(AS353:AY353)*4)</x:f>
        <x:v>14.285714285714286</x:v>
      </x:c>
      <x:c r="CH353" s="178" t="n">
        <x:f>IF(COUNT(AZ353:BG353)=0,"",AVERAGE(AZ353:BG353)*4)</x:f>
        <x:v>15.5</x:v>
      </x:c>
      <x:c r="CI353" s="178" t="n">
        <x:f>IF(COUNT(BH353:BN353)=0,"",AVERAGE(BH353:BN353)*4)</x:f>
        <x:v>16</x:v>
      </x:c>
      <x:c r="CJ353" s="178" t="n">
        <x:f>IF(COUNT(BO353:BU353)=0,"",AVERAGE(BO353:BU353)*4)</x:f>
        <x:v>14.285714285714286</x:v>
      </x:c>
      <x:c r="CK353" s="178" t="n">
        <x:f>IF(COUNT(BV353:CB353)=0,"",AVERAGE(BV353:CB353)*4)</x:f>
        <x:v>15.428571428571429</x:v>
      </x:c>
      <x:c r="CL353" s="178" t="n">
        <x:f>IF(C353="","",IF(COUNT(G353:CB353)&lt;74,"",(CC353*'تنظیمات وزن‌دهی'!$C$5+CD353*'تنظیمات وزن‌دهی'!$C$6+CE353*'تنظیمات وزن‌دهی'!$C$7+CF353*'تنظیمات وزن‌دهی'!$C$8+CG353*'تنظیمات وزن‌دهی'!$C$9+CH353*'تنظیمات وزن‌دهی'!$C$10+CI353*'تنظیمات وزن‌دهی'!$C$11+CJ353*'تنظیمات وزن‌دهی'!$C$12+CK353*'تنظیمات وزن‌دهی'!$C$13)/100))</x:f>
        <x:v>15.417142857142858</x:v>
      </x:c>
      <x:c r="CM353" s="178" t="str">
        <x:f>IF(C353="","",IF(COUNT(G353:CB353)=0,"",IF(COUNT(G353:CB353)&lt;74,"موقت - اطلاعات ناقص",IF(CL353&gt;=17,"عالی",IF(CL353&gt;=14,"خوب",IF(CL353&gt;=10,"متوسط","ضعیف"))))))</x:f>
        <x:v>خوب</x:v>
      </x:c>
      <x:c r="CN353" s="178" t="n">
        <x:v>1</x:v>
      </x:c>
      <x:c r="CO353" s="142" t="n">
        <x:f>IF(C353="","",COUNT(G353:CB353)/74)</x:f>
        <x:v>1</x:v>
      </x:c>
      <x:c r="CP353" s="245" t="str">
        <x:v>داده نمونه کامل برای ماه تیر - دانش‌آموز شماره 30</x:v>
      </x:c>
    </x:row>
    <x:row r="354">
      <x:c r="A354" s="165" t="n">
        <x:v>350</x:v>
      </x:c>
      <x:c r="B354" s="233" t="str">
        <x:v>مرداد</x:v>
      </x:c>
      <x:c r="C354" s="233" t="n">
        <x:f>IF('دانش‌آموزان'!E34="","",'دانش‌آموزان'!B34)</x:f>
        <x:v>30</x:v>
      </x:c>
      <x:c r="D354" s="233" t="str">
        <x:f>IF('دانش‌آموزان'!C34="","",'دانش‌آموزان'!C34)</x:f>
        <x:v>4000000306</x:v>
      </x:c>
      <x:c r="E354" s="233" t="str">
        <x:f>IF('دانش‌آموزان'!E34="","",'دانش‌آموزان'!E34&amp;" "&amp;'دانش‌آموزان'!F34)</x:f>
        <x:v>هلیا کریمی</x:v>
      </x:c>
      <x:c r="F354" s="166" t="str">
        <x:f>IF('دانش‌آموزان'!I34="","",'دانش‌آموزان'!I34)</x:f>
        <x:v>sample-7-b</x:v>
      </x:c>
      <x:c r="G354" s="114"/>
      <x:c r="H354" s="115"/>
      <x:c r="I354" s="115"/>
      <x:c r="J354" s="115"/>
      <x:c r="K354" s="115"/>
      <x:c r="L354" s="115"/>
      <x:c r="M354" s="115"/>
      <x:c r="N354" s="115"/>
      <x:c r="O354" s="115"/>
      <x:c r="P354" s="115"/>
      <x:c r="Q354" s="115"/>
      <x:c r="R354" s="115"/>
      <x:c r="S354" s="115"/>
      <x:c r="T354" s="115"/>
      <x:c r="U354" s="115"/>
      <x:c r="V354" s="115"/>
      <x:c r="W354" s="115"/>
      <x:c r="X354" s="115"/>
      <x:c r="Y354" s="115"/>
      <x:c r="Z354" s="115"/>
      <x:c r="AA354" s="115"/>
      <x:c r="AB354" s="115"/>
      <x:c r="AC354" s="115"/>
      <x:c r="AD354" s="115"/>
      <x:c r="AE354" s="115"/>
      <x:c r="AF354" s="115"/>
      <x:c r="AG354" s="115"/>
      <x:c r="AH354" s="115"/>
      <x:c r="AI354" s="115"/>
      <x:c r="AJ354" s="115"/>
      <x:c r="AK354" s="115"/>
      <x:c r="AL354" s="115"/>
      <x:c r="AM354" s="115"/>
      <x:c r="AN354" s="115"/>
      <x:c r="AO354" s="115"/>
      <x:c r="AP354" s="115"/>
      <x:c r="AQ354" s="115"/>
      <x:c r="AR354" s="115"/>
      <x:c r="AS354" s="115"/>
      <x:c r="AT354" s="115"/>
      <x:c r="AU354" s="115"/>
      <x:c r="AV354" s="115"/>
      <x:c r="AW354" s="115"/>
      <x:c r="AX354" s="115"/>
      <x:c r="AY354" s="115"/>
      <x:c r="AZ354" s="115"/>
      <x:c r="BA354" s="115"/>
      <x:c r="BB354" s="115"/>
      <x:c r="BC354" s="115"/>
      <x:c r="BD354" s="115"/>
      <x:c r="BE354" s="115"/>
      <x:c r="BF354" s="115"/>
      <x:c r="BG354" s="115"/>
      <x:c r="BH354" s="115"/>
      <x:c r="BI354" s="115"/>
      <x:c r="BJ354" s="115"/>
      <x:c r="BK354" s="115"/>
      <x:c r="BL354" s="115"/>
      <x:c r="BM354" s="115"/>
      <x:c r="BN354" s="115"/>
      <x:c r="BO354" s="115"/>
      <x:c r="BP354" s="115"/>
      <x:c r="BQ354" s="115"/>
      <x:c r="BR354" s="115"/>
      <x:c r="BS354" s="115"/>
      <x:c r="BT354" s="115"/>
      <x:c r="BU354" s="115"/>
      <x:c r="BV354" s="115"/>
      <x:c r="BW354" s="115"/>
      <x:c r="BX354" s="115"/>
      <x:c r="BY354" s="115"/>
      <x:c r="BZ354" s="115"/>
      <x:c r="CA354" s="115"/>
      <x:c r="CB354" s="116"/>
      <x:c r="CC354" s="141" t="str">
        <x:f>IF(COUNT(G354:P354)=0,"",AVERAGE(G354:P354)*4)</x:f>
      </x:c>
      <x:c r="CD354" s="178" t="str">
        <x:f>IF(COUNT(Q354:Z354)=0,"",AVERAGE(Q354:Z354)*4)</x:f>
      </x:c>
      <x:c r="CE354" s="178" t="str">
        <x:f>IF(COUNT(AA354:AJ354)=0,"",AVERAGE(AA354:AJ354)*4)</x:f>
      </x:c>
      <x:c r="CF354" s="178" t="str">
        <x:f>IF(COUNT(AK354:AR354)=0,"",AVERAGE(AK354:AR354)*4)</x:f>
      </x:c>
      <x:c r="CG354" s="178" t="str">
        <x:f>IF(COUNT(AS354:AY354)=0,"",AVERAGE(AS354:AY354)*4)</x:f>
      </x:c>
      <x:c r="CH354" s="178" t="str">
        <x:f>IF(COUNT(AZ354:BG354)=0,"",AVERAGE(AZ354:BG354)*4)</x:f>
      </x:c>
      <x:c r="CI354" s="178" t="str">
        <x:f>IF(COUNT(BH354:BN354)=0,"",AVERAGE(BH354:BN354)*4)</x:f>
      </x:c>
      <x:c r="CJ354" s="178" t="str">
        <x:f>IF(COUNT(BO354:BU354)=0,"",AVERAGE(BO354:BU354)*4)</x:f>
      </x:c>
      <x:c r="CK354" s="178" t="str">
        <x:f>IF(COUNT(BV354:CB354)=0,"",AVERAGE(BV354:CB354)*4)</x:f>
      </x:c>
      <x:c r="CL354" s="178" t="str">
        <x:f>IF(C354="","",IF(COUNT(G354:CB354)&lt;74,"",(CC354*'تنظیمات وزن‌دهی'!$C$5+CD354*'تنظیمات وزن‌دهی'!$C$6+CE354*'تنظیمات وزن‌دهی'!$C$7+CF354*'تنظیمات وزن‌دهی'!$C$8+CG354*'تنظیمات وزن‌دهی'!$C$9+CH354*'تنظیمات وزن‌دهی'!$C$10+CI354*'تنظیمات وزن‌دهی'!$C$11+CJ354*'تنظیمات وزن‌دهی'!$C$12+CK354*'تنظیمات وزن‌دهی'!$C$13)/100))</x:f>
      </x:c>
      <x:c r="CM354" s="178" t="str">
        <x:f>IF(C354="","",IF(COUNT(G354:CB354)=0,"",IF(COUNT(G354:CB354)&lt;74,"موقت - اطلاعات ناقص",IF(CL354&gt;=17,"عالی",IF(CL354&gt;=14,"خوب",IF(CL354&gt;=10,"متوسط","ضعیف"))))))</x:f>
      </x:c>
      <x:c r="CN354" s="178" t="n">
        <x:v>2</x:v>
      </x:c>
      <x:c r="CO354" s="142" t="n">
        <x:f>IF(C354="","",COUNT(G354:CB354)/74)</x:f>
        <x:v>0</x:v>
      </x:c>
      <x:c r="CP354" s="245"/>
    </x:row>
    <x:row r="355">
      <x:c r="A355" s="165" t="n">
        <x:v>351</x:v>
      </x:c>
      <x:c r="B355" s="233" t="str">
        <x:v>شهریور</x:v>
      </x:c>
      <x:c r="C355" s="233" t="n">
        <x:f>IF('دانش‌آموزان'!E34="","",'دانش‌آموزان'!B34)</x:f>
        <x:v>30</x:v>
      </x:c>
      <x:c r="D355" s="233" t="str">
        <x:f>IF('دانش‌آموزان'!C34="","",'دانش‌آموزان'!C34)</x:f>
        <x:v>4000000306</x:v>
      </x:c>
      <x:c r="E355" s="233" t="str">
        <x:f>IF('دانش‌آموزان'!E34="","",'دانش‌آموزان'!E34&amp;" "&amp;'دانش‌آموزان'!F34)</x:f>
        <x:v>هلیا کریمی</x:v>
      </x:c>
      <x:c r="F355" s="166" t="str">
        <x:f>IF('دانش‌آموزان'!I34="","",'دانش‌آموزان'!I34)</x:f>
        <x:v>sample-7-b</x:v>
      </x:c>
      <x:c r="G355" s="114"/>
      <x:c r="H355" s="115"/>
      <x:c r="I355" s="115"/>
      <x:c r="J355" s="115"/>
      <x:c r="K355" s="115"/>
      <x:c r="L355" s="115"/>
      <x:c r="M355" s="115"/>
      <x:c r="N355" s="115"/>
      <x:c r="O355" s="115"/>
      <x:c r="P355" s="115"/>
      <x:c r="Q355" s="115"/>
      <x:c r="R355" s="115"/>
      <x:c r="S355" s="115"/>
      <x:c r="T355" s="115"/>
      <x:c r="U355" s="115"/>
      <x:c r="V355" s="115"/>
      <x:c r="W355" s="115"/>
      <x:c r="X355" s="115"/>
      <x:c r="Y355" s="115"/>
      <x:c r="Z355" s="115"/>
      <x:c r="AA355" s="115"/>
      <x:c r="AB355" s="115"/>
      <x:c r="AC355" s="115"/>
      <x:c r="AD355" s="115"/>
      <x:c r="AE355" s="115"/>
      <x:c r="AF355" s="115"/>
      <x:c r="AG355" s="115"/>
      <x:c r="AH355" s="115"/>
      <x:c r="AI355" s="115"/>
      <x:c r="AJ355" s="115"/>
      <x:c r="AK355" s="115"/>
      <x:c r="AL355" s="115"/>
      <x:c r="AM355" s="115"/>
      <x:c r="AN355" s="115"/>
      <x:c r="AO355" s="115"/>
      <x:c r="AP355" s="115"/>
      <x:c r="AQ355" s="115"/>
      <x:c r="AR355" s="115"/>
      <x:c r="AS355" s="115"/>
      <x:c r="AT355" s="115"/>
      <x:c r="AU355" s="115"/>
      <x:c r="AV355" s="115"/>
      <x:c r="AW355" s="115"/>
      <x:c r="AX355" s="115"/>
      <x:c r="AY355" s="115"/>
      <x:c r="AZ355" s="115"/>
      <x:c r="BA355" s="115"/>
      <x:c r="BB355" s="115"/>
      <x:c r="BC355" s="115"/>
      <x:c r="BD355" s="115"/>
      <x:c r="BE355" s="115"/>
      <x:c r="BF355" s="115"/>
      <x:c r="BG355" s="115"/>
      <x:c r="BH355" s="115"/>
      <x:c r="BI355" s="115"/>
      <x:c r="BJ355" s="115"/>
      <x:c r="BK355" s="115"/>
      <x:c r="BL355" s="115"/>
      <x:c r="BM355" s="115"/>
      <x:c r="BN355" s="115"/>
      <x:c r="BO355" s="115"/>
      <x:c r="BP355" s="115"/>
      <x:c r="BQ355" s="115"/>
      <x:c r="BR355" s="115"/>
      <x:c r="BS355" s="115"/>
      <x:c r="BT355" s="115"/>
      <x:c r="BU355" s="115"/>
      <x:c r="BV355" s="115"/>
      <x:c r="BW355" s="115"/>
      <x:c r="BX355" s="115"/>
      <x:c r="BY355" s="115"/>
      <x:c r="BZ355" s="115"/>
      <x:c r="CA355" s="115"/>
      <x:c r="CB355" s="116"/>
      <x:c r="CC355" s="141" t="str">
        <x:f>IF(COUNT(G355:P355)=0,"",AVERAGE(G355:P355)*4)</x:f>
      </x:c>
      <x:c r="CD355" s="178" t="str">
        <x:f>IF(COUNT(Q355:Z355)=0,"",AVERAGE(Q355:Z355)*4)</x:f>
      </x:c>
      <x:c r="CE355" s="178" t="str">
        <x:f>IF(COUNT(AA355:AJ355)=0,"",AVERAGE(AA355:AJ355)*4)</x:f>
      </x:c>
      <x:c r="CF355" s="178" t="str">
        <x:f>IF(COUNT(AK355:AR355)=0,"",AVERAGE(AK355:AR355)*4)</x:f>
      </x:c>
      <x:c r="CG355" s="178" t="str">
        <x:f>IF(COUNT(AS355:AY355)=0,"",AVERAGE(AS355:AY355)*4)</x:f>
      </x:c>
      <x:c r="CH355" s="178" t="str">
        <x:f>IF(COUNT(AZ355:BG355)=0,"",AVERAGE(AZ355:BG355)*4)</x:f>
      </x:c>
      <x:c r="CI355" s="178" t="str">
        <x:f>IF(COUNT(BH355:BN355)=0,"",AVERAGE(BH355:BN355)*4)</x:f>
      </x:c>
      <x:c r="CJ355" s="178" t="str">
        <x:f>IF(COUNT(BO355:BU355)=0,"",AVERAGE(BO355:BU355)*4)</x:f>
      </x:c>
      <x:c r="CK355" s="178" t="str">
        <x:f>IF(COUNT(BV355:CB355)=0,"",AVERAGE(BV355:CB355)*4)</x:f>
      </x:c>
      <x:c r="CL355" s="178" t="str">
        <x:f>IF(C355="","",IF(COUNT(G355:CB355)&lt;74,"",(CC355*'تنظیمات وزن‌دهی'!$C$5+CD355*'تنظیمات وزن‌دهی'!$C$6+CE355*'تنظیمات وزن‌دهی'!$C$7+CF355*'تنظیمات وزن‌دهی'!$C$8+CG355*'تنظیمات وزن‌دهی'!$C$9+CH355*'تنظیمات وزن‌دهی'!$C$10+CI355*'تنظیمات وزن‌دهی'!$C$11+CJ355*'تنظیمات وزن‌دهی'!$C$12+CK355*'تنظیمات وزن‌دهی'!$C$13)/100))</x:f>
      </x:c>
      <x:c r="CM355" s="178" t="str">
        <x:f>IF(C355="","",IF(COUNT(G355:CB355)=0,"",IF(COUNT(G355:CB355)&lt;74,"موقت - اطلاعات ناقص",IF(CL355&gt;=17,"عالی",IF(CL355&gt;=14,"خوب",IF(CL355&gt;=10,"متوسط","ضعیف"))))))</x:f>
      </x:c>
      <x:c r="CN355" s="178" t="n">
        <x:v>3</x:v>
      </x:c>
      <x:c r="CO355" s="142" t="n">
        <x:f>IF(C355="","",COUNT(G355:CB355)/74)</x:f>
        <x:v>0</x:v>
      </x:c>
      <x:c r="CP355" s="245"/>
    </x:row>
    <x:row r="356">
      <x:c r="A356" s="165" t="n">
        <x:v>352</x:v>
      </x:c>
      <x:c r="B356" s="233" t="str">
        <x:v>مهر</x:v>
      </x:c>
      <x:c r="C356" s="233" t="n">
        <x:f>IF('دانش‌آموزان'!E34="","",'دانش‌آموزان'!B34)</x:f>
        <x:v>30</x:v>
      </x:c>
      <x:c r="D356" s="233" t="str">
        <x:f>IF('دانش‌آموزان'!C34="","",'دانش‌آموزان'!C34)</x:f>
        <x:v>4000000306</x:v>
      </x:c>
      <x:c r="E356" s="233" t="str">
        <x:f>IF('دانش‌آموزان'!E34="","",'دانش‌آموزان'!E34&amp;" "&amp;'دانش‌آموزان'!F34)</x:f>
        <x:v>هلیا کریمی</x:v>
      </x:c>
      <x:c r="F356" s="166" t="str">
        <x:f>IF('دانش‌آموزان'!I34="","",'دانش‌آموزان'!I34)</x:f>
        <x:v>sample-7-b</x:v>
      </x:c>
      <x:c r="G356" s="114"/>
      <x:c r="H356" s="115"/>
      <x:c r="I356" s="115"/>
      <x:c r="J356" s="115"/>
      <x:c r="K356" s="115"/>
      <x:c r="L356" s="115"/>
      <x:c r="M356" s="115"/>
      <x:c r="N356" s="115"/>
      <x:c r="O356" s="115"/>
      <x:c r="P356" s="115"/>
      <x:c r="Q356" s="115"/>
      <x:c r="R356" s="115"/>
      <x:c r="S356" s="115"/>
      <x:c r="T356" s="115"/>
      <x:c r="U356" s="115"/>
      <x:c r="V356" s="115"/>
      <x:c r="W356" s="115"/>
      <x:c r="X356" s="115"/>
      <x:c r="Y356" s="115"/>
      <x:c r="Z356" s="115"/>
      <x:c r="AA356" s="115"/>
      <x:c r="AB356" s="115"/>
      <x:c r="AC356" s="115"/>
      <x:c r="AD356" s="115"/>
      <x:c r="AE356" s="115"/>
      <x:c r="AF356" s="115"/>
      <x:c r="AG356" s="115"/>
      <x:c r="AH356" s="115"/>
      <x:c r="AI356" s="115"/>
      <x:c r="AJ356" s="115"/>
      <x:c r="AK356" s="115"/>
      <x:c r="AL356" s="115"/>
      <x:c r="AM356" s="115"/>
      <x:c r="AN356" s="115"/>
      <x:c r="AO356" s="115"/>
      <x:c r="AP356" s="115"/>
      <x:c r="AQ356" s="115"/>
      <x:c r="AR356" s="115"/>
      <x:c r="AS356" s="115"/>
      <x:c r="AT356" s="115"/>
      <x:c r="AU356" s="115"/>
      <x:c r="AV356" s="115"/>
      <x:c r="AW356" s="115"/>
      <x:c r="AX356" s="115"/>
      <x:c r="AY356" s="115"/>
      <x:c r="AZ356" s="115"/>
      <x:c r="BA356" s="115"/>
      <x:c r="BB356" s="115"/>
      <x:c r="BC356" s="115"/>
      <x:c r="BD356" s="115"/>
      <x:c r="BE356" s="115"/>
      <x:c r="BF356" s="115"/>
      <x:c r="BG356" s="115"/>
      <x:c r="BH356" s="115"/>
      <x:c r="BI356" s="115"/>
      <x:c r="BJ356" s="115"/>
      <x:c r="BK356" s="115"/>
      <x:c r="BL356" s="115"/>
      <x:c r="BM356" s="115"/>
      <x:c r="BN356" s="115"/>
      <x:c r="BO356" s="115"/>
      <x:c r="BP356" s="115"/>
      <x:c r="BQ356" s="115"/>
      <x:c r="BR356" s="115"/>
      <x:c r="BS356" s="115"/>
      <x:c r="BT356" s="115"/>
      <x:c r="BU356" s="115"/>
      <x:c r="BV356" s="115"/>
      <x:c r="BW356" s="115"/>
      <x:c r="BX356" s="115"/>
      <x:c r="BY356" s="115"/>
      <x:c r="BZ356" s="115"/>
      <x:c r="CA356" s="115"/>
      <x:c r="CB356" s="116"/>
      <x:c r="CC356" s="141" t="str">
        <x:f>IF(COUNT(G356:P356)=0,"",AVERAGE(G356:P356)*4)</x:f>
      </x:c>
      <x:c r="CD356" s="178" t="str">
        <x:f>IF(COUNT(Q356:Z356)=0,"",AVERAGE(Q356:Z356)*4)</x:f>
      </x:c>
      <x:c r="CE356" s="178" t="str">
        <x:f>IF(COUNT(AA356:AJ356)=0,"",AVERAGE(AA356:AJ356)*4)</x:f>
      </x:c>
      <x:c r="CF356" s="178" t="str">
        <x:f>IF(COUNT(AK356:AR356)=0,"",AVERAGE(AK356:AR356)*4)</x:f>
      </x:c>
      <x:c r="CG356" s="178" t="str">
        <x:f>IF(COUNT(AS356:AY356)=0,"",AVERAGE(AS356:AY356)*4)</x:f>
      </x:c>
      <x:c r="CH356" s="178" t="str">
        <x:f>IF(COUNT(AZ356:BG356)=0,"",AVERAGE(AZ356:BG356)*4)</x:f>
      </x:c>
      <x:c r="CI356" s="178" t="str">
        <x:f>IF(COUNT(BH356:BN356)=0,"",AVERAGE(BH356:BN356)*4)</x:f>
      </x:c>
      <x:c r="CJ356" s="178" t="str">
        <x:f>IF(COUNT(BO356:BU356)=0,"",AVERAGE(BO356:BU356)*4)</x:f>
      </x:c>
      <x:c r="CK356" s="178" t="str">
        <x:f>IF(COUNT(BV356:CB356)=0,"",AVERAGE(BV356:CB356)*4)</x:f>
      </x:c>
      <x:c r="CL356" s="178" t="str">
        <x:f>IF(C356="","",IF(COUNT(G356:CB356)&lt;74,"",(CC356*'تنظیمات وزن‌دهی'!$C$5+CD356*'تنظیمات وزن‌دهی'!$C$6+CE356*'تنظیمات وزن‌دهی'!$C$7+CF356*'تنظیمات وزن‌دهی'!$C$8+CG356*'تنظیمات وزن‌دهی'!$C$9+CH356*'تنظیمات وزن‌دهی'!$C$10+CI356*'تنظیمات وزن‌دهی'!$C$11+CJ356*'تنظیمات وزن‌دهی'!$C$12+CK356*'تنظیمات وزن‌دهی'!$C$13)/100))</x:f>
      </x:c>
      <x:c r="CM356" s="178" t="str">
        <x:f>IF(C356="","",IF(COUNT(G356:CB356)=0,"",IF(COUNT(G356:CB356)&lt;74,"موقت - اطلاعات ناقص",IF(CL356&gt;=17,"عالی",IF(CL356&gt;=14,"خوب",IF(CL356&gt;=10,"متوسط","ضعیف"))))))</x:f>
      </x:c>
      <x:c r="CN356" s="178" t="n">
        <x:v>4</x:v>
      </x:c>
      <x:c r="CO356" s="142" t="n">
        <x:f>IF(C356="","",COUNT(G356:CB356)/74)</x:f>
        <x:v>0</x:v>
      </x:c>
      <x:c r="CP356" s="245"/>
    </x:row>
    <x:row r="357">
      <x:c r="A357" s="165" t="n">
        <x:v>353</x:v>
      </x:c>
      <x:c r="B357" s="233" t="str">
        <x:v>آبان</x:v>
      </x:c>
      <x:c r="C357" s="233" t="n">
        <x:f>IF('دانش‌آموزان'!E34="","",'دانش‌آموزان'!B34)</x:f>
        <x:v>30</x:v>
      </x:c>
      <x:c r="D357" s="233" t="str">
        <x:f>IF('دانش‌آموزان'!C34="","",'دانش‌آموزان'!C34)</x:f>
        <x:v>4000000306</x:v>
      </x:c>
      <x:c r="E357" s="233" t="str">
        <x:f>IF('دانش‌آموزان'!E34="","",'دانش‌آموزان'!E34&amp;" "&amp;'دانش‌آموزان'!F34)</x:f>
        <x:v>هلیا کریمی</x:v>
      </x:c>
      <x:c r="F357" s="166" t="str">
        <x:f>IF('دانش‌آموزان'!I34="","",'دانش‌آموزان'!I34)</x:f>
        <x:v>sample-7-b</x:v>
      </x:c>
      <x:c r="G357" s="114"/>
      <x:c r="H357" s="115"/>
      <x:c r="I357" s="115"/>
      <x:c r="J357" s="115"/>
      <x:c r="K357" s="115"/>
      <x:c r="L357" s="115"/>
      <x:c r="M357" s="115"/>
      <x:c r="N357" s="115"/>
      <x:c r="O357" s="115"/>
      <x:c r="P357" s="115"/>
      <x:c r="Q357" s="115"/>
      <x:c r="R357" s="115"/>
      <x:c r="S357" s="115"/>
      <x:c r="T357" s="115"/>
      <x:c r="U357" s="115"/>
      <x:c r="V357" s="115"/>
      <x:c r="W357" s="115"/>
      <x:c r="X357" s="115"/>
      <x:c r="Y357" s="115"/>
      <x:c r="Z357" s="115"/>
      <x:c r="AA357" s="115"/>
      <x:c r="AB357" s="115"/>
      <x:c r="AC357" s="115"/>
      <x:c r="AD357" s="115"/>
      <x:c r="AE357" s="115"/>
      <x:c r="AF357" s="115"/>
      <x:c r="AG357" s="115"/>
      <x:c r="AH357" s="115"/>
      <x:c r="AI357" s="115"/>
      <x:c r="AJ357" s="115"/>
      <x:c r="AK357" s="115"/>
      <x:c r="AL357" s="115"/>
      <x:c r="AM357" s="115"/>
      <x:c r="AN357" s="115"/>
      <x:c r="AO357" s="115"/>
      <x:c r="AP357" s="115"/>
      <x:c r="AQ357" s="115"/>
      <x:c r="AR357" s="115"/>
      <x:c r="AS357" s="115"/>
      <x:c r="AT357" s="115"/>
      <x:c r="AU357" s="115"/>
      <x:c r="AV357" s="115"/>
      <x:c r="AW357" s="115"/>
      <x:c r="AX357" s="115"/>
      <x:c r="AY357" s="115"/>
      <x:c r="AZ357" s="115"/>
      <x:c r="BA357" s="115"/>
      <x:c r="BB357" s="115"/>
      <x:c r="BC357" s="115"/>
      <x:c r="BD357" s="115"/>
      <x:c r="BE357" s="115"/>
      <x:c r="BF357" s="115"/>
      <x:c r="BG357" s="115"/>
      <x:c r="BH357" s="115"/>
      <x:c r="BI357" s="115"/>
      <x:c r="BJ357" s="115"/>
      <x:c r="BK357" s="115"/>
      <x:c r="BL357" s="115"/>
      <x:c r="BM357" s="115"/>
      <x:c r="BN357" s="115"/>
      <x:c r="BO357" s="115"/>
      <x:c r="BP357" s="115"/>
      <x:c r="BQ357" s="115"/>
      <x:c r="BR357" s="115"/>
      <x:c r="BS357" s="115"/>
      <x:c r="BT357" s="115"/>
      <x:c r="BU357" s="115"/>
      <x:c r="BV357" s="115"/>
      <x:c r="BW357" s="115"/>
      <x:c r="BX357" s="115"/>
      <x:c r="BY357" s="115"/>
      <x:c r="BZ357" s="115"/>
      <x:c r="CA357" s="115"/>
      <x:c r="CB357" s="116"/>
      <x:c r="CC357" s="141" t="str">
        <x:f>IF(COUNT(G357:P357)=0,"",AVERAGE(G357:P357)*4)</x:f>
      </x:c>
      <x:c r="CD357" s="178" t="str">
        <x:f>IF(COUNT(Q357:Z357)=0,"",AVERAGE(Q357:Z357)*4)</x:f>
      </x:c>
      <x:c r="CE357" s="178" t="str">
        <x:f>IF(COUNT(AA357:AJ357)=0,"",AVERAGE(AA357:AJ357)*4)</x:f>
      </x:c>
      <x:c r="CF357" s="178" t="str">
        <x:f>IF(COUNT(AK357:AR357)=0,"",AVERAGE(AK357:AR357)*4)</x:f>
      </x:c>
      <x:c r="CG357" s="178" t="str">
        <x:f>IF(COUNT(AS357:AY357)=0,"",AVERAGE(AS357:AY357)*4)</x:f>
      </x:c>
      <x:c r="CH357" s="178" t="str">
        <x:f>IF(COUNT(AZ357:BG357)=0,"",AVERAGE(AZ357:BG357)*4)</x:f>
      </x:c>
      <x:c r="CI357" s="178" t="str">
        <x:f>IF(COUNT(BH357:BN357)=0,"",AVERAGE(BH357:BN357)*4)</x:f>
      </x:c>
      <x:c r="CJ357" s="178" t="str">
        <x:f>IF(COUNT(BO357:BU357)=0,"",AVERAGE(BO357:BU357)*4)</x:f>
      </x:c>
      <x:c r="CK357" s="178" t="str">
        <x:f>IF(COUNT(BV357:CB357)=0,"",AVERAGE(BV357:CB357)*4)</x:f>
      </x:c>
      <x:c r="CL357" s="178" t="str">
        <x:f>IF(C357="","",IF(COUNT(G357:CB357)&lt;74,"",(CC357*'تنظیمات وزن‌دهی'!$C$5+CD357*'تنظیمات وزن‌دهی'!$C$6+CE357*'تنظیمات وزن‌دهی'!$C$7+CF357*'تنظیمات وزن‌دهی'!$C$8+CG357*'تنظیمات وزن‌دهی'!$C$9+CH357*'تنظیمات وزن‌دهی'!$C$10+CI357*'تنظیمات وزن‌دهی'!$C$11+CJ357*'تنظیمات وزن‌دهی'!$C$12+CK357*'تنظیمات وزن‌دهی'!$C$13)/100))</x:f>
      </x:c>
      <x:c r="CM357" s="178" t="str">
        <x:f>IF(C357="","",IF(COUNT(G357:CB357)=0,"",IF(COUNT(G357:CB357)&lt;74,"موقت - اطلاعات ناقص",IF(CL357&gt;=17,"عالی",IF(CL357&gt;=14,"خوب",IF(CL357&gt;=10,"متوسط","ضعیف"))))))</x:f>
      </x:c>
      <x:c r="CN357" s="178" t="n">
        <x:v>5</x:v>
      </x:c>
      <x:c r="CO357" s="142" t="n">
        <x:f>IF(C357="","",COUNT(G357:CB357)/74)</x:f>
        <x:v>0</x:v>
      </x:c>
      <x:c r="CP357" s="245"/>
    </x:row>
    <x:row r="358">
      <x:c r="A358" s="165" t="n">
        <x:v>354</x:v>
      </x:c>
      <x:c r="B358" s="233" t="str">
        <x:v>آذر</x:v>
      </x:c>
      <x:c r="C358" s="233" t="n">
        <x:f>IF('دانش‌آموزان'!E34="","",'دانش‌آموزان'!B34)</x:f>
        <x:v>30</x:v>
      </x:c>
      <x:c r="D358" s="233" t="str">
        <x:f>IF('دانش‌آموزان'!C34="","",'دانش‌آموزان'!C34)</x:f>
        <x:v>4000000306</x:v>
      </x:c>
      <x:c r="E358" s="233" t="str">
        <x:f>IF('دانش‌آموزان'!E34="","",'دانش‌آموزان'!E34&amp;" "&amp;'دانش‌آموزان'!F34)</x:f>
        <x:v>هلیا کریمی</x:v>
      </x:c>
      <x:c r="F358" s="166" t="str">
        <x:f>IF('دانش‌آموزان'!I34="","",'دانش‌آموزان'!I34)</x:f>
        <x:v>sample-7-b</x:v>
      </x:c>
      <x:c r="G358" s="114"/>
      <x:c r="H358" s="115"/>
      <x:c r="I358" s="115"/>
      <x:c r="J358" s="115"/>
      <x:c r="K358" s="115"/>
      <x:c r="L358" s="115"/>
      <x:c r="M358" s="115"/>
      <x:c r="N358" s="115"/>
      <x:c r="O358" s="115"/>
      <x:c r="P358" s="115"/>
      <x:c r="Q358" s="115"/>
      <x:c r="R358" s="115"/>
      <x:c r="S358" s="115"/>
      <x:c r="T358" s="115"/>
      <x:c r="U358" s="115"/>
      <x:c r="V358" s="115"/>
      <x:c r="W358" s="115"/>
      <x:c r="X358" s="115"/>
      <x:c r="Y358" s="115"/>
      <x:c r="Z358" s="115"/>
      <x:c r="AA358" s="115"/>
      <x:c r="AB358" s="115"/>
      <x:c r="AC358" s="115"/>
      <x:c r="AD358" s="115"/>
      <x:c r="AE358" s="115"/>
      <x:c r="AF358" s="115"/>
      <x:c r="AG358" s="115"/>
      <x:c r="AH358" s="115"/>
      <x:c r="AI358" s="115"/>
      <x:c r="AJ358" s="115"/>
      <x:c r="AK358" s="115"/>
      <x:c r="AL358" s="115"/>
      <x:c r="AM358" s="115"/>
      <x:c r="AN358" s="115"/>
      <x:c r="AO358" s="115"/>
      <x:c r="AP358" s="115"/>
      <x:c r="AQ358" s="115"/>
      <x:c r="AR358" s="115"/>
      <x:c r="AS358" s="115"/>
      <x:c r="AT358" s="115"/>
      <x:c r="AU358" s="115"/>
      <x:c r="AV358" s="115"/>
      <x:c r="AW358" s="115"/>
      <x:c r="AX358" s="115"/>
      <x:c r="AY358" s="115"/>
      <x:c r="AZ358" s="115"/>
      <x:c r="BA358" s="115"/>
      <x:c r="BB358" s="115"/>
      <x:c r="BC358" s="115"/>
      <x:c r="BD358" s="115"/>
      <x:c r="BE358" s="115"/>
      <x:c r="BF358" s="115"/>
      <x:c r="BG358" s="115"/>
      <x:c r="BH358" s="115"/>
      <x:c r="BI358" s="115"/>
      <x:c r="BJ358" s="115"/>
      <x:c r="BK358" s="115"/>
      <x:c r="BL358" s="115"/>
      <x:c r="BM358" s="115"/>
      <x:c r="BN358" s="115"/>
      <x:c r="BO358" s="115"/>
      <x:c r="BP358" s="115"/>
      <x:c r="BQ358" s="115"/>
      <x:c r="BR358" s="115"/>
      <x:c r="BS358" s="115"/>
      <x:c r="BT358" s="115"/>
      <x:c r="BU358" s="115"/>
      <x:c r="BV358" s="115"/>
      <x:c r="BW358" s="115"/>
      <x:c r="BX358" s="115"/>
      <x:c r="BY358" s="115"/>
      <x:c r="BZ358" s="115"/>
      <x:c r="CA358" s="115"/>
      <x:c r="CB358" s="116"/>
      <x:c r="CC358" s="141" t="str">
        <x:f>IF(COUNT(G358:P358)=0,"",AVERAGE(G358:P358)*4)</x:f>
      </x:c>
      <x:c r="CD358" s="178" t="str">
        <x:f>IF(COUNT(Q358:Z358)=0,"",AVERAGE(Q358:Z358)*4)</x:f>
      </x:c>
      <x:c r="CE358" s="178" t="str">
        <x:f>IF(COUNT(AA358:AJ358)=0,"",AVERAGE(AA358:AJ358)*4)</x:f>
      </x:c>
      <x:c r="CF358" s="178" t="str">
        <x:f>IF(COUNT(AK358:AR358)=0,"",AVERAGE(AK358:AR358)*4)</x:f>
      </x:c>
      <x:c r="CG358" s="178" t="str">
        <x:f>IF(COUNT(AS358:AY358)=0,"",AVERAGE(AS358:AY358)*4)</x:f>
      </x:c>
      <x:c r="CH358" s="178" t="str">
        <x:f>IF(COUNT(AZ358:BG358)=0,"",AVERAGE(AZ358:BG358)*4)</x:f>
      </x:c>
      <x:c r="CI358" s="178" t="str">
        <x:f>IF(COUNT(BH358:BN358)=0,"",AVERAGE(BH358:BN358)*4)</x:f>
      </x:c>
      <x:c r="CJ358" s="178" t="str">
        <x:f>IF(COUNT(BO358:BU358)=0,"",AVERAGE(BO358:BU358)*4)</x:f>
      </x:c>
      <x:c r="CK358" s="178" t="str">
        <x:f>IF(COUNT(BV358:CB358)=0,"",AVERAGE(BV358:CB358)*4)</x:f>
      </x:c>
      <x:c r="CL358" s="178" t="str">
        <x:f>IF(C358="","",IF(COUNT(G358:CB358)&lt;74,"",(CC358*'تنظیمات وزن‌دهی'!$C$5+CD358*'تنظیمات وزن‌دهی'!$C$6+CE358*'تنظیمات وزن‌دهی'!$C$7+CF358*'تنظیمات وزن‌دهی'!$C$8+CG358*'تنظیمات وزن‌دهی'!$C$9+CH358*'تنظیمات وزن‌دهی'!$C$10+CI358*'تنظیمات وزن‌دهی'!$C$11+CJ358*'تنظیمات وزن‌دهی'!$C$12+CK358*'تنظیمات وزن‌دهی'!$C$13)/100))</x:f>
      </x:c>
      <x:c r="CM358" s="178" t="str">
        <x:f>IF(C358="","",IF(COUNT(G358:CB358)=0,"",IF(COUNT(G358:CB358)&lt;74,"موقت - اطلاعات ناقص",IF(CL358&gt;=17,"عالی",IF(CL358&gt;=14,"خوب",IF(CL358&gt;=10,"متوسط","ضعیف"))))))</x:f>
      </x:c>
      <x:c r="CN358" s="178" t="n">
        <x:v>6</x:v>
      </x:c>
      <x:c r="CO358" s="142" t="n">
        <x:f>IF(C358="","",COUNT(G358:CB358)/74)</x:f>
        <x:v>0</x:v>
      </x:c>
      <x:c r="CP358" s="245"/>
    </x:row>
    <x:row r="359">
      <x:c r="A359" s="165" t="n">
        <x:v>355</x:v>
      </x:c>
      <x:c r="B359" s="233" t="str">
        <x:v>دی</x:v>
      </x:c>
      <x:c r="C359" s="233" t="n">
        <x:f>IF('دانش‌آموزان'!E34="","",'دانش‌آموزان'!B34)</x:f>
        <x:v>30</x:v>
      </x:c>
      <x:c r="D359" s="233" t="str">
        <x:f>IF('دانش‌آموزان'!C34="","",'دانش‌آموزان'!C34)</x:f>
        <x:v>4000000306</x:v>
      </x:c>
      <x:c r="E359" s="233" t="str">
        <x:f>IF('دانش‌آموزان'!E34="","",'دانش‌آموزان'!E34&amp;" "&amp;'دانش‌آموزان'!F34)</x:f>
        <x:v>هلیا کریمی</x:v>
      </x:c>
      <x:c r="F359" s="166" t="str">
        <x:f>IF('دانش‌آموزان'!I34="","",'دانش‌آموزان'!I34)</x:f>
        <x:v>sample-7-b</x:v>
      </x:c>
      <x:c r="G359" s="114"/>
      <x:c r="H359" s="115"/>
      <x:c r="I359" s="115"/>
      <x:c r="J359" s="115"/>
      <x:c r="K359" s="115"/>
      <x:c r="L359" s="115"/>
      <x:c r="M359" s="115"/>
      <x:c r="N359" s="115"/>
      <x:c r="O359" s="115"/>
      <x:c r="P359" s="115"/>
      <x:c r="Q359" s="115"/>
      <x:c r="R359" s="115"/>
      <x:c r="S359" s="115"/>
      <x:c r="T359" s="115"/>
      <x:c r="U359" s="115"/>
      <x:c r="V359" s="115"/>
      <x:c r="W359" s="115"/>
      <x:c r="X359" s="115"/>
      <x:c r="Y359" s="115"/>
      <x:c r="Z359" s="115"/>
      <x:c r="AA359" s="115"/>
      <x:c r="AB359" s="115"/>
      <x:c r="AC359" s="115"/>
      <x:c r="AD359" s="115"/>
      <x:c r="AE359" s="115"/>
      <x:c r="AF359" s="115"/>
      <x:c r="AG359" s="115"/>
      <x:c r="AH359" s="115"/>
      <x:c r="AI359" s="115"/>
      <x:c r="AJ359" s="115"/>
      <x:c r="AK359" s="115"/>
      <x:c r="AL359" s="115"/>
      <x:c r="AM359" s="115"/>
      <x:c r="AN359" s="115"/>
      <x:c r="AO359" s="115"/>
      <x:c r="AP359" s="115"/>
      <x:c r="AQ359" s="115"/>
      <x:c r="AR359" s="115"/>
      <x:c r="AS359" s="115"/>
      <x:c r="AT359" s="115"/>
      <x:c r="AU359" s="115"/>
      <x:c r="AV359" s="115"/>
      <x:c r="AW359" s="115"/>
      <x:c r="AX359" s="115"/>
      <x:c r="AY359" s="115"/>
      <x:c r="AZ359" s="115"/>
      <x:c r="BA359" s="115"/>
      <x:c r="BB359" s="115"/>
      <x:c r="BC359" s="115"/>
      <x:c r="BD359" s="115"/>
      <x:c r="BE359" s="115"/>
      <x:c r="BF359" s="115"/>
      <x:c r="BG359" s="115"/>
      <x:c r="BH359" s="115"/>
      <x:c r="BI359" s="115"/>
      <x:c r="BJ359" s="115"/>
      <x:c r="BK359" s="115"/>
      <x:c r="BL359" s="115"/>
      <x:c r="BM359" s="115"/>
      <x:c r="BN359" s="115"/>
      <x:c r="BO359" s="115"/>
      <x:c r="BP359" s="115"/>
      <x:c r="BQ359" s="115"/>
      <x:c r="BR359" s="115"/>
      <x:c r="BS359" s="115"/>
      <x:c r="BT359" s="115"/>
      <x:c r="BU359" s="115"/>
      <x:c r="BV359" s="115"/>
      <x:c r="BW359" s="115"/>
      <x:c r="BX359" s="115"/>
      <x:c r="BY359" s="115"/>
      <x:c r="BZ359" s="115"/>
      <x:c r="CA359" s="115"/>
      <x:c r="CB359" s="116"/>
      <x:c r="CC359" s="141" t="str">
        <x:f>IF(COUNT(G359:P359)=0,"",AVERAGE(G359:P359)*4)</x:f>
      </x:c>
      <x:c r="CD359" s="178" t="str">
        <x:f>IF(COUNT(Q359:Z359)=0,"",AVERAGE(Q359:Z359)*4)</x:f>
      </x:c>
      <x:c r="CE359" s="178" t="str">
        <x:f>IF(COUNT(AA359:AJ359)=0,"",AVERAGE(AA359:AJ359)*4)</x:f>
      </x:c>
      <x:c r="CF359" s="178" t="str">
        <x:f>IF(COUNT(AK359:AR359)=0,"",AVERAGE(AK359:AR359)*4)</x:f>
      </x:c>
      <x:c r="CG359" s="178" t="str">
        <x:f>IF(COUNT(AS359:AY359)=0,"",AVERAGE(AS359:AY359)*4)</x:f>
      </x:c>
      <x:c r="CH359" s="178" t="str">
        <x:f>IF(COUNT(AZ359:BG359)=0,"",AVERAGE(AZ359:BG359)*4)</x:f>
      </x:c>
      <x:c r="CI359" s="178" t="str">
        <x:f>IF(COUNT(BH359:BN359)=0,"",AVERAGE(BH359:BN359)*4)</x:f>
      </x:c>
      <x:c r="CJ359" s="178" t="str">
        <x:f>IF(COUNT(BO359:BU359)=0,"",AVERAGE(BO359:BU359)*4)</x:f>
      </x:c>
      <x:c r="CK359" s="178" t="str">
        <x:f>IF(COUNT(BV359:CB359)=0,"",AVERAGE(BV359:CB359)*4)</x:f>
      </x:c>
      <x:c r="CL359" s="178" t="str">
        <x:f>IF(C359="","",IF(COUNT(G359:CB359)&lt;74,"",(CC359*'تنظیمات وزن‌دهی'!$C$5+CD359*'تنظیمات وزن‌دهی'!$C$6+CE359*'تنظیمات وزن‌دهی'!$C$7+CF359*'تنظیمات وزن‌دهی'!$C$8+CG359*'تنظیمات وزن‌دهی'!$C$9+CH359*'تنظیمات وزن‌دهی'!$C$10+CI359*'تنظیمات وزن‌دهی'!$C$11+CJ359*'تنظیمات وزن‌دهی'!$C$12+CK359*'تنظیمات وزن‌دهی'!$C$13)/100))</x:f>
      </x:c>
      <x:c r="CM359" s="178" t="str">
        <x:f>IF(C359="","",IF(COUNT(G359:CB359)=0,"",IF(COUNT(G359:CB359)&lt;74,"موقت - اطلاعات ناقص",IF(CL359&gt;=17,"عالی",IF(CL359&gt;=14,"خوب",IF(CL359&gt;=10,"متوسط","ضعیف"))))))</x:f>
      </x:c>
      <x:c r="CN359" s="178" t="n">
        <x:v>7</x:v>
      </x:c>
      <x:c r="CO359" s="142" t="n">
        <x:f>IF(C359="","",COUNT(G359:CB359)/74)</x:f>
        <x:v>0</x:v>
      </x:c>
      <x:c r="CP359" s="245"/>
    </x:row>
    <x:row r="360">
      <x:c r="A360" s="165" t="n">
        <x:v>356</x:v>
      </x:c>
      <x:c r="B360" s="233" t="str">
        <x:v>بهمن</x:v>
      </x:c>
      <x:c r="C360" s="233" t="n">
        <x:f>IF('دانش‌آموزان'!E34="","",'دانش‌آموزان'!B34)</x:f>
        <x:v>30</x:v>
      </x:c>
      <x:c r="D360" s="233" t="str">
        <x:f>IF('دانش‌آموزان'!C34="","",'دانش‌آموزان'!C34)</x:f>
        <x:v>4000000306</x:v>
      </x:c>
      <x:c r="E360" s="233" t="str">
        <x:f>IF('دانش‌آموزان'!E34="","",'دانش‌آموزان'!E34&amp;" "&amp;'دانش‌آموزان'!F34)</x:f>
        <x:v>هلیا کریمی</x:v>
      </x:c>
      <x:c r="F360" s="166" t="str">
        <x:f>IF('دانش‌آموزان'!I34="","",'دانش‌آموزان'!I34)</x:f>
        <x:v>sample-7-b</x:v>
      </x:c>
      <x:c r="G360" s="114"/>
      <x:c r="H360" s="115"/>
      <x:c r="I360" s="115"/>
      <x:c r="J360" s="115"/>
      <x:c r="K360" s="115"/>
      <x:c r="L360" s="115"/>
      <x:c r="M360" s="115"/>
      <x:c r="N360" s="115"/>
      <x:c r="O360" s="115"/>
      <x:c r="P360" s="115"/>
      <x:c r="Q360" s="115"/>
      <x:c r="R360" s="115"/>
      <x:c r="S360" s="115"/>
      <x:c r="T360" s="115"/>
      <x:c r="U360" s="115"/>
      <x:c r="V360" s="115"/>
      <x:c r="W360" s="115"/>
      <x:c r="X360" s="115"/>
      <x:c r="Y360" s="115"/>
      <x:c r="Z360" s="115"/>
      <x:c r="AA360" s="115"/>
      <x:c r="AB360" s="115"/>
      <x:c r="AC360" s="115"/>
      <x:c r="AD360" s="115"/>
      <x:c r="AE360" s="115"/>
      <x:c r="AF360" s="115"/>
      <x:c r="AG360" s="115"/>
      <x:c r="AH360" s="115"/>
      <x:c r="AI360" s="115"/>
      <x:c r="AJ360" s="115"/>
      <x:c r="AK360" s="115"/>
      <x:c r="AL360" s="115"/>
      <x:c r="AM360" s="115"/>
      <x:c r="AN360" s="115"/>
      <x:c r="AO360" s="115"/>
      <x:c r="AP360" s="115"/>
      <x:c r="AQ360" s="115"/>
      <x:c r="AR360" s="115"/>
      <x:c r="AS360" s="115"/>
      <x:c r="AT360" s="115"/>
      <x:c r="AU360" s="115"/>
      <x:c r="AV360" s="115"/>
      <x:c r="AW360" s="115"/>
      <x:c r="AX360" s="115"/>
      <x:c r="AY360" s="115"/>
      <x:c r="AZ360" s="115"/>
      <x:c r="BA360" s="115"/>
      <x:c r="BB360" s="115"/>
      <x:c r="BC360" s="115"/>
      <x:c r="BD360" s="115"/>
      <x:c r="BE360" s="115"/>
      <x:c r="BF360" s="115"/>
      <x:c r="BG360" s="115"/>
      <x:c r="BH360" s="115"/>
      <x:c r="BI360" s="115"/>
      <x:c r="BJ360" s="115"/>
      <x:c r="BK360" s="115"/>
      <x:c r="BL360" s="115"/>
      <x:c r="BM360" s="115"/>
      <x:c r="BN360" s="115"/>
      <x:c r="BO360" s="115"/>
      <x:c r="BP360" s="115"/>
      <x:c r="BQ360" s="115"/>
      <x:c r="BR360" s="115"/>
      <x:c r="BS360" s="115"/>
      <x:c r="BT360" s="115"/>
      <x:c r="BU360" s="115"/>
      <x:c r="BV360" s="115"/>
      <x:c r="BW360" s="115"/>
      <x:c r="BX360" s="115"/>
      <x:c r="BY360" s="115"/>
      <x:c r="BZ360" s="115"/>
      <x:c r="CA360" s="115"/>
      <x:c r="CB360" s="116"/>
      <x:c r="CC360" s="141" t="str">
        <x:f>IF(COUNT(G360:P360)=0,"",AVERAGE(G360:P360)*4)</x:f>
      </x:c>
      <x:c r="CD360" s="178" t="str">
        <x:f>IF(COUNT(Q360:Z360)=0,"",AVERAGE(Q360:Z360)*4)</x:f>
      </x:c>
      <x:c r="CE360" s="178" t="str">
        <x:f>IF(COUNT(AA360:AJ360)=0,"",AVERAGE(AA360:AJ360)*4)</x:f>
      </x:c>
      <x:c r="CF360" s="178" t="str">
        <x:f>IF(COUNT(AK360:AR360)=0,"",AVERAGE(AK360:AR360)*4)</x:f>
      </x:c>
      <x:c r="CG360" s="178" t="str">
        <x:f>IF(COUNT(AS360:AY360)=0,"",AVERAGE(AS360:AY360)*4)</x:f>
      </x:c>
      <x:c r="CH360" s="178" t="str">
        <x:f>IF(COUNT(AZ360:BG360)=0,"",AVERAGE(AZ360:BG360)*4)</x:f>
      </x:c>
      <x:c r="CI360" s="178" t="str">
        <x:f>IF(COUNT(BH360:BN360)=0,"",AVERAGE(BH360:BN360)*4)</x:f>
      </x:c>
      <x:c r="CJ360" s="178" t="str">
        <x:f>IF(COUNT(BO360:BU360)=0,"",AVERAGE(BO360:BU360)*4)</x:f>
      </x:c>
      <x:c r="CK360" s="178" t="str">
        <x:f>IF(COUNT(BV360:CB360)=0,"",AVERAGE(BV360:CB360)*4)</x:f>
      </x:c>
      <x:c r="CL360" s="178" t="str">
        <x:f>IF(C360="","",IF(COUNT(G360:CB360)&lt;74,"",(CC360*'تنظیمات وزن‌دهی'!$C$5+CD360*'تنظیمات وزن‌دهی'!$C$6+CE360*'تنظیمات وزن‌دهی'!$C$7+CF360*'تنظیمات وزن‌دهی'!$C$8+CG360*'تنظیمات وزن‌دهی'!$C$9+CH360*'تنظیمات وزن‌دهی'!$C$10+CI360*'تنظیمات وزن‌دهی'!$C$11+CJ360*'تنظیمات وزن‌دهی'!$C$12+CK360*'تنظیمات وزن‌دهی'!$C$13)/100))</x:f>
      </x:c>
      <x:c r="CM360" s="178" t="str">
        <x:f>IF(C360="","",IF(COUNT(G360:CB360)=0,"",IF(COUNT(G360:CB360)&lt;74,"موقت - اطلاعات ناقص",IF(CL360&gt;=17,"عالی",IF(CL360&gt;=14,"خوب",IF(CL360&gt;=10,"متوسط","ضعیف"))))))</x:f>
      </x:c>
      <x:c r="CN360" s="178" t="n">
        <x:v>8</x:v>
      </x:c>
      <x:c r="CO360" s="142" t="n">
        <x:f>IF(C360="","",COUNT(G360:CB360)/74)</x:f>
        <x:v>0</x:v>
      </x:c>
      <x:c r="CP360" s="245"/>
    </x:row>
    <x:row r="361">
      <x:c r="A361" s="165" t="n">
        <x:v>357</x:v>
      </x:c>
      <x:c r="B361" s="233" t="str">
        <x:v>اسفند</x:v>
      </x:c>
      <x:c r="C361" s="233" t="n">
        <x:f>IF('دانش‌آموزان'!E34="","",'دانش‌آموزان'!B34)</x:f>
        <x:v>30</x:v>
      </x:c>
      <x:c r="D361" s="233" t="str">
        <x:f>IF('دانش‌آموزان'!C34="","",'دانش‌آموزان'!C34)</x:f>
        <x:v>4000000306</x:v>
      </x:c>
      <x:c r="E361" s="233" t="str">
        <x:f>IF('دانش‌آموزان'!E34="","",'دانش‌آموزان'!E34&amp;" "&amp;'دانش‌آموزان'!F34)</x:f>
        <x:v>هلیا کریمی</x:v>
      </x:c>
      <x:c r="F361" s="166" t="str">
        <x:f>IF('دانش‌آموزان'!I34="","",'دانش‌آموزان'!I34)</x:f>
        <x:v>sample-7-b</x:v>
      </x:c>
      <x:c r="G361" s="114"/>
      <x:c r="H361" s="115"/>
      <x:c r="I361" s="115"/>
      <x:c r="J361" s="115"/>
      <x:c r="K361" s="115"/>
      <x:c r="L361" s="115"/>
      <x:c r="M361" s="115"/>
      <x:c r="N361" s="115"/>
      <x:c r="O361" s="115"/>
      <x:c r="P361" s="115"/>
      <x:c r="Q361" s="115"/>
      <x:c r="R361" s="115"/>
      <x:c r="S361" s="115"/>
      <x:c r="T361" s="115"/>
      <x:c r="U361" s="115"/>
      <x:c r="V361" s="115"/>
      <x:c r="W361" s="115"/>
      <x:c r="X361" s="115"/>
      <x:c r="Y361" s="115"/>
      <x:c r="Z361" s="115"/>
      <x:c r="AA361" s="115"/>
      <x:c r="AB361" s="115"/>
      <x:c r="AC361" s="115"/>
      <x:c r="AD361" s="115"/>
      <x:c r="AE361" s="115"/>
      <x:c r="AF361" s="115"/>
      <x:c r="AG361" s="115"/>
      <x:c r="AH361" s="115"/>
      <x:c r="AI361" s="115"/>
      <x:c r="AJ361" s="115"/>
      <x:c r="AK361" s="115"/>
      <x:c r="AL361" s="115"/>
      <x:c r="AM361" s="115"/>
      <x:c r="AN361" s="115"/>
      <x:c r="AO361" s="115"/>
      <x:c r="AP361" s="115"/>
      <x:c r="AQ361" s="115"/>
      <x:c r="AR361" s="115"/>
      <x:c r="AS361" s="115"/>
      <x:c r="AT361" s="115"/>
      <x:c r="AU361" s="115"/>
      <x:c r="AV361" s="115"/>
      <x:c r="AW361" s="115"/>
      <x:c r="AX361" s="115"/>
      <x:c r="AY361" s="115"/>
      <x:c r="AZ361" s="115"/>
      <x:c r="BA361" s="115"/>
      <x:c r="BB361" s="115"/>
      <x:c r="BC361" s="115"/>
      <x:c r="BD361" s="115"/>
      <x:c r="BE361" s="115"/>
      <x:c r="BF361" s="115"/>
      <x:c r="BG361" s="115"/>
      <x:c r="BH361" s="115"/>
      <x:c r="BI361" s="115"/>
      <x:c r="BJ361" s="115"/>
      <x:c r="BK361" s="115"/>
      <x:c r="BL361" s="115"/>
      <x:c r="BM361" s="115"/>
      <x:c r="BN361" s="115"/>
      <x:c r="BO361" s="115"/>
      <x:c r="BP361" s="115"/>
      <x:c r="BQ361" s="115"/>
      <x:c r="BR361" s="115"/>
      <x:c r="BS361" s="115"/>
      <x:c r="BT361" s="115"/>
      <x:c r="BU361" s="115"/>
      <x:c r="BV361" s="115"/>
      <x:c r="BW361" s="115"/>
      <x:c r="BX361" s="115"/>
      <x:c r="BY361" s="115"/>
      <x:c r="BZ361" s="115"/>
      <x:c r="CA361" s="115"/>
      <x:c r="CB361" s="116"/>
      <x:c r="CC361" s="141" t="str">
        <x:f>IF(COUNT(G361:P361)=0,"",AVERAGE(G361:P361)*4)</x:f>
      </x:c>
      <x:c r="CD361" s="178" t="str">
        <x:f>IF(COUNT(Q361:Z361)=0,"",AVERAGE(Q361:Z361)*4)</x:f>
      </x:c>
      <x:c r="CE361" s="178" t="str">
        <x:f>IF(COUNT(AA361:AJ361)=0,"",AVERAGE(AA361:AJ361)*4)</x:f>
      </x:c>
      <x:c r="CF361" s="178" t="str">
        <x:f>IF(COUNT(AK361:AR361)=0,"",AVERAGE(AK361:AR361)*4)</x:f>
      </x:c>
      <x:c r="CG361" s="178" t="str">
        <x:f>IF(COUNT(AS361:AY361)=0,"",AVERAGE(AS361:AY361)*4)</x:f>
      </x:c>
      <x:c r="CH361" s="178" t="str">
        <x:f>IF(COUNT(AZ361:BG361)=0,"",AVERAGE(AZ361:BG361)*4)</x:f>
      </x:c>
      <x:c r="CI361" s="178" t="str">
        <x:f>IF(COUNT(BH361:BN361)=0,"",AVERAGE(BH361:BN361)*4)</x:f>
      </x:c>
      <x:c r="CJ361" s="178" t="str">
        <x:f>IF(COUNT(BO361:BU361)=0,"",AVERAGE(BO361:BU361)*4)</x:f>
      </x:c>
      <x:c r="CK361" s="178" t="str">
        <x:f>IF(COUNT(BV361:CB361)=0,"",AVERAGE(BV361:CB361)*4)</x:f>
      </x:c>
      <x:c r="CL361" s="178" t="str">
        <x:f>IF(C361="","",IF(COUNT(G361:CB361)&lt;74,"",(CC361*'تنظیمات وزن‌دهی'!$C$5+CD361*'تنظیمات وزن‌دهی'!$C$6+CE361*'تنظیمات وزن‌دهی'!$C$7+CF361*'تنظیمات وزن‌دهی'!$C$8+CG361*'تنظیمات وزن‌دهی'!$C$9+CH361*'تنظیمات وزن‌دهی'!$C$10+CI361*'تنظیمات وزن‌دهی'!$C$11+CJ361*'تنظیمات وزن‌دهی'!$C$12+CK361*'تنظیمات وزن‌دهی'!$C$13)/100))</x:f>
      </x:c>
      <x:c r="CM361" s="178" t="str">
        <x:f>IF(C361="","",IF(COUNT(G361:CB361)=0,"",IF(COUNT(G361:CB361)&lt;74,"موقت - اطلاعات ناقص",IF(CL361&gt;=17,"عالی",IF(CL361&gt;=14,"خوب",IF(CL361&gt;=10,"متوسط","ضعیف"))))))</x:f>
      </x:c>
      <x:c r="CN361" s="178" t="n">
        <x:v>9</x:v>
      </x:c>
      <x:c r="CO361" s="142" t="n">
        <x:f>IF(C361="","",COUNT(G361:CB361)/74)</x:f>
        <x:v>0</x:v>
      </x:c>
      <x:c r="CP361" s="245"/>
    </x:row>
    <x:row r="362">
      <x:c r="A362" s="165" t="n">
        <x:v>358</x:v>
      </x:c>
      <x:c r="B362" s="233" t="str">
        <x:v>فروردین</x:v>
      </x:c>
      <x:c r="C362" s="233" t="n">
        <x:f>IF('دانش‌آموزان'!E34="","",'دانش‌آموزان'!B34)</x:f>
        <x:v>30</x:v>
      </x:c>
      <x:c r="D362" s="233" t="str">
        <x:f>IF('دانش‌آموزان'!C34="","",'دانش‌آموزان'!C34)</x:f>
        <x:v>4000000306</x:v>
      </x:c>
      <x:c r="E362" s="233" t="str">
        <x:f>IF('دانش‌آموزان'!E34="","",'دانش‌آموزان'!E34&amp;" "&amp;'دانش‌آموزان'!F34)</x:f>
        <x:v>هلیا کریمی</x:v>
      </x:c>
      <x:c r="F362" s="166" t="str">
        <x:f>IF('دانش‌آموزان'!I34="","",'دانش‌آموزان'!I34)</x:f>
        <x:v>sample-7-b</x:v>
      </x:c>
      <x:c r="G362" s="114"/>
      <x:c r="H362" s="115"/>
      <x:c r="I362" s="115"/>
      <x:c r="J362" s="115"/>
      <x:c r="K362" s="115"/>
      <x:c r="L362" s="115"/>
      <x:c r="M362" s="115"/>
      <x:c r="N362" s="115"/>
      <x:c r="O362" s="115"/>
      <x:c r="P362" s="115"/>
      <x:c r="Q362" s="115"/>
      <x:c r="R362" s="115"/>
      <x:c r="S362" s="115"/>
      <x:c r="T362" s="115"/>
      <x:c r="U362" s="115"/>
      <x:c r="V362" s="115"/>
      <x:c r="W362" s="115"/>
      <x:c r="X362" s="115"/>
      <x:c r="Y362" s="115"/>
      <x:c r="Z362" s="115"/>
      <x:c r="AA362" s="115"/>
      <x:c r="AB362" s="115"/>
      <x:c r="AC362" s="115"/>
      <x:c r="AD362" s="115"/>
      <x:c r="AE362" s="115"/>
      <x:c r="AF362" s="115"/>
      <x:c r="AG362" s="115"/>
      <x:c r="AH362" s="115"/>
      <x:c r="AI362" s="115"/>
      <x:c r="AJ362" s="115"/>
      <x:c r="AK362" s="115"/>
      <x:c r="AL362" s="115"/>
      <x:c r="AM362" s="115"/>
      <x:c r="AN362" s="115"/>
      <x:c r="AO362" s="115"/>
      <x:c r="AP362" s="115"/>
      <x:c r="AQ362" s="115"/>
      <x:c r="AR362" s="115"/>
      <x:c r="AS362" s="115"/>
      <x:c r="AT362" s="115"/>
      <x:c r="AU362" s="115"/>
      <x:c r="AV362" s="115"/>
      <x:c r="AW362" s="115"/>
      <x:c r="AX362" s="115"/>
      <x:c r="AY362" s="115"/>
      <x:c r="AZ362" s="115"/>
      <x:c r="BA362" s="115"/>
      <x:c r="BB362" s="115"/>
      <x:c r="BC362" s="115"/>
      <x:c r="BD362" s="115"/>
      <x:c r="BE362" s="115"/>
      <x:c r="BF362" s="115"/>
      <x:c r="BG362" s="115"/>
      <x:c r="BH362" s="115"/>
      <x:c r="BI362" s="115"/>
      <x:c r="BJ362" s="115"/>
      <x:c r="BK362" s="115"/>
      <x:c r="BL362" s="115"/>
      <x:c r="BM362" s="115"/>
      <x:c r="BN362" s="115"/>
      <x:c r="BO362" s="115"/>
      <x:c r="BP362" s="115"/>
      <x:c r="BQ362" s="115"/>
      <x:c r="BR362" s="115"/>
      <x:c r="BS362" s="115"/>
      <x:c r="BT362" s="115"/>
      <x:c r="BU362" s="115"/>
      <x:c r="BV362" s="115"/>
      <x:c r="BW362" s="115"/>
      <x:c r="BX362" s="115"/>
      <x:c r="BY362" s="115"/>
      <x:c r="BZ362" s="115"/>
      <x:c r="CA362" s="115"/>
      <x:c r="CB362" s="116"/>
      <x:c r="CC362" s="141" t="str">
        <x:f>IF(COUNT(G362:P362)=0,"",AVERAGE(G362:P362)*4)</x:f>
      </x:c>
      <x:c r="CD362" s="178" t="str">
        <x:f>IF(COUNT(Q362:Z362)=0,"",AVERAGE(Q362:Z362)*4)</x:f>
      </x:c>
      <x:c r="CE362" s="178" t="str">
        <x:f>IF(COUNT(AA362:AJ362)=0,"",AVERAGE(AA362:AJ362)*4)</x:f>
      </x:c>
      <x:c r="CF362" s="178" t="str">
        <x:f>IF(COUNT(AK362:AR362)=0,"",AVERAGE(AK362:AR362)*4)</x:f>
      </x:c>
      <x:c r="CG362" s="178" t="str">
        <x:f>IF(COUNT(AS362:AY362)=0,"",AVERAGE(AS362:AY362)*4)</x:f>
      </x:c>
      <x:c r="CH362" s="178" t="str">
        <x:f>IF(COUNT(AZ362:BG362)=0,"",AVERAGE(AZ362:BG362)*4)</x:f>
      </x:c>
      <x:c r="CI362" s="178" t="str">
        <x:f>IF(COUNT(BH362:BN362)=0,"",AVERAGE(BH362:BN362)*4)</x:f>
      </x:c>
      <x:c r="CJ362" s="178" t="str">
        <x:f>IF(COUNT(BO362:BU362)=0,"",AVERAGE(BO362:BU362)*4)</x:f>
      </x:c>
      <x:c r="CK362" s="178" t="str">
        <x:f>IF(COUNT(BV362:CB362)=0,"",AVERAGE(BV362:CB362)*4)</x:f>
      </x:c>
      <x:c r="CL362" s="178" t="str">
        <x:f>IF(C362="","",IF(COUNT(G362:CB362)&lt;74,"",(CC362*'تنظیمات وزن‌دهی'!$C$5+CD362*'تنظیمات وزن‌دهی'!$C$6+CE362*'تنظیمات وزن‌دهی'!$C$7+CF362*'تنظیمات وزن‌دهی'!$C$8+CG362*'تنظیمات وزن‌دهی'!$C$9+CH362*'تنظیمات وزن‌دهی'!$C$10+CI362*'تنظیمات وزن‌دهی'!$C$11+CJ362*'تنظیمات وزن‌دهی'!$C$12+CK362*'تنظیمات وزن‌دهی'!$C$13)/100))</x:f>
      </x:c>
      <x:c r="CM362" s="178" t="str">
        <x:f>IF(C362="","",IF(COUNT(G362:CB362)=0,"",IF(COUNT(G362:CB362)&lt;74,"موقت - اطلاعات ناقص",IF(CL362&gt;=17,"عالی",IF(CL362&gt;=14,"خوب",IF(CL362&gt;=10,"متوسط","ضعیف"))))))</x:f>
      </x:c>
      <x:c r="CN362" s="178" t="n">
        <x:v>10</x:v>
      </x:c>
      <x:c r="CO362" s="142" t="n">
        <x:f>IF(C362="","",COUNT(G362:CB362)/74)</x:f>
        <x:v>0</x:v>
      </x:c>
      <x:c r="CP362" s="245"/>
    </x:row>
    <x:row r="363">
      <x:c r="A363" s="165" t="n">
        <x:v>359</x:v>
      </x:c>
      <x:c r="B363" s="233" t="str">
        <x:v>اردیبهشت</x:v>
      </x:c>
      <x:c r="C363" s="233" t="n">
        <x:f>IF('دانش‌آموزان'!E34="","",'دانش‌آموزان'!B34)</x:f>
        <x:v>30</x:v>
      </x:c>
      <x:c r="D363" s="233" t="str">
        <x:f>IF('دانش‌آموزان'!C34="","",'دانش‌آموزان'!C34)</x:f>
        <x:v>4000000306</x:v>
      </x:c>
      <x:c r="E363" s="233" t="str">
        <x:f>IF('دانش‌آموزان'!E34="","",'دانش‌آموزان'!E34&amp;" "&amp;'دانش‌آموزان'!F34)</x:f>
        <x:v>هلیا کریمی</x:v>
      </x:c>
      <x:c r="F363" s="166" t="str">
        <x:f>IF('دانش‌آموزان'!I34="","",'دانش‌آموزان'!I34)</x:f>
        <x:v>sample-7-b</x:v>
      </x:c>
      <x:c r="G363" s="114"/>
      <x:c r="H363" s="115"/>
      <x:c r="I363" s="115"/>
      <x:c r="J363" s="115"/>
      <x:c r="K363" s="115"/>
      <x:c r="L363" s="115"/>
      <x:c r="M363" s="115"/>
      <x:c r="N363" s="115"/>
      <x:c r="O363" s="115"/>
      <x:c r="P363" s="115"/>
      <x:c r="Q363" s="115"/>
      <x:c r="R363" s="115"/>
      <x:c r="S363" s="115"/>
      <x:c r="T363" s="115"/>
      <x:c r="U363" s="115"/>
      <x:c r="V363" s="115"/>
      <x:c r="W363" s="115"/>
      <x:c r="X363" s="115"/>
      <x:c r="Y363" s="115"/>
      <x:c r="Z363" s="115"/>
      <x:c r="AA363" s="115"/>
      <x:c r="AB363" s="115"/>
      <x:c r="AC363" s="115"/>
      <x:c r="AD363" s="115"/>
      <x:c r="AE363" s="115"/>
      <x:c r="AF363" s="115"/>
      <x:c r="AG363" s="115"/>
      <x:c r="AH363" s="115"/>
      <x:c r="AI363" s="115"/>
      <x:c r="AJ363" s="115"/>
      <x:c r="AK363" s="115"/>
      <x:c r="AL363" s="115"/>
      <x:c r="AM363" s="115"/>
      <x:c r="AN363" s="115"/>
      <x:c r="AO363" s="115"/>
      <x:c r="AP363" s="115"/>
      <x:c r="AQ363" s="115"/>
      <x:c r="AR363" s="115"/>
      <x:c r="AS363" s="115"/>
      <x:c r="AT363" s="115"/>
      <x:c r="AU363" s="115"/>
      <x:c r="AV363" s="115"/>
      <x:c r="AW363" s="115"/>
      <x:c r="AX363" s="115"/>
      <x:c r="AY363" s="115"/>
      <x:c r="AZ363" s="115"/>
      <x:c r="BA363" s="115"/>
      <x:c r="BB363" s="115"/>
      <x:c r="BC363" s="115"/>
      <x:c r="BD363" s="115"/>
      <x:c r="BE363" s="115"/>
      <x:c r="BF363" s="115"/>
      <x:c r="BG363" s="115"/>
      <x:c r="BH363" s="115"/>
      <x:c r="BI363" s="115"/>
      <x:c r="BJ363" s="115"/>
      <x:c r="BK363" s="115"/>
      <x:c r="BL363" s="115"/>
      <x:c r="BM363" s="115"/>
      <x:c r="BN363" s="115"/>
      <x:c r="BO363" s="115"/>
      <x:c r="BP363" s="115"/>
      <x:c r="BQ363" s="115"/>
      <x:c r="BR363" s="115"/>
      <x:c r="BS363" s="115"/>
      <x:c r="BT363" s="115"/>
      <x:c r="BU363" s="115"/>
      <x:c r="BV363" s="115"/>
      <x:c r="BW363" s="115"/>
      <x:c r="BX363" s="115"/>
      <x:c r="BY363" s="115"/>
      <x:c r="BZ363" s="115"/>
      <x:c r="CA363" s="115"/>
      <x:c r="CB363" s="116"/>
      <x:c r="CC363" s="141" t="str">
        <x:f>IF(COUNT(G363:P363)=0,"",AVERAGE(G363:P363)*4)</x:f>
      </x:c>
      <x:c r="CD363" s="178" t="str">
        <x:f>IF(COUNT(Q363:Z363)=0,"",AVERAGE(Q363:Z363)*4)</x:f>
      </x:c>
      <x:c r="CE363" s="178" t="str">
        <x:f>IF(COUNT(AA363:AJ363)=0,"",AVERAGE(AA363:AJ363)*4)</x:f>
      </x:c>
      <x:c r="CF363" s="178" t="str">
        <x:f>IF(COUNT(AK363:AR363)=0,"",AVERAGE(AK363:AR363)*4)</x:f>
      </x:c>
      <x:c r="CG363" s="178" t="str">
        <x:f>IF(COUNT(AS363:AY363)=0,"",AVERAGE(AS363:AY363)*4)</x:f>
      </x:c>
      <x:c r="CH363" s="178" t="str">
        <x:f>IF(COUNT(AZ363:BG363)=0,"",AVERAGE(AZ363:BG363)*4)</x:f>
      </x:c>
      <x:c r="CI363" s="178" t="str">
        <x:f>IF(COUNT(BH363:BN363)=0,"",AVERAGE(BH363:BN363)*4)</x:f>
      </x:c>
      <x:c r="CJ363" s="178" t="str">
        <x:f>IF(COUNT(BO363:BU363)=0,"",AVERAGE(BO363:BU363)*4)</x:f>
      </x:c>
      <x:c r="CK363" s="178" t="str">
        <x:f>IF(COUNT(BV363:CB363)=0,"",AVERAGE(BV363:CB363)*4)</x:f>
      </x:c>
      <x:c r="CL363" s="178" t="str">
        <x:f>IF(C363="","",IF(COUNT(G363:CB363)&lt;74,"",(CC363*'تنظیمات وزن‌دهی'!$C$5+CD363*'تنظیمات وزن‌دهی'!$C$6+CE363*'تنظیمات وزن‌دهی'!$C$7+CF363*'تنظیمات وزن‌دهی'!$C$8+CG363*'تنظیمات وزن‌دهی'!$C$9+CH363*'تنظیمات وزن‌دهی'!$C$10+CI363*'تنظیمات وزن‌دهی'!$C$11+CJ363*'تنظیمات وزن‌دهی'!$C$12+CK363*'تنظیمات وزن‌دهی'!$C$13)/100))</x:f>
      </x:c>
      <x:c r="CM363" s="178" t="str">
        <x:f>IF(C363="","",IF(COUNT(G363:CB363)=0,"",IF(COUNT(G363:CB363)&lt;74,"موقت - اطلاعات ناقص",IF(CL363&gt;=17,"عالی",IF(CL363&gt;=14,"خوب",IF(CL363&gt;=10,"متوسط","ضعیف"))))))</x:f>
      </x:c>
      <x:c r="CN363" s="178" t="n">
        <x:v>11</x:v>
      </x:c>
      <x:c r="CO363" s="142" t="n">
        <x:f>IF(C363="","",COUNT(G363:CB363)/74)</x:f>
        <x:v>0</x:v>
      </x:c>
      <x:c r="CP363" s="245"/>
    </x:row>
    <x:row r="364">
      <x:c r="A364" s="165" t="n">
        <x:v>360</x:v>
      </x:c>
      <x:c r="B364" s="233" t="str">
        <x:v>خرداد</x:v>
      </x:c>
      <x:c r="C364" s="233" t="n">
        <x:f>IF('دانش‌آموزان'!E34="","",'دانش‌آموزان'!B34)</x:f>
        <x:v>30</x:v>
      </x:c>
      <x:c r="D364" s="233" t="str">
        <x:f>IF('دانش‌آموزان'!C34="","",'دانش‌آموزان'!C34)</x:f>
        <x:v>4000000306</x:v>
      </x:c>
      <x:c r="E364" s="233" t="str">
        <x:f>IF('دانش‌آموزان'!E34="","",'دانش‌آموزان'!E34&amp;" "&amp;'دانش‌آموزان'!F34)</x:f>
        <x:v>هلیا کریمی</x:v>
      </x:c>
      <x:c r="F364" s="166" t="str">
        <x:f>IF('دانش‌آموزان'!I34="","",'دانش‌آموزان'!I34)</x:f>
        <x:v>sample-7-b</x:v>
      </x:c>
      <x:c r="G364" s="114"/>
      <x:c r="H364" s="115"/>
      <x:c r="I364" s="115"/>
      <x:c r="J364" s="115"/>
      <x:c r="K364" s="115"/>
      <x:c r="L364" s="115"/>
      <x:c r="M364" s="115"/>
      <x:c r="N364" s="115"/>
      <x:c r="O364" s="115"/>
      <x:c r="P364" s="115"/>
      <x:c r="Q364" s="115"/>
      <x:c r="R364" s="115"/>
      <x:c r="S364" s="115"/>
      <x:c r="T364" s="115"/>
      <x:c r="U364" s="115"/>
      <x:c r="V364" s="115"/>
      <x:c r="W364" s="115"/>
      <x:c r="X364" s="115"/>
      <x:c r="Y364" s="115"/>
      <x:c r="Z364" s="115"/>
      <x:c r="AA364" s="115"/>
      <x:c r="AB364" s="115"/>
      <x:c r="AC364" s="115"/>
      <x:c r="AD364" s="115"/>
      <x:c r="AE364" s="115"/>
      <x:c r="AF364" s="115"/>
      <x:c r="AG364" s="115"/>
      <x:c r="AH364" s="115"/>
      <x:c r="AI364" s="115"/>
      <x:c r="AJ364" s="115"/>
      <x:c r="AK364" s="115"/>
      <x:c r="AL364" s="115"/>
      <x:c r="AM364" s="115"/>
      <x:c r="AN364" s="115"/>
      <x:c r="AO364" s="115"/>
      <x:c r="AP364" s="115"/>
      <x:c r="AQ364" s="115"/>
      <x:c r="AR364" s="115"/>
      <x:c r="AS364" s="115"/>
      <x:c r="AT364" s="115"/>
      <x:c r="AU364" s="115"/>
      <x:c r="AV364" s="115"/>
      <x:c r="AW364" s="115"/>
      <x:c r="AX364" s="115"/>
      <x:c r="AY364" s="115"/>
      <x:c r="AZ364" s="115"/>
      <x:c r="BA364" s="115"/>
      <x:c r="BB364" s="115"/>
      <x:c r="BC364" s="115"/>
      <x:c r="BD364" s="115"/>
      <x:c r="BE364" s="115"/>
      <x:c r="BF364" s="115"/>
      <x:c r="BG364" s="115"/>
      <x:c r="BH364" s="115"/>
      <x:c r="BI364" s="115"/>
      <x:c r="BJ364" s="115"/>
      <x:c r="BK364" s="115"/>
      <x:c r="BL364" s="115"/>
      <x:c r="BM364" s="115"/>
      <x:c r="BN364" s="115"/>
      <x:c r="BO364" s="115"/>
      <x:c r="BP364" s="115"/>
      <x:c r="BQ364" s="115"/>
      <x:c r="BR364" s="115"/>
      <x:c r="BS364" s="115"/>
      <x:c r="BT364" s="115"/>
      <x:c r="BU364" s="115"/>
      <x:c r="BV364" s="115"/>
      <x:c r="BW364" s="115"/>
      <x:c r="BX364" s="115"/>
      <x:c r="BY364" s="115"/>
      <x:c r="BZ364" s="115"/>
      <x:c r="CA364" s="115"/>
      <x:c r="CB364" s="116"/>
      <x:c r="CC364" s="141" t="str">
        <x:f>IF(COUNT(G364:P364)=0,"",AVERAGE(G364:P364)*4)</x:f>
      </x:c>
      <x:c r="CD364" s="178" t="str">
        <x:f>IF(COUNT(Q364:Z364)=0,"",AVERAGE(Q364:Z364)*4)</x:f>
      </x:c>
      <x:c r="CE364" s="178" t="str">
        <x:f>IF(COUNT(AA364:AJ364)=0,"",AVERAGE(AA364:AJ364)*4)</x:f>
      </x:c>
      <x:c r="CF364" s="178" t="str">
        <x:f>IF(COUNT(AK364:AR364)=0,"",AVERAGE(AK364:AR364)*4)</x:f>
      </x:c>
      <x:c r="CG364" s="178" t="str">
        <x:f>IF(COUNT(AS364:AY364)=0,"",AVERAGE(AS364:AY364)*4)</x:f>
      </x:c>
      <x:c r="CH364" s="178" t="str">
        <x:f>IF(COUNT(AZ364:BG364)=0,"",AVERAGE(AZ364:BG364)*4)</x:f>
      </x:c>
      <x:c r="CI364" s="178" t="str">
        <x:f>IF(COUNT(BH364:BN364)=0,"",AVERAGE(BH364:BN364)*4)</x:f>
      </x:c>
      <x:c r="CJ364" s="178" t="str">
        <x:f>IF(COUNT(BO364:BU364)=0,"",AVERAGE(BO364:BU364)*4)</x:f>
      </x:c>
      <x:c r="CK364" s="178" t="str">
        <x:f>IF(COUNT(BV364:CB364)=0,"",AVERAGE(BV364:CB364)*4)</x:f>
      </x:c>
      <x:c r="CL364" s="178" t="str">
        <x:f>IF(C364="","",IF(COUNT(G364:CB364)&lt;74,"",(CC364*'تنظیمات وزن‌دهی'!$C$5+CD364*'تنظیمات وزن‌دهی'!$C$6+CE364*'تنظیمات وزن‌دهی'!$C$7+CF364*'تنظیمات وزن‌دهی'!$C$8+CG364*'تنظیمات وزن‌دهی'!$C$9+CH364*'تنظیمات وزن‌دهی'!$C$10+CI364*'تنظیمات وزن‌دهی'!$C$11+CJ364*'تنظیمات وزن‌دهی'!$C$12+CK364*'تنظیمات وزن‌دهی'!$C$13)/100))</x:f>
      </x:c>
      <x:c r="CM364" s="178" t="str">
        <x:f>IF(C364="","",IF(COUNT(G364:CB364)=0,"",IF(COUNT(G364:CB364)&lt;74,"موقت - اطلاعات ناقص",IF(CL364&gt;=17,"عالی",IF(CL364&gt;=14,"خوب",IF(CL364&gt;=10,"متوسط","ضعیف"))))))</x:f>
      </x:c>
      <x:c r="CN364" s="178" t="n">
        <x:v>12</x:v>
      </x:c>
      <x:c r="CO364" s="142" t="n">
        <x:f>IF(C364="","",COUNT(G364:CB364)/74)</x:f>
        <x:v>0</x:v>
      </x:c>
      <x:c r="CP364" s="245"/>
    </x:row>
    <x:row r="365">
      <x:c r="A365" s="165" t="n">
        <x:v>361</x:v>
      </x:c>
      <x:c r="B365" s="233" t="str">
        <x:v>تیر</x:v>
      </x:c>
      <x:c r="C365" s="233" t="n">
        <x:f>IF('دانش‌آموزان'!E35="","",'دانش‌آموزان'!B35)</x:f>
        <x:v>31</x:v>
      </x:c>
      <x:c r="D365" s="233" t="str">
        <x:f>IF('دانش‌آموزان'!C35="","",'دانش‌آموزان'!C35)</x:f>
        <x:v>4000000314</x:v>
      </x:c>
      <x:c r="E365" s="233" t="str">
        <x:f>IF('دانش‌آموزان'!E35="","",'دانش‌آموزان'!E35&amp;" "&amp;'دانش‌آموزان'!F35)</x:f>
        <x:v>پارسا موسوی</x:v>
      </x:c>
      <x:c r="F365" s="166" t="str">
        <x:f>IF('دانش‌آموزان'!I35="","",'دانش‌آموزان'!I35)</x:f>
        <x:v>sample-7-b</x:v>
      </x:c>
      <x:c r="G365" s="114" t="n">
        <x:v>3</x:v>
      </x:c>
      <x:c r="H365" s="115" t="n">
        <x:v>4</x:v>
      </x:c>
      <x:c r="I365" s="115" t="n">
        <x:v>3</x:v>
      </x:c>
      <x:c r="J365" s="115" t="n">
        <x:v>4</x:v>
      </x:c>
      <x:c r="K365" s="115" t="n">
        <x:v>2</x:v>
      </x:c>
      <x:c r="L365" s="115" t="n">
        <x:v>4</x:v>
      </x:c>
      <x:c r="M365" s="115" t="n">
        <x:v>5</x:v>
      </x:c>
      <x:c r="N365" s="115" t="n">
        <x:v>4</x:v>
      </x:c>
      <x:c r="O365" s="115" t="n">
        <x:v>5</x:v>
      </x:c>
      <x:c r="P365" s="115" t="n">
        <x:v>3</x:v>
      </x:c>
      <x:c r="Q365" s="115" t="n">
        <x:v>5</x:v>
      </x:c>
      <x:c r="R365" s="115" t="n">
        <x:v>3</x:v>
      </x:c>
      <x:c r="S365" s="115" t="n">
        <x:v>4</x:v>
      </x:c>
      <x:c r="T365" s="115" t="n">
        <x:v>3</x:v>
      </x:c>
      <x:c r="U365" s="115" t="n">
        <x:v>4</x:v>
      </x:c>
      <x:c r="V365" s="115" t="n">
        <x:v>2</x:v>
      </x:c>
      <x:c r="W365" s="115" t="n">
        <x:v>4</x:v>
      </x:c>
      <x:c r="X365" s="115" t="n">
        <x:v>5</x:v>
      </x:c>
      <x:c r="Y365" s="115" t="n">
        <x:v>4</x:v>
      </x:c>
      <x:c r="Z365" s="115" t="n">
        <x:v>5</x:v>
      </x:c>
      <x:c r="AA365" s="115" t="n">
        <x:v>3</x:v>
      </x:c>
      <x:c r="AB365" s="115" t="n">
        <x:v>5</x:v>
      </x:c>
      <x:c r="AC365" s="115" t="n">
        <x:v>3</x:v>
      </x:c>
      <x:c r="AD365" s="115" t="n">
        <x:v>4</x:v>
      </x:c>
      <x:c r="AE365" s="115" t="n">
        <x:v>3</x:v>
      </x:c>
      <x:c r="AF365" s="115" t="n">
        <x:v>4</x:v>
      </x:c>
      <x:c r="AG365" s="115" t="n">
        <x:v>2</x:v>
      </x:c>
      <x:c r="AH365" s="115" t="n">
        <x:v>4</x:v>
      </x:c>
      <x:c r="AI365" s="115" t="n">
        <x:v>5</x:v>
      </x:c>
      <x:c r="AJ365" s="115" t="n">
        <x:v>4</x:v>
      </x:c>
      <x:c r="AK365" s="115" t="n">
        <x:v>5</x:v>
      </x:c>
      <x:c r="AL365" s="115" t="n">
        <x:v>3</x:v>
      </x:c>
      <x:c r="AM365" s="115" t="n">
        <x:v>5</x:v>
      </x:c>
      <x:c r="AN365" s="115" t="n">
        <x:v>3</x:v>
      </x:c>
      <x:c r="AO365" s="115" t="n">
        <x:v>4</x:v>
      </x:c>
      <x:c r="AP365" s="115" t="n">
        <x:v>3</x:v>
      </x:c>
      <x:c r="AQ365" s="115" t="n">
        <x:v>4</x:v>
      </x:c>
      <x:c r="AR365" s="115" t="n">
        <x:v>2</x:v>
      </x:c>
      <x:c r="AS365" s="115" t="n">
        <x:v>4</x:v>
      </x:c>
      <x:c r="AT365" s="115" t="n">
        <x:v>5</x:v>
      </x:c>
      <x:c r="AU365" s="115" t="n">
        <x:v>4</x:v>
      </x:c>
      <x:c r="AV365" s="115" t="n">
        <x:v>5</x:v>
      </x:c>
      <x:c r="AW365" s="115" t="n">
        <x:v>3</x:v>
      </x:c>
      <x:c r="AX365" s="115" t="n">
        <x:v>5</x:v>
      </x:c>
      <x:c r="AY365" s="115" t="n">
        <x:v>3</x:v>
      </x:c>
      <x:c r="AZ365" s="115" t="n">
        <x:v>4</x:v>
      </x:c>
      <x:c r="BA365" s="115" t="n">
        <x:v>3</x:v>
      </x:c>
      <x:c r="BB365" s="115" t="n">
        <x:v>4</x:v>
      </x:c>
      <x:c r="BC365" s="115" t="n">
        <x:v>2</x:v>
      </x:c>
      <x:c r="BD365" s="115" t="n">
        <x:v>4</x:v>
      </x:c>
      <x:c r="BE365" s="115" t="n">
        <x:v>5</x:v>
      </x:c>
      <x:c r="BF365" s="115" t="n">
        <x:v>4</x:v>
      </x:c>
      <x:c r="BG365" s="115" t="n">
        <x:v>5</x:v>
      </x:c>
      <x:c r="BH365" s="115" t="n">
        <x:v>3</x:v>
      </x:c>
      <x:c r="BI365" s="115" t="n">
        <x:v>5</x:v>
      </x:c>
      <x:c r="BJ365" s="115" t="n">
        <x:v>3</x:v>
      </x:c>
      <x:c r="BK365" s="115" t="n">
        <x:v>4</x:v>
      </x:c>
      <x:c r="BL365" s="115" t="n">
        <x:v>3</x:v>
      </x:c>
      <x:c r="BM365" s="115" t="n">
        <x:v>4</x:v>
      </x:c>
      <x:c r="BN365" s="115" t="n">
        <x:v>2</x:v>
      </x:c>
      <x:c r="BO365" s="115" t="n">
        <x:v>4</x:v>
      </x:c>
      <x:c r="BP365" s="115" t="n">
        <x:v>5</x:v>
      </x:c>
      <x:c r="BQ365" s="115" t="n">
        <x:v>4</x:v>
      </x:c>
      <x:c r="BR365" s="115" t="n">
        <x:v>5</x:v>
      </x:c>
      <x:c r="BS365" s="115" t="n">
        <x:v>3</x:v>
      </x:c>
      <x:c r="BT365" s="115" t="n">
        <x:v>5</x:v>
      </x:c>
      <x:c r="BU365" s="115" t="n">
        <x:v>3</x:v>
      </x:c>
      <x:c r="BV365" s="115" t="n">
        <x:v>4</x:v>
      </x:c>
      <x:c r="BW365" s="115" t="n">
        <x:v>3</x:v>
      </x:c>
      <x:c r="BX365" s="115" t="n">
        <x:v>4</x:v>
      </x:c>
      <x:c r="BY365" s="115" t="n">
        <x:v>2</x:v>
      </x:c>
      <x:c r="BZ365" s="115" t="n">
        <x:v>4</x:v>
      </x:c>
      <x:c r="CA365" s="115" t="n">
        <x:v>5</x:v>
      </x:c>
      <x:c r="CB365" s="116" t="n">
        <x:v>4</x:v>
      </x:c>
      <x:c r="CC365" s="141" t="n">
        <x:f>IF(COUNT(G365:P365)=0,"",AVERAGE(G365:P365)*4)</x:f>
        <x:v>14.8</x:v>
      </x:c>
      <x:c r="CD365" s="178" t="n">
        <x:f>IF(COUNT(Q365:Z365)=0,"",AVERAGE(Q365:Z365)*4)</x:f>
        <x:v>15.6</x:v>
      </x:c>
      <x:c r="CE365" s="178" t="n">
        <x:f>IF(COUNT(AA365:AJ365)=0,"",AVERAGE(AA365:AJ365)*4)</x:f>
        <x:v>14.8</x:v>
      </x:c>
      <x:c r="CF365" s="178" t="n">
        <x:f>IF(COUNT(AK365:AR365)=0,"",AVERAGE(AK365:AR365)*4)</x:f>
        <x:v>14.5</x:v>
      </x:c>
      <x:c r="CG365" s="178" t="n">
        <x:f>IF(COUNT(AS365:AY365)=0,"",AVERAGE(AS365:AY365)*4)</x:f>
        <x:v>16.571428571428573</x:v>
      </x:c>
      <x:c r="CH365" s="178" t="n">
        <x:f>IF(COUNT(AZ365:BG365)=0,"",AVERAGE(AZ365:BG365)*4)</x:f>
        <x:v>15.5</x:v>
      </x:c>
      <x:c r="CI365" s="178" t="n">
        <x:f>IF(COUNT(BH365:BN365)=0,"",AVERAGE(BH365:BN365)*4)</x:f>
        <x:v>13.714285714285714</x:v>
      </x:c>
      <x:c r="CJ365" s="178" t="n">
        <x:f>IF(COUNT(BO365:BU365)=0,"",AVERAGE(BO365:BU365)*4)</x:f>
        <x:v>16.571428571428573</x:v>
      </x:c>
      <x:c r="CK365" s="178" t="n">
        <x:f>IF(COUNT(BV365:CB365)=0,"",AVERAGE(BV365:CB365)*4)</x:f>
        <x:v>14.857142857142858</x:v>
      </x:c>
      <x:c r="CL365" s="178" t="n">
        <x:f>IF(C365="","",IF(COUNT(G365:CB365)&lt;74,"",(CC365*'تنظیمات وزن‌دهی'!$C$5+CD365*'تنظیمات وزن‌دهی'!$C$6+CE365*'تنظیمات وزن‌دهی'!$C$7+CF365*'تنظیمات وزن‌دهی'!$C$8+CG365*'تنظیمات وزن‌دهی'!$C$9+CH365*'تنظیمات وزن‌دهی'!$C$10+CI365*'تنظیمات وزن‌دهی'!$C$11+CJ365*'تنظیمات وزن‌دهی'!$C$12+CK365*'تنظیمات وزن‌دهی'!$C$13)/100))</x:f>
        <x:v>15.089285714285715</x:v>
      </x:c>
      <x:c r="CM365" s="178" t="str">
        <x:f>IF(C365="","",IF(COUNT(G365:CB365)=0,"",IF(COUNT(G365:CB365)&lt;74,"موقت - اطلاعات ناقص",IF(CL365&gt;=17,"عالی",IF(CL365&gt;=14,"خوب",IF(CL365&gt;=10,"متوسط","ضعیف"))))))</x:f>
        <x:v>خوب</x:v>
      </x:c>
      <x:c r="CN365" s="178" t="n">
        <x:v>1</x:v>
      </x:c>
      <x:c r="CO365" s="142" t="n">
        <x:f>IF(C365="","",COUNT(G365:CB365)/74)</x:f>
        <x:v>1</x:v>
      </x:c>
      <x:c r="CP365" s="245" t="str">
        <x:v>داده نمونه کامل برای ماه تیر - دانش‌آموز شماره 31</x:v>
      </x:c>
    </x:row>
    <x:row r="366">
      <x:c r="A366" s="165" t="n">
        <x:v>362</x:v>
      </x:c>
      <x:c r="B366" s="233" t="str">
        <x:v>مرداد</x:v>
      </x:c>
      <x:c r="C366" s="233" t="n">
        <x:f>IF('دانش‌آموزان'!E35="","",'دانش‌آموزان'!B35)</x:f>
        <x:v>31</x:v>
      </x:c>
      <x:c r="D366" s="233" t="str">
        <x:f>IF('دانش‌آموزان'!C35="","",'دانش‌آموزان'!C35)</x:f>
        <x:v>4000000314</x:v>
      </x:c>
      <x:c r="E366" s="233" t="str">
        <x:f>IF('دانش‌آموزان'!E35="","",'دانش‌آموزان'!E35&amp;" "&amp;'دانش‌آموزان'!F35)</x:f>
        <x:v>پارسا موسوی</x:v>
      </x:c>
      <x:c r="F366" s="166" t="str">
        <x:f>IF('دانش‌آموزان'!I35="","",'دانش‌آموزان'!I35)</x:f>
        <x:v>sample-7-b</x:v>
      </x:c>
      <x:c r="G366" s="114"/>
      <x:c r="H366" s="115"/>
      <x:c r="I366" s="115"/>
      <x:c r="J366" s="115"/>
      <x:c r="K366" s="115"/>
      <x:c r="L366" s="115"/>
      <x:c r="M366" s="115"/>
      <x:c r="N366" s="115"/>
      <x:c r="O366" s="115"/>
      <x:c r="P366" s="115"/>
      <x:c r="Q366" s="115"/>
      <x:c r="R366" s="115"/>
      <x:c r="S366" s="115"/>
      <x:c r="T366" s="115"/>
      <x:c r="U366" s="115"/>
      <x:c r="V366" s="115"/>
      <x:c r="W366" s="115"/>
      <x:c r="X366" s="115"/>
      <x:c r="Y366" s="115"/>
      <x:c r="Z366" s="115"/>
      <x:c r="AA366" s="115"/>
      <x:c r="AB366" s="115"/>
      <x:c r="AC366" s="115"/>
      <x:c r="AD366" s="115"/>
      <x:c r="AE366" s="115"/>
      <x:c r="AF366" s="115"/>
      <x:c r="AG366" s="115"/>
      <x:c r="AH366" s="115"/>
      <x:c r="AI366" s="115"/>
      <x:c r="AJ366" s="115"/>
      <x:c r="AK366" s="115"/>
      <x:c r="AL366" s="115"/>
      <x:c r="AM366" s="115"/>
      <x:c r="AN366" s="115"/>
      <x:c r="AO366" s="115"/>
      <x:c r="AP366" s="115"/>
      <x:c r="AQ366" s="115"/>
      <x:c r="AR366" s="115"/>
      <x:c r="AS366" s="115"/>
      <x:c r="AT366" s="115"/>
      <x:c r="AU366" s="115"/>
      <x:c r="AV366" s="115"/>
      <x:c r="AW366" s="115"/>
      <x:c r="AX366" s="115"/>
      <x:c r="AY366" s="115"/>
      <x:c r="AZ366" s="115"/>
      <x:c r="BA366" s="115"/>
      <x:c r="BB366" s="115"/>
      <x:c r="BC366" s="115"/>
      <x:c r="BD366" s="115"/>
      <x:c r="BE366" s="115"/>
      <x:c r="BF366" s="115"/>
      <x:c r="BG366" s="115"/>
      <x:c r="BH366" s="115"/>
      <x:c r="BI366" s="115"/>
      <x:c r="BJ366" s="115"/>
      <x:c r="BK366" s="115"/>
      <x:c r="BL366" s="115"/>
      <x:c r="BM366" s="115"/>
      <x:c r="BN366" s="115"/>
      <x:c r="BO366" s="115"/>
      <x:c r="BP366" s="115"/>
      <x:c r="BQ366" s="115"/>
      <x:c r="BR366" s="115"/>
      <x:c r="BS366" s="115"/>
      <x:c r="BT366" s="115"/>
      <x:c r="BU366" s="115"/>
      <x:c r="BV366" s="115"/>
      <x:c r="BW366" s="115"/>
      <x:c r="BX366" s="115"/>
      <x:c r="BY366" s="115"/>
      <x:c r="BZ366" s="115"/>
      <x:c r="CA366" s="115"/>
      <x:c r="CB366" s="116"/>
      <x:c r="CC366" s="141" t="str">
        <x:f>IF(COUNT(G366:P366)=0,"",AVERAGE(G366:P366)*4)</x:f>
      </x:c>
      <x:c r="CD366" s="178" t="str">
        <x:f>IF(COUNT(Q366:Z366)=0,"",AVERAGE(Q366:Z366)*4)</x:f>
      </x:c>
      <x:c r="CE366" s="178" t="str">
        <x:f>IF(COUNT(AA366:AJ366)=0,"",AVERAGE(AA366:AJ366)*4)</x:f>
      </x:c>
      <x:c r="CF366" s="178" t="str">
        <x:f>IF(COUNT(AK366:AR366)=0,"",AVERAGE(AK366:AR366)*4)</x:f>
      </x:c>
      <x:c r="CG366" s="178" t="str">
        <x:f>IF(COUNT(AS366:AY366)=0,"",AVERAGE(AS366:AY366)*4)</x:f>
      </x:c>
      <x:c r="CH366" s="178" t="str">
        <x:f>IF(COUNT(AZ366:BG366)=0,"",AVERAGE(AZ366:BG366)*4)</x:f>
      </x:c>
      <x:c r="CI366" s="178" t="str">
        <x:f>IF(COUNT(BH366:BN366)=0,"",AVERAGE(BH366:BN366)*4)</x:f>
      </x:c>
      <x:c r="CJ366" s="178" t="str">
        <x:f>IF(COUNT(BO366:BU366)=0,"",AVERAGE(BO366:BU366)*4)</x:f>
      </x:c>
      <x:c r="CK366" s="178" t="str">
        <x:f>IF(COUNT(BV366:CB366)=0,"",AVERAGE(BV366:CB366)*4)</x:f>
      </x:c>
      <x:c r="CL366" s="178" t="str">
        <x:f>IF(C366="","",IF(COUNT(G366:CB366)&lt;74,"",(CC366*'تنظیمات وزن‌دهی'!$C$5+CD366*'تنظیمات وزن‌دهی'!$C$6+CE366*'تنظیمات وزن‌دهی'!$C$7+CF366*'تنظیمات وزن‌دهی'!$C$8+CG366*'تنظیمات وزن‌دهی'!$C$9+CH366*'تنظیمات وزن‌دهی'!$C$10+CI366*'تنظیمات وزن‌دهی'!$C$11+CJ366*'تنظیمات وزن‌دهی'!$C$12+CK366*'تنظیمات وزن‌دهی'!$C$13)/100))</x:f>
      </x:c>
      <x:c r="CM366" s="178" t="str">
        <x:f>IF(C366="","",IF(COUNT(G366:CB366)=0,"",IF(COUNT(G366:CB366)&lt;74,"موقت - اطلاعات ناقص",IF(CL366&gt;=17,"عالی",IF(CL366&gt;=14,"خوب",IF(CL366&gt;=10,"متوسط","ضعیف"))))))</x:f>
      </x:c>
      <x:c r="CN366" s="178" t="n">
        <x:v>2</x:v>
      </x:c>
      <x:c r="CO366" s="142" t="n">
        <x:f>IF(C366="","",COUNT(G366:CB366)/74)</x:f>
        <x:v>0</x:v>
      </x:c>
      <x:c r="CP366" s="245"/>
    </x:row>
    <x:row r="367">
      <x:c r="A367" s="165" t="n">
        <x:v>363</x:v>
      </x:c>
      <x:c r="B367" s="233" t="str">
        <x:v>شهریور</x:v>
      </x:c>
      <x:c r="C367" s="233" t="n">
        <x:f>IF('دانش‌آموزان'!E35="","",'دانش‌آموزان'!B35)</x:f>
        <x:v>31</x:v>
      </x:c>
      <x:c r="D367" s="233" t="str">
        <x:f>IF('دانش‌آموزان'!C35="","",'دانش‌آموزان'!C35)</x:f>
        <x:v>4000000314</x:v>
      </x:c>
      <x:c r="E367" s="233" t="str">
        <x:f>IF('دانش‌آموزان'!E35="","",'دانش‌آموزان'!E35&amp;" "&amp;'دانش‌آموزان'!F35)</x:f>
        <x:v>پارسا موسوی</x:v>
      </x:c>
      <x:c r="F367" s="166" t="str">
        <x:f>IF('دانش‌آموزان'!I35="","",'دانش‌آموزان'!I35)</x:f>
        <x:v>sample-7-b</x:v>
      </x:c>
      <x:c r="G367" s="114"/>
      <x:c r="H367" s="115"/>
      <x:c r="I367" s="115"/>
      <x:c r="J367" s="115"/>
      <x:c r="K367" s="115"/>
      <x:c r="L367" s="115"/>
      <x:c r="M367" s="115"/>
      <x:c r="N367" s="115"/>
      <x:c r="O367" s="115"/>
      <x:c r="P367" s="115"/>
      <x:c r="Q367" s="115"/>
      <x:c r="R367" s="115"/>
      <x:c r="S367" s="115"/>
      <x:c r="T367" s="115"/>
      <x:c r="U367" s="115"/>
      <x:c r="V367" s="115"/>
      <x:c r="W367" s="115"/>
      <x:c r="X367" s="115"/>
      <x:c r="Y367" s="115"/>
      <x:c r="Z367" s="115"/>
      <x:c r="AA367" s="115"/>
      <x:c r="AB367" s="115"/>
      <x:c r="AC367" s="115"/>
      <x:c r="AD367" s="115"/>
      <x:c r="AE367" s="115"/>
      <x:c r="AF367" s="115"/>
      <x:c r="AG367" s="115"/>
      <x:c r="AH367" s="115"/>
      <x:c r="AI367" s="115"/>
      <x:c r="AJ367" s="115"/>
      <x:c r="AK367" s="115"/>
      <x:c r="AL367" s="115"/>
      <x:c r="AM367" s="115"/>
      <x:c r="AN367" s="115"/>
      <x:c r="AO367" s="115"/>
      <x:c r="AP367" s="115"/>
      <x:c r="AQ367" s="115"/>
      <x:c r="AR367" s="115"/>
      <x:c r="AS367" s="115"/>
      <x:c r="AT367" s="115"/>
      <x:c r="AU367" s="115"/>
      <x:c r="AV367" s="115"/>
      <x:c r="AW367" s="115"/>
      <x:c r="AX367" s="115"/>
      <x:c r="AY367" s="115"/>
      <x:c r="AZ367" s="115"/>
      <x:c r="BA367" s="115"/>
      <x:c r="BB367" s="115"/>
      <x:c r="BC367" s="115"/>
      <x:c r="BD367" s="115"/>
      <x:c r="BE367" s="115"/>
      <x:c r="BF367" s="115"/>
      <x:c r="BG367" s="115"/>
      <x:c r="BH367" s="115"/>
      <x:c r="BI367" s="115"/>
      <x:c r="BJ367" s="115"/>
      <x:c r="BK367" s="115"/>
      <x:c r="BL367" s="115"/>
      <x:c r="BM367" s="115"/>
      <x:c r="BN367" s="115"/>
      <x:c r="BO367" s="115"/>
      <x:c r="BP367" s="115"/>
      <x:c r="BQ367" s="115"/>
      <x:c r="BR367" s="115"/>
      <x:c r="BS367" s="115"/>
      <x:c r="BT367" s="115"/>
      <x:c r="BU367" s="115"/>
      <x:c r="BV367" s="115"/>
      <x:c r="BW367" s="115"/>
      <x:c r="BX367" s="115"/>
      <x:c r="BY367" s="115"/>
      <x:c r="BZ367" s="115"/>
      <x:c r="CA367" s="115"/>
      <x:c r="CB367" s="116"/>
      <x:c r="CC367" s="141" t="str">
        <x:f>IF(COUNT(G367:P367)=0,"",AVERAGE(G367:P367)*4)</x:f>
      </x:c>
      <x:c r="CD367" s="178" t="str">
        <x:f>IF(COUNT(Q367:Z367)=0,"",AVERAGE(Q367:Z367)*4)</x:f>
      </x:c>
      <x:c r="CE367" s="178" t="str">
        <x:f>IF(COUNT(AA367:AJ367)=0,"",AVERAGE(AA367:AJ367)*4)</x:f>
      </x:c>
      <x:c r="CF367" s="178" t="str">
        <x:f>IF(COUNT(AK367:AR367)=0,"",AVERAGE(AK367:AR367)*4)</x:f>
      </x:c>
      <x:c r="CG367" s="178" t="str">
        <x:f>IF(COUNT(AS367:AY367)=0,"",AVERAGE(AS367:AY367)*4)</x:f>
      </x:c>
      <x:c r="CH367" s="178" t="str">
        <x:f>IF(COUNT(AZ367:BG367)=0,"",AVERAGE(AZ367:BG367)*4)</x:f>
      </x:c>
      <x:c r="CI367" s="178" t="str">
        <x:f>IF(COUNT(BH367:BN367)=0,"",AVERAGE(BH367:BN367)*4)</x:f>
      </x:c>
      <x:c r="CJ367" s="178" t="str">
        <x:f>IF(COUNT(BO367:BU367)=0,"",AVERAGE(BO367:BU367)*4)</x:f>
      </x:c>
      <x:c r="CK367" s="178" t="str">
        <x:f>IF(COUNT(BV367:CB367)=0,"",AVERAGE(BV367:CB367)*4)</x:f>
      </x:c>
      <x:c r="CL367" s="178" t="str">
        <x:f>IF(C367="","",IF(COUNT(G367:CB367)&lt;74,"",(CC367*'تنظیمات وزن‌دهی'!$C$5+CD367*'تنظیمات وزن‌دهی'!$C$6+CE367*'تنظیمات وزن‌دهی'!$C$7+CF367*'تنظیمات وزن‌دهی'!$C$8+CG367*'تنظیمات وزن‌دهی'!$C$9+CH367*'تنظیمات وزن‌دهی'!$C$10+CI367*'تنظیمات وزن‌دهی'!$C$11+CJ367*'تنظیمات وزن‌دهی'!$C$12+CK367*'تنظیمات وزن‌دهی'!$C$13)/100))</x:f>
      </x:c>
      <x:c r="CM367" s="178" t="str">
        <x:f>IF(C367="","",IF(COUNT(G367:CB367)=0,"",IF(COUNT(G367:CB367)&lt;74,"موقت - اطلاعات ناقص",IF(CL367&gt;=17,"عالی",IF(CL367&gt;=14,"خوب",IF(CL367&gt;=10,"متوسط","ضعیف"))))))</x:f>
      </x:c>
      <x:c r="CN367" s="178" t="n">
        <x:v>3</x:v>
      </x:c>
      <x:c r="CO367" s="142" t="n">
        <x:f>IF(C367="","",COUNT(G367:CB367)/74)</x:f>
        <x:v>0</x:v>
      </x:c>
      <x:c r="CP367" s="245"/>
    </x:row>
    <x:row r="368">
      <x:c r="A368" s="165" t="n">
        <x:v>364</x:v>
      </x:c>
      <x:c r="B368" s="233" t="str">
        <x:v>مهر</x:v>
      </x:c>
      <x:c r="C368" s="233" t="n">
        <x:f>IF('دانش‌آموزان'!E35="","",'دانش‌آموزان'!B35)</x:f>
        <x:v>31</x:v>
      </x:c>
      <x:c r="D368" s="233" t="str">
        <x:f>IF('دانش‌آموزان'!C35="","",'دانش‌آموزان'!C35)</x:f>
        <x:v>4000000314</x:v>
      </x:c>
      <x:c r="E368" s="233" t="str">
        <x:f>IF('دانش‌آموزان'!E35="","",'دانش‌آموزان'!E35&amp;" "&amp;'دانش‌آموزان'!F35)</x:f>
        <x:v>پارسا موسوی</x:v>
      </x:c>
      <x:c r="F368" s="166" t="str">
        <x:f>IF('دانش‌آموزان'!I35="","",'دانش‌آموزان'!I35)</x:f>
        <x:v>sample-7-b</x:v>
      </x:c>
      <x:c r="G368" s="114"/>
      <x:c r="H368" s="115"/>
      <x:c r="I368" s="115"/>
      <x:c r="J368" s="115"/>
      <x:c r="K368" s="115"/>
      <x:c r="L368" s="115"/>
      <x:c r="M368" s="115"/>
      <x:c r="N368" s="115"/>
      <x:c r="O368" s="115"/>
      <x:c r="P368" s="115"/>
      <x:c r="Q368" s="115"/>
      <x:c r="R368" s="115"/>
      <x:c r="S368" s="115"/>
      <x:c r="T368" s="115"/>
      <x:c r="U368" s="115"/>
      <x:c r="V368" s="115"/>
      <x:c r="W368" s="115"/>
      <x:c r="X368" s="115"/>
      <x:c r="Y368" s="115"/>
      <x:c r="Z368" s="115"/>
      <x:c r="AA368" s="115"/>
      <x:c r="AB368" s="115"/>
      <x:c r="AC368" s="115"/>
      <x:c r="AD368" s="115"/>
      <x:c r="AE368" s="115"/>
      <x:c r="AF368" s="115"/>
      <x:c r="AG368" s="115"/>
      <x:c r="AH368" s="115"/>
      <x:c r="AI368" s="115"/>
      <x:c r="AJ368" s="115"/>
      <x:c r="AK368" s="115"/>
      <x:c r="AL368" s="115"/>
      <x:c r="AM368" s="115"/>
      <x:c r="AN368" s="115"/>
      <x:c r="AO368" s="115"/>
      <x:c r="AP368" s="115"/>
      <x:c r="AQ368" s="115"/>
      <x:c r="AR368" s="115"/>
      <x:c r="AS368" s="115"/>
      <x:c r="AT368" s="115"/>
      <x:c r="AU368" s="115"/>
      <x:c r="AV368" s="115"/>
      <x:c r="AW368" s="115"/>
      <x:c r="AX368" s="115"/>
      <x:c r="AY368" s="115"/>
      <x:c r="AZ368" s="115"/>
      <x:c r="BA368" s="115"/>
      <x:c r="BB368" s="115"/>
      <x:c r="BC368" s="115"/>
      <x:c r="BD368" s="115"/>
      <x:c r="BE368" s="115"/>
      <x:c r="BF368" s="115"/>
      <x:c r="BG368" s="115"/>
      <x:c r="BH368" s="115"/>
      <x:c r="BI368" s="115"/>
      <x:c r="BJ368" s="115"/>
      <x:c r="BK368" s="115"/>
      <x:c r="BL368" s="115"/>
      <x:c r="BM368" s="115"/>
      <x:c r="BN368" s="115"/>
      <x:c r="BO368" s="115"/>
      <x:c r="BP368" s="115"/>
      <x:c r="BQ368" s="115"/>
      <x:c r="BR368" s="115"/>
      <x:c r="BS368" s="115"/>
      <x:c r="BT368" s="115"/>
      <x:c r="BU368" s="115"/>
      <x:c r="BV368" s="115"/>
      <x:c r="BW368" s="115"/>
      <x:c r="BX368" s="115"/>
      <x:c r="BY368" s="115"/>
      <x:c r="BZ368" s="115"/>
      <x:c r="CA368" s="115"/>
      <x:c r="CB368" s="116"/>
      <x:c r="CC368" s="141" t="str">
        <x:f>IF(COUNT(G368:P368)=0,"",AVERAGE(G368:P368)*4)</x:f>
      </x:c>
      <x:c r="CD368" s="178" t="str">
        <x:f>IF(COUNT(Q368:Z368)=0,"",AVERAGE(Q368:Z368)*4)</x:f>
      </x:c>
      <x:c r="CE368" s="178" t="str">
        <x:f>IF(COUNT(AA368:AJ368)=0,"",AVERAGE(AA368:AJ368)*4)</x:f>
      </x:c>
      <x:c r="CF368" s="178" t="str">
        <x:f>IF(COUNT(AK368:AR368)=0,"",AVERAGE(AK368:AR368)*4)</x:f>
      </x:c>
      <x:c r="CG368" s="178" t="str">
        <x:f>IF(COUNT(AS368:AY368)=0,"",AVERAGE(AS368:AY368)*4)</x:f>
      </x:c>
      <x:c r="CH368" s="178" t="str">
        <x:f>IF(COUNT(AZ368:BG368)=0,"",AVERAGE(AZ368:BG368)*4)</x:f>
      </x:c>
      <x:c r="CI368" s="178" t="str">
        <x:f>IF(COUNT(BH368:BN368)=0,"",AVERAGE(BH368:BN368)*4)</x:f>
      </x:c>
      <x:c r="CJ368" s="178" t="str">
        <x:f>IF(COUNT(BO368:BU368)=0,"",AVERAGE(BO368:BU368)*4)</x:f>
      </x:c>
      <x:c r="CK368" s="178" t="str">
        <x:f>IF(COUNT(BV368:CB368)=0,"",AVERAGE(BV368:CB368)*4)</x:f>
      </x:c>
      <x:c r="CL368" s="178" t="str">
        <x:f>IF(C368="","",IF(COUNT(G368:CB368)&lt;74,"",(CC368*'تنظیمات وزن‌دهی'!$C$5+CD368*'تنظیمات وزن‌دهی'!$C$6+CE368*'تنظیمات وزن‌دهی'!$C$7+CF368*'تنظیمات وزن‌دهی'!$C$8+CG368*'تنظیمات وزن‌دهی'!$C$9+CH368*'تنظیمات وزن‌دهی'!$C$10+CI368*'تنظیمات وزن‌دهی'!$C$11+CJ368*'تنظیمات وزن‌دهی'!$C$12+CK368*'تنظیمات وزن‌دهی'!$C$13)/100))</x:f>
      </x:c>
      <x:c r="CM368" s="178" t="str">
        <x:f>IF(C368="","",IF(COUNT(G368:CB368)=0,"",IF(COUNT(G368:CB368)&lt;74,"موقت - اطلاعات ناقص",IF(CL368&gt;=17,"عالی",IF(CL368&gt;=14,"خوب",IF(CL368&gt;=10,"متوسط","ضعیف"))))))</x:f>
      </x:c>
      <x:c r="CN368" s="178" t="n">
        <x:v>4</x:v>
      </x:c>
      <x:c r="CO368" s="142" t="n">
        <x:f>IF(C368="","",COUNT(G368:CB368)/74)</x:f>
        <x:v>0</x:v>
      </x:c>
      <x:c r="CP368" s="245"/>
    </x:row>
    <x:row r="369">
      <x:c r="A369" s="165" t="n">
        <x:v>365</x:v>
      </x:c>
      <x:c r="B369" s="233" t="str">
        <x:v>آبان</x:v>
      </x:c>
      <x:c r="C369" s="233" t="n">
        <x:f>IF('دانش‌آموزان'!E35="","",'دانش‌آموزان'!B35)</x:f>
        <x:v>31</x:v>
      </x:c>
      <x:c r="D369" s="233" t="str">
        <x:f>IF('دانش‌آموزان'!C35="","",'دانش‌آموزان'!C35)</x:f>
        <x:v>4000000314</x:v>
      </x:c>
      <x:c r="E369" s="233" t="str">
        <x:f>IF('دانش‌آموزان'!E35="","",'دانش‌آموزان'!E35&amp;" "&amp;'دانش‌آموزان'!F35)</x:f>
        <x:v>پارسا موسوی</x:v>
      </x:c>
      <x:c r="F369" s="166" t="str">
        <x:f>IF('دانش‌آموزان'!I35="","",'دانش‌آموزان'!I35)</x:f>
        <x:v>sample-7-b</x:v>
      </x:c>
      <x:c r="G369" s="114"/>
      <x:c r="H369" s="115"/>
      <x:c r="I369" s="115"/>
      <x:c r="J369" s="115"/>
      <x:c r="K369" s="115"/>
      <x:c r="L369" s="115"/>
      <x:c r="M369" s="115"/>
      <x:c r="N369" s="115"/>
      <x:c r="O369" s="115"/>
      <x:c r="P369" s="115"/>
      <x:c r="Q369" s="115"/>
      <x:c r="R369" s="115"/>
      <x:c r="S369" s="115"/>
      <x:c r="T369" s="115"/>
      <x:c r="U369" s="115"/>
      <x:c r="V369" s="115"/>
      <x:c r="W369" s="115"/>
      <x:c r="X369" s="115"/>
      <x:c r="Y369" s="115"/>
      <x:c r="Z369" s="115"/>
      <x:c r="AA369" s="115"/>
      <x:c r="AB369" s="115"/>
      <x:c r="AC369" s="115"/>
      <x:c r="AD369" s="115"/>
      <x:c r="AE369" s="115"/>
      <x:c r="AF369" s="115"/>
      <x:c r="AG369" s="115"/>
      <x:c r="AH369" s="115"/>
      <x:c r="AI369" s="115"/>
      <x:c r="AJ369" s="115"/>
      <x:c r="AK369" s="115"/>
      <x:c r="AL369" s="115"/>
      <x:c r="AM369" s="115"/>
      <x:c r="AN369" s="115"/>
      <x:c r="AO369" s="115"/>
      <x:c r="AP369" s="115"/>
      <x:c r="AQ369" s="115"/>
      <x:c r="AR369" s="115"/>
      <x:c r="AS369" s="115"/>
      <x:c r="AT369" s="115"/>
      <x:c r="AU369" s="115"/>
      <x:c r="AV369" s="115"/>
      <x:c r="AW369" s="115"/>
      <x:c r="AX369" s="115"/>
      <x:c r="AY369" s="115"/>
      <x:c r="AZ369" s="115"/>
      <x:c r="BA369" s="115"/>
      <x:c r="BB369" s="115"/>
      <x:c r="BC369" s="115"/>
      <x:c r="BD369" s="115"/>
      <x:c r="BE369" s="115"/>
      <x:c r="BF369" s="115"/>
      <x:c r="BG369" s="115"/>
      <x:c r="BH369" s="115"/>
      <x:c r="BI369" s="115"/>
      <x:c r="BJ369" s="115"/>
      <x:c r="BK369" s="115"/>
      <x:c r="BL369" s="115"/>
      <x:c r="BM369" s="115"/>
      <x:c r="BN369" s="115"/>
      <x:c r="BO369" s="115"/>
      <x:c r="BP369" s="115"/>
      <x:c r="BQ369" s="115"/>
      <x:c r="BR369" s="115"/>
      <x:c r="BS369" s="115"/>
      <x:c r="BT369" s="115"/>
      <x:c r="BU369" s="115"/>
      <x:c r="BV369" s="115"/>
      <x:c r="BW369" s="115"/>
      <x:c r="BX369" s="115"/>
      <x:c r="BY369" s="115"/>
      <x:c r="BZ369" s="115"/>
      <x:c r="CA369" s="115"/>
      <x:c r="CB369" s="116"/>
      <x:c r="CC369" s="141" t="str">
        <x:f>IF(COUNT(G369:P369)=0,"",AVERAGE(G369:P369)*4)</x:f>
      </x:c>
      <x:c r="CD369" s="178" t="str">
        <x:f>IF(COUNT(Q369:Z369)=0,"",AVERAGE(Q369:Z369)*4)</x:f>
      </x:c>
      <x:c r="CE369" s="178" t="str">
        <x:f>IF(COUNT(AA369:AJ369)=0,"",AVERAGE(AA369:AJ369)*4)</x:f>
      </x:c>
      <x:c r="CF369" s="178" t="str">
        <x:f>IF(COUNT(AK369:AR369)=0,"",AVERAGE(AK369:AR369)*4)</x:f>
      </x:c>
      <x:c r="CG369" s="178" t="str">
        <x:f>IF(COUNT(AS369:AY369)=0,"",AVERAGE(AS369:AY369)*4)</x:f>
      </x:c>
      <x:c r="CH369" s="178" t="str">
        <x:f>IF(COUNT(AZ369:BG369)=0,"",AVERAGE(AZ369:BG369)*4)</x:f>
      </x:c>
      <x:c r="CI369" s="178" t="str">
        <x:f>IF(COUNT(BH369:BN369)=0,"",AVERAGE(BH369:BN369)*4)</x:f>
      </x:c>
      <x:c r="CJ369" s="178" t="str">
        <x:f>IF(COUNT(BO369:BU369)=0,"",AVERAGE(BO369:BU369)*4)</x:f>
      </x:c>
      <x:c r="CK369" s="178" t="str">
        <x:f>IF(COUNT(BV369:CB369)=0,"",AVERAGE(BV369:CB369)*4)</x:f>
      </x:c>
      <x:c r="CL369" s="178" t="str">
        <x:f>IF(C369="","",IF(COUNT(G369:CB369)&lt;74,"",(CC369*'تنظیمات وزن‌دهی'!$C$5+CD369*'تنظیمات وزن‌دهی'!$C$6+CE369*'تنظیمات وزن‌دهی'!$C$7+CF369*'تنظیمات وزن‌دهی'!$C$8+CG369*'تنظیمات وزن‌دهی'!$C$9+CH369*'تنظیمات وزن‌دهی'!$C$10+CI369*'تنظیمات وزن‌دهی'!$C$11+CJ369*'تنظیمات وزن‌دهی'!$C$12+CK369*'تنظیمات وزن‌دهی'!$C$13)/100))</x:f>
      </x:c>
      <x:c r="CM369" s="178" t="str">
        <x:f>IF(C369="","",IF(COUNT(G369:CB369)=0,"",IF(COUNT(G369:CB369)&lt;74,"موقت - اطلاعات ناقص",IF(CL369&gt;=17,"عالی",IF(CL369&gt;=14,"خوب",IF(CL369&gt;=10,"متوسط","ضعیف"))))))</x:f>
      </x:c>
      <x:c r="CN369" s="178" t="n">
        <x:v>5</x:v>
      </x:c>
      <x:c r="CO369" s="142" t="n">
        <x:f>IF(C369="","",COUNT(G369:CB369)/74)</x:f>
        <x:v>0</x:v>
      </x:c>
      <x:c r="CP369" s="245"/>
    </x:row>
    <x:row r="370">
      <x:c r="A370" s="165" t="n">
        <x:v>366</x:v>
      </x:c>
      <x:c r="B370" s="233" t="str">
        <x:v>آذر</x:v>
      </x:c>
      <x:c r="C370" s="233" t="n">
        <x:f>IF('دانش‌آموزان'!E35="","",'دانش‌آموزان'!B35)</x:f>
        <x:v>31</x:v>
      </x:c>
      <x:c r="D370" s="233" t="str">
        <x:f>IF('دانش‌آموزان'!C35="","",'دانش‌آموزان'!C35)</x:f>
        <x:v>4000000314</x:v>
      </x:c>
      <x:c r="E370" s="233" t="str">
        <x:f>IF('دانش‌آموزان'!E35="","",'دانش‌آموزان'!E35&amp;" "&amp;'دانش‌آموزان'!F35)</x:f>
        <x:v>پارسا موسوی</x:v>
      </x:c>
      <x:c r="F370" s="166" t="str">
        <x:f>IF('دانش‌آموزان'!I35="","",'دانش‌آموزان'!I35)</x:f>
        <x:v>sample-7-b</x:v>
      </x:c>
      <x:c r="G370" s="114"/>
      <x:c r="H370" s="115"/>
      <x:c r="I370" s="115"/>
      <x:c r="J370" s="115"/>
      <x:c r="K370" s="115"/>
      <x:c r="L370" s="115"/>
      <x:c r="M370" s="115"/>
      <x:c r="N370" s="115"/>
      <x:c r="O370" s="115"/>
      <x:c r="P370" s="115"/>
      <x:c r="Q370" s="115"/>
      <x:c r="R370" s="115"/>
      <x:c r="S370" s="115"/>
      <x:c r="T370" s="115"/>
      <x:c r="U370" s="115"/>
      <x:c r="V370" s="115"/>
      <x:c r="W370" s="115"/>
      <x:c r="X370" s="115"/>
      <x:c r="Y370" s="115"/>
      <x:c r="Z370" s="115"/>
      <x:c r="AA370" s="115"/>
      <x:c r="AB370" s="115"/>
      <x:c r="AC370" s="115"/>
      <x:c r="AD370" s="115"/>
      <x:c r="AE370" s="115"/>
      <x:c r="AF370" s="115"/>
      <x:c r="AG370" s="115"/>
      <x:c r="AH370" s="115"/>
      <x:c r="AI370" s="115"/>
      <x:c r="AJ370" s="115"/>
      <x:c r="AK370" s="115"/>
      <x:c r="AL370" s="115"/>
      <x:c r="AM370" s="115"/>
      <x:c r="AN370" s="115"/>
      <x:c r="AO370" s="115"/>
      <x:c r="AP370" s="115"/>
      <x:c r="AQ370" s="115"/>
      <x:c r="AR370" s="115"/>
      <x:c r="AS370" s="115"/>
      <x:c r="AT370" s="115"/>
      <x:c r="AU370" s="115"/>
      <x:c r="AV370" s="115"/>
      <x:c r="AW370" s="115"/>
      <x:c r="AX370" s="115"/>
      <x:c r="AY370" s="115"/>
      <x:c r="AZ370" s="115"/>
      <x:c r="BA370" s="115"/>
      <x:c r="BB370" s="115"/>
      <x:c r="BC370" s="115"/>
      <x:c r="BD370" s="115"/>
      <x:c r="BE370" s="115"/>
      <x:c r="BF370" s="115"/>
      <x:c r="BG370" s="115"/>
      <x:c r="BH370" s="115"/>
      <x:c r="BI370" s="115"/>
      <x:c r="BJ370" s="115"/>
      <x:c r="BK370" s="115"/>
      <x:c r="BL370" s="115"/>
      <x:c r="BM370" s="115"/>
      <x:c r="BN370" s="115"/>
      <x:c r="BO370" s="115"/>
      <x:c r="BP370" s="115"/>
      <x:c r="BQ370" s="115"/>
      <x:c r="BR370" s="115"/>
      <x:c r="BS370" s="115"/>
      <x:c r="BT370" s="115"/>
      <x:c r="BU370" s="115"/>
      <x:c r="BV370" s="115"/>
      <x:c r="BW370" s="115"/>
      <x:c r="BX370" s="115"/>
      <x:c r="BY370" s="115"/>
      <x:c r="BZ370" s="115"/>
      <x:c r="CA370" s="115"/>
      <x:c r="CB370" s="116"/>
      <x:c r="CC370" s="141" t="str">
        <x:f>IF(COUNT(G370:P370)=0,"",AVERAGE(G370:P370)*4)</x:f>
      </x:c>
      <x:c r="CD370" s="178" t="str">
        <x:f>IF(COUNT(Q370:Z370)=0,"",AVERAGE(Q370:Z370)*4)</x:f>
      </x:c>
      <x:c r="CE370" s="178" t="str">
        <x:f>IF(COUNT(AA370:AJ370)=0,"",AVERAGE(AA370:AJ370)*4)</x:f>
      </x:c>
      <x:c r="CF370" s="178" t="str">
        <x:f>IF(COUNT(AK370:AR370)=0,"",AVERAGE(AK370:AR370)*4)</x:f>
      </x:c>
      <x:c r="CG370" s="178" t="str">
        <x:f>IF(COUNT(AS370:AY370)=0,"",AVERAGE(AS370:AY370)*4)</x:f>
      </x:c>
      <x:c r="CH370" s="178" t="str">
        <x:f>IF(COUNT(AZ370:BG370)=0,"",AVERAGE(AZ370:BG370)*4)</x:f>
      </x:c>
      <x:c r="CI370" s="178" t="str">
        <x:f>IF(COUNT(BH370:BN370)=0,"",AVERAGE(BH370:BN370)*4)</x:f>
      </x:c>
      <x:c r="CJ370" s="178" t="str">
        <x:f>IF(COUNT(BO370:BU370)=0,"",AVERAGE(BO370:BU370)*4)</x:f>
      </x:c>
      <x:c r="CK370" s="178" t="str">
        <x:f>IF(COUNT(BV370:CB370)=0,"",AVERAGE(BV370:CB370)*4)</x:f>
      </x:c>
      <x:c r="CL370" s="178" t="str">
        <x:f>IF(C370="","",IF(COUNT(G370:CB370)&lt;74,"",(CC370*'تنظیمات وزن‌دهی'!$C$5+CD370*'تنظیمات وزن‌دهی'!$C$6+CE370*'تنظیمات وزن‌دهی'!$C$7+CF370*'تنظیمات وزن‌دهی'!$C$8+CG370*'تنظیمات وزن‌دهی'!$C$9+CH370*'تنظیمات وزن‌دهی'!$C$10+CI370*'تنظیمات وزن‌دهی'!$C$11+CJ370*'تنظیمات وزن‌دهی'!$C$12+CK370*'تنظیمات وزن‌دهی'!$C$13)/100))</x:f>
      </x:c>
      <x:c r="CM370" s="178" t="str">
        <x:f>IF(C370="","",IF(COUNT(G370:CB370)=0,"",IF(COUNT(G370:CB370)&lt;74,"موقت - اطلاعات ناقص",IF(CL370&gt;=17,"عالی",IF(CL370&gt;=14,"خوب",IF(CL370&gt;=10,"متوسط","ضعیف"))))))</x:f>
      </x:c>
      <x:c r="CN370" s="178" t="n">
        <x:v>6</x:v>
      </x:c>
      <x:c r="CO370" s="142" t="n">
        <x:f>IF(C370="","",COUNT(G370:CB370)/74)</x:f>
        <x:v>0</x:v>
      </x:c>
      <x:c r="CP370" s="245"/>
    </x:row>
    <x:row r="371">
      <x:c r="A371" s="165" t="n">
        <x:v>367</x:v>
      </x:c>
      <x:c r="B371" s="233" t="str">
        <x:v>دی</x:v>
      </x:c>
      <x:c r="C371" s="233" t="n">
        <x:f>IF('دانش‌آموزان'!E35="","",'دانش‌آموزان'!B35)</x:f>
        <x:v>31</x:v>
      </x:c>
      <x:c r="D371" s="233" t="str">
        <x:f>IF('دانش‌آموزان'!C35="","",'دانش‌آموزان'!C35)</x:f>
        <x:v>4000000314</x:v>
      </x:c>
      <x:c r="E371" s="233" t="str">
        <x:f>IF('دانش‌آموزان'!E35="","",'دانش‌آموزان'!E35&amp;" "&amp;'دانش‌آموزان'!F35)</x:f>
        <x:v>پارسا موسوی</x:v>
      </x:c>
      <x:c r="F371" s="166" t="str">
        <x:f>IF('دانش‌آموزان'!I35="","",'دانش‌آموزان'!I35)</x:f>
        <x:v>sample-7-b</x:v>
      </x:c>
      <x:c r="G371" s="114"/>
      <x:c r="H371" s="115"/>
      <x:c r="I371" s="115"/>
      <x:c r="J371" s="115"/>
      <x:c r="K371" s="115"/>
      <x:c r="L371" s="115"/>
      <x:c r="M371" s="115"/>
      <x:c r="N371" s="115"/>
      <x:c r="O371" s="115"/>
      <x:c r="P371" s="115"/>
      <x:c r="Q371" s="115"/>
      <x:c r="R371" s="115"/>
      <x:c r="S371" s="115"/>
      <x:c r="T371" s="115"/>
      <x:c r="U371" s="115"/>
      <x:c r="V371" s="115"/>
      <x:c r="W371" s="115"/>
      <x:c r="X371" s="115"/>
      <x:c r="Y371" s="115"/>
      <x:c r="Z371" s="115"/>
      <x:c r="AA371" s="115"/>
      <x:c r="AB371" s="115"/>
      <x:c r="AC371" s="115"/>
      <x:c r="AD371" s="115"/>
      <x:c r="AE371" s="115"/>
      <x:c r="AF371" s="115"/>
      <x:c r="AG371" s="115"/>
      <x:c r="AH371" s="115"/>
      <x:c r="AI371" s="115"/>
      <x:c r="AJ371" s="115"/>
      <x:c r="AK371" s="115"/>
      <x:c r="AL371" s="115"/>
      <x:c r="AM371" s="115"/>
      <x:c r="AN371" s="115"/>
      <x:c r="AO371" s="115"/>
      <x:c r="AP371" s="115"/>
      <x:c r="AQ371" s="115"/>
      <x:c r="AR371" s="115"/>
      <x:c r="AS371" s="115"/>
      <x:c r="AT371" s="115"/>
      <x:c r="AU371" s="115"/>
      <x:c r="AV371" s="115"/>
      <x:c r="AW371" s="115"/>
      <x:c r="AX371" s="115"/>
      <x:c r="AY371" s="115"/>
      <x:c r="AZ371" s="115"/>
      <x:c r="BA371" s="115"/>
      <x:c r="BB371" s="115"/>
      <x:c r="BC371" s="115"/>
      <x:c r="BD371" s="115"/>
      <x:c r="BE371" s="115"/>
      <x:c r="BF371" s="115"/>
      <x:c r="BG371" s="115"/>
      <x:c r="BH371" s="115"/>
      <x:c r="BI371" s="115"/>
      <x:c r="BJ371" s="115"/>
      <x:c r="BK371" s="115"/>
      <x:c r="BL371" s="115"/>
      <x:c r="BM371" s="115"/>
      <x:c r="BN371" s="115"/>
      <x:c r="BO371" s="115"/>
      <x:c r="BP371" s="115"/>
      <x:c r="BQ371" s="115"/>
      <x:c r="BR371" s="115"/>
      <x:c r="BS371" s="115"/>
      <x:c r="BT371" s="115"/>
      <x:c r="BU371" s="115"/>
      <x:c r="BV371" s="115"/>
      <x:c r="BW371" s="115"/>
      <x:c r="BX371" s="115"/>
      <x:c r="BY371" s="115"/>
      <x:c r="BZ371" s="115"/>
      <x:c r="CA371" s="115"/>
      <x:c r="CB371" s="116"/>
      <x:c r="CC371" s="141" t="str">
        <x:f>IF(COUNT(G371:P371)=0,"",AVERAGE(G371:P371)*4)</x:f>
      </x:c>
      <x:c r="CD371" s="178" t="str">
        <x:f>IF(COUNT(Q371:Z371)=0,"",AVERAGE(Q371:Z371)*4)</x:f>
      </x:c>
      <x:c r="CE371" s="178" t="str">
        <x:f>IF(COUNT(AA371:AJ371)=0,"",AVERAGE(AA371:AJ371)*4)</x:f>
      </x:c>
      <x:c r="CF371" s="178" t="str">
        <x:f>IF(COUNT(AK371:AR371)=0,"",AVERAGE(AK371:AR371)*4)</x:f>
      </x:c>
      <x:c r="CG371" s="178" t="str">
        <x:f>IF(COUNT(AS371:AY371)=0,"",AVERAGE(AS371:AY371)*4)</x:f>
      </x:c>
      <x:c r="CH371" s="178" t="str">
        <x:f>IF(COUNT(AZ371:BG371)=0,"",AVERAGE(AZ371:BG371)*4)</x:f>
      </x:c>
      <x:c r="CI371" s="178" t="str">
        <x:f>IF(COUNT(BH371:BN371)=0,"",AVERAGE(BH371:BN371)*4)</x:f>
      </x:c>
      <x:c r="CJ371" s="178" t="str">
        <x:f>IF(COUNT(BO371:BU371)=0,"",AVERAGE(BO371:BU371)*4)</x:f>
      </x:c>
      <x:c r="CK371" s="178" t="str">
        <x:f>IF(COUNT(BV371:CB371)=0,"",AVERAGE(BV371:CB371)*4)</x:f>
      </x:c>
      <x:c r="CL371" s="178" t="str">
        <x:f>IF(C371="","",IF(COUNT(G371:CB371)&lt;74,"",(CC371*'تنظیمات وزن‌دهی'!$C$5+CD371*'تنظیمات وزن‌دهی'!$C$6+CE371*'تنظیمات وزن‌دهی'!$C$7+CF371*'تنظیمات وزن‌دهی'!$C$8+CG371*'تنظیمات وزن‌دهی'!$C$9+CH371*'تنظیمات وزن‌دهی'!$C$10+CI371*'تنظیمات وزن‌دهی'!$C$11+CJ371*'تنظیمات وزن‌دهی'!$C$12+CK371*'تنظیمات وزن‌دهی'!$C$13)/100))</x:f>
      </x:c>
      <x:c r="CM371" s="178" t="str">
        <x:f>IF(C371="","",IF(COUNT(G371:CB371)=0,"",IF(COUNT(G371:CB371)&lt;74,"موقت - اطلاعات ناقص",IF(CL371&gt;=17,"عالی",IF(CL371&gt;=14,"خوب",IF(CL371&gt;=10,"متوسط","ضعیف"))))))</x:f>
      </x:c>
      <x:c r="CN371" s="178" t="n">
        <x:v>7</x:v>
      </x:c>
      <x:c r="CO371" s="142" t="n">
        <x:f>IF(C371="","",COUNT(G371:CB371)/74)</x:f>
        <x:v>0</x:v>
      </x:c>
      <x:c r="CP371" s="245"/>
    </x:row>
    <x:row r="372">
      <x:c r="A372" s="165" t="n">
        <x:v>368</x:v>
      </x:c>
      <x:c r="B372" s="233" t="str">
        <x:v>بهمن</x:v>
      </x:c>
      <x:c r="C372" s="233" t="n">
        <x:f>IF('دانش‌آموزان'!E35="","",'دانش‌آموزان'!B35)</x:f>
        <x:v>31</x:v>
      </x:c>
      <x:c r="D372" s="233" t="str">
        <x:f>IF('دانش‌آموزان'!C35="","",'دانش‌آموزان'!C35)</x:f>
        <x:v>4000000314</x:v>
      </x:c>
      <x:c r="E372" s="233" t="str">
        <x:f>IF('دانش‌آموزان'!E35="","",'دانش‌آموزان'!E35&amp;" "&amp;'دانش‌آموزان'!F35)</x:f>
        <x:v>پارسا موسوی</x:v>
      </x:c>
      <x:c r="F372" s="166" t="str">
        <x:f>IF('دانش‌آموزان'!I35="","",'دانش‌آموزان'!I35)</x:f>
        <x:v>sample-7-b</x:v>
      </x:c>
      <x:c r="G372" s="114"/>
      <x:c r="H372" s="115"/>
      <x:c r="I372" s="115"/>
      <x:c r="J372" s="115"/>
      <x:c r="K372" s="115"/>
      <x:c r="L372" s="115"/>
      <x:c r="M372" s="115"/>
      <x:c r="N372" s="115"/>
      <x:c r="O372" s="115"/>
      <x:c r="P372" s="115"/>
      <x:c r="Q372" s="115"/>
      <x:c r="R372" s="115"/>
      <x:c r="S372" s="115"/>
      <x:c r="T372" s="115"/>
      <x:c r="U372" s="115"/>
      <x:c r="V372" s="115"/>
      <x:c r="W372" s="115"/>
      <x:c r="X372" s="115"/>
      <x:c r="Y372" s="115"/>
      <x:c r="Z372" s="115"/>
      <x:c r="AA372" s="115"/>
      <x:c r="AB372" s="115"/>
      <x:c r="AC372" s="115"/>
      <x:c r="AD372" s="115"/>
      <x:c r="AE372" s="115"/>
      <x:c r="AF372" s="115"/>
      <x:c r="AG372" s="115"/>
      <x:c r="AH372" s="115"/>
      <x:c r="AI372" s="115"/>
      <x:c r="AJ372" s="115"/>
      <x:c r="AK372" s="115"/>
      <x:c r="AL372" s="115"/>
      <x:c r="AM372" s="115"/>
      <x:c r="AN372" s="115"/>
      <x:c r="AO372" s="115"/>
      <x:c r="AP372" s="115"/>
      <x:c r="AQ372" s="115"/>
      <x:c r="AR372" s="115"/>
      <x:c r="AS372" s="115"/>
      <x:c r="AT372" s="115"/>
      <x:c r="AU372" s="115"/>
      <x:c r="AV372" s="115"/>
      <x:c r="AW372" s="115"/>
      <x:c r="AX372" s="115"/>
      <x:c r="AY372" s="115"/>
      <x:c r="AZ372" s="115"/>
      <x:c r="BA372" s="115"/>
      <x:c r="BB372" s="115"/>
      <x:c r="BC372" s="115"/>
      <x:c r="BD372" s="115"/>
      <x:c r="BE372" s="115"/>
      <x:c r="BF372" s="115"/>
      <x:c r="BG372" s="115"/>
      <x:c r="BH372" s="115"/>
      <x:c r="BI372" s="115"/>
      <x:c r="BJ372" s="115"/>
      <x:c r="BK372" s="115"/>
      <x:c r="BL372" s="115"/>
      <x:c r="BM372" s="115"/>
      <x:c r="BN372" s="115"/>
      <x:c r="BO372" s="115"/>
      <x:c r="BP372" s="115"/>
      <x:c r="BQ372" s="115"/>
      <x:c r="BR372" s="115"/>
      <x:c r="BS372" s="115"/>
      <x:c r="BT372" s="115"/>
      <x:c r="BU372" s="115"/>
      <x:c r="BV372" s="115"/>
      <x:c r="BW372" s="115"/>
      <x:c r="BX372" s="115"/>
      <x:c r="BY372" s="115"/>
      <x:c r="BZ372" s="115"/>
      <x:c r="CA372" s="115"/>
      <x:c r="CB372" s="116"/>
      <x:c r="CC372" s="141" t="str">
        <x:f>IF(COUNT(G372:P372)=0,"",AVERAGE(G372:P372)*4)</x:f>
      </x:c>
      <x:c r="CD372" s="178" t="str">
        <x:f>IF(COUNT(Q372:Z372)=0,"",AVERAGE(Q372:Z372)*4)</x:f>
      </x:c>
      <x:c r="CE372" s="178" t="str">
        <x:f>IF(COUNT(AA372:AJ372)=0,"",AVERAGE(AA372:AJ372)*4)</x:f>
      </x:c>
      <x:c r="CF372" s="178" t="str">
        <x:f>IF(COUNT(AK372:AR372)=0,"",AVERAGE(AK372:AR372)*4)</x:f>
      </x:c>
      <x:c r="CG372" s="178" t="str">
        <x:f>IF(COUNT(AS372:AY372)=0,"",AVERAGE(AS372:AY372)*4)</x:f>
      </x:c>
      <x:c r="CH372" s="178" t="str">
        <x:f>IF(COUNT(AZ372:BG372)=0,"",AVERAGE(AZ372:BG372)*4)</x:f>
      </x:c>
      <x:c r="CI372" s="178" t="str">
        <x:f>IF(COUNT(BH372:BN372)=0,"",AVERAGE(BH372:BN372)*4)</x:f>
      </x:c>
      <x:c r="CJ372" s="178" t="str">
        <x:f>IF(COUNT(BO372:BU372)=0,"",AVERAGE(BO372:BU372)*4)</x:f>
      </x:c>
      <x:c r="CK372" s="178" t="str">
        <x:f>IF(COUNT(BV372:CB372)=0,"",AVERAGE(BV372:CB372)*4)</x:f>
      </x:c>
      <x:c r="CL372" s="178" t="str">
        <x:f>IF(C372="","",IF(COUNT(G372:CB372)&lt;74,"",(CC372*'تنظیمات وزن‌دهی'!$C$5+CD372*'تنظیمات وزن‌دهی'!$C$6+CE372*'تنظیمات وزن‌دهی'!$C$7+CF372*'تنظیمات وزن‌دهی'!$C$8+CG372*'تنظیمات وزن‌دهی'!$C$9+CH372*'تنظیمات وزن‌دهی'!$C$10+CI372*'تنظیمات وزن‌دهی'!$C$11+CJ372*'تنظیمات وزن‌دهی'!$C$12+CK372*'تنظیمات وزن‌دهی'!$C$13)/100))</x:f>
      </x:c>
      <x:c r="CM372" s="178" t="str">
        <x:f>IF(C372="","",IF(COUNT(G372:CB372)=0,"",IF(COUNT(G372:CB372)&lt;74,"موقت - اطلاعات ناقص",IF(CL372&gt;=17,"عالی",IF(CL372&gt;=14,"خوب",IF(CL372&gt;=10,"متوسط","ضعیف"))))))</x:f>
      </x:c>
      <x:c r="CN372" s="178" t="n">
        <x:v>8</x:v>
      </x:c>
      <x:c r="CO372" s="142" t="n">
        <x:f>IF(C372="","",COUNT(G372:CB372)/74)</x:f>
        <x:v>0</x:v>
      </x:c>
      <x:c r="CP372" s="245"/>
    </x:row>
    <x:row r="373">
      <x:c r="A373" s="165" t="n">
        <x:v>369</x:v>
      </x:c>
      <x:c r="B373" s="233" t="str">
        <x:v>اسفند</x:v>
      </x:c>
      <x:c r="C373" s="233" t="n">
        <x:f>IF('دانش‌آموزان'!E35="","",'دانش‌آموزان'!B35)</x:f>
        <x:v>31</x:v>
      </x:c>
      <x:c r="D373" s="233" t="str">
        <x:f>IF('دانش‌آموزان'!C35="","",'دانش‌آموزان'!C35)</x:f>
        <x:v>4000000314</x:v>
      </x:c>
      <x:c r="E373" s="233" t="str">
        <x:f>IF('دانش‌آموزان'!E35="","",'دانش‌آموزان'!E35&amp;" "&amp;'دانش‌آموزان'!F35)</x:f>
        <x:v>پارسا موسوی</x:v>
      </x:c>
      <x:c r="F373" s="166" t="str">
        <x:f>IF('دانش‌آموزان'!I35="","",'دانش‌آموزان'!I35)</x:f>
        <x:v>sample-7-b</x:v>
      </x:c>
      <x:c r="G373" s="114"/>
      <x:c r="H373" s="115"/>
      <x:c r="I373" s="115"/>
      <x:c r="J373" s="115"/>
      <x:c r="K373" s="115"/>
      <x:c r="L373" s="115"/>
      <x:c r="M373" s="115"/>
      <x:c r="N373" s="115"/>
      <x:c r="O373" s="115"/>
      <x:c r="P373" s="115"/>
      <x:c r="Q373" s="115"/>
      <x:c r="R373" s="115"/>
      <x:c r="S373" s="115"/>
      <x:c r="T373" s="115"/>
      <x:c r="U373" s="115"/>
      <x:c r="V373" s="115"/>
      <x:c r="W373" s="115"/>
      <x:c r="X373" s="115"/>
      <x:c r="Y373" s="115"/>
      <x:c r="Z373" s="115"/>
      <x:c r="AA373" s="115"/>
      <x:c r="AB373" s="115"/>
      <x:c r="AC373" s="115"/>
      <x:c r="AD373" s="115"/>
      <x:c r="AE373" s="115"/>
      <x:c r="AF373" s="115"/>
      <x:c r="AG373" s="115"/>
      <x:c r="AH373" s="115"/>
      <x:c r="AI373" s="115"/>
      <x:c r="AJ373" s="115"/>
      <x:c r="AK373" s="115"/>
      <x:c r="AL373" s="115"/>
      <x:c r="AM373" s="115"/>
      <x:c r="AN373" s="115"/>
      <x:c r="AO373" s="115"/>
      <x:c r="AP373" s="115"/>
      <x:c r="AQ373" s="115"/>
      <x:c r="AR373" s="115"/>
      <x:c r="AS373" s="115"/>
      <x:c r="AT373" s="115"/>
      <x:c r="AU373" s="115"/>
      <x:c r="AV373" s="115"/>
      <x:c r="AW373" s="115"/>
      <x:c r="AX373" s="115"/>
      <x:c r="AY373" s="115"/>
      <x:c r="AZ373" s="115"/>
      <x:c r="BA373" s="115"/>
      <x:c r="BB373" s="115"/>
      <x:c r="BC373" s="115"/>
      <x:c r="BD373" s="115"/>
      <x:c r="BE373" s="115"/>
      <x:c r="BF373" s="115"/>
      <x:c r="BG373" s="115"/>
      <x:c r="BH373" s="115"/>
      <x:c r="BI373" s="115"/>
      <x:c r="BJ373" s="115"/>
      <x:c r="BK373" s="115"/>
      <x:c r="BL373" s="115"/>
      <x:c r="BM373" s="115"/>
      <x:c r="BN373" s="115"/>
      <x:c r="BO373" s="115"/>
      <x:c r="BP373" s="115"/>
      <x:c r="BQ373" s="115"/>
      <x:c r="BR373" s="115"/>
      <x:c r="BS373" s="115"/>
      <x:c r="BT373" s="115"/>
      <x:c r="BU373" s="115"/>
      <x:c r="BV373" s="115"/>
      <x:c r="BW373" s="115"/>
      <x:c r="BX373" s="115"/>
      <x:c r="BY373" s="115"/>
      <x:c r="BZ373" s="115"/>
      <x:c r="CA373" s="115"/>
      <x:c r="CB373" s="116"/>
      <x:c r="CC373" s="141" t="str">
        <x:f>IF(COUNT(G373:P373)=0,"",AVERAGE(G373:P373)*4)</x:f>
      </x:c>
      <x:c r="CD373" s="178" t="str">
        <x:f>IF(COUNT(Q373:Z373)=0,"",AVERAGE(Q373:Z373)*4)</x:f>
      </x:c>
      <x:c r="CE373" s="178" t="str">
        <x:f>IF(COUNT(AA373:AJ373)=0,"",AVERAGE(AA373:AJ373)*4)</x:f>
      </x:c>
      <x:c r="CF373" s="178" t="str">
        <x:f>IF(COUNT(AK373:AR373)=0,"",AVERAGE(AK373:AR373)*4)</x:f>
      </x:c>
      <x:c r="CG373" s="178" t="str">
        <x:f>IF(COUNT(AS373:AY373)=0,"",AVERAGE(AS373:AY373)*4)</x:f>
      </x:c>
      <x:c r="CH373" s="178" t="str">
        <x:f>IF(COUNT(AZ373:BG373)=0,"",AVERAGE(AZ373:BG373)*4)</x:f>
      </x:c>
      <x:c r="CI373" s="178" t="str">
        <x:f>IF(COUNT(BH373:BN373)=0,"",AVERAGE(BH373:BN373)*4)</x:f>
      </x:c>
      <x:c r="CJ373" s="178" t="str">
        <x:f>IF(COUNT(BO373:BU373)=0,"",AVERAGE(BO373:BU373)*4)</x:f>
      </x:c>
      <x:c r="CK373" s="178" t="str">
        <x:f>IF(COUNT(BV373:CB373)=0,"",AVERAGE(BV373:CB373)*4)</x:f>
      </x:c>
      <x:c r="CL373" s="178" t="str">
        <x:f>IF(C373="","",IF(COUNT(G373:CB373)&lt;74,"",(CC373*'تنظیمات وزن‌دهی'!$C$5+CD373*'تنظیمات وزن‌دهی'!$C$6+CE373*'تنظیمات وزن‌دهی'!$C$7+CF373*'تنظیمات وزن‌دهی'!$C$8+CG373*'تنظیمات وزن‌دهی'!$C$9+CH373*'تنظیمات وزن‌دهی'!$C$10+CI373*'تنظیمات وزن‌دهی'!$C$11+CJ373*'تنظیمات وزن‌دهی'!$C$12+CK373*'تنظیمات وزن‌دهی'!$C$13)/100))</x:f>
      </x:c>
      <x:c r="CM373" s="178" t="str">
        <x:f>IF(C373="","",IF(COUNT(G373:CB373)=0,"",IF(COUNT(G373:CB373)&lt;74,"موقت - اطلاعات ناقص",IF(CL373&gt;=17,"عالی",IF(CL373&gt;=14,"خوب",IF(CL373&gt;=10,"متوسط","ضعیف"))))))</x:f>
      </x:c>
      <x:c r="CN373" s="178" t="n">
        <x:v>9</x:v>
      </x:c>
      <x:c r="CO373" s="142" t="n">
        <x:f>IF(C373="","",COUNT(G373:CB373)/74)</x:f>
        <x:v>0</x:v>
      </x:c>
      <x:c r="CP373" s="245"/>
    </x:row>
    <x:row r="374">
      <x:c r="A374" s="165" t="n">
        <x:v>370</x:v>
      </x:c>
      <x:c r="B374" s="233" t="str">
        <x:v>فروردین</x:v>
      </x:c>
      <x:c r="C374" s="233" t="n">
        <x:f>IF('دانش‌آموزان'!E35="","",'دانش‌آموزان'!B35)</x:f>
        <x:v>31</x:v>
      </x:c>
      <x:c r="D374" s="233" t="str">
        <x:f>IF('دانش‌آموزان'!C35="","",'دانش‌آموزان'!C35)</x:f>
        <x:v>4000000314</x:v>
      </x:c>
      <x:c r="E374" s="233" t="str">
        <x:f>IF('دانش‌آموزان'!E35="","",'دانش‌آموزان'!E35&amp;" "&amp;'دانش‌آموزان'!F35)</x:f>
        <x:v>پارسا موسوی</x:v>
      </x:c>
      <x:c r="F374" s="166" t="str">
        <x:f>IF('دانش‌آموزان'!I35="","",'دانش‌آموزان'!I35)</x:f>
        <x:v>sample-7-b</x:v>
      </x:c>
      <x:c r="G374" s="114"/>
      <x:c r="H374" s="115"/>
      <x:c r="I374" s="115"/>
      <x:c r="J374" s="115"/>
      <x:c r="K374" s="115"/>
      <x:c r="L374" s="115"/>
      <x:c r="M374" s="115"/>
      <x:c r="N374" s="115"/>
      <x:c r="O374" s="115"/>
      <x:c r="P374" s="115"/>
      <x:c r="Q374" s="115"/>
      <x:c r="R374" s="115"/>
      <x:c r="S374" s="115"/>
      <x:c r="T374" s="115"/>
      <x:c r="U374" s="115"/>
      <x:c r="V374" s="115"/>
      <x:c r="W374" s="115"/>
      <x:c r="X374" s="115"/>
      <x:c r="Y374" s="115"/>
      <x:c r="Z374" s="115"/>
      <x:c r="AA374" s="115"/>
      <x:c r="AB374" s="115"/>
      <x:c r="AC374" s="115"/>
      <x:c r="AD374" s="115"/>
      <x:c r="AE374" s="115"/>
      <x:c r="AF374" s="115"/>
      <x:c r="AG374" s="115"/>
      <x:c r="AH374" s="115"/>
      <x:c r="AI374" s="115"/>
      <x:c r="AJ374" s="115"/>
      <x:c r="AK374" s="115"/>
      <x:c r="AL374" s="115"/>
      <x:c r="AM374" s="115"/>
      <x:c r="AN374" s="115"/>
      <x:c r="AO374" s="115"/>
      <x:c r="AP374" s="115"/>
      <x:c r="AQ374" s="115"/>
      <x:c r="AR374" s="115"/>
      <x:c r="AS374" s="115"/>
      <x:c r="AT374" s="115"/>
      <x:c r="AU374" s="115"/>
      <x:c r="AV374" s="115"/>
      <x:c r="AW374" s="115"/>
      <x:c r="AX374" s="115"/>
      <x:c r="AY374" s="115"/>
      <x:c r="AZ374" s="115"/>
      <x:c r="BA374" s="115"/>
      <x:c r="BB374" s="115"/>
      <x:c r="BC374" s="115"/>
      <x:c r="BD374" s="115"/>
      <x:c r="BE374" s="115"/>
      <x:c r="BF374" s="115"/>
      <x:c r="BG374" s="115"/>
      <x:c r="BH374" s="115"/>
      <x:c r="BI374" s="115"/>
      <x:c r="BJ374" s="115"/>
      <x:c r="BK374" s="115"/>
      <x:c r="BL374" s="115"/>
      <x:c r="BM374" s="115"/>
      <x:c r="BN374" s="115"/>
      <x:c r="BO374" s="115"/>
      <x:c r="BP374" s="115"/>
      <x:c r="BQ374" s="115"/>
      <x:c r="BR374" s="115"/>
      <x:c r="BS374" s="115"/>
      <x:c r="BT374" s="115"/>
      <x:c r="BU374" s="115"/>
      <x:c r="BV374" s="115"/>
      <x:c r="BW374" s="115"/>
      <x:c r="BX374" s="115"/>
      <x:c r="BY374" s="115"/>
      <x:c r="BZ374" s="115"/>
      <x:c r="CA374" s="115"/>
      <x:c r="CB374" s="116"/>
      <x:c r="CC374" s="141" t="str">
        <x:f>IF(COUNT(G374:P374)=0,"",AVERAGE(G374:P374)*4)</x:f>
      </x:c>
      <x:c r="CD374" s="178" t="str">
        <x:f>IF(COUNT(Q374:Z374)=0,"",AVERAGE(Q374:Z374)*4)</x:f>
      </x:c>
      <x:c r="CE374" s="178" t="str">
        <x:f>IF(COUNT(AA374:AJ374)=0,"",AVERAGE(AA374:AJ374)*4)</x:f>
      </x:c>
      <x:c r="CF374" s="178" t="str">
        <x:f>IF(COUNT(AK374:AR374)=0,"",AVERAGE(AK374:AR374)*4)</x:f>
      </x:c>
      <x:c r="CG374" s="178" t="str">
        <x:f>IF(COUNT(AS374:AY374)=0,"",AVERAGE(AS374:AY374)*4)</x:f>
      </x:c>
      <x:c r="CH374" s="178" t="str">
        <x:f>IF(COUNT(AZ374:BG374)=0,"",AVERAGE(AZ374:BG374)*4)</x:f>
      </x:c>
      <x:c r="CI374" s="178" t="str">
        <x:f>IF(COUNT(BH374:BN374)=0,"",AVERAGE(BH374:BN374)*4)</x:f>
      </x:c>
      <x:c r="CJ374" s="178" t="str">
        <x:f>IF(COUNT(BO374:BU374)=0,"",AVERAGE(BO374:BU374)*4)</x:f>
      </x:c>
      <x:c r="CK374" s="178" t="str">
        <x:f>IF(COUNT(BV374:CB374)=0,"",AVERAGE(BV374:CB374)*4)</x:f>
      </x:c>
      <x:c r="CL374" s="178" t="str">
        <x:f>IF(C374="","",IF(COUNT(G374:CB374)&lt;74,"",(CC374*'تنظیمات وزن‌دهی'!$C$5+CD374*'تنظیمات وزن‌دهی'!$C$6+CE374*'تنظیمات وزن‌دهی'!$C$7+CF374*'تنظیمات وزن‌دهی'!$C$8+CG374*'تنظیمات وزن‌دهی'!$C$9+CH374*'تنظیمات وزن‌دهی'!$C$10+CI374*'تنظیمات وزن‌دهی'!$C$11+CJ374*'تنظیمات وزن‌دهی'!$C$12+CK374*'تنظیمات وزن‌دهی'!$C$13)/100))</x:f>
      </x:c>
      <x:c r="CM374" s="178" t="str">
        <x:f>IF(C374="","",IF(COUNT(G374:CB374)=0,"",IF(COUNT(G374:CB374)&lt;74,"موقت - اطلاعات ناقص",IF(CL374&gt;=17,"عالی",IF(CL374&gt;=14,"خوب",IF(CL374&gt;=10,"متوسط","ضعیف"))))))</x:f>
      </x:c>
      <x:c r="CN374" s="178" t="n">
        <x:v>10</x:v>
      </x:c>
      <x:c r="CO374" s="142" t="n">
        <x:f>IF(C374="","",COUNT(G374:CB374)/74)</x:f>
        <x:v>0</x:v>
      </x:c>
      <x:c r="CP374" s="245"/>
    </x:row>
    <x:row r="375">
      <x:c r="A375" s="165" t="n">
        <x:v>371</x:v>
      </x:c>
      <x:c r="B375" s="233" t="str">
        <x:v>اردیبهشت</x:v>
      </x:c>
      <x:c r="C375" s="233" t="n">
        <x:f>IF('دانش‌آموزان'!E35="","",'دانش‌آموزان'!B35)</x:f>
        <x:v>31</x:v>
      </x:c>
      <x:c r="D375" s="233" t="str">
        <x:f>IF('دانش‌آموزان'!C35="","",'دانش‌آموزان'!C35)</x:f>
        <x:v>4000000314</x:v>
      </x:c>
      <x:c r="E375" s="233" t="str">
        <x:f>IF('دانش‌آموزان'!E35="","",'دانش‌آموزان'!E35&amp;" "&amp;'دانش‌آموزان'!F35)</x:f>
        <x:v>پارسا موسوی</x:v>
      </x:c>
      <x:c r="F375" s="166" t="str">
        <x:f>IF('دانش‌آموزان'!I35="","",'دانش‌آموزان'!I35)</x:f>
        <x:v>sample-7-b</x:v>
      </x:c>
      <x:c r="G375" s="114"/>
      <x:c r="H375" s="115"/>
      <x:c r="I375" s="115"/>
      <x:c r="J375" s="115"/>
      <x:c r="K375" s="115"/>
      <x:c r="L375" s="115"/>
      <x:c r="M375" s="115"/>
      <x:c r="N375" s="115"/>
      <x:c r="O375" s="115"/>
      <x:c r="P375" s="115"/>
      <x:c r="Q375" s="115"/>
      <x:c r="R375" s="115"/>
      <x:c r="S375" s="115"/>
      <x:c r="T375" s="115"/>
      <x:c r="U375" s="115"/>
      <x:c r="V375" s="115"/>
      <x:c r="W375" s="115"/>
      <x:c r="X375" s="115"/>
      <x:c r="Y375" s="115"/>
      <x:c r="Z375" s="115"/>
      <x:c r="AA375" s="115"/>
      <x:c r="AB375" s="115"/>
      <x:c r="AC375" s="115"/>
      <x:c r="AD375" s="115"/>
      <x:c r="AE375" s="115"/>
      <x:c r="AF375" s="115"/>
      <x:c r="AG375" s="115"/>
      <x:c r="AH375" s="115"/>
      <x:c r="AI375" s="115"/>
      <x:c r="AJ375" s="115"/>
      <x:c r="AK375" s="115"/>
      <x:c r="AL375" s="115"/>
      <x:c r="AM375" s="115"/>
      <x:c r="AN375" s="115"/>
      <x:c r="AO375" s="115"/>
      <x:c r="AP375" s="115"/>
      <x:c r="AQ375" s="115"/>
      <x:c r="AR375" s="115"/>
      <x:c r="AS375" s="115"/>
      <x:c r="AT375" s="115"/>
      <x:c r="AU375" s="115"/>
      <x:c r="AV375" s="115"/>
      <x:c r="AW375" s="115"/>
      <x:c r="AX375" s="115"/>
      <x:c r="AY375" s="115"/>
      <x:c r="AZ375" s="115"/>
      <x:c r="BA375" s="115"/>
      <x:c r="BB375" s="115"/>
      <x:c r="BC375" s="115"/>
      <x:c r="BD375" s="115"/>
      <x:c r="BE375" s="115"/>
      <x:c r="BF375" s="115"/>
      <x:c r="BG375" s="115"/>
      <x:c r="BH375" s="115"/>
      <x:c r="BI375" s="115"/>
      <x:c r="BJ375" s="115"/>
      <x:c r="BK375" s="115"/>
      <x:c r="BL375" s="115"/>
      <x:c r="BM375" s="115"/>
      <x:c r="BN375" s="115"/>
      <x:c r="BO375" s="115"/>
      <x:c r="BP375" s="115"/>
      <x:c r="BQ375" s="115"/>
      <x:c r="BR375" s="115"/>
      <x:c r="BS375" s="115"/>
      <x:c r="BT375" s="115"/>
      <x:c r="BU375" s="115"/>
      <x:c r="BV375" s="115"/>
      <x:c r="BW375" s="115"/>
      <x:c r="BX375" s="115"/>
      <x:c r="BY375" s="115"/>
      <x:c r="BZ375" s="115"/>
      <x:c r="CA375" s="115"/>
      <x:c r="CB375" s="116"/>
      <x:c r="CC375" s="141" t="str">
        <x:f>IF(COUNT(G375:P375)=0,"",AVERAGE(G375:P375)*4)</x:f>
      </x:c>
      <x:c r="CD375" s="178" t="str">
        <x:f>IF(COUNT(Q375:Z375)=0,"",AVERAGE(Q375:Z375)*4)</x:f>
      </x:c>
      <x:c r="CE375" s="178" t="str">
        <x:f>IF(COUNT(AA375:AJ375)=0,"",AVERAGE(AA375:AJ375)*4)</x:f>
      </x:c>
      <x:c r="CF375" s="178" t="str">
        <x:f>IF(COUNT(AK375:AR375)=0,"",AVERAGE(AK375:AR375)*4)</x:f>
      </x:c>
      <x:c r="CG375" s="178" t="str">
        <x:f>IF(COUNT(AS375:AY375)=0,"",AVERAGE(AS375:AY375)*4)</x:f>
      </x:c>
      <x:c r="CH375" s="178" t="str">
        <x:f>IF(COUNT(AZ375:BG375)=0,"",AVERAGE(AZ375:BG375)*4)</x:f>
      </x:c>
      <x:c r="CI375" s="178" t="str">
        <x:f>IF(COUNT(BH375:BN375)=0,"",AVERAGE(BH375:BN375)*4)</x:f>
      </x:c>
      <x:c r="CJ375" s="178" t="str">
        <x:f>IF(COUNT(BO375:BU375)=0,"",AVERAGE(BO375:BU375)*4)</x:f>
      </x:c>
      <x:c r="CK375" s="178" t="str">
        <x:f>IF(COUNT(BV375:CB375)=0,"",AVERAGE(BV375:CB375)*4)</x:f>
      </x:c>
      <x:c r="CL375" s="178" t="str">
        <x:f>IF(C375="","",IF(COUNT(G375:CB375)&lt;74,"",(CC375*'تنظیمات وزن‌دهی'!$C$5+CD375*'تنظیمات وزن‌دهی'!$C$6+CE375*'تنظیمات وزن‌دهی'!$C$7+CF375*'تنظیمات وزن‌دهی'!$C$8+CG375*'تنظیمات وزن‌دهی'!$C$9+CH375*'تنظیمات وزن‌دهی'!$C$10+CI375*'تنظیمات وزن‌دهی'!$C$11+CJ375*'تنظیمات وزن‌دهی'!$C$12+CK375*'تنظیمات وزن‌دهی'!$C$13)/100))</x:f>
      </x:c>
      <x:c r="CM375" s="178" t="str">
        <x:f>IF(C375="","",IF(COUNT(G375:CB375)=0,"",IF(COUNT(G375:CB375)&lt;74,"موقت - اطلاعات ناقص",IF(CL375&gt;=17,"عالی",IF(CL375&gt;=14,"خوب",IF(CL375&gt;=10,"متوسط","ضعیف"))))))</x:f>
      </x:c>
      <x:c r="CN375" s="178" t="n">
        <x:v>11</x:v>
      </x:c>
      <x:c r="CO375" s="142" t="n">
        <x:f>IF(C375="","",COUNT(G375:CB375)/74)</x:f>
        <x:v>0</x:v>
      </x:c>
      <x:c r="CP375" s="245"/>
    </x:row>
    <x:row r="376">
      <x:c r="A376" s="165" t="n">
        <x:v>372</x:v>
      </x:c>
      <x:c r="B376" s="233" t="str">
        <x:v>خرداد</x:v>
      </x:c>
      <x:c r="C376" s="233" t="n">
        <x:f>IF('دانش‌آموزان'!E35="","",'دانش‌آموزان'!B35)</x:f>
        <x:v>31</x:v>
      </x:c>
      <x:c r="D376" s="233" t="str">
        <x:f>IF('دانش‌آموزان'!C35="","",'دانش‌آموزان'!C35)</x:f>
        <x:v>4000000314</x:v>
      </x:c>
      <x:c r="E376" s="233" t="str">
        <x:f>IF('دانش‌آموزان'!E35="","",'دانش‌آموزان'!E35&amp;" "&amp;'دانش‌آموزان'!F35)</x:f>
        <x:v>پارسا موسوی</x:v>
      </x:c>
      <x:c r="F376" s="166" t="str">
        <x:f>IF('دانش‌آموزان'!I35="","",'دانش‌آموزان'!I35)</x:f>
        <x:v>sample-7-b</x:v>
      </x:c>
      <x:c r="G376" s="114"/>
      <x:c r="H376" s="115"/>
      <x:c r="I376" s="115"/>
      <x:c r="J376" s="115"/>
      <x:c r="K376" s="115"/>
      <x:c r="L376" s="115"/>
      <x:c r="M376" s="115"/>
      <x:c r="N376" s="115"/>
      <x:c r="O376" s="115"/>
      <x:c r="P376" s="115"/>
      <x:c r="Q376" s="115"/>
      <x:c r="R376" s="115"/>
      <x:c r="S376" s="115"/>
      <x:c r="T376" s="115"/>
      <x:c r="U376" s="115"/>
      <x:c r="V376" s="115"/>
      <x:c r="W376" s="115"/>
      <x:c r="X376" s="115"/>
      <x:c r="Y376" s="115"/>
      <x:c r="Z376" s="115"/>
      <x:c r="AA376" s="115"/>
      <x:c r="AB376" s="115"/>
      <x:c r="AC376" s="115"/>
      <x:c r="AD376" s="115"/>
      <x:c r="AE376" s="115"/>
      <x:c r="AF376" s="115"/>
      <x:c r="AG376" s="115"/>
      <x:c r="AH376" s="115"/>
      <x:c r="AI376" s="115"/>
      <x:c r="AJ376" s="115"/>
      <x:c r="AK376" s="115"/>
      <x:c r="AL376" s="115"/>
      <x:c r="AM376" s="115"/>
      <x:c r="AN376" s="115"/>
      <x:c r="AO376" s="115"/>
      <x:c r="AP376" s="115"/>
      <x:c r="AQ376" s="115"/>
      <x:c r="AR376" s="115"/>
      <x:c r="AS376" s="115"/>
      <x:c r="AT376" s="115"/>
      <x:c r="AU376" s="115"/>
      <x:c r="AV376" s="115"/>
      <x:c r="AW376" s="115"/>
      <x:c r="AX376" s="115"/>
      <x:c r="AY376" s="115"/>
      <x:c r="AZ376" s="115"/>
      <x:c r="BA376" s="115"/>
      <x:c r="BB376" s="115"/>
      <x:c r="BC376" s="115"/>
      <x:c r="BD376" s="115"/>
      <x:c r="BE376" s="115"/>
      <x:c r="BF376" s="115"/>
      <x:c r="BG376" s="115"/>
      <x:c r="BH376" s="115"/>
      <x:c r="BI376" s="115"/>
      <x:c r="BJ376" s="115"/>
      <x:c r="BK376" s="115"/>
      <x:c r="BL376" s="115"/>
      <x:c r="BM376" s="115"/>
      <x:c r="BN376" s="115"/>
      <x:c r="BO376" s="115"/>
      <x:c r="BP376" s="115"/>
      <x:c r="BQ376" s="115"/>
      <x:c r="BR376" s="115"/>
      <x:c r="BS376" s="115"/>
      <x:c r="BT376" s="115"/>
      <x:c r="BU376" s="115"/>
      <x:c r="BV376" s="115"/>
      <x:c r="BW376" s="115"/>
      <x:c r="BX376" s="115"/>
      <x:c r="BY376" s="115"/>
      <x:c r="BZ376" s="115"/>
      <x:c r="CA376" s="115"/>
      <x:c r="CB376" s="116"/>
      <x:c r="CC376" s="141" t="str">
        <x:f>IF(COUNT(G376:P376)=0,"",AVERAGE(G376:P376)*4)</x:f>
      </x:c>
      <x:c r="CD376" s="178" t="str">
        <x:f>IF(COUNT(Q376:Z376)=0,"",AVERAGE(Q376:Z376)*4)</x:f>
      </x:c>
      <x:c r="CE376" s="178" t="str">
        <x:f>IF(COUNT(AA376:AJ376)=0,"",AVERAGE(AA376:AJ376)*4)</x:f>
      </x:c>
      <x:c r="CF376" s="178" t="str">
        <x:f>IF(COUNT(AK376:AR376)=0,"",AVERAGE(AK376:AR376)*4)</x:f>
      </x:c>
      <x:c r="CG376" s="178" t="str">
        <x:f>IF(COUNT(AS376:AY376)=0,"",AVERAGE(AS376:AY376)*4)</x:f>
      </x:c>
      <x:c r="CH376" s="178" t="str">
        <x:f>IF(COUNT(AZ376:BG376)=0,"",AVERAGE(AZ376:BG376)*4)</x:f>
      </x:c>
      <x:c r="CI376" s="178" t="str">
        <x:f>IF(COUNT(BH376:BN376)=0,"",AVERAGE(BH376:BN376)*4)</x:f>
      </x:c>
      <x:c r="CJ376" s="178" t="str">
        <x:f>IF(COUNT(BO376:BU376)=0,"",AVERAGE(BO376:BU376)*4)</x:f>
      </x:c>
      <x:c r="CK376" s="178" t="str">
        <x:f>IF(COUNT(BV376:CB376)=0,"",AVERAGE(BV376:CB376)*4)</x:f>
      </x:c>
      <x:c r="CL376" s="178" t="str">
        <x:f>IF(C376="","",IF(COUNT(G376:CB376)&lt;74,"",(CC376*'تنظیمات وزن‌دهی'!$C$5+CD376*'تنظیمات وزن‌دهی'!$C$6+CE376*'تنظیمات وزن‌دهی'!$C$7+CF376*'تنظیمات وزن‌دهی'!$C$8+CG376*'تنظیمات وزن‌دهی'!$C$9+CH376*'تنظیمات وزن‌دهی'!$C$10+CI376*'تنظیمات وزن‌دهی'!$C$11+CJ376*'تنظیمات وزن‌دهی'!$C$12+CK376*'تنظیمات وزن‌دهی'!$C$13)/100))</x:f>
      </x:c>
      <x:c r="CM376" s="178" t="str">
        <x:f>IF(C376="","",IF(COUNT(G376:CB376)=0,"",IF(COUNT(G376:CB376)&lt;74,"موقت - اطلاعات ناقص",IF(CL376&gt;=17,"عالی",IF(CL376&gt;=14,"خوب",IF(CL376&gt;=10,"متوسط","ضعیف"))))))</x:f>
      </x:c>
      <x:c r="CN376" s="178" t="n">
        <x:v>12</x:v>
      </x:c>
      <x:c r="CO376" s="142" t="n">
        <x:f>IF(C376="","",COUNT(G376:CB376)/74)</x:f>
        <x:v>0</x:v>
      </x:c>
      <x:c r="CP376" s="245"/>
    </x:row>
    <x:row r="377">
      <x:c r="A377" s="165" t="n">
        <x:v>373</x:v>
      </x:c>
      <x:c r="B377" s="233" t="str">
        <x:v>تیر</x:v>
      </x:c>
      <x:c r="C377" s="233" t="n">
        <x:f>IF('دانش‌آموزان'!E36="","",'دانش‌آموزان'!B36)</x:f>
        <x:v>32</x:v>
      </x:c>
      <x:c r="D377" s="233" t="str">
        <x:f>IF('دانش‌آموزان'!C36="","",'دانش‌آموزان'!C36)</x:f>
        <x:v>4000000322</x:v>
      </x:c>
      <x:c r="E377" s="233" t="str">
        <x:f>IF('دانش‌آموزان'!E36="","",'دانش‌آموزان'!E36&amp;" "&amp;'دانش‌آموزان'!F36)</x:f>
        <x:v>رها یوسفی</x:v>
      </x:c>
      <x:c r="F377" s="166" t="str">
        <x:f>IF('دانش‌آموزان'!I36="","",'دانش‌آموزان'!I36)</x:f>
        <x:v>sample-7-b</x:v>
      </x:c>
      <x:c r="G377" s="114" t="n">
        <x:v>4</x:v>
      </x:c>
      <x:c r="H377" s="115" t="n">
        <x:v>5</x:v>
      </x:c>
      <x:c r="I377" s="115" t="n">
        <x:v>4</x:v>
      </x:c>
      <x:c r="J377" s="115" t="n">
        <x:v>5</x:v>
      </x:c>
      <x:c r="K377" s="115" t="n">
        <x:v>3</x:v>
      </x:c>
      <x:c r="L377" s="115" t="n">
        <x:v>5</x:v>
      </x:c>
      <x:c r="M377" s="115" t="n">
        <x:v>3</x:v>
      </x:c>
      <x:c r="N377" s="115" t="n">
        <x:v>4</x:v>
      </x:c>
      <x:c r="O377" s="115" t="n">
        <x:v>3</x:v>
      </x:c>
      <x:c r="P377" s="115" t="n">
        <x:v>4</x:v>
      </x:c>
      <x:c r="Q377" s="115" t="n">
        <x:v>2</x:v>
      </x:c>
      <x:c r="R377" s="115" t="n">
        <x:v>4</x:v>
      </x:c>
      <x:c r="S377" s="115" t="n">
        <x:v>5</x:v>
      </x:c>
      <x:c r="T377" s="115" t="n">
        <x:v>4</x:v>
      </x:c>
      <x:c r="U377" s="115" t="n">
        <x:v>5</x:v>
      </x:c>
      <x:c r="V377" s="115" t="n">
        <x:v>3</x:v>
      </x:c>
      <x:c r="W377" s="115" t="n">
        <x:v>5</x:v>
      </x:c>
      <x:c r="X377" s="115" t="n">
        <x:v>3</x:v>
      </x:c>
      <x:c r="Y377" s="115" t="n">
        <x:v>4</x:v>
      </x:c>
      <x:c r="Z377" s="115" t="n">
        <x:v>3</x:v>
      </x:c>
      <x:c r="AA377" s="115" t="n">
        <x:v>4</x:v>
      </x:c>
      <x:c r="AB377" s="115" t="n">
        <x:v>2</x:v>
      </x:c>
      <x:c r="AC377" s="115" t="n">
        <x:v>4</x:v>
      </x:c>
      <x:c r="AD377" s="115" t="n">
        <x:v>5</x:v>
      </x:c>
      <x:c r="AE377" s="115" t="n">
        <x:v>4</x:v>
      </x:c>
      <x:c r="AF377" s="115" t="n">
        <x:v>5</x:v>
      </x:c>
      <x:c r="AG377" s="115" t="n">
        <x:v>3</x:v>
      </x:c>
      <x:c r="AH377" s="115" t="n">
        <x:v>5</x:v>
      </x:c>
      <x:c r="AI377" s="115" t="n">
        <x:v>3</x:v>
      </x:c>
      <x:c r="AJ377" s="115" t="n">
        <x:v>4</x:v>
      </x:c>
      <x:c r="AK377" s="115" t="n">
        <x:v>3</x:v>
      </x:c>
      <x:c r="AL377" s="115" t="n">
        <x:v>4</x:v>
      </x:c>
      <x:c r="AM377" s="115" t="n">
        <x:v>2</x:v>
      </x:c>
      <x:c r="AN377" s="115" t="n">
        <x:v>4</x:v>
      </x:c>
      <x:c r="AO377" s="115" t="n">
        <x:v>5</x:v>
      </x:c>
      <x:c r="AP377" s="115" t="n">
        <x:v>4</x:v>
      </x:c>
      <x:c r="AQ377" s="115" t="n">
        <x:v>5</x:v>
      </x:c>
      <x:c r="AR377" s="115" t="n">
        <x:v>3</x:v>
      </x:c>
      <x:c r="AS377" s="115" t="n">
        <x:v>5</x:v>
      </x:c>
      <x:c r="AT377" s="115" t="n">
        <x:v>3</x:v>
      </x:c>
      <x:c r="AU377" s="115" t="n">
        <x:v>4</x:v>
      </x:c>
      <x:c r="AV377" s="115" t="n">
        <x:v>3</x:v>
      </x:c>
      <x:c r="AW377" s="115" t="n">
        <x:v>4</x:v>
      </x:c>
      <x:c r="AX377" s="115" t="n">
        <x:v>2</x:v>
      </x:c>
      <x:c r="AY377" s="115" t="n">
        <x:v>4</x:v>
      </x:c>
      <x:c r="AZ377" s="115" t="n">
        <x:v>5</x:v>
      </x:c>
      <x:c r="BA377" s="115" t="n">
        <x:v>4</x:v>
      </x:c>
      <x:c r="BB377" s="115" t="n">
        <x:v>5</x:v>
      </x:c>
      <x:c r="BC377" s="115" t="n">
        <x:v>3</x:v>
      </x:c>
      <x:c r="BD377" s="115" t="n">
        <x:v>5</x:v>
      </x:c>
      <x:c r="BE377" s="115" t="n">
        <x:v>3</x:v>
      </x:c>
      <x:c r="BF377" s="115" t="n">
        <x:v>4</x:v>
      </x:c>
      <x:c r="BG377" s="115" t="n">
        <x:v>3</x:v>
      </x:c>
      <x:c r="BH377" s="115" t="n">
        <x:v>4</x:v>
      </x:c>
      <x:c r="BI377" s="115" t="n">
        <x:v>2</x:v>
      </x:c>
      <x:c r="BJ377" s="115" t="n">
        <x:v>4</x:v>
      </x:c>
      <x:c r="BK377" s="115" t="n">
        <x:v>5</x:v>
      </x:c>
      <x:c r="BL377" s="115" t="n">
        <x:v>4</x:v>
      </x:c>
      <x:c r="BM377" s="115" t="n">
        <x:v>5</x:v>
      </x:c>
      <x:c r="BN377" s="115" t="n">
        <x:v>3</x:v>
      </x:c>
      <x:c r="BO377" s="115" t="n">
        <x:v>5</x:v>
      </x:c>
      <x:c r="BP377" s="115" t="n">
        <x:v>3</x:v>
      </x:c>
      <x:c r="BQ377" s="115" t="n">
        <x:v>4</x:v>
      </x:c>
      <x:c r="BR377" s="115" t="n">
        <x:v>3</x:v>
      </x:c>
      <x:c r="BS377" s="115" t="n">
        <x:v>4</x:v>
      </x:c>
      <x:c r="BT377" s="115" t="n">
        <x:v>2</x:v>
      </x:c>
      <x:c r="BU377" s="115" t="n">
        <x:v>4</x:v>
      </x:c>
      <x:c r="BV377" s="115" t="n">
        <x:v>5</x:v>
      </x:c>
      <x:c r="BW377" s="115" t="n">
        <x:v>4</x:v>
      </x:c>
      <x:c r="BX377" s="115" t="n">
        <x:v>5</x:v>
      </x:c>
      <x:c r="BY377" s="115" t="n">
        <x:v>3</x:v>
      </x:c>
      <x:c r="BZ377" s="115" t="n">
        <x:v>5</x:v>
      </x:c>
      <x:c r="CA377" s="115" t="n">
        <x:v>3</x:v>
      </x:c>
      <x:c r="CB377" s="116" t="n">
        <x:v>4</x:v>
      </x:c>
      <x:c r="CC377" s="141" t="n">
        <x:f>IF(COUNT(G377:P377)=0,"",AVERAGE(G377:P377)*4)</x:f>
        <x:v>16</x:v>
      </x:c>
      <x:c r="CD377" s="178" t="n">
        <x:f>IF(COUNT(Q377:Z377)=0,"",AVERAGE(Q377:Z377)*4)</x:f>
        <x:v>15.2</x:v>
      </x:c>
      <x:c r="CE377" s="178" t="n">
        <x:f>IF(COUNT(AA377:AJ377)=0,"",AVERAGE(AA377:AJ377)*4)</x:f>
        <x:v>15.6</x:v>
      </x:c>
      <x:c r="CF377" s="178" t="n">
        <x:f>IF(COUNT(AK377:AR377)=0,"",AVERAGE(AK377:AR377)*4)</x:f>
        <x:v>15</x:v>
      </x:c>
      <x:c r="CG377" s="178" t="n">
        <x:f>IF(COUNT(AS377:AY377)=0,"",AVERAGE(AS377:AY377)*4)</x:f>
        <x:v>14.285714285714286</x:v>
      </x:c>
      <x:c r="CH377" s="178" t="n">
        <x:f>IF(COUNT(AZ377:BG377)=0,"",AVERAGE(AZ377:BG377)*4)</x:f>
        <x:v>16</x:v>
      </x:c>
      <x:c r="CI377" s="178" t="n">
        <x:f>IF(COUNT(BH377:BN377)=0,"",AVERAGE(BH377:BN377)*4)</x:f>
        <x:v>15.428571428571429</x:v>
      </x:c>
      <x:c r="CJ377" s="178" t="n">
        <x:f>IF(COUNT(BO377:BU377)=0,"",AVERAGE(BO377:BU377)*4)</x:f>
        <x:v>14.285714285714286</x:v>
      </x:c>
      <x:c r="CK377" s="178" t="n">
        <x:f>IF(COUNT(BV377:CB377)=0,"",AVERAGE(BV377:CB377)*4)</x:f>
        <x:v>16.571428571428573</x:v>
      </x:c>
      <x:c r="CL377" s="178" t="n">
        <x:f>IF(C377="","",IF(COUNT(G377:CB377)&lt;74,"",(CC377*'تنظیمات وزن‌دهی'!$C$5+CD377*'تنظیمات وزن‌دهی'!$C$6+CE377*'تنظیمات وزن‌دهی'!$C$7+CF377*'تنظیمات وزن‌دهی'!$C$8+CG377*'تنظیمات وزن‌دهی'!$C$9+CH377*'تنظیمات وزن‌دهی'!$C$10+CI377*'تنظیمات وزن‌دهی'!$C$11+CJ377*'تنظیمات وزن‌دهی'!$C$12+CK377*'تنظیمات وزن‌دهی'!$C$13)/100))</x:f>
        <x:v>15.447142857142858</x:v>
      </x:c>
      <x:c r="CM377" s="178" t="str">
        <x:f>IF(C377="","",IF(COUNT(G377:CB377)=0,"",IF(COUNT(G377:CB377)&lt;74,"موقت - اطلاعات ناقص",IF(CL377&gt;=17,"عالی",IF(CL377&gt;=14,"خوب",IF(CL377&gt;=10,"متوسط","ضعیف"))))))</x:f>
        <x:v>خوب</x:v>
      </x:c>
      <x:c r="CN377" s="178" t="n">
        <x:v>1</x:v>
      </x:c>
      <x:c r="CO377" s="142" t="n">
        <x:f>IF(C377="","",COUNT(G377:CB377)/74)</x:f>
        <x:v>1</x:v>
      </x:c>
      <x:c r="CP377" s="245" t="str">
        <x:v>داده نمونه کامل برای ماه تیر - دانش‌آموز شماره 32</x:v>
      </x:c>
    </x:row>
    <x:row r="378">
      <x:c r="A378" s="165" t="n">
        <x:v>374</x:v>
      </x:c>
      <x:c r="B378" s="233" t="str">
        <x:v>مرداد</x:v>
      </x:c>
      <x:c r="C378" s="233" t="n">
        <x:f>IF('دانش‌آموزان'!E36="","",'دانش‌آموزان'!B36)</x:f>
        <x:v>32</x:v>
      </x:c>
      <x:c r="D378" s="233" t="str">
        <x:f>IF('دانش‌آموزان'!C36="","",'دانش‌آموزان'!C36)</x:f>
        <x:v>4000000322</x:v>
      </x:c>
      <x:c r="E378" s="233" t="str">
        <x:f>IF('دانش‌آموزان'!E36="","",'دانش‌آموزان'!E36&amp;" "&amp;'دانش‌آموزان'!F36)</x:f>
        <x:v>رها یوسفی</x:v>
      </x:c>
      <x:c r="F378" s="166" t="str">
        <x:f>IF('دانش‌آموزان'!I36="","",'دانش‌آموزان'!I36)</x:f>
        <x:v>sample-7-b</x:v>
      </x:c>
      <x:c r="G378" s="114"/>
      <x:c r="H378" s="115"/>
      <x:c r="I378" s="115"/>
      <x:c r="J378" s="115"/>
      <x:c r="K378" s="115"/>
      <x:c r="L378" s="115"/>
      <x:c r="M378" s="115"/>
      <x:c r="N378" s="115"/>
      <x:c r="O378" s="115"/>
      <x:c r="P378" s="115"/>
      <x:c r="Q378" s="115"/>
      <x:c r="R378" s="115"/>
      <x:c r="S378" s="115"/>
      <x:c r="T378" s="115"/>
      <x:c r="U378" s="115"/>
      <x:c r="V378" s="115"/>
      <x:c r="W378" s="115"/>
      <x:c r="X378" s="115"/>
      <x:c r="Y378" s="115"/>
      <x:c r="Z378" s="115"/>
      <x:c r="AA378" s="115"/>
      <x:c r="AB378" s="115"/>
      <x:c r="AC378" s="115"/>
      <x:c r="AD378" s="115"/>
      <x:c r="AE378" s="115"/>
      <x:c r="AF378" s="115"/>
      <x:c r="AG378" s="115"/>
      <x:c r="AH378" s="115"/>
      <x:c r="AI378" s="115"/>
      <x:c r="AJ378" s="115"/>
      <x:c r="AK378" s="115"/>
      <x:c r="AL378" s="115"/>
      <x:c r="AM378" s="115"/>
      <x:c r="AN378" s="115"/>
      <x:c r="AO378" s="115"/>
      <x:c r="AP378" s="115"/>
      <x:c r="AQ378" s="115"/>
      <x:c r="AR378" s="115"/>
      <x:c r="AS378" s="115"/>
      <x:c r="AT378" s="115"/>
      <x:c r="AU378" s="115"/>
      <x:c r="AV378" s="115"/>
      <x:c r="AW378" s="115"/>
      <x:c r="AX378" s="115"/>
      <x:c r="AY378" s="115"/>
      <x:c r="AZ378" s="115"/>
      <x:c r="BA378" s="115"/>
      <x:c r="BB378" s="115"/>
      <x:c r="BC378" s="115"/>
      <x:c r="BD378" s="115"/>
      <x:c r="BE378" s="115"/>
      <x:c r="BF378" s="115"/>
      <x:c r="BG378" s="115"/>
      <x:c r="BH378" s="115"/>
      <x:c r="BI378" s="115"/>
      <x:c r="BJ378" s="115"/>
      <x:c r="BK378" s="115"/>
      <x:c r="BL378" s="115"/>
      <x:c r="BM378" s="115"/>
      <x:c r="BN378" s="115"/>
      <x:c r="BO378" s="115"/>
      <x:c r="BP378" s="115"/>
      <x:c r="BQ378" s="115"/>
      <x:c r="BR378" s="115"/>
      <x:c r="BS378" s="115"/>
      <x:c r="BT378" s="115"/>
      <x:c r="BU378" s="115"/>
      <x:c r="BV378" s="115"/>
      <x:c r="BW378" s="115"/>
      <x:c r="BX378" s="115"/>
      <x:c r="BY378" s="115"/>
      <x:c r="BZ378" s="115"/>
      <x:c r="CA378" s="115"/>
      <x:c r="CB378" s="116"/>
      <x:c r="CC378" s="141" t="str">
        <x:f>IF(COUNT(G378:P378)=0,"",AVERAGE(G378:P378)*4)</x:f>
      </x:c>
      <x:c r="CD378" s="178" t="str">
        <x:f>IF(COUNT(Q378:Z378)=0,"",AVERAGE(Q378:Z378)*4)</x:f>
      </x:c>
      <x:c r="CE378" s="178" t="str">
        <x:f>IF(COUNT(AA378:AJ378)=0,"",AVERAGE(AA378:AJ378)*4)</x:f>
      </x:c>
      <x:c r="CF378" s="178" t="str">
        <x:f>IF(COUNT(AK378:AR378)=0,"",AVERAGE(AK378:AR378)*4)</x:f>
      </x:c>
      <x:c r="CG378" s="178" t="str">
        <x:f>IF(COUNT(AS378:AY378)=0,"",AVERAGE(AS378:AY378)*4)</x:f>
      </x:c>
      <x:c r="CH378" s="178" t="str">
        <x:f>IF(COUNT(AZ378:BG378)=0,"",AVERAGE(AZ378:BG378)*4)</x:f>
      </x:c>
      <x:c r="CI378" s="178" t="str">
        <x:f>IF(COUNT(BH378:BN378)=0,"",AVERAGE(BH378:BN378)*4)</x:f>
      </x:c>
      <x:c r="CJ378" s="178" t="str">
        <x:f>IF(COUNT(BO378:BU378)=0,"",AVERAGE(BO378:BU378)*4)</x:f>
      </x:c>
      <x:c r="CK378" s="178" t="str">
        <x:f>IF(COUNT(BV378:CB378)=0,"",AVERAGE(BV378:CB378)*4)</x:f>
      </x:c>
      <x:c r="CL378" s="178" t="str">
        <x:f>IF(C378="","",IF(COUNT(G378:CB378)&lt;74,"",(CC378*'تنظیمات وزن‌دهی'!$C$5+CD378*'تنظیمات وزن‌دهی'!$C$6+CE378*'تنظیمات وزن‌دهی'!$C$7+CF378*'تنظیمات وزن‌دهی'!$C$8+CG378*'تنظیمات وزن‌دهی'!$C$9+CH378*'تنظیمات وزن‌دهی'!$C$10+CI378*'تنظیمات وزن‌دهی'!$C$11+CJ378*'تنظیمات وزن‌دهی'!$C$12+CK378*'تنظیمات وزن‌دهی'!$C$13)/100))</x:f>
      </x:c>
      <x:c r="CM378" s="178" t="str">
        <x:f>IF(C378="","",IF(COUNT(G378:CB378)=0,"",IF(COUNT(G378:CB378)&lt;74,"موقت - اطلاعات ناقص",IF(CL378&gt;=17,"عالی",IF(CL378&gt;=14,"خوب",IF(CL378&gt;=10,"متوسط","ضعیف"))))))</x:f>
      </x:c>
      <x:c r="CN378" s="178" t="n">
        <x:v>2</x:v>
      </x:c>
      <x:c r="CO378" s="142" t="n">
        <x:f>IF(C378="","",COUNT(G378:CB378)/74)</x:f>
        <x:v>0</x:v>
      </x:c>
      <x:c r="CP378" s="245"/>
    </x:row>
    <x:row r="379">
      <x:c r="A379" s="165" t="n">
        <x:v>375</x:v>
      </x:c>
      <x:c r="B379" s="233" t="str">
        <x:v>شهریور</x:v>
      </x:c>
      <x:c r="C379" s="233" t="n">
        <x:f>IF('دانش‌آموزان'!E36="","",'دانش‌آموزان'!B36)</x:f>
        <x:v>32</x:v>
      </x:c>
      <x:c r="D379" s="233" t="str">
        <x:f>IF('دانش‌آموزان'!C36="","",'دانش‌آموزان'!C36)</x:f>
        <x:v>4000000322</x:v>
      </x:c>
      <x:c r="E379" s="233" t="str">
        <x:f>IF('دانش‌آموزان'!E36="","",'دانش‌آموزان'!E36&amp;" "&amp;'دانش‌آموزان'!F36)</x:f>
        <x:v>رها یوسفی</x:v>
      </x:c>
      <x:c r="F379" s="166" t="str">
        <x:f>IF('دانش‌آموزان'!I36="","",'دانش‌آموزان'!I36)</x:f>
        <x:v>sample-7-b</x:v>
      </x:c>
      <x:c r="G379" s="114"/>
      <x:c r="H379" s="115"/>
      <x:c r="I379" s="115"/>
      <x:c r="J379" s="115"/>
      <x:c r="K379" s="115"/>
      <x:c r="L379" s="115"/>
      <x:c r="M379" s="115"/>
      <x:c r="N379" s="115"/>
      <x:c r="O379" s="115"/>
      <x:c r="P379" s="115"/>
      <x:c r="Q379" s="115"/>
      <x:c r="R379" s="115"/>
      <x:c r="S379" s="115"/>
      <x:c r="T379" s="115"/>
      <x:c r="U379" s="115"/>
      <x:c r="V379" s="115"/>
      <x:c r="W379" s="115"/>
      <x:c r="X379" s="115"/>
      <x:c r="Y379" s="115"/>
      <x:c r="Z379" s="115"/>
      <x:c r="AA379" s="115"/>
      <x:c r="AB379" s="115"/>
      <x:c r="AC379" s="115"/>
      <x:c r="AD379" s="115"/>
      <x:c r="AE379" s="115"/>
      <x:c r="AF379" s="115"/>
      <x:c r="AG379" s="115"/>
      <x:c r="AH379" s="115"/>
      <x:c r="AI379" s="115"/>
      <x:c r="AJ379" s="115"/>
      <x:c r="AK379" s="115"/>
      <x:c r="AL379" s="115"/>
      <x:c r="AM379" s="115"/>
      <x:c r="AN379" s="115"/>
      <x:c r="AO379" s="115"/>
      <x:c r="AP379" s="115"/>
      <x:c r="AQ379" s="115"/>
      <x:c r="AR379" s="115"/>
      <x:c r="AS379" s="115"/>
      <x:c r="AT379" s="115"/>
      <x:c r="AU379" s="115"/>
      <x:c r="AV379" s="115"/>
      <x:c r="AW379" s="115"/>
      <x:c r="AX379" s="115"/>
      <x:c r="AY379" s="115"/>
      <x:c r="AZ379" s="115"/>
      <x:c r="BA379" s="115"/>
      <x:c r="BB379" s="115"/>
      <x:c r="BC379" s="115"/>
      <x:c r="BD379" s="115"/>
      <x:c r="BE379" s="115"/>
      <x:c r="BF379" s="115"/>
      <x:c r="BG379" s="115"/>
      <x:c r="BH379" s="115"/>
      <x:c r="BI379" s="115"/>
      <x:c r="BJ379" s="115"/>
      <x:c r="BK379" s="115"/>
      <x:c r="BL379" s="115"/>
      <x:c r="BM379" s="115"/>
      <x:c r="BN379" s="115"/>
      <x:c r="BO379" s="115"/>
      <x:c r="BP379" s="115"/>
      <x:c r="BQ379" s="115"/>
      <x:c r="BR379" s="115"/>
      <x:c r="BS379" s="115"/>
      <x:c r="BT379" s="115"/>
      <x:c r="BU379" s="115"/>
      <x:c r="BV379" s="115"/>
      <x:c r="BW379" s="115"/>
      <x:c r="BX379" s="115"/>
      <x:c r="BY379" s="115"/>
      <x:c r="BZ379" s="115"/>
      <x:c r="CA379" s="115"/>
      <x:c r="CB379" s="116"/>
      <x:c r="CC379" s="141" t="str">
        <x:f>IF(COUNT(G379:P379)=0,"",AVERAGE(G379:P379)*4)</x:f>
      </x:c>
      <x:c r="CD379" s="178" t="str">
        <x:f>IF(COUNT(Q379:Z379)=0,"",AVERAGE(Q379:Z379)*4)</x:f>
      </x:c>
      <x:c r="CE379" s="178" t="str">
        <x:f>IF(COUNT(AA379:AJ379)=0,"",AVERAGE(AA379:AJ379)*4)</x:f>
      </x:c>
      <x:c r="CF379" s="178" t="str">
        <x:f>IF(COUNT(AK379:AR379)=0,"",AVERAGE(AK379:AR379)*4)</x:f>
      </x:c>
      <x:c r="CG379" s="178" t="str">
        <x:f>IF(COUNT(AS379:AY379)=0,"",AVERAGE(AS379:AY379)*4)</x:f>
      </x:c>
      <x:c r="CH379" s="178" t="str">
        <x:f>IF(COUNT(AZ379:BG379)=0,"",AVERAGE(AZ379:BG379)*4)</x:f>
      </x:c>
      <x:c r="CI379" s="178" t="str">
        <x:f>IF(COUNT(BH379:BN379)=0,"",AVERAGE(BH379:BN379)*4)</x:f>
      </x:c>
      <x:c r="CJ379" s="178" t="str">
        <x:f>IF(COUNT(BO379:BU379)=0,"",AVERAGE(BO379:BU379)*4)</x:f>
      </x:c>
      <x:c r="CK379" s="178" t="str">
        <x:f>IF(COUNT(BV379:CB379)=0,"",AVERAGE(BV379:CB379)*4)</x:f>
      </x:c>
      <x:c r="CL379" s="178" t="str">
        <x:f>IF(C379="","",IF(COUNT(G379:CB379)&lt;74,"",(CC379*'تنظیمات وزن‌دهی'!$C$5+CD379*'تنظیمات وزن‌دهی'!$C$6+CE379*'تنظیمات وزن‌دهی'!$C$7+CF379*'تنظیمات وزن‌دهی'!$C$8+CG379*'تنظیمات وزن‌دهی'!$C$9+CH379*'تنظیمات وزن‌دهی'!$C$10+CI379*'تنظیمات وزن‌دهی'!$C$11+CJ379*'تنظیمات وزن‌دهی'!$C$12+CK379*'تنظیمات وزن‌دهی'!$C$13)/100))</x:f>
      </x:c>
      <x:c r="CM379" s="178" t="str">
        <x:f>IF(C379="","",IF(COUNT(G379:CB379)=0,"",IF(COUNT(G379:CB379)&lt;74,"موقت - اطلاعات ناقص",IF(CL379&gt;=17,"عالی",IF(CL379&gt;=14,"خوب",IF(CL379&gt;=10,"متوسط","ضعیف"))))))</x:f>
      </x:c>
      <x:c r="CN379" s="178" t="n">
        <x:v>3</x:v>
      </x:c>
      <x:c r="CO379" s="142" t="n">
        <x:f>IF(C379="","",COUNT(G379:CB379)/74)</x:f>
        <x:v>0</x:v>
      </x:c>
      <x:c r="CP379" s="245"/>
    </x:row>
    <x:row r="380">
      <x:c r="A380" s="165" t="n">
        <x:v>376</x:v>
      </x:c>
      <x:c r="B380" s="233" t="str">
        <x:v>مهر</x:v>
      </x:c>
      <x:c r="C380" s="233" t="n">
        <x:f>IF('دانش‌آموزان'!E36="","",'دانش‌آموزان'!B36)</x:f>
        <x:v>32</x:v>
      </x:c>
      <x:c r="D380" s="233" t="str">
        <x:f>IF('دانش‌آموزان'!C36="","",'دانش‌آموزان'!C36)</x:f>
        <x:v>4000000322</x:v>
      </x:c>
      <x:c r="E380" s="233" t="str">
        <x:f>IF('دانش‌آموزان'!E36="","",'دانش‌آموزان'!E36&amp;" "&amp;'دانش‌آموزان'!F36)</x:f>
        <x:v>رها یوسفی</x:v>
      </x:c>
      <x:c r="F380" s="166" t="str">
        <x:f>IF('دانش‌آموزان'!I36="","",'دانش‌آموزان'!I36)</x:f>
        <x:v>sample-7-b</x:v>
      </x:c>
      <x:c r="G380" s="114"/>
      <x:c r="H380" s="115"/>
      <x:c r="I380" s="115"/>
      <x:c r="J380" s="115"/>
      <x:c r="K380" s="115"/>
      <x:c r="L380" s="115"/>
      <x:c r="M380" s="115"/>
      <x:c r="N380" s="115"/>
      <x:c r="O380" s="115"/>
      <x:c r="P380" s="115"/>
      <x:c r="Q380" s="115"/>
      <x:c r="R380" s="115"/>
      <x:c r="S380" s="115"/>
      <x:c r="T380" s="115"/>
      <x:c r="U380" s="115"/>
      <x:c r="V380" s="115"/>
      <x:c r="W380" s="115"/>
      <x:c r="X380" s="115"/>
      <x:c r="Y380" s="115"/>
      <x:c r="Z380" s="115"/>
      <x:c r="AA380" s="115"/>
      <x:c r="AB380" s="115"/>
      <x:c r="AC380" s="115"/>
      <x:c r="AD380" s="115"/>
      <x:c r="AE380" s="115"/>
      <x:c r="AF380" s="115"/>
      <x:c r="AG380" s="115"/>
      <x:c r="AH380" s="115"/>
      <x:c r="AI380" s="115"/>
      <x:c r="AJ380" s="115"/>
      <x:c r="AK380" s="115"/>
      <x:c r="AL380" s="115"/>
      <x:c r="AM380" s="115"/>
      <x:c r="AN380" s="115"/>
      <x:c r="AO380" s="115"/>
      <x:c r="AP380" s="115"/>
      <x:c r="AQ380" s="115"/>
      <x:c r="AR380" s="115"/>
      <x:c r="AS380" s="115"/>
      <x:c r="AT380" s="115"/>
      <x:c r="AU380" s="115"/>
      <x:c r="AV380" s="115"/>
      <x:c r="AW380" s="115"/>
      <x:c r="AX380" s="115"/>
      <x:c r="AY380" s="115"/>
      <x:c r="AZ380" s="115"/>
      <x:c r="BA380" s="115"/>
      <x:c r="BB380" s="115"/>
      <x:c r="BC380" s="115"/>
      <x:c r="BD380" s="115"/>
      <x:c r="BE380" s="115"/>
      <x:c r="BF380" s="115"/>
      <x:c r="BG380" s="115"/>
      <x:c r="BH380" s="115"/>
      <x:c r="BI380" s="115"/>
      <x:c r="BJ380" s="115"/>
      <x:c r="BK380" s="115"/>
      <x:c r="BL380" s="115"/>
      <x:c r="BM380" s="115"/>
      <x:c r="BN380" s="115"/>
      <x:c r="BO380" s="115"/>
      <x:c r="BP380" s="115"/>
      <x:c r="BQ380" s="115"/>
      <x:c r="BR380" s="115"/>
      <x:c r="BS380" s="115"/>
      <x:c r="BT380" s="115"/>
      <x:c r="BU380" s="115"/>
      <x:c r="BV380" s="115"/>
      <x:c r="BW380" s="115"/>
      <x:c r="BX380" s="115"/>
      <x:c r="BY380" s="115"/>
      <x:c r="BZ380" s="115"/>
      <x:c r="CA380" s="115"/>
      <x:c r="CB380" s="116"/>
      <x:c r="CC380" s="141" t="str">
        <x:f>IF(COUNT(G380:P380)=0,"",AVERAGE(G380:P380)*4)</x:f>
      </x:c>
      <x:c r="CD380" s="178" t="str">
        <x:f>IF(COUNT(Q380:Z380)=0,"",AVERAGE(Q380:Z380)*4)</x:f>
      </x:c>
      <x:c r="CE380" s="178" t="str">
        <x:f>IF(COUNT(AA380:AJ380)=0,"",AVERAGE(AA380:AJ380)*4)</x:f>
      </x:c>
      <x:c r="CF380" s="178" t="str">
        <x:f>IF(COUNT(AK380:AR380)=0,"",AVERAGE(AK380:AR380)*4)</x:f>
      </x:c>
      <x:c r="CG380" s="178" t="str">
        <x:f>IF(COUNT(AS380:AY380)=0,"",AVERAGE(AS380:AY380)*4)</x:f>
      </x:c>
      <x:c r="CH380" s="178" t="str">
        <x:f>IF(COUNT(AZ380:BG380)=0,"",AVERAGE(AZ380:BG380)*4)</x:f>
      </x:c>
      <x:c r="CI380" s="178" t="str">
        <x:f>IF(COUNT(BH380:BN380)=0,"",AVERAGE(BH380:BN380)*4)</x:f>
      </x:c>
      <x:c r="CJ380" s="178" t="str">
        <x:f>IF(COUNT(BO380:BU380)=0,"",AVERAGE(BO380:BU380)*4)</x:f>
      </x:c>
      <x:c r="CK380" s="178" t="str">
        <x:f>IF(COUNT(BV380:CB380)=0,"",AVERAGE(BV380:CB380)*4)</x:f>
      </x:c>
      <x:c r="CL380" s="178" t="str">
        <x:f>IF(C380="","",IF(COUNT(G380:CB380)&lt;74,"",(CC380*'تنظیمات وزن‌دهی'!$C$5+CD380*'تنظیمات وزن‌دهی'!$C$6+CE380*'تنظیمات وزن‌دهی'!$C$7+CF380*'تنظیمات وزن‌دهی'!$C$8+CG380*'تنظیمات وزن‌دهی'!$C$9+CH380*'تنظیمات وزن‌دهی'!$C$10+CI380*'تنظیمات وزن‌دهی'!$C$11+CJ380*'تنظیمات وزن‌دهی'!$C$12+CK380*'تنظیمات وزن‌دهی'!$C$13)/100))</x:f>
      </x:c>
      <x:c r="CM380" s="178" t="str">
        <x:f>IF(C380="","",IF(COUNT(G380:CB380)=0,"",IF(COUNT(G380:CB380)&lt;74,"موقت - اطلاعات ناقص",IF(CL380&gt;=17,"عالی",IF(CL380&gt;=14,"خوب",IF(CL380&gt;=10,"متوسط","ضعیف"))))))</x:f>
      </x:c>
      <x:c r="CN380" s="178" t="n">
        <x:v>4</x:v>
      </x:c>
      <x:c r="CO380" s="142" t="n">
        <x:f>IF(C380="","",COUNT(G380:CB380)/74)</x:f>
        <x:v>0</x:v>
      </x:c>
      <x:c r="CP380" s="245"/>
    </x:row>
    <x:row r="381">
      <x:c r="A381" s="165" t="n">
        <x:v>377</x:v>
      </x:c>
      <x:c r="B381" s="233" t="str">
        <x:v>آبان</x:v>
      </x:c>
      <x:c r="C381" s="233" t="n">
        <x:f>IF('دانش‌آموزان'!E36="","",'دانش‌آموزان'!B36)</x:f>
        <x:v>32</x:v>
      </x:c>
      <x:c r="D381" s="233" t="str">
        <x:f>IF('دانش‌آموزان'!C36="","",'دانش‌آموزان'!C36)</x:f>
        <x:v>4000000322</x:v>
      </x:c>
      <x:c r="E381" s="233" t="str">
        <x:f>IF('دانش‌آموزان'!E36="","",'دانش‌آموزان'!E36&amp;" "&amp;'دانش‌آموزان'!F36)</x:f>
        <x:v>رها یوسفی</x:v>
      </x:c>
      <x:c r="F381" s="166" t="str">
        <x:f>IF('دانش‌آموزان'!I36="","",'دانش‌آموزان'!I36)</x:f>
        <x:v>sample-7-b</x:v>
      </x:c>
      <x:c r="G381" s="114"/>
      <x:c r="H381" s="115"/>
      <x:c r="I381" s="115"/>
      <x:c r="J381" s="115"/>
      <x:c r="K381" s="115"/>
      <x:c r="L381" s="115"/>
      <x:c r="M381" s="115"/>
      <x:c r="N381" s="115"/>
      <x:c r="O381" s="115"/>
      <x:c r="P381" s="115"/>
      <x:c r="Q381" s="115"/>
      <x:c r="R381" s="115"/>
      <x:c r="S381" s="115"/>
      <x:c r="T381" s="115"/>
      <x:c r="U381" s="115"/>
      <x:c r="V381" s="115"/>
      <x:c r="W381" s="115"/>
      <x:c r="X381" s="115"/>
      <x:c r="Y381" s="115"/>
      <x:c r="Z381" s="115"/>
      <x:c r="AA381" s="115"/>
      <x:c r="AB381" s="115"/>
      <x:c r="AC381" s="115"/>
      <x:c r="AD381" s="115"/>
      <x:c r="AE381" s="115"/>
      <x:c r="AF381" s="115"/>
      <x:c r="AG381" s="115"/>
      <x:c r="AH381" s="115"/>
      <x:c r="AI381" s="115"/>
      <x:c r="AJ381" s="115"/>
      <x:c r="AK381" s="115"/>
      <x:c r="AL381" s="115"/>
      <x:c r="AM381" s="115"/>
      <x:c r="AN381" s="115"/>
      <x:c r="AO381" s="115"/>
      <x:c r="AP381" s="115"/>
      <x:c r="AQ381" s="115"/>
      <x:c r="AR381" s="115"/>
      <x:c r="AS381" s="115"/>
      <x:c r="AT381" s="115"/>
      <x:c r="AU381" s="115"/>
      <x:c r="AV381" s="115"/>
      <x:c r="AW381" s="115"/>
      <x:c r="AX381" s="115"/>
      <x:c r="AY381" s="115"/>
      <x:c r="AZ381" s="115"/>
      <x:c r="BA381" s="115"/>
      <x:c r="BB381" s="115"/>
      <x:c r="BC381" s="115"/>
      <x:c r="BD381" s="115"/>
      <x:c r="BE381" s="115"/>
      <x:c r="BF381" s="115"/>
      <x:c r="BG381" s="115"/>
      <x:c r="BH381" s="115"/>
      <x:c r="BI381" s="115"/>
      <x:c r="BJ381" s="115"/>
      <x:c r="BK381" s="115"/>
      <x:c r="BL381" s="115"/>
      <x:c r="BM381" s="115"/>
      <x:c r="BN381" s="115"/>
      <x:c r="BO381" s="115"/>
      <x:c r="BP381" s="115"/>
      <x:c r="BQ381" s="115"/>
      <x:c r="BR381" s="115"/>
      <x:c r="BS381" s="115"/>
      <x:c r="BT381" s="115"/>
      <x:c r="BU381" s="115"/>
      <x:c r="BV381" s="115"/>
      <x:c r="BW381" s="115"/>
      <x:c r="BX381" s="115"/>
      <x:c r="BY381" s="115"/>
      <x:c r="BZ381" s="115"/>
      <x:c r="CA381" s="115"/>
      <x:c r="CB381" s="116"/>
      <x:c r="CC381" s="141" t="str">
        <x:f>IF(COUNT(G381:P381)=0,"",AVERAGE(G381:P381)*4)</x:f>
      </x:c>
      <x:c r="CD381" s="178" t="str">
        <x:f>IF(COUNT(Q381:Z381)=0,"",AVERAGE(Q381:Z381)*4)</x:f>
      </x:c>
      <x:c r="CE381" s="178" t="str">
        <x:f>IF(COUNT(AA381:AJ381)=0,"",AVERAGE(AA381:AJ381)*4)</x:f>
      </x:c>
      <x:c r="CF381" s="178" t="str">
        <x:f>IF(COUNT(AK381:AR381)=0,"",AVERAGE(AK381:AR381)*4)</x:f>
      </x:c>
      <x:c r="CG381" s="178" t="str">
        <x:f>IF(COUNT(AS381:AY381)=0,"",AVERAGE(AS381:AY381)*4)</x:f>
      </x:c>
      <x:c r="CH381" s="178" t="str">
        <x:f>IF(COUNT(AZ381:BG381)=0,"",AVERAGE(AZ381:BG381)*4)</x:f>
      </x:c>
      <x:c r="CI381" s="178" t="str">
        <x:f>IF(COUNT(BH381:BN381)=0,"",AVERAGE(BH381:BN381)*4)</x:f>
      </x:c>
      <x:c r="CJ381" s="178" t="str">
        <x:f>IF(COUNT(BO381:BU381)=0,"",AVERAGE(BO381:BU381)*4)</x:f>
      </x:c>
      <x:c r="CK381" s="178" t="str">
        <x:f>IF(COUNT(BV381:CB381)=0,"",AVERAGE(BV381:CB381)*4)</x:f>
      </x:c>
      <x:c r="CL381" s="178" t="str">
        <x:f>IF(C381="","",IF(COUNT(G381:CB381)&lt;74,"",(CC381*'تنظیمات وزن‌دهی'!$C$5+CD381*'تنظیمات وزن‌دهی'!$C$6+CE381*'تنظیمات وزن‌دهی'!$C$7+CF381*'تنظیمات وزن‌دهی'!$C$8+CG381*'تنظیمات وزن‌دهی'!$C$9+CH381*'تنظیمات وزن‌دهی'!$C$10+CI381*'تنظیمات وزن‌دهی'!$C$11+CJ381*'تنظیمات وزن‌دهی'!$C$12+CK381*'تنظیمات وزن‌دهی'!$C$13)/100))</x:f>
      </x:c>
      <x:c r="CM381" s="178" t="str">
        <x:f>IF(C381="","",IF(COUNT(G381:CB381)=0,"",IF(COUNT(G381:CB381)&lt;74,"موقت - اطلاعات ناقص",IF(CL381&gt;=17,"عالی",IF(CL381&gt;=14,"خوب",IF(CL381&gt;=10,"متوسط","ضعیف"))))))</x:f>
      </x:c>
      <x:c r="CN381" s="178" t="n">
        <x:v>5</x:v>
      </x:c>
      <x:c r="CO381" s="142" t="n">
        <x:f>IF(C381="","",COUNT(G381:CB381)/74)</x:f>
        <x:v>0</x:v>
      </x:c>
      <x:c r="CP381" s="245"/>
    </x:row>
    <x:row r="382">
      <x:c r="A382" s="165" t="n">
        <x:v>378</x:v>
      </x:c>
      <x:c r="B382" s="233" t="str">
        <x:v>آذر</x:v>
      </x:c>
      <x:c r="C382" s="233" t="n">
        <x:f>IF('دانش‌آموزان'!E36="","",'دانش‌آموزان'!B36)</x:f>
        <x:v>32</x:v>
      </x:c>
      <x:c r="D382" s="233" t="str">
        <x:f>IF('دانش‌آموزان'!C36="","",'دانش‌آموزان'!C36)</x:f>
        <x:v>4000000322</x:v>
      </x:c>
      <x:c r="E382" s="233" t="str">
        <x:f>IF('دانش‌آموزان'!E36="","",'دانش‌آموزان'!E36&amp;" "&amp;'دانش‌آموزان'!F36)</x:f>
        <x:v>رها یوسفی</x:v>
      </x:c>
      <x:c r="F382" s="166" t="str">
        <x:f>IF('دانش‌آموزان'!I36="","",'دانش‌آموزان'!I36)</x:f>
        <x:v>sample-7-b</x:v>
      </x:c>
      <x:c r="G382" s="114"/>
      <x:c r="H382" s="115"/>
      <x:c r="I382" s="115"/>
      <x:c r="J382" s="115"/>
      <x:c r="K382" s="115"/>
      <x:c r="L382" s="115"/>
      <x:c r="M382" s="115"/>
      <x:c r="N382" s="115"/>
      <x:c r="O382" s="115"/>
      <x:c r="P382" s="115"/>
      <x:c r="Q382" s="115"/>
      <x:c r="R382" s="115"/>
      <x:c r="S382" s="115"/>
      <x:c r="T382" s="115"/>
      <x:c r="U382" s="115"/>
      <x:c r="V382" s="115"/>
      <x:c r="W382" s="115"/>
      <x:c r="X382" s="115"/>
      <x:c r="Y382" s="115"/>
      <x:c r="Z382" s="115"/>
      <x:c r="AA382" s="115"/>
      <x:c r="AB382" s="115"/>
      <x:c r="AC382" s="115"/>
      <x:c r="AD382" s="115"/>
      <x:c r="AE382" s="115"/>
      <x:c r="AF382" s="115"/>
      <x:c r="AG382" s="115"/>
      <x:c r="AH382" s="115"/>
      <x:c r="AI382" s="115"/>
      <x:c r="AJ382" s="115"/>
      <x:c r="AK382" s="115"/>
      <x:c r="AL382" s="115"/>
      <x:c r="AM382" s="115"/>
      <x:c r="AN382" s="115"/>
      <x:c r="AO382" s="115"/>
      <x:c r="AP382" s="115"/>
      <x:c r="AQ382" s="115"/>
      <x:c r="AR382" s="115"/>
      <x:c r="AS382" s="115"/>
      <x:c r="AT382" s="115"/>
      <x:c r="AU382" s="115"/>
      <x:c r="AV382" s="115"/>
      <x:c r="AW382" s="115"/>
      <x:c r="AX382" s="115"/>
      <x:c r="AY382" s="115"/>
      <x:c r="AZ382" s="115"/>
      <x:c r="BA382" s="115"/>
      <x:c r="BB382" s="115"/>
      <x:c r="BC382" s="115"/>
      <x:c r="BD382" s="115"/>
      <x:c r="BE382" s="115"/>
      <x:c r="BF382" s="115"/>
      <x:c r="BG382" s="115"/>
      <x:c r="BH382" s="115"/>
      <x:c r="BI382" s="115"/>
      <x:c r="BJ382" s="115"/>
      <x:c r="BK382" s="115"/>
      <x:c r="BL382" s="115"/>
      <x:c r="BM382" s="115"/>
      <x:c r="BN382" s="115"/>
      <x:c r="BO382" s="115"/>
      <x:c r="BP382" s="115"/>
      <x:c r="BQ382" s="115"/>
      <x:c r="BR382" s="115"/>
      <x:c r="BS382" s="115"/>
      <x:c r="BT382" s="115"/>
      <x:c r="BU382" s="115"/>
      <x:c r="BV382" s="115"/>
      <x:c r="BW382" s="115"/>
      <x:c r="BX382" s="115"/>
      <x:c r="BY382" s="115"/>
      <x:c r="BZ382" s="115"/>
      <x:c r="CA382" s="115"/>
      <x:c r="CB382" s="116"/>
      <x:c r="CC382" s="141" t="str">
        <x:f>IF(COUNT(G382:P382)=0,"",AVERAGE(G382:P382)*4)</x:f>
      </x:c>
      <x:c r="CD382" s="178" t="str">
        <x:f>IF(COUNT(Q382:Z382)=0,"",AVERAGE(Q382:Z382)*4)</x:f>
      </x:c>
      <x:c r="CE382" s="178" t="str">
        <x:f>IF(COUNT(AA382:AJ382)=0,"",AVERAGE(AA382:AJ382)*4)</x:f>
      </x:c>
      <x:c r="CF382" s="178" t="str">
        <x:f>IF(COUNT(AK382:AR382)=0,"",AVERAGE(AK382:AR382)*4)</x:f>
      </x:c>
      <x:c r="CG382" s="178" t="str">
        <x:f>IF(COUNT(AS382:AY382)=0,"",AVERAGE(AS382:AY382)*4)</x:f>
      </x:c>
      <x:c r="CH382" s="178" t="str">
        <x:f>IF(COUNT(AZ382:BG382)=0,"",AVERAGE(AZ382:BG382)*4)</x:f>
      </x:c>
      <x:c r="CI382" s="178" t="str">
        <x:f>IF(COUNT(BH382:BN382)=0,"",AVERAGE(BH382:BN382)*4)</x:f>
      </x:c>
      <x:c r="CJ382" s="178" t="str">
        <x:f>IF(COUNT(BO382:BU382)=0,"",AVERAGE(BO382:BU382)*4)</x:f>
      </x:c>
      <x:c r="CK382" s="178" t="str">
        <x:f>IF(COUNT(BV382:CB382)=0,"",AVERAGE(BV382:CB382)*4)</x:f>
      </x:c>
      <x:c r="CL382" s="178" t="str">
        <x:f>IF(C382="","",IF(COUNT(G382:CB382)&lt;74,"",(CC382*'تنظیمات وزن‌دهی'!$C$5+CD382*'تنظیمات وزن‌دهی'!$C$6+CE382*'تنظیمات وزن‌دهی'!$C$7+CF382*'تنظیمات وزن‌دهی'!$C$8+CG382*'تنظیمات وزن‌دهی'!$C$9+CH382*'تنظیمات وزن‌دهی'!$C$10+CI382*'تنظیمات وزن‌دهی'!$C$11+CJ382*'تنظیمات وزن‌دهی'!$C$12+CK382*'تنظیمات وزن‌دهی'!$C$13)/100))</x:f>
      </x:c>
      <x:c r="CM382" s="178" t="str">
        <x:f>IF(C382="","",IF(COUNT(G382:CB382)=0,"",IF(COUNT(G382:CB382)&lt;74,"موقت - اطلاعات ناقص",IF(CL382&gt;=17,"عالی",IF(CL382&gt;=14,"خوب",IF(CL382&gt;=10,"متوسط","ضعیف"))))))</x:f>
      </x:c>
      <x:c r="CN382" s="178" t="n">
        <x:v>6</x:v>
      </x:c>
      <x:c r="CO382" s="142" t="n">
        <x:f>IF(C382="","",COUNT(G382:CB382)/74)</x:f>
        <x:v>0</x:v>
      </x:c>
      <x:c r="CP382" s="245"/>
    </x:row>
    <x:row r="383">
      <x:c r="A383" s="165" t="n">
        <x:v>379</x:v>
      </x:c>
      <x:c r="B383" s="233" t="str">
        <x:v>دی</x:v>
      </x:c>
      <x:c r="C383" s="233" t="n">
        <x:f>IF('دانش‌آموزان'!E36="","",'دانش‌آموزان'!B36)</x:f>
        <x:v>32</x:v>
      </x:c>
      <x:c r="D383" s="233" t="str">
        <x:f>IF('دانش‌آموزان'!C36="","",'دانش‌آموزان'!C36)</x:f>
        <x:v>4000000322</x:v>
      </x:c>
      <x:c r="E383" s="233" t="str">
        <x:f>IF('دانش‌آموزان'!E36="","",'دانش‌آموزان'!E36&amp;" "&amp;'دانش‌آموزان'!F36)</x:f>
        <x:v>رها یوسفی</x:v>
      </x:c>
      <x:c r="F383" s="166" t="str">
        <x:f>IF('دانش‌آموزان'!I36="","",'دانش‌آموزان'!I36)</x:f>
        <x:v>sample-7-b</x:v>
      </x:c>
      <x:c r="G383" s="114"/>
      <x:c r="H383" s="115"/>
      <x:c r="I383" s="115"/>
      <x:c r="J383" s="115"/>
      <x:c r="K383" s="115"/>
      <x:c r="L383" s="115"/>
      <x:c r="M383" s="115"/>
      <x:c r="N383" s="115"/>
      <x:c r="O383" s="115"/>
      <x:c r="P383" s="115"/>
      <x:c r="Q383" s="115"/>
      <x:c r="R383" s="115"/>
      <x:c r="S383" s="115"/>
      <x:c r="T383" s="115"/>
      <x:c r="U383" s="115"/>
      <x:c r="V383" s="115"/>
      <x:c r="W383" s="115"/>
      <x:c r="X383" s="115"/>
      <x:c r="Y383" s="115"/>
      <x:c r="Z383" s="115"/>
      <x:c r="AA383" s="115"/>
      <x:c r="AB383" s="115"/>
      <x:c r="AC383" s="115"/>
      <x:c r="AD383" s="115"/>
      <x:c r="AE383" s="115"/>
      <x:c r="AF383" s="115"/>
      <x:c r="AG383" s="115"/>
      <x:c r="AH383" s="115"/>
      <x:c r="AI383" s="115"/>
      <x:c r="AJ383" s="115"/>
      <x:c r="AK383" s="115"/>
      <x:c r="AL383" s="115"/>
      <x:c r="AM383" s="115"/>
      <x:c r="AN383" s="115"/>
      <x:c r="AO383" s="115"/>
      <x:c r="AP383" s="115"/>
      <x:c r="AQ383" s="115"/>
      <x:c r="AR383" s="115"/>
      <x:c r="AS383" s="115"/>
      <x:c r="AT383" s="115"/>
      <x:c r="AU383" s="115"/>
      <x:c r="AV383" s="115"/>
      <x:c r="AW383" s="115"/>
      <x:c r="AX383" s="115"/>
      <x:c r="AY383" s="115"/>
      <x:c r="AZ383" s="115"/>
      <x:c r="BA383" s="115"/>
      <x:c r="BB383" s="115"/>
      <x:c r="BC383" s="115"/>
      <x:c r="BD383" s="115"/>
      <x:c r="BE383" s="115"/>
      <x:c r="BF383" s="115"/>
      <x:c r="BG383" s="115"/>
      <x:c r="BH383" s="115"/>
      <x:c r="BI383" s="115"/>
      <x:c r="BJ383" s="115"/>
      <x:c r="BK383" s="115"/>
      <x:c r="BL383" s="115"/>
      <x:c r="BM383" s="115"/>
      <x:c r="BN383" s="115"/>
      <x:c r="BO383" s="115"/>
      <x:c r="BP383" s="115"/>
      <x:c r="BQ383" s="115"/>
      <x:c r="BR383" s="115"/>
      <x:c r="BS383" s="115"/>
      <x:c r="BT383" s="115"/>
      <x:c r="BU383" s="115"/>
      <x:c r="BV383" s="115"/>
      <x:c r="BW383" s="115"/>
      <x:c r="BX383" s="115"/>
      <x:c r="BY383" s="115"/>
      <x:c r="BZ383" s="115"/>
      <x:c r="CA383" s="115"/>
      <x:c r="CB383" s="116"/>
      <x:c r="CC383" s="141" t="str">
        <x:f>IF(COUNT(G383:P383)=0,"",AVERAGE(G383:P383)*4)</x:f>
      </x:c>
      <x:c r="CD383" s="178" t="str">
        <x:f>IF(COUNT(Q383:Z383)=0,"",AVERAGE(Q383:Z383)*4)</x:f>
      </x:c>
      <x:c r="CE383" s="178" t="str">
        <x:f>IF(COUNT(AA383:AJ383)=0,"",AVERAGE(AA383:AJ383)*4)</x:f>
      </x:c>
      <x:c r="CF383" s="178" t="str">
        <x:f>IF(COUNT(AK383:AR383)=0,"",AVERAGE(AK383:AR383)*4)</x:f>
      </x:c>
      <x:c r="CG383" s="178" t="str">
        <x:f>IF(COUNT(AS383:AY383)=0,"",AVERAGE(AS383:AY383)*4)</x:f>
      </x:c>
      <x:c r="CH383" s="178" t="str">
        <x:f>IF(COUNT(AZ383:BG383)=0,"",AVERAGE(AZ383:BG383)*4)</x:f>
      </x:c>
      <x:c r="CI383" s="178" t="str">
        <x:f>IF(COUNT(BH383:BN383)=0,"",AVERAGE(BH383:BN383)*4)</x:f>
      </x:c>
      <x:c r="CJ383" s="178" t="str">
        <x:f>IF(COUNT(BO383:BU383)=0,"",AVERAGE(BO383:BU383)*4)</x:f>
      </x:c>
      <x:c r="CK383" s="178" t="str">
        <x:f>IF(COUNT(BV383:CB383)=0,"",AVERAGE(BV383:CB383)*4)</x:f>
      </x:c>
      <x:c r="CL383" s="178" t="str">
        <x:f>IF(C383="","",IF(COUNT(G383:CB383)&lt;74,"",(CC383*'تنظیمات وزن‌دهی'!$C$5+CD383*'تنظیمات وزن‌دهی'!$C$6+CE383*'تنظیمات وزن‌دهی'!$C$7+CF383*'تنظیمات وزن‌دهی'!$C$8+CG383*'تنظیمات وزن‌دهی'!$C$9+CH383*'تنظیمات وزن‌دهی'!$C$10+CI383*'تنظیمات وزن‌دهی'!$C$11+CJ383*'تنظیمات وزن‌دهی'!$C$12+CK383*'تنظیمات وزن‌دهی'!$C$13)/100))</x:f>
      </x:c>
      <x:c r="CM383" s="178" t="str">
        <x:f>IF(C383="","",IF(COUNT(G383:CB383)=0,"",IF(COUNT(G383:CB383)&lt;74,"موقت - اطلاعات ناقص",IF(CL383&gt;=17,"عالی",IF(CL383&gt;=14,"خوب",IF(CL383&gt;=10,"متوسط","ضعیف"))))))</x:f>
      </x:c>
      <x:c r="CN383" s="178" t="n">
        <x:v>7</x:v>
      </x:c>
      <x:c r="CO383" s="142" t="n">
        <x:f>IF(C383="","",COUNT(G383:CB383)/74)</x:f>
        <x:v>0</x:v>
      </x:c>
      <x:c r="CP383" s="245"/>
    </x:row>
    <x:row r="384">
      <x:c r="A384" s="165" t="n">
        <x:v>380</x:v>
      </x:c>
      <x:c r="B384" s="233" t="str">
        <x:v>بهمن</x:v>
      </x:c>
      <x:c r="C384" s="233" t="n">
        <x:f>IF('دانش‌آموزان'!E36="","",'دانش‌آموزان'!B36)</x:f>
        <x:v>32</x:v>
      </x:c>
      <x:c r="D384" s="233" t="str">
        <x:f>IF('دانش‌آموزان'!C36="","",'دانش‌آموزان'!C36)</x:f>
        <x:v>4000000322</x:v>
      </x:c>
      <x:c r="E384" s="233" t="str">
        <x:f>IF('دانش‌آموزان'!E36="","",'دانش‌آموزان'!E36&amp;" "&amp;'دانش‌آموزان'!F36)</x:f>
        <x:v>رها یوسفی</x:v>
      </x:c>
      <x:c r="F384" s="166" t="str">
        <x:f>IF('دانش‌آموزان'!I36="","",'دانش‌آموزان'!I36)</x:f>
        <x:v>sample-7-b</x:v>
      </x:c>
      <x:c r="G384" s="114"/>
      <x:c r="H384" s="115"/>
      <x:c r="I384" s="115"/>
      <x:c r="J384" s="115"/>
      <x:c r="K384" s="115"/>
      <x:c r="L384" s="115"/>
      <x:c r="M384" s="115"/>
      <x:c r="N384" s="115"/>
      <x:c r="O384" s="115"/>
      <x:c r="P384" s="115"/>
      <x:c r="Q384" s="115"/>
      <x:c r="R384" s="115"/>
      <x:c r="S384" s="115"/>
      <x:c r="T384" s="115"/>
      <x:c r="U384" s="115"/>
      <x:c r="V384" s="115"/>
      <x:c r="W384" s="115"/>
      <x:c r="X384" s="115"/>
      <x:c r="Y384" s="115"/>
      <x:c r="Z384" s="115"/>
      <x:c r="AA384" s="115"/>
      <x:c r="AB384" s="115"/>
      <x:c r="AC384" s="115"/>
      <x:c r="AD384" s="115"/>
      <x:c r="AE384" s="115"/>
      <x:c r="AF384" s="115"/>
      <x:c r="AG384" s="115"/>
      <x:c r="AH384" s="115"/>
      <x:c r="AI384" s="115"/>
      <x:c r="AJ384" s="115"/>
      <x:c r="AK384" s="115"/>
      <x:c r="AL384" s="115"/>
      <x:c r="AM384" s="115"/>
      <x:c r="AN384" s="115"/>
      <x:c r="AO384" s="115"/>
      <x:c r="AP384" s="115"/>
      <x:c r="AQ384" s="115"/>
      <x:c r="AR384" s="115"/>
      <x:c r="AS384" s="115"/>
      <x:c r="AT384" s="115"/>
      <x:c r="AU384" s="115"/>
      <x:c r="AV384" s="115"/>
      <x:c r="AW384" s="115"/>
      <x:c r="AX384" s="115"/>
      <x:c r="AY384" s="115"/>
      <x:c r="AZ384" s="115"/>
      <x:c r="BA384" s="115"/>
      <x:c r="BB384" s="115"/>
      <x:c r="BC384" s="115"/>
      <x:c r="BD384" s="115"/>
      <x:c r="BE384" s="115"/>
      <x:c r="BF384" s="115"/>
      <x:c r="BG384" s="115"/>
      <x:c r="BH384" s="115"/>
      <x:c r="BI384" s="115"/>
      <x:c r="BJ384" s="115"/>
      <x:c r="BK384" s="115"/>
      <x:c r="BL384" s="115"/>
      <x:c r="BM384" s="115"/>
      <x:c r="BN384" s="115"/>
      <x:c r="BO384" s="115"/>
      <x:c r="BP384" s="115"/>
      <x:c r="BQ384" s="115"/>
      <x:c r="BR384" s="115"/>
      <x:c r="BS384" s="115"/>
      <x:c r="BT384" s="115"/>
      <x:c r="BU384" s="115"/>
      <x:c r="BV384" s="115"/>
      <x:c r="BW384" s="115"/>
      <x:c r="BX384" s="115"/>
      <x:c r="BY384" s="115"/>
      <x:c r="BZ384" s="115"/>
      <x:c r="CA384" s="115"/>
      <x:c r="CB384" s="116"/>
      <x:c r="CC384" s="141" t="str">
        <x:f>IF(COUNT(G384:P384)=0,"",AVERAGE(G384:P384)*4)</x:f>
      </x:c>
      <x:c r="CD384" s="178" t="str">
        <x:f>IF(COUNT(Q384:Z384)=0,"",AVERAGE(Q384:Z384)*4)</x:f>
      </x:c>
      <x:c r="CE384" s="178" t="str">
        <x:f>IF(COUNT(AA384:AJ384)=0,"",AVERAGE(AA384:AJ384)*4)</x:f>
      </x:c>
      <x:c r="CF384" s="178" t="str">
        <x:f>IF(COUNT(AK384:AR384)=0,"",AVERAGE(AK384:AR384)*4)</x:f>
      </x:c>
      <x:c r="CG384" s="178" t="str">
        <x:f>IF(COUNT(AS384:AY384)=0,"",AVERAGE(AS384:AY384)*4)</x:f>
      </x:c>
      <x:c r="CH384" s="178" t="str">
        <x:f>IF(COUNT(AZ384:BG384)=0,"",AVERAGE(AZ384:BG384)*4)</x:f>
      </x:c>
      <x:c r="CI384" s="178" t="str">
        <x:f>IF(COUNT(BH384:BN384)=0,"",AVERAGE(BH384:BN384)*4)</x:f>
      </x:c>
      <x:c r="CJ384" s="178" t="str">
        <x:f>IF(COUNT(BO384:BU384)=0,"",AVERAGE(BO384:BU384)*4)</x:f>
      </x:c>
      <x:c r="CK384" s="178" t="str">
        <x:f>IF(COUNT(BV384:CB384)=0,"",AVERAGE(BV384:CB384)*4)</x:f>
      </x:c>
      <x:c r="CL384" s="178" t="str">
        <x:f>IF(C384="","",IF(COUNT(G384:CB384)&lt;74,"",(CC384*'تنظیمات وزن‌دهی'!$C$5+CD384*'تنظیمات وزن‌دهی'!$C$6+CE384*'تنظیمات وزن‌دهی'!$C$7+CF384*'تنظیمات وزن‌دهی'!$C$8+CG384*'تنظیمات وزن‌دهی'!$C$9+CH384*'تنظیمات وزن‌دهی'!$C$10+CI384*'تنظیمات وزن‌دهی'!$C$11+CJ384*'تنظیمات وزن‌دهی'!$C$12+CK384*'تنظیمات وزن‌دهی'!$C$13)/100))</x:f>
      </x:c>
      <x:c r="CM384" s="178" t="str">
        <x:f>IF(C384="","",IF(COUNT(G384:CB384)=0,"",IF(COUNT(G384:CB384)&lt;74,"موقت - اطلاعات ناقص",IF(CL384&gt;=17,"عالی",IF(CL384&gt;=14,"خوب",IF(CL384&gt;=10,"متوسط","ضعیف"))))))</x:f>
      </x:c>
      <x:c r="CN384" s="178" t="n">
        <x:v>8</x:v>
      </x:c>
      <x:c r="CO384" s="142" t="n">
        <x:f>IF(C384="","",COUNT(G384:CB384)/74)</x:f>
        <x:v>0</x:v>
      </x:c>
      <x:c r="CP384" s="245"/>
    </x:row>
    <x:row r="385">
      <x:c r="A385" s="165" t="n">
        <x:v>381</x:v>
      </x:c>
      <x:c r="B385" s="233" t="str">
        <x:v>اسفند</x:v>
      </x:c>
      <x:c r="C385" s="233" t="n">
        <x:f>IF('دانش‌آموزان'!E36="","",'دانش‌آموزان'!B36)</x:f>
        <x:v>32</x:v>
      </x:c>
      <x:c r="D385" s="233" t="str">
        <x:f>IF('دانش‌آموزان'!C36="","",'دانش‌آموزان'!C36)</x:f>
        <x:v>4000000322</x:v>
      </x:c>
      <x:c r="E385" s="233" t="str">
        <x:f>IF('دانش‌آموزان'!E36="","",'دانش‌آموزان'!E36&amp;" "&amp;'دانش‌آموزان'!F36)</x:f>
        <x:v>رها یوسفی</x:v>
      </x:c>
      <x:c r="F385" s="166" t="str">
        <x:f>IF('دانش‌آموزان'!I36="","",'دانش‌آموزان'!I36)</x:f>
        <x:v>sample-7-b</x:v>
      </x:c>
      <x:c r="G385" s="114"/>
      <x:c r="H385" s="115"/>
      <x:c r="I385" s="115"/>
      <x:c r="J385" s="115"/>
      <x:c r="K385" s="115"/>
      <x:c r="L385" s="115"/>
      <x:c r="M385" s="115"/>
      <x:c r="N385" s="115"/>
      <x:c r="O385" s="115"/>
      <x:c r="P385" s="115"/>
      <x:c r="Q385" s="115"/>
      <x:c r="R385" s="115"/>
      <x:c r="S385" s="115"/>
      <x:c r="T385" s="115"/>
      <x:c r="U385" s="115"/>
      <x:c r="V385" s="115"/>
      <x:c r="W385" s="115"/>
      <x:c r="X385" s="115"/>
      <x:c r="Y385" s="115"/>
      <x:c r="Z385" s="115"/>
      <x:c r="AA385" s="115"/>
      <x:c r="AB385" s="115"/>
      <x:c r="AC385" s="115"/>
      <x:c r="AD385" s="115"/>
      <x:c r="AE385" s="115"/>
      <x:c r="AF385" s="115"/>
      <x:c r="AG385" s="115"/>
      <x:c r="AH385" s="115"/>
      <x:c r="AI385" s="115"/>
      <x:c r="AJ385" s="115"/>
      <x:c r="AK385" s="115"/>
      <x:c r="AL385" s="115"/>
      <x:c r="AM385" s="115"/>
      <x:c r="AN385" s="115"/>
      <x:c r="AO385" s="115"/>
      <x:c r="AP385" s="115"/>
      <x:c r="AQ385" s="115"/>
      <x:c r="AR385" s="115"/>
      <x:c r="AS385" s="115"/>
      <x:c r="AT385" s="115"/>
      <x:c r="AU385" s="115"/>
      <x:c r="AV385" s="115"/>
      <x:c r="AW385" s="115"/>
      <x:c r="AX385" s="115"/>
      <x:c r="AY385" s="115"/>
      <x:c r="AZ385" s="115"/>
      <x:c r="BA385" s="115"/>
      <x:c r="BB385" s="115"/>
      <x:c r="BC385" s="115"/>
      <x:c r="BD385" s="115"/>
      <x:c r="BE385" s="115"/>
      <x:c r="BF385" s="115"/>
      <x:c r="BG385" s="115"/>
      <x:c r="BH385" s="115"/>
      <x:c r="BI385" s="115"/>
      <x:c r="BJ385" s="115"/>
      <x:c r="BK385" s="115"/>
      <x:c r="BL385" s="115"/>
      <x:c r="BM385" s="115"/>
      <x:c r="BN385" s="115"/>
      <x:c r="BO385" s="115"/>
      <x:c r="BP385" s="115"/>
      <x:c r="BQ385" s="115"/>
      <x:c r="BR385" s="115"/>
      <x:c r="BS385" s="115"/>
      <x:c r="BT385" s="115"/>
      <x:c r="BU385" s="115"/>
      <x:c r="BV385" s="115"/>
      <x:c r="BW385" s="115"/>
      <x:c r="BX385" s="115"/>
      <x:c r="BY385" s="115"/>
      <x:c r="BZ385" s="115"/>
      <x:c r="CA385" s="115"/>
      <x:c r="CB385" s="116"/>
      <x:c r="CC385" s="141" t="str">
        <x:f>IF(COUNT(G385:P385)=0,"",AVERAGE(G385:P385)*4)</x:f>
      </x:c>
      <x:c r="CD385" s="178" t="str">
        <x:f>IF(COUNT(Q385:Z385)=0,"",AVERAGE(Q385:Z385)*4)</x:f>
      </x:c>
      <x:c r="CE385" s="178" t="str">
        <x:f>IF(COUNT(AA385:AJ385)=0,"",AVERAGE(AA385:AJ385)*4)</x:f>
      </x:c>
      <x:c r="CF385" s="178" t="str">
        <x:f>IF(COUNT(AK385:AR385)=0,"",AVERAGE(AK385:AR385)*4)</x:f>
      </x:c>
      <x:c r="CG385" s="178" t="str">
        <x:f>IF(COUNT(AS385:AY385)=0,"",AVERAGE(AS385:AY385)*4)</x:f>
      </x:c>
      <x:c r="CH385" s="178" t="str">
        <x:f>IF(COUNT(AZ385:BG385)=0,"",AVERAGE(AZ385:BG385)*4)</x:f>
      </x:c>
      <x:c r="CI385" s="178" t="str">
        <x:f>IF(COUNT(BH385:BN385)=0,"",AVERAGE(BH385:BN385)*4)</x:f>
      </x:c>
      <x:c r="CJ385" s="178" t="str">
        <x:f>IF(COUNT(BO385:BU385)=0,"",AVERAGE(BO385:BU385)*4)</x:f>
      </x:c>
      <x:c r="CK385" s="178" t="str">
        <x:f>IF(COUNT(BV385:CB385)=0,"",AVERAGE(BV385:CB385)*4)</x:f>
      </x:c>
      <x:c r="CL385" s="178" t="str">
        <x:f>IF(C385="","",IF(COUNT(G385:CB385)&lt;74,"",(CC385*'تنظیمات وزن‌دهی'!$C$5+CD385*'تنظیمات وزن‌دهی'!$C$6+CE385*'تنظیمات وزن‌دهی'!$C$7+CF385*'تنظیمات وزن‌دهی'!$C$8+CG385*'تنظیمات وزن‌دهی'!$C$9+CH385*'تنظیمات وزن‌دهی'!$C$10+CI385*'تنظیمات وزن‌دهی'!$C$11+CJ385*'تنظیمات وزن‌دهی'!$C$12+CK385*'تنظیمات وزن‌دهی'!$C$13)/100))</x:f>
      </x:c>
      <x:c r="CM385" s="178" t="str">
        <x:f>IF(C385="","",IF(COUNT(G385:CB385)=0,"",IF(COUNT(G385:CB385)&lt;74,"موقت - اطلاعات ناقص",IF(CL385&gt;=17,"عالی",IF(CL385&gt;=14,"خوب",IF(CL385&gt;=10,"متوسط","ضعیف"))))))</x:f>
      </x:c>
      <x:c r="CN385" s="178" t="n">
        <x:v>9</x:v>
      </x:c>
      <x:c r="CO385" s="142" t="n">
        <x:f>IF(C385="","",COUNT(G385:CB385)/74)</x:f>
        <x:v>0</x:v>
      </x:c>
      <x:c r="CP385" s="245"/>
    </x:row>
    <x:row r="386">
      <x:c r="A386" s="165" t="n">
        <x:v>382</x:v>
      </x:c>
      <x:c r="B386" s="233" t="str">
        <x:v>فروردین</x:v>
      </x:c>
      <x:c r="C386" s="233" t="n">
        <x:f>IF('دانش‌آموزان'!E36="","",'دانش‌آموزان'!B36)</x:f>
        <x:v>32</x:v>
      </x:c>
      <x:c r="D386" s="233" t="str">
        <x:f>IF('دانش‌آموزان'!C36="","",'دانش‌آموزان'!C36)</x:f>
        <x:v>4000000322</x:v>
      </x:c>
      <x:c r="E386" s="233" t="str">
        <x:f>IF('دانش‌آموزان'!E36="","",'دانش‌آموزان'!E36&amp;" "&amp;'دانش‌آموزان'!F36)</x:f>
        <x:v>رها یوسفی</x:v>
      </x:c>
      <x:c r="F386" s="166" t="str">
        <x:f>IF('دانش‌آموزان'!I36="","",'دانش‌آموزان'!I36)</x:f>
        <x:v>sample-7-b</x:v>
      </x:c>
      <x:c r="G386" s="114"/>
      <x:c r="H386" s="115"/>
      <x:c r="I386" s="115"/>
      <x:c r="J386" s="115"/>
      <x:c r="K386" s="115"/>
      <x:c r="L386" s="115"/>
      <x:c r="M386" s="115"/>
      <x:c r="N386" s="115"/>
      <x:c r="O386" s="115"/>
      <x:c r="P386" s="115"/>
      <x:c r="Q386" s="115"/>
      <x:c r="R386" s="115"/>
      <x:c r="S386" s="115"/>
      <x:c r="T386" s="115"/>
      <x:c r="U386" s="115"/>
      <x:c r="V386" s="115"/>
      <x:c r="W386" s="115"/>
      <x:c r="X386" s="115"/>
      <x:c r="Y386" s="115"/>
      <x:c r="Z386" s="115"/>
      <x:c r="AA386" s="115"/>
      <x:c r="AB386" s="115"/>
      <x:c r="AC386" s="115"/>
      <x:c r="AD386" s="115"/>
      <x:c r="AE386" s="115"/>
      <x:c r="AF386" s="115"/>
      <x:c r="AG386" s="115"/>
      <x:c r="AH386" s="115"/>
      <x:c r="AI386" s="115"/>
      <x:c r="AJ386" s="115"/>
      <x:c r="AK386" s="115"/>
      <x:c r="AL386" s="115"/>
      <x:c r="AM386" s="115"/>
      <x:c r="AN386" s="115"/>
      <x:c r="AO386" s="115"/>
      <x:c r="AP386" s="115"/>
      <x:c r="AQ386" s="115"/>
      <x:c r="AR386" s="115"/>
      <x:c r="AS386" s="115"/>
      <x:c r="AT386" s="115"/>
      <x:c r="AU386" s="115"/>
      <x:c r="AV386" s="115"/>
      <x:c r="AW386" s="115"/>
      <x:c r="AX386" s="115"/>
      <x:c r="AY386" s="115"/>
      <x:c r="AZ386" s="115"/>
      <x:c r="BA386" s="115"/>
      <x:c r="BB386" s="115"/>
      <x:c r="BC386" s="115"/>
      <x:c r="BD386" s="115"/>
      <x:c r="BE386" s="115"/>
      <x:c r="BF386" s="115"/>
      <x:c r="BG386" s="115"/>
      <x:c r="BH386" s="115"/>
      <x:c r="BI386" s="115"/>
      <x:c r="BJ386" s="115"/>
      <x:c r="BK386" s="115"/>
      <x:c r="BL386" s="115"/>
      <x:c r="BM386" s="115"/>
      <x:c r="BN386" s="115"/>
      <x:c r="BO386" s="115"/>
      <x:c r="BP386" s="115"/>
      <x:c r="BQ386" s="115"/>
      <x:c r="BR386" s="115"/>
      <x:c r="BS386" s="115"/>
      <x:c r="BT386" s="115"/>
      <x:c r="BU386" s="115"/>
      <x:c r="BV386" s="115"/>
      <x:c r="BW386" s="115"/>
      <x:c r="BX386" s="115"/>
      <x:c r="BY386" s="115"/>
      <x:c r="BZ386" s="115"/>
      <x:c r="CA386" s="115"/>
      <x:c r="CB386" s="116"/>
      <x:c r="CC386" s="141" t="str">
        <x:f>IF(COUNT(G386:P386)=0,"",AVERAGE(G386:P386)*4)</x:f>
      </x:c>
      <x:c r="CD386" s="178" t="str">
        <x:f>IF(COUNT(Q386:Z386)=0,"",AVERAGE(Q386:Z386)*4)</x:f>
      </x:c>
      <x:c r="CE386" s="178" t="str">
        <x:f>IF(COUNT(AA386:AJ386)=0,"",AVERAGE(AA386:AJ386)*4)</x:f>
      </x:c>
      <x:c r="CF386" s="178" t="str">
        <x:f>IF(COUNT(AK386:AR386)=0,"",AVERAGE(AK386:AR386)*4)</x:f>
      </x:c>
      <x:c r="CG386" s="178" t="str">
        <x:f>IF(COUNT(AS386:AY386)=0,"",AVERAGE(AS386:AY386)*4)</x:f>
      </x:c>
      <x:c r="CH386" s="178" t="str">
        <x:f>IF(COUNT(AZ386:BG386)=0,"",AVERAGE(AZ386:BG386)*4)</x:f>
      </x:c>
      <x:c r="CI386" s="178" t="str">
        <x:f>IF(COUNT(BH386:BN386)=0,"",AVERAGE(BH386:BN386)*4)</x:f>
      </x:c>
      <x:c r="CJ386" s="178" t="str">
        <x:f>IF(COUNT(BO386:BU386)=0,"",AVERAGE(BO386:BU386)*4)</x:f>
      </x:c>
      <x:c r="CK386" s="178" t="str">
        <x:f>IF(COUNT(BV386:CB386)=0,"",AVERAGE(BV386:CB386)*4)</x:f>
      </x:c>
      <x:c r="CL386" s="178" t="str">
        <x:f>IF(C386="","",IF(COUNT(G386:CB386)&lt;74,"",(CC386*'تنظیمات وزن‌دهی'!$C$5+CD386*'تنظیمات وزن‌دهی'!$C$6+CE386*'تنظیمات وزن‌دهی'!$C$7+CF386*'تنظیمات وزن‌دهی'!$C$8+CG386*'تنظیمات وزن‌دهی'!$C$9+CH386*'تنظیمات وزن‌دهی'!$C$10+CI386*'تنظیمات وزن‌دهی'!$C$11+CJ386*'تنظیمات وزن‌دهی'!$C$12+CK386*'تنظیمات وزن‌دهی'!$C$13)/100))</x:f>
      </x:c>
      <x:c r="CM386" s="178" t="str">
        <x:f>IF(C386="","",IF(COUNT(G386:CB386)=0,"",IF(COUNT(G386:CB386)&lt;74,"موقت - اطلاعات ناقص",IF(CL386&gt;=17,"عالی",IF(CL386&gt;=14,"خوب",IF(CL386&gt;=10,"متوسط","ضعیف"))))))</x:f>
      </x:c>
      <x:c r="CN386" s="178" t="n">
        <x:v>10</x:v>
      </x:c>
      <x:c r="CO386" s="142" t="n">
        <x:f>IF(C386="","",COUNT(G386:CB386)/74)</x:f>
        <x:v>0</x:v>
      </x:c>
      <x:c r="CP386" s="245"/>
    </x:row>
    <x:row r="387">
      <x:c r="A387" s="165" t="n">
        <x:v>383</x:v>
      </x:c>
      <x:c r="B387" s="233" t="str">
        <x:v>اردیبهشت</x:v>
      </x:c>
      <x:c r="C387" s="233" t="n">
        <x:f>IF('دانش‌آموزان'!E36="","",'دانش‌آموزان'!B36)</x:f>
        <x:v>32</x:v>
      </x:c>
      <x:c r="D387" s="233" t="str">
        <x:f>IF('دانش‌آموزان'!C36="","",'دانش‌آموزان'!C36)</x:f>
        <x:v>4000000322</x:v>
      </x:c>
      <x:c r="E387" s="233" t="str">
        <x:f>IF('دانش‌آموزان'!E36="","",'دانش‌آموزان'!E36&amp;" "&amp;'دانش‌آموزان'!F36)</x:f>
        <x:v>رها یوسفی</x:v>
      </x:c>
      <x:c r="F387" s="166" t="str">
        <x:f>IF('دانش‌آموزان'!I36="","",'دانش‌آموزان'!I36)</x:f>
        <x:v>sample-7-b</x:v>
      </x:c>
      <x:c r="G387" s="114"/>
      <x:c r="H387" s="115"/>
      <x:c r="I387" s="115"/>
      <x:c r="J387" s="115"/>
      <x:c r="K387" s="115"/>
      <x:c r="L387" s="115"/>
      <x:c r="M387" s="115"/>
      <x:c r="N387" s="115"/>
      <x:c r="O387" s="115"/>
      <x:c r="P387" s="115"/>
      <x:c r="Q387" s="115"/>
      <x:c r="R387" s="115"/>
      <x:c r="S387" s="115"/>
      <x:c r="T387" s="115"/>
      <x:c r="U387" s="115"/>
      <x:c r="V387" s="115"/>
      <x:c r="W387" s="115"/>
      <x:c r="X387" s="115"/>
      <x:c r="Y387" s="115"/>
      <x:c r="Z387" s="115"/>
      <x:c r="AA387" s="115"/>
      <x:c r="AB387" s="115"/>
      <x:c r="AC387" s="115"/>
      <x:c r="AD387" s="115"/>
      <x:c r="AE387" s="115"/>
      <x:c r="AF387" s="115"/>
      <x:c r="AG387" s="115"/>
      <x:c r="AH387" s="115"/>
      <x:c r="AI387" s="115"/>
      <x:c r="AJ387" s="115"/>
      <x:c r="AK387" s="115"/>
      <x:c r="AL387" s="115"/>
      <x:c r="AM387" s="115"/>
      <x:c r="AN387" s="115"/>
      <x:c r="AO387" s="115"/>
      <x:c r="AP387" s="115"/>
      <x:c r="AQ387" s="115"/>
      <x:c r="AR387" s="115"/>
      <x:c r="AS387" s="115"/>
      <x:c r="AT387" s="115"/>
      <x:c r="AU387" s="115"/>
      <x:c r="AV387" s="115"/>
      <x:c r="AW387" s="115"/>
      <x:c r="AX387" s="115"/>
      <x:c r="AY387" s="115"/>
      <x:c r="AZ387" s="115"/>
      <x:c r="BA387" s="115"/>
      <x:c r="BB387" s="115"/>
      <x:c r="BC387" s="115"/>
      <x:c r="BD387" s="115"/>
      <x:c r="BE387" s="115"/>
      <x:c r="BF387" s="115"/>
      <x:c r="BG387" s="115"/>
      <x:c r="BH387" s="115"/>
      <x:c r="BI387" s="115"/>
      <x:c r="BJ387" s="115"/>
      <x:c r="BK387" s="115"/>
      <x:c r="BL387" s="115"/>
      <x:c r="BM387" s="115"/>
      <x:c r="BN387" s="115"/>
      <x:c r="BO387" s="115"/>
      <x:c r="BP387" s="115"/>
      <x:c r="BQ387" s="115"/>
      <x:c r="BR387" s="115"/>
      <x:c r="BS387" s="115"/>
      <x:c r="BT387" s="115"/>
      <x:c r="BU387" s="115"/>
      <x:c r="BV387" s="115"/>
      <x:c r="BW387" s="115"/>
      <x:c r="BX387" s="115"/>
      <x:c r="BY387" s="115"/>
      <x:c r="BZ387" s="115"/>
      <x:c r="CA387" s="115"/>
      <x:c r="CB387" s="116"/>
      <x:c r="CC387" s="141" t="str">
        <x:f>IF(COUNT(G387:P387)=0,"",AVERAGE(G387:P387)*4)</x:f>
      </x:c>
      <x:c r="CD387" s="178" t="str">
        <x:f>IF(COUNT(Q387:Z387)=0,"",AVERAGE(Q387:Z387)*4)</x:f>
      </x:c>
      <x:c r="CE387" s="178" t="str">
        <x:f>IF(COUNT(AA387:AJ387)=0,"",AVERAGE(AA387:AJ387)*4)</x:f>
      </x:c>
      <x:c r="CF387" s="178" t="str">
        <x:f>IF(COUNT(AK387:AR387)=0,"",AVERAGE(AK387:AR387)*4)</x:f>
      </x:c>
      <x:c r="CG387" s="178" t="str">
        <x:f>IF(COUNT(AS387:AY387)=0,"",AVERAGE(AS387:AY387)*4)</x:f>
      </x:c>
      <x:c r="CH387" s="178" t="str">
        <x:f>IF(COUNT(AZ387:BG387)=0,"",AVERAGE(AZ387:BG387)*4)</x:f>
      </x:c>
      <x:c r="CI387" s="178" t="str">
        <x:f>IF(COUNT(BH387:BN387)=0,"",AVERAGE(BH387:BN387)*4)</x:f>
      </x:c>
      <x:c r="CJ387" s="178" t="str">
        <x:f>IF(COUNT(BO387:BU387)=0,"",AVERAGE(BO387:BU387)*4)</x:f>
      </x:c>
      <x:c r="CK387" s="178" t="str">
        <x:f>IF(COUNT(BV387:CB387)=0,"",AVERAGE(BV387:CB387)*4)</x:f>
      </x:c>
      <x:c r="CL387" s="178" t="str">
        <x:f>IF(C387="","",IF(COUNT(G387:CB387)&lt;74,"",(CC387*'تنظیمات وزن‌دهی'!$C$5+CD387*'تنظیمات وزن‌دهی'!$C$6+CE387*'تنظیمات وزن‌دهی'!$C$7+CF387*'تنظیمات وزن‌دهی'!$C$8+CG387*'تنظیمات وزن‌دهی'!$C$9+CH387*'تنظیمات وزن‌دهی'!$C$10+CI387*'تنظیمات وزن‌دهی'!$C$11+CJ387*'تنظیمات وزن‌دهی'!$C$12+CK387*'تنظیمات وزن‌دهی'!$C$13)/100))</x:f>
      </x:c>
      <x:c r="CM387" s="178" t="str">
        <x:f>IF(C387="","",IF(COUNT(G387:CB387)=0,"",IF(COUNT(G387:CB387)&lt;74,"موقت - اطلاعات ناقص",IF(CL387&gt;=17,"عالی",IF(CL387&gt;=14,"خوب",IF(CL387&gt;=10,"متوسط","ضعیف"))))))</x:f>
      </x:c>
      <x:c r="CN387" s="178" t="n">
        <x:v>11</x:v>
      </x:c>
      <x:c r="CO387" s="142" t="n">
        <x:f>IF(C387="","",COUNT(G387:CB387)/74)</x:f>
        <x:v>0</x:v>
      </x:c>
      <x:c r="CP387" s="245"/>
    </x:row>
    <x:row r="388">
      <x:c r="A388" s="165" t="n">
        <x:v>384</x:v>
      </x:c>
      <x:c r="B388" s="233" t="str">
        <x:v>خرداد</x:v>
      </x:c>
      <x:c r="C388" s="233" t="n">
        <x:f>IF('دانش‌آموزان'!E36="","",'دانش‌آموزان'!B36)</x:f>
        <x:v>32</x:v>
      </x:c>
      <x:c r="D388" s="233" t="str">
        <x:f>IF('دانش‌آموزان'!C36="","",'دانش‌آموزان'!C36)</x:f>
        <x:v>4000000322</x:v>
      </x:c>
      <x:c r="E388" s="233" t="str">
        <x:f>IF('دانش‌آموزان'!E36="","",'دانش‌آموزان'!E36&amp;" "&amp;'دانش‌آموزان'!F36)</x:f>
        <x:v>رها یوسفی</x:v>
      </x:c>
      <x:c r="F388" s="166" t="str">
        <x:f>IF('دانش‌آموزان'!I36="","",'دانش‌آموزان'!I36)</x:f>
        <x:v>sample-7-b</x:v>
      </x:c>
      <x:c r="G388" s="114"/>
      <x:c r="H388" s="115"/>
      <x:c r="I388" s="115"/>
      <x:c r="J388" s="115"/>
      <x:c r="K388" s="115"/>
      <x:c r="L388" s="115"/>
      <x:c r="M388" s="115"/>
      <x:c r="N388" s="115"/>
      <x:c r="O388" s="115"/>
      <x:c r="P388" s="115"/>
      <x:c r="Q388" s="115"/>
      <x:c r="R388" s="115"/>
      <x:c r="S388" s="115"/>
      <x:c r="T388" s="115"/>
      <x:c r="U388" s="115"/>
      <x:c r="V388" s="115"/>
      <x:c r="W388" s="115"/>
      <x:c r="X388" s="115"/>
      <x:c r="Y388" s="115"/>
      <x:c r="Z388" s="115"/>
      <x:c r="AA388" s="115"/>
      <x:c r="AB388" s="115"/>
      <x:c r="AC388" s="115"/>
      <x:c r="AD388" s="115"/>
      <x:c r="AE388" s="115"/>
      <x:c r="AF388" s="115"/>
      <x:c r="AG388" s="115"/>
      <x:c r="AH388" s="115"/>
      <x:c r="AI388" s="115"/>
      <x:c r="AJ388" s="115"/>
      <x:c r="AK388" s="115"/>
      <x:c r="AL388" s="115"/>
      <x:c r="AM388" s="115"/>
      <x:c r="AN388" s="115"/>
      <x:c r="AO388" s="115"/>
      <x:c r="AP388" s="115"/>
      <x:c r="AQ388" s="115"/>
      <x:c r="AR388" s="115"/>
      <x:c r="AS388" s="115"/>
      <x:c r="AT388" s="115"/>
      <x:c r="AU388" s="115"/>
      <x:c r="AV388" s="115"/>
      <x:c r="AW388" s="115"/>
      <x:c r="AX388" s="115"/>
      <x:c r="AY388" s="115"/>
      <x:c r="AZ388" s="115"/>
      <x:c r="BA388" s="115"/>
      <x:c r="BB388" s="115"/>
      <x:c r="BC388" s="115"/>
      <x:c r="BD388" s="115"/>
      <x:c r="BE388" s="115"/>
      <x:c r="BF388" s="115"/>
      <x:c r="BG388" s="115"/>
      <x:c r="BH388" s="115"/>
      <x:c r="BI388" s="115"/>
      <x:c r="BJ388" s="115"/>
      <x:c r="BK388" s="115"/>
      <x:c r="BL388" s="115"/>
      <x:c r="BM388" s="115"/>
      <x:c r="BN388" s="115"/>
      <x:c r="BO388" s="115"/>
      <x:c r="BP388" s="115"/>
      <x:c r="BQ388" s="115"/>
      <x:c r="BR388" s="115"/>
      <x:c r="BS388" s="115"/>
      <x:c r="BT388" s="115"/>
      <x:c r="BU388" s="115"/>
      <x:c r="BV388" s="115"/>
      <x:c r="BW388" s="115"/>
      <x:c r="BX388" s="115"/>
      <x:c r="BY388" s="115"/>
      <x:c r="BZ388" s="115"/>
      <x:c r="CA388" s="115"/>
      <x:c r="CB388" s="116"/>
      <x:c r="CC388" s="141" t="str">
        <x:f>IF(COUNT(G388:P388)=0,"",AVERAGE(G388:P388)*4)</x:f>
      </x:c>
      <x:c r="CD388" s="178" t="str">
        <x:f>IF(COUNT(Q388:Z388)=0,"",AVERAGE(Q388:Z388)*4)</x:f>
      </x:c>
      <x:c r="CE388" s="178" t="str">
        <x:f>IF(COUNT(AA388:AJ388)=0,"",AVERAGE(AA388:AJ388)*4)</x:f>
      </x:c>
      <x:c r="CF388" s="178" t="str">
        <x:f>IF(COUNT(AK388:AR388)=0,"",AVERAGE(AK388:AR388)*4)</x:f>
      </x:c>
      <x:c r="CG388" s="178" t="str">
        <x:f>IF(COUNT(AS388:AY388)=0,"",AVERAGE(AS388:AY388)*4)</x:f>
      </x:c>
      <x:c r="CH388" s="178" t="str">
        <x:f>IF(COUNT(AZ388:BG388)=0,"",AVERAGE(AZ388:BG388)*4)</x:f>
      </x:c>
      <x:c r="CI388" s="178" t="str">
        <x:f>IF(COUNT(BH388:BN388)=0,"",AVERAGE(BH388:BN388)*4)</x:f>
      </x:c>
      <x:c r="CJ388" s="178" t="str">
        <x:f>IF(COUNT(BO388:BU388)=0,"",AVERAGE(BO388:BU388)*4)</x:f>
      </x:c>
      <x:c r="CK388" s="178" t="str">
        <x:f>IF(COUNT(BV388:CB388)=0,"",AVERAGE(BV388:CB388)*4)</x:f>
      </x:c>
      <x:c r="CL388" s="178" t="str">
        <x:f>IF(C388="","",IF(COUNT(G388:CB388)&lt;74,"",(CC388*'تنظیمات وزن‌دهی'!$C$5+CD388*'تنظیمات وزن‌دهی'!$C$6+CE388*'تنظیمات وزن‌دهی'!$C$7+CF388*'تنظیمات وزن‌دهی'!$C$8+CG388*'تنظیمات وزن‌دهی'!$C$9+CH388*'تنظیمات وزن‌دهی'!$C$10+CI388*'تنظیمات وزن‌دهی'!$C$11+CJ388*'تنظیمات وزن‌دهی'!$C$12+CK388*'تنظیمات وزن‌دهی'!$C$13)/100))</x:f>
      </x:c>
      <x:c r="CM388" s="178" t="str">
        <x:f>IF(C388="","",IF(COUNT(G388:CB388)=0,"",IF(COUNT(G388:CB388)&lt;74,"موقت - اطلاعات ناقص",IF(CL388&gt;=17,"عالی",IF(CL388&gt;=14,"خوب",IF(CL388&gt;=10,"متوسط","ضعیف"))))))</x:f>
      </x:c>
      <x:c r="CN388" s="178" t="n">
        <x:v>12</x:v>
      </x:c>
      <x:c r="CO388" s="142" t="n">
        <x:f>IF(C388="","",COUNT(G388:CB388)/74)</x:f>
        <x:v>0</x:v>
      </x:c>
      <x:c r="CP388" s="245"/>
    </x:row>
    <x:row r="389">
      <x:c r="A389" s="165" t="n">
        <x:v>385</x:v>
      </x:c>
      <x:c r="B389" s="233" t="str">
        <x:v>تیر</x:v>
      </x:c>
      <x:c r="C389" s="233" t="n">
        <x:f>IF('دانش‌آموزان'!E37="","",'دانش‌آموزان'!B37)</x:f>
        <x:v>33</x:v>
      </x:c>
      <x:c r="D389" s="233" t="str">
        <x:f>IF('دانش‌آموزان'!C37="","",'دانش‌آموزان'!C37)</x:f>
        <x:v>4000000330</x:v>
      </x:c>
      <x:c r="E389" s="233" t="str">
        <x:f>IF('دانش‌آموزان'!E37="","",'دانش‌آموزان'!E37&amp;" "&amp;'دانش‌آموزان'!F37)</x:f>
        <x:v>طاها رضایی</x:v>
      </x:c>
      <x:c r="F389" s="166" t="str">
        <x:f>IF('دانش‌آموزان'!I37="","",'دانش‌آموزان'!I37)</x:f>
        <x:v>sample-7-b</x:v>
      </x:c>
      <x:c r="G389" s="114" t="n">
        <x:v>5</x:v>
      </x:c>
      <x:c r="H389" s="115" t="n">
        <x:v>3</x:v>
      </x:c>
      <x:c r="I389" s="115" t="n">
        <x:v>4</x:v>
      </x:c>
      <x:c r="J389" s="115" t="n">
        <x:v>3</x:v>
      </x:c>
      <x:c r="K389" s="115" t="n">
        <x:v>4</x:v>
      </x:c>
      <x:c r="L389" s="115" t="n">
        <x:v>2</x:v>
      </x:c>
      <x:c r="M389" s="115" t="n">
        <x:v>4</x:v>
      </x:c>
      <x:c r="N389" s="115" t="n">
        <x:v>5</x:v>
      </x:c>
      <x:c r="O389" s="115" t="n">
        <x:v>4</x:v>
      </x:c>
      <x:c r="P389" s="115" t="n">
        <x:v>5</x:v>
      </x:c>
      <x:c r="Q389" s="115" t="n">
        <x:v>3</x:v>
      </x:c>
      <x:c r="R389" s="115" t="n">
        <x:v>5</x:v>
      </x:c>
      <x:c r="S389" s="115" t="n">
        <x:v>3</x:v>
      </x:c>
      <x:c r="T389" s="115" t="n">
        <x:v>4</x:v>
      </x:c>
      <x:c r="U389" s="115" t="n">
        <x:v>3</x:v>
      </x:c>
      <x:c r="V389" s="115" t="n">
        <x:v>4</x:v>
      </x:c>
      <x:c r="W389" s="115" t="n">
        <x:v>2</x:v>
      </x:c>
      <x:c r="X389" s="115" t="n">
        <x:v>4</x:v>
      </x:c>
      <x:c r="Y389" s="115" t="n">
        <x:v>5</x:v>
      </x:c>
      <x:c r="Z389" s="115" t="n">
        <x:v>4</x:v>
      </x:c>
      <x:c r="AA389" s="115" t="n">
        <x:v>5</x:v>
      </x:c>
      <x:c r="AB389" s="115" t="n">
        <x:v>3</x:v>
      </x:c>
      <x:c r="AC389" s="115" t="n">
        <x:v>5</x:v>
      </x:c>
      <x:c r="AD389" s="115" t="n">
        <x:v>3</x:v>
      </x:c>
      <x:c r="AE389" s="115" t="n">
        <x:v>4</x:v>
      </x:c>
      <x:c r="AF389" s="115" t="n">
        <x:v>3</x:v>
      </x:c>
      <x:c r="AG389" s="115" t="n">
        <x:v>4</x:v>
      </x:c>
      <x:c r="AH389" s="115" t="n">
        <x:v>2</x:v>
      </x:c>
      <x:c r="AI389" s="115" t="n">
        <x:v>4</x:v>
      </x:c>
      <x:c r="AJ389" s="115" t="n">
        <x:v>5</x:v>
      </x:c>
      <x:c r="AK389" s="115" t="n">
        <x:v>4</x:v>
      </x:c>
      <x:c r="AL389" s="115" t="n">
        <x:v>5</x:v>
      </x:c>
      <x:c r="AM389" s="115" t="n">
        <x:v>3</x:v>
      </x:c>
      <x:c r="AN389" s="115" t="n">
        <x:v>5</x:v>
      </x:c>
      <x:c r="AO389" s="115" t="n">
        <x:v>3</x:v>
      </x:c>
      <x:c r="AP389" s="115" t="n">
        <x:v>4</x:v>
      </x:c>
      <x:c r="AQ389" s="115" t="n">
        <x:v>3</x:v>
      </x:c>
      <x:c r="AR389" s="115" t="n">
        <x:v>4</x:v>
      </x:c>
      <x:c r="AS389" s="115" t="n">
        <x:v>2</x:v>
      </x:c>
      <x:c r="AT389" s="115" t="n">
        <x:v>4</x:v>
      </x:c>
      <x:c r="AU389" s="115" t="n">
        <x:v>5</x:v>
      </x:c>
      <x:c r="AV389" s="115" t="n">
        <x:v>4</x:v>
      </x:c>
      <x:c r="AW389" s="115" t="n">
        <x:v>5</x:v>
      </x:c>
      <x:c r="AX389" s="115" t="n">
        <x:v>3</x:v>
      </x:c>
      <x:c r="AY389" s="115" t="n">
        <x:v>5</x:v>
      </x:c>
      <x:c r="AZ389" s="115" t="n">
        <x:v>3</x:v>
      </x:c>
      <x:c r="BA389" s="115" t="n">
        <x:v>4</x:v>
      </x:c>
      <x:c r="BB389" s="115" t="n">
        <x:v>3</x:v>
      </x:c>
      <x:c r="BC389" s="115" t="n">
        <x:v>4</x:v>
      </x:c>
      <x:c r="BD389" s="115" t="n">
        <x:v>2</x:v>
      </x:c>
      <x:c r="BE389" s="115" t="n">
        <x:v>4</x:v>
      </x:c>
      <x:c r="BF389" s="115" t="n">
        <x:v>5</x:v>
      </x:c>
      <x:c r="BG389" s="115" t="n">
        <x:v>4</x:v>
      </x:c>
      <x:c r="BH389" s="115" t="n">
        <x:v>5</x:v>
      </x:c>
      <x:c r="BI389" s="115" t="n">
        <x:v>3</x:v>
      </x:c>
      <x:c r="BJ389" s="115" t="n">
        <x:v>5</x:v>
      </x:c>
      <x:c r="BK389" s="115" t="n">
        <x:v>3</x:v>
      </x:c>
      <x:c r="BL389" s="115" t="n">
        <x:v>4</x:v>
      </x:c>
      <x:c r="BM389" s="115" t="n">
        <x:v>3</x:v>
      </x:c>
      <x:c r="BN389" s="115" t="n">
        <x:v>4</x:v>
      </x:c>
      <x:c r="BO389" s="115" t="n">
        <x:v>2</x:v>
      </x:c>
      <x:c r="BP389" s="115" t="n">
        <x:v>4</x:v>
      </x:c>
      <x:c r="BQ389" s="115" t="n">
        <x:v>5</x:v>
      </x:c>
      <x:c r="BR389" s="115" t="n">
        <x:v>4</x:v>
      </x:c>
      <x:c r="BS389" s="115" t="n">
        <x:v>5</x:v>
      </x:c>
      <x:c r="BT389" s="115" t="n">
        <x:v>3</x:v>
      </x:c>
      <x:c r="BU389" s="115" t="n">
        <x:v>5</x:v>
      </x:c>
      <x:c r="BV389" s="115" t="n">
        <x:v>3</x:v>
      </x:c>
      <x:c r="BW389" s="115" t="n">
        <x:v>4</x:v>
      </x:c>
      <x:c r="BX389" s="115" t="n">
        <x:v>3</x:v>
      </x:c>
      <x:c r="BY389" s="115" t="n">
        <x:v>4</x:v>
      </x:c>
      <x:c r="BZ389" s="115" t="n">
        <x:v>2</x:v>
      </x:c>
      <x:c r="CA389" s="115" t="n">
        <x:v>4</x:v>
      </x:c>
      <x:c r="CB389" s="116" t="n">
        <x:v>5</x:v>
      </x:c>
      <x:c r="CC389" s="141" t="n">
        <x:f>IF(COUNT(G389:P389)=0,"",AVERAGE(G389:P389)*4)</x:f>
        <x:v>15.6</x:v>
      </x:c>
      <x:c r="CD389" s="178" t="n">
        <x:f>IF(COUNT(Q389:Z389)=0,"",AVERAGE(Q389:Z389)*4)</x:f>
        <x:v>14.8</x:v>
      </x:c>
      <x:c r="CE389" s="178" t="n">
        <x:f>IF(COUNT(AA389:AJ389)=0,"",AVERAGE(AA389:AJ389)*4)</x:f>
        <x:v>15.2</x:v>
      </x:c>
      <x:c r="CF389" s="178" t="n">
        <x:f>IF(COUNT(AK389:AR389)=0,"",AVERAGE(AK389:AR389)*4)</x:f>
        <x:v>15.5</x:v>
      </x:c>
      <x:c r="CG389" s="178" t="n">
        <x:f>IF(COUNT(AS389:AY389)=0,"",AVERAGE(AS389:AY389)*4)</x:f>
        <x:v>16</x:v>
      </x:c>
      <x:c r="CH389" s="178" t="n">
        <x:f>IF(COUNT(AZ389:BG389)=0,"",AVERAGE(AZ389:BG389)*4)</x:f>
        <x:v>14.5</x:v>
      </x:c>
      <x:c r="CI389" s="178" t="n">
        <x:f>IF(COUNT(BH389:BN389)=0,"",AVERAGE(BH389:BN389)*4)</x:f>
        <x:v>15.428571428571429</x:v>
      </x:c>
      <x:c r="CJ389" s="178" t="n">
        <x:f>IF(COUNT(BO389:BU389)=0,"",AVERAGE(BO389:BU389)*4)</x:f>
        <x:v>16</x:v>
      </x:c>
      <x:c r="CK389" s="178" t="n">
        <x:f>IF(COUNT(BV389:CB389)=0,"",AVERAGE(BV389:CB389)*4)</x:f>
        <x:v>14.285714285714286</x:v>
      </x:c>
      <x:c r="CL389" s="178" t="n">
        <x:f>IF(C389="","",IF(COUNT(G389:CB389)&lt;74,"",(CC389*'تنظیمات وزن‌دهی'!$C$5+CD389*'تنظیمات وزن‌دهی'!$C$6+CE389*'تنظیمات وزن‌دهی'!$C$7+CF389*'تنظیمات وزن‌دهی'!$C$8+CG389*'تنظیمات وزن‌دهی'!$C$9+CH389*'تنظیمات وزن‌دهی'!$C$10+CI389*'تنظیمات وزن‌دهی'!$C$11+CJ389*'تنظیمات وزن‌دهی'!$C$12+CK389*'تنظیمات وزن‌دهی'!$C$13)/100))</x:f>
        <x:v>15.265</x:v>
      </x:c>
      <x:c r="CM389" s="178" t="str">
        <x:f>IF(C389="","",IF(COUNT(G389:CB389)=0,"",IF(COUNT(G389:CB389)&lt;74,"موقت - اطلاعات ناقص",IF(CL389&gt;=17,"عالی",IF(CL389&gt;=14,"خوب",IF(CL389&gt;=10,"متوسط","ضعیف"))))))</x:f>
        <x:v>خوب</x:v>
      </x:c>
      <x:c r="CN389" s="178" t="n">
        <x:v>1</x:v>
      </x:c>
      <x:c r="CO389" s="142" t="n">
        <x:f>IF(C389="","",COUNT(G389:CB389)/74)</x:f>
        <x:v>1</x:v>
      </x:c>
      <x:c r="CP389" s="245" t="str">
        <x:v>داده نمونه کامل برای ماه تیر - دانش‌آموز شماره 33</x:v>
      </x:c>
    </x:row>
    <x:row r="390">
      <x:c r="A390" s="165" t="n">
        <x:v>386</x:v>
      </x:c>
      <x:c r="B390" s="233" t="str">
        <x:v>مرداد</x:v>
      </x:c>
      <x:c r="C390" s="233" t="n">
        <x:f>IF('دانش‌آموزان'!E37="","",'دانش‌آموزان'!B37)</x:f>
        <x:v>33</x:v>
      </x:c>
      <x:c r="D390" s="233" t="str">
        <x:f>IF('دانش‌آموزان'!C37="","",'دانش‌آموزان'!C37)</x:f>
        <x:v>4000000330</x:v>
      </x:c>
      <x:c r="E390" s="233" t="str">
        <x:f>IF('دانش‌آموزان'!E37="","",'دانش‌آموزان'!E37&amp;" "&amp;'دانش‌آموزان'!F37)</x:f>
        <x:v>طاها رضایی</x:v>
      </x:c>
      <x:c r="F390" s="166" t="str">
        <x:f>IF('دانش‌آموزان'!I37="","",'دانش‌آموزان'!I37)</x:f>
        <x:v>sample-7-b</x:v>
      </x:c>
      <x:c r="G390" s="114"/>
      <x:c r="H390" s="115"/>
      <x:c r="I390" s="115"/>
      <x:c r="J390" s="115"/>
      <x:c r="K390" s="115"/>
      <x:c r="L390" s="115"/>
      <x:c r="M390" s="115"/>
      <x:c r="N390" s="115"/>
      <x:c r="O390" s="115"/>
      <x:c r="P390" s="115"/>
      <x:c r="Q390" s="115"/>
      <x:c r="R390" s="115"/>
      <x:c r="S390" s="115"/>
      <x:c r="T390" s="115"/>
      <x:c r="U390" s="115"/>
      <x:c r="V390" s="115"/>
      <x:c r="W390" s="115"/>
      <x:c r="X390" s="115"/>
      <x:c r="Y390" s="115"/>
      <x:c r="Z390" s="115"/>
      <x:c r="AA390" s="115"/>
      <x:c r="AB390" s="115"/>
      <x:c r="AC390" s="115"/>
      <x:c r="AD390" s="115"/>
      <x:c r="AE390" s="115"/>
      <x:c r="AF390" s="115"/>
      <x:c r="AG390" s="115"/>
      <x:c r="AH390" s="115"/>
      <x:c r="AI390" s="115"/>
      <x:c r="AJ390" s="115"/>
      <x:c r="AK390" s="115"/>
      <x:c r="AL390" s="115"/>
      <x:c r="AM390" s="115"/>
      <x:c r="AN390" s="115"/>
      <x:c r="AO390" s="115"/>
      <x:c r="AP390" s="115"/>
      <x:c r="AQ390" s="115"/>
      <x:c r="AR390" s="115"/>
      <x:c r="AS390" s="115"/>
      <x:c r="AT390" s="115"/>
      <x:c r="AU390" s="115"/>
      <x:c r="AV390" s="115"/>
      <x:c r="AW390" s="115"/>
      <x:c r="AX390" s="115"/>
      <x:c r="AY390" s="115"/>
      <x:c r="AZ390" s="115"/>
      <x:c r="BA390" s="115"/>
      <x:c r="BB390" s="115"/>
      <x:c r="BC390" s="115"/>
      <x:c r="BD390" s="115"/>
      <x:c r="BE390" s="115"/>
      <x:c r="BF390" s="115"/>
      <x:c r="BG390" s="115"/>
      <x:c r="BH390" s="115"/>
      <x:c r="BI390" s="115"/>
      <x:c r="BJ390" s="115"/>
      <x:c r="BK390" s="115"/>
      <x:c r="BL390" s="115"/>
      <x:c r="BM390" s="115"/>
      <x:c r="BN390" s="115"/>
      <x:c r="BO390" s="115"/>
      <x:c r="BP390" s="115"/>
      <x:c r="BQ390" s="115"/>
      <x:c r="BR390" s="115"/>
      <x:c r="BS390" s="115"/>
      <x:c r="BT390" s="115"/>
      <x:c r="BU390" s="115"/>
      <x:c r="BV390" s="115"/>
      <x:c r="BW390" s="115"/>
      <x:c r="BX390" s="115"/>
      <x:c r="BY390" s="115"/>
      <x:c r="BZ390" s="115"/>
      <x:c r="CA390" s="115"/>
      <x:c r="CB390" s="116"/>
      <x:c r="CC390" s="141" t="str">
        <x:f>IF(COUNT(G390:P390)=0,"",AVERAGE(G390:P390)*4)</x:f>
      </x:c>
      <x:c r="CD390" s="178" t="str">
        <x:f>IF(COUNT(Q390:Z390)=0,"",AVERAGE(Q390:Z390)*4)</x:f>
      </x:c>
      <x:c r="CE390" s="178" t="str">
        <x:f>IF(COUNT(AA390:AJ390)=0,"",AVERAGE(AA390:AJ390)*4)</x:f>
      </x:c>
      <x:c r="CF390" s="178" t="str">
        <x:f>IF(COUNT(AK390:AR390)=0,"",AVERAGE(AK390:AR390)*4)</x:f>
      </x:c>
      <x:c r="CG390" s="178" t="str">
        <x:f>IF(COUNT(AS390:AY390)=0,"",AVERAGE(AS390:AY390)*4)</x:f>
      </x:c>
      <x:c r="CH390" s="178" t="str">
        <x:f>IF(COUNT(AZ390:BG390)=0,"",AVERAGE(AZ390:BG390)*4)</x:f>
      </x:c>
      <x:c r="CI390" s="178" t="str">
        <x:f>IF(COUNT(BH390:BN390)=0,"",AVERAGE(BH390:BN390)*4)</x:f>
      </x:c>
      <x:c r="CJ390" s="178" t="str">
        <x:f>IF(COUNT(BO390:BU390)=0,"",AVERAGE(BO390:BU390)*4)</x:f>
      </x:c>
      <x:c r="CK390" s="178" t="str">
        <x:f>IF(COUNT(BV390:CB390)=0,"",AVERAGE(BV390:CB390)*4)</x:f>
      </x:c>
      <x:c r="CL390" s="178" t="str">
        <x:f>IF(C390="","",IF(COUNT(G390:CB390)&lt;74,"",(CC390*'تنظیمات وزن‌دهی'!$C$5+CD390*'تنظیمات وزن‌دهی'!$C$6+CE390*'تنظیمات وزن‌دهی'!$C$7+CF390*'تنظیمات وزن‌دهی'!$C$8+CG390*'تنظیمات وزن‌دهی'!$C$9+CH390*'تنظیمات وزن‌دهی'!$C$10+CI390*'تنظیمات وزن‌دهی'!$C$11+CJ390*'تنظیمات وزن‌دهی'!$C$12+CK390*'تنظیمات وزن‌دهی'!$C$13)/100))</x:f>
      </x:c>
      <x:c r="CM390" s="178" t="str">
        <x:f>IF(C390="","",IF(COUNT(G390:CB390)=0,"",IF(COUNT(G390:CB390)&lt;74,"موقت - اطلاعات ناقص",IF(CL390&gt;=17,"عالی",IF(CL390&gt;=14,"خوب",IF(CL390&gt;=10,"متوسط","ضعیف"))))))</x:f>
      </x:c>
      <x:c r="CN390" s="178" t="n">
        <x:v>2</x:v>
      </x:c>
      <x:c r="CO390" s="142" t="n">
        <x:f>IF(C390="","",COUNT(G390:CB390)/74)</x:f>
        <x:v>0</x:v>
      </x:c>
      <x:c r="CP390" s="245"/>
    </x:row>
    <x:row r="391">
      <x:c r="A391" s="165" t="n">
        <x:v>387</x:v>
      </x:c>
      <x:c r="B391" s="233" t="str">
        <x:v>شهریور</x:v>
      </x:c>
      <x:c r="C391" s="233" t="n">
        <x:f>IF('دانش‌آموزان'!E37="","",'دانش‌آموزان'!B37)</x:f>
        <x:v>33</x:v>
      </x:c>
      <x:c r="D391" s="233" t="str">
        <x:f>IF('دانش‌آموزان'!C37="","",'دانش‌آموزان'!C37)</x:f>
        <x:v>4000000330</x:v>
      </x:c>
      <x:c r="E391" s="233" t="str">
        <x:f>IF('دانش‌آموزان'!E37="","",'دانش‌آموزان'!E37&amp;" "&amp;'دانش‌آموزان'!F37)</x:f>
        <x:v>طاها رضایی</x:v>
      </x:c>
      <x:c r="F391" s="166" t="str">
        <x:f>IF('دانش‌آموزان'!I37="","",'دانش‌آموزان'!I37)</x:f>
        <x:v>sample-7-b</x:v>
      </x:c>
      <x:c r="G391" s="114"/>
      <x:c r="H391" s="115"/>
      <x:c r="I391" s="115"/>
      <x:c r="J391" s="115"/>
      <x:c r="K391" s="115"/>
      <x:c r="L391" s="115"/>
      <x:c r="M391" s="115"/>
      <x:c r="N391" s="115"/>
      <x:c r="O391" s="115"/>
      <x:c r="P391" s="115"/>
      <x:c r="Q391" s="115"/>
      <x:c r="R391" s="115"/>
      <x:c r="S391" s="115"/>
      <x:c r="T391" s="115"/>
      <x:c r="U391" s="115"/>
      <x:c r="V391" s="115"/>
      <x:c r="W391" s="115"/>
      <x:c r="X391" s="115"/>
      <x:c r="Y391" s="115"/>
      <x:c r="Z391" s="115"/>
      <x:c r="AA391" s="115"/>
      <x:c r="AB391" s="115"/>
      <x:c r="AC391" s="115"/>
      <x:c r="AD391" s="115"/>
      <x:c r="AE391" s="115"/>
      <x:c r="AF391" s="115"/>
      <x:c r="AG391" s="115"/>
      <x:c r="AH391" s="115"/>
      <x:c r="AI391" s="115"/>
      <x:c r="AJ391" s="115"/>
      <x:c r="AK391" s="115"/>
      <x:c r="AL391" s="115"/>
      <x:c r="AM391" s="115"/>
      <x:c r="AN391" s="115"/>
      <x:c r="AO391" s="115"/>
      <x:c r="AP391" s="115"/>
      <x:c r="AQ391" s="115"/>
      <x:c r="AR391" s="115"/>
      <x:c r="AS391" s="115"/>
      <x:c r="AT391" s="115"/>
      <x:c r="AU391" s="115"/>
      <x:c r="AV391" s="115"/>
      <x:c r="AW391" s="115"/>
      <x:c r="AX391" s="115"/>
      <x:c r="AY391" s="115"/>
      <x:c r="AZ391" s="115"/>
      <x:c r="BA391" s="115"/>
      <x:c r="BB391" s="115"/>
      <x:c r="BC391" s="115"/>
      <x:c r="BD391" s="115"/>
      <x:c r="BE391" s="115"/>
      <x:c r="BF391" s="115"/>
      <x:c r="BG391" s="115"/>
      <x:c r="BH391" s="115"/>
      <x:c r="BI391" s="115"/>
      <x:c r="BJ391" s="115"/>
      <x:c r="BK391" s="115"/>
      <x:c r="BL391" s="115"/>
      <x:c r="BM391" s="115"/>
      <x:c r="BN391" s="115"/>
      <x:c r="BO391" s="115"/>
      <x:c r="BP391" s="115"/>
      <x:c r="BQ391" s="115"/>
      <x:c r="BR391" s="115"/>
      <x:c r="BS391" s="115"/>
      <x:c r="BT391" s="115"/>
      <x:c r="BU391" s="115"/>
      <x:c r="BV391" s="115"/>
      <x:c r="BW391" s="115"/>
      <x:c r="BX391" s="115"/>
      <x:c r="BY391" s="115"/>
      <x:c r="BZ391" s="115"/>
      <x:c r="CA391" s="115"/>
      <x:c r="CB391" s="116"/>
      <x:c r="CC391" s="141" t="str">
        <x:f>IF(COUNT(G391:P391)=0,"",AVERAGE(G391:P391)*4)</x:f>
      </x:c>
      <x:c r="CD391" s="178" t="str">
        <x:f>IF(COUNT(Q391:Z391)=0,"",AVERAGE(Q391:Z391)*4)</x:f>
      </x:c>
      <x:c r="CE391" s="178" t="str">
        <x:f>IF(COUNT(AA391:AJ391)=0,"",AVERAGE(AA391:AJ391)*4)</x:f>
      </x:c>
      <x:c r="CF391" s="178" t="str">
        <x:f>IF(COUNT(AK391:AR391)=0,"",AVERAGE(AK391:AR391)*4)</x:f>
      </x:c>
      <x:c r="CG391" s="178" t="str">
        <x:f>IF(COUNT(AS391:AY391)=0,"",AVERAGE(AS391:AY391)*4)</x:f>
      </x:c>
      <x:c r="CH391" s="178" t="str">
        <x:f>IF(COUNT(AZ391:BG391)=0,"",AVERAGE(AZ391:BG391)*4)</x:f>
      </x:c>
      <x:c r="CI391" s="178" t="str">
        <x:f>IF(COUNT(BH391:BN391)=0,"",AVERAGE(BH391:BN391)*4)</x:f>
      </x:c>
      <x:c r="CJ391" s="178" t="str">
        <x:f>IF(COUNT(BO391:BU391)=0,"",AVERAGE(BO391:BU391)*4)</x:f>
      </x:c>
      <x:c r="CK391" s="178" t="str">
        <x:f>IF(COUNT(BV391:CB391)=0,"",AVERAGE(BV391:CB391)*4)</x:f>
      </x:c>
      <x:c r="CL391" s="178" t="str">
        <x:f>IF(C391="","",IF(COUNT(G391:CB391)&lt;74,"",(CC391*'تنظیمات وزن‌دهی'!$C$5+CD391*'تنظیمات وزن‌دهی'!$C$6+CE391*'تنظیمات وزن‌دهی'!$C$7+CF391*'تنظیمات وزن‌دهی'!$C$8+CG391*'تنظیمات وزن‌دهی'!$C$9+CH391*'تنظیمات وزن‌دهی'!$C$10+CI391*'تنظیمات وزن‌دهی'!$C$11+CJ391*'تنظیمات وزن‌دهی'!$C$12+CK391*'تنظیمات وزن‌دهی'!$C$13)/100))</x:f>
      </x:c>
      <x:c r="CM391" s="178" t="str">
        <x:f>IF(C391="","",IF(COUNT(G391:CB391)=0,"",IF(COUNT(G391:CB391)&lt;74,"موقت - اطلاعات ناقص",IF(CL391&gt;=17,"عالی",IF(CL391&gt;=14,"خوب",IF(CL391&gt;=10,"متوسط","ضعیف"))))))</x:f>
      </x:c>
      <x:c r="CN391" s="178" t="n">
        <x:v>3</x:v>
      </x:c>
      <x:c r="CO391" s="142" t="n">
        <x:f>IF(C391="","",COUNT(G391:CB391)/74)</x:f>
        <x:v>0</x:v>
      </x:c>
      <x:c r="CP391" s="245"/>
    </x:row>
    <x:row r="392">
      <x:c r="A392" s="165" t="n">
        <x:v>388</x:v>
      </x:c>
      <x:c r="B392" s="233" t="str">
        <x:v>مهر</x:v>
      </x:c>
      <x:c r="C392" s="233" t="n">
        <x:f>IF('دانش‌آموزان'!E37="","",'دانش‌آموزان'!B37)</x:f>
        <x:v>33</x:v>
      </x:c>
      <x:c r="D392" s="233" t="str">
        <x:f>IF('دانش‌آموزان'!C37="","",'دانش‌آموزان'!C37)</x:f>
        <x:v>4000000330</x:v>
      </x:c>
      <x:c r="E392" s="233" t="str">
        <x:f>IF('دانش‌آموزان'!E37="","",'دانش‌آموزان'!E37&amp;" "&amp;'دانش‌آموزان'!F37)</x:f>
        <x:v>طاها رضایی</x:v>
      </x:c>
      <x:c r="F392" s="166" t="str">
        <x:f>IF('دانش‌آموزان'!I37="","",'دانش‌آموزان'!I37)</x:f>
        <x:v>sample-7-b</x:v>
      </x:c>
      <x:c r="G392" s="114"/>
      <x:c r="H392" s="115"/>
      <x:c r="I392" s="115"/>
      <x:c r="J392" s="115"/>
      <x:c r="K392" s="115"/>
      <x:c r="L392" s="115"/>
      <x:c r="M392" s="115"/>
      <x:c r="N392" s="115"/>
      <x:c r="O392" s="115"/>
      <x:c r="P392" s="115"/>
      <x:c r="Q392" s="115"/>
      <x:c r="R392" s="115"/>
      <x:c r="S392" s="115"/>
      <x:c r="T392" s="115"/>
      <x:c r="U392" s="115"/>
      <x:c r="V392" s="115"/>
      <x:c r="W392" s="115"/>
      <x:c r="X392" s="115"/>
      <x:c r="Y392" s="115"/>
      <x:c r="Z392" s="115"/>
      <x:c r="AA392" s="115"/>
      <x:c r="AB392" s="115"/>
      <x:c r="AC392" s="115"/>
      <x:c r="AD392" s="115"/>
      <x:c r="AE392" s="115"/>
      <x:c r="AF392" s="115"/>
      <x:c r="AG392" s="115"/>
      <x:c r="AH392" s="115"/>
      <x:c r="AI392" s="115"/>
      <x:c r="AJ392" s="115"/>
      <x:c r="AK392" s="115"/>
      <x:c r="AL392" s="115"/>
      <x:c r="AM392" s="115"/>
      <x:c r="AN392" s="115"/>
      <x:c r="AO392" s="115"/>
      <x:c r="AP392" s="115"/>
      <x:c r="AQ392" s="115"/>
      <x:c r="AR392" s="115"/>
      <x:c r="AS392" s="115"/>
      <x:c r="AT392" s="115"/>
      <x:c r="AU392" s="115"/>
      <x:c r="AV392" s="115"/>
      <x:c r="AW392" s="115"/>
      <x:c r="AX392" s="115"/>
      <x:c r="AY392" s="115"/>
      <x:c r="AZ392" s="115"/>
      <x:c r="BA392" s="115"/>
      <x:c r="BB392" s="115"/>
      <x:c r="BC392" s="115"/>
      <x:c r="BD392" s="115"/>
      <x:c r="BE392" s="115"/>
      <x:c r="BF392" s="115"/>
      <x:c r="BG392" s="115"/>
      <x:c r="BH392" s="115"/>
      <x:c r="BI392" s="115"/>
      <x:c r="BJ392" s="115"/>
      <x:c r="BK392" s="115"/>
      <x:c r="BL392" s="115"/>
      <x:c r="BM392" s="115"/>
      <x:c r="BN392" s="115"/>
      <x:c r="BO392" s="115"/>
      <x:c r="BP392" s="115"/>
      <x:c r="BQ392" s="115"/>
      <x:c r="BR392" s="115"/>
      <x:c r="BS392" s="115"/>
      <x:c r="BT392" s="115"/>
      <x:c r="BU392" s="115"/>
      <x:c r="BV392" s="115"/>
      <x:c r="BW392" s="115"/>
      <x:c r="BX392" s="115"/>
      <x:c r="BY392" s="115"/>
      <x:c r="BZ392" s="115"/>
      <x:c r="CA392" s="115"/>
      <x:c r="CB392" s="116"/>
      <x:c r="CC392" s="141" t="str">
        <x:f>IF(COUNT(G392:P392)=0,"",AVERAGE(G392:P392)*4)</x:f>
      </x:c>
      <x:c r="CD392" s="178" t="str">
        <x:f>IF(COUNT(Q392:Z392)=0,"",AVERAGE(Q392:Z392)*4)</x:f>
      </x:c>
      <x:c r="CE392" s="178" t="str">
        <x:f>IF(COUNT(AA392:AJ392)=0,"",AVERAGE(AA392:AJ392)*4)</x:f>
      </x:c>
      <x:c r="CF392" s="178" t="str">
        <x:f>IF(COUNT(AK392:AR392)=0,"",AVERAGE(AK392:AR392)*4)</x:f>
      </x:c>
      <x:c r="CG392" s="178" t="str">
        <x:f>IF(COUNT(AS392:AY392)=0,"",AVERAGE(AS392:AY392)*4)</x:f>
      </x:c>
      <x:c r="CH392" s="178" t="str">
        <x:f>IF(COUNT(AZ392:BG392)=0,"",AVERAGE(AZ392:BG392)*4)</x:f>
      </x:c>
      <x:c r="CI392" s="178" t="str">
        <x:f>IF(COUNT(BH392:BN392)=0,"",AVERAGE(BH392:BN392)*4)</x:f>
      </x:c>
      <x:c r="CJ392" s="178" t="str">
        <x:f>IF(COUNT(BO392:BU392)=0,"",AVERAGE(BO392:BU392)*4)</x:f>
      </x:c>
      <x:c r="CK392" s="178" t="str">
        <x:f>IF(COUNT(BV392:CB392)=0,"",AVERAGE(BV392:CB392)*4)</x:f>
      </x:c>
      <x:c r="CL392" s="178" t="str">
        <x:f>IF(C392="","",IF(COUNT(G392:CB392)&lt;74,"",(CC392*'تنظیمات وزن‌دهی'!$C$5+CD392*'تنظیمات وزن‌دهی'!$C$6+CE392*'تنظیمات وزن‌دهی'!$C$7+CF392*'تنظیمات وزن‌دهی'!$C$8+CG392*'تنظیمات وزن‌دهی'!$C$9+CH392*'تنظیمات وزن‌دهی'!$C$10+CI392*'تنظیمات وزن‌دهی'!$C$11+CJ392*'تنظیمات وزن‌دهی'!$C$12+CK392*'تنظیمات وزن‌دهی'!$C$13)/100))</x:f>
      </x:c>
      <x:c r="CM392" s="178" t="str">
        <x:f>IF(C392="","",IF(COUNT(G392:CB392)=0,"",IF(COUNT(G392:CB392)&lt;74,"موقت - اطلاعات ناقص",IF(CL392&gt;=17,"عالی",IF(CL392&gt;=14,"خوب",IF(CL392&gt;=10,"متوسط","ضعیف"))))))</x:f>
      </x:c>
      <x:c r="CN392" s="178" t="n">
        <x:v>4</x:v>
      </x:c>
      <x:c r="CO392" s="142" t="n">
        <x:f>IF(C392="","",COUNT(G392:CB392)/74)</x:f>
        <x:v>0</x:v>
      </x:c>
      <x:c r="CP392" s="245"/>
    </x:row>
    <x:row r="393">
      <x:c r="A393" s="165" t="n">
        <x:v>389</x:v>
      </x:c>
      <x:c r="B393" s="233" t="str">
        <x:v>آبان</x:v>
      </x:c>
      <x:c r="C393" s="233" t="n">
        <x:f>IF('دانش‌آموزان'!E37="","",'دانش‌آموزان'!B37)</x:f>
        <x:v>33</x:v>
      </x:c>
      <x:c r="D393" s="233" t="str">
        <x:f>IF('دانش‌آموزان'!C37="","",'دانش‌آموزان'!C37)</x:f>
        <x:v>4000000330</x:v>
      </x:c>
      <x:c r="E393" s="233" t="str">
        <x:f>IF('دانش‌آموزان'!E37="","",'دانش‌آموزان'!E37&amp;" "&amp;'دانش‌آموزان'!F37)</x:f>
        <x:v>طاها رضایی</x:v>
      </x:c>
      <x:c r="F393" s="166" t="str">
        <x:f>IF('دانش‌آموزان'!I37="","",'دانش‌آموزان'!I37)</x:f>
        <x:v>sample-7-b</x:v>
      </x:c>
      <x:c r="G393" s="114"/>
      <x:c r="H393" s="115"/>
      <x:c r="I393" s="115"/>
      <x:c r="J393" s="115"/>
      <x:c r="K393" s="115"/>
      <x:c r="L393" s="115"/>
      <x:c r="M393" s="115"/>
      <x:c r="N393" s="115"/>
      <x:c r="O393" s="115"/>
      <x:c r="P393" s="115"/>
      <x:c r="Q393" s="115"/>
      <x:c r="R393" s="115"/>
      <x:c r="S393" s="115"/>
      <x:c r="T393" s="115"/>
      <x:c r="U393" s="115"/>
      <x:c r="V393" s="115"/>
      <x:c r="W393" s="115"/>
      <x:c r="X393" s="115"/>
      <x:c r="Y393" s="115"/>
      <x:c r="Z393" s="115"/>
      <x:c r="AA393" s="115"/>
      <x:c r="AB393" s="115"/>
      <x:c r="AC393" s="115"/>
      <x:c r="AD393" s="115"/>
      <x:c r="AE393" s="115"/>
      <x:c r="AF393" s="115"/>
      <x:c r="AG393" s="115"/>
      <x:c r="AH393" s="115"/>
      <x:c r="AI393" s="115"/>
      <x:c r="AJ393" s="115"/>
      <x:c r="AK393" s="115"/>
      <x:c r="AL393" s="115"/>
      <x:c r="AM393" s="115"/>
      <x:c r="AN393" s="115"/>
      <x:c r="AO393" s="115"/>
      <x:c r="AP393" s="115"/>
      <x:c r="AQ393" s="115"/>
      <x:c r="AR393" s="115"/>
      <x:c r="AS393" s="115"/>
      <x:c r="AT393" s="115"/>
      <x:c r="AU393" s="115"/>
      <x:c r="AV393" s="115"/>
      <x:c r="AW393" s="115"/>
      <x:c r="AX393" s="115"/>
      <x:c r="AY393" s="115"/>
      <x:c r="AZ393" s="115"/>
      <x:c r="BA393" s="115"/>
      <x:c r="BB393" s="115"/>
      <x:c r="BC393" s="115"/>
      <x:c r="BD393" s="115"/>
      <x:c r="BE393" s="115"/>
      <x:c r="BF393" s="115"/>
      <x:c r="BG393" s="115"/>
      <x:c r="BH393" s="115"/>
      <x:c r="BI393" s="115"/>
      <x:c r="BJ393" s="115"/>
      <x:c r="BK393" s="115"/>
      <x:c r="BL393" s="115"/>
      <x:c r="BM393" s="115"/>
      <x:c r="BN393" s="115"/>
      <x:c r="BO393" s="115"/>
      <x:c r="BP393" s="115"/>
      <x:c r="BQ393" s="115"/>
      <x:c r="BR393" s="115"/>
      <x:c r="BS393" s="115"/>
      <x:c r="BT393" s="115"/>
      <x:c r="BU393" s="115"/>
      <x:c r="BV393" s="115"/>
      <x:c r="BW393" s="115"/>
      <x:c r="BX393" s="115"/>
      <x:c r="BY393" s="115"/>
      <x:c r="BZ393" s="115"/>
      <x:c r="CA393" s="115"/>
      <x:c r="CB393" s="116"/>
      <x:c r="CC393" s="141" t="str">
        <x:f>IF(COUNT(G393:P393)=0,"",AVERAGE(G393:P393)*4)</x:f>
      </x:c>
      <x:c r="CD393" s="178" t="str">
        <x:f>IF(COUNT(Q393:Z393)=0,"",AVERAGE(Q393:Z393)*4)</x:f>
      </x:c>
      <x:c r="CE393" s="178" t="str">
        <x:f>IF(COUNT(AA393:AJ393)=0,"",AVERAGE(AA393:AJ393)*4)</x:f>
      </x:c>
      <x:c r="CF393" s="178" t="str">
        <x:f>IF(COUNT(AK393:AR393)=0,"",AVERAGE(AK393:AR393)*4)</x:f>
      </x:c>
      <x:c r="CG393" s="178" t="str">
        <x:f>IF(COUNT(AS393:AY393)=0,"",AVERAGE(AS393:AY393)*4)</x:f>
      </x:c>
      <x:c r="CH393" s="178" t="str">
        <x:f>IF(COUNT(AZ393:BG393)=0,"",AVERAGE(AZ393:BG393)*4)</x:f>
      </x:c>
      <x:c r="CI393" s="178" t="str">
        <x:f>IF(COUNT(BH393:BN393)=0,"",AVERAGE(BH393:BN393)*4)</x:f>
      </x:c>
      <x:c r="CJ393" s="178" t="str">
        <x:f>IF(COUNT(BO393:BU393)=0,"",AVERAGE(BO393:BU393)*4)</x:f>
      </x:c>
      <x:c r="CK393" s="178" t="str">
        <x:f>IF(COUNT(BV393:CB393)=0,"",AVERAGE(BV393:CB393)*4)</x:f>
      </x:c>
      <x:c r="CL393" s="178" t="str">
        <x:f>IF(C393="","",IF(COUNT(G393:CB393)&lt;74,"",(CC393*'تنظیمات وزن‌دهی'!$C$5+CD393*'تنظیمات وزن‌دهی'!$C$6+CE393*'تنظیمات وزن‌دهی'!$C$7+CF393*'تنظیمات وزن‌دهی'!$C$8+CG393*'تنظیمات وزن‌دهی'!$C$9+CH393*'تنظیمات وزن‌دهی'!$C$10+CI393*'تنظیمات وزن‌دهی'!$C$11+CJ393*'تنظیمات وزن‌دهی'!$C$12+CK393*'تنظیمات وزن‌دهی'!$C$13)/100))</x:f>
      </x:c>
      <x:c r="CM393" s="178" t="str">
        <x:f>IF(C393="","",IF(COUNT(G393:CB393)=0,"",IF(COUNT(G393:CB393)&lt;74,"موقت - اطلاعات ناقص",IF(CL393&gt;=17,"عالی",IF(CL393&gt;=14,"خوب",IF(CL393&gt;=10,"متوسط","ضعیف"))))))</x:f>
      </x:c>
      <x:c r="CN393" s="178" t="n">
        <x:v>5</x:v>
      </x:c>
      <x:c r="CO393" s="142" t="n">
        <x:f>IF(C393="","",COUNT(G393:CB393)/74)</x:f>
        <x:v>0</x:v>
      </x:c>
      <x:c r="CP393" s="245"/>
    </x:row>
    <x:row r="394">
      <x:c r="A394" s="165" t="n">
        <x:v>390</x:v>
      </x:c>
      <x:c r="B394" s="233" t="str">
        <x:v>آذر</x:v>
      </x:c>
      <x:c r="C394" s="233" t="n">
        <x:f>IF('دانش‌آموزان'!E37="","",'دانش‌آموزان'!B37)</x:f>
        <x:v>33</x:v>
      </x:c>
      <x:c r="D394" s="233" t="str">
        <x:f>IF('دانش‌آموزان'!C37="","",'دانش‌آموزان'!C37)</x:f>
        <x:v>4000000330</x:v>
      </x:c>
      <x:c r="E394" s="233" t="str">
        <x:f>IF('دانش‌آموزان'!E37="","",'دانش‌آموزان'!E37&amp;" "&amp;'دانش‌آموزان'!F37)</x:f>
        <x:v>طاها رضایی</x:v>
      </x:c>
      <x:c r="F394" s="166" t="str">
        <x:f>IF('دانش‌آموزان'!I37="","",'دانش‌آموزان'!I37)</x:f>
        <x:v>sample-7-b</x:v>
      </x:c>
      <x:c r="G394" s="114"/>
      <x:c r="H394" s="115"/>
      <x:c r="I394" s="115"/>
      <x:c r="J394" s="115"/>
      <x:c r="K394" s="115"/>
      <x:c r="L394" s="115"/>
      <x:c r="M394" s="115"/>
      <x:c r="N394" s="115"/>
      <x:c r="O394" s="115"/>
      <x:c r="P394" s="115"/>
      <x:c r="Q394" s="115"/>
      <x:c r="R394" s="115"/>
      <x:c r="S394" s="115"/>
      <x:c r="T394" s="115"/>
      <x:c r="U394" s="115"/>
      <x:c r="V394" s="115"/>
      <x:c r="W394" s="115"/>
      <x:c r="X394" s="115"/>
      <x:c r="Y394" s="115"/>
      <x:c r="Z394" s="115"/>
      <x:c r="AA394" s="115"/>
      <x:c r="AB394" s="115"/>
      <x:c r="AC394" s="115"/>
      <x:c r="AD394" s="115"/>
      <x:c r="AE394" s="115"/>
      <x:c r="AF394" s="115"/>
      <x:c r="AG394" s="115"/>
      <x:c r="AH394" s="115"/>
      <x:c r="AI394" s="115"/>
      <x:c r="AJ394" s="115"/>
      <x:c r="AK394" s="115"/>
      <x:c r="AL394" s="115"/>
      <x:c r="AM394" s="115"/>
      <x:c r="AN394" s="115"/>
      <x:c r="AO394" s="115"/>
      <x:c r="AP394" s="115"/>
      <x:c r="AQ394" s="115"/>
      <x:c r="AR394" s="115"/>
      <x:c r="AS394" s="115"/>
      <x:c r="AT394" s="115"/>
      <x:c r="AU394" s="115"/>
      <x:c r="AV394" s="115"/>
      <x:c r="AW394" s="115"/>
      <x:c r="AX394" s="115"/>
      <x:c r="AY394" s="115"/>
      <x:c r="AZ394" s="115"/>
      <x:c r="BA394" s="115"/>
      <x:c r="BB394" s="115"/>
      <x:c r="BC394" s="115"/>
      <x:c r="BD394" s="115"/>
      <x:c r="BE394" s="115"/>
      <x:c r="BF394" s="115"/>
      <x:c r="BG394" s="115"/>
      <x:c r="BH394" s="115"/>
      <x:c r="BI394" s="115"/>
      <x:c r="BJ394" s="115"/>
      <x:c r="BK394" s="115"/>
      <x:c r="BL394" s="115"/>
      <x:c r="BM394" s="115"/>
      <x:c r="BN394" s="115"/>
      <x:c r="BO394" s="115"/>
      <x:c r="BP394" s="115"/>
      <x:c r="BQ394" s="115"/>
      <x:c r="BR394" s="115"/>
      <x:c r="BS394" s="115"/>
      <x:c r="BT394" s="115"/>
      <x:c r="BU394" s="115"/>
      <x:c r="BV394" s="115"/>
      <x:c r="BW394" s="115"/>
      <x:c r="BX394" s="115"/>
      <x:c r="BY394" s="115"/>
      <x:c r="BZ394" s="115"/>
      <x:c r="CA394" s="115"/>
      <x:c r="CB394" s="116"/>
      <x:c r="CC394" s="141" t="str">
        <x:f>IF(COUNT(G394:P394)=0,"",AVERAGE(G394:P394)*4)</x:f>
      </x:c>
      <x:c r="CD394" s="178" t="str">
        <x:f>IF(COUNT(Q394:Z394)=0,"",AVERAGE(Q394:Z394)*4)</x:f>
      </x:c>
      <x:c r="CE394" s="178" t="str">
        <x:f>IF(COUNT(AA394:AJ394)=0,"",AVERAGE(AA394:AJ394)*4)</x:f>
      </x:c>
      <x:c r="CF394" s="178" t="str">
        <x:f>IF(COUNT(AK394:AR394)=0,"",AVERAGE(AK394:AR394)*4)</x:f>
      </x:c>
      <x:c r="CG394" s="178" t="str">
        <x:f>IF(COUNT(AS394:AY394)=0,"",AVERAGE(AS394:AY394)*4)</x:f>
      </x:c>
      <x:c r="CH394" s="178" t="str">
        <x:f>IF(COUNT(AZ394:BG394)=0,"",AVERAGE(AZ394:BG394)*4)</x:f>
      </x:c>
      <x:c r="CI394" s="178" t="str">
        <x:f>IF(COUNT(BH394:BN394)=0,"",AVERAGE(BH394:BN394)*4)</x:f>
      </x:c>
      <x:c r="CJ394" s="178" t="str">
        <x:f>IF(COUNT(BO394:BU394)=0,"",AVERAGE(BO394:BU394)*4)</x:f>
      </x:c>
      <x:c r="CK394" s="178" t="str">
        <x:f>IF(COUNT(BV394:CB394)=0,"",AVERAGE(BV394:CB394)*4)</x:f>
      </x:c>
      <x:c r="CL394" s="178" t="str">
        <x:f>IF(C394="","",IF(COUNT(G394:CB394)&lt;74,"",(CC394*'تنظیمات وزن‌دهی'!$C$5+CD394*'تنظیمات وزن‌دهی'!$C$6+CE394*'تنظیمات وزن‌دهی'!$C$7+CF394*'تنظیمات وزن‌دهی'!$C$8+CG394*'تنظیمات وزن‌دهی'!$C$9+CH394*'تنظیمات وزن‌دهی'!$C$10+CI394*'تنظیمات وزن‌دهی'!$C$11+CJ394*'تنظیمات وزن‌دهی'!$C$12+CK394*'تنظیمات وزن‌دهی'!$C$13)/100))</x:f>
      </x:c>
      <x:c r="CM394" s="178" t="str">
        <x:f>IF(C394="","",IF(COUNT(G394:CB394)=0,"",IF(COUNT(G394:CB394)&lt;74,"موقت - اطلاعات ناقص",IF(CL394&gt;=17,"عالی",IF(CL394&gt;=14,"خوب",IF(CL394&gt;=10,"متوسط","ضعیف"))))))</x:f>
      </x:c>
      <x:c r="CN394" s="178" t="n">
        <x:v>6</x:v>
      </x:c>
      <x:c r="CO394" s="142" t="n">
        <x:f>IF(C394="","",COUNT(G394:CB394)/74)</x:f>
        <x:v>0</x:v>
      </x:c>
      <x:c r="CP394" s="245"/>
    </x:row>
    <x:row r="395">
      <x:c r="A395" s="165" t="n">
        <x:v>391</x:v>
      </x:c>
      <x:c r="B395" s="233" t="str">
        <x:v>دی</x:v>
      </x:c>
      <x:c r="C395" s="233" t="n">
        <x:f>IF('دانش‌آموزان'!E37="","",'دانش‌آموزان'!B37)</x:f>
        <x:v>33</x:v>
      </x:c>
      <x:c r="D395" s="233" t="str">
        <x:f>IF('دانش‌آموزان'!C37="","",'دانش‌آموزان'!C37)</x:f>
        <x:v>4000000330</x:v>
      </x:c>
      <x:c r="E395" s="233" t="str">
        <x:f>IF('دانش‌آموزان'!E37="","",'دانش‌آموزان'!E37&amp;" "&amp;'دانش‌آموزان'!F37)</x:f>
        <x:v>طاها رضایی</x:v>
      </x:c>
      <x:c r="F395" s="166" t="str">
        <x:f>IF('دانش‌آموزان'!I37="","",'دانش‌آموزان'!I37)</x:f>
        <x:v>sample-7-b</x:v>
      </x:c>
      <x:c r="G395" s="114"/>
      <x:c r="H395" s="115"/>
      <x:c r="I395" s="115"/>
      <x:c r="J395" s="115"/>
      <x:c r="K395" s="115"/>
      <x:c r="L395" s="115"/>
      <x:c r="M395" s="115"/>
      <x:c r="N395" s="115"/>
      <x:c r="O395" s="115"/>
      <x:c r="P395" s="115"/>
      <x:c r="Q395" s="115"/>
      <x:c r="R395" s="115"/>
      <x:c r="S395" s="115"/>
      <x:c r="T395" s="115"/>
      <x:c r="U395" s="115"/>
      <x:c r="V395" s="115"/>
      <x:c r="W395" s="115"/>
      <x:c r="X395" s="115"/>
      <x:c r="Y395" s="115"/>
      <x:c r="Z395" s="115"/>
      <x:c r="AA395" s="115"/>
      <x:c r="AB395" s="115"/>
      <x:c r="AC395" s="115"/>
      <x:c r="AD395" s="115"/>
      <x:c r="AE395" s="115"/>
      <x:c r="AF395" s="115"/>
      <x:c r="AG395" s="115"/>
      <x:c r="AH395" s="115"/>
      <x:c r="AI395" s="115"/>
      <x:c r="AJ395" s="115"/>
      <x:c r="AK395" s="115"/>
      <x:c r="AL395" s="115"/>
      <x:c r="AM395" s="115"/>
      <x:c r="AN395" s="115"/>
      <x:c r="AO395" s="115"/>
      <x:c r="AP395" s="115"/>
      <x:c r="AQ395" s="115"/>
      <x:c r="AR395" s="115"/>
      <x:c r="AS395" s="115"/>
      <x:c r="AT395" s="115"/>
      <x:c r="AU395" s="115"/>
      <x:c r="AV395" s="115"/>
      <x:c r="AW395" s="115"/>
      <x:c r="AX395" s="115"/>
      <x:c r="AY395" s="115"/>
      <x:c r="AZ395" s="115"/>
      <x:c r="BA395" s="115"/>
      <x:c r="BB395" s="115"/>
      <x:c r="BC395" s="115"/>
      <x:c r="BD395" s="115"/>
      <x:c r="BE395" s="115"/>
      <x:c r="BF395" s="115"/>
      <x:c r="BG395" s="115"/>
      <x:c r="BH395" s="115"/>
      <x:c r="BI395" s="115"/>
      <x:c r="BJ395" s="115"/>
      <x:c r="BK395" s="115"/>
      <x:c r="BL395" s="115"/>
      <x:c r="BM395" s="115"/>
      <x:c r="BN395" s="115"/>
      <x:c r="BO395" s="115"/>
      <x:c r="BP395" s="115"/>
      <x:c r="BQ395" s="115"/>
      <x:c r="BR395" s="115"/>
      <x:c r="BS395" s="115"/>
      <x:c r="BT395" s="115"/>
      <x:c r="BU395" s="115"/>
      <x:c r="BV395" s="115"/>
      <x:c r="BW395" s="115"/>
      <x:c r="BX395" s="115"/>
      <x:c r="BY395" s="115"/>
      <x:c r="BZ395" s="115"/>
      <x:c r="CA395" s="115"/>
      <x:c r="CB395" s="116"/>
      <x:c r="CC395" s="141" t="str">
        <x:f>IF(COUNT(G395:P395)=0,"",AVERAGE(G395:P395)*4)</x:f>
      </x:c>
      <x:c r="CD395" s="178" t="str">
        <x:f>IF(COUNT(Q395:Z395)=0,"",AVERAGE(Q395:Z395)*4)</x:f>
      </x:c>
      <x:c r="CE395" s="178" t="str">
        <x:f>IF(COUNT(AA395:AJ395)=0,"",AVERAGE(AA395:AJ395)*4)</x:f>
      </x:c>
      <x:c r="CF395" s="178" t="str">
        <x:f>IF(COUNT(AK395:AR395)=0,"",AVERAGE(AK395:AR395)*4)</x:f>
      </x:c>
      <x:c r="CG395" s="178" t="str">
        <x:f>IF(COUNT(AS395:AY395)=0,"",AVERAGE(AS395:AY395)*4)</x:f>
      </x:c>
      <x:c r="CH395" s="178" t="str">
        <x:f>IF(COUNT(AZ395:BG395)=0,"",AVERAGE(AZ395:BG395)*4)</x:f>
      </x:c>
      <x:c r="CI395" s="178" t="str">
        <x:f>IF(COUNT(BH395:BN395)=0,"",AVERAGE(BH395:BN395)*4)</x:f>
      </x:c>
      <x:c r="CJ395" s="178" t="str">
        <x:f>IF(COUNT(BO395:BU395)=0,"",AVERAGE(BO395:BU395)*4)</x:f>
      </x:c>
      <x:c r="CK395" s="178" t="str">
        <x:f>IF(COUNT(BV395:CB395)=0,"",AVERAGE(BV395:CB395)*4)</x:f>
      </x:c>
      <x:c r="CL395" s="178" t="str">
        <x:f>IF(C395="","",IF(COUNT(G395:CB395)&lt;74,"",(CC395*'تنظیمات وزن‌دهی'!$C$5+CD395*'تنظیمات وزن‌دهی'!$C$6+CE395*'تنظیمات وزن‌دهی'!$C$7+CF395*'تنظیمات وزن‌دهی'!$C$8+CG395*'تنظیمات وزن‌دهی'!$C$9+CH395*'تنظیمات وزن‌دهی'!$C$10+CI395*'تنظیمات وزن‌دهی'!$C$11+CJ395*'تنظیمات وزن‌دهی'!$C$12+CK395*'تنظیمات وزن‌دهی'!$C$13)/100))</x:f>
      </x:c>
      <x:c r="CM395" s="178" t="str">
        <x:f>IF(C395="","",IF(COUNT(G395:CB395)=0,"",IF(COUNT(G395:CB395)&lt;74,"موقت - اطلاعات ناقص",IF(CL395&gt;=17,"عالی",IF(CL395&gt;=14,"خوب",IF(CL395&gt;=10,"متوسط","ضعیف"))))))</x:f>
      </x:c>
      <x:c r="CN395" s="178" t="n">
        <x:v>7</x:v>
      </x:c>
      <x:c r="CO395" s="142" t="n">
        <x:f>IF(C395="","",COUNT(G395:CB395)/74)</x:f>
        <x:v>0</x:v>
      </x:c>
      <x:c r="CP395" s="245"/>
    </x:row>
    <x:row r="396">
      <x:c r="A396" s="165" t="n">
        <x:v>392</x:v>
      </x:c>
      <x:c r="B396" s="233" t="str">
        <x:v>بهمن</x:v>
      </x:c>
      <x:c r="C396" s="233" t="n">
        <x:f>IF('دانش‌آموزان'!E37="","",'دانش‌آموزان'!B37)</x:f>
        <x:v>33</x:v>
      </x:c>
      <x:c r="D396" s="233" t="str">
        <x:f>IF('دانش‌آموزان'!C37="","",'دانش‌آموزان'!C37)</x:f>
        <x:v>4000000330</x:v>
      </x:c>
      <x:c r="E396" s="233" t="str">
        <x:f>IF('دانش‌آموزان'!E37="","",'دانش‌آموزان'!E37&amp;" "&amp;'دانش‌آموزان'!F37)</x:f>
        <x:v>طاها رضایی</x:v>
      </x:c>
      <x:c r="F396" s="166" t="str">
        <x:f>IF('دانش‌آموزان'!I37="","",'دانش‌آموزان'!I37)</x:f>
        <x:v>sample-7-b</x:v>
      </x:c>
      <x:c r="G396" s="114"/>
      <x:c r="H396" s="115"/>
      <x:c r="I396" s="115"/>
      <x:c r="J396" s="115"/>
      <x:c r="K396" s="115"/>
      <x:c r="L396" s="115"/>
      <x:c r="M396" s="115"/>
      <x:c r="N396" s="115"/>
      <x:c r="O396" s="115"/>
      <x:c r="P396" s="115"/>
      <x:c r="Q396" s="115"/>
      <x:c r="R396" s="115"/>
      <x:c r="S396" s="115"/>
      <x:c r="T396" s="115"/>
      <x:c r="U396" s="115"/>
      <x:c r="V396" s="115"/>
      <x:c r="W396" s="115"/>
      <x:c r="X396" s="115"/>
      <x:c r="Y396" s="115"/>
      <x:c r="Z396" s="115"/>
      <x:c r="AA396" s="115"/>
      <x:c r="AB396" s="115"/>
      <x:c r="AC396" s="115"/>
      <x:c r="AD396" s="115"/>
      <x:c r="AE396" s="115"/>
      <x:c r="AF396" s="115"/>
      <x:c r="AG396" s="115"/>
      <x:c r="AH396" s="115"/>
      <x:c r="AI396" s="115"/>
      <x:c r="AJ396" s="115"/>
      <x:c r="AK396" s="115"/>
      <x:c r="AL396" s="115"/>
      <x:c r="AM396" s="115"/>
      <x:c r="AN396" s="115"/>
      <x:c r="AO396" s="115"/>
      <x:c r="AP396" s="115"/>
      <x:c r="AQ396" s="115"/>
      <x:c r="AR396" s="115"/>
      <x:c r="AS396" s="115"/>
      <x:c r="AT396" s="115"/>
      <x:c r="AU396" s="115"/>
      <x:c r="AV396" s="115"/>
      <x:c r="AW396" s="115"/>
      <x:c r="AX396" s="115"/>
      <x:c r="AY396" s="115"/>
      <x:c r="AZ396" s="115"/>
      <x:c r="BA396" s="115"/>
      <x:c r="BB396" s="115"/>
      <x:c r="BC396" s="115"/>
      <x:c r="BD396" s="115"/>
      <x:c r="BE396" s="115"/>
      <x:c r="BF396" s="115"/>
      <x:c r="BG396" s="115"/>
      <x:c r="BH396" s="115"/>
      <x:c r="BI396" s="115"/>
      <x:c r="BJ396" s="115"/>
      <x:c r="BK396" s="115"/>
      <x:c r="BL396" s="115"/>
      <x:c r="BM396" s="115"/>
      <x:c r="BN396" s="115"/>
      <x:c r="BO396" s="115"/>
      <x:c r="BP396" s="115"/>
      <x:c r="BQ396" s="115"/>
      <x:c r="BR396" s="115"/>
      <x:c r="BS396" s="115"/>
      <x:c r="BT396" s="115"/>
      <x:c r="BU396" s="115"/>
      <x:c r="BV396" s="115"/>
      <x:c r="BW396" s="115"/>
      <x:c r="BX396" s="115"/>
      <x:c r="BY396" s="115"/>
      <x:c r="BZ396" s="115"/>
      <x:c r="CA396" s="115"/>
      <x:c r="CB396" s="116"/>
      <x:c r="CC396" s="141" t="str">
        <x:f>IF(COUNT(G396:P396)=0,"",AVERAGE(G396:P396)*4)</x:f>
      </x:c>
      <x:c r="CD396" s="178" t="str">
        <x:f>IF(COUNT(Q396:Z396)=0,"",AVERAGE(Q396:Z396)*4)</x:f>
      </x:c>
      <x:c r="CE396" s="178" t="str">
        <x:f>IF(COUNT(AA396:AJ396)=0,"",AVERAGE(AA396:AJ396)*4)</x:f>
      </x:c>
      <x:c r="CF396" s="178" t="str">
        <x:f>IF(COUNT(AK396:AR396)=0,"",AVERAGE(AK396:AR396)*4)</x:f>
      </x:c>
      <x:c r="CG396" s="178" t="str">
        <x:f>IF(COUNT(AS396:AY396)=0,"",AVERAGE(AS396:AY396)*4)</x:f>
      </x:c>
      <x:c r="CH396" s="178" t="str">
        <x:f>IF(COUNT(AZ396:BG396)=0,"",AVERAGE(AZ396:BG396)*4)</x:f>
      </x:c>
      <x:c r="CI396" s="178" t="str">
        <x:f>IF(COUNT(BH396:BN396)=0,"",AVERAGE(BH396:BN396)*4)</x:f>
      </x:c>
      <x:c r="CJ396" s="178" t="str">
        <x:f>IF(COUNT(BO396:BU396)=0,"",AVERAGE(BO396:BU396)*4)</x:f>
      </x:c>
      <x:c r="CK396" s="178" t="str">
        <x:f>IF(COUNT(BV396:CB396)=0,"",AVERAGE(BV396:CB396)*4)</x:f>
      </x:c>
      <x:c r="CL396" s="178" t="str">
        <x:f>IF(C396="","",IF(COUNT(G396:CB396)&lt;74,"",(CC396*'تنظیمات وزن‌دهی'!$C$5+CD396*'تنظیمات وزن‌دهی'!$C$6+CE396*'تنظیمات وزن‌دهی'!$C$7+CF396*'تنظیمات وزن‌دهی'!$C$8+CG396*'تنظیمات وزن‌دهی'!$C$9+CH396*'تنظیمات وزن‌دهی'!$C$10+CI396*'تنظیمات وزن‌دهی'!$C$11+CJ396*'تنظیمات وزن‌دهی'!$C$12+CK396*'تنظیمات وزن‌دهی'!$C$13)/100))</x:f>
      </x:c>
      <x:c r="CM396" s="178" t="str">
        <x:f>IF(C396="","",IF(COUNT(G396:CB396)=0,"",IF(COUNT(G396:CB396)&lt;74,"موقت - اطلاعات ناقص",IF(CL396&gt;=17,"عالی",IF(CL396&gt;=14,"خوب",IF(CL396&gt;=10,"متوسط","ضعیف"))))))</x:f>
      </x:c>
      <x:c r="CN396" s="178" t="n">
        <x:v>8</x:v>
      </x:c>
      <x:c r="CO396" s="142" t="n">
        <x:f>IF(C396="","",COUNT(G396:CB396)/74)</x:f>
        <x:v>0</x:v>
      </x:c>
      <x:c r="CP396" s="245"/>
    </x:row>
    <x:row r="397">
      <x:c r="A397" s="165" t="n">
        <x:v>393</x:v>
      </x:c>
      <x:c r="B397" s="233" t="str">
        <x:v>اسفند</x:v>
      </x:c>
      <x:c r="C397" s="233" t="n">
        <x:f>IF('دانش‌آموزان'!E37="","",'دانش‌آموزان'!B37)</x:f>
        <x:v>33</x:v>
      </x:c>
      <x:c r="D397" s="233" t="str">
        <x:f>IF('دانش‌آموزان'!C37="","",'دانش‌آموزان'!C37)</x:f>
        <x:v>4000000330</x:v>
      </x:c>
      <x:c r="E397" s="233" t="str">
        <x:f>IF('دانش‌آموزان'!E37="","",'دانش‌آموزان'!E37&amp;" "&amp;'دانش‌آموزان'!F37)</x:f>
        <x:v>طاها رضایی</x:v>
      </x:c>
      <x:c r="F397" s="166" t="str">
        <x:f>IF('دانش‌آموزان'!I37="","",'دانش‌آموزان'!I37)</x:f>
        <x:v>sample-7-b</x:v>
      </x:c>
      <x:c r="G397" s="114"/>
      <x:c r="H397" s="115"/>
      <x:c r="I397" s="115"/>
      <x:c r="J397" s="115"/>
      <x:c r="K397" s="115"/>
      <x:c r="L397" s="115"/>
      <x:c r="M397" s="115"/>
      <x:c r="N397" s="115"/>
      <x:c r="O397" s="115"/>
      <x:c r="P397" s="115"/>
      <x:c r="Q397" s="115"/>
      <x:c r="R397" s="115"/>
      <x:c r="S397" s="115"/>
      <x:c r="T397" s="115"/>
      <x:c r="U397" s="115"/>
      <x:c r="V397" s="115"/>
      <x:c r="W397" s="115"/>
      <x:c r="X397" s="115"/>
      <x:c r="Y397" s="115"/>
      <x:c r="Z397" s="115"/>
      <x:c r="AA397" s="115"/>
      <x:c r="AB397" s="115"/>
      <x:c r="AC397" s="115"/>
      <x:c r="AD397" s="115"/>
      <x:c r="AE397" s="115"/>
      <x:c r="AF397" s="115"/>
      <x:c r="AG397" s="115"/>
      <x:c r="AH397" s="115"/>
      <x:c r="AI397" s="115"/>
      <x:c r="AJ397" s="115"/>
      <x:c r="AK397" s="115"/>
      <x:c r="AL397" s="115"/>
      <x:c r="AM397" s="115"/>
      <x:c r="AN397" s="115"/>
      <x:c r="AO397" s="115"/>
      <x:c r="AP397" s="115"/>
      <x:c r="AQ397" s="115"/>
      <x:c r="AR397" s="115"/>
      <x:c r="AS397" s="115"/>
      <x:c r="AT397" s="115"/>
      <x:c r="AU397" s="115"/>
      <x:c r="AV397" s="115"/>
      <x:c r="AW397" s="115"/>
      <x:c r="AX397" s="115"/>
      <x:c r="AY397" s="115"/>
      <x:c r="AZ397" s="115"/>
      <x:c r="BA397" s="115"/>
      <x:c r="BB397" s="115"/>
      <x:c r="BC397" s="115"/>
      <x:c r="BD397" s="115"/>
      <x:c r="BE397" s="115"/>
      <x:c r="BF397" s="115"/>
      <x:c r="BG397" s="115"/>
      <x:c r="BH397" s="115"/>
      <x:c r="BI397" s="115"/>
      <x:c r="BJ397" s="115"/>
      <x:c r="BK397" s="115"/>
      <x:c r="BL397" s="115"/>
      <x:c r="BM397" s="115"/>
      <x:c r="BN397" s="115"/>
      <x:c r="BO397" s="115"/>
      <x:c r="BP397" s="115"/>
      <x:c r="BQ397" s="115"/>
      <x:c r="BR397" s="115"/>
      <x:c r="BS397" s="115"/>
      <x:c r="BT397" s="115"/>
      <x:c r="BU397" s="115"/>
      <x:c r="BV397" s="115"/>
      <x:c r="BW397" s="115"/>
      <x:c r="BX397" s="115"/>
      <x:c r="BY397" s="115"/>
      <x:c r="BZ397" s="115"/>
      <x:c r="CA397" s="115"/>
      <x:c r="CB397" s="116"/>
      <x:c r="CC397" s="141" t="str">
        <x:f>IF(COUNT(G397:P397)=0,"",AVERAGE(G397:P397)*4)</x:f>
      </x:c>
      <x:c r="CD397" s="178" t="str">
        <x:f>IF(COUNT(Q397:Z397)=0,"",AVERAGE(Q397:Z397)*4)</x:f>
      </x:c>
      <x:c r="CE397" s="178" t="str">
        <x:f>IF(COUNT(AA397:AJ397)=0,"",AVERAGE(AA397:AJ397)*4)</x:f>
      </x:c>
      <x:c r="CF397" s="178" t="str">
        <x:f>IF(COUNT(AK397:AR397)=0,"",AVERAGE(AK397:AR397)*4)</x:f>
      </x:c>
      <x:c r="CG397" s="178" t="str">
        <x:f>IF(COUNT(AS397:AY397)=0,"",AVERAGE(AS397:AY397)*4)</x:f>
      </x:c>
      <x:c r="CH397" s="178" t="str">
        <x:f>IF(COUNT(AZ397:BG397)=0,"",AVERAGE(AZ397:BG397)*4)</x:f>
      </x:c>
      <x:c r="CI397" s="178" t="str">
        <x:f>IF(COUNT(BH397:BN397)=0,"",AVERAGE(BH397:BN397)*4)</x:f>
      </x:c>
      <x:c r="CJ397" s="178" t="str">
        <x:f>IF(COUNT(BO397:BU397)=0,"",AVERAGE(BO397:BU397)*4)</x:f>
      </x:c>
      <x:c r="CK397" s="178" t="str">
        <x:f>IF(COUNT(BV397:CB397)=0,"",AVERAGE(BV397:CB397)*4)</x:f>
      </x:c>
      <x:c r="CL397" s="178" t="str">
        <x:f>IF(C397="","",IF(COUNT(G397:CB397)&lt;74,"",(CC397*'تنظیمات وزن‌دهی'!$C$5+CD397*'تنظیمات وزن‌دهی'!$C$6+CE397*'تنظیمات وزن‌دهی'!$C$7+CF397*'تنظیمات وزن‌دهی'!$C$8+CG397*'تنظیمات وزن‌دهی'!$C$9+CH397*'تنظیمات وزن‌دهی'!$C$10+CI397*'تنظیمات وزن‌دهی'!$C$11+CJ397*'تنظیمات وزن‌دهی'!$C$12+CK397*'تنظیمات وزن‌دهی'!$C$13)/100))</x:f>
      </x:c>
      <x:c r="CM397" s="178" t="str">
        <x:f>IF(C397="","",IF(COUNT(G397:CB397)=0,"",IF(COUNT(G397:CB397)&lt;74,"موقت - اطلاعات ناقص",IF(CL397&gt;=17,"عالی",IF(CL397&gt;=14,"خوب",IF(CL397&gt;=10,"متوسط","ضعیف"))))))</x:f>
      </x:c>
      <x:c r="CN397" s="178" t="n">
        <x:v>9</x:v>
      </x:c>
      <x:c r="CO397" s="142" t="n">
        <x:f>IF(C397="","",COUNT(G397:CB397)/74)</x:f>
        <x:v>0</x:v>
      </x:c>
      <x:c r="CP397" s="245"/>
    </x:row>
    <x:row r="398">
      <x:c r="A398" s="165" t="n">
        <x:v>394</x:v>
      </x:c>
      <x:c r="B398" s="233" t="str">
        <x:v>فروردین</x:v>
      </x:c>
      <x:c r="C398" s="233" t="n">
        <x:f>IF('دانش‌آموزان'!E37="","",'دانش‌آموزان'!B37)</x:f>
        <x:v>33</x:v>
      </x:c>
      <x:c r="D398" s="233" t="str">
        <x:f>IF('دانش‌آموزان'!C37="","",'دانش‌آموزان'!C37)</x:f>
        <x:v>4000000330</x:v>
      </x:c>
      <x:c r="E398" s="233" t="str">
        <x:f>IF('دانش‌آموزان'!E37="","",'دانش‌آموزان'!E37&amp;" "&amp;'دانش‌آموزان'!F37)</x:f>
        <x:v>طاها رضایی</x:v>
      </x:c>
      <x:c r="F398" s="166" t="str">
        <x:f>IF('دانش‌آموزان'!I37="","",'دانش‌آموزان'!I37)</x:f>
        <x:v>sample-7-b</x:v>
      </x:c>
      <x:c r="G398" s="114"/>
      <x:c r="H398" s="115"/>
      <x:c r="I398" s="115"/>
      <x:c r="J398" s="115"/>
      <x:c r="K398" s="115"/>
      <x:c r="L398" s="115"/>
      <x:c r="M398" s="115"/>
      <x:c r="N398" s="115"/>
      <x:c r="O398" s="115"/>
      <x:c r="P398" s="115"/>
      <x:c r="Q398" s="115"/>
      <x:c r="R398" s="115"/>
      <x:c r="S398" s="115"/>
      <x:c r="T398" s="115"/>
      <x:c r="U398" s="115"/>
      <x:c r="V398" s="115"/>
      <x:c r="W398" s="115"/>
      <x:c r="X398" s="115"/>
      <x:c r="Y398" s="115"/>
      <x:c r="Z398" s="115"/>
      <x:c r="AA398" s="115"/>
      <x:c r="AB398" s="115"/>
      <x:c r="AC398" s="115"/>
      <x:c r="AD398" s="115"/>
      <x:c r="AE398" s="115"/>
      <x:c r="AF398" s="115"/>
      <x:c r="AG398" s="115"/>
      <x:c r="AH398" s="115"/>
      <x:c r="AI398" s="115"/>
      <x:c r="AJ398" s="115"/>
      <x:c r="AK398" s="115"/>
      <x:c r="AL398" s="115"/>
      <x:c r="AM398" s="115"/>
      <x:c r="AN398" s="115"/>
      <x:c r="AO398" s="115"/>
      <x:c r="AP398" s="115"/>
      <x:c r="AQ398" s="115"/>
      <x:c r="AR398" s="115"/>
      <x:c r="AS398" s="115"/>
      <x:c r="AT398" s="115"/>
      <x:c r="AU398" s="115"/>
      <x:c r="AV398" s="115"/>
      <x:c r="AW398" s="115"/>
      <x:c r="AX398" s="115"/>
      <x:c r="AY398" s="115"/>
      <x:c r="AZ398" s="115"/>
      <x:c r="BA398" s="115"/>
      <x:c r="BB398" s="115"/>
      <x:c r="BC398" s="115"/>
      <x:c r="BD398" s="115"/>
      <x:c r="BE398" s="115"/>
      <x:c r="BF398" s="115"/>
      <x:c r="BG398" s="115"/>
      <x:c r="BH398" s="115"/>
      <x:c r="BI398" s="115"/>
      <x:c r="BJ398" s="115"/>
      <x:c r="BK398" s="115"/>
      <x:c r="BL398" s="115"/>
      <x:c r="BM398" s="115"/>
      <x:c r="BN398" s="115"/>
      <x:c r="BO398" s="115"/>
      <x:c r="BP398" s="115"/>
      <x:c r="BQ398" s="115"/>
      <x:c r="BR398" s="115"/>
      <x:c r="BS398" s="115"/>
      <x:c r="BT398" s="115"/>
      <x:c r="BU398" s="115"/>
      <x:c r="BV398" s="115"/>
      <x:c r="BW398" s="115"/>
      <x:c r="BX398" s="115"/>
      <x:c r="BY398" s="115"/>
      <x:c r="BZ398" s="115"/>
      <x:c r="CA398" s="115"/>
      <x:c r="CB398" s="116"/>
      <x:c r="CC398" s="141" t="str">
        <x:f>IF(COUNT(G398:P398)=0,"",AVERAGE(G398:P398)*4)</x:f>
      </x:c>
      <x:c r="CD398" s="178" t="str">
        <x:f>IF(COUNT(Q398:Z398)=0,"",AVERAGE(Q398:Z398)*4)</x:f>
      </x:c>
      <x:c r="CE398" s="178" t="str">
        <x:f>IF(COUNT(AA398:AJ398)=0,"",AVERAGE(AA398:AJ398)*4)</x:f>
      </x:c>
      <x:c r="CF398" s="178" t="str">
        <x:f>IF(COUNT(AK398:AR398)=0,"",AVERAGE(AK398:AR398)*4)</x:f>
      </x:c>
      <x:c r="CG398" s="178" t="str">
        <x:f>IF(COUNT(AS398:AY398)=0,"",AVERAGE(AS398:AY398)*4)</x:f>
      </x:c>
      <x:c r="CH398" s="178" t="str">
        <x:f>IF(COUNT(AZ398:BG398)=0,"",AVERAGE(AZ398:BG398)*4)</x:f>
      </x:c>
      <x:c r="CI398" s="178" t="str">
        <x:f>IF(COUNT(BH398:BN398)=0,"",AVERAGE(BH398:BN398)*4)</x:f>
      </x:c>
      <x:c r="CJ398" s="178" t="str">
        <x:f>IF(COUNT(BO398:BU398)=0,"",AVERAGE(BO398:BU398)*4)</x:f>
      </x:c>
      <x:c r="CK398" s="178" t="str">
        <x:f>IF(COUNT(BV398:CB398)=0,"",AVERAGE(BV398:CB398)*4)</x:f>
      </x:c>
      <x:c r="CL398" s="178" t="str">
        <x:f>IF(C398="","",IF(COUNT(G398:CB398)&lt;74,"",(CC398*'تنظیمات وزن‌دهی'!$C$5+CD398*'تنظیمات وزن‌دهی'!$C$6+CE398*'تنظیمات وزن‌دهی'!$C$7+CF398*'تنظیمات وزن‌دهی'!$C$8+CG398*'تنظیمات وزن‌دهی'!$C$9+CH398*'تنظیمات وزن‌دهی'!$C$10+CI398*'تنظیمات وزن‌دهی'!$C$11+CJ398*'تنظیمات وزن‌دهی'!$C$12+CK398*'تنظیمات وزن‌دهی'!$C$13)/100))</x:f>
      </x:c>
      <x:c r="CM398" s="178" t="str">
        <x:f>IF(C398="","",IF(COUNT(G398:CB398)=0,"",IF(COUNT(G398:CB398)&lt;74,"موقت - اطلاعات ناقص",IF(CL398&gt;=17,"عالی",IF(CL398&gt;=14,"خوب",IF(CL398&gt;=10,"متوسط","ضعیف"))))))</x:f>
      </x:c>
      <x:c r="CN398" s="178" t="n">
        <x:v>10</x:v>
      </x:c>
      <x:c r="CO398" s="142" t="n">
        <x:f>IF(C398="","",COUNT(G398:CB398)/74)</x:f>
        <x:v>0</x:v>
      </x:c>
      <x:c r="CP398" s="245"/>
    </x:row>
    <x:row r="399">
      <x:c r="A399" s="165" t="n">
        <x:v>395</x:v>
      </x:c>
      <x:c r="B399" s="233" t="str">
        <x:v>اردیبهشت</x:v>
      </x:c>
      <x:c r="C399" s="233" t="n">
        <x:f>IF('دانش‌آموزان'!E37="","",'دانش‌آموزان'!B37)</x:f>
        <x:v>33</x:v>
      </x:c>
      <x:c r="D399" s="233" t="str">
        <x:f>IF('دانش‌آموزان'!C37="","",'دانش‌آموزان'!C37)</x:f>
        <x:v>4000000330</x:v>
      </x:c>
      <x:c r="E399" s="233" t="str">
        <x:f>IF('دانش‌آموزان'!E37="","",'دانش‌آموزان'!E37&amp;" "&amp;'دانش‌آموزان'!F37)</x:f>
        <x:v>طاها رضایی</x:v>
      </x:c>
      <x:c r="F399" s="166" t="str">
        <x:f>IF('دانش‌آموزان'!I37="","",'دانش‌آموزان'!I37)</x:f>
        <x:v>sample-7-b</x:v>
      </x:c>
      <x:c r="G399" s="114"/>
      <x:c r="H399" s="115"/>
      <x:c r="I399" s="115"/>
      <x:c r="J399" s="115"/>
      <x:c r="K399" s="115"/>
      <x:c r="L399" s="115"/>
      <x:c r="M399" s="115"/>
      <x:c r="N399" s="115"/>
      <x:c r="O399" s="115"/>
      <x:c r="P399" s="115"/>
      <x:c r="Q399" s="115"/>
      <x:c r="R399" s="115"/>
      <x:c r="S399" s="115"/>
      <x:c r="T399" s="115"/>
      <x:c r="U399" s="115"/>
      <x:c r="V399" s="115"/>
      <x:c r="W399" s="115"/>
      <x:c r="X399" s="115"/>
      <x:c r="Y399" s="115"/>
      <x:c r="Z399" s="115"/>
      <x:c r="AA399" s="115"/>
      <x:c r="AB399" s="115"/>
      <x:c r="AC399" s="115"/>
      <x:c r="AD399" s="115"/>
      <x:c r="AE399" s="115"/>
      <x:c r="AF399" s="115"/>
      <x:c r="AG399" s="115"/>
      <x:c r="AH399" s="115"/>
      <x:c r="AI399" s="115"/>
      <x:c r="AJ399" s="115"/>
      <x:c r="AK399" s="115"/>
      <x:c r="AL399" s="115"/>
      <x:c r="AM399" s="115"/>
      <x:c r="AN399" s="115"/>
      <x:c r="AO399" s="115"/>
      <x:c r="AP399" s="115"/>
      <x:c r="AQ399" s="115"/>
      <x:c r="AR399" s="115"/>
      <x:c r="AS399" s="115"/>
      <x:c r="AT399" s="115"/>
      <x:c r="AU399" s="115"/>
      <x:c r="AV399" s="115"/>
      <x:c r="AW399" s="115"/>
      <x:c r="AX399" s="115"/>
      <x:c r="AY399" s="115"/>
      <x:c r="AZ399" s="115"/>
      <x:c r="BA399" s="115"/>
      <x:c r="BB399" s="115"/>
      <x:c r="BC399" s="115"/>
      <x:c r="BD399" s="115"/>
      <x:c r="BE399" s="115"/>
      <x:c r="BF399" s="115"/>
      <x:c r="BG399" s="115"/>
      <x:c r="BH399" s="115"/>
      <x:c r="BI399" s="115"/>
      <x:c r="BJ399" s="115"/>
      <x:c r="BK399" s="115"/>
      <x:c r="BL399" s="115"/>
      <x:c r="BM399" s="115"/>
      <x:c r="BN399" s="115"/>
      <x:c r="BO399" s="115"/>
      <x:c r="BP399" s="115"/>
      <x:c r="BQ399" s="115"/>
      <x:c r="BR399" s="115"/>
      <x:c r="BS399" s="115"/>
      <x:c r="BT399" s="115"/>
      <x:c r="BU399" s="115"/>
      <x:c r="BV399" s="115"/>
      <x:c r="BW399" s="115"/>
      <x:c r="BX399" s="115"/>
      <x:c r="BY399" s="115"/>
      <x:c r="BZ399" s="115"/>
      <x:c r="CA399" s="115"/>
      <x:c r="CB399" s="116"/>
      <x:c r="CC399" s="141" t="str">
        <x:f>IF(COUNT(G399:P399)=0,"",AVERAGE(G399:P399)*4)</x:f>
      </x:c>
      <x:c r="CD399" s="178" t="str">
        <x:f>IF(COUNT(Q399:Z399)=0,"",AVERAGE(Q399:Z399)*4)</x:f>
      </x:c>
      <x:c r="CE399" s="178" t="str">
        <x:f>IF(COUNT(AA399:AJ399)=0,"",AVERAGE(AA399:AJ399)*4)</x:f>
      </x:c>
      <x:c r="CF399" s="178" t="str">
        <x:f>IF(COUNT(AK399:AR399)=0,"",AVERAGE(AK399:AR399)*4)</x:f>
      </x:c>
      <x:c r="CG399" s="178" t="str">
        <x:f>IF(COUNT(AS399:AY399)=0,"",AVERAGE(AS399:AY399)*4)</x:f>
      </x:c>
      <x:c r="CH399" s="178" t="str">
        <x:f>IF(COUNT(AZ399:BG399)=0,"",AVERAGE(AZ399:BG399)*4)</x:f>
      </x:c>
      <x:c r="CI399" s="178" t="str">
        <x:f>IF(COUNT(BH399:BN399)=0,"",AVERAGE(BH399:BN399)*4)</x:f>
      </x:c>
      <x:c r="CJ399" s="178" t="str">
        <x:f>IF(COUNT(BO399:BU399)=0,"",AVERAGE(BO399:BU399)*4)</x:f>
      </x:c>
      <x:c r="CK399" s="178" t="str">
        <x:f>IF(COUNT(BV399:CB399)=0,"",AVERAGE(BV399:CB399)*4)</x:f>
      </x:c>
      <x:c r="CL399" s="178" t="str">
        <x:f>IF(C399="","",IF(COUNT(G399:CB399)&lt;74,"",(CC399*'تنظیمات وزن‌دهی'!$C$5+CD399*'تنظیمات وزن‌دهی'!$C$6+CE399*'تنظیمات وزن‌دهی'!$C$7+CF399*'تنظیمات وزن‌دهی'!$C$8+CG399*'تنظیمات وزن‌دهی'!$C$9+CH399*'تنظیمات وزن‌دهی'!$C$10+CI399*'تنظیمات وزن‌دهی'!$C$11+CJ399*'تنظیمات وزن‌دهی'!$C$12+CK399*'تنظیمات وزن‌دهی'!$C$13)/100))</x:f>
      </x:c>
      <x:c r="CM399" s="178" t="str">
        <x:f>IF(C399="","",IF(COUNT(G399:CB399)=0,"",IF(COUNT(G399:CB399)&lt;74,"موقت - اطلاعات ناقص",IF(CL399&gt;=17,"عالی",IF(CL399&gt;=14,"خوب",IF(CL399&gt;=10,"متوسط","ضعیف"))))))</x:f>
      </x:c>
      <x:c r="CN399" s="178" t="n">
        <x:v>11</x:v>
      </x:c>
      <x:c r="CO399" s="142" t="n">
        <x:f>IF(C399="","",COUNT(G399:CB399)/74)</x:f>
        <x:v>0</x:v>
      </x:c>
      <x:c r="CP399" s="245"/>
    </x:row>
    <x:row r="400">
      <x:c r="A400" s="165" t="n">
        <x:v>396</x:v>
      </x:c>
      <x:c r="B400" s="233" t="str">
        <x:v>خرداد</x:v>
      </x:c>
      <x:c r="C400" s="233" t="n">
        <x:f>IF('دانش‌آموزان'!E37="","",'دانش‌آموزان'!B37)</x:f>
        <x:v>33</x:v>
      </x:c>
      <x:c r="D400" s="233" t="str">
        <x:f>IF('دانش‌آموزان'!C37="","",'دانش‌آموزان'!C37)</x:f>
        <x:v>4000000330</x:v>
      </x:c>
      <x:c r="E400" s="233" t="str">
        <x:f>IF('دانش‌آموزان'!E37="","",'دانش‌آموزان'!E37&amp;" "&amp;'دانش‌آموزان'!F37)</x:f>
        <x:v>طاها رضایی</x:v>
      </x:c>
      <x:c r="F400" s="166" t="str">
        <x:f>IF('دانش‌آموزان'!I37="","",'دانش‌آموزان'!I37)</x:f>
        <x:v>sample-7-b</x:v>
      </x:c>
      <x:c r="G400" s="114"/>
      <x:c r="H400" s="115"/>
      <x:c r="I400" s="115"/>
      <x:c r="J400" s="115"/>
      <x:c r="K400" s="115"/>
      <x:c r="L400" s="115"/>
      <x:c r="M400" s="115"/>
      <x:c r="N400" s="115"/>
      <x:c r="O400" s="115"/>
      <x:c r="P400" s="115"/>
      <x:c r="Q400" s="115"/>
      <x:c r="R400" s="115"/>
      <x:c r="S400" s="115"/>
      <x:c r="T400" s="115"/>
      <x:c r="U400" s="115"/>
      <x:c r="V400" s="115"/>
      <x:c r="W400" s="115"/>
      <x:c r="X400" s="115"/>
      <x:c r="Y400" s="115"/>
      <x:c r="Z400" s="115"/>
      <x:c r="AA400" s="115"/>
      <x:c r="AB400" s="115"/>
      <x:c r="AC400" s="115"/>
      <x:c r="AD400" s="115"/>
      <x:c r="AE400" s="115"/>
      <x:c r="AF400" s="115"/>
      <x:c r="AG400" s="115"/>
      <x:c r="AH400" s="115"/>
      <x:c r="AI400" s="115"/>
      <x:c r="AJ400" s="115"/>
      <x:c r="AK400" s="115"/>
      <x:c r="AL400" s="115"/>
      <x:c r="AM400" s="115"/>
      <x:c r="AN400" s="115"/>
      <x:c r="AO400" s="115"/>
      <x:c r="AP400" s="115"/>
      <x:c r="AQ400" s="115"/>
      <x:c r="AR400" s="115"/>
      <x:c r="AS400" s="115"/>
      <x:c r="AT400" s="115"/>
      <x:c r="AU400" s="115"/>
      <x:c r="AV400" s="115"/>
      <x:c r="AW400" s="115"/>
      <x:c r="AX400" s="115"/>
      <x:c r="AY400" s="115"/>
      <x:c r="AZ400" s="115"/>
      <x:c r="BA400" s="115"/>
      <x:c r="BB400" s="115"/>
      <x:c r="BC400" s="115"/>
      <x:c r="BD400" s="115"/>
      <x:c r="BE400" s="115"/>
      <x:c r="BF400" s="115"/>
      <x:c r="BG400" s="115"/>
      <x:c r="BH400" s="115"/>
      <x:c r="BI400" s="115"/>
      <x:c r="BJ400" s="115"/>
      <x:c r="BK400" s="115"/>
      <x:c r="BL400" s="115"/>
      <x:c r="BM400" s="115"/>
      <x:c r="BN400" s="115"/>
      <x:c r="BO400" s="115"/>
      <x:c r="BP400" s="115"/>
      <x:c r="BQ400" s="115"/>
      <x:c r="BR400" s="115"/>
      <x:c r="BS400" s="115"/>
      <x:c r="BT400" s="115"/>
      <x:c r="BU400" s="115"/>
      <x:c r="BV400" s="115"/>
      <x:c r="BW400" s="115"/>
      <x:c r="BX400" s="115"/>
      <x:c r="BY400" s="115"/>
      <x:c r="BZ400" s="115"/>
      <x:c r="CA400" s="115"/>
      <x:c r="CB400" s="116"/>
      <x:c r="CC400" s="141" t="str">
        <x:f>IF(COUNT(G400:P400)=0,"",AVERAGE(G400:P400)*4)</x:f>
      </x:c>
      <x:c r="CD400" s="178" t="str">
        <x:f>IF(COUNT(Q400:Z400)=0,"",AVERAGE(Q400:Z400)*4)</x:f>
      </x:c>
      <x:c r="CE400" s="178" t="str">
        <x:f>IF(COUNT(AA400:AJ400)=0,"",AVERAGE(AA400:AJ400)*4)</x:f>
      </x:c>
      <x:c r="CF400" s="178" t="str">
        <x:f>IF(COUNT(AK400:AR400)=0,"",AVERAGE(AK400:AR400)*4)</x:f>
      </x:c>
      <x:c r="CG400" s="178" t="str">
        <x:f>IF(COUNT(AS400:AY400)=0,"",AVERAGE(AS400:AY400)*4)</x:f>
      </x:c>
      <x:c r="CH400" s="178" t="str">
        <x:f>IF(COUNT(AZ400:BG400)=0,"",AVERAGE(AZ400:BG400)*4)</x:f>
      </x:c>
      <x:c r="CI400" s="178" t="str">
        <x:f>IF(COUNT(BH400:BN400)=0,"",AVERAGE(BH400:BN400)*4)</x:f>
      </x:c>
      <x:c r="CJ400" s="178" t="str">
        <x:f>IF(COUNT(BO400:BU400)=0,"",AVERAGE(BO400:BU400)*4)</x:f>
      </x:c>
      <x:c r="CK400" s="178" t="str">
        <x:f>IF(COUNT(BV400:CB400)=0,"",AVERAGE(BV400:CB400)*4)</x:f>
      </x:c>
      <x:c r="CL400" s="178" t="str">
        <x:f>IF(C400="","",IF(COUNT(G400:CB400)&lt;74,"",(CC400*'تنظیمات وزن‌دهی'!$C$5+CD400*'تنظیمات وزن‌دهی'!$C$6+CE400*'تنظیمات وزن‌دهی'!$C$7+CF400*'تنظیمات وزن‌دهی'!$C$8+CG400*'تنظیمات وزن‌دهی'!$C$9+CH400*'تنظیمات وزن‌دهی'!$C$10+CI400*'تنظیمات وزن‌دهی'!$C$11+CJ400*'تنظیمات وزن‌دهی'!$C$12+CK400*'تنظیمات وزن‌دهی'!$C$13)/100))</x:f>
      </x:c>
      <x:c r="CM400" s="178" t="str">
        <x:f>IF(C400="","",IF(COUNT(G400:CB400)=0,"",IF(COUNT(G400:CB400)&lt;74,"موقت - اطلاعات ناقص",IF(CL400&gt;=17,"عالی",IF(CL400&gt;=14,"خوب",IF(CL400&gt;=10,"متوسط","ضعیف"))))))</x:f>
      </x:c>
      <x:c r="CN400" s="178" t="n">
        <x:v>12</x:v>
      </x:c>
      <x:c r="CO400" s="142" t="n">
        <x:f>IF(C400="","",COUNT(G400:CB400)/74)</x:f>
        <x:v>0</x:v>
      </x:c>
      <x:c r="CP400" s="245"/>
    </x:row>
    <x:row r="401">
      <x:c r="A401" s="165" t="n">
        <x:v>397</x:v>
      </x:c>
      <x:c r="B401" s="233" t="str">
        <x:v>تیر</x:v>
      </x:c>
      <x:c r="C401" s="233" t="n">
        <x:f>IF('دانش‌آموزان'!E38="","",'دانش‌آموزان'!B38)</x:f>
        <x:v>34</x:v>
      </x:c>
      <x:c r="D401" s="233" t="str">
        <x:f>IF('دانش‌آموزان'!C38="","",'دانش‌آموزان'!C38)</x:f>
        <x:v>4000000349</x:v>
      </x:c>
      <x:c r="E401" s="233" t="str">
        <x:f>IF('دانش‌آموزان'!E38="","",'دانش‌آموزان'!E38&amp;" "&amp;'دانش‌آموزان'!F38)</x:f>
        <x:v>باران نوری</x:v>
      </x:c>
      <x:c r="F401" s="166" t="str">
        <x:f>IF('دانش‌آموزان'!I38="","",'دانش‌آموزان'!I38)</x:f>
        <x:v>sample-7-b</x:v>
      </x:c>
      <x:c r="G401" s="114" t="n">
        <x:v>2</x:v>
      </x:c>
      <x:c r="H401" s="115" t="n">
        <x:v>4</x:v>
      </x:c>
      <x:c r="I401" s="115" t="n">
        <x:v>5</x:v>
      </x:c>
      <x:c r="J401" s="115" t="n">
        <x:v>4</x:v>
      </x:c>
      <x:c r="K401" s="115" t="n">
        <x:v>5</x:v>
      </x:c>
      <x:c r="L401" s="115" t="n">
        <x:v>3</x:v>
      </x:c>
      <x:c r="M401" s="115" t="n">
        <x:v>5</x:v>
      </x:c>
      <x:c r="N401" s="115" t="n">
        <x:v>3</x:v>
      </x:c>
      <x:c r="O401" s="115" t="n">
        <x:v>4</x:v>
      </x:c>
      <x:c r="P401" s="115" t="n">
        <x:v>3</x:v>
      </x:c>
      <x:c r="Q401" s="115" t="n">
        <x:v>4</x:v>
      </x:c>
      <x:c r="R401" s="115" t="n">
        <x:v>2</x:v>
      </x:c>
      <x:c r="S401" s="115" t="n">
        <x:v>4</x:v>
      </x:c>
      <x:c r="T401" s="115" t="n">
        <x:v>5</x:v>
      </x:c>
      <x:c r="U401" s="115" t="n">
        <x:v>4</x:v>
      </x:c>
      <x:c r="V401" s="115" t="n">
        <x:v>5</x:v>
      </x:c>
      <x:c r="W401" s="115" t="n">
        <x:v>3</x:v>
      </x:c>
      <x:c r="X401" s="115" t="n">
        <x:v>5</x:v>
      </x:c>
      <x:c r="Y401" s="115" t="n">
        <x:v>3</x:v>
      </x:c>
      <x:c r="Z401" s="115" t="n">
        <x:v>4</x:v>
      </x:c>
      <x:c r="AA401" s="115" t="n">
        <x:v>3</x:v>
      </x:c>
      <x:c r="AB401" s="115" t="n">
        <x:v>4</x:v>
      </x:c>
      <x:c r="AC401" s="115" t="n">
        <x:v>2</x:v>
      </x:c>
      <x:c r="AD401" s="115" t="n">
        <x:v>4</x:v>
      </x:c>
      <x:c r="AE401" s="115" t="n">
        <x:v>5</x:v>
      </x:c>
      <x:c r="AF401" s="115" t="n">
        <x:v>4</x:v>
      </x:c>
      <x:c r="AG401" s="115" t="n">
        <x:v>5</x:v>
      </x:c>
      <x:c r="AH401" s="115" t="n">
        <x:v>3</x:v>
      </x:c>
      <x:c r="AI401" s="115" t="n">
        <x:v>5</x:v>
      </x:c>
      <x:c r="AJ401" s="115" t="n">
        <x:v>3</x:v>
      </x:c>
      <x:c r="AK401" s="115" t="n">
        <x:v>4</x:v>
      </x:c>
      <x:c r="AL401" s="115" t="n">
        <x:v>3</x:v>
      </x:c>
      <x:c r="AM401" s="115" t="n">
        <x:v>4</x:v>
      </x:c>
      <x:c r="AN401" s="115" t="n">
        <x:v>2</x:v>
      </x:c>
      <x:c r="AO401" s="115" t="n">
        <x:v>4</x:v>
      </x:c>
      <x:c r="AP401" s="115" t="n">
        <x:v>5</x:v>
      </x:c>
      <x:c r="AQ401" s="115" t="n">
        <x:v>4</x:v>
      </x:c>
      <x:c r="AR401" s="115" t="n">
        <x:v>5</x:v>
      </x:c>
      <x:c r="AS401" s="115" t="n">
        <x:v>3</x:v>
      </x:c>
      <x:c r="AT401" s="115" t="n">
        <x:v>5</x:v>
      </x:c>
      <x:c r="AU401" s="115" t="n">
        <x:v>3</x:v>
      </x:c>
      <x:c r="AV401" s="115" t="n">
        <x:v>4</x:v>
      </x:c>
      <x:c r="AW401" s="115" t="n">
        <x:v>3</x:v>
      </x:c>
      <x:c r="AX401" s="115" t="n">
        <x:v>4</x:v>
      </x:c>
      <x:c r="AY401" s="115" t="n">
        <x:v>2</x:v>
      </x:c>
      <x:c r="AZ401" s="115" t="n">
        <x:v>4</x:v>
      </x:c>
      <x:c r="BA401" s="115" t="n">
        <x:v>5</x:v>
      </x:c>
      <x:c r="BB401" s="115" t="n">
        <x:v>4</x:v>
      </x:c>
      <x:c r="BC401" s="115" t="n">
        <x:v>5</x:v>
      </x:c>
      <x:c r="BD401" s="115" t="n">
        <x:v>3</x:v>
      </x:c>
      <x:c r="BE401" s="115" t="n">
        <x:v>5</x:v>
      </x:c>
      <x:c r="BF401" s="115" t="n">
        <x:v>3</x:v>
      </x:c>
      <x:c r="BG401" s="115" t="n">
        <x:v>4</x:v>
      </x:c>
      <x:c r="BH401" s="115" t="n">
        <x:v>3</x:v>
      </x:c>
      <x:c r="BI401" s="115" t="n">
        <x:v>4</x:v>
      </x:c>
      <x:c r="BJ401" s="115" t="n">
        <x:v>2</x:v>
      </x:c>
      <x:c r="BK401" s="115" t="n">
        <x:v>4</x:v>
      </x:c>
      <x:c r="BL401" s="115" t="n">
        <x:v>5</x:v>
      </x:c>
      <x:c r="BM401" s="115" t="n">
        <x:v>4</x:v>
      </x:c>
      <x:c r="BN401" s="115" t="n">
        <x:v>5</x:v>
      </x:c>
      <x:c r="BO401" s="115" t="n">
        <x:v>3</x:v>
      </x:c>
      <x:c r="BP401" s="115" t="n">
        <x:v>5</x:v>
      </x:c>
      <x:c r="BQ401" s="115" t="n">
        <x:v>3</x:v>
      </x:c>
      <x:c r="BR401" s="115" t="n">
        <x:v>4</x:v>
      </x:c>
      <x:c r="BS401" s="115" t="n">
        <x:v>3</x:v>
      </x:c>
      <x:c r="BT401" s="115" t="n">
        <x:v>4</x:v>
      </x:c>
      <x:c r="BU401" s="115" t="n">
        <x:v>2</x:v>
      </x:c>
      <x:c r="BV401" s="115" t="n">
        <x:v>4</x:v>
      </x:c>
      <x:c r="BW401" s="115" t="n">
        <x:v>5</x:v>
      </x:c>
      <x:c r="BX401" s="115" t="n">
        <x:v>4</x:v>
      </x:c>
      <x:c r="BY401" s="115" t="n">
        <x:v>5</x:v>
      </x:c>
      <x:c r="BZ401" s="115" t="n">
        <x:v>3</x:v>
      </x:c>
      <x:c r="CA401" s="115" t="n">
        <x:v>5</x:v>
      </x:c>
      <x:c r="CB401" s="116" t="n">
        <x:v>3</x:v>
      </x:c>
      <x:c r="CC401" s="141" t="n">
        <x:f>IF(COUNT(G401:P401)=0,"",AVERAGE(G401:P401)*4)</x:f>
        <x:v>15.2</x:v>
      </x:c>
      <x:c r="CD401" s="178" t="n">
        <x:f>IF(COUNT(Q401:Z401)=0,"",AVERAGE(Q401:Z401)*4)</x:f>
        <x:v>15.6</x:v>
      </x:c>
      <x:c r="CE401" s="178" t="n">
        <x:f>IF(COUNT(AA401:AJ401)=0,"",AVERAGE(AA401:AJ401)*4)</x:f>
        <x:v>15.2</x:v>
      </x:c>
      <x:c r="CF401" s="178" t="n">
        <x:f>IF(COUNT(AK401:AR401)=0,"",AVERAGE(AK401:AR401)*4)</x:f>
        <x:v>15.5</x:v>
      </x:c>
      <x:c r="CG401" s="178" t="n">
        <x:f>IF(COUNT(AS401:AY401)=0,"",AVERAGE(AS401:AY401)*4)</x:f>
        <x:v>13.714285714285714</x:v>
      </x:c>
      <x:c r="CH401" s="178" t="n">
        <x:f>IF(COUNT(AZ401:BG401)=0,"",AVERAGE(AZ401:BG401)*4)</x:f>
        <x:v>16.5</x:v>
      </x:c>
      <x:c r="CI401" s="178" t="n">
        <x:f>IF(COUNT(BH401:BN401)=0,"",AVERAGE(BH401:BN401)*4)</x:f>
        <x:v>15.428571428571429</x:v>
      </x:c>
      <x:c r="CJ401" s="178" t="n">
        <x:f>IF(COUNT(BO401:BU401)=0,"",AVERAGE(BO401:BU401)*4)</x:f>
        <x:v>13.714285714285714</x:v>
      </x:c>
      <x:c r="CK401" s="178" t="n">
        <x:f>IF(COUNT(BV401:CB401)=0,"",AVERAGE(BV401:CB401)*4)</x:f>
        <x:v>16.571428571428573</x:v>
      </x:c>
      <x:c r="CL401" s="178" t="n">
        <x:f>IF(C401="","",IF(COUNT(G401:CB401)&lt;74,"",(CC401*'تنظیمات وزن‌دهی'!$C$5+CD401*'تنظیمات وزن‌دهی'!$C$6+CE401*'تنظیمات وزن‌دهی'!$C$7+CF401*'تنظیمات وزن‌دهی'!$C$8+CG401*'تنظیمات وزن‌دهی'!$C$9+CH401*'تنظیمات وزن‌دهی'!$C$10+CI401*'تنظیمات وزن‌دهی'!$C$11+CJ401*'تنظیمات وزن‌دهی'!$C$12+CK401*'تنظیمات وزن‌دهی'!$C$13)/100))</x:f>
        <x:v>15.327857142857143</x:v>
      </x:c>
      <x:c r="CM401" s="178" t="str">
        <x:f>IF(C401="","",IF(COUNT(G401:CB401)=0,"",IF(COUNT(G401:CB401)&lt;74,"موقت - اطلاعات ناقص",IF(CL401&gt;=17,"عالی",IF(CL401&gt;=14,"خوب",IF(CL401&gt;=10,"متوسط","ضعیف"))))))</x:f>
        <x:v>خوب</x:v>
      </x:c>
      <x:c r="CN401" s="178" t="n">
        <x:v>1</x:v>
      </x:c>
      <x:c r="CO401" s="142" t="n">
        <x:f>IF(C401="","",COUNT(G401:CB401)/74)</x:f>
        <x:v>1</x:v>
      </x:c>
      <x:c r="CP401" s="245" t="str">
        <x:v>داده نمونه کامل برای ماه تیر - دانش‌آموز شماره 34</x:v>
      </x:c>
    </x:row>
    <x:row r="402">
      <x:c r="A402" s="165" t="n">
        <x:v>398</x:v>
      </x:c>
      <x:c r="B402" s="233" t="str">
        <x:v>مرداد</x:v>
      </x:c>
      <x:c r="C402" s="233" t="n">
        <x:f>IF('دانش‌آموزان'!E38="","",'دانش‌آموزان'!B38)</x:f>
        <x:v>34</x:v>
      </x:c>
      <x:c r="D402" s="233" t="str">
        <x:f>IF('دانش‌آموزان'!C38="","",'دانش‌آموزان'!C38)</x:f>
        <x:v>4000000349</x:v>
      </x:c>
      <x:c r="E402" s="233" t="str">
        <x:f>IF('دانش‌آموزان'!E38="","",'دانش‌آموزان'!E38&amp;" "&amp;'دانش‌آموزان'!F38)</x:f>
        <x:v>باران نوری</x:v>
      </x:c>
      <x:c r="F402" s="166" t="str">
        <x:f>IF('دانش‌آموزان'!I38="","",'دانش‌آموزان'!I38)</x:f>
        <x:v>sample-7-b</x:v>
      </x:c>
      <x:c r="G402" s="114"/>
      <x:c r="H402" s="115"/>
      <x:c r="I402" s="115"/>
      <x:c r="J402" s="115"/>
      <x:c r="K402" s="115"/>
      <x:c r="L402" s="115"/>
      <x:c r="M402" s="115"/>
      <x:c r="N402" s="115"/>
      <x:c r="O402" s="115"/>
      <x:c r="P402" s="115"/>
      <x:c r="Q402" s="115"/>
      <x:c r="R402" s="115"/>
      <x:c r="S402" s="115"/>
      <x:c r="T402" s="115"/>
      <x:c r="U402" s="115"/>
      <x:c r="V402" s="115"/>
      <x:c r="W402" s="115"/>
      <x:c r="X402" s="115"/>
      <x:c r="Y402" s="115"/>
      <x:c r="Z402" s="115"/>
      <x:c r="AA402" s="115"/>
      <x:c r="AB402" s="115"/>
      <x:c r="AC402" s="115"/>
      <x:c r="AD402" s="115"/>
      <x:c r="AE402" s="115"/>
      <x:c r="AF402" s="115"/>
      <x:c r="AG402" s="115"/>
      <x:c r="AH402" s="115"/>
      <x:c r="AI402" s="115"/>
      <x:c r="AJ402" s="115"/>
      <x:c r="AK402" s="115"/>
      <x:c r="AL402" s="115"/>
      <x:c r="AM402" s="115"/>
      <x:c r="AN402" s="115"/>
      <x:c r="AO402" s="115"/>
      <x:c r="AP402" s="115"/>
      <x:c r="AQ402" s="115"/>
      <x:c r="AR402" s="115"/>
      <x:c r="AS402" s="115"/>
      <x:c r="AT402" s="115"/>
      <x:c r="AU402" s="115"/>
      <x:c r="AV402" s="115"/>
      <x:c r="AW402" s="115"/>
      <x:c r="AX402" s="115"/>
      <x:c r="AY402" s="115"/>
      <x:c r="AZ402" s="115"/>
      <x:c r="BA402" s="115"/>
      <x:c r="BB402" s="115"/>
      <x:c r="BC402" s="115"/>
      <x:c r="BD402" s="115"/>
      <x:c r="BE402" s="115"/>
      <x:c r="BF402" s="115"/>
      <x:c r="BG402" s="115"/>
      <x:c r="BH402" s="115"/>
      <x:c r="BI402" s="115"/>
      <x:c r="BJ402" s="115"/>
      <x:c r="BK402" s="115"/>
      <x:c r="BL402" s="115"/>
      <x:c r="BM402" s="115"/>
      <x:c r="BN402" s="115"/>
      <x:c r="BO402" s="115"/>
      <x:c r="BP402" s="115"/>
      <x:c r="BQ402" s="115"/>
      <x:c r="BR402" s="115"/>
      <x:c r="BS402" s="115"/>
      <x:c r="BT402" s="115"/>
      <x:c r="BU402" s="115"/>
      <x:c r="BV402" s="115"/>
      <x:c r="BW402" s="115"/>
      <x:c r="BX402" s="115"/>
      <x:c r="BY402" s="115"/>
      <x:c r="BZ402" s="115"/>
      <x:c r="CA402" s="115"/>
      <x:c r="CB402" s="116"/>
      <x:c r="CC402" s="141" t="str">
        <x:f>IF(COUNT(G402:P402)=0,"",AVERAGE(G402:P402)*4)</x:f>
      </x:c>
      <x:c r="CD402" s="178" t="str">
        <x:f>IF(COUNT(Q402:Z402)=0,"",AVERAGE(Q402:Z402)*4)</x:f>
      </x:c>
      <x:c r="CE402" s="178" t="str">
        <x:f>IF(COUNT(AA402:AJ402)=0,"",AVERAGE(AA402:AJ402)*4)</x:f>
      </x:c>
      <x:c r="CF402" s="178" t="str">
        <x:f>IF(COUNT(AK402:AR402)=0,"",AVERAGE(AK402:AR402)*4)</x:f>
      </x:c>
      <x:c r="CG402" s="178" t="str">
        <x:f>IF(COUNT(AS402:AY402)=0,"",AVERAGE(AS402:AY402)*4)</x:f>
      </x:c>
      <x:c r="CH402" s="178" t="str">
        <x:f>IF(COUNT(AZ402:BG402)=0,"",AVERAGE(AZ402:BG402)*4)</x:f>
      </x:c>
      <x:c r="CI402" s="178" t="str">
        <x:f>IF(COUNT(BH402:BN402)=0,"",AVERAGE(BH402:BN402)*4)</x:f>
      </x:c>
      <x:c r="CJ402" s="178" t="str">
        <x:f>IF(COUNT(BO402:BU402)=0,"",AVERAGE(BO402:BU402)*4)</x:f>
      </x:c>
      <x:c r="CK402" s="178" t="str">
        <x:f>IF(COUNT(BV402:CB402)=0,"",AVERAGE(BV402:CB402)*4)</x:f>
      </x:c>
      <x:c r="CL402" s="178" t="str">
        <x:f>IF(C402="","",IF(COUNT(G402:CB402)&lt;74,"",(CC402*'تنظیمات وزن‌دهی'!$C$5+CD402*'تنظیمات وزن‌دهی'!$C$6+CE402*'تنظیمات وزن‌دهی'!$C$7+CF402*'تنظیمات وزن‌دهی'!$C$8+CG402*'تنظیمات وزن‌دهی'!$C$9+CH402*'تنظیمات وزن‌دهی'!$C$10+CI402*'تنظیمات وزن‌دهی'!$C$11+CJ402*'تنظیمات وزن‌دهی'!$C$12+CK402*'تنظیمات وزن‌دهی'!$C$13)/100))</x:f>
      </x:c>
      <x:c r="CM402" s="178" t="str">
        <x:f>IF(C402="","",IF(COUNT(G402:CB402)=0,"",IF(COUNT(G402:CB402)&lt;74,"موقت - اطلاعات ناقص",IF(CL402&gt;=17,"عالی",IF(CL402&gt;=14,"خوب",IF(CL402&gt;=10,"متوسط","ضعیف"))))))</x:f>
      </x:c>
      <x:c r="CN402" s="178" t="n">
        <x:v>2</x:v>
      </x:c>
      <x:c r="CO402" s="142" t="n">
        <x:f>IF(C402="","",COUNT(G402:CB402)/74)</x:f>
        <x:v>0</x:v>
      </x:c>
      <x:c r="CP402" s="245"/>
    </x:row>
    <x:row r="403">
      <x:c r="A403" s="165" t="n">
        <x:v>399</x:v>
      </x:c>
      <x:c r="B403" s="233" t="str">
        <x:v>شهریور</x:v>
      </x:c>
      <x:c r="C403" s="233" t="n">
        <x:f>IF('دانش‌آموزان'!E38="","",'دانش‌آموزان'!B38)</x:f>
        <x:v>34</x:v>
      </x:c>
      <x:c r="D403" s="233" t="str">
        <x:f>IF('دانش‌آموزان'!C38="","",'دانش‌آموزان'!C38)</x:f>
        <x:v>4000000349</x:v>
      </x:c>
      <x:c r="E403" s="233" t="str">
        <x:f>IF('دانش‌آموزان'!E38="","",'دانش‌آموزان'!E38&amp;" "&amp;'دانش‌آموزان'!F38)</x:f>
        <x:v>باران نوری</x:v>
      </x:c>
      <x:c r="F403" s="166" t="str">
        <x:f>IF('دانش‌آموزان'!I38="","",'دانش‌آموزان'!I38)</x:f>
        <x:v>sample-7-b</x:v>
      </x:c>
      <x:c r="G403" s="114"/>
      <x:c r="H403" s="115"/>
      <x:c r="I403" s="115"/>
      <x:c r="J403" s="115"/>
      <x:c r="K403" s="115"/>
      <x:c r="L403" s="115"/>
      <x:c r="M403" s="115"/>
      <x:c r="N403" s="115"/>
      <x:c r="O403" s="115"/>
      <x:c r="P403" s="115"/>
      <x:c r="Q403" s="115"/>
      <x:c r="R403" s="115"/>
      <x:c r="S403" s="115"/>
      <x:c r="T403" s="115"/>
      <x:c r="U403" s="115"/>
      <x:c r="V403" s="115"/>
      <x:c r="W403" s="115"/>
      <x:c r="X403" s="115"/>
      <x:c r="Y403" s="115"/>
      <x:c r="Z403" s="115"/>
      <x:c r="AA403" s="115"/>
      <x:c r="AB403" s="115"/>
      <x:c r="AC403" s="115"/>
      <x:c r="AD403" s="115"/>
      <x:c r="AE403" s="115"/>
      <x:c r="AF403" s="115"/>
      <x:c r="AG403" s="115"/>
      <x:c r="AH403" s="115"/>
      <x:c r="AI403" s="115"/>
      <x:c r="AJ403" s="115"/>
      <x:c r="AK403" s="115"/>
      <x:c r="AL403" s="115"/>
      <x:c r="AM403" s="115"/>
      <x:c r="AN403" s="115"/>
      <x:c r="AO403" s="115"/>
      <x:c r="AP403" s="115"/>
      <x:c r="AQ403" s="115"/>
      <x:c r="AR403" s="115"/>
      <x:c r="AS403" s="115"/>
      <x:c r="AT403" s="115"/>
      <x:c r="AU403" s="115"/>
      <x:c r="AV403" s="115"/>
      <x:c r="AW403" s="115"/>
      <x:c r="AX403" s="115"/>
      <x:c r="AY403" s="115"/>
      <x:c r="AZ403" s="115"/>
      <x:c r="BA403" s="115"/>
      <x:c r="BB403" s="115"/>
      <x:c r="BC403" s="115"/>
      <x:c r="BD403" s="115"/>
      <x:c r="BE403" s="115"/>
      <x:c r="BF403" s="115"/>
      <x:c r="BG403" s="115"/>
      <x:c r="BH403" s="115"/>
      <x:c r="BI403" s="115"/>
      <x:c r="BJ403" s="115"/>
      <x:c r="BK403" s="115"/>
      <x:c r="BL403" s="115"/>
      <x:c r="BM403" s="115"/>
      <x:c r="BN403" s="115"/>
      <x:c r="BO403" s="115"/>
      <x:c r="BP403" s="115"/>
      <x:c r="BQ403" s="115"/>
      <x:c r="BR403" s="115"/>
      <x:c r="BS403" s="115"/>
      <x:c r="BT403" s="115"/>
      <x:c r="BU403" s="115"/>
      <x:c r="BV403" s="115"/>
      <x:c r="BW403" s="115"/>
      <x:c r="BX403" s="115"/>
      <x:c r="BY403" s="115"/>
      <x:c r="BZ403" s="115"/>
      <x:c r="CA403" s="115"/>
      <x:c r="CB403" s="116"/>
      <x:c r="CC403" s="141" t="str">
        <x:f>IF(COUNT(G403:P403)=0,"",AVERAGE(G403:P403)*4)</x:f>
      </x:c>
      <x:c r="CD403" s="178" t="str">
        <x:f>IF(COUNT(Q403:Z403)=0,"",AVERAGE(Q403:Z403)*4)</x:f>
      </x:c>
      <x:c r="CE403" s="178" t="str">
        <x:f>IF(COUNT(AA403:AJ403)=0,"",AVERAGE(AA403:AJ403)*4)</x:f>
      </x:c>
      <x:c r="CF403" s="178" t="str">
        <x:f>IF(COUNT(AK403:AR403)=0,"",AVERAGE(AK403:AR403)*4)</x:f>
      </x:c>
      <x:c r="CG403" s="178" t="str">
        <x:f>IF(COUNT(AS403:AY403)=0,"",AVERAGE(AS403:AY403)*4)</x:f>
      </x:c>
      <x:c r="CH403" s="178" t="str">
        <x:f>IF(COUNT(AZ403:BG403)=0,"",AVERAGE(AZ403:BG403)*4)</x:f>
      </x:c>
      <x:c r="CI403" s="178" t="str">
        <x:f>IF(COUNT(BH403:BN403)=0,"",AVERAGE(BH403:BN403)*4)</x:f>
      </x:c>
      <x:c r="CJ403" s="178" t="str">
        <x:f>IF(COUNT(BO403:BU403)=0,"",AVERAGE(BO403:BU403)*4)</x:f>
      </x:c>
      <x:c r="CK403" s="178" t="str">
        <x:f>IF(COUNT(BV403:CB403)=0,"",AVERAGE(BV403:CB403)*4)</x:f>
      </x:c>
      <x:c r="CL403" s="178" t="str">
        <x:f>IF(C403="","",IF(COUNT(G403:CB403)&lt;74,"",(CC403*'تنظیمات وزن‌دهی'!$C$5+CD403*'تنظیمات وزن‌دهی'!$C$6+CE403*'تنظیمات وزن‌دهی'!$C$7+CF403*'تنظیمات وزن‌دهی'!$C$8+CG403*'تنظیمات وزن‌دهی'!$C$9+CH403*'تنظیمات وزن‌دهی'!$C$10+CI403*'تنظیمات وزن‌دهی'!$C$11+CJ403*'تنظیمات وزن‌دهی'!$C$12+CK403*'تنظیمات وزن‌دهی'!$C$13)/100))</x:f>
      </x:c>
      <x:c r="CM403" s="178" t="str">
        <x:f>IF(C403="","",IF(COUNT(G403:CB403)=0,"",IF(COUNT(G403:CB403)&lt;74,"موقت - اطلاعات ناقص",IF(CL403&gt;=17,"عالی",IF(CL403&gt;=14,"خوب",IF(CL403&gt;=10,"متوسط","ضعیف"))))))</x:f>
      </x:c>
      <x:c r="CN403" s="178" t="n">
        <x:v>3</x:v>
      </x:c>
      <x:c r="CO403" s="142" t="n">
        <x:f>IF(C403="","",COUNT(G403:CB403)/74)</x:f>
        <x:v>0</x:v>
      </x:c>
      <x:c r="CP403" s="245"/>
    </x:row>
    <x:row r="404">
      <x:c r="A404" s="165" t="n">
        <x:v>400</x:v>
      </x:c>
      <x:c r="B404" s="233" t="str">
        <x:v>مهر</x:v>
      </x:c>
      <x:c r="C404" s="233" t="n">
        <x:f>IF('دانش‌آموزان'!E38="","",'دانش‌آموزان'!B38)</x:f>
        <x:v>34</x:v>
      </x:c>
      <x:c r="D404" s="233" t="str">
        <x:f>IF('دانش‌آموزان'!C38="","",'دانش‌آموزان'!C38)</x:f>
        <x:v>4000000349</x:v>
      </x:c>
      <x:c r="E404" s="233" t="str">
        <x:f>IF('دانش‌آموزان'!E38="","",'دانش‌آموزان'!E38&amp;" "&amp;'دانش‌آموزان'!F38)</x:f>
        <x:v>باران نوری</x:v>
      </x:c>
      <x:c r="F404" s="166" t="str">
        <x:f>IF('دانش‌آموزان'!I38="","",'دانش‌آموزان'!I38)</x:f>
        <x:v>sample-7-b</x:v>
      </x:c>
      <x:c r="G404" s="114"/>
      <x:c r="H404" s="115"/>
      <x:c r="I404" s="115"/>
      <x:c r="J404" s="115"/>
      <x:c r="K404" s="115"/>
      <x:c r="L404" s="115"/>
      <x:c r="M404" s="115"/>
      <x:c r="N404" s="115"/>
      <x:c r="O404" s="115"/>
      <x:c r="P404" s="115"/>
      <x:c r="Q404" s="115"/>
      <x:c r="R404" s="115"/>
      <x:c r="S404" s="115"/>
      <x:c r="T404" s="115"/>
      <x:c r="U404" s="115"/>
      <x:c r="V404" s="115"/>
      <x:c r="W404" s="115"/>
      <x:c r="X404" s="115"/>
      <x:c r="Y404" s="115"/>
      <x:c r="Z404" s="115"/>
      <x:c r="AA404" s="115"/>
      <x:c r="AB404" s="115"/>
      <x:c r="AC404" s="115"/>
      <x:c r="AD404" s="115"/>
      <x:c r="AE404" s="115"/>
      <x:c r="AF404" s="115"/>
      <x:c r="AG404" s="115"/>
      <x:c r="AH404" s="115"/>
      <x:c r="AI404" s="115"/>
      <x:c r="AJ404" s="115"/>
      <x:c r="AK404" s="115"/>
      <x:c r="AL404" s="115"/>
      <x:c r="AM404" s="115"/>
      <x:c r="AN404" s="115"/>
      <x:c r="AO404" s="115"/>
      <x:c r="AP404" s="115"/>
      <x:c r="AQ404" s="115"/>
      <x:c r="AR404" s="115"/>
      <x:c r="AS404" s="115"/>
      <x:c r="AT404" s="115"/>
      <x:c r="AU404" s="115"/>
      <x:c r="AV404" s="115"/>
      <x:c r="AW404" s="115"/>
      <x:c r="AX404" s="115"/>
      <x:c r="AY404" s="115"/>
      <x:c r="AZ404" s="115"/>
      <x:c r="BA404" s="115"/>
      <x:c r="BB404" s="115"/>
      <x:c r="BC404" s="115"/>
      <x:c r="BD404" s="115"/>
      <x:c r="BE404" s="115"/>
      <x:c r="BF404" s="115"/>
      <x:c r="BG404" s="115"/>
      <x:c r="BH404" s="115"/>
      <x:c r="BI404" s="115"/>
      <x:c r="BJ404" s="115"/>
      <x:c r="BK404" s="115"/>
      <x:c r="BL404" s="115"/>
      <x:c r="BM404" s="115"/>
      <x:c r="BN404" s="115"/>
      <x:c r="BO404" s="115"/>
      <x:c r="BP404" s="115"/>
      <x:c r="BQ404" s="115"/>
      <x:c r="BR404" s="115"/>
      <x:c r="BS404" s="115"/>
      <x:c r="BT404" s="115"/>
      <x:c r="BU404" s="115"/>
      <x:c r="BV404" s="115"/>
      <x:c r="BW404" s="115"/>
      <x:c r="BX404" s="115"/>
      <x:c r="BY404" s="115"/>
      <x:c r="BZ404" s="115"/>
      <x:c r="CA404" s="115"/>
      <x:c r="CB404" s="116"/>
      <x:c r="CC404" s="141" t="str">
        <x:f>IF(COUNT(G404:P404)=0,"",AVERAGE(G404:P404)*4)</x:f>
      </x:c>
      <x:c r="CD404" s="178" t="str">
        <x:f>IF(COUNT(Q404:Z404)=0,"",AVERAGE(Q404:Z404)*4)</x:f>
      </x:c>
      <x:c r="CE404" s="178" t="str">
        <x:f>IF(COUNT(AA404:AJ404)=0,"",AVERAGE(AA404:AJ404)*4)</x:f>
      </x:c>
      <x:c r="CF404" s="178" t="str">
        <x:f>IF(COUNT(AK404:AR404)=0,"",AVERAGE(AK404:AR404)*4)</x:f>
      </x:c>
      <x:c r="CG404" s="178" t="str">
        <x:f>IF(COUNT(AS404:AY404)=0,"",AVERAGE(AS404:AY404)*4)</x:f>
      </x:c>
      <x:c r="CH404" s="178" t="str">
        <x:f>IF(COUNT(AZ404:BG404)=0,"",AVERAGE(AZ404:BG404)*4)</x:f>
      </x:c>
      <x:c r="CI404" s="178" t="str">
        <x:f>IF(COUNT(BH404:BN404)=0,"",AVERAGE(BH404:BN404)*4)</x:f>
      </x:c>
      <x:c r="CJ404" s="178" t="str">
        <x:f>IF(COUNT(BO404:BU404)=0,"",AVERAGE(BO404:BU404)*4)</x:f>
      </x:c>
      <x:c r="CK404" s="178" t="str">
        <x:f>IF(COUNT(BV404:CB404)=0,"",AVERAGE(BV404:CB404)*4)</x:f>
      </x:c>
      <x:c r="CL404" s="178" t="str">
        <x:f>IF(C404="","",IF(COUNT(G404:CB404)&lt;74,"",(CC404*'تنظیمات وزن‌دهی'!$C$5+CD404*'تنظیمات وزن‌دهی'!$C$6+CE404*'تنظیمات وزن‌دهی'!$C$7+CF404*'تنظیمات وزن‌دهی'!$C$8+CG404*'تنظیمات وزن‌دهی'!$C$9+CH404*'تنظیمات وزن‌دهی'!$C$10+CI404*'تنظیمات وزن‌دهی'!$C$11+CJ404*'تنظیمات وزن‌دهی'!$C$12+CK404*'تنظیمات وزن‌دهی'!$C$13)/100))</x:f>
      </x:c>
      <x:c r="CM404" s="178" t="str">
        <x:f>IF(C404="","",IF(COUNT(G404:CB404)=0,"",IF(COUNT(G404:CB404)&lt;74,"موقت - اطلاعات ناقص",IF(CL404&gt;=17,"عالی",IF(CL404&gt;=14,"خوب",IF(CL404&gt;=10,"متوسط","ضعیف"))))))</x:f>
      </x:c>
      <x:c r="CN404" s="178" t="n">
        <x:v>4</x:v>
      </x:c>
      <x:c r="CO404" s="142" t="n">
        <x:f>IF(C404="","",COUNT(G404:CB404)/74)</x:f>
        <x:v>0</x:v>
      </x:c>
      <x:c r="CP404" s="245"/>
    </x:row>
    <x:row r="405">
      <x:c r="A405" s="165" t="n">
        <x:v>401</x:v>
      </x:c>
      <x:c r="B405" s="233" t="str">
        <x:v>آبان</x:v>
      </x:c>
      <x:c r="C405" s="233" t="n">
        <x:f>IF('دانش‌آموزان'!E38="","",'دانش‌آموزان'!B38)</x:f>
        <x:v>34</x:v>
      </x:c>
      <x:c r="D405" s="233" t="str">
        <x:f>IF('دانش‌آموزان'!C38="","",'دانش‌آموزان'!C38)</x:f>
        <x:v>4000000349</x:v>
      </x:c>
      <x:c r="E405" s="233" t="str">
        <x:f>IF('دانش‌آموزان'!E38="","",'دانش‌آموزان'!E38&amp;" "&amp;'دانش‌آموزان'!F38)</x:f>
        <x:v>باران نوری</x:v>
      </x:c>
      <x:c r="F405" s="166" t="str">
        <x:f>IF('دانش‌آموزان'!I38="","",'دانش‌آموزان'!I38)</x:f>
        <x:v>sample-7-b</x:v>
      </x:c>
      <x:c r="G405" s="114"/>
      <x:c r="H405" s="115"/>
      <x:c r="I405" s="115"/>
      <x:c r="J405" s="115"/>
      <x:c r="K405" s="115"/>
      <x:c r="L405" s="115"/>
      <x:c r="M405" s="115"/>
      <x:c r="N405" s="115"/>
      <x:c r="O405" s="115"/>
      <x:c r="P405" s="115"/>
      <x:c r="Q405" s="115"/>
      <x:c r="R405" s="115"/>
      <x:c r="S405" s="115"/>
      <x:c r="T405" s="115"/>
      <x:c r="U405" s="115"/>
      <x:c r="V405" s="115"/>
      <x:c r="W405" s="115"/>
      <x:c r="X405" s="115"/>
      <x:c r="Y405" s="115"/>
      <x:c r="Z405" s="115"/>
      <x:c r="AA405" s="115"/>
      <x:c r="AB405" s="115"/>
      <x:c r="AC405" s="115"/>
      <x:c r="AD405" s="115"/>
      <x:c r="AE405" s="115"/>
      <x:c r="AF405" s="115"/>
      <x:c r="AG405" s="115"/>
      <x:c r="AH405" s="115"/>
      <x:c r="AI405" s="115"/>
      <x:c r="AJ405" s="115"/>
      <x:c r="AK405" s="115"/>
      <x:c r="AL405" s="115"/>
      <x:c r="AM405" s="115"/>
      <x:c r="AN405" s="115"/>
      <x:c r="AO405" s="115"/>
      <x:c r="AP405" s="115"/>
      <x:c r="AQ405" s="115"/>
      <x:c r="AR405" s="115"/>
      <x:c r="AS405" s="115"/>
      <x:c r="AT405" s="115"/>
      <x:c r="AU405" s="115"/>
      <x:c r="AV405" s="115"/>
      <x:c r="AW405" s="115"/>
      <x:c r="AX405" s="115"/>
      <x:c r="AY405" s="115"/>
      <x:c r="AZ405" s="115"/>
      <x:c r="BA405" s="115"/>
      <x:c r="BB405" s="115"/>
      <x:c r="BC405" s="115"/>
      <x:c r="BD405" s="115"/>
      <x:c r="BE405" s="115"/>
      <x:c r="BF405" s="115"/>
      <x:c r="BG405" s="115"/>
      <x:c r="BH405" s="115"/>
      <x:c r="BI405" s="115"/>
      <x:c r="BJ405" s="115"/>
      <x:c r="BK405" s="115"/>
      <x:c r="BL405" s="115"/>
      <x:c r="BM405" s="115"/>
      <x:c r="BN405" s="115"/>
      <x:c r="BO405" s="115"/>
      <x:c r="BP405" s="115"/>
      <x:c r="BQ405" s="115"/>
      <x:c r="BR405" s="115"/>
      <x:c r="BS405" s="115"/>
      <x:c r="BT405" s="115"/>
      <x:c r="BU405" s="115"/>
      <x:c r="BV405" s="115"/>
      <x:c r="BW405" s="115"/>
      <x:c r="BX405" s="115"/>
      <x:c r="BY405" s="115"/>
      <x:c r="BZ405" s="115"/>
      <x:c r="CA405" s="115"/>
      <x:c r="CB405" s="116"/>
      <x:c r="CC405" s="141" t="str">
        <x:f>IF(COUNT(G405:P405)=0,"",AVERAGE(G405:P405)*4)</x:f>
      </x:c>
      <x:c r="CD405" s="178" t="str">
        <x:f>IF(COUNT(Q405:Z405)=0,"",AVERAGE(Q405:Z405)*4)</x:f>
      </x:c>
      <x:c r="CE405" s="178" t="str">
        <x:f>IF(COUNT(AA405:AJ405)=0,"",AVERAGE(AA405:AJ405)*4)</x:f>
      </x:c>
      <x:c r="CF405" s="178" t="str">
        <x:f>IF(COUNT(AK405:AR405)=0,"",AVERAGE(AK405:AR405)*4)</x:f>
      </x:c>
      <x:c r="CG405" s="178" t="str">
        <x:f>IF(COUNT(AS405:AY405)=0,"",AVERAGE(AS405:AY405)*4)</x:f>
      </x:c>
      <x:c r="CH405" s="178" t="str">
        <x:f>IF(COUNT(AZ405:BG405)=0,"",AVERAGE(AZ405:BG405)*4)</x:f>
      </x:c>
      <x:c r="CI405" s="178" t="str">
        <x:f>IF(COUNT(BH405:BN405)=0,"",AVERAGE(BH405:BN405)*4)</x:f>
      </x:c>
      <x:c r="CJ405" s="178" t="str">
        <x:f>IF(COUNT(BO405:BU405)=0,"",AVERAGE(BO405:BU405)*4)</x:f>
      </x:c>
      <x:c r="CK405" s="178" t="str">
        <x:f>IF(COUNT(BV405:CB405)=0,"",AVERAGE(BV405:CB405)*4)</x:f>
      </x:c>
      <x:c r="CL405" s="178" t="str">
        <x:f>IF(C405="","",IF(COUNT(G405:CB405)&lt;74,"",(CC405*'تنظیمات وزن‌دهی'!$C$5+CD405*'تنظیمات وزن‌دهی'!$C$6+CE405*'تنظیمات وزن‌دهی'!$C$7+CF405*'تنظیمات وزن‌دهی'!$C$8+CG405*'تنظیمات وزن‌دهی'!$C$9+CH405*'تنظیمات وزن‌دهی'!$C$10+CI405*'تنظیمات وزن‌دهی'!$C$11+CJ405*'تنظیمات وزن‌دهی'!$C$12+CK405*'تنظیمات وزن‌دهی'!$C$13)/100))</x:f>
      </x:c>
      <x:c r="CM405" s="178" t="str">
        <x:f>IF(C405="","",IF(COUNT(G405:CB405)=0,"",IF(COUNT(G405:CB405)&lt;74,"موقت - اطلاعات ناقص",IF(CL405&gt;=17,"عالی",IF(CL405&gt;=14,"خوب",IF(CL405&gt;=10,"متوسط","ضعیف"))))))</x:f>
      </x:c>
      <x:c r="CN405" s="178" t="n">
        <x:v>5</x:v>
      </x:c>
      <x:c r="CO405" s="142" t="n">
        <x:f>IF(C405="","",COUNT(G405:CB405)/74)</x:f>
        <x:v>0</x:v>
      </x:c>
      <x:c r="CP405" s="245"/>
    </x:row>
    <x:row r="406">
      <x:c r="A406" s="165" t="n">
        <x:v>402</x:v>
      </x:c>
      <x:c r="B406" s="233" t="str">
        <x:v>آذر</x:v>
      </x:c>
      <x:c r="C406" s="233" t="n">
        <x:f>IF('دانش‌آموزان'!E38="","",'دانش‌آموزان'!B38)</x:f>
        <x:v>34</x:v>
      </x:c>
      <x:c r="D406" s="233" t="str">
        <x:f>IF('دانش‌آموزان'!C38="","",'دانش‌آموزان'!C38)</x:f>
        <x:v>4000000349</x:v>
      </x:c>
      <x:c r="E406" s="233" t="str">
        <x:f>IF('دانش‌آموزان'!E38="","",'دانش‌آموزان'!E38&amp;" "&amp;'دانش‌آموزان'!F38)</x:f>
        <x:v>باران نوری</x:v>
      </x:c>
      <x:c r="F406" s="166" t="str">
        <x:f>IF('دانش‌آموزان'!I38="","",'دانش‌آموزان'!I38)</x:f>
        <x:v>sample-7-b</x:v>
      </x:c>
      <x:c r="G406" s="114"/>
      <x:c r="H406" s="115"/>
      <x:c r="I406" s="115"/>
      <x:c r="J406" s="115"/>
      <x:c r="K406" s="115"/>
      <x:c r="L406" s="115"/>
      <x:c r="M406" s="115"/>
      <x:c r="N406" s="115"/>
      <x:c r="O406" s="115"/>
      <x:c r="P406" s="115"/>
      <x:c r="Q406" s="115"/>
      <x:c r="R406" s="115"/>
      <x:c r="S406" s="115"/>
      <x:c r="T406" s="115"/>
      <x:c r="U406" s="115"/>
      <x:c r="V406" s="115"/>
      <x:c r="W406" s="115"/>
      <x:c r="X406" s="115"/>
      <x:c r="Y406" s="115"/>
      <x:c r="Z406" s="115"/>
      <x:c r="AA406" s="115"/>
      <x:c r="AB406" s="115"/>
      <x:c r="AC406" s="115"/>
      <x:c r="AD406" s="115"/>
      <x:c r="AE406" s="115"/>
      <x:c r="AF406" s="115"/>
      <x:c r="AG406" s="115"/>
      <x:c r="AH406" s="115"/>
      <x:c r="AI406" s="115"/>
      <x:c r="AJ406" s="115"/>
      <x:c r="AK406" s="115"/>
      <x:c r="AL406" s="115"/>
      <x:c r="AM406" s="115"/>
      <x:c r="AN406" s="115"/>
      <x:c r="AO406" s="115"/>
      <x:c r="AP406" s="115"/>
      <x:c r="AQ406" s="115"/>
      <x:c r="AR406" s="115"/>
      <x:c r="AS406" s="115"/>
      <x:c r="AT406" s="115"/>
      <x:c r="AU406" s="115"/>
      <x:c r="AV406" s="115"/>
      <x:c r="AW406" s="115"/>
      <x:c r="AX406" s="115"/>
      <x:c r="AY406" s="115"/>
      <x:c r="AZ406" s="115"/>
      <x:c r="BA406" s="115"/>
      <x:c r="BB406" s="115"/>
      <x:c r="BC406" s="115"/>
      <x:c r="BD406" s="115"/>
      <x:c r="BE406" s="115"/>
      <x:c r="BF406" s="115"/>
      <x:c r="BG406" s="115"/>
      <x:c r="BH406" s="115"/>
      <x:c r="BI406" s="115"/>
      <x:c r="BJ406" s="115"/>
      <x:c r="BK406" s="115"/>
      <x:c r="BL406" s="115"/>
      <x:c r="BM406" s="115"/>
      <x:c r="BN406" s="115"/>
      <x:c r="BO406" s="115"/>
      <x:c r="BP406" s="115"/>
      <x:c r="BQ406" s="115"/>
      <x:c r="BR406" s="115"/>
      <x:c r="BS406" s="115"/>
      <x:c r="BT406" s="115"/>
      <x:c r="BU406" s="115"/>
      <x:c r="BV406" s="115"/>
      <x:c r="BW406" s="115"/>
      <x:c r="BX406" s="115"/>
      <x:c r="BY406" s="115"/>
      <x:c r="BZ406" s="115"/>
      <x:c r="CA406" s="115"/>
      <x:c r="CB406" s="116"/>
      <x:c r="CC406" s="141" t="str">
        <x:f>IF(COUNT(G406:P406)=0,"",AVERAGE(G406:P406)*4)</x:f>
      </x:c>
      <x:c r="CD406" s="178" t="str">
        <x:f>IF(COUNT(Q406:Z406)=0,"",AVERAGE(Q406:Z406)*4)</x:f>
      </x:c>
      <x:c r="CE406" s="178" t="str">
        <x:f>IF(COUNT(AA406:AJ406)=0,"",AVERAGE(AA406:AJ406)*4)</x:f>
      </x:c>
      <x:c r="CF406" s="178" t="str">
        <x:f>IF(COUNT(AK406:AR406)=0,"",AVERAGE(AK406:AR406)*4)</x:f>
      </x:c>
      <x:c r="CG406" s="178" t="str">
        <x:f>IF(COUNT(AS406:AY406)=0,"",AVERAGE(AS406:AY406)*4)</x:f>
      </x:c>
      <x:c r="CH406" s="178" t="str">
        <x:f>IF(COUNT(AZ406:BG406)=0,"",AVERAGE(AZ406:BG406)*4)</x:f>
      </x:c>
      <x:c r="CI406" s="178" t="str">
        <x:f>IF(COUNT(BH406:BN406)=0,"",AVERAGE(BH406:BN406)*4)</x:f>
      </x:c>
      <x:c r="CJ406" s="178" t="str">
        <x:f>IF(COUNT(BO406:BU406)=0,"",AVERAGE(BO406:BU406)*4)</x:f>
      </x:c>
      <x:c r="CK406" s="178" t="str">
        <x:f>IF(COUNT(BV406:CB406)=0,"",AVERAGE(BV406:CB406)*4)</x:f>
      </x:c>
      <x:c r="CL406" s="178" t="str">
        <x:f>IF(C406="","",IF(COUNT(G406:CB406)&lt;74,"",(CC406*'تنظیمات وزن‌دهی'!$C$5+CD406*'تنظیمات وزن‌دهی'!$C$6+CE406*'تنظیمات وزن‌دهی'!$C$7+CF406*'تنظیمات وزن‌دهی'!$C$8+CG406*'تنظیمات وزن‌دهی'!$C$9+CH406*'تنظیمات وزن‌دهی'!$C$10+CI406*'تنظیمات وزن‌دهی'!$C$11+CJ406*'تنظیمات وزن‌دهی'!$C$12+CK406*'تنظیمات وزن‌دهی'!$C$13)/100))</x:f>
      </x:c>
      <x:c r="CM406" s="178" t="str">
        <x:f>IF(C406="","",IF(COUNT(G406:CB406)=0,"",IF(COUNT(G406:CB406)&lt;74,"موقت - اطلاعات ناقص",IF(CL406&gt;=17,"عالی",IF(CL406&gt;=14,"خوب",IF(CL406&gt;=10,"متوسط","ضعیف"))))))</x:f>
      </x:c>
      <x:c r="CN406" s="178" t="n">
        <x:v>6</x:v>
      </x:c>
      <x:c r="CO406" s="142" t="n">
        <x:f>IF(C406="","",COUNT(G406:CB406)/74)</x:f>
        <x:v>0</x:v>
      </x:c>
      <x:c r="CP406" s="245"/>
    </x:row>
    <x:row r="407">
      <x:c r="A407" s="165" t="n">
        <x:v>403</x:v>
      </x:c>
      <x:c r="B407" s="233" t="str">
        <x:v>دی</x:v>
      </x:c>
      <x:c r="C407" s="233" t="n">
        <x:f>IF('دانش‌آموزان'!E38="","",'دانش‌آموزان'!B38)</x:f>
        <x:v>34</x:v>
      </x:c>
      <x:c r="D407" s="233" t="str">
        <x:f>IF('دانش‌آموزان'!C38="","",'دانش‌آموزان'!C38)</x:f>
        <x:v>4000000349</x:v>
      </x:c>
      <x:c r="E407" s="233" t="str">
        <x:f>IF('دانش‌آموزان'!E38="","",'دانش‌آموزان'!E38&amp;" "&amp;'دانش‌آموزان'!F38)</x:f>
        <x:v>باران نوری</x:v>
      </x:c>
      <x:c r="F407" s="166" t="str">
        <x:f>IF('دانش‌آموزان'!I38="","",'دانش‌آموزان'!I38)</x:f>
        <x:v>sample-7-b</x:v>
      </x:c>
      <x:c r="G407" s="114"/>
      <x:c r="H407" s="115"/>
      <x:c r="I407" s="115"/>
      <x:c r="J407" s="115"/>
      <x:c r="K407" s="115"/>
      <x:c r="L407" s="115"/>
      <x:c r="M407" s="115"/>
      <x:c r="N407" s="115"/>
      <x:c r="O407" s="115"/>
      <x:c r="P407" s="115"/>
      <x:c r="Q407" s="115"/>
      <x:c r="R407" s="115"/>
      <x:c r="S407" s="115"/>
      <x:c r="T407" s="115"/>
      <x:c r="U407" s="115"/>
      <x:c r="V407" s="115"/>
      <x:c r="W407" s="115"/>
      <x:c r="X407" s="115"/>
      <x:c r="Y407" s="115"/>
      <x:c r="Z407" s="115"/>
      <x:c r="AA407" s="115"/>
      <x:c r="AB407" s="115"/>
      <x:c r="AC407" s="115"/>
      <x:c r="AD407" s="115"/>
      <x:c r="AE407" s="115"/>
      <x:c r="AF407" s="115"/>
      <x:c r="AG407" s="115"/>
      <x:c r="AH407" s="115"/>
      <x:c r="AI407" s="115"/>
      <x:c r="AJ407" s="115"/>
      <x:c r="AK407" s="115"/>
      <x:c r="AL407" s="115"/>
      <x:c r="AM407" s="115"/>
      <x:c r="AN407" s="115"/>
      <x:c r="AO407" s="115"/>
      <x:c r="AP407" s="115"/>
      <x:c r="AQ407" s="115"/>
      <x:c r="AR407" s="115"/>
      <x:c r="AS407" s="115"/>
      <x:c r="AT407" s="115"/>
      <x:c r="AU407" s="115"/>
      <x:c r="AV407" s="115"/>
      <x:c r="AW407" s="115"/>
      <x:c r="AX407" s="115"/>
      <x:c r="AY407" s="115"/>
      <x:c r="AZ407" s="115"/>
      <x:c r="BA407" s="115"/>
      <x:c r="BB407" s="115"/>
      <x:c r="BC407" s="115"/>
      <x:c r="BD407" s="115"/>
      <x:c r="BE407" s="115"/>
      <x:c r="BF407" s="115"/>
      <x:c r="BG407" s="115"/>
      <x:c r="BH407" s="115"/>
      <x:c r="BI407" s="115"/>
      <x:c r="BJ407" s="115"/>
      <x:c r="BK407" s="115"/>
      <x:c r="BL407" s="115"/>
      <x:c r="BM407" s="115"/>
      <x:c r="BN407" s="115"/>
      <x:c r="BO407" s="115"/>
      <x:c r="BP407" s="115"/>
      <x:c r="BQ407" s="115"/>
      <x:c r="BR407" s="115"/>
      <x:c r="BS407" s="115"/>
      <x:c r="BT407" s="115"/>
      <x:c r="BU407" s="115"/>
      <x:c r="BV407" s="115"/>
      <x:c r="BW407" s="115"/>
      <x:c r="BX407" s="115"/>
      <x:c r="BY407" s="115"/>
      <x:c r="BZ407" s="115"/>
      <x:c r="CA407" s="115"/>
      <x:c r="CB407" s="116"/>
      <x:c r="CC407" s="141" t="str">
        <x:f>IF(COUNT(G407:P407)=0,"",AVERAGE(G407:P407)*4)</x:f>
      </x:c>
      <x:c r="CD407" s="178" t="str">
        <x:f>IF(COUNT(Q407:Z407)=0,"",AVERAGE(Q407:Z407)*4)</x:f>
      </x:c>
      <x:c r="CE407" s="178" t="str">
        <x:f>IF(COUNT(AA407:AJ407)=0,"",AVERAGE(AA407:AJ407)*4)</x:f>
      </x:c>
      <x:c r="CF407" s="178" t="str">
        <x:f>IF(COUNT(AK407:AR407)=0,"",AVERAGE(AK407:AR407)*4)</x:f>
      </x:c>
      <x:c r="CG407" s="178" t="str">
        <x:f>IF(COUNT(AS407:AY407)=0,"",AVERAGE(AS407:AY407)*4)</x:f>
      </x:c>
      <x:c r="CH407" s="178" t="str">
        <x:f>IF(COUNT(AZ407:BG407)=0,"",AVERAGE(AZ407:BG407)*4)</x:f>
      </x:c>
      <x:c r="CI407" s="178" t="str">
        <x:f>IF(COUNT(BH407:BN407)=0,"",AVERAGE(BH407:BN407)*4)</x:f>
      </x:c>
      <x:c r="CJ407" s="178" t="str">
        <x:f>IF(COUNT(BO407:BU407)=0,"",AVERAGE(BO407:BU407)*4)</x:f>
      </x:c>
      <x:c r="CK407" s="178" t="str">
        <x:f>IF(COUNT(BV407:CB407)=0,"",AVERAGE(BV407:CB407)*4)</x:f>
      </x:c>
      <x:c r="CL407" s="178" t="str">
        <x:f>IF(C407="","",IF(COUNT(G407:CB407)&lt;74,"",(CC407*'تنظیمات وزن‌دهی'!$C$5+CD407*'تنظیمات وزن‌دهی'!$C$6+CE407*'تنظیمات وزن‌دهی'!$C$7+CF407*'تنظیمات وزن‌دهی'!$C$8+CG407*'تنظیمات وزن‌دهی'!$C$9+CH407*'تنظیمات وزن‌دهی'!$C$10+CI407*'تنظیمات وزن‌دهی'!$C$11+CJ407*'تنظیمات وزن‌دهی'!$C$12+CK407*'تنظیمات وزن‌دهی'!$C$13)/100))</x:f>
      </x:c>
      <x:c r="CM407" s="178" t="str">
        <x:f>IF(C407="","",IF(COUNT(G407:CB407)=0,"",IF(COUNT(G407:CB407)&lt;74,"موقت - اطلاعات ناقص",IF(CL407&gt;=17,"عالی",IF(CL407&gt;=14,"خوب",IF(CL407&gt;=10,"متوسط","ضعیف"))))))</x:f>
      </x:c>
      <x:c r="CN407" s="178" t="n">
        <x:v>7</x:v>
      </x:c>
      <x:c r="CO407" s="142" t="n">
        <x:f>IF(C407="","",COUNT(G407:CB407)/74)</x:f>
        <x:v>0</x:v>
      </x:c>
      <x:c r="CP407" s="245"/>
    </x:row>
    <x:row r="408">
      <x:c r="A408" s="165" t="n">
        <x:v>404</x:v>
      </x:c>
      <x:c r="B408" s="233" t="str">
        <x:v>بهمن</x:v>
      </x:c>
      <x:c r="C408" s="233" t="n">
        <x:f>IF('دانش‌آموزان'!E38="","",'دانش‌آموزان'!B38)</x:f>
        <x:v>34</x:v>
      </x:c>
      <x:c r="D408" s="233" t="str">
        <x:f>IF('دانش‌آموزان'!C38="","",'دانش‌آموزان'!C38)</x:f>
        <x:v>4000000349</x:v>
      </x:c>
      <x:c r="E408" s="233" t="str">
        <x:f>IF('دانش‌آموزان'!E38="","",'دانش‌آموزان'!E38&amp;" "&amp;'دانش‌آموزان'!F38)</x:f>
        <x:v>باران نوری</x:v>
      </x:c>
      <x:c r="F408" s="166" t="str">
        <x:f>IF('دانش‌آموزان'!I38="","",'دانش‌آموزان'!I38)</x:f>
        <x:v>sample-7-b</x:v>
      </x:c>
      <x:c r="G408" s="114"/>
      <x:c r="H408" s="115"/>
      <x:c r="I408" s="115"/>
      <x:c r="J408" s="115"/>
      <x:c r="K408" s="115"/>
      <x:c r="L408" s="115"/>
      <x:c r="M408" s="115"/>
      <x:c r="N408" s="115"/>
      <x:c r="O408" s="115"/>
      <x:c r="P408" s="115"/>
      <x:c r="Q408" s="115"/>
      <x:c r="R408" s="115"/>
      <x:c r="S408" s="115"/>
      <x:c r="T408" s="115"/>
      <x:c r="U408" s="115"/>
      <x:c r="V408" s="115"/>
      <x:c r="W408" s="115"/>
      <x:c r="X408" s="115"/>
      <x:c r="Y408" s="115"/>
      <x:c r="Z408" s="115"/>
      <x:c r="AA408" s="115"/>
      <x:c r="AB408" s="115"/>
      <x:c r="AC408" s="115"/>
      <x:c r="AD408" s="115"/>
      <x:c r="AE408" s="115"/>
      <x:c r="AF408" s="115"/>
      <x:c r="AG408" s="115"/>
      <x:c r="AH408" s="115"/>
      <x:c r="AI408" s="115"/>
      <x:c r="AJ408" s="115"/>
      <x:c r="AK408" s="115"/>
      <x:c r="AL408" s="115"/>
      <x:c r="AM408" s="115"/>
      <x:c r="AN408" s="115"/>
      <x:c r="AO408" s="115"/>
      <x:c r="AP408" s="115"/>
      <x:c r="AQ408" s="115"/>
      <x:c r="AR408" s="115"/>
      <x:c r="AS408" s="115"/>
      <x:c r="AT408" s="115"/>
      <x:c r="AU408" s="115"/>
      <x:c r="AV408" s="115"/>
      <x:c r="AW408" s="115"/>
      <x:c r="AX408" s="115"/>
      <x:c r="AY408" s="115"/>
      <x:c r="AZ408" s="115"/>
      <x:c r="BA408" s="115"/>
      <x:c r="BB408" s="115"/>
      <x:c r="BC408" s="115"/>
      <x:c r="BD408" s="115"/>
      <x:c r="BE408" s="115"/>
      <x:c r="BF408" s="115"/>
      <x:c r="BG408" s="115"/>
      <x:c r="BH408" s="115"/>
      <x:c r="BI408" s="115"/>
      <x:c r="BJ408" s="115"/>
      <x:c r="BK408" s="115"/>
      <x:c r="BL408" s="115"/>
      <x:c r="BM408" s="115"/>
      <x:c r="BN408" s="115"/>
      <x:c r="BO408" s="115"/>
      <x:c r="BP408" s="115"/>
      <x:c r="BQ408" s="115"/>
      <x:c r="BR408" s="115"/>
      <x:c r="BS408" s="115"/>
      <x:c r="BT408" s="115"/>
      <x:c r="BU408" s="115"/>
      <x:c r="BV408" s="115"/>
      <x:c r="BW408" s="115"/>
      <x:c r="BX408" s="115"/>
      <x:c r="BY408" s="115"/>
      <x:c r="BZ408" s="115"/>
      <x:c r="CA408" s="115"/>
      <x:c r="CB408" s="116"/>
      <x:c r="CC408" s="141" t="str">
        <x:f>IF(COUNT(G408:P408)=0,"",AVERAGE(G408:P408)*4)</x:f>
      </x:c>
      <x:c r="CD408" s="178" t="str">
        <x:f>IF(COUNT(Q408:Z408)=0,"",AVERAGE(Q408:Z408)*4)</x:f>
      </x:c>
      <x:c r="CE408" s="178" t="str">
        <x:f>IF(COUNT(AA408:AJ408)=0,"",AVERAGE(AA408:AJ408)*4)</x:f>
      </x:c>
      <x:c r="CF408" s="178" t="str">
        <x:f>IF(COUNT(AK408:AR408)=0,"",AVERAGE(AK408:AR408)*4)</x:f>
      </x:c>
      <x:c r="CG408" s="178" t="str">
        <x:f>IF(COUNT(AS408:AY408)=0,"",AVERAGE(AS408:AY408)*4)</x:f>
      </x:c>
      <x:c r="CH408" s="178" t="str">
        <x:f>IF(COUNT(AZ408:BG408)=0,"",AVERAGE(AZ408:BG408)*4)</x:f>
      </x:c>
      <x:c r="CI408" s="178" t="str">
        <x:f>IF(COUNT(BH408:BN408)=0,"",AVERAGE(BH408:BN408)*4)</x:f>
      </x:c>
      <x:c r="CJ408" s="178" t="str">
        <x:f>IF(COUNT(BO408:BU408)=0,"",AVERAGE(BO408:BU408)*4)</x:f>
      </x:c>
      <x:c r="CK408" s="178" t="str">
        <x:f>IF(COUNT(BV408:CB408)=0,"",AVERAGE(BV408:CB408)*4)</x:f>
      </x:c>
      <x:c r="CL408" s="178" t="str">
        <x:f>IF(C408="","",IF(COUNT(G408:CB408)&lt;74,"",(CC408*'تنظیمات وزن‌دهی'!$C$5+CD408*'تنظیمات وزن‌دهی'!$C$6+CE408*'تنظیمات وزن‌دهی'!$C$7+CF408*'تنظیمات وزن‌دهی'!$C$8+CG408*'تنظیمات وزن‌دهی'!$C$9+CH408*'تنظیمات وزن‌دهی'!$C$10+CI408*'تنظیمات وزن‌دهی'!$C$11+CJ408*'تنظیمات وزن‌دهی'!$C$12+CK408*'تنظیمات وزن‌دهی'!$C$13)/100))</x:f>
      </x:c>
      <x:c r="CM408" s="178" t="str">
        <x:f>IF(C408="","",IF(COUNT(G408:CB408)=0,"",IF(COUNT(G408:CB408)&lt;74,"موقت - اطلاعات ناقص",IF(CL408&gt;=17,"عالی",IF(CL408&gt;=14,"خوب",IF(CL408&gt;=10,"متوسط","ضعیف"))))))</x:f>
      </x:c>
      <x:c r="CN408" s="178" t="n">
        <x:v>8</x:v>
      </x:c>
      <x:c r="CO408" s="142" t="n">
        <x:f>IF(C408="","",COUNT(G408:CB408)/74)</x:f>
        <x:v>0</x:v>
      </x:c>
      <x:c r="CP408" s="245"/>
    </x:row>
    <x:row r="409">
      <x:c r="A409" s="165" t="n">
        <x:v>405</x:v>
      </x:c>
      <x:c r="B409" s="233" t="str">
        <x:v>اسفند</x:v>
      </x:c>
      <x:c r="C409" s="233" t="n">
        <x:f>IF('دانش‌آموزان'!E38="","",'دانش‌آموزان'!B38)</x:f>
        <x:v>34</x:v>
      </x:c>
      <x:c r="D409" s="233" t="str">
        <x:f>IF('دانش‌آموزان'!C38="","",'دانش‌آموزان'!C38)</x:f>
        <x:v>4000000349</x:v>
      </x:c>
      <x:c r="E409" s="233" t="str">
        <x:f>IF('دانش‌آموزان'!E38="","",'دانش‌آموزان'!E38&amp;" "&amp;'دانش‌آموزان'!F38)</x:f>
        <x:v>باران نوری</x:v>
      </x:c>
      <x:c r="F409" s="166" t="str">
        <x:f>IF('دانش‌آموزان'!I38="","",'دانش‌آموزان'!I38)</x:f>
        <x:v>sample-7-b</x:v>
      </x:c>
      <x:c r="G409" s="114"/>
      <x:c r="H409" s="115"/>
      <x:c r="I409" s="115"/>
      <x:c r="J409" s="115"/>
      <x:c r="K409" s="115"/>
      <x:c r="L409" s="115"/>
      <x:c r="M409" s="115"/>
      <x:c r="N409" s="115"/>
      <x:c r="O409" s="115"/>
      <x:c r="P409" s="115"/>
      <x:c r="Q409" s="115"/>
      <x:c r="R409" s="115"/>
      <x:c r="S409" s="115"/>
      <x:c r="T409" s="115"/>
      <x:c r="U409" s="115"/>
      <x:c r="V409" s="115"/>
      <x:c r="W409" s="115"/>
      <x:c r="X409" s="115"/>
      <x:c r="Y409" s="115"/>
      <x:c r="Z409" s="115"/>
      <x:c r="AA409" s="115"/>
      <x:c r="AB409" s="115"/>
      <x:c r="AC409" s="115"/>
      <x:c r="AD409" s="115"/>
      <x:c r="AE409" s="115"/>
      <x:c r="AF409" s="115"/>
      <x:c r="AG409" s="115"/>
      <x:c r="AH409" s="115"/>
      <x:c r="AI409" s="115"/>
      <x:c r="AJ409" s="115"/>
      <x:c r="AK409" s="115"/>
      <x:c r="AL409" s="115"/>
      <x:c r="AM409" s="115"/>
      <x:c r="AN409" s="115"/>
      <x:c r="AO409" s="115"/>
      <x:c r="AP409" s="115"/>
      <x:c r="AQ409" s="115"/>
      <x:c r="AR409" s="115"/>
      <x:c r="AS409" s="115"/>
      <x:c r="AT409" s="115"/>
      <x:c r="AU409" s="115"/>
      <x:c r="AV409" s="115"/>
      <x:c r="AW409" s="115"/>
      <x:c r="AX409" s="115"/>
      <x:c r="AY409" s="115"/>
      <x:c r="AZ409" s="115"/>
      <x:c r="BA409" s="115"/>
      <x:c r="BB409" s="115"/>
      <x:c r="BC409" s="115"/>
      <x:c r="BD409" s="115"/>
      <x:c r="BE409" s="115"/>
      <x:c r="BF409" s="115"/>
      <x:c r="BG409" s="115"/>
      <x:c r="BH409" s="115"/>
      <x:c r="BI409" s="115"/>
      <x:c r="BJ409" s="115"/>
      <x:c r="BK409" s="115"/>
      <x:c r="BL409" s="115"/>
      <x:c r="BM409" s="115"/>
      <x:c r="BN409" s="115"/>
      <x:c r="BO409" s="115"/>
      <x:c r="BP409" s="115"/>
      <x:c r="BQ409" s="115"/>
      <x:c r="BR409" s="115"/>
      <x:c r="BS409" s="115"/>
      <x:c r="BT409" s="115"/>
      <x:c r="BU409" s="115"/>
      <x:c r="BV409" s="115"/>
      <x:c r="BW409" s="115"/>
      <x:c r="BX409" s="115"/>
      <x:c r="BY409" s="115"/>
      <x:c r="BZ409" s="115"/>
      <x:c r="CA409" s="115"/>
      <x:c r="CB409" s="116"/>
      <x:c r="CC409" s="141" t="str">
        <x:f>IF(COUNT(G409:P409)=0,"",AVERAGE(G409:P409)*4)</x:f>
      </x:c>
      <x:c r="CD409" s="178" t="str">
        <x:f>IF(COUNT(Q409:Z409)=0,"",AVERAGE(Q409:Z409)*4)</x:f>
      </x:c>
      <x:c r="CE409" s="178" t="str">
        <x:f>IF(COUNT(AA409:AJ409)=0,"",AVERAGE(AA409:AJ409)*4)</x:f>
      </x:c>
      <x:c r="CF409" s="178" t="str">
        <x:f>IF(COUNT(AK409:AR409)=0,"",AVERAGE(AK409:AR409)*4)</x:f>
      </x:c>
      <x:c r="CG409" s="178" t="str">
        <x:f>IF(COUNT(AS409:AY409)=0,"",AVERAGE(AS409:AY409)*4)</x:f>
      </x:c>
      <x:c r="CH409" s="178" t="str">
        <x:f>IF(COUNT(AZ409:BG409)=0,"",AVERAGE(AZ409:BG409)*4)</x:f>
      </x:c>
      <x:c r="CI409" s="178" t="str">
        <x:f>IF(COUNT(BH409:BN409)=0,"",AVERAGE(BH409:BN409)*4)</x:f>
      </x:c>
      <x:c r="CJ409" s="178" t="str">
        <x:f>IF(COUNT(BO409:BU409)=0,"",AVERAGE(BO409:BU409)*4)</x:f>
      </x:c>
      <x:c r="CK409" s="178" t="str">
        <x:f>IF(COUNT(BV409:CB409)=0,"",AVERAGE(BV409:CB409)*4)</x:f>
      </x:c>
      <x:c r="CL409" s="178" t="str">
        <x:f>IF(C409="","",IF(COUNT(G409:CB409)&lt;74,"",(CC409*'تنظیمات وزن‌دهی'!$C$5+CD409*'تنظیمات وزن‌دهی'!$C$6+CE409*'تنظیمات وزن‌دهی'!$C$7+CF409*'تنظیمات وزن‌دهی'!$C$8+CG409*'تنظیمات وزن‌دهی'!$C$9+CH409*'تنظیمات وزن‌دهی'!$C$10+CI409*'تنظیمات وزن‌دهی'!$C$11+CJ409*'تنظیمات وزن‌دهی'!$C$12+CK409*'تنظیمات وزن‌دهی'!$C$13)/100))</x:f>
      </x:c>
      <x:c r="CM409" s="178" t="str">
        <x:f>IF(C409="","",IF(COUNT(G409:CB409)=0,"",IF(COUNT(G409:CB409)&lt;74,"موقت - اطلاعات ناقص",IF(CL409&gt;=17,"عالی",IF(CL409&gt;=14,"خوب",IF(CL409&gt;=10,"متوسط","ضعیف"))))))</x:f>
      </x:c>
      <x:c r="CN409" s="178" t="n">
        <x:v>9</x:v>
      </x:c>
      <x:c r="CO409" s="142" t="n">
        <x:f>IF(C409="","",COUNT(G409:CB409)/74)</x:f>
        <x:v>0</x:v>
      </x:c>
      <x:c r="CP409" s="245"/>
    </x:row>
    <x:row r="410">
      <x:c r="A410" s="165" t="n">
        <x:v>406</x:v>
      </x:c>
      <x:c r="B410" s="233" t="str">
        <x:v>فروردین</x:v>
      </x:c>
      <x:c r="C410" s="233" t="n">
        <x:f>IF('دانش‌آموزان'!E38="","",'دانش‌آموزان'!B38)</x:f>
        <x:v>34</x:v>
      </x:c>
      <x:c r="D410" s="233" t="str">
        <x:f>IF('دانش‌آموزان'!C38="","",'دانش‌آموزان'!C38)</x:f>
        <x:v>4000000349</x:v>
      </x:c>
      <x:c r="E410" s="233" t="str">
        <x:f>IF('دانش‌آموزان'!E38="","",'دانش‌آموزان'!E38&amp;" "&amp;'دانش‌آموزان'!F38)</x:f>
        <x:v>باران نوری</x:v>
      </x:c>
      <x:c r="F410" s="166" t="str">
        <x:f>IF('دانش‌آموزان'!I38="","",'دانش‌آموزان'!I38)</x:f>
        <x:v>sample-7-b</x:v>
      </x:c>
      <x:c r="G410" s="114"/>
      <x:c r="H410" s="115"/>
      <x:c r="I410" s="115"/>
      <x:c r="J410" s="115"/>
      <x:c r="K410" s="115"/>
      <x:c r="L410" s="115"/>
      <x:c r="M410" s="115"/>
      <x:c r="N410" s="115"/>
      <x:c r="O410" s="115"/>
      <x:c r="P410" s="115"/>
      <x:c r="Q410" s="115"/>
      <x:c r="R410" s="115"/>
      <x:c r="S410" s="115"/>
      <x:c r="T410" s="115"/>
      <x:c r="U410" s="115"/>
      <x:c r="V410" s="115"/>
      <x:c r="W410" s="115"/>
      <x:c r="X410" s="115"/>
      <x:c r="Y410" s="115"/>
      <x:c r="Z410" s="115"/>
      <x:c r="AA410" s="115"/>
      <x:c r="AB410" s="115"/>
      <x:c r="AC410" s="115"/>
      <x:c r="AD410" s="115"/>
      <x:c r="AE410" s="115"/>
      <x:c r="AF410" s="115"/>
      <x:c r="AG410" s="115"/>
      <x:c r="AH410" s="115"/>
      <x:c r="AI410" s="115"/>
      <x:c r="AJ410" s="115"/>
      <x:c r="AK410" s="115"/>
      <x:c r="AL410" s="115"/>
      <x:c r="AM410" s="115"/>
      <x:c r="AN410" s="115"/>
      <x:c r="AO410" s="115"/>
      <x:c r="AP410" s="115"/>
      <x:c r="AQ410" s="115"/>
      <x:c r="AR410" s="115"/>
      <x:c r="AS410" s="115"/>
      <x:c r="AT410" s="115"/>
      <x:c r="AU410" s="115"/>
      <x:c r="AV410" s="115"/>
      <x:c r="AW410" s="115"/>
      <x:c r="AX410" s="115"/>
      <x:c r="AY410" s="115"/>
      <x:c r="AZ410" s="115"/>
      <x:c r="BA410" s="115"/>
      <x:c r="BB410" s="115"/>
      <x:c r="BC410" s="115"/>
      <x:c r="BD410" s="115"/>
      <x:c r="BE410" s="115"/>
      <x:c r="BF410" s="115"/>
      <x:c r="BG410" s="115"/>
      <x:c r="BH410" s="115"/>
      <x:c r="BI410" s="115"/>
      <x:c r="BJ410" s="115"/>
      <x:c r="BK410" s="115"/>
      <x:c r="BL410" s="115"/>
      <x:c r="BM410" s="115"/>
      <x:c r="BN410" s="115"/>
      <x:c r="BO410" s="115"/>
      <x:c r="BP410" s="115"/>
      <x:c r="BQ410" s="115"/>
      <x:c r="BR410" s="115"/>
      <x:c r="BS410" s="115"/>
      <x:c r="BT410" s="115"/>
      <x:c r="BU410" s="115"/>
      <x:c r="BV410" s="115"/>
      <x:c r="BW410" s="115"/>
      <x:c r="BX410" s="115"/>
      <x:c r="BY410" s="115"/>
      <x:c r="BZ410" s="115"/>
      <x:c r="CA410" s="115"/>
      <x:c r="CB410" s="116"/>
      <x:c r="CC410" s="141" t="str">
        <x:f>IF(COUNT(G410:P410)=0,"",AVERAGE(G410:P410)*4)</x:f>
      </x:c>
      <x:c r="CD410" s="178" t="str">
        <x:f>IF(COUNT(Q410:Z410)=0,"",AVERAGE(Q410:Z410)*4)</x:f>
      </x:c>
      <x:c r="CE410" s="178" t="str">
        <x:f>IF(COUNT(AA410:AJ410)=0,"",AVERAGE(AA410:AJ410)*4)</x:f>
      </x:c>
      <x:c r="CF410" s="178" t="str">
        <x:f>IF(COUNT(AK410:AR410)=0,"",AVERAGE(AK410:AR410)*4)</x:f>
      </x:c>
      <x:c r="CG410" s="178" t="str">
        <x:f>IF(COUNT(AS410:AY410)=0,"",AVERAGE(AS410:AY410)*4)</x:f>
      </x:c>
      <x:c r="CH410" s="178" t="str">
        <x:f>IF(COUNT(AZ410:BG410)=0,"",AVERAGE(AZ410:BG410)*4)</x:f>
      </x:c>
      <x:c r="CI410" s="178" t="str">
        <x:f>IF(COUNT(BH410:BN410)=0,"",AVERAGE(BH410:BN410)*4)</x:f>
      </x:c>
      <x:c r="CJ410" s="178" t="str">
        <x:f>IF(COUNT(BO410:BU410)=0,"",AVERAGE(BO410:BU410)*4)</x:f>
      </x:c>
      <x:c r="CK410" s="178" t="str">
        <x:f>IF(COUNT(BV410:CB410)=0,"",AVERAGE(BV410:CB410)*4)</x:f>
      </x:c>
      <x:c r="CL410" s="178" t="str">
        <x:f>IF(C410="","",IF(COUNT(G410:CB410)&lt;74,"",(CC410*'تنظیمات وزن‌دهی'!$C$5+CD410*'تنظیمات وزن‌دهی'!$C$6+CE410*'تنظیمات وزن‌دهی'!$C$7+CF410*'تنظیمات وزن‌دهی'!$C$8+CG410*'تنظیمات وزن‌دهی'!$C$9+CH410*'تنظیمات وزن‌دهی'!$C$10+CI410*'تنظیمات وزن‌دهی'!$C$11+CJ410*'تنظیمات وزن‌دهی'!$C$12+CK410*'تنظیمات وزن‌دهی'!$C$13)/100))</x:f>
      </x:c>
      <x:c r="CM410" s="178" t="str">
        <x:f>IF(C410="","",IF(COUNT(G410:CB410)=0,"",IF(COUNT(G410:CB410)&lt;74,"موقت - اطلاعات ناقص",IF(CL410&gt;=17,"عالی",IF(CL410&gt;=14,"خوب",IF(CL410&gt;=10,"متوسط","ضعیف"))))))</x:f>
      </x:c>
      <x:c r="CN410" s="178" t="n">
        <x:v>10</x:v>
      </x:c>
      <x:c r="CO410" s="142" t="n">
        <x:f>IF(C410="","",COUNT(G410:CB410)/74)</x:f>
        <x:v>0</x:v>
      </x:c>
      <x:c r="CP410" s="245"/>
    </x:row>
    <x:row r="411">
      <x:c r="A411" s="165" t="n">
        <x:v>407</x:v>
      </x:c>
      <x:c r="B411" s="233" t="str">
        <x:v>اردیبهشت</x:v>
      </x:c>
      <x:c r="C411" s="233" t="n">
        <x:f>IF('دانش‌آموزان'!E38="","",'دانش‌آموزان'!B38)</x:f>
        <x:v>34</x:v>
      </x:c>
      <x:c r="D411" s="233" t="str">
        <x:f>IF('دانش‌آموزان'!C38="","",'دانش‌آموزان'!C38)</x:f>
        <x:v>4000000349</x:v>
      </x:c>
      <x:c r="E411" s="233" t="str">
        <x:f>IF('دانش‌آموزان'!E38="","",'دانش‌آموزان'!E38&amp;" "&amp;'دانش‌آموزان'!F38)</x:f>
        <x:v>باران نوری</x:v>
      </x:c>
      <x:c r="F411" s="166" t="str">
        <x:f>IF('دانش‌آموزان'!I38="","",'دانش‌آموزان'!I38)</x:f>
        <x:v>sample-7-b</x:v>
      </x:c>
      <x:c r="G411" s="114"/>
      <x:c r="H411" s="115"/>
      <x:c r="I411" s="115"/>
      <x:c r="J411" s="115"/>
      <x:c r="K411" s="115"/>
      <x:c r="L411" s="115"/>
      <x:c r="M411" s="115"/>
      <x:c r="N411" s="115"/>
      <x:c r="O411" s="115"/>
      <x:c r="P411" s="115"/>
      <x:c r="Q411" s="115"/>
      <x:c r="R411" s="115"/>
      <x:c r="S411" s="115"/>
      <x:c r="T411" s="115"/>
      <x:c r="U411" s="115"/>
      <x:c r="V411" s="115"/>
      <x:c r="W411" s="115"/>
      <x:c r="X411" s="115"/>
      <x:c r="Y411" s="115"/>
      <x:c r="Z411" s="115"/>
      <x:c r="AA411" s="115"/>
      <x:c r="AB411" s="115"/>
      <x:c r="AC411" s="115"/>
      <x:c r="AD411" s="115"/>
      <x:c r="AE411" s="115"/>
      <x:c r="AF411" s="115"/>
      <x:c r="AG411" s="115"/>
      <x:c r="AH411" s="115"/>
      <x:c r="AI411" s="115"/>
      <x:c r="AJ411" s="115"/>
      <x:c r="AK411" s="115"/>
      <x:c r="AL411" s="115"/>
      <x:c r="AM411" s="115"/>
      <x:c r="AN411" s="115"/>
      <x:c r="AO411" s="115"/>
      <x:c r="AP411" s="115"/>
      <x:c r="AQ411" s="115"/>
      <x:c r="AR411" s="115"/>
      <x:c r="AS411" s="115"/>
      <x:c r="AT411" s="115"/>
      <x:c r="AU411" s="115"/>
      <x:c r="AV411" s="115"/>
      <x:c r="AW411" s="115"/>
      <x:c r="AX411" s="115"/>
      <x:c r="AY411" s="115"/>
      <x:c r="AZ411" s="115"/>
      <x:c r="BA411" s="115"/>
      <x:c r="BB411" s="115"/>
      <x:c r="BC411" s="115"/>
      <x:c r="BD411" s="115"/>
      <x:c r="BE411" s="115"/>
      <x:c r="BF411" s="115"/>
      <x:c r="BG411" s="115"/>
      <x:c r="BH411" s="115"/>
      <x:c r="BI411" s="115"/>
      <x:c r="BJ411" s="115"/>
      <x:c r="BK411" s="115"/>
      <x:c r="BL411" s="115"/>
      <x:c r="BM411" s="115"/>
      <x:c r="BN411" s="115"/>
      <x:c r="BO411" s="115"/>
      <x:c r="BP411" s="115"/>
      <x:c r="BQ411" s="115"/>
      <x:c r="BR411" s="115"/>
      <x:c r="BS411" s="115"/>
      <x:c r="BT411" s="115"/>
      <x:c r="BU411" s="115"/>
      <x:c r="BV411" s="115"/>
      <x:c r="BW411" s="115"/>
      <x:c r="BX411" s="115"/>
      <x:c r="BY411" s="115"/>
      <x:c r="BZ411" s="115"/>
      <x:c r="CA411" s="115"/>
      <x:c r="CB411" s="116"/>
      <x:c r="CC411" s="141" t="str">
        <x:f>IF(COUNT(G411:P411)=0,"",AVERAGE(G411:P411)*4)</x:f>
      </x:c>
      <x:c r="CD411" s="178" t="str">
        <x:f>IF(COUNT(Q411:Z411)=0,"",AVERAGE(Q411:Z411)*4)</x:f>
      </x:c>
      <x:c r="CE411" s="178" t="str">
        <x:f>IF(COUNT(AA411:AJ411)=0,"",AVERAGE(AA411:AJ411)*4)</x:f>
      </x:c>
      <x:c r="CF411" s="178" t="str">
        <x:f>IF(COUNT(AK411:AR411)=0,"",AVERAGE(AK411:AR411)*4)</x:f>
      </x:c>
      <x:c r="CG411" s="178" t="str">
        <x:f>IF(COUNT(AS411:AY411)=0,"",AVERAGE(AS411:AY411)*4)</x:f>
      </x:c>
      <x:c r="CH411" s="178" t="str">
        <x:f>IF(COUNT(AZ411:BG411)=0,"",AVERAGE(AZ411:BG411)*4)</x:f>
      </x:c>
      <x:c r="CI411" s="178" t="str">
        <x:f>IF(COUNT(BH411:BN411)=0,"",AVERAGE(BH411:BN411)*4)</x:f>
      </x:c>
      <x:c r="CJ411" s="178" t="str">
        <x:f>IF(COUNT(BO411:BU411)=0,"",AVERAGE(BO411:BU411)*4)</x:f>
      </x:c>
      <x:c r="CK411" s="178" t="str">
        <x:f>IF(COUNT(BV411:CB411)=0,"",AVERAGE(BV411:CB411)*4)</x:f>
      </x:c>
      <x:c r="CL411" s="178" t="str">
        <x:f>IF(C411="","",IF(COUNT(G411:CB411)&lt;74,"",(CC411*'تنظیمات وزن‌دهی'!$C$5+CD411*'تنظیمات وزن‌دهی'!$C$6+CE411*'تنظیمات وزن‌دهی'!$C$7+CF411*'تنظیمات وزن‌دهی'!$C$8+CG411*'تنظیمات وزن‌دهی'!$C$9+CH411*'تنظیمات وزن‌دهی'!$C$10+CI411*'تنظیمات وزن‌دهی'!$C$11+CJ411*'تنظیمات وزن‌دهی'!$C$12+CK411*'تنظیمات وزن‌دهی'!$C$13)/100))</x:f>
      </x:c>
      <x:c r="CM411" s="178" t="str">
        <x:f>IF(C411="","",IF(COUNT(G411:CB411)=0,"",IF(COUNT(G411:CB411)&lt;74,"موقت - اطلاعات ناقص",IF(CL411&gt;=17,"عالی",IF(CL411&gt;=14,"خوب",IF(CL411&gt;=10,"متوسط","ضعیف"))))))</x:f>
      </x:c>
      <x:c r="CN411" s="178" t="n">
        <x:v>11</x:v>
      </x:c>
      <x:c r="CO411" s="142" t="n">
        <x:f>IF(C411="","",COUNT(G411:CB411)/74)</x:f>
        <x:v>0</x:v>
      </x:c>
      <x:c r="CP411" s="245"/>
    </x:row>
    <x:row r="412">
      <x:c r="A412" s="165" t="n">
        <x:v>408</x:v>
      </x:c>
      <x:c r="B412" s="233" t="str">
        <x:v>خرداد</x:v>
      </x:c>
      <x:c r="C412" s="233" t="n">
        <x:f>IF('دانش‌آموزان'!E38="","",'دانش‌آموزان'!B38)</x:f>
        <x:v>34</x:v>
      </x:c>
      <x:c r="D412" s="233" t="str">
        <x:f>IF('دانش‌آموزان'!C38="","",'دانش‌آموزان'!C38)</x:f>
        <x:v>4000000349</x:v>
      </x:c>
      <x:c r="E412" s="233" t="str">
        <x:f>IF('دانش‌آموزان'!E38="","",'دانش‌آموزان'!E38&amp;" "&amp;'دانش‌آموزان'!F38)</x:f>
        <x:v>باران نوری</x:v>
      </x:c>
      <x:c r="F412" s="166" t="str">
        <x:f>IF('دانش‌آموزان'!I38="","",'دانش‌آموزان'!I38)</x:f>
        <x:v>sample-7-b</x:v>
      </x:c>
      <x:c r="G412" s="114"/>
      <x:c r="H412" s="115"/>
      <x:c r="I412" s="115"/>
      <x:c r="J412" s="115"/>
      <x:c r="K412" s="115"/>
      <x:c r="L412" s="115"/>
      <x:c r="M412" s="115"/>
      <x:c r="N412" s="115"/>
      <x:c r="O412" s="115"/>
      <x:c r="P412" s="115"/>
      <x:c r="Q412" s="115"/>
      <x:c r="R412" s="115"/>
      <x:c r="S412" s="115"/>
      <x:c r="T412" s="115"/>
      <x:c r="U412" s="115"/>
      <x:c r="V412" s="115"/>
      <x:c r="W412" s="115"/>
      <x:c r="X412" s="115"/>
      <x:c r="Y412" s="115"/>
      <x:c r="Z412" s="115"/>
      <x:c r="AA412" s="115"/>
      <x:c r="AB412" s="115"/>
      <x:c r="AC412" s="115"/>
      <x:c r="AD412" s="115"/>
      <x:c r="AE412" s="115"/>
      <x:c r="AF412" s="115"/>
      <x:c r="AG412" s="115"/>
      <x:c r="AH412" s="115"/>
      <x:c r="AI412" s="115"/>
      <x:c r="AJ412" s="115"/>
      <x:c r="AK412" s="115"/>
      <x:c r="AL412" s="115"/>
      <x:c r="AM412" s="115"/>
      <x:c r="AN412" s="115"/>
      <x:c r="AO412" s="115"/>
      <x:c r="AP412" s="115"/>
      <x:c r="AQ412" s="115"/>
      <x:c r="AR412" s="115"/>
      <x:c r="AS412" s="115"/>
      <x:c r="AT412" s="115"/>
      <x:c r="AU412" s="115"/>
      <x:c r="AV412" s="115"/>
      <x:c r="AW412" s="115"/>
      <x:c r="AX412" s="115"/>
      <x:c r="AY412" s="115"/>
      <x:c r="AZ412" s="115"/>
      <x:c r="BA412" s="115"/>
      <x:c r="BB412" s="115"/>
      <x:c r="BC412" s="115"/>
      <x:c r="BD412" s="115"/>
      <x:c r="BE412" s="115"/>
      <x:c r="BF412" s="115"/>
      <x:c r="BG412" s="115"/>
      <x:c r="BH412" s="115"/>
      <x:c r="BI412" s="115"/>
      <x:c r="BJ412" s="115"/>
      <x:c r="BK412" s="115"/>
      <x:c r="BL412" s="115"/>
      <x:c r="BM412" s="115"/>
      <x:c r="BN412" s="115"/>
      <x:c r="BO412" s="115"/>
      <x:c r="BP412" s="115"/>
      <x:c r="BQ412" s="115"/>
      <x:c r="BR412" s="115"/>
      <x:c r="BS412" s="115"/>
      <x:c r="BT412" s="115"/>
      <x:c r="BU412" s="115"/>
      <x:c r="BV412" s="115"/>
      <x:c r="BW412" s="115"/>
      <x:c r="BX412" s="115"/>
      <x:c r="BY412" s="115"/>
      <x:c r="BZ412" s="115"/>
      <x:c r="CA412" s="115"/>
      <x:c r="CB412" s="116"/>
      <x:c r="CC412" s="141" t="str">
        <x:f>IF(COUNT(G412:P412)=0,"",AVERAGE(G412:P412)*4)</x:f>
      </x:c>
      <x:c r="CD412" s="178" t="str">
        <x:f>IF(COUNT(Q412:Z412)=0,"",AVERAGE(Q412:Z412)*4)</x:f>
      </x:c>
      <x:c r="CE412" s="178" t="str">
        <x:f>IF(COUNT(AA412:AJ412)=0,"",AVERAGE(AA412:AJ412)*4)</x:f>
      </x:c>
      <x:c r="CF412" s="178" t="str">
        <x:f>IF(COUNT(AK412:AR412)=0,"",AVERAGE(AK412:AR412)*4)</x:f>
      </x:c>
      <x:c r="CG412" s="178" t="str">
        <x:f>IF(COUNT(AS412:AY412)=0,"",AVERAGE(AS412:AY412)*4)</x:f>
      </x:c>
      <x:c r="CH412" s="178" t="str">
        <x:f>IF(COUNT(AZ412:BG412)=0,"",AVERAGE(AZ412:BG412)*4)</x:f>
      </x:c>
      <x:c r="CI412" s="178" t="str">
        <x:f>IF(COUNT(BH412:BN412)=0,"",AVERAGE(BH412:BN412)*4)</x:f>
      </x:c>
      <x:c r="CJ412" s="178" t="str">
        <x:f>IF(COUNT(BO412:BU412)=0,"",AVERAGE(BO412:BU412)*4)</x:f>
      </x:c>
      <x:c r="CK412" s="178" t="str">
        <x:f>IF(COUNT(BV412:CB412)=0,"",AVERAGE(BV412:CB412)*4)</x:f>
      </x:c>
      <x:c r="CL412" s="178" t="str">
        <x:f>IF(C412="","",IF(COUNT(G412:CB412)&lt;74,"",(CC412*'تنظیمات وزن‌دهی'!$C$5+CD412*'تنظیمات وزن‌دهی'!$C$6+CE412*'تنظیمات وزن‌دهی'!$C$7+CF412*'تنظیمات وزن‌دهی'!$C$8+CG412*'تنظیمات وزن‌دهی'!$C$9+CH412*'تنظیمات وزن‌دهی'!$C$10+CI412*'تنظیمات وزن‌دهی'!$C$11+CJ412*'تنظیمات وزن‌دهی'!$C$12+CK412*'تنظیمات وزن‌دهی'!$C$13)/100))</x:f>
      </x:c>
      <x:c r="CM412" s="178" t="str">
        <x:f>IF(C412="","",IF(COUNT(G412:CB412)=0,"",IF(COUNT(G412:CB412)&lt;74,"موقت - اطلاعات ناقص",IF(CL412&gt;=17,"عالی",IF(CL412&gt;=14,"خوب",IF(CL412&gt;=10,"متوسط","ضعیف"))))))</x:f>
      </x:c>
      <x:c r="CN412" s="178" t="n">
        <x:v>12</x:v>
      </x:c>
      <x:c r="CO412" s="142" t="n">
        <x:f>IF(C412="","",COUNT(G412:CB412)/74)</x:f>
        <x:v>0</x:v>
      </x:c>
      <x:c r="CP412" s="245"/>
    </x:row>
    <x:row r="413">
      <x:c r="A413" s="165" t="n">
        <x:v>409</x:v>
      </x:c>
      <x:c r="B413" s="233" t="str">
        <x:v>تیر</x:v>
      </x:c>
      <x:c r="C413" s="233" t="n">
        <x:f>IF('دانش‌آموزان'!E39="","",'دانش‌آموزان'!B39)</x:f>
        <x:v>35</x:v>
      </x:c>
      <x:c r="D413" s="233" t="str">
        <x:f>IF('دانش‌آموزان'!C39="","",'دانش‌آموزان'!C39)</x:f>
        <x:v>4000000357</x:v>
      </x:c>
      <x:c r="E413" s="233" t="str">
        <x:f>IF('دانش‌آموزان'!E39="","",'دانش‌آموزان'!E39&amp;" "&amp;'دانش‌آموزان'!F39)</x:f>
        <x:v>ماهان سلیمانی</x:v>
      </x:c>
      <x:c r="F413" s="166" t="str">
        <x:f>IF('دانش‌آموزان'!I39="","",'دانش‌آموزان'!I39)</x:f>
        <x:v>sample-7-b</x:v>
      </x:c>
      <x:c r="G413" s="114" t="n">
        <x:v>3</x:v>
      </x:c>
      <x:c r="H413" s="115" t="n">
        <x:v>5</x:v>
      </x:c>
      <x:c r="I413" s="115" t="n">
        <x:v>3</x:v>
      </x:c>
      <x:c r="J413" s="115" t="n">
        <x:v>4</x:v>
      </x:c>
      <x:c r="K413" s="115" t="n">
        <x:v>3</x:v>
      </x:c>
      <x:c r="L413" s="115" t="n">
        <x:v>4</x:v>
      </x:c>
      <x:c r="M413" s="115" t="n">
        <x:v>2</x:v>
      </x:c>
      <x:c r="N413" s="115" t="n">
        <x:v>4</x:v>
      </x:c>
      <x:c r="O413" s="115" t="n">
        <x:v>5</x:v>
      </x:c>
      <x:c r="P413" s="115" t="n">
        <x:v>4</x:v>
      </x:c>
      <x:c r="Q413" s="115" t="n">
        <x:v>5</x:v>
      </x:c>
      <x:c r="R413" s="115" t="n">
        <x:v>3</x:v>
      </x:c>
      <x:c r="S413" s="115" t="n">
        <x:v>5</x:v>
      </x:c>
      <x:c r="T413" s="115" t="n">
        <x:v>3</x:v>
      </x:c>
      <x:c r="U413" s="115" t="n">
        <x:v>4</x:v>
      </x:c>
      <x:c r="V413" s="115" t="n">
        <x:v>3</x:v>
      </x:c>
      <x:c r="W413" s="115" t="n">
        <x:v>4</x:v>
      </x:c>
      <x:c r="X413" s="115" t="n">
        <x:v>2</x:v>
      </x:c>
      <x:c r="Y413" s="115" t="n">
        <x:v>4</x:v>
      </x:c>
      <x:c r="Z413" s="115" t="n">
        <x:v>5</x:v>
      </x:c>
      <x:c r="AA413" s="115" t="n">
        <x:v>4</x:v>
      </x:c>
      <x:c r="AB413" s="115" t="n">
        <x:v>5</x:v>
      </x:c>
      <x:c r="AC413" s="115" t="n">
        <x:v>3</x:v>
      </x:c>
      <x:c r="AD413" s="115" t="n">
        <x:v>5</x:v>
      </x:c>
      <x:c r="AE413" s="115" t="n">
        <x:v>3</x:v>
      </x:c>
      <x:c r="AF413" s="115" t="n">
        <x:v>4</x:v>
      </x:c>
      <x:c r="AG413" s="115" t="n">
        <x:v>3</x:v>
      </x:c>
      <x:c r="AH413" s="115" t="n">
        <x:v>4</x:v>
      </x:c>
      <x:c r="AI413" s="115" t="n">
        <x:v>2</x:v>
      </x:c>
      <x:c r="AJ413" s="115" t="n">
        <x:v>4</x:v>
      </x:c>
      <x:c r="AK413" s="115" t="n">
        <x:v>5</x:v>
      </x:c>
      <x:c r="AL413" s="115" t="n">
        <x:v>4</x:v>
      </x:c>
      <x:c r="AM413" s="115" t="n">
        <x:v>5</x:v>
      </x:c>
      <x:c r="AN413" s="115" t="n">
        <x:v>3</x:v>
      </x:c>
      <x:c r="AO413" s="115" t="n">
        <x:v>5</x:v>
      </x:c>
      <x:c r="AP413" s="115" t="n">
        <x:v>3</x:v>
      </x:c>
      <x:c r="AQ413" s="115" t="n">
        <x:v>4</x:v>
      </x:c>
      <x:c r="AR413" s="115" t="n">
        <x:v>3</x:v>
      </x:c>
      <x:c r="AS413" s="115" t="n">
        <x:v>4</x:v>
      </x:c>
      <x:c r="AT413" s="115" t="n">
        <x:v>2</x:v>
      </x:c>
      <x:c r="AU413" s="115" t="n">
        <x:v>4</x:v>
      </x:c>
      <x:c r="AV413" s="115" t="n">
        <x:v>5</x:v>
      </x:c>
      <x:c r="AW413" s="115" t="n">
        <x:v>4</x:v>
      </x:c>
      <x:c r="AX413" s="115" t="n">
        <x:v>5</x:v>
      </x:c>
      <x:c r="AY413" s="115" t="n">
        <x:v>3</x:v>
      </x:c>
      <x:c r="AZ413" s="115" t="n">
        <x:v>5</x:v>
      </x:c>
      <x:c r="BA413" s="115" t="n">
        <x:v>3</x:v>
      </x:c>
      <x:c r="BB413" s="115" t="n">
        <x:v>4</x:v>
      </x:c>
      <x:c r="BC413" s="115" t="n">
        <x:v>3</x:v>
      </x:c>
      <x:c r="BD413" s="115" t="n">
        <x:v>4</x:v>
      </x:c>
      <x:c r="BE413" s="115" t="n">
        <x:v>2</x:v>
      </x:c>
      <x:c r="BF413" s="115" t="n">
        <x:v>4</x:v>
      </x:c>
      <x:c r="BG413" s="115" t="n">
        <x:v>5</x:v>
      </x:c>
      <x:c r="BH413" s="115" t="n">
        <x:v>4</x:v>
      </x:c>
      <x:c r="BI413" s="115" t="n">
        <x:v>5</x:v>
      </x:c>
      <x:c r="BJ413" s="115" t="n">
        <x:v>3</x:v>
      </x:c>
      <x:c r="BK413" s="115" t="n">
        <x:v>5</x:v>
      </x:c>
      <x:c r="BL413" s="115" t="n">
        <x:v>3</x:v>
      </x:c>
      <x:c r="BM413" s="115" t="n">
        <x:v>4</x:v>
      </x:c>
      <x:c r="BN413" s="115" t="n">
        <x:v>3</x:v>
      </x:c>
      <x:c r="BO413" s="115" t="n">
        <x:v>4</x:v>
      </x:c>
      <x:c r="BP413" s="115" t="n">
        <x:v>2</x:v>
      </x:c>
      <x:c r="BQ413" s="115" t="n">
        <x:v>4</x:v>
      </x:c>
      <x:c r="BR413" s="115" t="n">
        <x:v>5</x:v>
      </x:c>
      <x:c r="BS413" s="115" t="n">
        <x:v>4</x:v>
      </x:c>
      <x:c r="BT413" s="115" t="n">
        <x:v>5</x:v>
      </x:c>
      <x:c r="BU413" s="115" t="n">
        <x:v>3</x:v>
      </x:c>
      <x:c r="BV413" s="115" t="n">
        <x:v>5</x:v>
      </x:c>
      <x:c r="BW413" s="115" t="n">
        <x:v>3</x:v>
      </x:c>
      <x:c r="BX413" s="115" t="n">
        <x:v>4</x:v>
      </x:c>
      <x:c r="BY413" s="115" t="n">
        <x:v>3</x:v>
      </x:c>
      <x:c r="BZ413" s="115" t="n">
        <x:v>4</x:v>
      </x:c>
      <x:c r="CA413" s="115" t="n">
        <x:v>2</x:v>
      </x:c>
      <x:c r="CB413" s="116" t="n">
        <x:v>4</x:v>
      </x:c>
      <x:c r="CC413" s="141" t="n">
        <x:f>IF(COUNT(G413:P413)=0,"",AVERAGE(G413:P413)*4)</x:f>
        <x:v>14.8</x:v>
      </x:c>
      <x:c r="CD413" s="178" t="n">
        <x:f>IF(COUNT(Q413:Z413)=0,"",AVERAGE(Q413:Z413)*4)</x:f>
        <x:v>15.2</x:v>
      </x:c>
      <x:c r="CE413" s="178" t="n">
        <x:f>IF(COUNT(AA413:AJ413)=0,"",AVERAGE(AA413:AJ413)*4)</x:f>
        <x:v>14.8</x:v>
      </x:c>
      <x:c r="CF413" s="178" t="n">
        <x:f>IF(COUNT(AK413:AR413)=0,"",AVERAGE(AK413:AR413)*4)</x:f>
        <x:v>16</x:v>
      </x:c>
      <x:c r="CG413" s="178" t="n">
        <x:f>IF(COUNT(AS413:AY413)=0,"",AVERAGE(AS413:AY413)*4)</x:f>
        <x:v>15.428571428571429</x:v>
      </x:c>
      <x:c r="CH413" s="178" t="n">
        <x:f>IF(COUNT(AZ413:BG413)=0,"",AVERAGE(AZ413:BG413)*4)</x:f>
        <x:v>15</x:v>
      </x:c>
      <x:c r="CI413" s="178" t="n">
        <x:f>IF(COUNT(BH413:BN413)=0,"",AVERAGE(BH413:BN413)*4)</x:f>
        <x:v>15.428571428571429</x:v>
      </x:c>
      <x:c r="CJ413" s="178" t="n">
        <x:f>IF(COUNT(BO413:BU413)=0,"",AVERAGE(BO413:BU413)*4)</x:f>
        <x:v>15.428571428571429</x:v>
      </x:c>
      <x:c r="CK413" s="178" t="n">
        <x:f>IF(COUNT(BV413:CB413)=0,"",AVERAGE(BV413:CB413)*4)</x:f>
        <x:v>14.285714285714286</x:v>
      </x:c>
      <x:c r="CL413" s="178" t="n">
        <x:f>IF(C413="","",IF(COUNT(G413:CB413)&lt;74,"",(CC413*'تنظیمات وزن‌دهی'!$C$5+CD413*'تنظیمات وزن‌دهی'!$C$6+CE413*'تنظیمات وزن‌دهی'!$C$7+CF413*'تنظیمات وزن‌دهی'!$C$8+CG413*'تنظیمات وزن‌دهی'!$C$9+CH413*'تنظیمات وزن‌دهی'!$C$10+CI413*'تنظیمات وزن‌دهی'!$C$11+CJ413*'تنظیمات وزن‌دهی'!$C$12+CK413*'تنظیمات وزن‌دهی'!$C$13)/100))</x:f>
        <x:v>15.145714285714286</x:v>
      </x:c>
      <x:c r="CM413" s="178" t="str">
        <x:f>IF(C413="","",IF(COUNT(G413:CB413)=0,"",IF(COUNT(G413:CB413)&lt;74,"موقت - اطلاعات ناقص",IF(CL413&gt;=17,"عالی",IF(CL413&gt;=14,"خوب",IF(CL413&gt;=10,"متوسط","ضعیف"))))))</x:f>
        <x:v>خوب</x:v>
      </x:c>
      <x:c r="CN413" s="178" t="n">
        <x:v>1</x:v>
      </x:c>
      <x:c r="CO413" s="142" t="n">
        <x:f>IF(C413="","",COUNT(G413:CB413)/74)</x:f>
        <x:v>1</x:v>
      </x:c>
      <x:c r="CP413" s="245" t="str">
        <x:v>داده نمونه کامل برای ماه تیر - دانش‌آموز شماره 35</x:v>
      </x:c>
    </x:row>
    <x:row r="414">
      <x:c r="A414" s="165" t="n">
        <x:v>410</x:v>
      </x:c>
      <x:c r="B414" s="233" t="str">
        <x:v>مرداد</x:v>
      </x:c>
      <x:c r="C414" s="233" t="n">
        <x:f>IF('دانش‌آموزان'!E39="","",'دانش‌آموزان'!B39)</x:f>
        <x:v>35</x:v>
      </x:c>
      <x:c r="D414" s="233" t="str">
        <x:f>IF('دانش‌آموزان'!C39="","",'دانش‌آموزان'!C39)</x:f>
        <x:v>4000000357</x:v>
      </x:c>
      <x:c r="E414" s="233" t="str">
        <x:f>IF('دانش‌آموزان'!E39="","",'دانش‌آموزان'!E39&amp;" "&amp;'دانش‌آموزان'!F39)</x:f>
        <x:v>ماهان سلیمانی</x:v>
      </x:c>
      <x:c r="F414" s="166" t="str">
        <x:f>IF('دانش‌آموزان'!I39="","",'دانش‌آموزان'!I39)</x:f>
        <x:v>sample-7-b</x:v>
      </x:c>
      <x:c r="G414" s="114"/>
      <x:c r="H414" s="115"/>
      <x:c r="I414" s="115"/>
      <x:c r="J414" s="115"/>
      <x:c r="K414" s="115"/>
      <x:c r="L414" s="115"/>
      <x:c r="M414" s="115"/>
      <x:c r="N414" s="115"/>
      <x:c r="O414" s="115"/>
      <x:c r="P414" s="115"/>
      <x:c r="Q414" s="115"/>
      <x:c r="R414" s="115"/>
      <x:c r="S414" s="115"/>
      <x:c r="T414" s="115"/>
      <x:c r="U414" s="115"/>
      <x:c r="V414" s="115"/>
      <x:c r="W414" s="115"/>
      <x:c r="X414" s="115"/>
      <x:c r="Y414" s="115"/>
      <x:c r="Z414" s="115"/>
      <x:c r="AA414" s="115"/>
      <x:c r="AB414" s="115"/>
      <x:c r="AC414" s="115"/>
      <x:c r="AD414" s="115"/>
      <x:c r="AE414" s="115"/>
      <x:c r="AF414" s="115"/>
      <x:c r="AG414" s="115"/>
      <x:c r="AH414" s="115"/>
      <x:c r="AI414" s="115"/>
      <x:c r="AJ414" s="115"/>
      <x:c r="AK414" s="115"/>
      <x:c r="AL414" s="115"/>
      <x:c r="AM414" s="115"/>
      <x:c r="AN414" s="115"/>
      <x:c r="AO414" s="115"/>
      <x:c r="AP414" s="115"/>
      <x:c r="AQ414" s="115"/>
      <x:c r="AR414" s="115"/>
      <x:c r="AS414" s="115"/>
      <x:c r="AT414" s="115"/>
      <x:c r="AU414" s="115"/>
      <x:c r="AV414" s="115"/>
      <x:c r="AW414" s="115"/>
      <x:c r="AX414" s="115"/>
      <x:c r="AY414" s="115"/>
      <x:c r="AZ414" s="115"/>
      <x:c r="BA414" s="115"/>
      <x:c r="BB414" s="115"/>
      <x:c r="BC414" s="115"/>
      <x:c r="BD414" s="115"/>
      <x:c r="BE414" s="115"/>
      <x:c r="BF414" s="115"/>
      <x:c r="BG414" s="115"/>
      <x:c r="BH414" s="115"/>
      <x:c r="BI414" s="115"/>
      <x:c r="BJ414" s="115"/>
      <x:c r="BK414" s="115"/>
      <x:c r="BL414" s="115"/>
      <x:c r="BM414" s="115"/>
      <x:c r="BN414" s="115"/>
      <x:c r="BO414" s="115"/>
      <x:c r="BP414" s="115"/>
      <x:c r="BQ414" s="115"/>
      <x:c r="BR414" s="115"/>
      <x:c r="BS414" s="115"/>
      <x:c r="BT414" s="115"/>
      <x:c r="BU414" s="115"/>
      <x:c r="BV414" s="115"/>
      <x:c r="BW414" s="115"/>
      <x:c r="BX414" s="115"/>
      <x:c r="BY414" s="115"/>
      <x:c r="BZ414" s="115"/>
      <x:c r="CA414" s="115"/>
      <x:c r="CB414" s="116"/>
      <x:c r="CC414" s="141" t="str">
        <x:f>IF(COUNT(G414:P414)=0,"",AVERAGE(G414:P414)*4)</x:f>
      </x:c>
      <x:c r="CD414" s="178" t="str">
        <x:f>IF(COUNT(Q414:Z414)=0,"",AVERAGE(Q414:Z414)*4)</x:f>
      </x:c>
      <x:c r="CE414" s="178" t="str">
        <x:f>IF(COUNT(AA414:AJ414)=0,"",AVERAGE(AA414:AJ414)*4)</x:f>
      </x:c>
      <x:c r="CF414" s="178" t="str">
        <x:f>IF(COUNT(AK414:AR414)=0,"",AVERAGE(AK414:AR414)*4)</x:f>
      </x:c>
      <x:c r="CG414" s="178" t="str">
        <x:f>IF(COUNT(AS414:AY414)=0,"",AVERAGE(AS414:AY414)*4)</x:f>
      </x:c>
      <x:c r="CH414" s="178" t="str">
        <x:f>IF(COUNT(AZ414:BG414)=0,"",AVERAGE(AZ414:BG414)*4)</x:f>
      </x:c>
      <x:c r="CI414" s="178" t="str">
        <x:f>IF(COUNT(BH414:BN414)=0,"",AVERAGE(BH414:BN414)*4)</x:f>
      </x:c>
      <x:c r="CJ414" s="178" t="str">
        <x:f>IF(COUNT(BO414:BU414)=0,"",AVERAGE(BO414:BU414)*4)</x:f>
      </x:c>
      <x:c r="CK414" s="178" t="str">
        <x:f>IF(COUNT(BV414:CB414)=0,"",AVERAGE(BV414:CB414)*4)</x:f>
      </x:c>
      <x:c r="CL414" s="178" t="str">
        <x:f>IF(C414="","",IF(COUNT(G414:CB414)&lt;74,"",(CC414*'تنظیمات وزن‌دهی'!$C$5+CD414*'تنظیمات وزن‌دهی'!$C$6+CE414*'تنظیمات وزن‌دهی'!$C$7+CF414*'تنظیمات وزن‌دهی'!$C$8+CG414*'تنظیمات وزن‌دهی'!$C$9+CH414*'تنظیمات وزن‌دهی'!$C$10+CI414*'تنظیمات وزن‌دهی'!$C$11+CJ414*'تنظیمات وزن‌دهی'!$C$12+CK414*'تنظیمات وزن‌دهی'!$C$13)/100))</x:f>
      </x:c>
      <x:c r="CM414" s="178" t="str">
        <x:f>IF(C414="","",IF(COUNT(G414:CB414)=0,"",IF(COUNT(G414:CB414)&lt;74,"موقت - اطلاعات ناقص",IF(CL414&gt;=17,"عالی",IF(CL414&gt;=14,"خوب",IF(CL414&gt;=10,"متوسط","ضعیف"))))))</x:f>
      </x:c>
      <x:c r="CN414" s="178" t="n">
        <x:v>2</x:v>
      </x:c>
      <x:c r="CO414" s="142" t="n">
        <x:f>IF(C414="","",COUNT(G414:CB414)/74)</x:f>
        <x:v>0</x:v>
      </x:c>
      <x:c r="CP414" s="245"/>
    </x:row>
    <x:row r="415">
      <x:c r="A415" s="165" t="n">
        <x:v>411</x:v>
      </x:c>
      <x:c r="B415" s="233" t="str">
        <x:v>شهریور</x:v>
      </x:c>
      <x:c r="C415" s="233" t="n">
        <x:f>IF('دانش‌آموزان'!E39="","",'دانش‌آموزان'!B39)</x:f>
        <x:v>35</x:v>
      </x:c>
      <x:c r="D415" s="233" t="str">
        <x:f>IF('دانش‌آموزان'!C39="","",'دانش‌آموزان'!C39)</x:f>
        <x:v>4000000357</x:v>
      </x:c>
      <x:c r="E415" s="233" t="str">
        <x:f>IF('دانش‌آموزان'!E39="","",'دانش‌آموزان'!E39&amp;" "&amp;'دانش‌آموزان'!F39)</x:f>
        <x:v>ماهان سلیمانی</x:v>
      </x:c>
      <x:c r="F415" s="166" t="str">
        <x:f>IF('دانش‌آموزان'!I39="","",'دانش‌آموزان'!I39)</x:f>
        <x:v>sample-7-b</x:v>
      </x:c>
      <x:c r="G415" s="114"/>
      <x:c r="H415" s="115"/>
      <x:c r="I415" s="115"/>
      <x:c r="J415" s="115"/>
      <x:c r="K415" s="115"/>
      <x:c r="L415" s="115"/>
      <x:c r="M415" s="115"/>
      <x:c r="N415" s="115"/>
      <x:c r="O415" s="115"/>
      <x:c r="P415" s="115"/>
      <x:c r="Q415" s="115"/>
      <x:c r="R415" s="115"/>
      <x:c r="S415" s="115"/>
      <x:c r="T415" s="115"/>
      <x:c r="U415" s="115"/>
      <x:c r="V415" s="115"/>
      <x:c r="W415" s="115"/>
      <x:c r="X415" s="115"/>
      <x:c r="Y415" s="115"/>
      <x:c r="Z415" s="115"/>
      <x:c r="AA415" s="115"/>
      <x:c r="AB415" s="115"/>
      <x:c r="AC415" s="115"/>
      <x:c r="AD415" s="115"/>
      <x:c r="AE415" s="115"/>
      <x:c r="AF415" s="115"/>
      <x:c r="AG415" s="115"/>
      <x:c r="AH415" s="115"/>
      <x:c r="AI415" s="115"/>
      <x:c r="AJ415" s="115"/>
      <x:c r="AK415" s="115"/>
      <x:c r="AL415" s="115"/>
      <x:c r="AM415" s="115"/>
      <x:c r="AN415" s="115"/>
      <x:c r="AO415" s="115"/>
      <x:c r="AP415" s="115"/>
      <x:c r="AQ415" s="115"/>
      <x:c r="AR415" s="115"/>
      <x:c r="AS415" s="115"/>
      <x:c r="AT415" s="115"/>
      <x:c r="AU415" s="115"/>
      <x:c r="AV415" s="115"/>
      <x:c r="AW415" s="115"/>
      <x:c r="AX415" s="115"/>
      <x:c r="AY415" s="115"/>
      <x:c r="AZ415" s="115"/>
      <x:c r="BA415" s="115"/>
      <x:c r="BB415" s="115"/>
      <x:c r="BC415" s="115"/>
      <x:c r="BD415" s="115"/>
      <x:c r="BE415" s="115"/>
      <x:c r="BF415" s="115"/>
      <x:c r="BG415" s="115"/>
      <x:c r="BH415" s="115"/>
      <x:c r="BI415" s="115"/>
      <x:c r="BJ415" s="115"/>
      <x:c r="BK415" s="115"/>
      <x:c r="BL415" s="115"/>
      <x:c r="BM415" s="115"/>
      <x:c r="BN415" s="115"/>
      <x:c r="BO415" s="115"/>
      <x:c r="BP415" s="115"/>
      <x:c r="BQ415" s="115"/>
      <x:c r="BR415" s="115"/>
      <x:c r="BS415" s="115"/>
      <x:c r="BT415" s="115"/>
      <x:c r="BU415" s="115"/>
      <x:c r="BV415" s="115"/>
      <x:c r="BW415" s="115"/>
      <x:c r="BX415" s="115"/>
      <x:c r="BY415" s="115"/>
      <x:c r="BZ415" s="115"/>
      <x:c r="CA415" s="115"/>
      <x:c r="CB415" s="116"/>
      <x:c r="CC415" s="141" t="str">
        <x:f>IF(COUNT(G415:P415)=0,"",AVERAGE(G415:P415)*4)</x:f>
      </x:c>
      <x:c r="CD415" s="178" t="str">
        <x:f>IF(COUNT(Q415:Z415)=0,"",AVERAGE(Q415:Z415)*4)</x:f>
      </x:c>
      <x:c r="CE415" s="178" t="str">
        <x:f>IF(COUNT(AA415:AJ415)=0,"",AVERAGE(AA415:AJ415)*4)</x:f>
      </x:c>
      <x:c r="CF415" s="178" t="str">
        <x:f>IF(COUNT(AK415:AR415)=0,"",AVERAGE(AK415:AR415)*4)</x:f>
      </x:c>
      <x:c r="CG415" s="178" t="str">
        <x:f>IF(COUNT(AS415:AY415)=0,"",AVERAGE(AS415:AY415)*4)</x:f>
      </x:c>
      <x:c r="CH415" s="178" t="str">
        <x:f>IF(COUNT(AZ415:BG415)=0,"",AVERAGE(AZ415:BG415)*4)</x:f>
      </x:c>
      <x:c r="CI415" s="178" t="str">
        <x:f>IF(COUNT(BH415:BN415)=0,"",AVERAGE(BH415:BN415)*4)</x:f>
      </x:c>
      <x:c r="CJ415" s="178" t="str">
        <x:f>IF(COUNT(BO415:BU415)=0,"",AVERAGE(BO415:BU415)*4)</x:f>
      </x:c>
      <x:c r="CK415" s="178" t="str">
        <x:f>IF(COUNT(BV415:CB415)=0,"",AVERAGE(BV415:CB415)*4)</x:f>
      </x:c>
      <x:c r="CL415" s="178" t="str">
        <x:f>IF(C415="","",IF(COUNT(G415:CB415)&lt;74,"",(CC415*'تنظیمات وزن‌دهی'!$C$5+CD415*'تنظیمات وزن‌دهی'!$C$6+CE415*'تنظیمات وزن‌دهی'!$C$7+CF415*'تنظیمات وزن‌دهی'!$C$8+CG415*'تنظیمات وزن‌دهی'!$C$9+CH415*'تنظیمات وزن‌دهی'!$C$10+CI415*'تنظیمات وزن‌دهی'!$C$11+CJ415*'تنظیمات وزن‌دهی'!$C$12+CK415*'تنظیمات وزن‌دهی'!$C$13)/100))</x:f>
      </x:c>
      <x:c r="CM415" s="178" t="str">
        <x:f>IF(C415="","",IF(COUNT(G415:CB415)=0,"",IF(COUNT(G415:CB415)&lt;74,"موقت - اطلاعات ناقص",IF(CL415&gt;=17,"عالی",IF(CL415&gt;=14,"خوب",IF(CL415&gt;=10,"متوسط","ضعیف"))))))</x:f>
      </x:c>
      <x:c r="CN415" s="178" t="n">
        <x:v>3</x:v>
      </x:c>
      <x:c r="CO415" s="142" t="n">
        <x:f>IF(C415="","",COUNT(G415:CB415)/74)</x:f>
        <x:v>0</x:v>
      </x:c>
      <x:c r="CP415" s="245"/>
    </x:row>
    <x:row r="416">
      <x:c r="A416" s="165" t="n">
        <x:v>412</x:v>
      </x:c>
      <x:c r="B416" s="233" t="str">
        <x:v>مهر</x:v>
      </x:c>
      <x:c r="C416" s="233" t="n">
        <x:f>IF('دانش‌آموزان'!E39="","",'دانش‌آموزان'!B39)</x:f>
        <x:v>35</x:v>
      </x:c>
      <x:c r="D416" s="233" t="str">
        <x:f>IF('دانش‌آموزان'!C39="","",'دانش‌آموزان'!C39)</x:f>
        <x:v>4000000357</x:v>
      </x:c>
      <x:c r="E416" s="233" t="str">
        <x:f>IF('دانش‌آموزان'!E39="","",'دانش‌آموزان'!E39&amp;" "&amp;'دانش‌آموزان'!F39)</x:f>
        <x:v>ماهان سلیمانی</x:v>
      </x:c>
      <x:c r="F416" s="166" t="str">
        <x:f>IF('دانش‌آموزان'!I39="","",'دانش‌آموزان'!I39)</x:f>
        <x:v>sample-7-b</x:v>
      </x:c>
      <x:c r="G416" s="114"/>
      <x:c r="H416" s="115"/>
      <x:c r="I416" s="115"/>
      <x:c r="J416" s="115"/>
      <x:c r="K416" s="115"/>
      <x:c r="L416" s="115"/>
      <x:c r="M416" s="115"/>
      <x:c r="N416" s="115"/>
      <x:c r="O416" s="115"/>
      <x:c r="P416" s="115"/>
      <x:c r="Q416" s="115"/>
      <x:c r="R416" s="115"/>
      <x:c r="S416" s="115"/>
      <x:c r="T416" s="115"/>
      <x:c r="U416" s="115"/>
      <x:c r="V416" s="115"/>
      <x:c r="W416" s="115"/>
      <x:c r="X416" s="115"/>
      <x:c r="Y416" s="115"/>
      <x:c r="Z416" s="115"/>
      <x:c r="AA416" s="115"/>
      <x:c r="AB416" s="115"/>
      <x:c r="AC416" s="115"/>
      <x:c r="AD416" s="115"/>
      <x:c r="AE416" s="115"/>
      <x:c r="AF416" s="115"/>
      <x:c r="AG416" s="115"/>
      <x:c r="AH416" s="115"/>
      <x:c r="AI416" s="115"/>
      <x:c r="AJ416" s="115"/>
      <x:c r="AK416" s="115"/>
      <x:c r="AL416" s="115"/>
      <x:c r="AM416" s="115"/>
      <x:c r="AN416" s="115"/>
      <x:c r="AO416" s="115"/>
      <x:c r="AP416" s="115"/>
      <x:c r="AQ416" s="115"/>
      <x:c r="AR416" s="115"/>
      <x:c r="AS416" s="115"/>
      <x:c r="AT416" s="115"/>
      <x:c r="AU416" s="115"/>
      <x:c r="AV416" s="115"/>
      <x:c r="AW416" s="115"/>
      <x:c r="AX416" s="115"/>
      <x:c r="AY416" s="115"/>
      <x:c r="AZ416" s="115"/>
      <x:c r="BA416" s="115"/>
      <x:c r="BB416" s="115"/>
      <x:c r="BC416" s="115"/>
      <x:c r="BD416" s="115"/>
      <x:c r="BE416" s="115"/>
      <x:c r="BF416" s="115"/>
      <x:c r="BG416" s="115"/>
      <x:c r="BH416" s="115"/>
      <x:c r="BI416" s="115"/>
      <x:c r="BJ416" s="115"/>
      <x:c r="BK416" s="115"/>
      <x:c r="BL416" s="115"/>
      <x:c r="BM416" s="115"/>
      <x:c r="BN416" s="115"/>
      <x:c r="BO416" s="115"/>
      <x:c r="BP416" s="115"/>
      <x:c r="BQ416" s="115"/>
      <x:c r="BR416" s="115"/>
      <x:c r="BS416" s="115"/>
      <x:c r="BT416" s="115"/>
      <x:c r="BU416" s="115"/>
      <x:c r="BV416" s="115"/>
      <x:c r="BW416" s="115"/>
      <x:c r="BX416" s="115"/>
      <x:c r="BY416" s="115"/>
      <x:c r="BZ416" s="115"/>
      <x:c r="CA416" s="115"/>
      <x:c r="CB416" s="116"/>
      <x:c r="CC416" s="141" t="str">
        <x:f>IF(COUNT(G416:P416)=0,"",AVERAGE(G416:P416)*4)</x:f>
      </x:c>
      <x:c r="CD416" s="178" t="str">
        <x:f>IF(COUNT(Q416:Z416)=0,"",AVERAGE(Q416:Z416)*4)</x:f>
      </x:c>
      <x:c r="CE416" s="178" t="str">
        <x:f>IF(COUNT(AA416:AJ416)=0,"",AVERAGE(AA416:AJ416)*4)</x:f>
      </x:c>
      <x:c r="CF416" s="178" t="str">
        <x:f>IF(COUNT(AK416:AR416)=0,"",AVERAGE(AK416:AR416)*4)</x:f>
      </x:c>
      <x:c r="CG416" s="178" t="str">
        <x:f>IF(COUNT(AS416:AY416)=0,"",AVERAGE(AS416:AY416)*4)</x:f>
      </x:c>
      <x:c r="CH416" s="178" t="str">
        <x:f>IF(COUNT(AZ416:BG416)=0,"",AVERAGE(AZ416:BG416)*4)</x:f>
      </x:c>
      <x:c r="CI416" s="178" t="str">
        <x:f>IF(COUNT(BH416:BN416)=0,"",AVERAGE(BH416:BN416)*4)</x:f>
      </x:c>
      <x:c r="CJ416" s="178" t="str">
        <x:f>IF(COUNT(BO416:BU416)=0,"",AVERAGE(BO416:BU416)*4)</x:f>
      </x:c>
      <x:c r="CK416" s="178" t="str">
        <x:f>IF(COUNT(BV416:CB416)=0,"",AVERAGE(BV416:CB416)*4)</x:f>
      </x:c>
      <x:c r="CL416" s="178" t="str">
        <x:f>IF(C416="","",IF(COUNT(G416:CB416)&lt;74,"",(CC416*'تنظیمات وزن‌دهی'!$C$5+CD416*'تنظیمات وزن‌دهی'!$C$6+CE416*'تنظیمات وزن‌دهی'!$C$7+CF416*'تنظیمات وزن‌دهی'!$C$8+CG416*'تنظیمات وزن‌دهی'!$C$9+CH416*'تنظیمات وزن‌دهی'!$C$10+CI416*'تنظیمات وزن‌دهی'!$C$11+CJ416*'تنظیمات وزن‌دهی'!$C$12+CK416*'تنظیمات وزن‌دهی'!$C$13)/100))</x:f>
      </x:c>
      <x:c r="CM416" s="178" t="str">
        <x:f>IF(C416="","",IF(COUNT(G416:CB416)=0,"",IF(COUNT(G416:CB416)&lt;74,"موقت - اطلاعات ناقص",IF(CL416&gt;=17,"عالی",IF(CL416&gt;=14,"خوب",IF(CL416&gt;=10,"متوسط","ضعیف"))))))</x:f>
      </x:c>
      <x:c r="CN416" s="178" t="n">
        <x:v>4</x:v>
      </x:c>
      <x:c r="CO416" s="142" t="n">
        <x:f>IF(C416="","",COUNT(G416:CB416)/74)</x:f>
        <x:v>0</x:v>
      </x:c>
      <x:c r="CP416" s="245"/>
    </x:row>
    <x:row r="417">
      <x:c r="A417" s="165" t="n">
        <x:v>413</x:v>
      </x:c>
      <x:c r="B417" s="233" t="str">
        <x:v>آبان</x:v>
      </x:c>
      <x:c r="C417" s="233" t="n">
        <x:f>IF('دانش‌آموزان'!E39="","",'دانش‌آموزان'!B39)</x:f>
        <x:v>35</x:v>
      </x:c>
      <x:c r="D417" s="233" t="str">
        <x:f>IF('دانش‌آموزان'!C39="","",'دانش‌آموزان'!C39)</x:f>
        <x:v>4000000357</x:v>
      </x:c>
      <x:c r="E417" s="233" t="str">
        <x:f>IF('دانش‌آموزان'!E39="","",'دانش‌آموزان'!E39&amp;" "&amp;'دانش‌آموزان'!F39)</x:f>
        <x:v>ماهان سلیمانی</x:v>
      </x:c>
      <x:c r="F417" s="166" t="str">
        <x:f>IF('دانش‌آموزان'!I39="","",'دانش‌آموزان'!I39)</x:f>
        <x:v>sample-7-b</x:v>
      </x:c>
      <x:c r="G417" s="114"/>
      <x:c r="H417" s="115"/>
      <x:c r="I417" s="115"/>
      <x:c r="J417" s="115"/>
      <x:c r="K417" s="115"/>
      <x:c r="L417" s="115"/>
      <x:c r="M417" s="115"/>
      <x:c r="N417" s="115"/>
      <x:c r="O417" s="115"/>
      <x:c r="P417" s="115"/>
      <x:c r="Q417" s="115"/>
      <x:c r="R417" s="115"/>
      <x:c r="S417" s="115"/>
      <x:c r="T417" s="115"/>
      <x:c r="U417" s="115"/>
      <x:c r="V417" s="115"/>
      <x:c r="W417" s="115"/>
      <x:c r="X417" s="115"/>
      <x:c r="Y417" s="115"/>
      <x:c r="Z417" s="115"/>
      <x:c r="AA417" s="115"/>
      <x:c r="AB417" s="115"/>
      <x:c r="AC417" s="115"/>
      <x:c r="AD417" s="115"/>
      <x:c r="AE417" s="115"/>
      <x:c r="AF417" s="115"/>
      <x:c r="AG417" s="115"/>
      <x:c r="AH417" s="115"/>
      <x:c r="AI417" s="115"/>
      <x:c r="AJ417" s="115"/>
      <x:c r="AK417" s="115"/>
      <x:c r="AL417" s="115"/>
      <x:c r="AM417" s="115"/>
      <x:c r="AN417" s="115"/>
      <x:c r="AO417" s="115"/>
      <x:c r="AP417" s="115"/>
      <x:c r="AQ417" s="115"/>
      <x:c r="AR417" s="115"/>
      <x:c r="AS417" s="115"/>
      <x:c r="AT417" s="115"/>
      <x:c r="AU417" s="115"/>
      <x:c r="AV417" s="115"/>
      <x:c r="AW417" s="115"/>
      <x:c r="AX417" s="115"/>
      <x:c r="AY417" s="115"/>
      <x:c r="AZ417" s="115"/>
      <x:c r="BA417" s="115"/>
      <x:c r="BB417" s="115"/>
      <x:c r="BC417" s="115"/>
      <x:c r="BD417" s="115"/>
      <x:c r="BE417" s="115"/>
      <x:c r="BF417" s="115"/>
      <x:c r="BG417" s="115"/>
      <x:c r="BH417" s="115"/>
      <x:c r="BI417" s="115"/>
      <x:c r="BJ417" s="115"/>
      <x:c r="BK417" s="115"/>
      <x:c r="BL417" s="115"/>
      <x:c r="BM417" s="115"/>
      <x:c r="BN417" s="115"/>
      <x:c r="BO417" s="115"/>
      <x:c r="BP417" s="115"/>
      <x:c r="BQ417" s="115"/>
      <x:c r="BR417" s="115"/>
      <x:c r="BS417" s="115"/>
      <x:c r="BT417" s="115"/>
      <x:c r="BU417" s="115"/>
      <x:c r="BV417" s="115"/>
      <x:c r="BW417" s="115"/>
      <x:c r="BX417" s="115"/>
      <x:c r="BY417" s="115"/>
      <x:c r="BZ417" s="115"/>
      <x:c r="CA417" s="115"/>
      <x:c r="CB417" s="116"/>
      <x:c r="CC417" s="141" t="str">
        <x:f>IF(COUNT(G417:P417)=0,"",AVERAGE(G417:P417)*4)</x:f>
      </x:c>
      <x:c r="CD417" s="178" t="str">
        <x:f>IF(COUNT(Q417:Z417)=0,"",AVERAGE(Q417:Z417)*4)</x:f>
      </x:c>
      <x:c r="CE417" s="178" t="str">
        <x:f>IF(COUNT(AA417:AJ417)=0,"",AVERAGE(AA417:AJ417)*4)</x:f>
      </x:c>
      <x:c r="CF417" s="178" t="str">
        <x:f>IF(COUNT(AK417:AR417)=0,"",AVERAGE(AK417:AR417)*4)</x:f>
      </x:c>
      <x:c r="CG417" s="178" t="str">
        <x:f>IF(COUNT(AS417:AY417)=0,"",AVERAGE(AS417:AY417)*4)</x:f>
      </x:c>
      <x:c r="CH417" s="178" t="str">
        <x:f>IF(COUNT(AZ417:BG417)=0,"",AVERAGE(AZ417:BG417)*4)</x:f>
      </x:c>
      <x:c r="CI417" s="178" t="str">
        <x:f>IF(COUNT(BH417:BN417)=0,"",AVERAGE(BH417:BN417)*4)</x:f>
      </x:c>
      <x:c r="CJ417" s="178" t="str">
        <x:f>IF(COUNT(BO417:BU417)=0,"",AVERAGE(BO417:BU417)*4)</x:f>
      </x:c>
      <x:c r="CK417" s="178" t="str">
        <x:f>IF(COUNT(BV417:CB417)=0,"",AVERAGE(BV417:CB417)*4)</x:f>
      </x:c>
      <x:c r="CL417" s="178" t="str">
        <x:f>IF(C417="","",IF(COUNT(G417:CB417)&lt;74,"",(CC417*'تنظیمات وزن‌دهی'!$C$5+CD417*'تنظیمات وزن‌دهی'!$C$6+CE417*'تنظیمات وزن‌دهی'!$C$7+CF417*'تنظیمات وزن‌دهی'!$C$8+CG417*'تنظیمات وزن‌دهی'!$C$9+CH417*'تنظیمات وزن‌دهی'!$C$10+CI417*'تنظیمات وزن‌دهی'!$C$11+CJ417*'تنظیمات وزن‌دهی'!$C$12+CK417*'تنظیمات وزن‌دهی'!$C$13)/100))</x:f>
      </x:c>
      <x:c r="CM417" s="178" t="str">
        <x:f>IF(C417="","",IF(COUNT(G417:CB417)=0,"",IF(COUNT(G417:CB417)&lt;74,"موقت - اطلاعات ناقص",IF(CL417&gt;=17,"عالی",IF(CL417&gt;=14,"خوب",IF(CL417&gt;=10,"متوسط","ضعیف"))))))</x:f>
      </x:c>
      <x:c r="CN417" s="178" t="n">
        <x:v>5</x:v>
      </x:c>
      <x:c r="CO417" s="142" t="n">
        <x:f>IF(C417="","",COUNT(G417:CB417)/74)</x:f>
        <x:v>0</x:v>
      </x:c>
      <x:c r="CP417" s="245"/>
    </x:row>
    <x:row r="418">
      <x:c r="A418" s="165" t="n">
        <x:v>414</x:v>
      </x:c>
      <x:c r="B418" s="233" t="str">
        <x:v>آذر</x:v>
      </x:c>
      <x:c r="C418" s="233" t="n">
        <x:f>IF('دانش‌آموزان'!E39="","",'دانش‌آموزان'!B39)</x:f>
        <x:v>35</x:v>
      </x:c>
      <x:c r="D418" s="233" t="str">
        <x:f>IF('دانش‌آموزان'!C39="","",'دانش‌آموزان'!C39)</x:f>
        <x:v>4000000357</x:v>
      </x:c>
      <x:c r="E418" s="233" t="str">
        <x:f>IF('دانش‌آموزان'!E39="","",'دانش‌آموزان'!E39&amp;" "&amp;'دانش‌آموزان'!F39)</x:f>
        <x:v>ماهان سلیمانی</x:v>
      </x:c>
      <x:c r="F418" s="166" t="str">
        <x:f>IF('دانش‌آموزان'!I39="","",'دانش‌آموزان'!I39)</x:f>
        <x:v>sample-7-b</x:v>
      </x:c>
      <x:c r="G418" s="114"/>
      <x:c r="H418" s="115"/>
      <x:c r="I418" s="115"/>
      <x:c r="J418" s="115"/>
      <x:c r="K418" s="115"/>
      <x:c r="L418" s="115"/>
      <x:c r="M418" s="115"/>
      <x:c r="N418" s="115"/>
      <x:c r="O418" s="115"/>
      <x:c r="P418" s="115"/>
      <x:c r="Q418" s="115"/>
      <x:c r="R418" s="115"/>
      <x:c r="S418" s="115"/>
      <x:c r="T418" s="115"/>
      <x:c r="U418" s="115"/>
      <x:c r="V418" s="115"/>
      <x:c r="W418" s="115"/>
      <x:c r="X418" s="115"/>
      <x:c r="Y418" s="115"/>
      <x:c r="Z418" s="115"/>
      <x:c r="AA418" s="115"/>
      <x:c r="AB418" s="115"/>
      <x:c r="AC418" s="115"/>
      <x:c r="AD418" s="115"/>
      <x:c r="AE418" s="115"/>
      <x:c r="AF418" s="115"/>
      <x:c r="AG418" s="115"/>
      <x:c r="AH418" s="115"/>
      <x:c r="AI418" s="115"/>
      <x:c r="AJ418" s="115"/>
      <x:c r="AK418" s="115"/>
      <x:c r="AL418" s="115"/>
      <x:c r="AM418" s="115"/>
      <x:c r="AN418" s="115"/>
      <x:c r="AO418" s="115"/>
      <x:c r="AP418" s="115"/>
      <x:c r="AQ418" s="115"/>
      <x:c r="AR418" s="115"/>
      <x:c r="AS418" s="115"/>
      <x:c r="AT418" s="115"/>
      <x:c r="AU418" s="115"/>
      <x:c r="AV418" s="115"/>
      <x:c r="AW418" s="115"/>
      <x:c r="AX418" s="115"/>
      <x:c r="AY418" s="115"/>
      <x:c r="AZ418" s="115"/>
      <x:c r="BA418" s="115"/>
      <x:c r="BB418" s="115"/>
      <x:c r="BC418" s="115"/>
      <x:c r="BD418" s="115"/>
      <x:c r="BE418" s="115"/>
      <x:c r="BF418" s="115"/>
      <x:c r="BG418" s="115"/>
      <x:c r="BH418" s="115"/>
      <x:c r="BI418" s="115"/>
      <x:c r="BJ418" s="115"/>
      <x:c r="BK418" s="115"/>
      <x:c r="BL418" s="115"/>
      <x:c r="BM418" s="115"/>
      <x:c r="BN418" s="115"/>
      <x:c r="BO418" s="115"/>
      <x:c r="BP418" s="115"/>
      <x:c r="BQ418" s="115"/>
      <x:c r="BR418" s="115"/>
      <x:c r="BS418" s="115"/>
      <x:c r="BT418" s="115"/>
      <x:c r="BU418" s="115"/>
      <x:c r="BV418" s="115"/>
      <x:c r="BW418" s="115"/>
      <x:c r="BX418" s="115"/>
      <x:c r="BY418" s="115"/>
      <x:c r="BZ418" s="115"/>
      <x:c r="CA418" s="115"/>
      <x:c r="CB418" s="116"/>
      <x:c r="CC418" s="141" t="str">
        <x:f>IF(COUNT(G418:P418)=0,"",AVERAGE(G418:P418)*4)</x:f>
      </x:c>
      <x:c r="CD418" s="178" t="str">
        <x:f>IF(COUNT(Q418:Z418)=0,"",AVERAGE(Q418:Z418)*4)</x:f>
      </x:c>
      <x:c r="CE418" s="178" t="str">
        <x:f>IF(COUNT(AA418:AJ418)=0,"",AVERAGE(AA418:AJ418)*4)</x:f>
      </x:c>
      <x:c r="CF418" s="178" t="str">
        <x:f>IF(COUNT(AK418:AR418)=0,"",AVERAGE(AK418:AR418)*4)</x:f>
      </x:c>
      <x:c r="CG418" s="178" t="str">
        <x:f>IF(COUNT(AS418:AY418)=0,"",AVERAGE(AS418:AY418)*4)</x:f>
      </x:c>
      <x:c r="CH418" s="178" t="str">
        <x:f>IF(COUNT(AZ418:BG418)=0,"",AVERAGE(AZ418:BG418)*4)</x:f>
      </x:c>
      <x:c r="CI418" s="178" t="str">
        <x:f>IF(COUNT(BH418:BN418)=0,"",AVERAGE(BH418:BN418)*4)</x:f>
      </x:c>
      <x:c r="CJ418" s="178" t="str">
        <x:f>IF(COUNT(BO418:BU418)=0,"",AVERAGE(BO418:BU418)*4)</x:f>
      </x:c>
      <x:c r="CK418" s="178" t="str">
        <x:f>IF(COUNT(BV418:CB418)=0,"",AVERAGE(BV418:CB418)*4)</x:f>
      </x:c>
      <x:c r="CL418" s="178" t="str">
        <x:f>IF(C418="","",IF(COUNT(G418:CB418)&lt;74,"",(CC418*'تنظیمات وزن‌دهی'!$C$5+CD418*'تنظیمات وزن‌دهی'!$C$6+CE418*'تنظیمات وزن‌دهی'!$C$7+CF418*'تنظیمات وزن‌دهی'!$C$8+CG418*'تنظیمات وزن‌دهی'!$C$9+CH418*'تنظیمات وزن‌دهی'!$C$10+CI418*'تنظیمات وزن‌دهی'!$C$11+CJ418*'تنظیمات وزن‌دهی'!$C$12+CK418*'تنظیمات وزن‌دهی'!$C$13)/100))</x:f>
      </x:c>
      <x:c r="CM418" s="178" t="str">
        <x:f>IF(C418="","",IF(COUNT(G418:CB418)=0,"",IF(COUNT(G418:CB418)&lt;74,"موقت - اطلاعات ناقص",IF(CL418&gt;=17,"عالی",IF(CL418&gt;=14,"خوب",IF(CL418&gt;=10,"متوسط","ضعیف"))))))</x:f>
      </x:c>
      <x:c r="CN418" s="178" t="n">
        <x:v>6</x:v>
      </x:c>
      <x:c r="CO418" s="142" t="n">
        <x:f>IF(C418="","",COUNT(G418:CB418)/74)</x:f>
        <x:v>0</x:v>
      </x:c>
      <x:c r="CP418" s="245"/>
    </x:row>
    <x:row r="419">
      <x:c r="A419" s="165" t="n">
        <x:v>415</x:v>
      </x:c>
      <x:c r="B419" s="233" t="str">
        <x:v>دی</x:v>
      </x:c>
      <x:c r="C419" s="233" t="n">
        <x:f>IF('دانش‌آموزان'!E39="","",'دانش‌آموزان'!B39)</x:f>
        <x:v>35</x:v>
      </x:c>
      <x:c r="D419" s="233" t="str">
        <x:f>IF('دانش‌آموزان'!C39="","",'دانش‌آموزان'!C39)</x:f>
        <x:v>4000000357</x:v>
      </x:c>
      <x:c r="E419" s="233" t="str">
        <x:f>IF('دانش‌آموزان'!E39="","",'دانش‌آموزان'!E39&amp;" "&amp;'دانش‌آموزان'!F39)</x:f>
        <x:v>ماهان سلیمانی</x:v>
      </x:c>
      <x:c r="F419" s="166" t="str">
        <x:f>IF('دانش‌آموزان'!I39="","",'دانش‌آموزان'!I39)</x:f>
        <x:v>sample-7-b</x:v>
      </x:c>
      <x:c r="G419" s="114"/>
      <x:c r="H419" s="115"/>
      <x:c r="I419" s="115"/>
      <x:c r="J419" s="115"/>
      <x:c r="K419" s="115"/>
      <x:c r="L419" s="115"/>
      <x:c r="M419" s="115"/>
      <x:c r="N419" s="115"/>
      <x:c r="O419" s="115"/>
      <x:c r="P419" s="115"/>
      <x:c r="Q419" s="115"/>
      <x:c r="R419" s="115"/>
      <x:c r="S419" s="115"/>
      <x:c r="T419" s="115"/>
      <x:c r="U419" s="115"/>
      <x:c r="V419" s="115"/>
      <x:c r="W419" s="115"/>
      <x:c r="X419" s="115"/>
      <x:c r="Y419" s="115"/>
      <x:c r="Z419" s="115"/>
      <x:c r="AA419" s="115"/>
      <x:c r="AB419" s="115"/>
      <x:c r="AC419" s="115"/>
      <x:c r="AD419" s="115"/>
      <x:c r="AE419" s="115"/>
      <x:c r="AF419" s="115"/>
      <x:c r="AG419" s="115"/>
      <x:c r="AH419" s="115"/>
      <x:c r="AI419" s="115"/>
      <x:c r="AJ419" s="115"/>
      <x:c r="AK419" s="115"/>
      <x:c r="AL419" s="115"/>
      <x:c r="AM419" s="115"/>
      <x:c r="AN419" s="115"/>
      <x:c r="AO419" s="115"/>
      <x:c r="AP419" s="115"/>
      <x:c r="AQ419" s="115"/>
      <x:c r="AR419" s="115"/>
      <x:c r="AS419" s="115"/>
      <x:c r="AT419" s="115"/>
      <x:c r="AU419" s="115"/>
      <x:c r="AV419" s="115"/>
      <x:c r="AW419" s="115"/>
      <x:c r="AX419" s="115"/>
      <x:c r="AY419" s="115"/>
      <x:c r="AZ419" s="115"/>
      <x:c r="BA419" s="115"/>
      <x:c r="BB419" s="115"/>
      <x:c r="BC419" s="115"/>
      <x:c r="BD419" s="115"/>
      <x:c r="BE419" s="115"/>
      <x:c r="BF419" s="115"/>
      <x:c r="BG419" s="115"/>
      <x:c r="BH419" s="115"/>
      <x:c r="BI419" s="115"/>
      <x:c r="BJ419" s="115"/>
      <x:c r="BK419" s="115"/>
      <x:c r="BL419" s="115"/>
      <x:c r="BM419" s="115"/>
      <x:c r="BN419" s="115"/>
      <x:c r="BO419" s="115"/>
      <x:c r="BP419" s="115"/>
      <x:c r="BQ419" s="115"/>
      <x:c r="BR419" s="115"/>
      <x:c r="BS419" s="115"/>
      <x:c r="BT419" s="115"/>
      <x:c r="BU419" s="115"/>
      <x:c r="BV419" s="115"/>
      <x:c r="BW419" s="115"/>
      <x:c r="BX419" s="115"/>
      <x:c r="BY419" s="115"/>
      <x:c r="BZ419" s="115"/>
      <x:c r="CA419" s="115"/>
      <x:c r="CB419" s="116"/>
      <x:c r="CC419" s="141" t="str">
        <x:f>IF(COUNT(G419:P419)=0,"",AVERAGE(G419:P419)*4)</x:f>
      </x:c>
      <x:c r="CD419" s="178" t="str">
        <x:f>IF(COUNT(Q419:Z419)=0,"",AVERAGE(Q419:Z419)*4)</x:f>
      </x:c>
      <x:c r="CE419" s="178" t="str">
        <x:f>IF(COUNT(AA419:AJ419)=0,"",AVERAGE(AA419:AJ419)*4)</x:f>
      </x:c>
      <x:c r="CF419" s="178" t="str">
        <x:f>IF(COUNT(AK419:AR419)=0,"",AVERAGE(AK419:AR419)*4)</x:f>
      </x:c>
      <x:c r="CG419" s="178" t="str">
        <x:f>IF(COUNT(AS419:AY419)=0,"",AVERAGE(AS419:AY419)*4)</x:f>
      </x:c>
      <x:c r="CH419" s="178" t="str">
        <x:f>IF(COUNT(AZ419:BG419)=0,"",AVERAGE(AZ419:BG419)*4)</x:f>
      </x:c>
      <x:c r="CI419" s="178" t="str">
        <x:f>IF(COUNT(BH419:BN419)=0,"",AVERAGE(BH419:BN419)*4)</x:f>
      </x:c>
      <x:c r="CJ419" s="178" t="str">
        <x:f>IF(COUNT(BO419:BU419)=0,"",AVERAGE(BO419:BU419)*4)</x:f>
      </x:c>
      <x:c r="CK419" s="178" t="str">
        <x:f>IF(COUNT(BV419:CB419)=0,"",AVERAGE(BV419:CB419)*4)</x:f>
      </x:c>
      <x:c r="CL419" s="178" t="str">
        <x:f>IF(C419="","",IF(COUNT(G419:CB419)&lt;74,"",(CC419*'تنظیمات وزن‌دهی'!$C$5+CD419*'تنظیمات وزن‌دهی'!$C$6+CE419*'تنظیمات وزن‌دهی'!$C$7+CF419*'تنظیمات وزن‌دهی'!$C$8+CG419*'تنظیمات وزن‌دهی'!$C$9+CH419*'تنظیمات وزن‌دهی'!$C$10+CI419*'تنظیمات وزن‌دهی'!$C$11+CJ419*'تنظیمات وزن‌دهی'!$C$12+CK419*'تنظیمات وزن‌دهی'!$C$13)/100))</x:f>
      </x:c>
      <x:c r="CM419" s="178" t="str">
        <x:f>IF(C419="","",IF(COUNT(G419:CB419)=0,"",IF(COUNT(G419:CB419)&lt;74,"موقت - اطلاعات ناقص",IF(CL419&gt;=17,"عالی",IF(CL419&gt;=14,"خوب",IF(CL419&gt;=10,"متوسط","ضعیف"))))))</x:f>
      </x:c>
      <x:c r="CN419" s="178" t="n">
        <x:v>7</x:v>
      </x:c>
      <x:c r="CO419" s="142" t="n">
        <x:f>IF(C419="","",COUNT(G419:CB419)/74)</x:f>
        <x:v>0</x:v>
      </x:c>
      <x:c r="CP419" s="245"/>
    </x:row>
    <x:row r="420">
      <x:c r="A420" s="165" t="n">
        <x:v>416</x:v>
      </x:c>
      <x:c r="B420" s="233" t="str">
        <x:v>بهمن</x:v>
      </x:c>
      <x:c r="C420" s="233" t="n">
        <x:f>IF('دانش‌آموزان'!E39="","",'دانش‌آموزان'!B39)</x:f>
        <x:v>35</x:v>
      </x:c>
      <x:c r="D420" s="233" t="str">
        <x:f>IF('دانش‌آموزان'!C39="","",'دانش‌آموزان'!C39)</x:f>
        <x:v>4000000357</x:v>
      </x:c>
      <x:c r="E420" s="233" t="str">
        <x:f>IF('دانش‌آموزان'!E39="","",'دانش‌آموزان'!E39&amp;" "&amp;'دانش‌آموزان'!F39)</x:f>
        <x:v>ماهان سلیمانی</x:v>
      </x:c>
      <x:c r="F420" s="166" t="str">
        <x:f>IF('دانش‌آموزان'!I39="","",'دانش‌آموزان'!I39)</x:f>
        <x:v>sample-7-b</x:v>
      </x:c>
      <x:c r="G420" s="114"/>
      <x:c r="H420" s="115"/>
      <x:c r="I420" s="115"/>
      <x:c r="J420" s="115"/>
      <x:c r="K420" s="115"/>
      <x:c r="L420" s="115"/>
      <x:c r="M420" s="115"/>
      <x:c r="N420" s="115"/>
      <x:c r="O420" s="115"/>
      <x:c r="P420" s="115"/>
      <x:c r="Q420" s="115"/>
      <x:c r="R420" s="115"/>
      <x:c r="S420" s="115"/>
      <x:c r="T420" s="115"/>
      <x:c r="U420" s="115"/>
      <x:c r="V420" s="115"/>
      <x:c r="W420" s="115"/>
      <x:c r="X420" s="115"/>
      <x:c r="Y420" s="115"/>
      <x:c r="Z420" s="115"/>
      <x:c r="AA420" s="115"/>
      <x:c r="AB420" s="115"/>
      <x:c r="AC420" s="115"/>
      <x:c r="AD420" s="115"/>
      <x:c r="AE420" s="115"/>
      <x:c r="AF420" s="115"/>
      <x:c r="AG420" s="115"/>
      <x:c r="AH420" s="115"/>
      <x:c r="AI420" s="115"/>
      <x:c r="AJ420" s="115"/>
      <x:c r="AK420" s="115"/>
      <x:c r="AL420" s="115"/>
      <x:c r="AM420" s="115"/>
      <x:c r="AN420" s="115"/>
      <x:c r="AO420" s="115"/>
      <x:c r="AP420" s="115"/>
      <x:c r="AQ420" s="115"/>
      <x:c r="AR420" s="115"/>
      <x:c r="AS420" s="115"/>
      <x:c r="AT420" s="115"/>
      <x:c r="AU420" s="115"/>
      <x:c r="AV420" s="115"/>
      <x:c r="AW420" s="115"/>
      <x:c r="AX420" s="115"/>
      <x:c r="AY420" s="115"/>
      <x:c r="AZ420" s="115"/>
      <x:c r="BA420" s="115"/>
      <x:c r="BB420" s="115"/>
      <x:c r="BC420" s="115"/>
      <x:c r="BD420" s="115"/>
      <x:c r="BE420" s="115"/>
      <x:c r="BF420" s="115"/>
      <x:c r="BG420" s="115"/>
      <x:c r="BH420" s="115"/>
      <x:c r="BI420" s="115"/>
      <x:c r="BJ420" s="115"/>
      <x:c r="BK420" s="115"/>
      <x:c r="BL420" s="115"/>
      <x:c r="BM420" s="115"/>
      <x:c r="BN420" s="115"/>
      <x:c r="BO420" s="115"/>
      <x:c r="BP420" s="115"/>
      <x:c r="BQ420" s="115"/>
      <x:c r="BR420" s="115"/>
      <x:c r="BS420" s="115"/>
      <x:c r="BT420" s="115"/>
      <x:c r="BU420" s="115"/>
      <x:c r="BV420" s="115"/>
      <x:c r="BW420" s="115"/>
      <x:c r="BX420" s="115"/>
      <x:c r="BY420" s="115"/>
      <x:c r="BZ420" s="115"/>
      <x:c r="CA420" s="115"/>
      <x:c r="CB420" s="116"/>
      <x:c r="CC420" s="141" t="str">
        <x:f>IF(COUNT(G420:P420)=0,"",AVERAGE(G420:P420)*4)</x:f>
      </x:c>
      <x:c r="CD420" s="178" t="str">
        <x:f>IF(COUNT(Q420:Z420)=0,"",AVERAGE(Q420:Z420)*4)</x:f>
      </x:c>
      <x:c r="CE420" s="178" t="str">
        <x:f>IF(COUNT(AA420:AJ420)=0,"",AVERAGE(AA420:AJ420)*4)</x:f>
      </x:c>
      <x:c r="CF420" s="178" t="str">
        <x:f>IF(COUNT(AK420:AR420)=0,"",AVERAGE(AK420:AR420)*4)</x:f>
      </x:c>
      <x:c r="CG420" s="178" t="str">
        <x:f>IF(COUNT(AS420:AY420)=0,"",AVERAGE(AS420:AY420)*4)</x:f>
      </x:c>
      <x:c r="CH420" s="178" t="str">
        <x:f>IF(COUNT(AZ420:BG420)=0,"",AVERAGE(AZ420:BG420)*4)</x:f>
      </x:c>
      <x:c r="CI420" s="178" t="str">
        <x:f>IF(COUNT(BH420:BN420)=0,"",AVERAGE(BH420:BN420)*4)</x:f>
      </x:c>
      <x:c r="CJ420" s="178" t="str">
        <x:f>IF(COUNT(BO420:BU420)=0,"",AVERAGE(BO420:BU420)*4)</x:f>
      </x:c>
      <x:c r="CK420" s="178" t="str">
        <x:f>IF(COUNT(BV420:CB420)=0,"",AVERAGE(BV420:CB420)*4)</x:f>
      </x:c>
      <x:c r="CL420" s="178" t="str">
        <x:f>IF(C420="","",IF(COUNT(G420:CB420)&lt;74,"",(CC420*'تنظیمات وزن‌دهی'!$C$5+CD420*'تنظیمات وزن‌دهی'!$C$6+CE420*'تنظیمات وزن‌دهی'!$C$7+CF420*'تنظیمات وزن‌دهی'!$C$8+CG420*'تنظیمات وزن‌دهی'!$C$9+CH420*'تنظیمات وزن‌دهی'!$C$10+CI420*'تنظیمات وزن‌دهی'!$C$11+CJ420*'تنظیمات وزن‌دهی'!$C$12+CK420*'تنظیمات وزن‌دهی'!$C$13)/100))</x:f>
      </x:c>
      <x:c r="CM420" s="178" t="str">
        <x:f>IF(C420="","",IF(COUNT(G420:CB420)=0,"",IF(COUNT(G420:CB420)&lt;74,"موقت - اطلاعات ناقص",IF(CL420&gt;=17,"عالی",IF(CL420&gt;=14,"خوب",IF(CL420&gt;=10,"متوسط","ضعیف"))))))</x:f>
      </x:c>
      <x:c r="CN420" s="178" t="n">
        <x:v>8</x:v>
      </x:c>
      <x:c r="CO420" s="142" t="n">
        <x:f>IF(C420="","",COUNT(G420:CB420)/74)</x:f>
        <x:v>0</x:v>
      </x:c>
      <x:c r="CP420" s="245"/>
    </x:row>
    <x:row r="421">
      <x:c r="A421" s="165" t="n">
        <x:v>417</x:v>
      </x:c>
      <x:c r="B421" s="233" t="str">
        <x:v>اسفند</x:v>
      </x:c>
      <x:c r="C421" s="233" t="n">
        <x:f>IF('دانش‌آموزان'!E39="","",'دانش‌آموزان'!B39)</x:f>
        <x:v>35</x:v>
      </x:c>
      <x:c r="D421" s="233" t="str">
        <x:f>IF('دانش‌آموزان'!C39="","",'دانش‌آموزان'!C39)</x:f>
        <x:v>4000000357</x:v>
      </x:c>
      <x:c r="E421" s="233" t="str">
        <x:f>IF('دانش‌آموزان'!E39="","",'دانش‌آموزان'!E39&amp;" "&amp;'دانش‌آموزان'!F39)</x:f>
        <x:v>ماهان سلیمانی</x:v>
      </x:c>
      <x:c r="F421" s="166" t="str">
        <x:f>IF('دانش‌آموزان'!I39="","",'دانش‌آموزان'!I39)</x:f>
        <x:v>sample-7-b</x:v>
      </x:c>
      <x:c r="G421" s="114"/>
      <x:c r="H421" s="115"/>
      <x:c r="I421" s="115"/>
      <x:c r="J421" s="115"/>
      <x:c r="K421" s="115"/>
      <x:c r="L421" s="115"/>
      <x:c r="M421" s="115"/>
      <x:c r="N421" s="115"/>
      <x:c r="O421" s="115"/>
      <x:c r="P421" s="115"/>
      <x:c r="Q421" s="115"/>
      <x:c r="R421" s="115"/>
      <x:c r="S421" s="115"/>
      <x:c r="T421" s="115"/>
      <x:c r="U421" s="115"/>
      <x:c r="V421" s="115"/>
      <x:c r="W421" s="115"/>
      <x:c r="X421" s="115"/>
      <x:c r="Y421" s="115"/>
      <x:c r="Z421" s="115"/>
      <x:c r="AA421" s="115"/>
      <x:c r="AB421" s="115"/>
      <x:c r="AC421" s="115"/>
      <x:c r="AD421" s="115"/>
      <x:c r="AE421" s="115"/>
      <x:c r="AF421" s="115"/>
      <x:c r="AG421" s="115"/>
      <x:c r="AH421" s="115"/>
      <x:c r="AI421" s="115"/>
      <x:c r="AJ421" s="115"/>
      <x:c r="AK421" s="115"/>
      <x:c r="AL421" s="115"/>
      <x:c r="AM421" s="115"/>
      <x:c r="AN421" s="115"/>
      <x:c r="AO421" s="115"/>
      <x:c r="AP421" s="115"/>
      <x:c r="AQ421" s="115"/>
      <x:c r="AR421" s="115"/>
      <x:c r="AS421" s="115"/>
      <x:c r="AT421" s="115"/>
      <x:c r="AU421" s="115"/>
      <x:c r="AV421" s="115"/>
      <x:c r="AW421" s="115"/>
      <x:c r="AX421" s="115"/>
      <x:c r="AY421" s="115"/>
      <x:c r="AZ421" s="115"/>
      <x:c r="BA421" s="115"/>
      <x:c r="BB421" s="115"/>
      <x:c r="BC421" s="115"/>
      <x:c r="BD421" s="115"/>
      <x:c r="BE421" s="115"/>
      <x:c r="BF421" s="115"/>
      <x:c r="BG421" s="115"/>
      <x:c r="BH421" s="115"/>
      <x:c r="BI421" s="115"/>
      <x:c r="BJ421" s="115"/>
      <x:c r="BK421" s="115"/>
      <x:c r="BL421" s="115"/>
      <x:c r="BM421" s="115"/>
      <x:c r="BN421" s="115"/>
      <x:c r="BO421" s="115"/>
      <x:c r="BP421" s="115"/>
      <x:c r="BQ421" s="115"/>
      <x:c r="BR421" s="115"/>
      <x:c r="BS421" s="115"/>
      <x:c r="BT421" s="115"/>
      <x:c r="BU421" s="115"/>
      <x:c r="BV421" s="115"/>
      <x:c r="BW421" s="115"/>
      <x:c r="BX421" s="115"/>
      <x:c r="BY421" s="115"/>
      <x:c r="BZ421" s="115"/>
      <x:c r="CA421" s="115"/>
      <x:c r="CB421" s="116"/>
      <x:c r="CC421" s="141" t="str">
        <x:f>IF(COUNT(G421:P421)=0,"",AVERAGE(G421:P421)*4)</x:f>
      </x:c>
      <x:c r="CD421" s="178" t="str">
        <x:f>IF(COUNT(Q421:Z421)=0,"",AVERAGE(Q421:Z421)*4)</x:f>
      </x:c>
      <x:c r="CE421" s="178" t="str">
        <x:f>IF(COUNT(AA421:AJ421)=0,"",AVERAGE(AA421:AJ421)*4)</x:f>
      </x:c>
      <x:c r="CF421" s="178" t="str">
        <x:f>IF(COUNT(AK421:AR421)=0,"",AVERAGE(AK421:AR421)*4)</x:f>
      </x:c>
      <x:c r="CG421" s="178" t="str">
        <x:f>IF(COUNT(AS421:AY421)=0,"",AVERAGE(AS421:AY421)*4)</x:f>
      </x:c>
      <x:c r="CH421" s="178" t="str">
        <x:f>IF(COUNT(AZ421:BG421)=0,"",AVERAGE(AZ421:BG421)*4)</x:f>
      </x:c>
      <x:c r="CI421" s="178" t="str">
        <x:f>IF(COUNT(BH421:BN421)=0,"",AVERAGE(BH421:BN421)*4)</x:f>
      </x:c>
      <x:c r="CJ421" s="178" t="str">
        <x:f>IF(COUNT(BO421:BU421)=0,"",AVERAGE(BO421:BU421)*4)</x:f>
      </x:c>
      <x:c r="CK421" s="178" t="str">
        <x:f>IF(COUNT(BV421:CB421)=0,"",AVERAGE(BV421:CB421)*4)</x:f>
      </x:c>
      <x:c r="CL421" s="178" t="str">
        <x:f>IF(C421="","",IF(COUNT(G421:CB421)&lt;74,"",(CC421*'تنظیمات وزن‌دهی'!$C$5+CD421*'تنظیمات وزن‌دهی'!$C$6+CE421*'تنظیمات وزن‌دهی'!$C$7+CF421*'تنظیمات وزن‌دهی'!$C$8+CG421*'تنظیمات وزن‌دهی'!$C$9+CH421*'تنظیمات وزن‌دهی'!$C$10+CI421*'تنظیمات وزن‌دهی'!$C$11+CJ421*'تنظیمات وزن‌دهی'!$C$12+CK421*'تنظیمات وزن‌دهی'!$C$13)/100))</x:f>
      </x:c>
      <x:c r="CM421" s="178" t="str">
        <x:f>IF(C421="","",IF(COUNT(G421:CB421)=0,"",IF(COUNT(G421:CB421)&lt;74,"موقت - اطلاعات ناقص",IF(CL421&gt;=17,"عالی",IF(CL421&gt;=14,"خوب",IF(CL421&gt;=10,"متوسط","ضعیف"))))))</x:f>
      </x:c>
      <x:c r="CN421" s="178" t="n">
        <x:v>9</x:v>
      </x:c>
      <x:c r="CO421" s="142" t="n">
        <x:f>IF(C421="","",COUNT(G421:CB421)/74)</x:f>
        <x:v>0</x:v>
      </x:c>
      <x:c r="CP421" s="245"/>
    </x:row>
    <x:row r="422">
      <x:c r="A422" s="165" t="n">
        <x:v>418</x:v>
      </x:c>
      <x:c r="B422" s="233" t="str">
        <x:v>فروردین</x:v>
      </x:c>
      <x:c r="C422" s="233" t="n">
        <x:f>IF('دانش‌آموزان'!E39="","",'دانش‌آموزان'!B39)</x:f>
        <x:v>35</x:v>
      </x:c>
      <x:c r="D422" s="233" t="str">
        <x:f>IF('دانش‌آموزان'!C39="","",'دانش‌آموزان'!C39)</x:f>
        <x:v>4000000357</x:v>
      </x:c>
      <x:c r="E422" s="233" t="str">
        <x:f>IF('دانش‌آموزان'!E39="","",'دانش‌آموزان'!E39&amp;" "&amp;'دانش‌آموزان'!F39)</x:f>
        <x:v>ماهان سلیمانی</x:v>
      </x:c>
      <x:c r="F422" s="166" t="str">
        <x:f>IF('دانش‌آموزان'!I39="","",'دانش‌آموزان'!I39)</x:f>
        <x:v>sample-7-b</x:v>
      </x:c>
      <x:c r="G422" s="114"/>
      <x:c r="H422" s="115"/>
      <x:c r="I422" s="115"/>
      <x:c r="J422" s="115"/>
      <x:c r="K422" s="115"/>
      <x:c r="L422" s="115"/>
      <x:c r="M422" s="115"/>
      <x:c r="N422" s="115"/>
      <x:c r="O422" s="115"/>
      <x:c r="P422" s="115"/>
      <x:c r="Q422" s="115"/>
      <x:c r="R422" s="115"/>
      <x:c r="S422" s="115"/>
      <x:c r="T422" s="115"/>
      <x:c r="U422" s="115"/>
      <x:c r="V422" s="115"/>
      <x:c r="W422" s="115"/>
      <x:c r="X422" s="115"/>
      <x:c r="Y422" s="115"/>
      <x:c r="Z422" s="115"/>
      <x:c r="AA422" s="115"/>
      <x:c r="AB422" s="115"/>
      <x:c r="AC422" s="115"/>
      <x:c r="AD422" s="115"/>
      <x:c r="AE422" s="115"/>
      <x:c r="AF422" s="115"/>
      <x:c r="AG422" s="115"/>
      <x:c r="AH422" s="115"/>
      <x:c r="AI422" s="115"/>
      <x:c r="AJ422" s="115"/>
      <x:c r="AK422" s="115"/>
      <x:c r="AL422" s="115"/>
      <x:c r="AM422" s="115"/>
      <x:c r="AN422" s="115"/>
      <x:c r="AO422" s="115"/>
      <x:c r="AP422" s="115"/>
      <x:c r="AQ422" s="115"/>
      <x:c r="AR422" s="115"/>
      <x:c r="AS422" s="115"/>
      <x:c r="AT422" s="115"/>
      <x:c r="AU422" s="115"/>
      <x:c r="AV422" s="115"/>
      <x:c r="AW422" s="115"/>
      <x:c r="AX422" s="115"/>
      <x:c r="AY422" s="115"/>
      <x:c r="AZ422" s="115"/>
      <x:c r="BA422" s="115"/>
      <x:c r="BB422" s="115"/>
      <x:c r="BC422" s="115"/>
      <x:c r="BD422" s="115"/>
      <x:c r="BE422" s="115"/>
      <x:c r="BF422" s="115"/>
      <x:c r="BG422" s="115"/>
      <x:c r="BH422" s="115"/>
      <x:c r="BI422" s="115"/>
      <x:c r="BJ422" s="115"/>
      <x:c r="BK422" s="115"/>
      <x:c r="BL422" s="115"/>
      <x:c r="BM422" s="115"/>
      <x:c r="BN422" s="115"/>
      <x:c r="BO422" s="115"/>
      <x:c r="BP422" s="115"/>
      <x:c r="BQ422" s="115"/>
      <x:c r="BR422" s="115"/>
      <x:c r="BS422" s="115"/>
      <x:c r="BT422" s="115"/>
      <x:c r="BU422" s="115"/>
      <x:c r="BV422" s="115"/>
      <x:c r="BW422" s="115"/>
      <x:c r="BX422" s="115"/>
      <x:c r="BY422" s="115"/>
      <x:c r="BZ422" s="115"/>
      <x:c r="CA422" s="115"/>
      <x:c r="CB422" s="116"/>
      <x:c r="CC422" s="141" t="str">
        <x:f>IF(COUNT(G422:P422)=0,"",AVERAGE(G422:P422)*4)</x:f>
      </x:c>
      <x:c r="CD422" s="178" t="str">
        <x:f>IF(COUNT(Q422:Z422)=0,"",AVERAGE(Q422:Z422)*4)</x:f>
      </x:c>
      <x:c r="CE422" s="178" t="str">
        <x:f>IF(COUNT(AA422:AJ422)=0,"",AVERAGE(AA422:AJ422)*4)</x:f>
      </x:c>
      <x:c r="CF422" s="178" t="str">
        <x:f>IF(COUNT(AK422:AR422)=0,"",AVERAGE(AK422:AR422)*4)</x:f>
      </x:c>
      <x:c r="CG422" s="178" t="str">
        <x:f>IF(COUNT(AS422:AY422)=0,"",AVERAGE(AS422:AY422)*4)</x:f>
      </x:c>
      <x:c r="CH422" s="178" t="str">
        <x:f>IF(COUNT(AZ422:BG422)=0,"",AVERAGE(AZ422:BG422)*4)</x:f>
      </x:c>
      <x:c r="CI422" s="178" t="str">
        <x:f>IF(COUNT(BH422:BN422)=0,"",AVERAGE(BH422:BN422)*4)</x:f>
      </x:c>
      <x:c r="CJ422" s="178" t="str">
        <x:f>IF(COUNT(BO422:BU422)=0,"",AVERAGE(BO422:BU422)*4)</x:f>
      </x:c>
      <x:c r="CK422" s="178" t="str">
        <x:f>IF(COUNT(BV422:CB422)=0,"",AVERAGE(BV422:CB422)*4)</x:f>
      </x:c>
      <x:c r="CL422" s="178" t="str">
        <x:f>IF(C422="","",IF(COUNT(G422:CB422)&lt;74,"",(CC422*'تنظیمات وزن‌دهی'!$C$5+CD422*'تنظیمات وزن‌دهی'!$C$6+CE422*'تنظیمات وزن‌دهی'!$C$7+CF422*'تنظیمات وزن‌دهی'!$C$8+CG422*'تنظیمات وزن‌دهی'!$C$9+CH422*'تنظیمات وزن‌دهی'!$C$10+CI422*'تنظیمات وزن‌دهی'!$C$11+CJ422*'تنظیمات وزن‌دهی'!$C$12+CK422*'تنظیمات وزن‌دهی'!$C$13)/100))</x:f>
      </x:c>
      <x:c r="CM422" s="178" t="str">
        <x:f>IF(C422="","",IF(COUNT(G422:CB422)=0,"",IF(COUNT(G422:CB422)&lt;74,"موقت - اطلاعات ناقص",IF(CL422&gt;=17,"عالی",IF(CL422&gt;=14,"خوب",IF(CL422&gt;=10,"متوسط","ضعیف"))))))</x:f>
      </x:c>
      <x:c r="CN422" s="178" t="n">
        <x:v>10</x:v>
      </x:c>
      <x:c r="CO422" s="142" t="n">
        <x:f>IF(C422="","",COUNT(G422:CB422)/74)</x:f>
        <x:v>0</x:v>
      </x:c>
      <x:c r="CP422" s="245"/>
    </x:row>
    <x:row r="423">
      <x:c r="A423" s="165" t="n">
        <x:v>419</x:v>
      </x:c>
      <x:c r="B423" s="233" t="str">
        <x:v>اردیبهشت</x:v>
      </x:c>
      <x:c r="C423" s="233" t="n">
        <x:f>IF('دانش‌آموزان'!E39="","",'دانش‌آموزان'!B39)</x:f>
        <x:v>35</x:v>
      </x:c>
      <x:c r="D423" s="233" t="str">
        <x:f>IF('دانش‌آموزان'!C39="","",'دانش‌آموزان'!C39)</x:f>
        <x:v>4000000357</x:v>
      </x:c>
      <x:c r="E423" s="233" t="str">
        <x:f>IF('دانش‌آموزان'!E39="","",'دانش‌آموزان'!E39&amp;" "&amp;'دانش‌آموزان'!F39)</x:f>
        <x:v>ماهان سلیمانی</x:v>
      </x:c>
      <x:c r="F423" s="166" t="str">
        <x:f>IF('دانش‌آموزان'!I39="","",'دانش‌آموزان'!I39)</x:f>
        <x:v>sample-7-b</x:v>
      </x:c>
      <x:c r="G423" s="114"/>
      <x:c r="H423" s="115"/>
      <x:c r="I423" s="115"/>
      <x:c r="J423" s="115"/>
      <x:c r="K423" s="115"/>
      <x:c r="L423" s="115"/>
      <x:c r="M423" s="115"/>
      <x:c r="N423" s="115"/>
      <x:c r="O423" s="115"/>
      <x:c r="P423" s="115"/>
      <x:c r="Q423" s="115"/>
      <x:c r="R423" s="115"/>
      <x:c r="S423" s="115"/>
      <x:c r="T423" s="115"/>
      <x:c r="U423" s="115"/>
      <x:c r="V423" s="115"/>
      <x:c r="W423" s="115"/>
      <x:c r="X423" s="115"/>
      <x:c r="Y423" s="115"/>
      <x:c r="Z423" s="115"/>
      <x:c r="AA423" s="115"/>
      <x:c r="AB423" s="115"/>
      <x:c r="AC423" s="115"/>
      <x:c r="AD423" s="115"/>
      <x:c r="AE423" s="115"/>
      <x:c r="AF423" s="115"/>
      <x:c r="AG423" s="115"/>
      <x:c r="AH423" s="115"/>
      <x:c r="AI423" s="115"/>
      <x:c r="AJ423" s="115"/>
      <x:c r="AK423" s="115"/>
      <x:c r="AL423" s="115"/>
      <x:c r="AM423" s="115"/>
      <x:c r="AN423" s="115"/>
      <x:c r="AO423" s="115"/>
      <x:c r="AP423" s="115"/>
      <x:c r="AQ423" s="115"/>
      <x:c r="AR423" s="115"/>
      <x:c r="AS423" s="115"/>
      <x:c r="AT423" s="115"/>
      <x:c r="AU423" s="115"/>
      <x:c r="AV423" s="115"/>
      <x:c r="AW423" s="115"/>
      <x:c r="AX423" s="115"/>
      <x:c r="AY423" s="115"/>
      <x:c r="AZ423" s="115"/>
      <x:c r="BA423" s="115"/>
      <x:c r="BB423" s="115"/>
      <x:c r="BC423" s="115"/>
      <x:c r="BD423" s="115"/>
      <x:c r="BE423" s="115"/>
      <x:c r="BF423" s="115"/>
      <x:c r="BG423" s="115"/>
      <x:c r="BH423" s="115"/>
      <x:c r="BI423" s="115"/>
      <x:c r="BJ423" s="115"/>
      <x:c r="BK423" s="115"/>
      <x:c r="BL423" s="115"/>
      <x:c r="BM423" s="115"/>
      <x:c r="BN423" s="115"/>
      <x:c r="BO423" s="115"/>
      <x:c r="BP423" s="115"/>
      <x:c r="BQ423" s="115"/>
      <x:c r="BR423" s="115"/>
      <x:c r="BS423" s="115"/>
      <x:c r="BT423" s="115"/>
      <x:c r="BU423" s="115"/>
      <x:c r="BV423" s="115"/>
      <x:c r="BW423" s="115"/>
      <x:c r="BX423" s="115"/>
      <x:c r="BY423" s="115"/>
      <x:c r="BZ423" s="115"/>
      <x:c r="CA423" s="115"/>
      <x:c r="CB423" s="116"/>
      <x:c r="CC423" s="141" t="str">
        <x:f>IF(COUNT(G423:P423)=0,"",AVERAGE(G423:P423)*4)</x:f>
      </x:c>
      <x:c r="CD423" s="178" t="str">
        <x:f>IF(COUNT(Q423:Z423)=0,"",AVERAGE(Q423:Z423)*4)</x:f>
      </x:c>
      <x:c r="CE423" s="178" t="str">
        <x:f>IF(COUNT(AA423:AJ423)=0,"",AVERAGE(AA423:AJ423)*4)</x:f>
      </x:c>
      <x:c r="CF423" s="178" t="str">
        <x:f>IF(COUNT(AK423:AR423)=0,"",AVERAGE(AK423:AR423)*4)</x:f>
      </x:c>
      <x:c r="CG423" s="178" t="str">
        <x:f>IF(COUNT(AS423:AY423)=0,"",AVERAGE(AS423:AY423)*4)</x:f>
      </x:c>
      <x:c r="CH423" s="178" t="str">
        <x:f>IF(COUNT(AZ423:BG423)=0,"",AVERAGE(AZ423:BG423)*4)</x:f>
      </x:c>
      <x:c r="CI423" s="178" t="str">
        <x:f>IF(COUNT(BH423:BN423)=0,"",AVERAGE(BH423:BN423)*4)</x:f>
      </x:c>
      <x:c r="CJ423" s="178" t="str">
        <x:f>IF(COUNT(BO423:BU423)=0,"",AVERAGE(BO423:BU423)*4)</x:f>
      </x:c>
      <x:c r="CK423" s="178" t="str">
        <x:f>IF(COUNT(BV423:CB423)=0,"",AVERAGE(BV423:CB423)*4)</x:f>
      </x:c>
      <x:c r="CL423" s="178" t="str">
        <x:f>IF(C423="","",IF(COUNT(G423:CB423)&lt;74,"",(CC423*'تنظیمات وزن‌دهی'!$C$5+CD423*'تنظیمات وزن‌دهی'!$C$6+CE423*'تنظیمات وزن‌دهی'!$C$7+CF423*'تنظیمات وزن‌دهی'!$C$8+CG423*'تنظیمات وزن‌دهی'!$C$9+CH423*'تنظیمات وزن‌دهی'!$C$10+CI423*'تنظیمات وزن‌دهی'!$C$11+CJ423*'تنظیمات وزن‌دهی'!$C$12+CK423*'تنظیمات وزن‌دهی'!$C$13)/100))</x:f>
      </x:c>
      <x:c r="CM423" s="178" t="str">
        <x:f>IF(C423="","",IF(COUNT(G423:CB423)=0,"",IF(COUNT(G423:CB423)&lt;74,"موقت - اطلاعات ناقص",IF(CL423&gt;=17,"عالی",IF(CL423&gt;=14,"خوب",IF(CL423&gt;=10,"متوسط","ضعیف"))))))</x:f>
      </x:c>
      <x:c r="CN423" s="178" t="n">
        <x:v>11</x:v>
      </x:c>
      <x:c r="CO423" s="142" t="n">
        <x:f>IF(C423="","",COUNT(G423:CB423)/74)</x:f>
        <x:v>0</x:v>
      </x:c>
      <x:c r="CP423" s="245"/>
    </x:row>
    <x:row r="424">
      <x:c r="A424" s="165" t="n">
        <x:v>420</x:v>
      </x:c>
      <x:c r="B424" s="233" t="str">
        <x:v>خرداد</x:v>
      </x:c>
      <x:c r="C424" s="233" t="n">
        <x:f>IF('دانش‌آموزان'!E39="","",'دانش‌آموزان'!B39)</x:f>
        <x:v>35</x:v>
      </x:c>
      <x:c r="D424" s="233" t="str">
        <x:f>IF('دانش‌آموزان'!C39="","",'دانش‌آموزان'!C39)</x:f>
        <x:v>4000000357</x:v>
      </x:c>
      <x:c r="E424" s="233" t="str">
        <x:f>IF('دانش‌آموزان'!E39="","",'دانش‌آموزان'!E39&amp;" "&amp;'دانش‌آموزان'!F39)</x:f>
        <x:v>ماهان سلیمانی</x:v>
      </x:c>
      <x:c r="F424" s="166" t="str">
        <x:f>IF('دانش‌آموزان'!I39="","",'دانش‌آموزان'!I39)</x:f>
        <x:v>sample-7-b</x:v>
      </x:c>
      <x:c r="G424" s="114"/>
      <x:c r="H424" s="115"/>
      <x:c r="I424" s="115"/>
      <x:c r="J424" s="115"/>
      <x:c r="K424" s="115"/>
      <x:c r="L424" s="115"/>
      <x:c r="M424" s="115"/>
      <x:c r="N424" s="115"/>
      <x:c r="O424" s="115"/>
      <x:c r="P424" s="115"/>
      <x:c r="Q424" s="115"/>
      <x:c r="R424" s="115"/>
      <x:c r="S424" s="115"/>
      <x:c r="T424" s="115"/>
      <x:c r="U424" s="115"/>
      <x:c r="V424" s="115"/>
      <x:c r="W424" s="115"/>
      <x:c r="X424" s="115"/>
      <x:c r="Y424" s="115"/>
      <x:c r="Z424" s="115"/>
      <x:c r="AA424" s="115"/>
      <x:c r="AB424" s="115"/>
      <x:c r="AC424" s="115"/>
      <x:c r="AD424" s="115"/>
      <x:c r="AE424" s="115"/>
      <x:c r="AF424" s="115"/>
      <x:c r="AG424" s="115"/>
      <x:c r="AH424" s="115"/>
      <x:c r="AI424" s="115"/>
      <x:c r="AJ424" s="115"/>
      <x:c r="AK424" s="115"/>
      <x:c r="AL424" s="115"/>
      <x:c r="AM424" s="115"/>
      <x:c r="AN424" s="115"/>
      <x:c r="AO424" s="115"/>
      <x:c r="AP424" s="115"/>
      <x:c r="AQ424" s="115"/>
      <x:c r="AR424" s="115"/>
      <x:c r="AS424" s="115"/>
      <x:c r="AT424" s="115"/>
      <x:c r="AU424" s="115"/>
      <x:c r="AV424" s="115"/>
      <x:c r="AW424" s="115"/>
      <x:c r="AX424" s="115"/>
      <x:c r="AY424" s="115"/>
      <x:c r="AZ424" s="115"/>
      <x:c r="BA424" s="115"/>
      <x:c r="BB424" s="115"/>
      <x:c r="BC424" s="115"/>
      <x:c r="BD424" s="115"/>
      <x:c r="BE424" s="115"/>
      <x:c r="BF424" s="115"/>
      <x:c r="BG424" s="115"/>
      <x:c r="BH424" s="115"/>
      <x:c r="BI424" s="115"/>
      <x:c r="BJ424" s="115"/>
      <x:c r="BK424" s="115"/>
      <x:c r="BL424" s="115"/>
      <x:c r="BM424" s="115"/>
      <x:c r="BN424" s="115"/>
      <x:c r="BO424" s="115"/>
      <x:c r="BP424" s="115"/>
      <x:c r="BQ424" s="115"/>
      <x:c r="BR424" s="115"/>
      <x:c r="BS424" s="115"/>
      <x:c r="BT424" s="115"/>
      <x:c r="BU424" s="115"/>
      <x:c r="BV424" s="115"/>
      <x:c r="BW424" s="115"/>
      <x:c r="BX424" s="115"/>
      <x:c r="BY424" s="115"/>
      <x:c r="BZ424" s="115"/>
      <x:c r="CA424" s="115"/>
      <x:c r="CB424" s="116"/>
      <x:c r="CC424" s="141" t="str">
        <x:f>IF(COUNT(G424:P424)=0,"",AVERAGE(G424:P424)*4)</x:f>
      </x:c>
      <x:c r="CD424" s="178" t="str">
        <x:f>IF(COUNT(Q424:Z424)=0,"",AVERAGE(Q424:Z424)*4)</x:f>
      </x:c>
      <x:c r="CE424" s="178" t="str">
        <x:f>IF(COUNT(AA424:AJ424)=0,"",AVERAGE(AA424:AJ424)*4)</x:f>
      </x:c>
      <x:c r="CF424" s="178" t="str">
        <x:f>IF(COUNT(AK424:AR424)=0,"",AVERAGE(AK424:AR424)*4)</x:f>
      </x:c>
      <x:c r="CG424" s="178" t="str">
        <x:f>IF(COUNT(AS424:AY424)=0,"",AVERAGE(AS424:AY424)*4)</x:f>
      </x:c>
      <x:c r="CH424" s="178" t="str">
        <x:f>IF(COUNT(AZ424:BG424)=0,"",AVERAGE(AZ424:BG424)*4)</x:f>
      </x:c>
      <x:c r="CI424" s="178" t="str">
        <x:f>IF(COUNT(BH424:BN424)=0,"",AVERAGE(BH424:BN424)*4)</x:f>
      </x:c>
      <x:c r="CJ424" s="178" t="str">
        <x:f>IF(COUNT(BO424:BU424)=0,"",AVERAGE(BO424:BU424)*4)</x:f>
      </x:c>
      <x:c r="CK424" s="178" t="str">
        <x:f>IF(COUNT(BV424:CB424)=0,"",AVERAGE(BV424:CB424)*4)</x:f>
      </x:c>
      <x:c r="CL424" s="178" t="str">
        <x:f>IF(C424="","",IF(COUNT(G424:CB424)&lt;74,"",(CC424*'تنظیمات وزن‌دهی'!$C$5+CD424*'تنظیمات وزن‌دهی'!$C$6+CE424*'تنظیمات وزن‌دهی'!$C$7+CF424*'تنظیمات وزن‌دهی'!$C$8+CG424*'تنظیمات وزن‌دهی'!$C$9+CH424*'تنظیمات وزن‌دهی'!$C$10+CI424*'تنظیمات وزن‌دهی'!$C$11+CJ424*'تنظیمات وزن‌دهی'!$C$12+CK424*'تنظیمات وزن‌دهی'!$C$13)/100))</x:f>
      </x:c>
      <x:c r="CM424" s="178" t="str">
        <x:f>IF(C424="","",IF(COUNT(G424:CB424)=0,"",IF(COUNT(G424:CB424)&lt;74,"موقت - اطلاعات ناقص",IF(CL424&gt;=17,"عالی",IF(CL424&gt;=14,"خوب",IF(CL424&gt;=10,"متوسط","ضعیف"))))))</x:f>
      </x:c>
      <x:c r="CN424" s="178" t="n">
        <x:v>12</x:v>
      </x:c>
      <x:c r="CO424" s="142" t="n">
        <x:f>IF(C424="","",COUNT(G424:CB424)/74)</x:f>
        <x:v>0</x:v>
      </x:c>
      <x:c r="CP424" s="245"/>
    </x:row>
    <x:row r="425">
      <x:c r="A425" s="165" t="n">
        <x:v>421</x:v>
      </x:c>
      <x:c r="B425" s="233" t="str">
        <x:v>تیر</x:v>
      </x:c>
      <x:c r="C425" s="233" t="n">
        <x:f>IF('دانش‌آموزان'!E40="","",'دانش‌آموزان'!B40)</x:f>
        <x:v>36</x:v>
      </x:c>
      <x:c r="D425" s="233" t="str">
        <x:f>IF('دانش‌آموزان'!C40="","",'دانش‌آموزان'!C40)</x:f>
        <x:v>4000000365</x:v>
      </x:c>
      <x:c r="E425" s="233" t="str">
        <x:f>IF('دانش‌آموزان'!E40="","",'دانش‌آموزان'!E40&amp;" "&amp;'دانش‌آموزان'!F40)</x:f>
        <x:v>نازنین مرادی</x:v>
      </x:c>
      <x:c r="F425" s="166" t="str">
        <x:f>IF('دانش‌آموزان'!I40="","",'دانش‌آموزان'!I40)</x:f>
        <x:v>sample-7-b</x:v>
      </x:c>
      <x:c r="G425" s="114" t="n">
        <x:v>4</x:v>
      </x:c>
      <x:c r="H425" s="115" t="n">
        <x:v>2</x:v>
      </x:c>
      <x:c r="I425" s="115" t="n">
        <x:v>4</x:v>
      </x:c>
      <x:c r="J425" s="115" t="n">
        <x:v>5</x:v>
      </x:c>
      <x:c r="K425" s="115" t="n">
        <x:v>4</x:v>
      </x:c>
      <x:c r="L425" s="115" t="n">
        <x:v>5</x:v>
      </x:c>
      <x:c r="M425" s="115" t="n">
        <x:v>3</x:v>
      </x:c>
      <x:c r="N425" s="115" t="n">
        <x:v>5</x:v>
      </x:c>
      <x:c r="O425" s="115" t="n">
        <x:v>3</x:v>
      </x:c>
      <x:c r="P425" s="115" t="n">
        <x:v>4</x:v>
      </x:c>
      <x:c r="Q425" s="115" t="n">
        <x:v>3</x:v>
      </x:c>
      <x:c r="R425" s="115" t="n">
        <x:v>4</x:v>
      </x:c>
      <x:c r="S425" s="115" t="n">
        <x:v>2</x:v>
      </x:c>
      <x:c r="T425" s="115" t="n">
        <x:v>4</x:v>
      </x:c>
      <x:c r="U425" s="115" t="n">
        <x:v>5</x:v>
      </x:c>
      <x:c r="V425" s="115" t="n">
        <x:v>4</x:v>
      </x:c>
      <x:c r="W425" s="115" t="n">
        <x:v>5</x:v>
      </x:c>
      <x:c r="X425" s="115" t="n">
        <x:v>3</x:v>
      </x:c>
      <x:c r="Y425" s="115" t="n">
        <x:v>5</x:v>
      </x:c>
      <x:c r="Z425" s="115" t="n">
        <x:v>3</x:v>
      </x:c>
      <x:c r="AA425" s="115" t="n">
        <x:v>4</x:v>
      </x:c>
      <x:c r="AB425" s="115" t="n">
        <x:v>3</x:v>
      </x:c>
      <x:c r="AC425" s="115" t="n">
        <x:v>4</x:v>
      </x:c>
      <x:c r="AD425" s="115" t="n">
        <x:v>2</x:v>
      </x:c>
      <x:c r="AE425" s="115" t="n">
        <x:v>4</x:v>
      </x:c>
      <x:c r="AF425" s="115" t="n">
        <x:v>5</x:v>
      </x:c>
      <x:c r="AG425" s="115" t="n">
        <x:v>4</x:v>
      </x:c>
      <x:c r="AH425" s="115" t="n">
        <x:v>5</x:v>
      </x:c>
      <x:c r="AI425" s="115" t="n">
        <x:v>3</x:v>
      </x:c>
      <x:c r="AJ425" s="115" t="n">
        <x:v>5</x:v>
      </x:c>
      <x:c r="AK425" s="115" t="n">
        <x:v>3</x:v>
      </x:c>
      <x:c r="AL425" s="115" t="n">
        <x:v>4</x:v>
      </x:c>
      <x:c r="AM425" s="115" t="n">
        <x:v>3</x:v>
      </x:c>
      <x:c r="AN425" s="115" t="n">
        <x:v>4</x:v>
      </x:c>
      <x:c r="AO425" s="115" t="n">
        <x:v>2</x:v>
      </x:c>
      <x:c r="AP425" s="115" t="n">
        <x:v>4</x:v>
      </x:c>
      <x:c r="AQ425" s="115" t="n">
        <x:v>5</x:v>
      </x:c>
      <x:c r="AR425" s="115" t="n">
        <x:v>4</x:v>
      </x:c>
      <x:c r="AS425" s="115" t="n">
        <x:v>5</x:v>
      </x:c>
      <x:c r="AT425" s="115" t="n">
        <x:v>3</x:v>
      </x:c>
      <x:c r="AU425" s="115" t="n">
        <x:v>5</x:v>
      </x:c>
      <x:c r="AV425" s="115" t="n">
        <x:v>3</x:v>
      </x:c>
      <x:c r="AW425" s="115" t="n">
        <x:v>4</x:v>
      </x:c>
      <x:c r="AX425" s="115" t="n">
        <x:v>3</x:v>
      </x:c>
      <x:c r="AY425" s="115" t="n">
        <x:v>4</x:v>
      </x:c>
      <x:c r="AZ425" s="115" t="n">
        <x:v>2</x:v>
      </x:c>
      <x:c r="BA425" s="115" t="n">
        <x:v>4</x:v>
      </x:c>
      <x:c r="BB425" s="115" t="n">
        <x:v>5</x:v>
      </x:c>
      <x:c r="BC425" s="115" t="n">
        <x:v>4</x:v>
      </x:c>
      <x:c r="BD425" s="115" t="n">
        <x:v>5</x:v>
      </x:c>
      <x:c r="BE425" s="115" t="n">
        <x:v>3</x:v>
      </x:c>
      <x:c r="BF425" s="115" t="n">
        <x:v>5</x:v>
      </x:c>
      <x:c r="BG425" s="115" t="n">
        <x:v>3</x:v>
      </x:c>
      <x:c r="BH425" s="115" t="n">
        <x:v>4</x:v>
      </x:c>
      <x:c r="BI425" s="115" t="n">
        <x:v>3</x:v>
      </x:c>
      <x:c r="BJ425" s="115" t="n">
        <x:v>4</x:v>
      </x:c>
      <x:c r="BK425" s="115" t="n">
        <x:v>2</x:v>
      </x:c>
      <x:c r="BL425" s="115" t="n">
        <x:v>4</x:v>
      </x:c>
      <x:c r="BM425" s="115" t="n">
        <x:v>5</x:v>
      </x:c>
      <x:c r="BN425" s="115" t="n">
        <x:v>4</x:v>
      </x:c>
      <x:c r="BO425" s="115" t="n">
        <x:v>5</x:v>
      </x:c>
      <x:c r="BP425" s="115" t="n">
        <x:v>3</x:v>
      </x:c>
      <x:c r="BQ425" s="115" t="n">
        <x:v>5</x:v>
      </x:c>
      <x:c r="BR425" s="115" t="n">
        <x:v>3</x:v>
      </x:c>
      <x:c r="BS425" s="115" t="n">
        <x:v>4</x:v>
      </x:c>
      <x:c r="BT425" s="115" t="n">
        <x:v>3</x:v>
      </x:c>
      <x:c r="BU425" s="115" t="n">
        <x:v>4</x:v>
      </x:c>
      <x:c r="BV425" s="115" t="n">
        <x:v>2</x:v>
      </x:c>
      <x:c r="BW425" s="115" t="n">
        <x:v>4</x:v>
      </x:c>
      <x:c r="BX425" s="115" t="n">
        <x:v>5</x:v>
      </x:c>
      <x:c r="BY425" s="115" t="n">
        <x:v>4</x:v>
      </x:c>
      <x:c r="BZ425" s="115" t="n">
        <x:v>5</x:v>
      </x:c>
      <x:c r="CA425" s="115" t="n">
        <x:v>3</x:v>
      </x:c>
      <x:c r="CB425" s="116" t="n">
        <x:v>5</x:v>
      </x:c>
      <x:c r="CC425" s="141" t="n">
        <x:f>IF(COUNT(G425:P425)=0,"",AVERAGE(G425:P425)*4)</x:f>
        <x:v>15.6</x:v>
      </x:c>
      <x:c r="CD425" s="178" t="n">
        <x:f>IF(COUNT(Q425:Z425)=0,"",AVERAGE(Q425:Z425)*4)</x:f>
        <x:v>15.2</x:v>
      </x:c>
      <x:c r="CE425" s="178" t="n">
        <x:f>IF(COUNT(AA425:AJ425)=0,"",AVERAGE(AA425:AJ425)*4)</x:f>
        <x:v>15.6</x:v>
      </x:c>
      <x:c r="CF425" s="178" t="n">
        <x:f>IF(COUNT(AK425:AR425)=0,"",AVERAGE(AK425:AR425)*4)</x:f>
        <x:v>14.5</x:v>
      </x:c>
      <x:c r="CG425" s="178" t="n">
        <x:f>IF(COUNT(AS425:AY425)=0,"",AVERAGE(AS425:AY425)*4)</x:f>
        <x:v>15.428571428571429</x:v>
      </x:c>
      <x:c r="CH425" s="178" t="n">
        <x:f>IF(COUNT(AZ425:BG425)=0,"",AVERAGE(AZ425:BG425)*4)</x:f>
        <x:v>15.5</x:v>
      </x:c>
      <x:c r="CI425" s="178" t="n">
        <x:f>IF(COUNT(BH425:BN425)=0,"",AVERAGE(BH425:BN425)*4)</x:f>
        <x:v>14.857142857142858</x:v>
      </x:c>
      <x:c r="CJ425" s="178" t="n">
        <x:f>IF(COUNT(BO425:BU425)=0,"",AVERAGE(BO425:BU425)*4)</x:f>
        <x:v>15.428571428571429</x:v>
      </x:c>
      <x:c r="CK425" s="178" t="n">
        <x:f>IF(COUNT(BV425:CB425)=0,"",AVERAGE(BV425:CB425)*4)</x:f>
        <x:v>16</x:v>
      </x:c>
      <x:c r="CL425" s="178" t="n">
        <x:f>IF(C425="","",IF(COUNT(G425:CB425)&lt;74,"",(CC425*'تنظیمات وزن‌دهی'!$C$5+CD425*'تنظیمات وزن‌دهی'!$C$6+CE425*'تنظیمات وزن‌دهی'!$C$7+CF425*'تنظیمات وزن‌دهی'!$C$8+CG425*'تنظیمات وزن‌دهی'!$C$9+CH425*'تنظیمات وزن‌دهی'!$C$10+CI425*'تنظیمات وزن‌دهی'!$C$11+CJ425*'تنظیمات وزن‌دهی'!$C$12+CK425*'تنظیمات وزن‌دهی'!$C$13)/100))</x:f>
        <x:v>15.320714285714287</x:v>
      </x:c>
      <x:c r="CM425" s="178" t="str">
        <x:f>IF(C425="","",IF(COUNT(G425:CB425)=0,"",IF(COUNT(G425:CB425)&lt;74,"موقت - اطلاعات ناقص",IF(CL425&gt;=17,"عالی",IF(CL425&gt;=14,"خوب",IF(CL425&gt;=10,"متوسط","ضعیف"))))))</x:f>
        <x:v>خوب</x:v>
      </x:c>
      <x:c r="CN425" s="178" t="n">
        <x:v>1</x:v>
      </x:c>
      <x:c r="CO425" s="142" t="n">
        <x:f>IF(C425="","",COUNT(G425:CB425)/74)</x:f>
        <x:v>1</x:v>
      </x:c>
      <x:c r="CP425" s="245" t="str">
        <x:v>داده نمونه کامل برای ماه تیر - دانش‌آموز شماره 36</x:v>
      </x:c>
    </x:row>
    <x:row r="426">
      <x:c r="A426" s="165" t="n">
        <x:v>422</x:v>
      </x:c>
      <x:c r="B426" s="233" t="str">
        <x:v>مرداد</x:v>
      </x:c>
      <x:c r="C426" s="233" t="n">
        <x:f>IF('دانش‌آموزان'!E40="","",'دانش‌آموزان'!B40)</x:f>
        <x:v>36</x:v>
      </x:c>
      <x:c r="D426" s="233" t="str">
        <x:f>IF('دانش‌آموزان'!C40="","",'دانش‌آموزان'!C40)</x:f>
        <x:v>4000000365</x:v>
      </x:c>
      <x:c r="E426" s="233" t="str">
        <x:f>IF('دانش‌آموزان'!E40="","",'دانش‌آموزان'!E40&amp;" "&amp;'دانش‌آموزان'!F40)</x:f>
        <x:v>نازنین مرادی</x:v>
      </x:c>
      <x:c r="F426" s="166" t="str">
        <x:f>IF('دانش‌آموزان'!I40="","",'دانش‌آموزان'!I40)</x:f>
        <x:v>sample-7-b</x:v>
      </x:c>
      <x:c r="G426" s="114"/>
      <x:c r="H426" s="115"/>
      <x:c r="I426" s="115"/>
      <x:c r="J426" s="115"/>
      <x:c r="K426" s="115"/>
      <x:c r="L426" s="115"/>
      <x:c r="M426" s="115"/>
      <x:c r="N426" s="115"/>
      <x:c r="O426" s="115"/>
      <x:c r="P426" s="115"/>
      <x:c r="Q426" s="115"/>
      <x:c r="R426" s="115"/>
      <x:c r="S426" s="115"/>
      <x:c r="T426" s="115"/>
      <x:c r="U426" s="115"/>
      <x:c r="V426" s="115"/>
      <x:c r="W426" s="115"/>
      <x:c r="X426" s="115"/>
      <x:c r="Y426" s="115"/>
      <x:c r="Z426" s="115"/>
      <x:c r="AA426" s="115"/>
      <x:c r="AB426" s="115"/>
      <x:c r="AC426" s="115"/>
      <x:c r="AD426" s="115"/>
      <x:c r="AE426" s="115"/>
      <x:c r="AF426" s="115"/>
      <x:c r="AG426" s="115"/>
      <x:c r="AH426" s="115"/>
      <x:c r="AI426" s="115"/>
      <x:c r="AJ426" s="115"/>
      <x:c r="AK426" s="115"/>
      <x:c r="AL426" s="115"/>
      <x:c r="AM426" s="115"/>
      <x:c r="AN426" s="115"/>
      <x:c r="AO426" s="115"/>
      <x:c r="AP426" s="115"/>
      <x:c r="AQ426" s="115"/>
      <x:c r="AR426" s="115"/>
      <x:c r="AS426" s="115"/>
      <x:c r="AT426" s="115"/>
      <x:c r="AU426" s="115"/>
      <x:c r="AV426" s="115"/>
      <x:c r="AW426" s="115"/>
      <x:c r="AX426" s="115"/>
      <x:c r="AY426" s="115"/>
      <x:c r="AZ426" s="115"/>
      <x:c r="BA426" s="115"/>
      <x:c r="BB426" s="115"/>
      <x:c r="BC426" s="115"/>
      <x:c r="BD426" s="115"/>
      <x:c r="BE426" s="115"/>
      <x:c r="BF426" s="115"/>
      <x:c r="BG426" s="115"/>
      <x:c r="BH426" s="115"/>
      <x:c r="BI426" s="115"/>
      <x:c r="BJ426" s="115"/>
      <x:c r="BK426" s="115"/>
      <x:c r="BL426" s="115"/>
      <x:c r="BM426" s="115"/>
      <x:c r="BN426" s="115"/>
      <x:c r="BO426" s="115"/>
      <x:c r="BP426" s="115"/>
      <x:c r="BQ426" s="115"/>
      <x:c r="BR426" s="115"/>
      <x:c r="BS426" s="115"/>
      <x:c r="BT426" s="115"/>
      <x:c r="BU426" s="115"/>
      <x:c r="BV426" s="115"/>
      <x:c r="BW426" s="115"/>
      <x:c r="BX426" s="115"/>
      <x:c r="BY426" s="115"/>
      <x:c r="BZ426" s="115"/>
      <x:c r="CA426" s="115"/>
      <x:c r="CB426" s="116"/>
      <x:c r="CC426" s="141" t="str">
        <x:f>IF(COUNT(G426:P426)=0,"",AVERAGE(G426:P426)*4)</x:f>
      </x:c>
      <x:c r="CD426" s="178" t="str">
        <x:f>IF(COUNT(Q426:Z426)=0,"",AVERAGE(Q426:Z426)*4)</x:f>
      </x:c>
      <x:c r="CE426" s="178" t="str">
        <x:f>IF(COUNT(AA426:AJ426)=0,"",AVERAGE(AA426:AJ426)*4)</x:f>
      </x:c>
      <x:c r="CF426" s="178" t="str">
        <x:f>IF(COUNT(AK426:AR426)=0,"",AVERAGE(AK426:AR426)*4)</x:f>
      </x:c>
      <x:c r="CG426" s="178" t="str">
        <x:f>IF(COUNT(AS426:AY426)=0,"",AVERAGE(AS426:AY426)*4)</x:f>
      </x:c>
      <x:c r="CH426" s="178" t="str">
        <x:f>IF(COUNT(AZ426:BG426)=0,"",AVERAGE(AZ426:BG426)*4)</x:f>
      </x:c>
      <x:c r="CI426" s="178" t="str">
        <x:f>IF(COUNT(BH426:BN426)=0,"",AVERAGE(BH426:BN426)*4)</x:f>
      </x:c>
      <x:c r="CJ426" s="178" t="str">
        <x:f>IF(COUNT(BO426:BU426)=0,"",AVERAGE(BO426:BU426)*4)</x:f>
      </x:c>
      <x:c r="CK426" s="178" t="str">
        <x:f>IF(COUNT(BV426:CB426)=0,"",AVERAGE(BV426:CB426)*4)</x:f>
      </x:c>
      <x:c r="CL426" s="178" t="str">
        <x:f>IF(C426="","",IF(COUNT(G426:CB426)&lt;74,"",(CC426*'تنظیمات وزن‌دهی'!$C$5+CD426*'تنظیمات وزن‌دهی'!$C$6+CE426*'تنظیمات وزن‌دهی'!$C$7+CF426*'تنظیمات وزن‌دهی'!$C$8+CG426*'تنظیمات وزن‌دهی'!$C$9+CH426*'تنظیمات وزن‌دهی'!$C$10+CI426*'تنظیمات وزن‌دهی'!$C$11+CJ426*'تنظیمات وزن‌دهی'!$C$12+CK426*'تنظیمات وزن‌دهی'!$C$13)/100))</x:f>
      </x:c>
      <x:c r="CM426" s="178" t="str">
        <x:f>IF(C426="","",IF(COUNT(G426:CB426)=0,"",IF(COUNT(G426:CB426)&lt;74,"موقت - اطلاعات ناقص",IF(CL426&gt;=17,"عالی",IF(CL426&gt;=14,"خوب",IF(CL426&gt;=10,"متوسط","ضعیف"))))))</x:f>
      </x:c>
      <x:c r="CN426" s="178" t="n">
        <x:v>2</x:v>
      </x:c>
      <x:c r="CO426" s="142" t="n">
        <x:f>IF(C426="","",COUNT(G426:CB426)/74)</x:f>
        <x:v>0</x:v>
      </x:c>
      <x:c r="CP426" s="245"/>
    </x:row>
    <x:row r="427">
      <x:c r="A427" s="165" t="n">
        <x:v>423</x:v>
      </x:c>
      <x:c r="B427" s="233" t="str">
        <x:v>شهریور</x:v>
      </x:c>
      <x:c r="C427" s="233" t="n">
        <x:f>IF('دانش‌آموزان'!E40="","",'دانش‌آموزان'!B40)</x:f>
        <x:v>36</x:v>
      </x:c>
      <x:c r="D427" s="233" t="str">
        <x:f>IF('دانش‌آموزان'!C40="","",'دانش‌آموزان'!C40)</x:f>
        <x:v>4000000365</x:v>
      </x:c>
      <x:c r="E427" s="233" t="str">
        <x:f>IF('دانش‌آموزان'!E40="","",'دانش‌آموزان'!E40&amp;" "&amp;'دانش‌آموزان'!F40)</x:f>
        <x:v>نازنین مرادی</x:v>
      </x:c>
      <x:c r="F427" s="166" t="str">
        <x:f>IF('دانش‌آموزان'!I40="","",'دانش‌آموزان'!I40)</x:f>
        <x:v>sample-7-b</x:v>
      </x:c>
      <x:c r="G427" s="114"/>
      <x:c r="H427" s="115"/>
      <x:c r="I427" s="115"/>
      <x:c r="J427" s="115"/>
      <x:c r="K427" s="115"/>
      <x:c r="L427" s="115"/>
      <x:c r="M427" s="115"/>
      <x:c r="N427" s="115"/>
      <x:c r="O427" s="115"/>
      <x:c r="P427" s="115"/>
      <x:c r="Q427" s="115"/>
      <x:c r="R427" s="115"/>
      <x:c r="S427" s="115"/>
      <x:c r="T427" s="115"/>
      <x:c r="U427" s="115"/>
      <x:c r="V427" s="115"/>
      <x:c r="W427" s="115"/>
      <x:c r="X427" s="115"/>
      <x:c r="Y427" s="115"/>
      <x:c r="Z427" s="115"/>
      <x:c r="AA427" s="115"/>
      <x:c r="AB427" s="115"/>
      <x:c r="AC427" s="115"/>
      <x:c r="AD427" s="115"/>
      <x:c r="AE427" s="115"/>
      <x:c r="AF427" s="115"/>
      <x:c r="AG427" s="115"/>
      <x:c r="AH427" s="115"/>
      <x:c r="AI427" s="115"/>
      <x:c r="AJ427" s="115"/>
      <x:c r="AK427" s="115"/>
      <x:c r="AL427" s="115"/>
      <x:c r="AM427" s="115"/>
      <x:c r="AN427" s="115"/>
      <x:c r="AO427" s="115"/>
      <x:c r="AP427" s="115"/>
      <x:c r="AQ427" s="115"/>
      <x:c r="AR427" s="115"/>
      <x:c r="AS427" s="115"/>
      <x:c r="AT427" s="115"/>
      <x:c r="AU427" s="115"/>
      <x:c r="AV427" s="115"/>
      <x:c r="AW427" s="115"/>
      <x:c r="AX427" s="115"/>
      <x:c r="AY427" s="115"/>
      <x:c r="AZ427" s="115"/>
      <x:c r="BA427" s="115"/>
      <x:c r="BB427" s="115"/>
      <x:c r="BC427" s="115"/>
      <x:c r="BD427" s="115"/>
      <x:c r="BE427" s="115"/>
      <x:c r="BF427" s="115"/>
      <x:c r="BG427" s="115"/>
      <x:c r="BH427" s="115"/>
      <x:c r="BI427" s="115"/>
      <x:c r="BJ427" s="115"/>
      <x:c r="BK427" s="115"/>
      <x:c r="BL427" s="115"/>
      <x:c r="BM427" s="115"/>
      <x:c r="BN427" s="115"/>
      <x:c r="BO427" s="115"/>
      <x:c r="BP427" s="115"/>
      <x:c r="BQ427" s="115"/>
      <x:c r="BR427" s="115"/>
      <x:c r="BS427" s="115"/>
      <x:c r="BT427" s="115"/>
      <x:c r="BU427" s="115"/>
      <x:c r="BV427" s="115"/>
      <x:c r="BW427" s="115"/>
      <x:c r="BX427" s="115"/>
      <x:c r="BY427" s="115"/>
      <x:c r="BZ427" s="115"/>
      <x:c r="CA427" s="115"/>
      <x:c r="CB427" s="116"/>
      <x:c r="CC427" s="141" t="str">
        <x:f>IF(COUNT(G427:P427)=0,"",AVERAGE(G427:P427)*4)</x:f>
      </x:c>
      <x:c r="CD427" s="178" t="str">
        <x:f>IF(COUNT(Q427:Z427)=0,"",AVERAGE(Q427:Z427)*4)</x:f>
      </x:c>
      <x:c r="CE427" s="178" t="str">
        <x:f>IF(COUNT(AA427:AJ427)=0,"",AVERAGE(AA427:AJ427)*4)</x:f>
      </x:c>
      <x:c r="CF427" s="178" t="str">
        <x:f>IF(COUNT(AK427:AR427)=0,"",AVERAGE(AK427:AR427)*4)</x:f>
      </x:c>
      <x:c r="CG427" s="178" t="str">
        <x:f>IF(COUNT(AS427:AY427)=0,"",AVERAGE(AS427:AY427)*4)</x:f>
      </x:c>
      <x:c r="CH427" s="178" t="str">
        <x:f>IF(COUNT(AZ427:BG427)=0,"",AVERAGE(AZ427:BG427)*4)</x:f>
      </x:c>
      <x:c r="CI427" s="178" t="str">
        <x:f>IF(COUNT(BH427:BN427)=0,"",AVERAGE(BH427:BN427)*4)</x:f>
      </x:c>
      <x:c r="CJ427" s="178" t="str">
        <x:f>IF(COUNT(BO427:BU427)=0,"",AVERAGE(BO427:BU427)*4)</x:f>
      </x:c>
      <x:c r="CK427" s="178" t="str">
        <x:f>IF(COUNT(BV427:CB427)=0,"",AVERAGE(BV427:CB427)*4)</x:f>
      </x:c>
      <x:c r="CL427" s="178" t="str">
        <x:f>IF(C427="","",IF(COUNT(G427:CB427)&lt;74,"",(CC427*'تنظیمات وزن‌دهی'!$C$5+CD427*'تنظیمات وزن‌دهی'!$C$6+CE427*'تنظیمات وزن‌دهی'!$C$7+CF427*'تنظیمات وزن‌دهی'!$C$8+CG427*'تنظیمات وزن‌دهی'!$C$9+CH427*'تنظیمات وزن‌دهی'!$C$10+CI427*'تنظیمات وزن‌دهی'!$C$11+CJ427*'تنظیمات وزن‌دهی'!$C$12+CK427*'تنظیمات وزن‌دهی'!$C$13)/100))</x:f>
      </x:c>
      <x:c r="CM427" s="178" t="str">
        <x:f>IF(C427="","",IF(COUNT(G427:CB427)=0,"",IF(COUNT(G427:CB427)&lt;74,"موقت - اطلاعات ناقص",IF(CL427&gt;=17,"عالی",IF(CL427&gt;=14,"خوب",IF(CL427&gt;=10,"متوسط","ضعیف"))))))</x:f>
      </x:c>
      <x:c r="CN427" s="178" t="n">
        <x:v>3</x:v>
      </x:c>
      <x:c r="CO427" s="142" t="n">
        <x:f>IF(C427="","",COUNT(G427:CB427)/74)</x:f>
        <x:v>0</x:v>
      </x:c>
      <x:c r="CP427" s="245"/>
    </x:row>
    <x:row r="428">
      <x:c r="A428" s="165" t="n">
        <x:v>424</x:v>
      </x:c>
      <x:c r="B428" s="233" t="str">
        <x:v>مهر</x:v>
      </x:c>
      <x:c r="C428" s="233" t="n">
        <x:f>IF('دانش‌آموزان'!E40="","",'دانش‌آموزان'!B40)</x:f>
        <x:v>36</x:v>
      </x:c>
      <x:c r="D428" s="233" t="str">
        <x:f>IF('دانش‌آموزان'!C40="","",'دانش‌آموزان'!C40)</x:f>
        <x:v>4000000365</x:v>
      </x:c>
      <x:c r="E428" s="233" t="str">
        <x:f>IF('دانش‌آموزان'!E40="","",'دانش‌آموزان'!E40&amp;" "&amp;'دانش‌آموزان'!F40)</x:f>
        <x:v>نازنین مرادی</x:v>
      </x:c>
      <x:c r="F428" s="166" t="str">
        <x:f>IF('دانش‌آموزان'!I40="","",'دانش‌آموزان'!I40)</x:f>
        <x:v>sample-7-b</x:v>
      </x:c>
      <x:c r="G428" s="114"/>
      <x:c r="H428" s="115"/>
      <x:c r="I428" s="115"/>
      <x:c r="J428" s="115"/>
      <x:c r="K428" s="115"/>
      <x:c r="L428" s="115"/>
      <x:c r="M428" s="115"/>
      <x:c r="N428" s="115"/>
      <x:c r="O428" s="115"/>
      <x:c r="P428" s="115"/>
      <x:c r="Q428" s="115"/>
      <x:c r="R428" s="115"/>
      <x:c r="S428" s="115"/>
      <x:c r="T428" s="115"/>
      <x:c r="U428" s="115"/>
      <x:c r="V428" s="115"/>
      <x:c r="W428" s="115"/>
      <x:c r="X428" s="115"/>
      <x:c r="Y428" s="115"/>
      <x:c r="Z428" s="115"/>
      <x:c r="AA428" s="115"/>
      <x:c r="AB428" s="115"/>
      <x:c r="AC428" s="115"/>
      <x:c r="AD428" s="115"/>
      <x:c r="AE428" s="115"/>
      <x:c r="AF428" s="115"/>
      <x:c r="AG428" s="115"/>
      <x:c r="AH428" s="115"/>
      <x:c r="AI428" s="115"/>
      <x:c r="AJ428" s="115"/>
      <x:c r="AK428" s="115"/>
      <x:c r="AL428" s="115"/>
      <x:c r="AM428" s="115"/>
      <x:c r="AN428" s="115"/>
      <x:c r="AO428" s="115"/>
      <x:c r="AP428" s="115"/>
      <x:c r="AQ428" s="115"/>
      <x:c r="AR428" s="115"/>
      <x:c r="AS428" s="115"/>
      <x:c r="AT428" s="115"/>
      <x:c r="AU428" s="115"/>
      <x:c r="AV428" s="115"/>
      <x:c r="AW428" s="115"/>
      <x:c r="AX428" s="115"/>
      <x:c r="AY428" s="115"/>
      <x:c r="AZ428" s="115"/>
      <x:c r="BA428" s="115"/>
      <x:c r="BB428" s="115"/>
      <x:c r="BC428" s="115"/>
      <x:c r="BD428" s="115"/>
      <x:c r="BE428" s="115"/>
      <x:c r="BF428" s="115"/>
      <x:c r="BG428" s="115"/>
      <x:c r="BH428" s="115"/>
      <x:c r="BI428" s="115"/>
      <x:c r="BJ428" s="115"/>
      <x:c r="BK428" s="115"/>
      <x:c r="BL428" s="115"/>
      <x:c r="BM428" s="115"/>
      <x:c r="BN428" s="115"/>
      <x:c r="BO428" s="115"/>
      <x:c r="BP428" s="115"/>
      <x:c r="BQ428" s="115"/>
      <x:c r="BR428" s="115"/>
      <x:c r="BS428" s="115"/>
      <x:c r="BT428" s="115"/>
      <x:c r="BU428" s="115"/>
      <x:c r="BV428" s="115"/>
      <x:c r="BW428" s="115"/>
      <x:c r="BX428" s="115"/>
      <x:c r="BY428" s="115"/>
      <x:c r="BZ428" s="115"/>
      <x:c r="CA428" s="115"/>
      <x:c r="CB428" s="116"/>
      <x:c r="CC428" s="141" t="str">
        <x:f>IF(COUNT(G428:P428)=0,"",AVERAGE(G428:P428)*4)</x:f>
      </x:c>
      <x:c r="CD428" s="178" t="str">
        <x:f>IF(COUNT(Q428:Z428)=0,"",AVERAGE(Q428:Z428)*4)</x:f>
      </x:c>
      <x:c r="CE428" s="178" t="str">
        <x:f>IF(COUNT(AA428:AJ428)=0,"",AVERAGE(AA428:AJ428)*4)</x:f>
      </x:c>
      <x:c r="CF428" s="178" t="str">
        <x:f>IF(COUNT(AK428:AR428)=0,"",AVERAGE(AK428:AR428)*4)</x:f>
      </x:c>
      <x:c r="CG428" s="178" t="str">
        <x:f>IF(COUNT(AS428:AY428)=0,"",AVERAGE(AS428:AY428)*4)</x:f>
      </x:c>
      <x:c r="CH428" s="178" t="str">
        <x:f>IF(COUNT(AZ428:BG428)=0,"",AVERAGE(AZ428:BG428)*4)</x:f>
      </x:c>
      <x:c r="CI428" s="178" t="str">
        <x:f>IF(COUNT(BH428:BN428)=0,"",AVERAGE(BH428:BN428)*4)</x:f>
      </x:c>
      <x:c r="CJ428" s="178" t="str">
        <x:f>IF(COUNT(BO428:BU428)=0,"",AVERAGE(BO428:BU428)*4)</x:f>
      </x:c>
      <x:c r="CK428" s="178" t="str">
        <x:f>IF(COUNT(BV428:CB428)=0,"",AVERAGE(BV428:CB428)*4)</x:f>
      </x:c>
      <x:c r="CL428" s="178" t="str">
        <x:f>IF(C428="","",IF(COUNT(G428:CB428)&lt;74,"",(CC428*'تنظیمات وزن‌دهی'!$C$5+CD428*'تنظیمات وزن‌دهی'!$C$6+CE428*'تنظیمات وزن‌دهی'!$C$7+CF428*'تنظیمات وزن‌دهی'!$C$8+CG428*'تنظیمات وزن‌دهی'!$C$9+CH428*'تنظیمات وزن‌دهی'!$C$10+CI428*'تنظیمات وزن‌دهی'!$C$11+CJ428*'تنظیمات وزن‌دهی'!$C$12+CK428*'تنظیمات وزن‌دهی'!$C$13)/100))</x:f>
      </x:c>
      <x:c r="CM428" s="178" t="str">
        <x:f>IF(C428="","",IF(COUNT(G428:CB428)=0,"",IF(COUNT(G428:CB428)&lt;74,"موقت - اطلاعات ناقص",IF(CL428&gt;=17,"عالی",IF(CL428&gt;=14,"خوب",IF(CL428&gt;=10,"متوسط","ضعیف"))))))</x:f>
      </x:c>
      <x:c r="CN428" s="178" t="n">
        <x:v>4</x:v>
      </x:c>
      <x:c r="CO428" s="142" t="n">
        <x:f>IF(C428="","",COUNT(G428:CB428)/74)</x:f>
        <x:v>0</x:v>
      </x:c>
      <x:c r="CP428" s="245"/>
    </x:row>
    <x:row r="429">
      <x:c r="A429" s="165" t="n">
        <x:v>425</x:v>
      </x:c>
      <x:c r="B429" s="233" t="str">
        <x:v>آبان</x:v>
      </x:c>
      <x:c r="C429" s="233" t="n">
        <x:f>IF('دانش‌آموزان'!E40="","",'دانش‌آموزان'!B40)</x:f>
        <x:v>36</x:v>
      </x:c>
      <x:c r="D429" s="233" t="str">
        <x:f>IF('دانش‌آموزان'!C40="","",'دانش‌آموزان'!C40)</x:f>
        <x:v>4000000365</x:v>
      </x:c>
      <x:c r="E429" s="233" t="str">
        <x:f>IF('دانش‌آموزان'!E40="","",'دانش‌آموزان'!E40&amp;" "&amp;'دانش‌آموزان'!F40)</x:f>
        <x:v>نازنین مرادی</x:v>
      </x:c>
      <x:c r="F429" s="166" t="str">
        <x:f>IF('دانش‌آموزان'!I40="","",'دانش‌آموزان'!I40)</x:f>
        <x:v>sample-7-b</x:v>
      </x:c>
      <x:c r="G429" s="114"/>
      <x:c r="H429" s="115"/>
      <x:c r="I429" s="115"/>
      <x:c r="J429" s="115"/>
      <x:c r="K429" s="115"/>
      <x:c r="L429" s="115"/>
      <x:c r="M429" s="115"/>
      <x:c r="N429" s="115"/>
      <x:c r="O429" s="115"/>
      <x:c r="P429" s="115"/>
      <x:c r="Q429" s="115"/>
      <x:c r="R429" s="115"/>
      <x:c r="S429" s="115"/>
      <x:c r="T429" s="115"/>
      <x:c r="U429" s="115"/>
      <x:c r="V429" s="115"/>
      <x:c r="W429" s="115"/>
      <x:c r="X429" s="115"/>
      <x:c r="Y429" s="115"/>
      <x:c r="Z429" s="115"/>
      <x:c r="AA429" s="115"/>
      <x:c r="AB429" s="115"/>
      <x:c r="AC429" s="115"/>
      <x:c r="AD429" s="115"/>
      <x:c r="AE429" s="115"/>
      <x:c r="AF429" s="115"/>
      <x:c r="AG429" s="115"/>
      <x:c r="AH429" s="115"/>
      <x:c r="AI429" s="115"/>
      <x:c r="AJ429" s="115"/>
      <x:c r="AK429" s="115"/>
      <x:c r="AL429" s="115"/>
      <x:c r="AM429" s="115"/>
      <x:c r="AN429" s="115"/>
      <x:c r="AO429" s="115"/>
      <x:c r="AP429" s="115"/>
      <x:c r="AQ429" s="115"/>
      <x:c r="AR429" s="115"/>
      <x:c r="AS429" s="115"/>
      <x:c r="AT429" s="115"/>
      <x:c r="AU429" s="115"/>
      <x:c r="AV429" s="115"/>
      <x:c r="AW429" s="115"/>
      <x:c r="AX429" s="115"/>
      <x:c r="AY429" s="115"/>
      <x:c r="AZ429" s="115"/>
      <x:c r="BA429" s="115"/>
      <x:c r="BB429" s="115"/>
      <x:c r="BC429" s="115"/>
      <x:c r="BD429" s="115"/>
      <x:c r="BE429" s="115"/>
      <x:c r="BF429" s="115"/>
      <x:c r="BG429" s="115"/>
      <x:c r="BH429" s="115"/>
      <x:c r="BI429" s="115"/>
      <x:c r="BJ429" s="115"/>
      <x:c r="BK429" s="115"/>
      <x:c r="BL429" s="115"/>
      <x:c r="BM429" s="115"/>
      <x:c r="BN429" s="115"/>
      <x:c r="BO429" s="115"/>
      <x:c r="BP429" s="115"/>
      <x:c r="BQ429" s="115"/>
      <x:c r="BR429" s="115"/>
      <x:c r="BS429" s="115"/>
      <x:c r="BT429" s="115"/>
      <x:c r="BU429" s="115"/>
      <x:c r="BV429" s="115"/>
      <x:c r="BW429" s="115"/>
      <x:c r="BX429" s="115"/>
      <x:c r="BY429" s="115"/>
      <x:c r="BZ429" s="115"/>
      <x:c r="CA429" s="115"/>
      <x:c r="CB429" s="116"/>
      <x:c r="CC429" s="141" t="str">
        <x:f>IF(COUNT(G429:P429)=0,"",AVERAGE(G429:P429)*4)</x:f>
      </x:c>
      <x:c r="CD429" s="178" t="str">
        <x:f>IF(COUNT(Q429:Z429)=0,"",AVERAGE(Q429:Z429)*4)</x:f>
      </x:c>
      <x:c r="CE429" s="178" t="str">
        <x:f>IF(COUNT(AA429:AJ429)=0,"",AVERAGE(AA429:AJ429)*4)</x:f>
      </x:c>
      <x:c r="CF429" s="178" t="str">
        <x:f>IF(COUNT(AK429:AR429)=0,"",AVERAGE(AK429:AR429)*4)</x:f>
      </x:c>
      <x:c r="CG429" s="178" t="str">
        <x:f>IF(COUNT(AS429:AY429)=0,"",AVERAGE(AS429:AY429)*4)</x:f>
      </x:c>
      <x:c r="CH429" s="178" t="str">
        <x:f>IF(COUNT(AZ429:BG429)=0,"",AVERAGE(AZ429:BG429)*4)</x:f>
      </x:c>
      <x:c r="CI429" s="178" t="str">
        <x:f>IF(COUNT(BH429:BN429)=0,"",AVERAGE(BH429:BN429)*4)</x:f>
      </x:c>
      <x:c r="CJ429" s="178" t="str">
        <x:f>IF(COUNT(BO429:BU429)=0,"",AVERAGE(BO429:BU429)*4)</x:f>
      </x:c>
      <x:c r="CK429" s="178" t="str">
        <x:f>IF(COUNT(BV429:CB429)=0,"",AVERAGE(BV429:CB429)*4)</x:f>
      </x:c>
      <x:c r="CL429" s="178" t="str">
        <x:f>IF(C429="","",IF(COUNT(G429:CB429)&lt;74,"",(CC429*'تنظیمات وزن‌دهی'!$C$5+CD429*'تنظیمات وزن‌دهی'!$C$6+CE429*'تنظیمات وزن‌دهی'!$C$7+CF429*'تنظیمات وزن‌دهی'!$C$8+CG429*'تنظیمات وزن‌دهی'!$C$9+CH429*'تنظیمات وزن‌دهی'!$C$10+CI429*'تنظیمات وزن‌دهی'!$C$11+CJ429*'تنظیمات وزن‌دهی'!$C$12+CK429*'تنظیمات وزن‌دهی'!$C$13)/100))</x:f>
      </x:c>
      <x:c r="CM429" s="178" t="str">
        <x:f>IF(C429="","",IF(COUNT(G429:CB429)=0,"",IF(COUNT(G429:CB429)&lt;74,"موقت - اطلاعات ناقص",IF(CL429&gt;=17,"عالی",IF(CL429&gt;=14,"خوب",IF(CL429&gt;=10,"متوسط","ضعیف"))))))</x:f>
      </x:c>
      <x:c r="CN429" s="178" t="n">
        <x:v>5</x:v>
      </x:c>
      <x:c r="CO429" s="142" t="n">
        <x:f>IF(C429="","",COUNT(G429:CB429)/74)</x:f>
        <x:v>0</x:v>
      </x:c>
      <x:c r="CP429" s="245"/>
    </x:row>
    <x:row r="430">
      <x:c r="A430" s="165" t="n">
        <x:v>426</x:v>
      </x:c>
      <x:c r="B430" s="233" t="str">
        <x:v>آذر</x:v>
      </x:c>
      <x:c r="C430" s="233" t="n">
        <x:f>IF('دانش‌آموزان'!E40="","",'دانش‌آموزان'!B40)</x:f>
        <x:v>36</x:v>
      </x:c>
      <x:c r="D430" s="233" t="str">
        <x:f>IF('دانش‌آموزان'!C40="","",'دانش‌آموزان'!C40)</x:f>
        <x:v>4000000365</x:v>
      </x:c>
      <x:c r="E430" s="233" t="str">
        <x:f>IF('دانش‌آموزان'!E40="","",'دانش‌آموزان'!E40&amp;" "&amp;'دانش‌آموزان'!F40)</x:f>
        <x:v>نازنین مرادی</x:v>
      </x:c>
      <x:c r="F430" s="166" t="str">
        <x:f>IF('دانش‌آموزان'!I40="","",'دانش‌آموزان'!I40)</x:f>
        <x:v>sample-7-b</x:v>
      </x:c>
      <x:c r="G430" s="114"/>
      <x:c r="H430" s="115"/>
      <x:c r="I430" s="115"/>
      <x:c r="J430" s="115"/>
      <x:c r="K430" s="115"/>
      <x:c r="L430" s="115"/>
      <x:c r="M430" s="115"/>
      <x:c r="N430" s="115"/>
      <x:c r="O430" s="115"/>
      <x:c r="P430" s="115"/>
      <x:c r="Q430" s="115"/>
      <x:c r="R430" s="115"/>
      <x:c r="S430" s="115"/>
      <x:c r="T430" s="115"/>
      <x:c r="U430" s="115"/>
      <x:c r="V430" s="115"/>
      <x:c r="W430" s="115"/>
      <x:c r="X430" s="115"/>
      <x:c r="Y430" s="115"/>
      <x:c r="Z430" s="115"/>
      <x:c r="AA430" s="115"/>
      <x:c r="AB430" s="115"/>
      <x:c r="AC430" s="115"/>
      <x:c r="AD430" s="115"/>
      <x:c r="AE430" s="115"/>
      <x:c r="AF430" s="115"/>
      <x:c r="AG430" s="115"/>
      <x:c r="AH430" s="115"/>
      <x:c r="AI430" s="115"/>
      <x:c r="AJ430" s="115"/>
      <x:c r="AK430" s="115"/>
      <x:c r="AL430" s="115"/>
      <x:c r="AM430" s="115"/>
      <x:c r="AN430" s="115"/>
      <x:c r="AO430" s="115"/>
      <x:c r="AP430" s="115"/>
      <x:c r="AQ430" s="115"/>
      <x:c r="AR430" s="115"/>
      <x:c r="AS430" s="115"/>
      <x:c r="AT430" s="115"/>
      <x:c r="AU430" s="115"/>
      <x:c r="AV430" s="115"/>
      <x:c r="AW430" s="115"/>
      <x:c r="AX430" s="115"/>
      <x:c r="AY430" s="115"/>
      <x:c r="AZ430" s="115"/>
      <x:c r="BA430" s="115"/>
      <x:c r="BB430" s="115"/>
      <x:c r="BC430" s="115"/>
      <x:c r="BD430" s="115"/>
      <x:c r="BE430" s="115"/>
      <x:c r="BF430" s="115"/>
      <x:c r="BG430" s="115"/>
      <x:c r="BH430" s="115"/>
      <x:c r="BI430" s="115"/>
      <x:c r="BJ430" s="115"/>
      <x:c r="BK430" s="115"/>
      <x:c r="BL430" s="115"/>
      <x:c r="BM430" s="115"/>
      <x:c r="BN430" s="115"/>
      <x:c r="BO430" s="115"/>
      <x:c r="BP430" s="115"/>
      <x:c r="BQ430" s="115"/>
      <x:c r="BR430" s="115"/>
      <x:c r="BS430" s="115"/>
      <x:c r="BT430" s="115"/>
      <x:c r="BU430" s="115"/>
      <x:c r="BV430" s="115"/>
      <x:c r="BW430" s="115"/>
      <x:c r="BX430" s="115"/>
      <x:c r="BY430" s="115"/>
      <x:c r="BZ430" s="115"/>
      <x:c r="CA430" s="115"/>
      <x:c r="CB430" s="116"/>
      <x:c r="CC430" s="141" t="str">
        <x:f>IF(COUNT(G430:P430)=0,"",AVERAGE(G430:P430)*4)</x:f>
      </x:c>
      <x:c r="CD430" s="178" t="str">
        <x:f>IF(COUNT(Q430:Z430)=0,"",AVERAGE(Q430:Z430)*4)</x:f>
      </x:c>
      <x:c r="CE430" s="178" t="str">
        <x:f>IF(COUNT(AA430:AJ430)=0,"",AVERAGE(AA430:AJ430)*4)</x:f>
      </x:c>
      <x:c r="CF430" s="178" t="str">
        <x:f>IF(COUNT(AK430:AR430)=0,"",AVERAGE(AK430:AR430)*4)</x:f>
      </x:c>
      <x:c r="CG430" s="178" t="str">
        <x:f>IF(COUNT(AS430:AY430)=0,"",AVERAGE(AS430:AY430)*4)</x:f>
      </x:c>
      <x:c r="CH430" s="178" t="str">
        <x:f>IF(COUNT(AZ430:BG430)=0,"",AVERAGE(AZ430:BG430)*4)</x:f>
      </x:c>
      <x:c r="CI430" s="178" t="str">
        <x:f>IF(COUNT(BH430:BN430)=0,"",AVERAGE(BH430:BN430)*4)</x:f>
      </x:c>
      <x:c r="CJ430" s="178" t="str">
        <x:f>IF(COUNT(BO430:BU430)=0,"",AVERAGE(BO430:BU430)*4)</x:f>
      </x:c>
      <x:c r="CK430" s="178" t="str">
        <x:f>IF(COUNT(BV430:CB430)=0,"",AVERAGE(BV430:CB430)*4)</x:f>
      </x:c>
      <x:c r="CL430" s="178" t="str">
        <x:f>IF(C430="","",IF(COUNT(G430:CB430)&lt;74,"",(CC430*'تنظیمات وزن‌دهی'!$C$5+CD430*'تنظیمات وزن‌دهی'!$C$6+CE430*'تنظیمات وزن‌دهی'!$C$7+CF430*'تنظیمات وزن‌دهی'!$C$8+CG430*'تنظیمات وزن‌دهی'!$C$9+CH430*'تنظیمات وزن‌دهی'!$C$10+CI430*'تنظیمات وزن‌دهی'!$C$11+CJ430*'تنظیمات وزن‌دهی'!$C$12+CK430*'تنظیمات وزن‌دهی'!$C$13)/100))</x:f>
      </x:c>
      <x:c r="CM430" s="178" t="str">
        <x:f>IF(C430="","",IF(COUNT(G430:CB430)=0,"",IF(COUNT(G430:CB430)&lt;74,"موقت - اطلاعات ناقص",IF(CL430&gt;=17,"عالی",IF(CL430&gt;=14,"خوب",IF(CL430&gt;=10,"متوسط","ضعیف"))))))</x:f>
      </x:c>
      <x:c r="CN430" s="178" t="n">
        <x:v>6</x:v>
      </x:c>
      <x:c r="CO430" s="142" t="n">
        <x:f>IF(C430="","",COUNT(G430:CB430)/74)</x:f>
        <x:v>0</x:v>
      </x:c>
      <x:c r="CP430" s="245"/>
    </x:row>
    <x:row r="431">
      <x:c r="A431" s="165" t="n">
        <x:v>427</x:v>
      </x:c>
      <x:c r="B431" s="233" t="str">
        <x:v>دی</x:v>
      </x:c>
      <x:c r="C431" s="233" t="n">
        <x:f>IF('دانش‌آموزان'!E40="","",'دانش‌آموزان'!B40)</x:f>
        <x:v>36</x:v>
      </x:c>
      <x:c r="D431" s="233" t="str">
        <x:f>IF('دانش‌آموزان'!C40="","",'دانش‌آموزان'!C40)</x:f>
        <x:v>4000000365</x:v>
      </x:c>
      <x:c r="E431" s="233" t="str">
        <x:f>IF('دانش‌آموزان'!E40="","",'دانش‌آموزان'!E40&amp;" "&amp;'دانش‌آموزان'!F40)</x:f>
        <x:v>نازنین مرادی</x:v>
      </x:c>
      <x:c r="F431" s="166" t="str">
        <x:f>IF('دانش‌آموزان'!I40="","",'دانش‌آموزان'!I40)</x:f>
        <x:v>sample-7-b</x:v>
      </x:c>
      <x:c r="G431" s="114"/>
      <x:c r="H431" s="115"/>
      <x:c r="I431" s="115"/>
      <x:c r="J431" s="115"/>
      <x:c r="K431" s="115"/>
      <x:c r="L431" s="115"/>
      <x:c r="M431" s="115"/>
      <x:c r="N431" s="115"/>
      <x:c r="O431" s="115"/>
      <x:c r="P431" s="115"/>
      <x:c r="Q431" s="115"/>
      <x:c r="R431" s="115"/>
      <x:c r="S431" s="115"/>
      <x:c r="T431" s="115"/>
      <x:c r="U431" s="115"/>
      <x:c r="V431" s="115"/>
      <x:c r="W431" s="115"/>
      <x:c r="X431" s="115"/>
      <x:c r="Y431" s="115"/>
      <x:c r="Z431" s="115"/>
      <x:c r="AA431" s="115"/>
      <x:c r="AB431" s="115"/>
      <x:c r="AC431" s="115"/>
      <x:c r="AD431" s="115"/>
      <x:c r="AE431" s="115"/>
      <x:c r="AF431" s="115"/>
      <x:c r="AG431" s="115"/>
      <x:c r="AH431" s="115"/>
      <x:c r="AI431" s="115"/>
      <x:c r="AJ431" s="115"/>
      <x:c r="AK431" s="115"/>
      <x:c r="AL431" s="115"/>
      <x:c r="AM431" s="115"/>
      <x:c r="AN431" s="115"/>
      <x:c r="AO431" s="115"/>
      <x:c r="AP431" s="115"/>
      <x:c r="AQ431" s="115"/>
      <x:c r="AR431" s="115"/>
      <x:c r="AS431" s="115"/>
      <x:c r="AT431" s="115"/>
      <x:c r="AU431" s="115"/>
      <x:c r="AV431" s="115"/>
      <x:c r="AW431" s="115"/>
      <x:c r="AX431" s="115"/>
      <x:c r="AY431" s="115"/>
      <x:c r="AZ431" s="115"/>
      <x:c r="BA431" s="115"/>
      <x:c r="BB431" s="115"/>
      <x:c r="BC431" s="115"/>
      <x:c r="BD431" s="115"/>
      <x:c r="BE431" s="115"/>
      <x:c r="BF431" s="115"/>
      <x:c r="BG431" s="115"/>
      <x:c r="BH431" s="115"/>
      <x:c r="BI431" s="115"/>
      <x:c r="BJ431" s="115"/>
      <x:c r="BK431" s="115"/>
      <x:c r="BL431" s="115"/>
      <x:c r="BM431" s="115"/>
      <x:c r="BN431" s="115"/>
      <x:c r="BO431" s="115"/>
      <x:c r="BP431" s="115"/>
      <x:c r="BQ431" s="115"/>
      <x:c r="BR431" s="115"/>
      <x:c r="BS431" s="115"/>
      <x:c r="BT431" s="115"/>
      <x:c r="BU431" s="115"/>
      <x:c r="BV431" s="115"/>
      <x:c r="BW431" s="115"/>
      <x:c r="BX431" s="115"/>
      <x:c r="BY431" s="115"/>
      <x:c r="BZ431" s="115"/>
      <x:c r="CA431" s="115"/>
      <x:c r="CB431" s="116"/>
      <x:c r="CC431" s="141" t="str">
        <x:f>IF(COUNT(G431:P431)=0,"",AVERAGE(G431:P431)*4)</x:f>
      </x:c>
      <x:c r="CD431" s="178" t="str">
        <x:f>IF(COUNT(Q431:Z431)=0,"",AVERAGE(Q431:Z431)*4)</x:f>
      </x:c>
      <x:c r="CE431" s="178" t="str">
        <x:f>IF(COUNT(AA431:AJ431)=0,"",AVERAGE(AA431:AJ431)*4)</x:f>
      </x:c>
      <x:c r="CF431" s="178" t="str">
        <x:f>IF(COUNT(AK431:AR431)=0,"",AVERAGE(AK431:AR431)*4)</x:f>
      </x:c>
      <x:c r="CG431" s="178" t="str">
        <x:f>IF(COUNT(AS431:AY431)=0,"",AVERAGE(AS431:AY431)*4)</x:f>
      </x:c>
      <x:c r="CH431" s="178" t="str">
        <x:f>IF(COUNT(AZ431:BG431)=0,"",AVERAGE(AZ431:BG431)*4)</x:f>
      </x:c>
      <x:c r="CI431" s="178" t="str">
        <x:f>IF(COUNT(BH431:BN431)=0,"",AVERAGE(BH431:BN431)*4)</x:f>
      </x:c>
      <x:c r="CJ431" s="178" t="str">
        <x:f>IF(COUNT(BO431:BU431)=0,"",AVERAGE(BO431:BU431)*4)</x:f>
      </x:c>
      <x:c r="CK431" s="178" t="str">
        <x:f>IF(COUNT(BV431:CB431)=0,"",AVERAGE(BV431:CB431)*4)</x:f>
      </x:c>
      <x:c r="CL431" s="178" t="str">
        <x:f>IF(C431="","",IF(COUNT(G431:CB431)&lt;74,"",(CC431*'تنظیمات وزن‌دهی'!$C$5+CD431*'تنظیمات وزن‌دهی'!$C$6+CE431*'تنظیمات وزن‌دهی'!$C$7+CF431*'تنظیمات وزن‌دهی'!$C$8+CG431*'تنظیمات وزن‌دهی'!$C$9+CH431*'تنظیمات وزن‌دهی'!$C$10+CI431*'تنظیمات وزن‌دهی'!$C$11+CJ431*'تنظیمات وزن‌دهی'!$C$12+CK431*'تنظیمات وزن‌دهی'!$C$13)/100))</x:f>
      </x:c>
      <x:c r="CM431" s="178" t="str">
        <x:f>IF(C431="","",IF(COUNT(G431:CB431)=0,"",IF(COUNT(G431:CB431)&lt;74,"موقت - اطلاعات ناقص",IF(CL431&gt;=17,"عالی",IF(CL431&gt;=14,"خوب",IF(CL431&gt;=10,"متوسط","ضعیف"))))))</x:f>
      </x:c>
      <x:c r="CN431" s="178" t="n">
        <x:v>7</x:v>
      </x:c>
      <x:c r="CO431" s="142" t="n">
        <x:f>IF(C431="","",COUNT(G431:CB431)/74)</x:f>
        <x:v>0</x:v>
      </x:c>
      <x:c r="CP431" s="245"/>
    </x:row>
    <x:row r="432">
      <x:c r="A432" s="165" t="n">
        <x:v>428</x:v>
      </x:c>
      <x:c r="B432" s="233" t="str">
        <x:v>بهمن</x:v>
      </x:c>
      <x:c r="C432" s="233" t="n">
        <x:f>IF('دانش‌آموزان'!E40="","",'دانش‌آموزان'!B40)</x:f>
        <x:v>36</x:v>
      </x:c>
      <x:c r="D432" s="233" t="str">
        <x:f>IF('دانش‌آموزان'!C40="","",'دانش‌آموزان'!C40)</x:f>
        <x:v>4000000365</x:v>
      </x:c>
      <x:c r="E432" s="233" t="str">
        <x:f>IF('دانش‌آموزان'!E40="","",'دانش‌آموزان'!E40&amp;" "&amp;'دانش‌آموزان'!F40)</x:f>
        <x:v>نازنین مرادی</x:v>
      </x:c>
      <x:c r="F432" s="166" t="str">
        <x:f>IF('دانش‌آموزان'!I40="","",'دانش‌آموزان'!I40)</x:f>
        <x:v>sample-7-b</x:v>
      </x:c>
      <x:c r="G432" s="114"/>
      <x:c r="H432" s="115"/>
      <x:c r="I432" s="115"/>
      <x:c r="J432" s="115"/>
      <x:c r="K432" s="115"/>
      <x:c r="L432" s="115"/>
      <x:c r="M432" s="115"/>
      <x:c r="N432" s="115"/>
      <x:c r="O432" s="115"/>
      <x:c r="P432" s="115"/>
      <x:c r="Q432" s="115"/>
      <x:c r="R432" s="115"/>
      <x:c r="S432" s="115"/>
      <x:c r="T432" s="115"/>
      <x:c r="U432" s="115"/>
      <x:c r="V432" s="115"/>
      <x:c r="W432" s="115"/>
      <x:c r="X432" s="115"/>
      <x:c r="Y432" s="115"/>
      <x:c r="Z432" s="115"/>
      <x:c r="AA432" s="115"/>
      <x:c r="AB432" s="115"/>
      <x:c r="AC432" s="115"/>
      <x:c r="AD432" s="115"/>
      <x:c r="AE432" s="115"/>
      <x:c r="AF432" s="115"/>
      <x:c r="AG432" s="115"/>
      <x:c r="AH432" s="115"/>
      <x:c r="AI432" s="115"/>
      <x:c r="AJ432" s="115"/>
      <x:c r="AK432" s="115"/>
      <x:c r="AL432" s="115"/>
      <x:c r="AM432" s="115"/>
      <x:c r="AN432" s="115"/>
      <x:c r="AO432" s="115"/>
      <x:c r="AP432" s="115"/>
      <x:c r="AQ432" s="115"/>
      <x:c r="AR432" s="115"/>
      <x:c r="AS432" s="115"/>
      <x:c r="AT432" s="115"/>
      <x:c r="AU432" s="115"/>
      <x:c r="AV432" s="115"/>
      <x:c r="AW432" s="115"/>
      <x:c r="AX432" s="115"/>
      <x:c r="AY432" s="115"/>
      <x:c r="AZ432" s="115"/>
      <x:c r="BA432" s="115"/>
      <x:c r="BB432" s="115"/>
      <x:c r="BC432" s="115"/>
      <x:c r="BD432" s="115"/>
      <x:c r="BE432" s="115"/>
      <x:c r="BF432" s="115"/>
      <x:c r="BG432" s="115"/>
      <x:c r="BH432" s="115"/>
      <x:c r="BI432" s="115"/>
      <x:c r="BJ432" s="115"/>
      <x:c r="BK432" s="115"/>
      <x:c r="BL432" s="115"/>
      <x:c r="BM432" s="115"/>
      <x:c r="BN432" s="115"/>
      <x:c r="BO432" s="115"/>
      <x:c r="BP432" s="115"/>
      <x:c r="BQ432" s="115"/>
      <x:c r="BR432" s="115"/>
      <x:c r="BS432" s="115"/>
      <x:c r="BT432" s="115"/>
      <x:c r="BU432" s="115"/>
      <x:c r="BV432" s="115"/>
      <x:c r="BW432" s="115"/>
      <x:c r="BX432" s="115"/>
      <x:c r="BY432" s="115"/>
      <x:c r="BZ432" s="115"/>
      <x:c r="CA432" s="115"/>
      <x:c r="CB432" s="116"/>
      <x:c r="CC432" s="141" t="str">
        <x:f>IF(COUNT(G432:P432)=0,"",AVERAGE(G432:P432)*4)</x:f>
      </x:c>
      <x:c r="CD432" s="178" t="str">
        <x:f>IF(COUNT(Q432:Z432)=0,"",AVERAGE(Q432:Z432)*4)</x:f>
      </x:c>
      <x:c r="CE432" s="178" t="str">
        <x:f>IF(COUNT(AA432:AJ432)=0,"",AVERAGE(AA432:AJ432)*4)</x:f>
      </x:c>
      <x:c r="CF432" s="178" t="str">
        <x:f>IF(COUNT(AK432:AR432)=0,"",AVERAGE(AK432:AR432)*4)</x:f>
      </x:c>
      <x:c r="CG432" s="178" t="str">
        <x:f>IF(COUNT(AS432:AY432)=0,"",AVERAGE(AS432:AY432)*4)</x:f>
      </x:c>
      <x:c r="CH432" s="178" t="str">
        <x:f>IF(COUNT(AZ432:BG432)=0,"",AVERAGE(AZ432:BG432)*4)</x:f>
      </x:c>
      <x:c r="CI432" s="178" t="str">
        <x:f>IF(COUNT(BH432:BN432)=0,"",AVERAGE(BH432:BN432)*4)</x:f>
      </x:c>
      <x:c r="CJ432" s="178" t="str">
        <x:f>IF(COUNT(BO432:BU432)=0,"",AVERAGE(BO432:BU432)*4)</x:f>
      </x:c>
      <x:c r="CK432" s="178" t="str">
        <x:f>IF(COUNT(BV432:CB432)=0,"",AVERAGE(BV432:CB432)*4)</x:f>
      </x:c>
      <x:c r="CL432" s="178" t="str">
        <x:f>IF(C432="","",IF(COUNT(G432:CB432)&lt;74,"",(CC432*'تنظیمات وزن‌دهی'!$C$5+CD432*'تنظیمات وزن‌دهی'!$C$6+CE432*'تنظیمات وزن‌دهی'!$C$7+CF432*'تنظیمات وزن‌دهی'!$C$8+CG432*'تنظیمات وزن‌دهی'!$C$9+CH432*'تنظیمات وزن‌دهی'!$C$10+CI432*'تنظیمات وزن‌دهی'!$C$11+CJ432*'تنظیمات وزن‌دهی'!$C$12+CK432*'تنظیمات وزن‌دهی'!$C$13)/100))</x:f>
      </x:c>
      <x:c r="CM432" s="178" t="str">
        <x:f>IF(C432="","",IF(COUNT(G432:CB432)=0,"",IF(COUNT(G432:CB432)&lt;74,"موقت - اطلاعات ناقص",IF(CL432&gt;=17,"عالی",IF(CL432&gt;=14,"خوب",IF(CL432&gt;=10,"متوسط","ضعیف"))))))</x:f>
      </x:c>
      <x:c r="CN432" s="178" t="n">
        <x:v>8</x:v>
      </x:c>
      <x:c r="CO432" s="142" t="n">
        <x:f>IF(C432="","",COUNT(G432:CB432)/74)</x:f>
        <x:v>0</x:v>
      </x:c>
      <x:c r="CP432" s="245"/>
    </x:row>
    <x:row r="433">
      <x:c r="A433" s="165" t="n">
        <x:v>429</x:v>
      </x:c>
      <x:c r="B433" s="233" t="str">
        <x:v>اسفند</x:v>
      </x:c>
      <x:c r="C433" s="233" t="n">
        <x:f>IF('دانش‌آموزان'!E40="","",'دانش‌آموزان'!B40)</x:f>
        <x:v>36</x:v>
      </x:c>
      <x:c r="D433" s="233" t="str">
        <x:f>IF('دانش‌آموزان'!C40="","",'دانش‌آموزان'!C40)</x:f>
        <x:v>4000000365</x:v>
      </x:c>
      <x:c r="E433" s="233" t="str">
        <x:f>IF('دانش‌آموزان'!E40="","",'دانش‌آموزان'!E40&amp;" "&amp;'دانش‌آموزان'!F40)</x:f>
        <x:v>نازنین مرادی</x:v>
      </x:c>
      <x:c r="F433" s="166" t="str">
        <x:f>IF('دانش‌آموزان'!I40="","",'دانش‌آموزان'!I40)</x:f>
        <x:v>sample-7-b</x:v>
      </x:c>
      <x:c r="G433" s="114"/>
      <x:c r="H433" s="115"/>
      <x:c r="I433" s="115"/>
      <x:c r="J433" s="115"/>
      <x:c r="K433" s="115"/>
      <x:c r="L433" s="115"/>
      <x:c r="M433" s="115"/>
      <x:c r="N433" s="115"/>
      <x:c r="O433" s="115"/>
      <x:c r="P433" s="115"/>
      <x:c r="Q433" s="115"/>
      <x:c r="R433" s="115"/>
      <x:c r="S433" s="115"/>
      <x:c r="T433" s="115"/>
      <x:c r="U433" s="115"/>
      <x:c r="V433" s="115"/>
      <x:c r="W433" s="115"/>
      <x:c r="X433" s="115"/>
      <x:c r="Y433" s="115"/>
      <x:c r="Z433" s="115"/>
      <x:c r="AA433" s="115"/>
      <x:c r="AB433" s="115"/>
      <x:c r="AC433" s="115"/>
      <x:c r="AD433" s="115"/>
      <x:c r="AE433" s="115"/>
      <x:c r="AF433" s="115"/>
      <x:c r="AG433" s="115"/>
      <x:c r="AH433" s="115"/>
      <x:c r="AI433" s="115"/>
      <x:c r="AJ433" s="115"/>
      <x:c r="AK433" s="115"/>
      <x:c r="AL433" s="115"/>
      <x:c r="AM433" s="115"/>
      <x:c r="AN433" s="115"/>
      <x:c r="AO433" s="115"/>
      <x:c r="AP433" s="115"/>
      <x:c r="AQ433" s="115"/>
      <x:c r="AR433" s="115"/>
      <x:c r="AS433" s="115"/>
      <x:c r="AT433" s="115"/>
      <x:c r="AU433" s="115"/>
      <x:c r="AV433" s="115"/>
      <x:c r="AW433" s="115"/>
      <x:c r="AX433" s="115"/>
      <x:c r="AY433" s="115"/>
      <x:c r="AZ433" s="115"/>
      <x:c r="BA433" s="115"/>
      <x:c r="BB433" s="115"/>
      <x:c r="BC433" s="115"/>
      <x:c r="BD433" s="115"/>
      <x:c r="BE433" s="115"/>
      <x:c r="BF433" s="115"/>
      <x:c r="BG433" s="115"/>
      <x:c r="BH433" s="115"/>
      <x:c r="BI433" s="115"/>
      <x:c r="BJ433" s="115"/>
      <x:c r="BK433" s="115"/>
      <x:c r="BL433" s="115"/>
      <x:c r="BM433" s="115"/>
      <x:c r="BN433" s="115"/>
      <x:c r="BO433" s="115"/>
      <x:c r="BP433" s="115"/>
      <x:c r="BQ433" s="115"/>
      <x:c r="BR433" s="115"/>
      <x:c r="BS433" s="115"/>
      <x:c r="BT433" s="115"/>
      <x:c r="BU433" s="115"/>
      <x:c r="BV433" s="115"/>
      <x:c r="BW433" s="115"/>
      <x:c r="BX433" s="115"/>
      <x:c r="BY433" s="115"/>
      <x:c r="BZ433" s="115"/>
      <x:c r="CA433" s="115"/>
      <x:c r="CB433" s="116"/>
      <x:c r="CC433" s="141" t="str">
        <x:f>IF(COUNT(G433:P433)=0,"",AVERAGE(G433:P433)*4)</x:f>
      </x:c>
      <x:c r="CD433" s="178" t="str">
        <x:f>IF(COUNT(Q433:Z433)=0,"",AVERAGE(Q433:Z433)*4)</x:f>
      </x:c>
      <x:c r="CE433" s="178" t="str">
        <x:f>IF(COUNT(AA433:AJ433)=0,"",AVERAGE(AA433:AJ433)*4)</x:f>
      </x:c>
      <x:c r="CF433" s="178" t="str">
        <x:f>IF(COUNT(AK433:AR433)=0,"",AVERAGE(AK433:AR433)*4)</x:f>
      </x:c>
      <x:c r="CG433" s="178" t="str">
        <x:f>IF(COUNT(AS433:AY433)=0,"",AVERAGE(AS433:AY433)*4)</x:f>
      </x:c>
      <x:c r="CH433" s="178" t="str">
        <x:f>IF(COUNT(AZ433:BG433)=0,"",AVERAGE(AZ433:BG433)*4)</x:f>
      </x:c>
      <x:c r="CI433" s="178" t="str">
        <x:f>IF(COUNT(BH433:BN433)=0,"",AVERAGE(BH433:BN433)*4)</x:f>
      </x:c>
      <x:c r="CJ433" s="178" t="str">
        <x:f>IF(COUNT(BO433:BU433)=0,"",AVERAGE(BO433:BU433)*4)</x:f>
      </x:c>
      <x:c r="CK433" s="178" t="str">
        <x:f>IF(COUNT(BV433:CB433)=0,"",AVERAGE(BV433:CB433)*4)</x:f>
      </x:c>
      <x:c r="CL433" s="178" t="str">
        <x:f>IF(C433="","",IF(COUNT(G433:CB433)&lt;74,"",(CC433*'تنظیمات وزن‌دهی'!$C$5+CD433*'تنظیمات وزن‌دهی'!$C$6+CE433*'تنظیمات وزن‌دهی'!$C$7+CF433*'تنظیمات وزن‌دهی'!$C$8+CG433*'تنظیمات وزن‌دهی'!$C$9+CH433*'تنظیمات وزن‌دهی'!$C$10+CI433*'تنظیمات وزن‌دهی'!$C$11+CJ433*'تنظیمات وزن‌دهی'!$C$12+CK433*'تنظیمات وزن‌دهی'!$C$13)/100))</x:f>
      </x:c>
      <x:c r="CM433" s="178" t="str">
        <x:f>IF(C433="","",IF(COUNT(G433:CB433)=0,"",IF(COUNT(G433:CB433)&lt;74,"موقت - اطلاعات ناقص",IF(CL433&gt;=17,"عالی",IF(CL433&gt;=14,"خوب",IF(CL433&gt;=10,"متوسط","ضعیف"))))))</x:f>
      </x:c>
      <x:c r="CN433" s="178" t="n">
        <x:v>9</x:v>
      </x:c>
      <x:c r="CO433" s="142" t="n">
        <x:f>IF(C433="","",COUNT(G433:CB433)/74)</x:f>
        <x:v>0</x:v>
      </x:c>
      <x:c r="CP433" s="245"/>
    </x:row>
    <x:row r="434">
      <x:c r="A434" s="165" t="n">
        <x:v>430</x:v>
      </x:c>
      <x:c r="B434" s="233" t="str">
        <x:v>فروردین</x:v>
      </x:c>
      <x:c r="C434" s="233" t="n">
        <x:f>IF('دانش‌آموزان'!E40="","",'دانش‌آموزان'!B40)</x:f>
        <x:v>36</x:v>
      </x:c>
      <x:c r="D434" s="233" t="str">
        <x:f>IF('دانش‌آموزان'!C40="","",'دانش‌آموزان'!C40)</x:f>
        <x:v>4000000365</x:v>
      </x:c>
      <x:c r="E434" s="233" t="str">
        <x:f>IF('دانش‌آموزان'!E40="","",'دانش‌آموزان'!E40&amp;" "&amp;'دانش‌آموزان'!F40)</x:f>
        <x:v>نازنین مرادی</x:v>
      </x:c>
      <x:c r="F434" s="166" t="str">
        <x:f>IF('دانش‌آموزان'!I40="","",'دانش‌آموزان'!I40)</x:f>
        <x:v>sample-7-b</x:v>
      </x:c>
      <x:c r="G434" s="114"/>
      <x:c r="H434" s="115"/>
      <x:c r="I434" s="115"/>
      <x:c r="J434" s="115"/>
      <x:c r="K434" s="115"/>
      <x:c r="L434" s="115"/>
      <x:c r="M434" s="115"/>
      <x:c r="N434" s="115"/>
      <x:c r="O434" s="115"/>
      <x:c r="P434" s="115"/>
      <x:c r="Q434" s="115"/>
      <x:c r="R434" s="115"/>
      <x:c r="S434" s="115"/>
      <x:c r="T434" s="115"/>
      <x:c r="U434" s="115"/>
      <x:c r="V434" s="115"/>
      <x:c r="W434" s="115"/>
      <x:c r="X434" s="115"/>
      <x:c r="Y434" s="115"/>
      <x:c r="Z434" s="115"/>
      <x:c r="AA434" s="115"/>
      <x:c r="AB434" s="115"/>
      <x:c r="AC434" s="115"/>
      <x:c r="AD434" s="115"/>
      <x:c r="AE434" s="115"/>
      <x:c r="AF434" s="115"/>
      <x:c r="AG434" s="115"/>
      <x:c r="AH434" s="115"/>
      <x:c r="AI434" s="115"/>
      <x:c r="AJ434" s="115"/>
      <x:c r="AK434" s="115"/>
      <x:c r="AL434" s="115"/>
      <x:c r="AM434" s="115"/>
      <x:c r="AN434" s="115"/>
      <x:c r="AO434" s="115"/>
      <x:c r="AP434" s="115"/>
      <x:c r="AQ434" s="115"/>
      <x:c r="AR434" s="115"/>
      <x:c r="AS434" s="115"/>
      <x:c r="AT434" s="115"/>
      <x:c r="AU434" s="115"/>
      <x:c r="AV434" s="115"/>
      <x:c r="AW434" s="115"/>
      <x:c r="AX434" s="115"/>
      <x:c r="AY434" s="115"/>
      <x:c r="AZ434" s="115"/>
      <x:c r="BA434" s="115"/>
      <x:c r="BB434" s="115"/>
      <x:c r="BC434" s="115"/>
      <x:c r="BD434" s="115"/>
      <x:c r="BE434" s="115"/>
      <x:c r="BF434" s="115"/>
      <x:c r="BG434" s="115"/>
      <x:c r="BH434" s="115"/>
      <x:c r="BI434" s="115"/>
      <x:c r="BJ434" s="115"/>
      <x:c r="BK434" s="115"/>
      <x:c r="BL434" s="115"/>
      <x:c r="BM434" s="115"/>
      <x:c r="BN434" s="115"/>
      <x:c r="BO434" s="115"/>
      <x:c r="BP434" s="115"/>
      <x:c r="BQ434" s="115"/>
      <x:c r="BR434" s="115"/>
      <x:c r="BS434" s="115"/>
      <x:c r="BT434" s="115"/>
      <x:c r="BU434" s="115"/>
      <x:c r="BV434" s="115"/>
      <x:c r="BW434" s="115"/>
      <x:c r="BX434" s="115"/>
      <x:c r="BY434" s="115"/>
      <x:c r="BZ434" s="115"/>
      <x:c r="CA434" s="115"/>
      <x:c r="CB434" s="116"/>
      <x:c r="CC434" s="141" t="str">
        <x:f>IF(COUNT(G434:P434)=0,"",AVERAGE(G434:P434)*4)</x:f>
      </x:c>
      <x:c r="CD434" s="178" t="str">
        <x:f>IF(COUNT(Q434:Z434)=0,"",AVERAGE(Q434:Z434)*4)</x:f>
      </x:c>
      <x:c r="CE434" s="178" t="str">
        <x:f>IF(COUNT(AA434:AJ434)=0,"",AVERAGE(AA434:AJ434)*4)</x:f>
      </x:c>
      <x:c r="CF434" s="178" t="str">
        <x:f>IF(COUNT(AK434:AR434)=0,"",AVERAGE(AK434:AR434)*4)</x:f>
      </x:c>
      <x:c r="CG434" s="178" t="str">
        <x:f>IF(COUNT(AS434:AY434)=0,"",AVERAGE(AS434:AY434)*4)</x:f>
      </x:c>
      <x:c r="CH434" s="178" t="str">
        <x:f>IF(COUNT(AZ434:BG434)=0,"",AVERAGE(AZ434:BG434)*4)</x:f>
      </x:c>
      <x:c r="CI434" s="178" t="str">
        <x:f>IF(COUNT(BH434:BN434)=0,"",AVERAGE(BH434:BN434)*4)</x:f>
      </x:c>
      <x:c r="CJ434" s="178" t="str">
        <x:f>IF(COUNT(BO434:BU434)=0,"",AVERAGE(BO434:BU434)*4)</x:f>
      </x:c>
      <x:c r="CK434" s="178" t="str">
        <x:f>IF(COUNT(BV434:CB434)=0,"",AVERAGE(BV434:CB434)*4)</x:f>
      </x:c>
      <x:c r="CL434" s="178" t="str">
        <x:f>IF(C434="","",IF(COUNT(G434:CB434)&lt;74,"",(CC434*'تنظیمات وزن‌دهی'!$C$5+CD434*'تنظیمات وزن‌دهی'!$C$6+CE434*'تنظیمات وزن‌دهی'!$C$7+CF434*'تنظیمات وزن‌دهی'!$C$8+CG434*'تنظیمات وزن‌دهی'!$C$9+CH434*'تنظیمات وزن‌دهی'!$C$10+CI434*'تنظیمات وزن‌دهی'!$C$11+CJ434*'تنظیمات وزن‌دهی'!$C$12+CK434*'تنظیمات وزن‌دهی'!$C$13)/100))</x:f>
      </x:c>
      <x:c r="CM434" s="178" t="str">
        <x:f>IF(C434="","",IF(COUNT(G434:CB434)=0,"",IF(COUNT(G434:CB434)&lt;74,"موقت - اطلاعات ناقص",IF(CL434&gt;=17,"عالی",IF(CL434&gt;=14,"خوب",IF(CL434&gt;=10,"متوسط","ضعیف"))))))</x:f>
      </x:c>
      <x:c r="CN434" s="178" t="n">
        <x:v>10</x:v>
      </x:c>
      <x:c r="CO434" s="142" t="n">
        <x:f>IF(C434="","",COUNT(G434:CB434)/74)</x:f>
        <x:v>0</x:v>
      </x:c>
      <x:c r="CP434" s="245"/>
    </x:row>
    <x:row r="435">
      <x:c r="A435" s="165" t="n">
        <x:v>431</x:v>
      </x:c>
      <x:c r="B435" s="233" t="str">
        <x:v>اردیبهشت</x:v>
      </x:c>
      <x:c r="C435" s="233" t="n">
        <x:f>IF('دانش‌آموزان'!E40="","",'دانش‌آموزان'!B40)</x:f>
        <x:v>36</x:v>
      </x:c>
      <x:c r="D435" s="233" t="str">
        <x:f>IF('دانش‌آموزان'!C40="","",'دانش‌آموزان'!C40)</x:f>
        <x:v>4000000365</x:v>
      </x:c>
      <x:c r="E435" s="233" t="str">
        <x:f>IF('دانش‌آموزان'!E40="","",'دانش‌آموزان'!E40&amp;" "&amp;'دانش‌آموزان'!F40)</x:f>
        <x:v>نازنین مرادی</x:v>
      </x:c>
      <x:c r="F435" s="166" t="str">
        <x:f>IF('دانش‌آموزان'!I40="","",'دانش‌آموزان'!I40)</x:f>
        <x:v>sample-7-b</x:v>
      </x:c>
      <x:c r="G435" s="114"/>
      <x:c r="H435" s="115"/>
      <x:c r="I435" s="115"/>
      <x:c r="J435" s="115"/>
      <x:c r="K435" s="115"/>
      <x:c r="L435" s="115"/>
      <x:c r="M435" s="115"/>
      <x:c r="N435" s="115"/>
      <x:c r="O435" s="115"/>
      <x:c r="P435" s="115"/>
      <x:c r="Q435" s="115"/>
      <x:c r="R435" s="115"/>
      <x:c r="S435" s="115"/>
      <x:c r="T435" s="115"/>
      <x:c r="U435" s="115"/>
      <x:c r="V435" s="115"/>
      <x:c r="W435" s="115"/>
      <x:c r="X435" s="115"/>
      <x:c r="Y435" s="115"/>
      <x:c r="Z435" s="115"/>
      <x:c r="AA435" s="115"/>
      <x:c r="AB435" s="115"/>
      <x:c r="AC435" s="115"/>
      <x:c r="AD435" s="115"/>
      <x:c r="AE435" s="115"/>
      <x:c r="AF435" s="115"/>
      <x:c r="AG435" s="115"/>
      <x:c r="AH435" s="115"/>
      <x:c r="AI435" s="115"/>
      <x:c r="AJ435" s="115"/>
      <x:c r="AK435" s="115"/>
      <x:c r="AL435" s="115"/>
      <x:c r="AM435" s="115"/>
      <x:c r="AN435" s="115"/>
      <x:c r="AO435" s="115"/>
      <x:c r="AP435" s="115"/>
      <x:c r="AQ435" s="115"/>
      <x:c r="AR435" s="115"/>
      <x:c r="AS435" s="115"/>
      <x:c r="AT435" s="115"/>
      <x:c r="AU435" s="115"/>
      <x:c r="AV435" s="115"/>
      <x:c r="AW435" s="115"/>
      <x:c r="AX435" s="115"/>
      <x:c r="AY435" s="115"/>
      <x:c r="AZ435" s="115"/>
      <x:c r="BA435" s="115"/>
      <x:c r="BB435" s="115"/>
      <x:c r="BC435" s="115"/>
      <x:c r="BD435" s="115"/>
      <x:c r="BE435" s="115"/>
      <x:c r="BF435" s="115"/>
      <x:c r="BG435" s="115"/>
      <x:c r="BH435" s="115"/>
      <x:c r="BI435" s="115"/>
      <x:c r="BJ435" s="115"/>
      <x:c r="BK435" s="115"/>
      <x:c r="BL435" s="115"/>
      <x:c r="BM435" s="115"/>
      <x:c r="BN435" s="115"/>
      <x:c r="BO435" s="115"/>
      <x:c r="BP435" s="115"/>
      <x:c r="BQ435" s="115"/>
      <x:c r="BR435" s="115"/>
      <x:c r="BS435" s="115"/>
      <x:c r="BT435" s="115"/>
      <x:c r="BU435" s="115"/>
      <x:c r="BV435" s="115"/>
      <x:c r="BW435" s="115"/>
      <x:c r="BX435" s="115"/>
      <x:c r="BY435" s="115"/>
      <x:c r="BZ435" s="115"/>
      <x:c r="CA435" s="115"/>
      <x:c r="CB435" s="116"/>
      <x:c r="CC435" s="141" t="str">
        <x:f>IF(COUNT(G435:P435)=0,"",AVERAGE(G435:P435)*4)</x:f>
      </x:c>
      <x:c r="CD435" s="178" t="str">
        <x:f>IF(COUNT(Q435:Z435)=0,"",AVERAGE(Q435:Z435)*4)</x:f>
      </x:c>
      <x:c r="CE435" s="178" t="str">
        <x:f>IF(COUNT(AA435:AJ435)=0,"",AVERAGE(AA435:AJ435)*4)</x:f>
      </x:c>
      <x:c r="CF435" s="178" t="str">
        <x:f>IF(COUNT(AK435:AR435)=0,"",AVERAGE(AK435:AR435)*4)</x:f>
      </x:c>
      <x:c r="CG435" s="178" t="str">
        <x:f>IF(COUNT(AS435:AY435)=0,"",AVERAGE(AS435:AY435)*4)</x:f>
      </x:c>
      <x:c r="CH435" s="178" t="str">
        <x:f>IF(COUNT(AZ435:BG435)=0,"",AVERAGE(AZ435:BG435)*4)</x:f>
      </x:c>
      <x:c r="CI435" s="178" t="str">
        <x:f>IF(COUNT(BH435:BN435)=0,"",AVERAGE(BH435:BN435)*4)</x:f>
      </x:c>
      <x:c r="CJ435" s="178" t="str">
        <x:f>IF(COUNT(BO435:BU435)=0,"",AVERAGE(BO435:BU435)*4)</x:f>
      </x:c>
      <x:c r="CK435" s="178" t="str">
        <x:f>IF(COUNT(BV435:CB435)=0,"",AVERAGE(BV435:CB435)*4)</x:f>
      </x:c>
      <x:c r="CL435" s="178" t="str">
        <x:f>IF(C435="","",IF(COUNT(G435:CB435)&lt;74,"",(CC435*'تنظیمات وزن‌دهی'!$C$5+CD435*'تنظیمات وزن‌دهی'!$C$6+CE435*'تنظیمات وزن‌دهی'!$C$7+CF435*'تنظیمات وزن‌دهی'!$C$8+CG435*'تنظیمات وزن‌دهی'!$C$9+CH435*'تنظیمات وزن‌دهی'!$C$10+CI435*'تنظیمات وزن‌دهی'!$C$11+CJ435*'تنظیمات وزن‌دهی'!$C$12+CK435*'تنظیمات وزن‌دهی'!$C$13)/100))</x:f>
      </x:c>
      <x:c r="CM435" s="178" t="str">
        <x:f>IF(C435="","",IF(COUNT(G435:CB435)=0,"",IF(COUNT(G435:CB435)&lt;74,"موقت - اطلاعات ناقص",IF(CL435&gt;=17,"عالی",IF(CL435&gt;=14,"خوب",IF(CL435&gt;=10,"متوسط","ضعیف"))))))</x:f>
      </x:c>
      <x:c r="CN435" s="178" t="n">
        <x:v>11</x:v>
      </x:c>
      <x:c r="CO435" s="142" t="n">
        <x:f>IF(C435="","",COUNT(G435:CB435)/74)</x:f>
        <x:v>0</x:v>
      </x:c>
      <x:c r="CP435" s="245"/>
    </x:row>
    <x:row r="436">
      <x:c r="A436" s="165" t="n">
        <x:v>432</x:v>
      </x:c>
      <x:c r="B436" s="233" t="str">
        <x:v>خرداد</x:v>
      </x:c>
      <x:c r="C436" s="233" t="n">
        <x:f>IF('دانش‌آموزان'!E40="","",'دانش‌آموزان'!B40)</x:f>
        <x:v>36</x:v>
      </x:c>
      <x:c r="D436" s="233" t="str">
        <x:f>IF('دانش‌آموزان'!C40="","",'دانش‌آموزان'!C40)</x:f>
        <x:v>4000000365</x:v>
      </x:c>
      <x:c r="E436" s="233" t="str">
        <x:f>IF('دانش‌آموزان'!E40="","",'دانش‌آموزان'!E40&amp;" "&amp;'دانش‌آموزان'!F40)</x:f>
        <x:v>نازنین مرادی</x:v>
      </x:c>
      <x:c r="F436" s="166" t="str">
        <x:f>IF('دانش‌آموزان'!I40="","",'دانش‌آموزان'!I40)</x:f>
        <x:v>sample-7-b</x:v>
      </x:c>
      <x:c r="G436" s="114"/>
      <x:c r="H436" s="115"/>
      <x:c r="I436" s="115"/>
      <x:c r="J436" s="115"/>
      <x:c r="K436" s="115"/>
      <x:c r="L436" s="115"/>
      <x:c r="M436" s="115"/>
      <x:c r="N436" s="115"/>
      <x:c r="O436" s="115"/>
      <x:c r="P436" s="115"/>
      <x:c r="Q436" s="115"/>
      <x:c r="R436" s="115"/>
      <x:c r="S436" s="115"/>
      <x:c r="T436" s="115"/>
      <x:c r="U436" s="115"/>
      <x:c r="V436" s="115"/>
      <x:c r="W436" s="115"/>
      <x:c r="X436" s="115"/>
      <x:c r="Y436" s="115"/>
      <x:c r="Z436" s="115"/>
      <x:c r="AA436" s="115"/>
      <x:c r="AB436" s="115"/>
      <x:c r="AC436" s="115"/>
      <x:c r="AD436" s="115"/>
      <x:c r="AE436" s="115"/>
      <x:c r="AF436" s="115"/>
      <x:c r="AG436" s="115"/>
      <x:c r="AH436" s="115"/>
      <x:c r="AI436" s="115"/>
      <x:c r="AJ436" s="115"/>
      <x:c r="AK436" s="115"/>
      <x:c r="AL436" s="115"/>
      <x:c r="AM436" s="115"/>
      <x:c r="AN436" s="115"/>
      <x:c r="AO436" s="115"/>
      <x:c r="AP436" s="115"/>
      <x:c r="AQ436" s="115"/>
      <x:c r="AR436" s="115"/>
      <x:c r="AS436" s="115"/>
      <x:c r="AT436" s="115"/>
      <x:c r="AU436" s="115"/>
      <x:c r="AV436" s="115"/>
      <x:c r="AW436" s="115"/>
      <x:c r="AX436" s="115"/>
      <x:c r="AY436" s="115"/>
      <x:c r="AZ436" s="115"/>
      <x:c r="BA436" s="115"/>
      <x:c r="BB436" s="115"/>
      <x:c r="BC436" s="115"/>
      <x:c r="BD436" s="115"/>
      <x:c r="BE436" s="115"/>
      <x:c r="BF436" s="115"/>
      <x:c r="BG436" s="115"/>
      <x:c r="BH436" s="115"/>
      <x:c r="BI436" s="115"/>
      <x:c r="BJ436" s="115"/>
      <x:c r="BK436" s="115"/>
      <x:c r="BL436" s="115"/>
      <x:c r="BM436" s="115"/>
      <x:c r="BN436" s="115"/>
      <x:c r="BO436" s="115"/>
      <x:c r="BP436" s="115"/>
      <x:c r="BQ436" s="115"/>
      <x:c r="BR436" s="115"/>
      <x:c r="BS436" s="115"/>
      <x:c r="BT436" s="115"/>
      <x:c r="BU436" s="115"/>
      <x:c r="BV436" s="115"/>
      <x:c r="BW436" s="115"/>
      <x:c r="BX436" s="115"/>
      <x:c r="BY436" s="115"/>
      <x:c r="BZ436" s="115"/>
      <x:c r="CA436" s="115"/>
      <x:c r="CB436" s="116"/>
      <x:c r="CC436" s="141" t="str">
        <x:f>IF(COUNT(G436:P436)=0,"",AVERAGE(G436:P436)*4)</x:f>
      </x:c>
      <x:c r="CD436" s="178" t="str">
        <x:f>IF(COUNT(Q436:Z436)=0,"",AVERAGE(Q436:Z436)*4)</x:f>
      </x:c>
      <x:c r="CE436" s="178" t="str">
        <x:f>IF(COUNT(AA436:AJ436)=0,"",AVERAGE(AA436:AJ436)*4)</x:f>
      </x:c>
      <x:c r="CF436" s="178" t="str">
        <x:f>IF(COUNT(AK436:AR436)=0,"",AVERAGE(AK436:AR436)*4)</x:f>
      </x:c>
      <x:c r="CG436" s="178" t="str">
        <x:f>IF(COUNT(AS436:AY436)=0,"",AVERAGE(AS436:AY436)*4)</x:f>
      </x:c>
      <x:c r="CH436" s="178" t="str">
        <x:f>IF(COUNT(AZ436:BG436)=0,"",AVERAGE(AZ436:BG436)*4)</x:f>
      </x:c>
      <x:c r="CI436" s="178" t="str">
        <x:f>IF(COUNT(BH436:BN436)=0,"",AVERAGE(BH436:BN436)*4)</x:f>
      </x:c>
      <x:c r="CJ436" s="178" t="str">
        <x:f>IF(COUNT(BO436:BU436)=0,"",AVERAGE(BO436:BU436)*4)</x:f>
      </x:c>
      <x:c r="CK436" s="178" t="str">
        <x:f>IF(COUNT(BV436:CB436)=0,"",AVERAGE(BV436:CB436)*4)</x:f>
      </x:c>
      <x:c r="CL436" s="178" t="str">
        <x:f>IF(C436="","",IF(COUNT(G436:CB436)&lt;74,"",(CC436*'تنظیمات وزن‌دهی'!$C$5+CD436*'تنظیمات وزن‌دهی'!$C$6+CE436*'تنظیمات وزن‌دهی'!$C$7+CF436*'تنظیمات وزن‌دهی'!$C$8+CG436*'تنظیمات وزن‌دهی'!$C$9+CH436*'تنظیمات وزن‌دهی'!$C$10+CI436*'تنظیمات وزن‌دهی'!$C$11+CJ436*'تنظیمات وزن‌دهی'!$C$12+CK436*'تنظیمات وزن‌دهی'!$C$13)/100))</x:f>
      </x:c>
      <x:c r="CM436" s="178" t="str">
        <x:f>IF(C436="","",IF(COUNT(G436:CB436)=0,"",IF(COUNT(G436:CB436)&lt;74,"موقت - اطلاعات ناقص",IF(CL436&gt;=17,"عالی",IF(CL436&gt;=14,"خوب",IF(CL436&gt;=10,"متوسط","ضعیف"))))))</x:f>
      </x:c>
      <x:c r="CN436" s="178" t="n">
        <x:v>12</x:v>
      </x:c>
      <x:c r="CO436" s="142" t="n">
        <x:f>IF(C436="","",COUNT(G436:CB436)/74)</x:f>
        <x:v>0</x:v>
      </x:c>
      <x:c r="CP436" s="245"/>
    </x:row>
    <x:row r="437">
      <x:c r="A437" s="165" t="n">
        <x:v>433</x:v>
      </x:c>
      <x:c r="B437" s="233" t="str">
        <x:v>تیر</x:v>
      </x:c>
      <x:c r="C437" s="233" t="n">
        <x:f>IF('دانش‌آموزان'!E41="","",'دانش‌آموزان'!B41)</x:f>
        <x:v>37</x:v>
      </x:c>
      <x:c r="D437" s="233" t="str">
        <x:f>IF('دانش‌آموزان'!C41="","",'دانش‌آموزان'!C41)</x:f>
        <x:v>4000000373</x:v>
      </x:c>
      <x:c r="E437" s="233" t="str">
        <x:f>IF('دانش‌آموزان'!E41="","",'دانش‌آموزان'!E41&amp;" "&amp;'دانش‌آموزان'!F41)</x:f>
        <x:v>سینا رحیمی</x:v>
      </x:c>
      <x:c r="F437" s="166" t="str">
        <x:f>IF('دانش‌آموزان'!I41="","",'دانش‌آموزان'!I41)</x:f>
        <x:v>sample-7-b</x:v>
      </x:c>
      <x:c r="G437" s="114" t="n">
        <x:v>5</x:v>
      </x:c>
      <x:c r="H437" s="115" t="n">
        <x:v>3</x:v>
      </x:c>
      <x:c r="I437" s="115" t="n">
        <x:v>5</x:v>
      </x:c>
      <x:c r="J437" s="115" t="n">
        <x:v>3</x:v>
      </x:c>
      <x:c r="K437" s="115" t="n">
        <x:v>4</x:v>
      </x:c>
      <x:c r="L437" s="115" t="n">
        <x:v>3</x:v>
      </x:c>
      <x:c r="M437" s="115" t="n">
        <x:v>4</x:v>
      </x:c>
      <x:c r="N437" s="115" t="n">
        <x:v>2</x:v>
      </x:c>
      <x:c r="O437" s="115" t="n">
        <x:v>4</x:v>
      </x:c>
      <x:c r="P437" s="115" t="n">
        <x:v>5</x:v>
      </x:c>
      <x:c r="Q437" s="115" t="n">
        <x:v>4</x:v>
      </x:c>
      <x:c r="R437" s="115" t="n">
        <x:v>5</x:v>
      </x:c>
      <x:c r="S437" s="115" t="n">
        <x:v>3</x:v>
      </x:c>
      <x:c r="T437" s="115" t="n">
        <x:v>5</x:v>
      </x:c>
      <x:c r="U437" s="115" t="n">
        <x:v>3</x:v>
      </x:c>
      <x:c r="V437" s="115" t="n">
        <x:v>4</x:v>
      </x:c>
      <x:c r="W437" s="115" t="n">
        <x:v>3</x:v>
      </x:c>
      <x:c r="X437" s="115" t="n">
        <x:v>4</x:v>
      </x:c>
      <x:c r="Y437" s="115" t="n">
        <x:v>2</x:v>
      </x:c>
      <x:c r="Z437" s="115" t="n">
        <x:v>4</x:v>
      </x:c>
      <x:c r="AA437" s="115" t="n">
        <x:v>5</x:v>
      </x:c>
      <x:c r="AB437" s="115" t="n">
        <x:v>4</x:v>
      </x:c>
      <x:c r="AC437" s="115" t="n">
        <x:v>5</x:v>
      </x:c>
      <x:c r="AD437" s="115" t="n">
        <x:v>3</x:v>
      </x:c>
      <x:c r="AE437" s="115" t="n">
        <x:v>5</x:v>
      </x:c>
      <x:c r="AF437" s="115" t="n">
        <x:v>3</x:v>
      </x:c>
      <x:c r="AG437" s="115" t="n">
        <x:v>4</x:v>
      </x:c>
      <x:c r="AH437" s="115" t="n">
        <x:v>3</x:v>
      </x:c>
      <x:c r="AI437" s="115" t="n">
        <x:v>4</x:v>
      </x:c>
      <x:c r="AJ437" s="115" t="n">
        <x:v>2</x:v>
      </x:c>
      <x:c r="AK437" s="115" t="n">
        <x:v>4</x:v>
      </x:c>
      <x:c r="AL437" s="115" t="n">
        <x:v>5</x:v>
      </x:c>
      <x:c r="AM437" s="115" t="n">
        <x:v>4</x:v>
      </x:c>
      <x:c r="AN437" s="115" t="n">
        <x:v>5</x:v>
      </x:c>
      <x:c r="AO437" s="115" t="n">
        <x:v>3</x:v>
      </x:c>
      <x:c r="AP437" s="115" t="n">
        <x:v>5</x:v>
      </x:c>
      <x:c r="AQ437" s="115" t="n">
        <x:v>3</x:v>
      </x:c>
      <x:c r="AR437" s="115" t="n">
        <x:v>4</x:v>
      </x:c>
      <x:c r="AS437" s="115" t="n">
        <x:v>3</x:v>
      </x:c>
      <x:c r="AT437" s="115" t="n">
        <x:v>4</x:v>
      </x:c>
      <x:c r="AU437" s="115" t="n">
        <x:v>2</x:v>
      </x:c>
      <x:c r="AV437" s="115" t="n">
        <x:v>4</x:v>
      </x:c>
      <x:c r="AW437" s="115" t="n">
        <x:v>5</x:v>
      </x:c>
      <x:c r="AX437" s="115" t="n">
        <x:v>4</x:v>
      </x:c>
      <x:c r="AY437" s="115" t="n">
        <x:v>5</x:v>
      </x:c>
      <x:c r="AZ437" s="115" t="n">
        <x:v>3</x:v>
      </x:c>
      <x:c r="BA437" s="115" t="n">
        <x:v>5</x:v>
      </x:c>
      <x:c r="BB437" s="115" t="n">
        <x:v>3</x:v>
      </x:c>
      <x:c r="BC437" s="115" t="n">
        <x:v>4</x:v>
      </x:c>
      <x:c r="BD437" s="115" t="n">
        <x:v>3</x:v>
      </x:c>
      <x:c r="BE437" s="115" t="n">
        <x:v>4</x:v>
      </x:c>
      <x:c r="BF437" s="115" t="n">
        <x:v>2</x:v>
      </x:c>
      <x:c r="BG437" s="115" t="n">
        <x:v>4</x:v>
      </x:c>
      <x:c r="BH437" s="115" t="n">
        <x:v>5</x:v>
      </x:c>
      <x:c r="BI437" s="115" t="n">
        <x:v>4</x:v>
      </x:c>
      <x:c r="BJ437" s="115" t="n">
        <x:v>5</x:v>
      </x:c>
      <x:c r="BK437" s="115" t="n">
        <x:v>3</x:v>
      </x:c>
      <x:c r="BL437" s="115" t="n">
        <x:v>5</x:v>
      </x:c>
      <x:c r="BM437" s="115" t="n">
        <x:v>3</x:v>
      </x:c>
      <x:c r="BN437" s="115" t="n">
        <x:v>4</x:v>
      </x:c>
      <x:c r="BO437" s="115" t="n">
        <x:v>3</x:v>
      </x:c>
      <x:c r="BP437" s="115" t="n">
        <x:v>4</x:v>
      </x:c>
      <x:c r="BQ437" s="115" t="n">
        <x:v>2</x:v>
      </x:c>
      <x:c r="BR437" s="115" t="n">
        <x:v>4</x:v>
      </x:c>
      <x:c r="BS437" s="115" t="n">
        <x:v>5</x:v>
      </x:c>
      <x:c r="BT437" s="115" t="n">
        <x:v>4</x:v>
      </x:c>
      <x:c r="BU437" s="115" t="n">
        <x:v>5</x:v>
      </x:c>
      <x:c r="BV437" s="115" t="n">
        <x:v>3</x:v>
      </x:c>
      <x:c r="BW437" s="115" t="n">
        <x:v>5</x:v>
      </x:c>
      <x:c r="BX437" s="115" t="n">
        <x:v>3</x:v>
      </x:c>
      <x:c r="BY437" s="115" t="n">
        <x:v>4</x:v>
      </x:c>
      <x:c r="BZ437" s="115" t="n">
        <x:v>3</x:v>
      </x:c>
      <x:c r="CA437" s="115" t="n">
        <x:v>4</x:v>
      </x:c>
      <x:c r="CB437" s="116" t="n">
        <x:v>2</x:v>
      </x:c>
      <x:c r="CC437" s="141" t="n">
        <x:f>IF(COUNT(G437:P437)=0,"",AVERAGE(G437:P437)*4)</x:f>
        <x:v>15.2</x:v>
      </x:c>
      <x:c r="CD437" s="178" t="n">
        <x:f>IF(COUNT(Q437:Z437)=0,"",AVERAGE(Q437:Z437)*4)</x:f>
        <x:v>14.8</x:v>
      </x:c>
      <x:c r="CE437" s="178" t="n">
        <x:f>IF(COUNT(AA437:AJ437)=0,"",AVERAGE(AA437:AJ437)*4)</x:f>
        <x:v>15.2</x:v>
      </x:c>
      <x:c r="CF437" s="178" t="n">
        <x:f>IF(COUNT(AK437:AR437)=0,"",AVERAGE(AK437:AR437)*4)</x:f>
        <x:v>16.5</x:v>
      </x:c>
      <x:c r="CG437" s="178" t="n">
        <x:f>IF(COUNT(AS437:AY437)=0,"",AVERAGE(AS437:AY437)*4)</x:f>
        <x:v>15.428571428571429</x:v>
      </x:c>
      <x:c r="CH437" s="178" t="n">
        <x:f>IF(COUNT(AZ437:BG437)=0,"",AVERAGE(AZ437:BG437)*4)</x:f>
        <x:v>14</x:v>
      </x:c>
      <x:c r="CI437" s="178" t="n">
        <x:f>IF(COUNT(BH437:BN437)=0,"",AVERAGE(BH437:BN437)*4)</x:f>
        <x:v>16.571428571428573</x:v>
      </x:c>
      <x:c r="CJ437" s="178" t="n">
        <x:f>IF(COUNT(BO437:BU437)=0,"",AVERAGE(BO437:BU437)*4)</x:f>
        <x:v>15.428571428571429</x:v>
      </x:c>
      <x:c r="CK437" s="178" t="n">
        <x:f>IF(COUNT(BV437:CB437)=0,"",AVERAGE(BV437:CB437)*4)</x:f>
        <x:v>13.714285714285714</x:v>
      </x:c>
      <x:c r="CL437" s="178" t="n">
        <x:f>IF(C437="","",IF(COUNT(G437:CB437)&lt;74,"",(CC437*'تنظیمات وزن‌دهی'!$C$5+CD437*'تنظیمات وزن‌دهی'!$C$6+CE437*'تنظیمات وزن‌دهی'!$C$7+CF437*'تنظیمات وزن‌دهی'!$C$8+CG437*'تنظیمات وزن‌دهی'!$C$9+CH437*'تنظیمات وزن‌دهی'!$C$10+CI437*'تنظیمات وزن‌دهی'!$C$11+CJ437*'تنظیمات وزن‌دهی'!$C$12+CK437*'تنظیمات وزن‌دهی'!$C$13)/100))</x:f>
        <x:v>15.260714285714286</x:v>
      </x:c>
      <x:c r="CM437" s="178" t="str">
        <x:f>IF(C437="","",IF(COUNT(G437:CB437)=0,"",IF(COUNT(G437:CB437)&lt;74,"موقت - اطلاعات ناقص",IF(CL437&gt;=17,"عالی",IF(CL437&gt;=14,"خوب",IF(CL437&gt;=10,"متوسط","ضعیف"))))))</x:f>
        <x:v>خوب</x:v>
      </x:c>
      <x:c r="CN437" s="178" t="n">
        <x:v>1</x:v>
      </x:c>
      <x:c r="CO437" s="142" t="n">
        <x:f>IF(C437="","",COUNT(G437:CB437)/74)</x:f>
        <x:v>1</x:v>
      </x:c>
      <x:c r="CP437" s="245" t="str">
        <x:v>داده نمونه کامل برای ماه تیر - دانش‌آموز شماره 37</x:v>
      </x:c>
    </x:row>
    <x:row r="438">
      <x:c r="A438" s="165" t="n">
        <x:v>434</x:v>
      </x:c>
      <x:c r="B438" s="233" t="str">
        <x:v>مرداد</x:v>
      </x:c>
      <x:c r="C438" s="233" t="n">
        <x:f>IF('دانش‌آموزان'!E41="","",'دانش‌آموزان'!B41)</x:f>
        <x:v>37</x:v>
      </x:c>
      <x:c r="D438" s="233" t="str">
        <x:f>IF('دانش‌آموزان'!C41="","",'دانش‌آموزان'!C41)</x:f>
        <x:v>4000000373</x:v>
      </x:c>
      <x:c r="E438" s="233" t="str">
        <x:f>IF('دانش‌آموزان'!E41="","",'دانش‌آموزان'!E41&amp;" "&amp;'دانش‌آموزان'!F41)</x:f>
        <x:v>سینا رحیمی</x:v>
      </x:c>
      <x:c r="F438" s="166" t="str">
        <x:f>IF('دانش‌آموزان'!I41="","",'دانش‌آموزان'!I41)</x:f>
        <x:v>sample-7-b</x:v>
      </x:c>
      <x:c r="G438" s="114"/>
      <x:c r="H438" s="115"/>
      <x:c r="I438" s="115"/>
      <x:c r="J438" s="115"/>
      <x:c r="K438" s="115"/>
      <x:c r="L438" s="115"/>
      <x:c r="M438" s="115"/>
      <x:c r="N438" s="115"/>
      <x:c r="O438" s="115"/>
      <x:c r="P438" s="115"/>
      <x:c r="Q438" s="115"/>
      <x:c r="R438" s="115"/>
      <x:c r="S438" s="115"/>
      <x:c r="T438" s="115"/>
      <x:c r="U438" s="115"/>
      <x:c r="V438" s="115"/>
      <x:c r="W438" s="115"/>
      <x:c r="X438" s="115"/>
      <x:c r="Y438" s="115"/>
      <x:c r="Z438" s="115"/>
      <x:c r="AA438" s="115"/>
      <x:c r="AB438" s="115"/>
      <x:c r="AC438" s="115"/>
      <x:c r="AD438" s="115"/>
      <x:c r="AE438" s="115"/>
      <x:c r="AF438" s="115"/>
      <x:c r="AG438" s="115"/>
      <x:c r="AH438" s="115"/>
      <x:c r="AI438" s="115"/>
      <x:c r="AJ438" s="115"/>
      <x:c r="AK438" s="115"/>
      <x:c r="AL438" s="115"/>
      <x:c r="AM438" s="115"/>
      <x:c r="AN438" s="115"/>
      <x:c r="AO438" s="115"/>
      <x:c r="AP438" s="115"/>
      <x:c r="AQ438" s="115"/>
      <x:c r="AR438" s="115"/>
      <x:c r="AS438" s="115"/>
      <x:c r="AT438" s="115"/>
      <x:c r="AU438" s="115"/>
      <x:c r="AV438" s="115"/>
      <x:c r="AW438" s="115"/>
      <x:c r="AX438" s="115"/>
      <x:c r="AY438" s="115"/>
      <x:c r="AZ438" s="115"/>
      <x:c r="BA438" s="115"/>
      <x:c r="BB438" s="115"/>
      <x:c r="BC438" s="115"/>
      <x:c r="BD438" s="115"/>
      <x:c r="BE438" s="115"/>
      <x:c r="BF438" s="115"/>
      <x:c r="BG438" s="115"/>
      <x:c r="BH438" s="115"/>
      <x:c r="BI438" s="115"/>
      <x:c r="BJ438" s="115"/>
      <x:c r="BK438" s="115"/>
      <x:c r="BL438" s="115"/>
      <x:c r="BM438" s="115"/>
      <x:c r="BN438" s="115"/>
      <x:c r="BO438" s="115"/>
      <x:c r="BP438" s="115"/>
      <x:c r="BQ438" s="115"/>
      <x:c r="BR438" s="115"/>
      <x:c r="BS438" s="115"/>
      <x:c r="BT438" s="115"/>
      <x:c r="BU438" s="115"/>
      <x:c r="BV438" s="115"/>
      <x:c r="BW438" s="115"/>
      <x:c r="BX438" s="115"/>
      <x:c r="BY438" s="115"/>
      <x:c r="BZ438" s="115"/>
      <x:c r="CA438" s="115"/>
      <x:c r="CB438" s="116"/>
      <x:c r="CC438" s="141" t="str">
        <x:f>IF(COUNT(G438:P438)=0,"",AVERAGE(G438:P438)*4)</x:f>
      </x:c>
      <x:c r="CD438" s="178" t="str">
        <x:f>IF(COUNT(Q438:Z438)=0,"",AVERAGE(Q438:Z438)*4)</x:f>
      </x:c>
      <x:c r="CE438" s="178" t="str">
        <x:f>IF(COUNT(AA438:AJ438)=0,"",AVERAGE(AA438:AJ438)*4)</x:f>
      </x:c>
      <x:c r="CF438" s="178" t="str">
        <x:f>IF(COUNT(AK438:AR438)=0,"",AVERAGE(AK438:AR438)*4)</x:f>
      </x:c>
      <x:c r="CG438" s="178" t="str">
        <x:f>IF(COUNT(AS438:AY438)=0,"",AVERAGE(AS438:AY438)*4)</x:f>
      </x:c>
      <x:c r="CH438" s="178" t="str">
        <x:f>IF(COUNT(AZ438:BG438)=0,"",AVERAGE(AZ438:BG438)*4)</x:f>
      </x:c>
      <x:c r="CI438" s="178" t="str">
        <x:f>IF(COUNT(BH438:BN438)=0,"",AVERAGE(BH438:BN438)*4)</x:f>
      </x:c>
      <x:c r="CJ438" s="178" t="str">
        <x:f>IF(COUNT(BO438:BU438)=0,"",AVERAGE(BO438:BU438)*4)</x:f>
      </x:c>
      <x:c r="CK438" s="178" t="str">
        <x:f>IF(COUNT(BV438:CB438)=0,"",AVERAGE(BV438:CB438)*4)</x:f>
      </x:c>
      <x:c r="CL438" s="178" t="str">
        <x:f>IF(C438="","",IF(COUNT(G438:CB438)&lt;74,"",(CC438*'تنظیمات وزن‌دهی'!$C$5+CD438*'تنظیمات وزن‌دهی'!$C$6+CE438*'تنظیمات وزن‌دهی'!$C$7+CF438*'تنظیمات وزن‌دهی'!$C$8+CG438*'تنظیمات وزن‌دهی'!$C$9+CH438*'تنظیمات وزن‌دهی'!$C$10+CI438*'تنظیمات وزن‌دهی'!$C$11+CJ438*'تنظیمات وزن‌دهی'!$C$12+CK438*'تنظیمات وزن‌دهی'!$C$13)/100))</x:f>
      </x:c>
      <x:c r="CM438" s="178" t="str">
        <x:f>IF(C438="","",IF(COUNT(G438:CB438)=0,"",IF(COUNT(G438:CB438)&lt;74,"موقت - اطلاعات ناقص",IF(CL438&gt;=17,"عالی",IF(CL438&gt;=14,"خوب",IF(CL438&gt;=10,"متوسط","ضعیف"))))))</x:f>
      </x:c>
      <x:c r="CN438" s="178" t="n">
        <x:v>2</x:v>
      </x:c>
      <x:c r="CO438" s="142" t="n">
        <x:f>IF(C438="","",COUNT(G438:CB438)/74)</x:f>
        <x:v>0</x:v>
      </x:c>
      <x:c r="CP438" s="245"/>
    </x:row>
    <x:row r="439">
      <x:c r="A439" s="165" t="n">
        <x:v>435</x:v>
      </x:c>
      <x:c r="B439" s="233" t="str">
        <x:v>شهریور</x:v>
      </x:c>
      <x:c r="C439" s="233" t="n">
        <x:f>IF('دانش‌آموزان'!E41="","",'دانش‌آموزان'!B41)</x:f>
        <x:v>37</x:v>
      </x:c>
      <x:c r="D439" s="233" t="str">
        <x:f>IF('دانش‌آموزان'!C41="","",'دانش‌آموزان'!C41)</x:f>
        <x:v>4000000373</x:v>
      </x:c>
      <x:c r="E439" s="233" t="str">
        <x:f>IF('دانش‌آموزان'!E41="","",'دانش‌آموزان'!E41&amp;" "&amp;'دانش‌آموزان'!F41)</x:f>
        <x:v>سینا رحیمی</x:v>
      </x:c>
      <x:c r="F439" s="166" t="str">
        <x:f>IF('دانش‌آموزان'!I41="","",'دانش‌آموزان'!I41)</x:f>
        <x:v>sample-7-b</x:v>
      </x:c>
      <x:c r="G439" s="114"/>
      <x:c r="H439" s="115"/>
      <x:c r="I439" s="115"/>
      <x:c r="J439" s="115"/>
      <x:c r="K439" s="115"/>
      <x:c r="L439" s="115"/>
      <x:c r="M439" s="115"/>
      <x:c r="N439" s="115"/>
      <x:c r="O439" s="115"/>
      <x:c r="P439" s="115"/>
      <x:c r="Q439" s="115"/>
      <x:c r="R439" s="115"/>
      <x:c r="S439" s="115"/>
      <x:c r="T439" s="115"/>
      <x:c r="U439" s="115"/>
      <x:c r="V439" s="115"/>
      <x:c r="W439" s="115"/>
      <x:c r="X439" s="115"/>
      <x:c r="Y439" s="115"/>
      <x:c r="Z439" s="115"/>
      <x:c r="AA439" s="115"/>
      <x:c r="AB439" s="115"/>
      <x:c r="AC439" s="115"/>
      <x:c r="AD439" s="115"/>
      <x:c r="AE439" s="115"/>
      <x:c r="AF439" s="115"/>
      <x:c r="AG439" s="115"/>
      <x:c r="AH439" s="115"/>
      <x:c r="AI439" s="115"/>
      <x:c r="AJ439" s="115"/>
      <x:c r="AK439" s="115"/>
      <x:c r="AL439" s="115"/>
      <x:c r="AM439" s="115"/>
      <x:c r="AN439" s="115"/>
      <x:c r="AO439" s="115"/>
      <x:c r="AP439" s="115"/>
      <x:c r="AQ439" s="115"/>
      <x:c r="AR439" s="115"/>
      <x:c r="AS439" s="115"/>
      <x:c r="AT439" s="115"/>
      <x:c r="AU439" s="115"/>
      <x:c r="AV439" s="115"/>
      <x:c r="AW439" s="115"/>
      <x:c r="AX439" s="115"/>
      <x:c r="AY439" s="115"/>
      <x:c r="AZ439" s="115"/>
      <x:c r="BA439" s="115"/>
      <x:c r="BB439" s="115"/>
      <x:c r="BC439" s="115"/>
      <x:c r="BD439" s="115"/>
      <x:c r="BE439" s="115"/>
      <x:c r="BF439" s="115"/>
      <x:c r="BG439" s="115"/>
      <x:c r="BH439" s="115"/>
      <x:c r="BI439" s="115"/>
      <x:c r="BJ439" s="115"/>
      <x:c r="BK439" s="115"/>
      <x:c r="BL439" s="115"/>
      <x:c r="BM439" s="115"/>
      <x:c r="BN439" s="115"/>
      <x:c r="BO439" s="115"/>
      <x:c r="BP439" s="115"/>
      <x:c r="BQ439" s="115"/>
      <x:c r="BR439" s="115"/>
      <x:c r="BS439" s="115"/>
      <x:c r="BT439" s="115"/>
      <x:c r="BU439" s="115"/>
      <x:c r="BV439" s="115"/>
      <x:c r="BW439" s="115"/>
      <x:c r="BX439" s="115"/>
      <x:c r="BY439" s="115"/>
      <x:c r="BZ439" s="115"/>
      <x:c r="CA439" s="115"/>
      <x:c r="CB439" s="116"/>
      <x:c r="CC439" s="141" t="str">
        <x:f>IF(COUNT(G439:P439)=0,"",AVERAGE(G439:P439)*4)</x:f>
      </x:c>
      <x:c r="CD439" s="178" t="str">
        <x:f>IF(COUNT(Q439:Z439)=0,"",AVERAGE(Q439:Z439)*4)</x:f>
      </x:c>
      <x:c r="CE439" s="178" t="str">
        <x:f>IF(COUNT(AA439:AJ439)=0,"",AVERAGE(AA439:AJ439)*4)</x:f>
      </x:c>
      <x:c r="CF439" s="178" t="str">
        <x:f>IF(COUNT(AK439:AR439)=0,"",AVERAGE(AK439:AR439)*4)</x:f>
      </x:c>
      <x:c r="CG439" s="178" t="str">
        <x:f>IF(COUNT(AS439:AY439)=0,"",AVERAGE(AS439:AY439)*4)</x:f>
      </x:c>
      <x:c r="CH439" s="178" t="str">
        <x:f>IF(COUNT(AZ439:BG439)=0,"",AVERAGE(AZ439:BG439)*4)</x:f>
      </x:c>
      <x:c r="CI439" s="178" t="str">
        <x:f>IF(COUNT(BH439:BN439)=0,"",AVERAGE(BH439:BN439)*4)</x:f>
      </x:c>
      <x:c r="CJ439" s="178" t="str">
        <x:f>IF(COUNT(BO439:BU439)=0,"",AVERAGE(BO439:BU439)*4)</x:f>
      </x:c>
      <x:c r="CK439" s="178" t="str">
        <x:f>IF(COUNT(BV439:CB439)=0,"",AVERAGE(BV439:CB439)*4)</x:f>
      </x:c>
      <x:c r="CL439" s="178" t="str">
        <x:f>IF(C439="","",IF(COUNT(G439:CB439)&lt;74,"",(CC439*'تنظیمات وزن‌دهی'!$C$5+CD439*'تنظیمات وزن‌دهی'!$C$6+CE439*'تنظیمات وزن‌دهی'!$C$7+CF439*'تنظیمات وزن‌دهی'!$C$8+CG439*'تنظیمات وزن‌دهی'!$C$9+CH439*'تنظیمات وزن‌دهی'!$C$10+CI439*'تنظیمات وزن‌دهی'!$C$11+CJ439*'تنظیمات وزن‌دهی'!$C$12+CK439*'تنظیمات وزن‌دهی'!$C$13)/100))</x:f>
      </x:c>
      <x:c r="CM439" s="178" t="str">
        <x:f>IF(C439="","",IF(COUNT(G439:CB439)=0,"",IF(COUNT(G439:CB439)&lt;74,"موقت - اطلاعات ناقص",IF(CL439&gt;=17,"عالی",IF(CL439&gt;=14,"خوب",IF(CL439&gt;=10,"متوسط","ضعیف"))))))</x:f>
      </x:c>
      <x:c r="CN439" s="178" t="n">
        <x:v>3</x:v>
      </x:c>
      <x:c r="CO439" s="142" t="n">
        <x:f>IF(C439="","",COUNT(G439:CB439)/74)</x:f>
        <x:v>0</x:v>
      </x:c>
      <x:c r="CP439" s="245"/>
    </x:row>
    <x:row r="440">
      <x:c r="A440" s="165" t="n">
        <x:v>436</x:v>
      </x:c>
      <x:c r="B440" s="233" t="str">
        <x:v>مهر</x:v>
      </x:c>
      <x:c r="C440" s="233" t="n">
        <x:f>IF('دانش‌آموزان'!E41="","",'دانش‌آموزان'!B41)</x:f>
        <x:v>37</x:v>
      </x:c>
      <x:c r="D440" s="233" t="str">
        <x:f>IF('دانش‌آموزان'!C41="","",'دانش‌آموزان'!C41)</x:f>
        <x:v>4000000373</x:v>
      </x:c>
      <x:c r="E440" s="233" t="str">
        <x:f>IF('دانش‌آموزان'!E41="","",'دانش‌آموزان'!E41&amp;" "&amp;'دانش‌آموزان'!F41)</x:f>
        <x:v>سینا رحیمی</x:v>
      </x:c>
      <x:c r="F440" s="166" t="str">
        <x:f>IF('دانش‌آموزان'!I41="","",'دانش‌آموزان'!I41)</x:f>
        <x:v>sample-7-b</x:v>
      </x:c>
      <x:c r="G440" s="114"/>
      <x:c r="H440" s="115"/>
      <x:c r="I440" s="115"/>
      <x:c r="J440" s="115"/>
      <x:c r="K440" s="115"/>
      <x:c r="L440" s="115"/>
      <x:c r="M440" s="115"/>
      <x:c r="N440" s="115"/>
      <x:c r="O440" s="115"/>
      <x:c r="P440" s="115"/>
      <x:c r="Q440" s="115"/>
      <x:c r="R440" s="115"/>
      <x:c r="S440" s="115"/>
      <x:c r="T440" s="115"/>
      <x:c r="U440" s="115"/>
      <x:c r="V440" s="115"/>
      <x:c r="W440" s="115"/>
      <x:c r="X440" s="115"/>
      <x:c r="Y440" s="115"/>
      <x:c r="Z440" s="115"/>
      <x:c r="AA440" s="115"/>
      <x:c r="AB440" s="115"/>
      <x:c r="AC440" s="115"/>
      <x:c r="AD440" s="115"/>
      <x:c r="AE440" s="115"/>
      <x:c r="AF440" s="115"/>
      <x:c r="AG440" s="115"/>
      <x:c r="AH440" s="115"/>
      <x:c r="AI440" s="115"/>
      <x:c r="AJ440" s="115"/>
      <x:c r="AK440" s="115"/>
      <x:c r="AL440" s="115"/>
      <x:c r="AM440" s="115"/>
      <x:c r="AN440" s="115"/>
      <x:c r="AO440" s="115"/>
      <x:c r="AP440" s="115"/>
      <x:c r="AQ440" s="115"/>
      <x:c r="AR440" s="115"/>
      <x:c r="AS440" s="115"/>
      <x:c r="AT440" s="115"/>
      <x:c r="AU440" s="115"/>
      <x:c r="AV440" s="115"/>
      <x:c r="AW440" s="115"/>
      <x:c r="AX440" s="115"/>
      <x:c r="AY440" s="115"/>
      <x:c r="AZ440" s="115"/>
      <x:c r="BA440" s="115"/>
      <x:c r="BB440" s="115"/>
      <x:c r="BC440" s="115"/>
      <x:c r="BD440" s="115"/>
      <x:c r="BE440" s="115"/>
      <x:c r="BF440" s="115"/>
      <x:c r="BG440" s="115"/>
      <x:c r="BH440" s="115"/>
      <x:c r="BI440" s="115"/>
      <x:c r="BJ440" s="115"/>
      <x:c r="BK440" s="115"/>
      <x:c r="BL440" s="115"/>
      <x:c r="BM440" s="115"/>
      <x:c r="BN440" s="115"/>
      <x:c r="BO440" s="115"/>
      <x:c r="BP440" s="115"/>
      <x:c r="BQ440" s="115"/>
      <x:c r="BR440" s="115"/>
      <x:c r="BS440" s="115"/>
      <x:c r="BT440" s="115"/>
      <x:c r="BU440" s="115"/>
      <x:c r="BV440" s="115"/>
      <x:c r="BW440" s="115"/>
      <x:c r="BX440" s="115"/>
      <x:c r="BY440" s="115"/>
      <x:c r="BZ440" s="115"/>
      <x:c r="CA440" s="115"/>
      <x:c r="CB440" s="116"/>
      <x:c r="CC440" s="141" t="str">
        <x:f>IF(COUNT(G440:P440)=0,"",AVERAGE(G440:P440)*4)</x:f>
      </x:c>
      <x:c r="CD440" s="178" t="str">
        <x:f>IF(COUNT(Q440:Z440)=0,"",AVERAGE(Q440:Z440)*4)</x:f>
      </x:c>
      <x:c r="CE440" s="178" t="str">
        <x:f>IF(COUNT(AA440:AJ440)=0,"",AVERAGE(AA440:AJ440)*4)</x:f>
      </x:c>
      <x:c r="CF440" s="178" t="str">
        <x:f>IF(COUNT(AK440:AR440)=0,"",AVERAGE(AK440:AR440)*4)</x:f>
      </x:c>
      <x:c r="CG440" s="178" t="str">
        <x:f>IF(COUNT(AS440:AY440)=0,"",AVERAGE(AS440:AY440)*4)</x:f>
      </x:c>
      <x:c r="CH440" s="178" t="str">
        <x:f>IF(COUNT(AZ440:BG440)=0,"",AVERAGE(AZ440:BG440)*4)</x:f>
      </x:c>
      <x:c r="CI440" s="178" t="str">
        <x:f>IF(COUNT(BH440:BN440)=0,"",AVERAGE(BH440:BN440)*4)</x:f>
      </x:c>
      <x:c r="CJ440" s="178" t="str">
        <x:f>IF(COUNT(BO440:BU440)=0,"",AVERAGE(BO440:BU440)*4)</x:f>
      </x:c>
      <x:c r="CK440" s="178" t="str">
        <x:f>IF(COUNT(BV440:CB440)=0,"",AVERAGE(BV440:CB440)*4)</x:f>
      </x:c>
      <x:c r="CL440" s="178" t="str">
        <x:f>IF(C440="","",IF(COUNT(G440:CB440)&lt;74,"",(CC440*'تنظیمات وزن‌دهی'!$C$5+CD440*'تنظیمات وزن‌دهی'!$C$6+CE440*'تنظیمات وزن‌دهی'!$C$7+CF440*'تنظیمات وزن‌دهی'!$C$8+CG440*'تنظیمات وزن‌دهی'!$C$9+CH440*'تنظیمات وزن‌دهی'!$C$10+CI440*'تنظیمات وزن‌دهی'!$C$11+CJ440*'تنظیمات وزن‌دهی'!$C$12+CK440*'تنظیمات وزن‌دهی'!$C$13)/100))</x:f>
      </x:c>
      <x:c r="CM440" s="178" t="str">
        <x:f>IF(C440="","",IF(COUNT(G440:CB440)=0,"",IF(COUNT(G440:CB440)&lt;74,"موقت - اطلاعات ناقص",IF(CL440&gt;=17,"عالی",IF(CL440&gt;=14,"خوب",IF(CL440&gt;=10,"متوسط","ضعیف"))))))</x:f>
      </x:c>
      <x:c r="CN440" s="178" t="n">
        <x:v>4</x:v>
      </x:c>
      <x:c r="CO440" s="142" t="n">
        <x:f>IF(C440="","",COUNT(G440:CB440)/74)</x:f>
        <x:v>0</x:v>
      </x:c>
      <x:c r="CP440" s="245"/>
    </x:row>
    <x:row r="441">
      <x:c r="A441" s="165" t="n">
        <x:v>437</x:v>
      </x:c>
      <x:c r="B441" s="233" t="str">
        <x:v>آبان</x:v>
      </x:c>
      <x:c r="C441" s="233" t="n">
        <x:f>IF('دانش‌آموزان'!E41="","",'دانش‌آموزان'!B41)</x:f>
        <x:v>37</x:v>
      </x:c>
      <x:c r="D441" s="233" t="str">
        <x:f>IF('دانش‌آموزان'!C41="","",'دانش‌آموزان'!C41)</x:f>
        <x:v>4000000373</x:v>
      </x:c>
      <x:c r="E441" s="233" t="str">
        <x:f>IF('دانش‌آموزان'!E41="","",'دانش‌آموزان'!E41&amp;" "&amp;'دانش‌آموزان'!F41)</x:f>
        <x:v>سینا رحیمی</x:v>
      </x:c>
      <x:c r="F441" s="166" t="str">
        <x:f>IF('دانش‌آموزان'!I41="","",'دانش‌آموزان'!I41)</x:f>
        <x:v>sample-7-b</x:v>
      </x:c>
      <x:c r="G441" s="114"/>
      <x:c r="H441" s="115"/>
      <x:c r="I441" s="115"/>
      <x:c r="J441" s="115"/>
      <x:c r="K441" s="115"/>
      <x:c r="L441" s="115"/>
      <x:c r="M441" s="115"/>
      <x:c r="N441" s="115"/>
      <x:c r="O441" s="115"/>
      <x:c r="P441" s="115"/>
      <x:c r="Q441" s="115"/>
      <x:c r="R441" s="115"/>
      <x:c r="S441" s="115"/>
      <x:c r="T441" s="115"/>
      <x:c r="U441" s="115"/>
      <x:c r="V441" s="115"/>
      <x:c r="W441" s="115"/>
      <x:c r="X441" s="115"/>
      <x:c r="Y441" s="115"/>
      <x:c r="Z441" s="115"/>
      <x:c r="AA441" s="115"/>
      <x:c r="AB441" s="115"/>
      <x:c r="AC441" s="115"/>
      <x:c r="AD441" s="115"/>
      <x:c r="AE441" s="115"/>
      <x:c r="AF441" s="115"/>
      <x:c r="AG441" s="115"/>
      <x:c r="AH441" s="115"/>
      <x:c r="AI441" s="115"/>
      <x:c r="AJ441" s="115"/>
      <x:c r="AK441" s="115"/>
      <x:c r="AL441" s="115"/>
      <x:c r="AM441" s="115"/>
      <x:c r="AN441" s="115"/>
      <x:c r="AO441" s="115"/>
      <x:c r="AP441" s="115"/>
      <x:c r="AQ441" s="115"/>
      <x:c r="AR441" s="115"/>
      <x:c r="AS441" s="115"/>
      <x:c r="AT441" s="115"/>
      <x:c r="AU441" s="115"/>
      <x:c r="AV441" s="115"/>
      <x:c r="AW441" s="115"/>
      <x:c r="AX441" s="115"/>
      <x:c r="AY441" s="115"/>
      <x:c r="AZ441" s="115"/>
      <x:c r="BA441" s="115"/>
      <x:c r="BB441" s="115"/>
      <x:c r="BC441" s="115"/>
      <x:c r="BD441" s="115"/>
      <x:c r="BE441" s="115"/>
      <x:c r="BF441" s="115"/>
      <x:c r="BG441" s="115"/>
      <x:c r="BH441" s="115"/>
      <x:c r="BI441" s="115"/>
      <x:c r="BJ441" s="115"/>
      <x:c r="BK441" s="115"/>
      <x:c r="BL441" s="115"/>
      <x:c r="BM441" s="115"/>
      <x:c r="BN441" s="115"/>
      <x:c r="BO441" s="115"/>
      <x:c r="BP441" s="115"/>
      <x:c r="BQ441" s="115"/>
      <x:c r="BR441" s="115"/>
      <x:c r="BS441" s="115"/>
      <x:c r="BT441" s="115"/>
      <x:c r="BU441" s="115"/>
      <x:c r="BV441" s="115"/>
      <x:c r="BW441" s="115"/>
      <x:c r="BX441" s="115"/>
      <x:c r="BY441" s="115"/>
      <x:c r="BZ441" s="115"/>
      <x:c r="CA441" s="115"/>
      <x:c r="CB441" s="116"/>
      <x:c r="CC441" s="141" t="str">
        <x:f>IF(COUNT(G441:P441)=0,"",AVERAGE(G441:P441)*4)</x:f>
      </x:c>
      <x:c r="CD441" s="178" t="str">
        <x:f>IF(COUNT(Q441:Z441)=0,"",AVERAGE(Q441:Z441)*4)</x:f>
      </x:c>
      <x:c r="CE441" s="178" t="str">
        <x:f>IF(COUNT(AA441:AJ441)=0,"",AVERAGE(AA441:AJ441)*4)</x:f>
      </x:c>
      <x:c r="CF441" s="178" t="str">
        <x:f>IF(COUNT(AK441:AR441)=0,"",AVERAGE(AK441:AR441)*4)</x:f>
      </x:c>
      <x:c r="CG441" s="178" t="str">
        <x:f>IF(COUNT(AS441:AY441)=0,"",AVERAGE(AS441:AY441)*4)</x:f>
      </x:c>
      <x:c r="CH441" s="178" t="str">
        <x:f>IF(COUNT(AZ441:BG441)=0,"",AVERAGE(AZ441:BG441)*4)</x:f>
      </x:c>
      <x:c r="CI441" s="178" t="str">
        <x:f>IF(COUNT(BH441:BN441)=0,"",AVERAGE(BH441:BN441)*4)</x:f>
      </x:c>
      <x:c r="CJ441" s="178" t="str">
        <x:f>IF(COUNT(BO441:BU441)=0,"",AVERAGE(BO441:BU441)*4)</x:f>
      </x:c>
      <x:c r="CK441" s="178" t="str">
        <x:f>IF(COUNT(BV441:CB441)=0,"",AVERAGE(BV441:CB441)*4)</x:f>
      </x:c>
      <x:c r="CL441" s="178" t="str">
        <x:f>IF(C441="","",IF(COUNT(G441:CB441)&lt;74,"",(CC441*'تنظیمات وزن‌دهی'!$C$5+CD441*'تنظیمات وزن‌دهی'!$C$6+CE441*'تنظیمات وزن‌دهی'!$C$7+CF441*'تنظیمات وزن‌دهی'!$C$8+CG441*'تنظیمات وزن‌دهی'!$C$9+CH441*'تنظیمات وزن‌دهی'!$C$10+CI441*'تنظیمات وزن‌دهی'!$C$11+CJ441*'تنظیمات وزن‌دهی'!$C$12+CK441*'تنظیمات وزن‌دهی'!$C$13)/100))</x:f>
      </x:c>
      <x:c r="CM441" s="178" t="str">
        <x:f>IF(C441="","",IF(COUNT(G441:CB441)=0,"",IF(COUNT(G441:CB441)&lt;74,"موقت - اطلاعات ناقص",IF(CL441&gt;=17,"عالی",IF(CL441&gt;=14,"خوب",IF(CL441&gt;=10,"متوسط","ضعیف"))))))</x:f>
      </x:c>
      <x:c r="CN441" s="178" t="n">
        <x:v>5</x:v>
      </x:c>
      <x:c r="CO441" s="142" t="n">
        <x:f>IF(C441="","",COUNT(G441:CB441)/74)</x:f>
        <x:v>0</x:v>
      </x:c>
      <x:c r="CP441" s="245"/>
    </x:row>
    <x:row r="442">
      <x:c r="A442" s="165" t="n">
        <x:v>438</x:v>
      </x:c>
      <x:c r="B442" s="233" t="str">
        <x:v>آذر</x:v>
      </x:c>
      <x:c r="C442" s="233" t="n">
        <x:f>IF('دانش‌آموزان'!E41="","",'دانش‌آموزان'!B41)</x:f>
        <x:v>37</x:v>
      </x:c>
      <x:c r="D442" s="233" t="str">
        <x:f>IF('دانش‌آموزان'!C41="","",'دانش‌آموزان'!C41)</x:f>
        <x:v>4000000373</x:v>
      </x:c>
      <x:c r="E442" s="233" t="str">
        <x:f>IF('دانش‌آموزان'!E41="","",'دانش‌آموزان'!E41&amp;" "&amp;'دانش‌آموزان'!F41)</x:f>
        <x:v>سینا رحیمی</x:v>
      </x:c>
      <x:c r="F442" s="166" t="str">
        <x:f>IF('دانش‌آموزان'!I41="","",'دانش‌آموزان'!I41)</x:f>
        <x:v>sample-7-b</x:v>
      </x:c>
      <x:c r="G442" s="114"/>
      <x:c r="H442" s="115"/>
      <x:c r="I442" s="115"/>
      <x:c r="J442" s="115"/>
      <x:c r="K442" s="115"/>
      <x:c r="L442" s="115"/>
      <x:c r="M442" s="115"/>
      <x:c r="N442" s="115"/>
      <x:c r="O442" s="115"/>
      <x:c r="P442" s="115"/>
      <x:c r="Q442" s="115"/>
      <x:c r="R442" s="115"/>
      <x:c r="S442" s="115"/>
      <x:c r="T442" s="115"/>
      <x:c r="U442" s="115"/>
      <x:c r="V442" s="115"/>
      <x:c r="W442" s="115"/>
      <x:c r="X442" s="115"/>
      <x:c r="Y442" s="115"/>
      <x:c r="Z442" s="115"/>
      <x:c r="AA442" s="115"/>
      <x:c r="AB442" s="115"/>
      <x:c r="AC442" s="115"/>
      <x:c r="AD442" s="115"/>
      <x:c r="AE442" s="115"/>
      <x:c r="AF442" s="115"/>
      <x:c r="AG442" s="115"/>
      <x:c r="AH442" s="115"/>
      <x:c r="AI442" s="115"/>
      <x:c r="AJ442" s="115"/>
      <x:c r="AK442" s="115"/>
      <x:c r="AL442" s="115"/>
      <x:c r="AM442" s="115"/>
      <x:c r="AN442" s="115"/>
      <x:c r="AO442" s="115"/>
      <x:c r="AP442" s="115"/>
      <x:c r="AQ442" s="115"/>
      <x:c r="AR442" s="115"/>
      <x:c r="AS442" s="115"/>
      <x:c r="AT442" s="115"/>
      <x:c r="AU442" s="115"/>
      <x:c r="AV442" s="115"/>
      <x:c r="AW442" s="115"/>
      <x:c r="AX442" s="115"/>
      <x:c r="AY442" s="115"/>
      <x:c r="AZ442" s="115"/>
      <x:c r="BA442" s="115"/>
      <x:c r="BB442" s="115"/>
      <x:c r="BC442" s="115"/>
      <x:c r="BD442" s="115"/>
      <x:c r="BE442" s="115"/>
      <x:c r="BF442" s="115"/>
      <x:c r="BG442" s="115"/>
      <x:c r="BH442" s="115"/>
      <x:c r="BI442" s="115"/>
      <x:c r="BJ442" s="115"/>
      <x:c r="BK442" s="115"/>
      <x:c r="BL442" s="115"/>
      <x:c r="BM442" s="115"/>
      <x:c r="BN442" s="115"/>
      <x:c r="BO442" s="115"/>
      <x:c r="BP442" s="115"/>
      <x:c r="BQ442" s="115"/>
      <x:c r="BR442" s="115"/>
      <x:c r="BS442" s="115"/>
      <x:c r="BT442" s="115"/>
      <x:c r="BU442" s="115"/>
      <x:c r="BV442" s="115"/>
      <x:c r="BW442" s="115"/>
      <x:c r="BX442" s="115"/>
      <x:c r="BY442" s="115"/>
      <x:c r="BZ442" s="115"/>
      <x:c r="CA442" s="115"/>
      <x:c r="CB442" s="116"/>
      <x:c r="CC442" s="141" t="str">
        <x:f>IF(COUNT(G442:P442)=0,"",AVERAGE(G442:P442)*4)</x:f>
      </x:c>
      <x:c r="CD442" s="178" t="str">
        <x:f>IF(COUNT(Q442:Z442)=0,"",AVERAGE(Q442:Z442)*4)</x:f>
      </x:c>
      <x:c r="CE442" s="178" t="str">
        <x:f>IF(COUNT(AA442:AJ442)=0,"",AVERAGE(AA442:AJ442)*4)</x:f>
      </x:c>
      <x:c r="CF442" s="178" t="str">
        <x:f>IF(COUNT(AK442:AR442)=0,"",AVERAGE(AK442:AR442)*4)</x:f>
      </x:c>
      <x:c r="CG442" s="178" t="str">
        <x:f>IF(COUNT(AS442:AY442)=0,"",AVERAGE(AS442:AY442)*4)</x:f>
      </x:c>
      <x:c r="CH442" s="178" t="str">
        <x:f>IF(COUNT(AZ442:BG442)=0,"",AVERAGE(AZ442:BG442)*4)</x:f>
      </x:c>
      <x:c r="CI442" s="178" t="str">
        <x:f>IF(COUNT(BH442:BN442)=0,"",AVERAGE(BH442:BN442)*4)</x:f>
      </x:c>
      <x:c r="CJ442" s="178" t="str">
        <x:f>IF(COUNT(BO442:BU442)=0,"",AVERAGE(BO442:BU442)*4)</x:f>
      </x:c>
      <x:c r="CK442" s="178" t="str">
        <x:f>IF(COUNT(BV442:CB442)=0,"",AVERAGE(BV442:CB442)*4)</x:f>
      </x:c>
      <x:c r="CL442" s="178" t="str">
        <x:f>IF(C442="","",IF(COUNT(G442:CB442)&lt;74,"",(CC442*'تنظیمات وزن‌دهی'!$C$5+CD442*'تنظیمات وزن‌دهی'!$C$6+CE442*'تنظیمات وزن‌دهی'!$C$7+CF442*'تنظیمات وزن‌دهی'!$C$8+CG442*'تنظیمات وزن‌دهی'!$C$9+CH442*'تنظیمات وزن‌دهی'!$C$10+CI442*'تنظیمات وزن‌دهی'!$C$11+CJ442*'تنظیمات وزن‌دهی'!$C$12+CK442*'تنظیمات وزن‌دهی'!$C$13)/100))</x:f>
      </x:c>
      <x:c r="CM442" s="178" t="str">
        <x:f>IF(C442="","",IF(COUNT(G442:CB442)=0,"",IF(COUNT(G442:CB442)&lt;74,"موقت - اطلاعات ناقص",IF(CL442&gt;=17,"عالی",IF(CL442&gt;=14,"خوب",IF(CL442&gt;=10,"متوسط","ضعیف"))))))</x:f>
      </x:c>
      <x:c r="CN442" s="178" t="n">
        <x:v>6</x:v>
      </x:c>
      <x:c r="CO442" s="142" t="n">
        <x:f>IF(C442="","",COUNT(G442:CB442)/74)</x:f>
        <x:v>0</x:v>
      </x:c>
      <x:c r="CP442" s="245"/>
    </x:row>
    <x:row r="443">
      <x:c r="A443" s="165" t="n">
        <x:v>439</x:v>
      </x:c>
      <x:c r="B443" s="233" t="str">
        <x:v>دی</x:v>
      </x:c>
      <x:c r="C443" s="233" t="n">
        <x:f>IF('دانش‌آموزان'!E41="","",'دانش‌آموزان'!B41)</x:f>
        <x:v>37</x:v>
      </x:c>
      <x:c r="D443" s="233" t="str">
        <x:f>IF('دانش‌آموزان'!C41="","",'دانش‌آموزان'!C41)</x:f>
        <x:v>4000000373</x:v>
      </x:c>
      <x:c r="E443" s="233" t="str">
        <x:f>IF('دانش‌آموزان'!E41="","",'دانش‌آموزان'!E41&amp;" "&amp;'دانش‌آموزان'!F41)</x:f>
        <x:v>سینا رحیمی</x:v>
      </x:c>
      <x:c r="F443" s="166" t="str">
        <x:f>IF('دانش‌آموزان'!I41="","",'دانش‌آموزان'!I41)</x:f>
        <x:v>sample-7-b</x:v>
      </x:c>
      <x:c r="G443" s="114"/>
      <x:c r="H443" s="115"/>
      <x:c r="I443" s="115"/>
      <x:c r="J443" s="115"/>
      <x:c r="K443" s="115"/>
      <x:c r="L443" s="115"/>
      <x:c r="M443" s="115"/>
      <x:c r="N443" s="115"/>
      <x:c r="O443" s="115"/>
      <x:c r="P443" s="115"/>
      <x:c r="Q443" s="115"/>
      <x:c r="R443" s="115"/>
      <x:c r="S443" s="115"/>
      <x:c r="T443" s="115"/>
      <x:c r="U443" s="115"/>
      <x:c r="V443" s="115"/>
      <x:c r="W443" s="115"/>
      <x:c r="X443" s="115"/>
      <x:c r="Y443" s="115"/>
      <x:c r="Z443" s="115"/>
      <x:c r="AA443" s="115"/>
      <x:c r="AB443" s="115"/>
      <x:c r="AC443" s="115"/>
      <x:c r="AD443" s="115"/>
      <x:c r="AE443" s="115"/>
      <x:c r="AF443" s="115"/>
      <x:c r="AG443" s="115"/>
      <x:c r="AH443" s="115"/>
      <x:c r="AI443" s="115"/>
      <x:c r="AJ443" s="115"/>
      <x:c r="AK443" s="115"/>
      <x:c r="AL443" s="115"/>
      <x:c r="AM443" s="115"/>
      <x:c r="AN443" s="115"/>
      <x:c r="AO443" s="115"/>
      <x:c r="AP443" s="115"/>
      <x:c r="AQ443" s="115"/>
      <x:c r="AR443" s="115"/>
      <x:c r="AS443" s="115"/>
      <x:c r="AT443" s="115"/>
      <x:c r="AU443" s="115"/>
      <x:c r="AV443" s="115"/>
      <x:c r="AW443" s="115"/>
      <x:c r="AX443" s="115"/>
      <x:c r="AY443" s="115"/>
      <x:c r="AZ443" s="115"/>
      <x:c r="BA443" s="115"/>
      <x:c r="BB443" s="115"/>
      <x:c r="BC443" s="115"/>
      <x:c r="BD443" s="115"/>
      <x:c r="BE443" s="115"/>
      <x:c r="BF443" s="115"/>
      <x:c r="BG443" s="115"/>
      <x:c r="BH443" s="115"/>
      <x:c r="BI443" s="115"/>
      <x:c r="BJ443" s="115"/>
      <x:c r="BK443" s="115"/>
      <x:c r="BL443" s="115"/>
      <x:c r="BM443" s="115"/>
      <x:c r="BN443" s="115"/>
      <x:c r="BO443" s="115"/>
      <x:c r="BP443" s="115"/>
      <x:c r="BQ443" s="115"/>
      <x:c r="BR443" s="115"/>
      <x:c r="BS443" s="115"/>
      <x:c r="BT443" s="115"/>
      <x:c r="BU443" s="115"/>
      <x:c r="BV443" s="115"/>
      <x:c r="BW443" s="115"/>
      <x:c r="BX443" s="115"/>
      <x:c r="BY443" s="115"/>
      <x:c r="BZ443" s="115"/>
      <x:c r="CA443" s="115"/>
      <x:c r="CB443" s="116"/>
      <x:c r="CC443" s="141" t="str">
        <x:f>IF(COUNT(G443:P443)=0,"",AVERAGE(G443:P443)*4)</x:f>
      </x:c>
      <x:c r="CD443" s="178" t="str">
        <x:f>IF(COUNT(Q443:Z443)=0,"",AVERAGE(Q443:Z443)*4)</x:f>
      </x:c>
      <x:c r="CE443" s="178" t="str">
        <x:f>IF(COUNT(AA443:AJ443)=0,"",AVERAGE(AA443:AJ443)*4)</x:f>
      </x:c>
      <x:c r="CF443" s="178" t="str">
        <x:f>IF(COUNT(AK443:AR443)=0,"",AVERAGE(AK443:AR443)*4)</x:f>
      </x:c>
      <x:c r="CG443" s="178" t="str">
        <x:f>IF(COUNT(AS443:AY443)=0,"",AVERAGE(AS443:AY443)*4)</x:f>
      </x:c>
      <x:c r="CH443" s="178" t="str">
        <x:f>IF(COUNT(AZ443:BG443)=0,"",AVERAGE(AZ443:BG443)*4)</x:f>
      </x:c>
      <x:c r="CI443" s="178" t="str">
        <x:f>IF(COUNT(BH443:BN443)=0,"",AVERAGE(BH443:BN443)*4)</x:f>
      </x:c>
      <x:c r="CJ443" s="178" t="str">
        <x:f>IF(COUNT(BO443:BU443)=0,"",AVERAGE(BO443:BU443)*4)</x:f>
      </x:c>
      <x:c r="CK443" s="178" t="str">
        <x:f>IF(COUNT(BV443:CB443)=0,"",AVERAGE(BV443:CB443)*4)</x:f>
      </x:c>
      <x:c r="CL443" s="178" t="str">
        <x:f>IF(C443="","",IF(COUNT(G443:CB443)&lt;74,"",(CC443*'تنظیمات وزن‌دهی'!$C$5+CD443*'تنظیمات وزن‌دهی'!$C$6+CE443*'تنظیمات وزن‌دهی'!$C$7+CF443*'تنظیمات وزن‌دهی'!$C$8+CG443*'تنظیمات وزن‌دهی'!$C$9+CH443*'تنظیمات وزن‌دهی'!$C$10+CI443*'تنظیمات وزن‌دهی'!$C$11+CJ443*'تنظیمات وزن‌دهی'!$C$12+CK443*'تنظیمات وزن‌دهی'!$C$13)/100))</x:f>
      </x:c>
      <x:c r="CM443" s="178" t="str">
        <x:f>IF(C443="","",IF(COUNT(G443:CB443)=0,"",IF(COUNT(G443:CB443)&lt;74,"موقت - اطلاعات ناقص",IF(CL443&gt;=17,"عالی",IF(CL443&gt;=14,"خوب",IF(CL443&gt;=10,"متوسط","ضعیف"))))))</x:f>
      </x:c>
      <x:c r="CN443" s="178" t="n">
        <x:v>7</x:v>
      </x:c>
      <x:c r="CO443" s="142" t="n">
        <x:f>IF(C443="","",COUNT(G443:CB443)/74)</x:f>
        <x:v>0</x:v>
      </x:c>
      <x:c r="CP443" s="245"/>
    </x:row>
    <x:row r="444">
      <x:c r="A444" s="165" t="n">
        <x:v>440</x:v>
      </x:c>
      <x:c r="B444" s="233" t="str">
        <x:v>بهمن</x:v>
      </x:c>
      <x:c r="C444" s="233" t="n">
        <x:f>IF('دانش‌آموزان'!E41="","",'دانش‌آموزان'!B41)</x:f>
        <x:v>37</x:v>
      </x:c>
      <x:c r="D444" s="233" t="str">
        <x:f>IF('دانش‌آموزان'!C41="","",'دانش‌آموزان'!C41)</x:f>
        <x:v>4000000373</x:v>
      </x:c>
      <x:c r="E444" s="233" t="str">
        <x:f>IF('دانش‌آموزان'!E41="","",'دانش‌آموزان'!E41&amp;" "&amp;'دانش‌آموزان'!F41)</x:f>
        <x:v>سینا رحیمی</x:v>
      </x:c>
      <x:c r="F444" s="166" t="str">
        <x:f>IF('دانش‌آموزان'!I41="","",'دانش‌آموزان'!I41)</x:f>
        <x:v>sample-7-b</x:v>
      </x:c>
      <x:c r="G444" s="114"/>
      <x:c r="H444" s="115"/>
      <x:c r="I444" s="115"/>
      <x:c r="J444" s="115"/>
      <x:c r="K444" s="115"/>
      <x:c r="L444" s="115"/>
      <x:c r="M444" s="115"/>
      <x:c r="N444" s="115"/>
      <x:c r="O444" s="115"/>
      <x:c r="P444" s="115"/>
      <x:c r="Q444" s="115"/>
      <x:c r="R444" s="115"/>
      <x:c r="S444" s="115"/>
      <x:c r="T444" s="115"/>
      <x:c r="U444" s="115"/>
      <x:c r="V444" s="115"/>
      <x:c r="W444" s="115"/>
      <x:c r="X444" s="115"/>
      <x:c r="Y444" s="115"/>
      <x:c r="Z444" s="115"/>
      <x:c r="AA444" s="115"/>
      <x:c r="AB444" s="115"/>
      <x:c r="AC444" s="115"/>
      <x:c r="AD444" s="115"/>
      <x:c r="AE444" s="115"/>
      <x:c r="AF444" s="115"/>
      <x:c r="AG444" s="115"/>
      <x:c r="AH444" s="115"/>
      <x:c r="AI444" s="115"/>
      <x:c r="AJ444" s="115"/>
      <x:c r="AK444" s="115"/>
      <x:c r="AL444" s="115"/>
      <x:c r="AM444" s="115"/>
      <x:c r="AN444" s="115"/>
      <x:c r="AO444" s="115"/>
      <x:c r="AP444" s="115"/>
      <x:c r="AQ444" s="115"/>
      <x:c r="AR444" s="115"/>
      <x:c r="AS444" s="115"/>
      <x:c r="AT444" s="115"/>
      <x:c r="AU444" s="115"/>
      <x:c r="AV444" s="115"/>
      <x:c r="AW444" s="115"/>
      <x:c r="AX444" s="115"/>
      <x:c r="AY444" s="115"/>
      <x:c r="AZ444" s="115"/>
      <x:c r="BA444" s="115"/>
      <x:c r="BB444" s="115"/>
      <x:c r="BC444" s="115"/>
      <x:c r="BD444" s="115"/>
      <x:c r="BE444" s="115"/>
      <x:c r="BF444" s="115"/>
      <x:c r="BG444" s="115"/>
      <x:c r="BH444" s="115"/>
      <x:c r="BI444" s="115"/>
      <x:c r="BJ444" s="115"/>
      <x:c r="BK444" s="115"/>
      <x:c r="BL444" s="115"/>
      <x:c r="BM444" s="115"/>
      <x:c r="BN444" s="115"/>
      <x:c r="BO444" s="115"/>
      <x:c r="BP444" s="115"/>
      <x:c r="BQ444" s="115"/>
      <x:c r="BR444" s="115"/>
      <x:c r="BS444" s="115"/>
      <x:c r="BT444" s="115"/>
      <x:c r="BU444" s="115"/>
      <x:c r="BV444" s="115"/>
      <x:c r="BW444" s="115"/>
      <x:c r="BX444" s="115"/>
      <x:c r="BY444" s="115"/>
      <x:c r="BZ444" s="115"/>
      <x:c r="CA444" s="115"/>
      <x:c r="CB444" s="116"/>
      <x:c r="CC444" s="141" t="str">
        <x:f>IF(COUNT(G444:P444)=0,"",AVERAGE(G444:P444)*4)</x:f>
      </x:c>
      <x:c r="CD444" s="178" t="str">
        <x:f>IF(COUNT(Q444:Z444)=0,"",AVERAGE(Q444:Z444)*4)</x:f>
      </x:c>
      <x:c r="CE444" s="178" t="str">
        <x:f>IF(COUNT(AA444:AJ444)=0,"",AVERAGE(AA444:AJ444)*4)</x:f>
      </x:c>
      <x:c r="CF444" s="178" t="str">
        <x:f>IF(COUNT(AK444:AR444)=0,"",AVERAGE(AK444:AR444)*4)</x:f>
      </x:c>
      <x:c r="CG444" s="178" t="str">
        <x:f>IF(COUNT(AS444:AY444)=0,"",AVERAGE(AS444:AY444)*4)</x:f>
      </x:c>
      <x:c r="CH444" s="178" t="str">
        <x:f>IF(COUNT(AZ444:BG444)=0,"",AVERAGE(AZ444:BG444)*4)</x:f>
      </x:c>
      <x:c r="CI444" s="178" t="str">
        <x:f>IF(COUNT(BH444:BN444)=0,"",AVERAGE(BH444:BN444)*4)</x:f>
      </x:c>
      <x:c r="CJ444" s="178" t="str">
        <x:f>IF(COUNT(BO444:BU444)=0,"",AVERAGE(BO444:BU444)*4)</x:f>
      </x:c>
      <x:c r="CK444" s="178" t="str">
        <x:f>IF(COUNT(BV444:CB444)=0,"",AVERAGE(BV444:CB444)*4)</x:f>
      </x:c>
      <x:c r="CL444" s="178" t="str">
        <x:f>IF(C444="","",IF(COUNT(G444:CB444)&lt;74,"",(CC444*'تنظیمات وزن‌دهی'!$C$5+CD444*'تنظیمات وزن‌دهی'!$C$6+CE444*'تنظیمات وزن‌دهی'!$C$7+CF444*'تنظیمات وزن‌دهی'!$C$8+CG444*'تنظیمات وزن‌دهی'!$C$9+CH444*'تنظیمات وزن‌دهی'!$C$10+CI444*'تنظیمات وزن‌دهی'!$C$11+CJ444*'تنظیمات وزن‌دهی'!$C$12+CK444*'تنظیمات وزن‌دهی'!$C$13)/100))</x:f>
      </x:c>
      <x:c r="CM444" s="178" t="str">
        <x:f>IF(C444="","",IF(COUNT(G444:CB444)=0,"",IF(COUNT(G444:CB444)&lt;74,"موقت - اطلاعات ناقص",IF(CL444&gt;=17,"عالی",IF(CL444&gt;=14,"خوب",IF(CL444&gt;=10,"متوسط","ضعیف"))))))</x:f>
      </x:c>
      <x:c r="CN444" s="178" t="n">
        <x:v>8</x:v>
      </x:c>
      <x:c r="CO444" s="142" t="n">
        <x:f>IF(C444="","",COUNT(G444:CB444)/74)</x:f>
        <x:v>0</x:v>
      </x:c>
      <x:c r="CP444" s="245"/>
    </x:row>
    <x:row r="445">
      <x:c r="A445" s="165" t="n">
        <x:v>441</x:v>
      </x:c>
      <x:c r="B445" s="233" t="str">
        <x:v>اسفند</x:v>
      </x:c>
      <x:c r="C445" s="233" t="n">
        <x:f>IF('دانش‌آموزان'!E41="","",'دانش‌آموزان'!B41)</x:f>
        <x:v>37</x:v>
      </x:c>
      <x:c r="D445" s="233" t="str">
        <x:f>IF('دانش‌آموزان'!C41="","",'دانش‌آموزان'!C41)</x:f>
        <x:v>4000000373</x:v>
      </x:c>
      <x:c r="E445" s="233" t="str">
        <x:f>IF('دانش‌آموزان'!E41="","",'دانش‌آموزان'!E41&amp;" "&amp;'دانش‌آموزان'!F41)</x:f>
        <x:v>سینا رحیمی</x:v>
      </x:c>
      <x:c r="F445" s="166" t="str">
        <x:f>IF('دانش‌آموزان'!I41="","",'دانش‌آموزان'!I41)</x:f>
        <x:v>sample-7-b</x:v>
      </x:c>
      <x:c r="G445" s="114"/>
      <x:c r="H445" s="115"/>
      <x:c r="I445" s="115"/>
      <x:c r="J445" s="115"/>
      <x:c r="K445" s="115"/>
      <x:c r="L445" s="115"/>
      <x:c r="M445" s="115"/>
      <x:c r="N445" s="115"/>
      <x:c r="O445" s="115"/>
      <x:c r="P445" s="115"/>
      <x:c r="Q445" s="115"/>
      <x:c r="R445" s="115"/>
      <x:c r="S445" s="115"/>
      <x:c r="T445" s="115"/>
      <x:c r="U445" s="115"/>
      <x:c r="V445" s="115"/>
      <x:c r="W445" s="115"/>
      <x:c r="X445" s="115"/>
      <x:c r="Y445" s="115"/>
      <x:c r="Z445" s="115"/>
      <x:c r="AA445" s="115"/>
      <x:c r="AB445" s="115"/>
      <x:c r="AC445" s="115"/>
      <x:c r="AD445" s="115"/>
      <x:c r="AE445" s="115"/>
      <x:c r="AF445" s="115"/>
      <x:c r="AG445" s="115"/>
      <x:c r="AH445" s="115"/>
      <x:c r="AI445" s="115"/>
      <x:c r="AJ445" s="115"/>
      <x:c r="AK445" s="115"/>
      <x:c r="AL445" s="115"/>
      <x:c r="AM445" s="115"/>
      <x:c r="AN445" s="115"/>
      <x:c r="AO445" s="115"/>
      <x:c r="AP445" s="115"/>
      <x:c r="AQ445" s="115"/>
      <x:c r="AR445" s="115"/>
      <x:c r="AS445" s="115"/>
      <x:c r="AT445" s="115"/>
      <x:c r="AU445" s="115"/>
      <x:c r="AV445" s="115"/>
      <x:c r="AW445" s="115"/>
      <x:c r="AX445" s="115"/>
      <x:c r="AY445" s="115"/>
      <x:c r="AZ445" s="115"/>
      <x:c r="BA445" s="115"/>
      <x:c r="BB445" s="115"/>
      <x:c r="BC445" s="115"/>
      <x:c r="BD445" s="115"/>
      <x:c r="BE445" s="115"/>
      <x:c r="BF445" s="115"/>
      <x:c r="BG445" s="115"/>
      <x:c r="BH445" s="115"/>
      <x:c r="BI445" s="115"/>
      <x:c r="BJ445" s="115"/>
      <x:c r="BK445" s="115"/>
      <x:c r="BL445" s="115"/>
      <x:c r="BM445" s="115"/>
      <x:c r="BN445" s="115"/>
      <x:c r="BO445" s="115"/>
      <x:c r="BP445" s="115"/>
      <x:c r="BQ445" s="115"/>
      <x:c r="BR445" s="115"/>
      <x:c r="BS445" s="115"/>
      <x:c r="BT445" s="115"/>
      <x:c r="BU445" s="115"/>
      <x:c r="BV445" s="115"/>
      <x:c r="BW445" s="115"/>
      <x:c r="BX445" s="115"/>
      <x:c r="BY445" s="115"/>
      <x:c r="BZ445" s="115"/>
      <x:c r="CA445" s="115"/>
      <x:c r="CB445" s="116"/>
      <x:c r="CC445" s="141" t="str">
        <x:f>IF(COUNT(G445:P445)=0,"",AVERAGE(G445:P445)*4)</x:f>
      </x:c>
      <x:c r="CD445" s="178" t="str">
        <x:f>IF(COUNT(Q445:Z445)=0,"",AVERAGE(Q445:Z445)*4)</x:f>
      </x:c>
      <x:c r="CE445" s="178" t="str">
        <x:f>IF(COUNT(AA445:AJ445)=0,"",AVERAGE(AA445:AJ445)*4)</x:f>
      </x:c>
      <x:c r="CF445" s="178" t="str">
        <x:f>IF(COUNT(AK445:AR445)=0,"",AVERAGE(AK445:AR445)*4)</x:f>
      </x:c>
      <x:c r="CG445" s="178" t="str">
        <x:f>IF(COUNT(AS445:AY445)=0,"",AVERAGE(AS445:AY445)*4)</x:f>
      </x:c>
      <x:c r="CH445" s="178" t="str">
        <x:f>IF(COUNT(AZ445:BG445)=0,"",AVERAGE(AZ445:BG445)*4)</x:f>
      </x:c>
      <x:c r="CI445" s="178" t="str">
        <x:f>IF(COUNT(BH445:BN445)=0,"",AVERAGE(BH445:BN445)*4)</x:f>
      </x:c>
      <x:c r="CJ445" s="178" t="str">
        <x:f>IF(COUNT(BO445:BU445)=0,"",AVERAGE(BO445:BU445)*4)</x:f>
      </x:c>
      <x:c r="CK445" s="178" t="str">
        <x:f>IF(COUNT(BV445:CB445)=0,"",AVERAGE(BV445:CB445)*4)</x:f>
      </x:c>
      <x:c r="CL445" s="178" t="str">
        <x:f>IF(C445="","",IF(COUNT(G445:CB445)&lt;74,"",(CC445*'تنظیمات وزن‌دهی'!$C$5+CD445*'تنظیمات وزن‌دهی'!$C$6+CE445*'تنظیمات وزن‌دهی'!$C$7+CF445*'تنظیمات وزن‌دهی'!$C$8+CG445*'تنظیمات وزن‌دهی'!$C$9+CH445*'تنظیمات وزن‌دهی'!$C$10+CI445*'تنظیمات وزن‌دهی'!$C$11+CJ445*'تنظیمات وزن‌دهی'!$C$12+CK445*'تنظیمات وزن‌دهی'!$C$13)/100))</x:f>
      </x:c>
      <x:c r="CM445" s="178" t="str">
        <x:f>IF(C445="","",IF(COUNT(G445:CB445)=0,"",IF(COUNT(G445:CB445)&lt;74,"موقت - اطلاعات ناقص",IF(CL445&gt;=17,"عالی",IF(CL445&gt;=14,"خوب",IF(CL445&gt;=10,"متوسط","ضعیف"))))))</x:f>
      </x:c>
      <x:c r="CN445" s="178" t="n">
        <x:v>9</x:v>
      </x:c>
      <x:c r="CO445" s="142" t="n">
        <x:f>IF(C445="","",COUNT(G445:CB445)/74)</x:f>
        <x:v>0</x:v>
      </x:c>
      <x:c r="CP445" s="245"/>
    </x:row>
    <x:row r="446">
      <x:c r="A446" s="165" t="n">
        <x:v>442</x:v>
      </x:c>
      <x:c r="B446" s="233" t="str">
        <x:v>فروردین</x:v>
      </x:c>
      <x:c r="C446" s="233" t="n">
        <x:f>IF('دانش‌آموزان'!E41="","",'دانش‌آموزان'!B41)</x:f>
        <x:v>37</x:v>
      </x:c>
      <x:c r="D446" s="233" t="str">
        <x:f>IF('دانش‌آموزان'!C41="","",'دانش‌آموزان'!C41)</x:f>
        <x:v>4000000373</x:v>
      </x:c>
      <x:c r="E446" s="233" t="str">
        <x:f>IF('دانش‌آموزان'!E41="","",'دانش‌آموزان'!E41&amp;" "&amp;'دانش‌آموزان'!F41)</x:f>
        <x:v>سینا رحیمی</x:v>
      </x:c>
      <x:c r="F446" s="166" t="str">
        <x:f>IF('دانش‌آموزان'!I41="","",'دانش‌آموزان'!I41)</x:f>
        <x:v>sample-7-b</x:v>
      </x:c>
      <x:c r="G446" s="114"/>
      <x:c r="H446" s="115"/>
      <x:c r="I446" s="115"/>
      <x:c r="J446" s="115"/>
      <x:c r="K446" s="115"/>
      <x:c r="L446" s="115"/>
      <x:c r="M446" s="115"/>
      <x:c r="N446" s="115"/>
      <x:c r="O446" s="115"/>
      <x:c r="P446" s="115"/>
      <x:c r="Q446" s="115"/>
      <x:c r="R446" s="115"/>
      <x:c r="S446" s="115"/>
      <x:c r="T446" s="115"/>
      <x:c r="U446" s="115"/>
      <x:c r="V446" s="115"/>
      <x:c r="W446" s="115"/>
      <x:c r="X446" s="115"/>
      <x:c r="Y446" s="115"/>
      <x:c r="Z446" s="115"/>
      <x:c r="AA446" s="115"/>
      <x:c r="AB446" s="115"/>
      <x:c r="AC446" s="115"/>
      <x:c r="AD446" s="115"/>
      <x:c r="AE446" s="115"/>
      <x:c r="AF446" s="115"/>
      <x:c r="AG446" s="115"/>
      <x:c r="AH446" s="115"/>
      <x:c r="AI446" s="115"/>
      <x:c r="AJ446" s="115"/>
      <x:c r="AK446" s="115"/>
      <x:c r="AL446" s="115"/>
      <x:c r="AM446" s="115"/>
      <x:c r="AN446" s="115"/>
      <x:c r="AO446" s="115"/>
      <x:c r="AP446" s="115"/>
      <x:c r="AQ446" s="115"/>
      <x:c r="AR446" s="115"/>
      <x:c r="AS446" s="115"/>
      <x:c r="AT446" s="115"/>
      <x:c r="AU446" s="115"/>
      <x:c r="AV446" s="115"/>
      <x:c r="AW446" s="115"/>
      <x:c r="AX446" s="115"/>
      <x:c r="AY446" s="115"/>
      <x:c r="AZ446" s="115"/>
      <x:c r="BA446" s="115"/>
      <x:c r="BB446" s="115"/>
      <x:c r="BC446" s="115"/>
      <x:c r="BD446" s="115"/>
      <x:c r="BE446" s="115"/>
      <x:c r="BF446" s="115"/>
      <x:c r="BG446" s="115"/>
      <x:c r="BH446" s="115"/>
      <x:c r="BI446" s="115"/>
      <x:c r="BJ446" s="115"/>
      <x:c r="BK446" s="115"/>
      <x:c r="BL446" s="115"/>
      <x:c r="BM446" s="115"/>
      <x:c r="BN446" s="115"/>
      <x:c r="BO446" s="115"/>
      <x:c r="BP446" s="115"/>
      <x:c r="BQ446" s="115"/>
      <x:c r="BR446" s="115"/>
      <x:c r="BS446" s="115"/>
      <x:c r="BT446" s="115"/>
      <x:c r="BU446" s="115"/>
      <x:c r="BV446" s="115"/>
      <x:c r="BW446" s="115"/>
      <x:c r="BX446" s="115"/>
      <x:c r="BY446" s="115"/>
      <x:c r="BZ446" s="115"/>
      <x:c r="CA446" s="115"/>
      <x:c r="CB446" s="116"/>
      <x:c r="CC446" s="141" t="str">
        <x:f>IF(COUNT(G446:P446)=0,"",AVERAGE(G446:P446)*4)</x:f>
      </x:c>
      <x:c r="CD446" s="178" t="str">
        <x:f>IF(COUNT(Q446:Z446)=0,"",AVERAGE(Q446:Z446)*4)</x:f>
      </x:c>
      <x:c r="CE446" s="178" t="str">
        <x:f>IF(COUNT(AA446:AJ446)=0,"",AVERAGE(AA446:AJ446)*4)</x:f>
      </x:c>
      <x:c r="CF446" s="178" t="str">
        <x:f>IF(COUNT(AK446:AR446)=0,"",AVERAGE(AK446:AR446)*4)</x:f>
      </x:c>
      <x:c r="CG446" s="178" t="str">
        <x:f>IF(COUNT(AS446:AY446)=0,"",AVERAGE(AS446:AY446)*4)</x:f>
      </x:c>
      <x:c r="CH446" s="178" t="str">
        <x:f>IF(COUNT(AZ446:BG446)=0,"",AVERAGE(AZ446:BG446)*4)</x:f>
      </x:c>
      <x:c r="CI446" s="178" t="str">
        <x:f>IF(COUNT(BH446:BN446)=0,"",AVERAGE(BH446:BN446)*4)</x:f>
      </x:c>
      <x:c r="CJ446" s="178" t="str">
        <x:f>IF(COUNT(BO446:BU446)=0,"",AVERAGE(BO446:BU446)*4)</x:f>
      </x:c>
      <x:c r="CK446" s="178" t="str">
        <x:f>IF(COUNT(BV446:CB446)=0,"",AVERAGE(BV446:CB446)*4)</x:f>
      </x:c>
      <x:c r="CL446" s="178" t="str">
        <x:f>IF(C446="","",IF(COUNT(G446:CB446)&lt;74,"",(CC446*'تنظیمات وزن‌دهی'!$C$5+CD446*'تنظیمات وزن‌دهی'!$C$6+CE446*'تنظیمات وزن‌دهی'!$C$7+CF446*'تنظیمات وزن‌دهی'!$C$8+CG446*'تنظیمات وزن‌دهی'!$C$9+CH446*'تنظیمات وزن‌دهی'!$C$10+CI446*'تنظیمات وزن‌دهی'!$C$11+CJ446*'تنظیمات وزن‌دهی'!$C$12+CK446*'تنظیمات وزن‌دهی'!$C$13)/100))</x:f>
      </x:c>
      <x:c r="CM446" s="178" t="str">
        <x:f>IF(C446="","",IF(COUNT(G446:CB446)=0,"",IF(COUNT(G446:CB446)&lt;74,"موقت - اطلاعات ناقص",IF(CL446&gt;=17,"عالی",IF(CL446&gt;=14,"خوب",IF(CL446&gt;=10,"متوسط","ضعیف"))))))</x:f>
      </x:c>
      <x:c r="CN446" s="178" t="n">
        <x:v>10</x:v>
      </x:c>
      <x:c r="CO446" s="142" t="n">
        <x:f>IF(C446="","",COUNT(G446:CB446)/74)</x:f>
        <x:v>0</x:v>
      </x:c>
      <x:c r="CP446" s="245"/>
    </x:row>
    <x:row r="447">
      <x:c r="A447" s="165" t="n">
        <x:v>443</x:v>
      </x:c>
      <x:c r="B447" s="233" t="str">
        <x:v>اردیبهشت</x:v>
      </x:c>
      <x:c r="C447" s="233" t="n">
        <x:f>IF('دانش‌آموزان'!E41="","",'دانش‌آموزان'!B41)</x:f>
        <x:v>37</x:v>
      </x:c>
      <x:c r="D447" s="233" t="str">
        <x:f>IF('دانش‌آموزان'!C41="","",'دانش‌آموزان'!C41)</x:f>
        <x:v>4000000373</x:v>
      </x:c>
      <x:c r="E447" s="233" t="str">
        <x:f>IF('دانش‌آموزان'!E41="","",'دانش‌آموزان'!E41&amp;" "&amp;'دانش‌آموزان'!F41)</x:f>
        <x:v>سینا رحیمی</x:v>
      </x:c>
      <x:c r="F447" s="166" t="str">
        <x:f>IF('دانش‌آموزان'!I41="","",'دانش‌آموزان'!I41)</x:f>
        <x:v>sample-7-b</x:v>
      </x:c>
      <x:c r="G447" s="114"/>
      <x:c r="H447" s="115"/>
      <x:c r="I447" s="115"/>
      <x:c r="J447" s="115"/>
      <x:c r="K447" s="115"/>
      <x:c r="L447" s="115"/>
      <x:c r="M447" s="115"/>
      <x:c r="N447" s="115"/>
      <x:c r="O447" s="115"/>
      <x:c r="P447" s="115"/>
      <x:c r="Q447" s="115"/>
      <x:c r="R447" s="115"/>
      <x:c r="S447" s="115"/>
      <x:c r="T447" s="115"/>
      <x:c r="U447" s="115"/>
      <x:c r="V447" s="115"/>
      <x:c r="W447" s="115"/>
      <x:c r="X447" s="115"/>
      <x:c r="Y447" s="115"/>
      <x:c r="Z447" s="115"/>
      <x:c r="AA447" s="115"/>
      <x:c r="AB447" s="115"/>
      <x:c r="AC447" s="115"/>
      <x:c r="AD447" s="115"/>
      <x:c r="AE447" s="115"/>
      <x:c r="AF447" s="115"/>
      <x:c r="AG447" s="115"/>
      <x:c r="AH447" s="115"/>
      <x:c r="AI447" s="115"/>
      <x:c r="AJ447" s="115"/>
      <x:c r="AK447" s="115"/>
      <x:c r="AL447" s="115"/>
      <x:c r="AM447" s="115"/>
      <x:c r="AN447" s="115"/>
      <x:c r="AO447" s="115"/>
      <x:c r="AP447" s="115"/>
      <x:c r="AQ447" s="115"/>
      <x:c r="AR447" s="115"/>
      <x:c r="AS447" s="115"/>
      <x:c r="AT447" s="115"/>
      <x:c r="AU447" s="115"/>
      <x:c r="AV447" s="115"/>
      <x:c r="AW447" s="115"/>
      <x:c r="AX447" s="115"/>
      <x:c r="AY447" s="115"/>
      <x:c r="AZ447" s="115"/>
      <x:c r="BA447" s="115"/>
      <x:c r="BB447" s="115"/>
      <x:c r="BC447" s="115"/>
      <x:c r="BD447" s="115"/>
      <x:c r="BE447" s="115"/>
      <x:c r="BF447" s="115"/>
      <x:c r="BG447" s="115"/>
      <x:c r="BH447" s="115"/>
      <x:c r="BI447" s="115"/>
      <x:c r="BJ447" s="115"/>
      <x:c r="BK447" s="115"/>
      <x:c r="BL447" s="115"/>
      <x:c r="BM447" s="115"/>
      <x:c r="BN447" s="115"/>
      <x:c r="BO447" s="115"/>
      <x:c r="BP447" s="115"/>
      <x:c r="BQ447" s="115"/>
      <x:c r="BR447" s="115"/>
      <x:c r="BS447" s="115"/>
      <x:c r="BT447" s="115"/>
      <x:c r="BU447" s="115"/>
      <x:c r="BV447" s="115"/>
      <x:c r="BW447" s="115"/>
      <x:c r="BX447" s="115"/>
      <x:c r="BY447" s="115"/>
      <x:c r="BZ447" s="115"/>
      <x:c r="CA447" s="115"/>
      <x:c r="CB447" s="116"/>
      <x:c r="CC447" s="141" t="str">
        <x:f>IF(COUNT(G447:P447)=0,"",AVERAGE(G447:P447)*4)</x:f>
      </x:c>
      <x:c r="CD447" s="178" t="str">
        <x:f>IF(COUNT(Q447:Z447)=0,"",AVERAGE(Q447:Z447)*4)</x:f>
      </x:c>
      <x:c r="CE447" s="178" t="str">
        <x:f>IF(COUNT(AA447:AJ447)=0,"",AVERAGE(AA447:AJ447)*4)</x:f>
      </x:c>
      <x:c r="CF447" s="178" t="str">
        <x:f>IF(COUNT(AK447:AR447)=0,"",AVERAGE(AK447:AR447)*4)</x:f>
      </x:c>
      <x:c r="CG447" s="178" t="str">
        <x:f>IF(COUNT(AS447:AY447)=0,"",AVERAGE(AS447:AY447)*4)</x:f>
      </x:c>
      <x:c r="CH447" s="178" t="str">
        <x:f>IF(COUNT(AZ447:BG447)=0,"",AVERAGE(AZ447:BG447)*4)</x:f>
      </x:c>
      <x:c r="CI447" s="178" t="str">
        <x:f>IF(COUNT(BH447:BN447)=0,"",AVERAGE(BH447:BN447)*4)</x:f>
      </x:c>
      <x:c r="CJ447" s="178" t="str">
        <x:f>IF(COUNT(BO447:BU447)=0,"",AVERAGE(BO447:BU447)*4)</x:f>
      </x:c>
      <x:c r="CK447" s="178" t="str">
        <x:f>IF(COUNT(BV447:CB447)=0,"",AVERAGE(BV447:CB447)*4)</x:f>
      </x:c>
      <x:c r="CL447" s="178" t="str">
        <x:f>IF(C447="","",IF(COUNT(G447:CB447)&lt;74,"",(CC447*'تنظیمات وزن‌دهی'!$C$5+CD447*'تنظیمات وزن‌دهی'!$C$6+CE447*'تنظیمات وزن‌دهی'!$C$7+CF447*'تنظیمات وزن‌دهی'!$C$8+CG447*'تنظیمات وزن‌دهی'!$C$9+CH447*'تنظیمات وزن‌دهی'!$C$10+CI447*'تنظیمات وزن‌دهی'!$C$11+CJ447*'تنظیمات وزن‌دهی'!$C$12+CK447*'تنظیمات وزن‌دهی'!$C$13)/100))</x:f>
      </x:c>
      <x:c r="CM447" s="178" t="str">
        <x:f>IF(C447="","",IF(COUNT(G447:CB447)=0,"",IF(COUNT(G447:CB447)&lt;74,"موقت - اطلاعات ناقص",IF(CL447&gt;=17,"عالی",IF(CL447&gt;=14,"خوب",IF(CL447&gt;=10,"متوسط","ضعیف"))))))</x:f>
      </x:c>
      <x:c r="CN447" s="178" t="n">
        <x:v>11</x:v>
      </x:c>
      <x:c r="CO447" s="142" t="n">
        <x:f>IF(C447="","",COUNT(G447:CB447)/74)</x:f>
        <x:v>0</x:v>
      </x:c>
      <x:c r="CP447" s="245"/>
    </x:row>
    <x:row r="448">
      <x:c r="A448" s="165" t="n">
        <x:v>444</x:v>
      </x:c>
      <x:c r="B448" s="233" t="str">
        <x:v>خرداد</x:v>
      </x:c>
      <x:c r="C448" s="233" t="n">
        <x:f>IF('دانش‌آموزان'!E41="","",'دانش‌آموزان'!B41)</x:f>
        <x:v>37</x:v>
      </x:c>
      <x:c r="D448" s="233" t="str">
        <x:f>IF('دانش‌آموزان'!C41="","",'دانش‌آموزان'!C41)</x:f>
        <x:v>4000000373</x:v>
      </x:c>
      <x:c r="E448" s="233" t="str">
        <x:f>IF('دانش‌آموزان'!E41="","",'دانش‌آموزان'!E41&amp;" "&amp;'دانش‌آموزان'!F41)</x:f>
        <x:v>سینا رحیمی</x:v>
      </x:c>
      <x:c r="F448" s="166" t="str">
        <x:f>IF('دانش‌آموزان'!I41="","",'دانش‌آموزان'!I41)</x:f>
        <x:v>sample-7-b</x:v>
      </x:c>
      <x:c r="G448" s="114"/>
      <x:c r="H448" s="115"/>
      <x:c r="I448" s="115"/>
      <x:c r="J448" s="115"/>
      <x:c r="K448" s="115"/>
      <x:c r="L448" s="115"/>
      <x:c r="M448" s="115"/>
      <x:c r="N448" s="115"/>
      <x:c r="O448" s="115"/>
      <x:c r="P448" s="115"/>
      <x:c r="Q448" s="115"/>
      <x:c r="R448" s="115"/>
      <x:c r="S448" s="115"/>
      <x:c r="T448" s="115"/>
      <x:c r="U448" s="115"/>
      <x:c r="V448" s="115"/>
      <x:c r="W448" s="115"/>
      <x:c r="X448" s="115"/>
      <x:c r="Y448" s="115"/>
      <x:c r="Z448" s="115"/>
      <x:c r="AA448" s="115"/>
      <x:c r="AB448" s="115"/>
      <x:c r="AC448" s="115"/>
      <x:c r="AD448" s="115"/>
      <x:c r="AE448" s="115"/>
      <x:c r="AF448" s="115"/>
      <x:c r="AG448" s="115"/>
      <x:c r="AH448" s="115"/>
      <x:c r="AI448" s="115"/>
      <x:c r="AJ448" s="115"/>
      <x:c r="AK448" s="115"/>
      <x:c r="AL448" s="115"/>
      <x:c r="AM448" s="115"/>
      <x:c r="AN448" s="115"/>
      <x:c r="AO448" s="115"/>
      <x:c r="AP448" s="115"/>
      <x:c r="AQ448" s="115"/>
      <x:c r="AR448" s="115"/>
      <x:c r="AS448" s="115"/>
      <x:c r="AT448" s="115"/>
      <x:c r="AU448" s="115"/>
      <x:c r="AV448" s="115"/>
      <x:c r="AW448" s="115"/>
      <x:c r="AX448" s="115"/>
      <x:c r="AY448" s="115"/>
      <x:c r="AZ448" s="115"/>
      <x:c r="BA448" s="115"/>
      <x:c r="BB448" s="115"/>
      <x:c r="BC448" s="115"/>
      <x:c r="BD448" s="115"/>
      <x:c r="BE448" s="115"/>
      <x:c r="BF448" s="115"/>
      <x:c r="BG448" s="115"/>
      <x:c r="BH448" s="115"/>
      <x:c r="BI448" s="115"/>
      <x:c r="BJ448" s="115"/>
      <x:c r="BK448" s="115"/>
      <x:c r="BL448" s="115"/>
      <x:c r="BM448" s="115"/>
      <x:c r="BN448" s="115"/>
      <x:c r="BO448" s="115"/>
      <x:c r="BP448" s="115"/>
      <x:c r="BQ448" s="115"/>
      <x:c r="BR448" s="115"/>
      <x:c r="BS448" s="115"/>
      <x:c r="BT448" s="115"/>
      <x:c r="BU448" s="115"/>
      <x:c r="BV448" s="115"/>
      <x:c r="BW448" s="115"/>
      <x:c r="BX448" s="115"/>
      <x:c r="BY448" s="115"/>
      <x:c r="BZ448" s="115"/>
      <x:c r="CA448" s="115"/>
      <x:c r="CB448" s="116"/>
      <x:c r="CC448" s="141" t="str">
        <x:f>IF(COUNT(G448:P448)=0,"",AVERAGE(G448:P448)*4)</x:f>
      </x:c>
      <x:c r="CD448" s="178" t="str">
        <x:f>IF(COUNT(Q448:Z448)=0,"",AVERAGE(Q448:Z448)*4)</x:f>
      </x:c>
      <x:c r="CE448" s="178" t="str">
        <x:f>IF(COUNT(AA448:AJ448)=0,"",AVERAGE(AA448:AJ448)*4)</x:f>
      </x:c>
      <x:c r="CF448" s="178" t="str">
        <x:f>IF(COUNT(AK448:AR448)=0,"",AVERAGE(AK448:AR448)*4)</x:f>
      </x:c>
      <x:c r="CG448" s="178" t="str">
        <x:f>IF(COUNT(AS448:AY448)=0,"",AVERAGE(AS448:AY448)*4)</x:f>
      </x:c>
      <x:c r="CH448" s="178" t="str">
        <x:f>IF(COUNT(AZ448:BG448)=0,"",AVERAGE(AZ448:BG448)*4)</x:f>
      </x:c>
      <x:c r="CI448" s="178" t="str">
        <x:f>IF(COUNT(BH448:BN448)=0,"",AVERAGE(BH448:BN448)*4)</x:f>
      </x:c>
      <x:c r="CJ448" s="178" t="str">
        <x:f>IF(COUNT(BO448:BU448)=0,"",AVERAGE(BO448:BU448)*4)</x:f>
      </x:c>
      <x:c r="CK448" s="178" t="str">
        <x:f>IF(COUNT(BV448:CB448)=0,"",AVERAGE(BV448:CB448)*4)</x:f>
      </x:c>
      <x:c r="CL448" s="178" t="str">
        <x:f>IF(C448="","",IF(COUNT(G448:CB448)&lt;74,"",(CC448*'تنظیمات وزن‌دهی'!$C$5+CD448*'تنظیمات وزن‌دهی'!$C$6+CE448*'تنظیمات وزن‌دهی'!$C$7+CF448*'تنظیمات وزن‌دهی'!$C$8+CG448*'تنظیمات وزن‌دهی'!$C$9+CH448*'تنظیمات وزن‌دهی'!$C$10+CI448*'تنظیمات وزن‌دهی'!$C$11+CJ448*'تنظیمات وزن‌دهی'!$C$12+CK448*'تنظیمات وزن‌دهی'!$C$13)/100))</x:f>
      </x:c>
      <x:c r="CM448" s="178" t="str">
        <x:f>IF(C448="","",IF(COUNT(G448:CB448)=0,"",IF(COUNT(G448:CB448)&lt;74,"موقت - اطلاعات ناقص",IF(CL448&gt;=17,"عالی",IF(CL448&gt;=14,"خوب",IF(CL448&gt;=10,"متوسط","ضعیف"))))))</x:f>
      </x:c>
      <x:c r="CN448" s="178" t="n">
        <x:v>12</x:v>
      </x:c>
      <x:c r="CO448" s="142" t="n">
        <x:f>IF(C448="","",COUNT(G448:CB448)/74)</x:f>
        <x:v>0</x:v>
      </x:c>
      <x:c r="CP448" s="245"/>
    </x:row>
    <x:row r="449">
      <x:c r="A449" s="165" t="n">
        <x:v>445</x:v>
      </x:c>
      <x:c r="B449" s="233" t="str">
        <x:v>تیر</x:v>
      </x:c>
      <x:c r="C449" s="233" t="n">
        <x:f>IF('دانش‌آموزان'!E42="","",'دانش‌آموزان'!B42)</x:f>
        <x:v>38</x:v>
      </x:c>
      <x:c r="D449" s="233" t="str">
        <x:f>IF('دانش‌آموزان'!C42="","",'دانش‌آموزان'!C42)</x:f>
        <x:v>4000000381</x:v>
      </x:c>
      <x:c r="E449" s="233" t="str">
        <x:f>IF('دانش‌آموزان'!E42="","",'دانش‌آموزان'!E42&amp;" "&amp;'دانش‌آموزان'!F42)</x:f>
        <x:v>یسنا حیدری</x:v>
      </x:c>
      <x:c r="F449" s="166" t="str">
        <x:f>IF('دانش‌آموزان'!I42="","",'دانش‌آموزان'!I42)</x:f>
        <x:v>sample-7-b</x:v>
      </x:c>
      <x:c r="G449" s="114" t="n">
        <x:v>3</x:v>
      </x:c>
      <x:c r="H449" s="115" t="n">
        <x:v>4</x:v>
      </x:c>
      <x:c r="I449" s="115" t="n">
        <x:v>2</x:v>
      </x:c>
      <x:c r="J449" s="115" t="n">
        <x:v>4</x:v>
      </x:c>
      <x:c r="K449" s="115" t="n">
        <x:v>5</x:v>
      </x:c>
      <x:c r="L449" s="115" t="n">
        <x:v>4</x:v>
      </x:c>
      <x:c r="M449" s="115" t="n">
        <x:v>5</x:v>
      </x:c>
      <x:c r="N449" s="115" t="n">
        <x:v>3</x:v>
      </x:c>
      <x:c r="O449" s="115" t="n">
        <x:v>5</x:v>
      </x:c>
      <x:c r="P449" s="115" t="n">
        <x:v>3</x:v>
      </x:c>
      <x:c r="Q449" s="115" t="n">
        <x:v>4</x:v>
      </x:c>
      <x:c r="R449" s="115" t="n">
        <x:v>3</x:v>
      </x:c>
      <x:c r="S449" s="115" t="n">
        <x:v>4</x:v>
      </x:c>
      <x:c r="T449" s="115" t="n">
        <x:v>2</x:v>
      </x:c>
      <x:c r="U449" s="115" t="n">
        <x:v>4</x:v>
      </x:c>
      <x:c r="V449" s="115" t="n">
        <x:v>5</x:v>
      </x:c>
      <x:c r="W449" s="115" t="n">
        <x:v>4</x:v>
      </x:c>
      <x:c r="X449" s="115" t="n">
        <x:v>5</x:v>
      </x:c>
      <x:c r="Y449" s="115" t="n">
        <x:v>3</x:v>
      </x:c>
      <x:c r="Z449" s="115" t="n">
        <x:v>5</x:v>
      </x:c>
      <x:c r="AA449" s="115" t="n">
        <x:v>3</x:v>
      </x:c>
      <x:c r="AB449" s="115" t="n">
        <x:v>4</x:v>
      </x:c>
      <x:c r="AC449" s="115" t="n">
        <x:v>3</x:v>
      </x:c>
      <x:c r="AD449" s="115" t="n">
        <x:v>4</x:v>
      </x:c>
      <x:c r="AE449" s="115" t="n">
        <x:v>2</x:v>
      </x:c>
      <x:c r="AF449" s="115" t="n">
        <x:v>4</x:v>
      </x:c>
      <x:c r="AG449" s="115" t="n">
        <x:v>5</x:v>
      </x:c>
      <x:c r="AH449" s="115" t="n">
        <x:v>4</x:v>
      </x:c>
      <x:c r="AI449" s="115" t="n">
        <x:v>5</x:v>
      </x:c>
      <x:c r="AJ449" s="115" t="n">
        <x:v>3</x:v>
      </x:c>
      <x:c r="AK449" s="115" t="n">
        <x:v>5</x:v>
      </x:c>
      <x:c r="AL449" s="115" t="n">
        <x:v>3</x:v>
      </x:c>
      <x:c r="AM449" s="115" t="n">
        <x:v>4</x:v>
      </x:c>
      <x:c r="AN449" s="115" t="n">
        <x:v>3</x:v>
      </x:c>
      <x:c r="AO449" s="115" t="n">
        <x:v>4</x:v>
      </x:c>
      <x:c r="AP449" s="115" t="n">
        <x:v>2</x:v>
      </x:c>
      <x:c r="AQ449" s="115" t="n">
        <x:v>4</x:v>
      </x:c>
      <x:c r="AR449" s="115" t="n">
        <x:v>5</x:v>
      </x:c>
      <x:c r="AS449" s="115" t="n">
        <x:v>4</x:v>
      </x:c>
      <x:c r="AT449" s="115" t="n">
        <x:v>5</x:v>
      </x:c>
      <x:c r="AU449" s="115" t="n">
        <x:v>3</x:v>
      </x:c>
      <x:c r="AV449" s="115" t="n">
        <x:v>5</x:v>
      </x:c>
      <x:c r="AW449" s="115" t="n">
        <x:v>3</x:v>
      </x:c>
      <x:c r="AX449" s="115" t="n">
        <x:v>4</x:v>
      </x:c>
      <x:c r="AY449" s="115" t="n">
        <x:v>3</x:v>
      </x:c>
      <x:c r="AZ449" s="115" t="n">
        <x:v>4</x:v>
      </x:c>
      <x:c r="BA449" s="115" t="n">
        <x:v>2</x:v>
      </x:c>
      <x:c r="BB449" s="115" t="n">
        <x:v>4</x:v>
      </x:c>
      <x:c r="BC449" s="115" t="n">
        <x:v>5</x:v>
      </x:c>
      <x:c r="BD449" s="115" t="n">
        <x:v>4</x:v>
      </x:c>
      <x:c r="BE449" s="115" t="n">
        <x:v>5</x:v>
      </x:c>
      <x:c r="BF449" s="115" t="n">
        <x:v>3</x:v>
      </x:c>
      <x:c r="BG449" s="115" t="n">
        <x:v>5</x:v>
      </x:c>
      <x:c r="BH449" s="115" t="n">
        <x:v>3</x:v>
      </x:c>
      <x:c r="BI449" s="115" t="n">
        <x:v>4</x:v>
      </x:c>
      <x:c r="BJ449" s="115" t="n">
        <x:v>3</x:v>
      </x:c>
      <x:c r="BK449" s="115" t="n">
        <x:v>4</x:v>
      </x:c>
      <x:c r="BL449" s="115" t="n">
        <x:v>2</x:v>
      </x:c>
      <x:c r="BM449" s="115" t="n">
        <x:v>4</x:v>
      </x:c>
      <x:c r="BN449" s="115" t="n">
        <x:v>5</x:v>
      </x:c>
      <x:c r="BO449" s="115" t="n">
        <x:v>4</x:v>
      </x:c>
      <x:c r="BP449" s="115" t="n">
        <x:v>5</x:v>
      </x:c>
      <x:c r="BQ449" s="115" t="n">
        <x:v>3</x:v>
      </x:c>
      <x:c r="BR449" s="115" t="n">
        <x:v>5</x:v>
      </x:c>
      <x:c r="BS449" s="115" t="n">
        <x:v>3</x:v>
      </x:c>
      <x:c r="BT449" s="115" t="n">
        <x:v>4</x:v>
      </x:c>
      <x:c r="BU449" s="115" t="n">
        <x:v>3</x:v>
      </x:c>
      <x:c r="BV449" s="115" t="n">
        <x:v>4</x:v>
      </x:c>
      <x:c r="BW449" s="115" t="n">
        <x:v>2</x:v>
      </x:c>
      <x:c r="BX449" s="115" t="n">
        <x:v>4</x:v>
      </x:c>
      <x:c r="BY449" s="115" t="n">
        <x:v>5</x:v>
      </x:c>
      <x:c r="BZ449" s="115" t="n">
        <x:v>4</x:v>
      </x:c>
      <x:c r="CA449" s="115" t="n">
        <x:v>5</x:v>
      </x:c>
      <x:c r="CB449" s="116" t="n">
        <x:v>3</x:v>
      </x:c>
      <x:c r="CC449" s="141" t="n">
        <x:f>IF(COUNT(G449:P449)=0,"",AVERAGE(G449:P449)*4)</x:f>
        <x:v>15.2</x:v>
      </x:c>
      <x:c r="CD449" s="178" t="n">
        <x:f>IF(COUNT(Q449:Z449)=0,"",AVERAGE(Q449:Z449)*4)</x:f>
        <x:v>15.6</x:v>
      </x:c>
      <x:c r="CE449" s="178" t="n">
        <x:f>IF(COUNT(AA449:AJ449)=0,"",AVERAGE(AA449:AJ449)*4)</x:f>
        <x:v>14.8</x:v>
      </x:c>
      <x:c r="CF449" s="178" t="n">
        <x:f>IF(COUNT(AK449:AR449)=0,"",AVERAGE(AK449:AR449)*4)</x:f>
        <x:v>15</x:v>
      </x:c>
      <x:c r="CG449" s="178" t="n">
        <x:f>IF(COUNT(AS449:AY449)=0,"",AVERAGE(AS449:AY449)*4)</x:f>
        <x:v>15.428571428571429</x:v>
      </x:c>
      <x:c r="CH449" s="178" t="n">
        <x:f>IF(COUNT(AZ449:BG449)=0,"",AVERAGE(AZ449:BG449)*4)</x:f>
        <x:v>16</x:v>
      </x:c>
      <x:c r="CI449" s="178" t="n">
        <x:f>IF(COUNT(BH449:BN449)=0,"",AVERAGE(BH449:BN449)*4)</x:f>
        <x:v>14.285714285714286</x:v>
      </x:c>
      <x:c r="CJ449" s="178" t="n">
        <x:f>IF(COUNT(BO449:BU449)=0,"",AVERAGE(BO449:BU449)*4)</x:f>
        <x:v>15.428571428571429</x:v>
      </x:c>
      <x:c r="CK449" s="178" t="n">
        <x:f>IF(COUNT(BV449:CB449)=0,"",AVERAGE(BV449:CB449)*4)</x:f>
        <x:v>15.428571428571429</x:v>
      </x:c>
      <x:c r="CL449" s="178" t="n">
        <x:f>IF(C449="","",IF(COUNT(G449:CB449)&lt;74,"",(CC449*'تنظیمات وزن‌دهی'!$C$5+CD449*'تنظیمات وزن‌دهی'!$C$6+CE449*'تنظیمات وزن‌دهی'!$C$7+CF449*'تنظیمات وزن‌دهی'!$C$8+CG449*'تنظیمات وزن‌دهی'!$C$9+CH449*'تنظیمات وزن‌دهی'!$C$10+CI449*'تنظیمات وزن‌دهی'!$C$11+CJ449*'تنظیمات وزن‌دهی'!$C$12+CK449*'تنظیمات وزن‌دهی'!$C$13)/100))</x:f>
        <x:v>15.215714285714286</x:v>
      </x:c>
      <x:c r="CM449" s="178" t="str">
        <x:f>IF(C449="","",IF(COUNT(G449:CB449)=0,"",IF(COUNT(G449:CB449)&lt;74,"موقت - اطلاعات ناقص",IF(CL449&gt;=17,"عالی",IF(CL449&gt;=14,"خوب",IF(CL449&gt;=10,"متوسط","ضعیف"))))))</x:f>
        <x:v>خوب</x:v>
      </x:c>
      <x:c r="CN449" s="178" t="n">
        <x:v>1</x:v>
      </x:c>
      <x:c r="CO449" s="142" t="n">
        <x:f>IF(C449="","",COUNT(G449:CB449)/74)</x:f>
        <x:v>1</x:v>
      </x:c>
      <x:c r="CP449" s="245" t="str">
        <x:v>داده نمونه کامل برای ماه تیر - دانش‌آموز شماره 38</x:v>
      </x:c>
    </x:row>
    <x:row r="450">
      <x:c r="A450" s="165" t="n">
        <x:v>446</x:v>
      </x:c>
      <x:c r="B450" s="233" t="str">
        <x:v>مرداد</x:v>
      </x:c>
      <x:c r="C450" s="233" t="n">
        <x:f>IF('دانش‌آموزان'!E42="","",'دانش‌آموزان'!B42)</x:f>
        <x:v>38</x:v>
      </x:c>
      <x:c r="D450" s="233" t="str">
        <x:f>IF('دانش‌آموزان'!C42="","",'دانش‌آموزان'!C42)</x:f>
        <x:v>4000000381</x:v>
      </x:c>
      <x:c r="E450" s="233" t="str">
        <x:f>IF('دانش‌آموزان'!E42="","",'دانش‌آموزان'!E42&amp;" "&amp;'دانش‌آموزان'!F42)</x:f>
        <x:v>یسنا حیدری</x:v>
      </x:c>
      <x:c r="F450" s="166" t="str">
        <x:f>IF('دانش‌آموزان'!I42="","",'دانش‌آموزان'!I42)</x:f>
        <x:v>sample-7-b</x:v>
      </x:c>
      <x:c r="G450" s="114"/>
      <x:c r="H450" s="115"/>
      <x:c r="I450" s="115"/>
      <x:c r="J450" s="115"/>
      <x:c r="K450" s="115"/>
      <x:c r="L450" s="115"/>
      <x:c r="M450" s="115"/>
      <x:c r="N450" s="115"/>
      <x:c r="O450" s="115"/>
      <x:c r="P450" s="115"/>
      <x:c r="Q450" s="115"/>
      <x:c r="R450" s="115"/>
      <x:c r="S450" s="115"/>
      <x:c r="T450" s="115"/>
      <x:c r="U450" s="115"/>
      <x:c r="V450" s="115"/>
      <x:c r="W450" s="115"/>
      <x:c r="X450" s="115"/>
      <x:c r="Y450" s="115"/>
      <x:c r="Z450" s="115"/>
      <x:c r="AA450" s="115"/>
      <x:c r="AB450" s="115"/>
      <x:c r="AC450" s="115"/>
      <x:c r="AD450" s="115"/>
      <x:c r="AE450" s="115"/>
      <x:c r="AF450" s="115"/>
      <x:c r="AG450" s="115"/>
      <x:c r="AH450" s="115"/>
      <x:c r="AI450" s="115"/>
      <x:c r="AJ450" s="115"/>
      <x:c r="AK450" s="115"/>
      <x:c r="AL450" s="115"/>
      <x:c r="AM450" s="115"/>
      <x:c r="AN450" s="115"/>
      <x:c r="AO450" s="115"/>
      <x:c r="AP450" s="115"/>
      <x:c r="AQ450" s="115"/>
      <x:c r="AR450" s="115"/>
      <x:c r="AS450" s="115"/>
      <x:c r="AT450" s="115"/>
      <x:c r="AU450" s="115"/>
      <x:c r="AV450" s="115"/>
      <x:c r="AW450" s="115"/>
      <x:c r="AX450" s="115"/>
      <x:c r="AY450" s="115"/>
      <x:c r="AZ450" s="115"/>
      <x:c r="BA450" s="115"/>
      <x:c r="BB450" s="115"/>
      <x:c r="BC450" s="115"/>
      <x:c r="BD450" s="115"/>
      <x:c r="BE450" s="115"/>
      <x:c r="BF450" s="115"/>
      <x:c r="BG450" s="115"/>
      <x:c r="BH450" s="115"/>
      <x:c r="BI450" s="115"/>
      <x:c r="BJ450" s="115"/>
      <x:c r="BK450" s="115"/>
      <x:c r="BL450" s="115"/>
      <x:c r="BM450" s="115"/>
      <x:c r="BN450" s="115"/>
      <x:c r="BO450" s="115"/>
      <x:c r="BP450" s="115"/>
      <x:c r="BQ450" s="115"/>
      <x:c r="BR450" s="115"/>
      <x:c r="BS450" s="115"/>
      <x:c r="BT450" s="115"/>
      <x:c r="BU450" s="115"/>
      <x:c r="BV450" s="115"/>
      <x:c r="BW450" s="115"/>
      <x:c r="BX450" s="115"/>
      <x:c r="BY450" s="115"/>
      <x:c r="BZ450" s="115"/>
      <x:c r="CA450" s="115"/>
      <x:c r="CB450" s="116"/>
      <x:c r="CC450" s="141" t="str">
        <x:f>IF(COUNT(G450:P450)=0,"",AVERAGE(G450:P450)*4)</x:f>
      </x:c>
      <x:c r="CD450" s="178" t="str">
        <x:f>IF(COUNT(Q450:Z450)=0,"",AVERAGE(Q450:Z450)*4)</x:f>
      </x:c>
      <x:c r="CE450" s="178" t="str">
        <x:f>IF(COUNT(AA450:AJ450)=0,"",AVERAGE(AA450:AJ450)*4)</x:f>
      </x:c>
      <x:c r="CF450" s="178" t="str">
        <x:f>IF(COUNT(AK450:AR450)=0,"",AVERAGE(AK450:AR450)*4)</x:f>
      </x:c>
      <x:c r="CG450" s="178" t="str">
        <x:f>IF(COUNT(AS450:AY450)=0,"",AVERAGE(AS450:AY450)*4)</x:f>
      </x:c>
      <x:c r="CH450" s="178" t="str">
        <x:f>IF(COUNT(AZ450:BG450)=0,"",AVERAGE(AZ450:BG450)*4)</x:f>
      </x:c>
      <x:c r="CI450" s="178" t="str">
        <x:f>IF(COUNT(BH450:BN450)=0,"",AVERAGE(BH450:BN450)*4)</x:f>
      </x:c>
      <x:c r="CJ450" s="178" t="str">
        <x:f>IF(COUNT(BO450:BU450)=0,"",AVERAGE(BO450:BU450)*4)</x:f>
      </x:c>
      <x:c r="CK450" s="178" t="str">
        <x:f>IF(COUNT(BV450:CB450)=0,"",AVERAGE(BV450:CB450)*4)</x:f>
      </x:c>
      <x:c r="CL450" s="178" t="str">
        <x:f>IF(C450="","",IF(COUNT(G450:CB450)&lt;74,"",(CC450*'تنظیمات وزن‌دهی'!$C$5+CD450*'تنظیمات وزن‌دهی'!$C$6+CE450*'تنظیمات وزن‌دهی'!$C$7+CF450*'تنظیمات وزن‌دهی'!$C$8+CG450*'تنظیمات وزن‌دهی'!$C$9+CH450*'تنظیمات وزن‌دهی'!$C$10+CI450*'تنظیمات وزن‌دهی'!$C$11+CJ450*'تنظیمات وزن‌دهی'!$C$12+CK450*'تنظیمات وزن‌دهی'!$C$13)/100))</x:f>
      </x:c>
      <x:c r="CM450" s="178" t="str">
        <x:f>IF(C450="","",IF(COUNT(G450:CB450)=0,"",IF(COUNT(G450:CB450)&lt;74,"موقت - اطلاعات ناقص",IF(CL450&gt;=17,"عالی",IF(CL450&gt;=14,"خوب",IF(CL450&gt;=10,"متوسط","ضعیف"))))))</x:f>
      </x:c>
      <x:c r="CN450" s="178" t="n">
        <x:v>2</x:v>
      </x:c>
      <x:c r="CO450" s="142" t="n">
        <x:f>IF(C450="","",COUNT(G450:CB450)/74)</x:f>
        <x:v>0</x:v>
      </x:c>
      <x:c r="CP450" s="245"/>
    </x:row>
    <x:row r="451">
      <x:c r="A451" s="165" t="n">
        <x:v>447</x:v>
      </x:c>
      <x:c r="B451" s="233" t="str">
        <x:v>شهریور</x:v>
      </x:c>
      <x:c r="C451" s="233" t="n">
        <x:f>IF('دانش‌آموزان'!E42="","",'دانش‌آموزان'!B42)</x:f>
        <x:v>38</x:v>
      </x:c>
      <x:c r="D451" s="233" t="str">
        <x:f>IF('دانش‌آموزان'!C42="","",'دانش‌آموزان'!C42)</x:f>
        <x:v>4000000381</x:v>
      </x:c>
      <x:c r="E451" s="233" t="str">
        <x:f>IF('دانش‌آموزان'!E42="","",'دانش‌آموزان'!E42&amp;" "&amp;'دانش‌آموزان'!F42)</x:f>
        <x:v>یسنا حیدری</x:v>
      </x:c>
      <x:c r="F451" s="166" t="str">
        <x:f>IF('دانش‌آموزان'!I42="","",'دانش‌آموزان'!I42)</x:f>
        <x:v>sample-7-b</x:v>
      </x:c>
      <x:c r="G451" s="114"/>
      <x:c r="H451" s="115"/>
      <x:c r="I451" s="115"/>
      <x:c r="J451" s="115"/>
      <x:c r="K451" s="115"/>
      <x:c r="L451" s="115"/>
      <x:c r="M451" s="115"/>
      <x:c r="N451" s="115"/>
      <x:c r="O451" s="115"/>
      <x:c r="P451" s="115"/>
      <x:c r="Q451" s="115"/>
      <x:c r="R451" s="115"/>
      <x:c r="S451" s="115"/>
      <x:c r="T451" s="115"/>
      <x:c r="U451" s="115"/>
      <x:c r="V451" s="115"/>
      <x:c r="W451" s="115"/>
      <x:c r="X451" s="115"/>
      <x:c r="Y451" s="115"/>
      <x:c r="Z451" s="115"/>
      <x:c r="AA451" s="115"/>
      <x:c r="AB451" s="115"/>
      <x:c r="AC451" s="115"/>
      <x:c r="AD451" s="115"/>
      <x:c r="AE451" s="115"/>
      <x:c r="AF451" s="115"/>
      <x:c r="AG451" s="115"/>
      <x:c r="AH451" s="115"/>
      <x:c r="AI451" s="115"/>
      <x:c r="AJ451" s="115"/>
      <x:c r="AK451" s="115"/>
      <x:c r="AL451" s="115"/>
      <x:c r="AM451" s="115"/>
      <x:c r="AN451" s="115"/>
      <x:c r="AO451" s="115"/>
      <x:c r="AP451" s="115"/>
      <x:c r="AQ451" s="115"/>
      <x:c r="AR451" s="115"/>
      <x:c r="AS451" s="115"/>
      <x:c r="AT451" s="115"/>
      <x:c r="AU451" s="115"/>
      <x:c r="AV451" s="115"/>
      <x:c r="AW451" s="115"/>
      <x:c r="AX451" s="115"/>
      <x:c r="AY451" s="115"/>
      <x:c r="AZ451" s="115"/>
      <x:c r="BA451" s="115"/>
      <x:c r="BB451" s="115"/>
      <x:c r="BC451" s="115"/>
      <x:c r="BD451" s="115"/>
      <x:c r="BE451" s="115"/>
      <x:c r="BF451" s="115"/>
      <x:c r="BG451" s="115"/>
      <x:c r="BH451" s="115"/>
      <x:c r="BI451" s="115"/>
      <x:c r="BJ451" s="115"/>
      <x:c r="BK451" s="115"/>
      <x:c r="BL451" s="115"/>
      <x:c r="BM451" s="115"/>
      <x:c r="BN451" s="115"/>
      <x:c r="BO451" s="115"/>
      <x:c r="BP451" s="115"/>
      <x:c r="BQ451" s="115"/>
      <x:c r="BR451" s="115"/>
      <x:c r="BS451" s="115"/>
      <x:c r="BT451" s="115"/>
      <x:c r="BU451" s="115"/>
      <x:c r="BV451" s="115"/>
      <x:c r="BW451" s="115"/>
      <x:c r="BX451" s="115"/>
      <x:c r="BY451" s="115"/>
      <x:c r="BZ451" s="115"/>
      <x:c r="CA451" s="115"/>
      <x:c r="CB451" s="116"/>
      <x:c r="CC451" s="141" t="str">
        <x:f>IF(COUNT(G451:P451)=0,"",AVERAGE(G451:P451)*4)</x:f>
      </x:c>
      <x:c r="CD451" s="178" t="str">
        <x:f>IF(COUNT(Q451:Z451)=0,"",AVERAGE(Q451:Z451)*4)</x:f>
      </x:c>
      <x:c r="CE451" s="178" t="str">
        <x:f>IF(COUNT(AA451:AJ451)=0,"",AVERAGE(AA451:AJ451)*4)</x:f>
      </x:c>
      <x:c r="CF451" s="178" t="str">
        <x:f>IF(COUNT(AK451:AR451)=0,"",AVERAGE(AK451:AR451)*4)</x:f>
      </x:c>
      <x:c r="CG451" s="178" t="str">
        <x:f>IF(COUNT(AS451:AY451)=0,"",AVERAGE(AS451:AY451)*4)</x:f>
      </x:c>
      <x:c r="CH451" s="178" t="str">
        <x:f>IF(COUNT(AZ451:BG451)=0,"",AVERAGE(AZ451:BG451)*4)</x:f>
      </x:c>
      <x:c r="CI451" s="178" t="str">
        <x:f>IF(COUNT(BH451:BN451)=0,"",AVERAGE(BH451:BN451)*4)</x:f>
      </x:c>
      <x:c r="CJ451" s="178" t="str">
        <x:f>IF(COUNT(BO451:BU451)=0,"",AVERAGE(BO451:BU451)*4)</x:f>
      </x:c>
      <x:c r="CK451" s="178" t="str">
        <x:f>IF(COUNT(BV451:CB451)=0,"",AVERAGE(BV451:CB451)*4)</x:f>
      </x:c>
      <x:c r="CL451" s="178" t="str">
        <x:f>IF(C451="","",IF(COUNT(G451:CB451)&lt;74,"",(CC451*'تنظیمات وزن‌دهی'!$C$5+CD451*'تنظیمات وزن‌دهی'!$C$6+CE451*'تنظیمات وزن‌دهی'!$C$7+CF451*'تنظیمات وزن‌دهی'!$C$8+CG451*'تنظیمات وزن‌دهی'!$C$9+CH451*'تنظیمات وزن‌دهی'!$C$10+CI451*'تنظیمات وزن‌دهی'!$C$11+CJ451*'تنظیمات وزن‌دهی'!$C$12+CK451*'تنظیمات وزن‌دهی'!$C$13)/100))</x:f>
      </x:c>
      <x:c r="CM451" s="178" t="str">
        <x:f>IF(C451="","",IF(COUNT(G451:CB451)=0,"",IF(COUNT(G451:CB451)&lt;74,"موقت - اطلاعات ناقص",IF(CL451&gt;=17,"عالی",IF(CL451&gt;=14,"خوب",IF(CL451&gt;=10,"متوسط","ضعیف"))))))</x:f>
      </x:c>
      <x:c r="CN451" s="178" t="n">
        <x:v>3</x:v>
      </x:c>
      <x:c r="CO451" s="142" t="n">
        <x:f>IF(C451="","",COUNT(G451:CB451)/74)</x:f>
        <x:v>0</x:v>
      </x:c>
      <x:c r="CP451" s="245"/>
    </x:row>
    <x:row r="452">
      <x:c r="A452" s="165" t="n">
        <x:v>448</x:v>
      </x:c>
      <x:c r="B452" s="233" t="str">
        <x:v>مهر</x:v>
      </x:c>
      <x:c r="C452" s="233" t="n">
        <x:f>IF('دانش‌آموزان'!E42="","",'دانش‌آموزان'!B42)</x:f>
        <x:v>38</x:v>
      </x:c>
      <x:c r="D452" s="233" t="str">
        <x:f>IF('دانش‌آموزان'!C42="","",'دانش‌آموزان'!C42)</x:f>
        <x:v>4000000381</x:v>
      </x:c>
      <x:c r="E452" s="233" t="str">
        <x:f>IF('دانش‌آموزان'!E42="","",'دانش‌آموزان'!E42&amp;" "&amp;'دانش‌آموزان'!F42)</x:f>
        <x:v>یسنا حیدری</x:v>
      </x:c>
      <x:c r="F452" s="166" t="str">
        <x:f>IF('دانش‌آموزان'!I42="","",'دانش‌آموزان'!I42)</x:f>
        <x:v>sample-7-b</x:v>
      </x:c>
      <x:c r="G452" s="114"/>
      <x:c r="H452" s="115"/>
      <x:c r="I452" s="115"/>
      <x:c r="J452" s="115"/>
      <x:c r="K452" s="115"/>
      <x:c r="L452" s="115"/>
      <x:c r="M452" s="115"/>
      <x:c r="N452" s="115"/>
      <x:c r="O452" s="115"/>
      <x:c r="P452" s="115"/>
      <x:c r="Q452" s="115"/>
      <x:c r="R452" s="115"/>
      <x:c r="S452" s="115"/>
      <x:c r="T452" s="115"/>
      <x:c r="U452" s="115"/>
      <x:c r="V452" s="115"/>
      <x:c r="W452" s="115"/>
      <x:c r="X452" s="115"/>
      <x:c r="Y452" s="115"/>
      <x:c r="Z452" s="115"/>
      <x:c r="AA452" s="115"/>
      <x:c r="AB452" s="115"/>
      <x:c r="AC452" s="115"/>
      <x:c r="AD452" s="115"/>
      <x:c r="AE452" s="115"/>
      <x:c r="AF452" s="115"/>
      <x:c r="AG452" s="115"/>
      <x:c r="AH452" s="115"/>
      <x:c r="AI452" s="115"/>
      <x:c r="AJ452" s="115"/>
      <x:c r="AK452" s="115"/>
      <x:c r="AL452" s="115"/>
      <x:c r="AM452" s="115"/>
      <x:c r="AN452" s="115"/>
      <x:c r="AO452" s="115"/>
      <x:c r="AP452" s="115"/>
      <x:c r="AQ452" s="115"/>
      <x:c r="AR452" s="115"/>
      <x:c r="AS452" s="115"/>
      <x:c r="AT452" s="115"/>
      <x:c r="AU452" s="115"/>
      <x:c r="AV452" s="115"/>
      <x:c r="AW452" s="115"/>
      <x:c r="AX452" s="115"/>
      <x:c r="AY452" s="115"/>
      <x:c r="AZ452" s="115"/>
      <x:c r="BA452" s="115"/>
      <x:c r="BB452" s="115"/>
      <x:c r="BC452" s="115"/>
      <x:c r="BD452" s="115"/>
      <x:c r="BE452" s="115"/>
      <x:c r="BF452" s="115"/>
      <x:c r="BG452" s="115"/>
      <x:c r="BH452" s="115"/>
      <x:c r="BI452" s="115"/>
      <x:c r="BJ452" s="115"/>
      <x:c r="BK452" s="115"/>
      <x:c r="BL452" s="115"/>
      <x:c r="BM452" s="115"/>
      <x:c r="BN452" s="115"/>
      <x:c r="BO452" s="115"/>
      <x:c r="BP452" s="115"/>
      <x:c r="BQ452" s="115"/>
      <x:c r="BR452" s="115"/>
      <x:c r="BS452" s="115"/>
      <x:c r="BT452" s="115"/>
      <x:c r="BU452" s="115"/>
      <x:c r="BV452" s="115"/>
      <x:c r="BW452" s="115"/>
      <x:c r="BX452" s="115"/>
      <x:c r="BY452" s="115"/>
      <x:c r="BZ452" s="115"/>
      <x:c r="CA452" s="115"/>
      <x:c r="CB452" s="116"/>
      <x:c r="CC452" s="141" t="str">
        <x:f>IF(COUNT(G452:P452)=0,"",AVERAGE(G452:P452)*4)</x:f>
      </x:c>
      <x:c r="CD452" s="178" t="str">
        <x:f>IF(COUNT(Q452:Z452)=0,"",AVERAGE(Q452:Z452)*4)</x:f>
      </x:c>
      <x:c r="CE452" s="178" t="str">
        <x:f>IF(COUNT(AA452:AJ452)=0,"",AVERAGE(AA452:AJ452)*4)</x:f>
      </x:c>
      <x:c r="CF452" s="178" t="str">
        <x:f>IF(COUNT(AK452:AR452)=0,"",AVERAGE(AK452:AR452)*4)</x:f>
      </x:c>
      <x:c r="CG452" s="178" t="str">
        <x:f>IF(COUNT(AS452:AY452)=0,"",AVERAGE(AS452:AY452)*4)</x:f>
      </x:c>
      <x:c r="CH452" s="178" t="str">
        <x:f>IF(COUNT(AZ452:BG452)=0,"",AVERAGE(AZ452:BG452)*4)</x:f>
      </x:c>
      <x:c r="CI452" s="178" t="str">
        <x:f>IF(COUNT(BH452:BN452)=0,"",AVERAGE(BH452:BN452)*4)</x:f>
      </x:c>
      <x:c r="CJ452" s="178" t="str">
        <x:f>IF(COUNT(BO452:BU452)=0,"",AVERAGE(BO452:BU452)*4)</x:f>
      </x:c>
      <x:c r="CK452" s="178" t="str">
        <x:f>IF(COUNT(BV452:CB452)=0,"",AVERAGE(BV452:CB452)*4)</x:f>
      </x:c>
      <x:c r="CL452" s="178" t="str">
        <x:f>IF(C452="","",IF(COUNT(G452:CB452)&lt;74,"",(CC452*'تنظیمات وزن‌دهی'!$C$5+CD452*'تنظیمات وزن‌دهی'!$C$6+CE452*'تنظیمات وزن‌دهی'!$C$7+CF452*'تنظیمات وزن‌دهی'!$C$8+CG452*'تنظیمات وزن‌دهی'!$C$9+CH452*'تنظیمات وزن‌دهی'!$C$10+CI452*'تنظیمات وزن‌دهی'!$C$11+CJ452*'تنظیمات وزن‌دهی'!$C$12+CK452*'تنظیمات وزن‌دهی'!$C$13)/100))</x:f>
      </x:c>
      <x:c r="CM452" s="178" t="str">
        <x:f>IF(C452="","",IF(COUNT(G452:CB452)=0,"",IF(COUNT(G452:CB452)&lt;74,"موقت - اطلاعات ناقص",IF(CL452&gt;=17,"عالی",IF(CL452&gt;=14,"خوب",IF(CL452&gt;=10,"متوسط","ضعیف"))))))</x:f>
      </x:c>
      <x:c r="CN452" s="178" t="n">
        <x:v>4</x:v>
      </x:c>
      <x:c r="CO452" s="142" t="n">
        <x:f>IF(C452="","",COUNT(G452:CB452)/74)</x:f>
        <x:v>0</x:v>
      </x:c>
      <x:c r="CP452" s="245"/>
    </x:row>
    <x:row r="453">
      <x:c r="A453" s="165" t="n">
        <x:v>449</x:v>
      </x:c>
      <x:c r="B453" s="233" t="str">
        <x:v>آبان</x:v>
      </x:c>
      <x:c r="C453" s="233" t="n">
        <x:f>IF('دانش‌آموزان'!E42="","",'دانش‌آموزان'!B42)</x:f>
        <x:v>38</x:v>
      </x:c>
      <x:c r="D453" s="233" t="str">
        <x:f>IF('دانش‌آموزان'!C42="","",'دانش‌آموزان'!C42)</x:f>
        <x:v>4000000381</x:v>
      </x:c>
      <x:c r="E453" s="233" t="str">
        <x:f>IF('دانش‌آموزان'!E42="","",'دانش‌آموزان'!E42&amp;" "&amp;'دانش‌آموزان'!F42)</x:f>
        <x:v>یسنا حیدری</x:v>
      </x:c>
      <x:c r="F453" s="166" t="str">
        <x:f>IF('دانش‌آموزان'!I42="","",'دانش‌آموزان'!I42)</x:f>
        <x:v>sample-7-b</x:v>
      </x:c>
      <x:c r="G453" s="114"/>
      <x:c r="H453" s="115"/>
      <x:c r="I453" s="115"/>
      <x:c r="J453" s="115"/>
      <x:c r="K453" s="115"/>
      <x:c r="L453" s="115"/>
      <x:c r="M453" s="115"/>
      <x:c r="N453" s="115"/>
      <x:c r="O453" s="115"/>
      <x:c r="P453" s="115"/>
      <x:c r="Q453" s="115"/>
      <x:c r="R453" s="115"/>
      <x:c r="S453" s="115"/>
      <x:c r="T453" s="115"/>
      <x:c r="U453" s="115"/>
      <x:c r="V453" s="115"/>
      <x:c r="W453" s="115"/>
      <x:c r="X453" s="115"/>
      <x:c r="Y453" s="115"/>
      <x:c r="Z453" s="115"/>
      <x:c r="AA453" s="115"/>
      <x:c r="AB453" s="115"/>
      <x:c r="AC453" s="115"/>
      <x:c r="AD453" s="115"/>
      <x:c r="AE453" s="115"/>
      <x:c r="AF453" s="115"/>
      <x:c r="AG453" s="115"/>
      <x:c r="AH453" s="115"/>
      <x:c r="AI453" s="115"/>
      <x:c r="AJ453" s="115"/>
      <x:c r="AK453" s="115"/>
      <x:c r="AL453" s="115"/>
      <x:c r="AM453" s="115"/>
      <x:c r="AN453" s="115"/>
      <x:c r="AO453" s="115"/>
      <x:c r="AP453" s="115"/>
      <x:c r="AQ453" s="115"/>
      <x:c r="AR453" s="115"/>
      <x:c r="AS453" s="115"/>
      <x:c r="AT453" s="115"/>
      <x:c r="AU453" s="115"/>
      <x:c r="AV453" s="115"/>
      <x:c r="AW453" s="115"/>
      <x:c r="AX453" s="115"/>
      <x:c r="AY453" s="115"/>
      <x:c r="AZ453" s="115"/>
      <x:c r="BA453" s="115"/>
      <x:c r="BB453" s="115"/>
      <x:c r="BC453" s="115"/>
      <x:c r="BD453" s="115"/>
      <x:c r="BE453" s="115"/>
      <x:c r="BF453" s="115"/>
      <x:c r="BG453" s="115"/>
      <x:c r="BH453" s="115"/>
      <x:c r="BI453" s="115"/>
      <x:c r="BJ453" s="115"/>
      <x:c r="BK453" s="115"/>
      <x:c r="BL453" s="115"/>
      <x:c r="BM453" s="115"/>
      <x:c r="BN453" s="115"/>
      <x:c r="BO453" s="115"/>
      <x:c r="BP453" s="115"/>
      <x:c r="BQ453" s="115"/>
      <x:c r="BR453" s="115"/>
      <x:c r="BS453" s="115"/>
      <x:c r="BT453" s="115"/>
      <x:c r="BU453" s="115"/>
      <x:c r="BV453" s="115"/>
      <x:c r="BW453" s="115"/>
      <x:c r="BX453" s="115"/>
      <x:c r="BY453" s="115"/>
      <x:c r="BZ453" s="115"/>
      <x:c r="CA453" s="115"/>
      <x:c r="CB453" s="116"/>
      <x:c r="CC453" s="141" t="str">
        <x:f>IF(COUNT(G453:P453)=0,"",AVERAGE(G453:P453)*4)</x:f>
      </x:c>
      <x:c r="CD453" s="178" t="str">
        <x:f>IF(COUNT(Q453:Z453)=0,"",AVERAGE(Q453:Z453)*4)</x:f>
      </x:c>
      <x:c r="CE453" s="178" t="str">
        <x:f>IF(COUNT(AA453:AJ453)=0,"",AVERAGE(AA453:AJ453)*4)</x:f>
      </x:c>
      <x:c r="CF453" s="178" t="str">
        <x:f>IF(COUNT(AK453:AR453)=0,"",AVERAGE(AK453:AR453)*4)</x:f>
      </x:c>
      <x:c r="CG453" s="178" t="str">
        <x:f>IF(COUNT(AS453:AY453)=0,"",AVERAGE(AS453:AY453)*4)</x:f>
      </x:c>
      <x:c r="CH453" s="178" t="str">
        <x:f>IF(COUNT(AZ453:BG453)=0,"",AVERAGE(AZ453:BG453)*4)</x:f>
      </x:c>
      <x:c r="CI453" s="178" t="str">
        <x:f>IF(COUNT(BH453:BN453)=0,"",AVERAGE(BH453:BN453)*4)</x:f>
      </x:c>
      <x:c r="CJ453" s="178" t="str">
        <x:f>IF(COUNT(BO453:BU453)=0,"",AVERAGE(BO453:BU453)*4)</x:f>
      </x:c>
      <x:c r="CK453" s="178" t="str">
        <x:f>IF(COUNT(BV453:CB453)=0,"",AVERAGE(BV453:CB453)*4)</x:f>
      </x:c>
      <x:c r="CL453" s="178" t="str">
        <x:f>IF(C453="","",IF(COUNT(G453:CB453)&lt;74,"",(CC453*'تنظیمات وزن‌دهی'!$C$5+CD453*'تنظیمات وزن‌دهی'!$C$6+CE453*'تنظیمات وزن‌دهی'!$C$7+CF453*'تنظیمات وزن‌دهی'!$C$8+CG453*'تنظیمات وزن‌دهی'!$C$9+CH453*'تنظیمات وزن‌دهی'!$C$10+CI453*'تنظیمات وزن‌دهی'!$C$11+CJ453*'تنظیمات وزن‌دهی'!$C$12+CK453*'تنظیمات وزن‌دهی'!$C$13)/100))</x:f>
      </x:c>
      <x:c r="CM453" s="178" t="str">
        <x:f>IF(C453="","",IF(COUNT(G453:CB453)=0,"",IF(COUNT(G453:CB453)&lt;74,"موقت - اطلاعات ناقص",IF(CL453&gt;=17,"عالی",IF(CL453&gt;=14,"خوب",IF(CL453&gt;=10,"متوسط","ضعیف"))))))</x:f>
      </x:c>
      <x:c r="CN453" s="178" t="n">
        <x:v>5</x:v>
      </x:c>
      <x:c r="CO453" s="142" t="n">
        <x:f>IF(C453="","",COUNT(G453:CB453)/74)</x:f>
        <x:v>0</x:v>
      </x:c>
      <x:c r="CP453" s="245"/>
    </x:row>
    <x:row r="454">
      <x:c r="A454" s="165" t="n">
        <x:v>450</x:v>
      </x:c>
      <x:c r="B454" s="233" t="str">
        <x:v>آذر</x:v>
      </x:c>
      <x:c r="C454" s="233" t="n">
        <x:f>IF('دانش‌آموزان'!E42="","",'دانش‌آموزان'!B42)</x:f>
        <x:v>38</x:v>
      </x:c>
      <x:c r="D454" s="233" t="str">
        <x:f>IF('دانش‌آموزان'!C42="","",'دانش‌آموزان'!C42)</x:f>
        <x:v>4000000381</x:v>
      </x:c>
      <x:c r="E454" s="233" t="str">
        <x:f>IF('دانش‌آموزان'!E42="","",'دانش‌آموزان'!E42&amp;" "&amp;'دانش‌آموزان'!F42)</x:f>
        <x:v>یسنا حیدری</x:v>
      </x:c>
      <x:c r="F454" s="166" t="str">
        <x:f>IF('دانش‌آموزان'!I42="","",'دانش‌آموزان'!I42)</x:f>
        <x:v>sample-7-b</x:v>
      </x:c>
      <x:c r="G454" s="114"/>
      <x:c r="H454" s="115"/>
      <x:c r="I454" s="115"/>
      <x:c r="J454" s="115"/>
      <x:c r="K454" s="115"/>
      <x:c r="L454" s="115"/>
      <x:c r="M454" s="115"/>
      <x:c r="N454" s="115"/>
      <x:c r="O454" s="115"/>
      <x:c r="P454" s="115"/>
      <x:c r="Q454" s="115"/>
      <x:c r="R454" s="115"/>
      <x:c r="S454" s="115"/>
      <x:c r="T454" s="115"/>
      <x:c r="U454" s="115"/>
      <x:c r="V454" s="115"/>
      <x:c r="W454" s="115"/>
      <x:c r="X454" s="115"/>
      <x:c r="Y454" s="115"/>
      <x:c r="Z454" s="115"/>
      <x:c r="AA454" s="115"/>
      <x:c r="AB454" s="115"/>
      <x:c r="AC454" s="115"/>
      <x:c r="AD454" s="115"/>
      <x:c r="AE454" s="115"/>
      <x:c r="AF454" s="115"/>
      <x:c r="AG454" s="115"/>
      <x:c r="AH454" s="115"/>
      <x:c r="AI454" s="115"/>
      <x:c r="AJ454" s="115"/>
      <x:c r="AK454" s="115"/>
      <x:c r="AL454" s="115"/>
      <x:c r="AM454" s="115"/>
      <x:c r="AN454" s="115"/>
      <x:c r="AO454" s="115"/>
      <x:c r="AP454" s="115"/>
      <x:c r="AQ454" s="115"/>
      <x:c r="AR454" s="115"/>
      <x:c r="AS454" s="115"/>
      <x:c r="AT454" s="115"/>
      <x:c r="AU454" s="115"/>
      <x:c r="AV454" s="115"/>
      <x:c r="AW454" s="115"/>
      <x:c r="AX454" s="115"/>
      <x:c r="AY454" s="115"/>
      <x:c r="AZ454" s="115"/>
      <x:c r="BA454" s="115"/>
      <x:c r="BB454" s="115"/>
      <x:c r="BC454" s="115"/>
      <x:c r="BD454" s="115"/>
      <x:c r="BE454" s="115"/>
      <x:c r="BF454" s="115"/>
      <x:c r="BG454" s="115"/>
      <x:c r="BH454" s="115"/>
      <x:c r="BI454" s="115"/>
      <x:c r="BJ454" s="115"/>
      <x:c r="BK454" s="115"/>
      <x:c r="BL454" s="115"/>
      <x:c r="BM454" s="115"/>
      <x:c r="BN454" s="115"/>
      <x:c r="BO454" s="115"/>
      <x:c r="BP454" s="115"/>
      <x:c r="BQ454" s="115"/>
      <x:c r="BR454" s="115"/>
      <x:c r="BS454" s="115"/>
      <x:c r="BT454" s="115"/>
      <x:c r="BU454" s="115"/>
      <x:c r="BV454" s="115"/>
      <x:c r="BW454" s="115"/>
      <x:c r="BX454" s="115"/>
      <x:c r="BY454" s="115"/>
      <x:c r="BZ454" s="115"/>
      <x:c r="CA454" s="115"/>
      <x:c r="CB454" s="116"/>
      <x:c r="CC454" s="141" t="str">
        <x:f>IF(COUNT(G454:P454)=0,"",AVERAGE(G454:P454)*4)</x:f>
      </x:c>
      <x:c r="CD454" s="178" t="str">
        <x:f>IF(COUNT(Q454:Z454)=0,"",AVERAGE(Q454:Z454)*4)</x:f>
      </x:c>
      <x:c r="CE454" s="178" t="str">
        <x:f>IF(COUNT(AA454:AJ454)=0,"",AVERAGE(AA454:AJ454)*4)</x:f>
      </x:c>
      <x:c r="CF454" s="178" t="str">
        <x:f>IF(COUNT(AK454:AR454)=0,"",AVERAGE(AK454:AR454)*4)</x:f>
      </x:c>
      <x:c r="CG454" s="178" t="str">
        <x:f>IF(COUNT(AS454:AY454)=0,"",AVERAGE(AS454:AY454)*4)</x:f>
      </x:c>
      <x:c r="CH454" s="178" t="str">
        <x:f>IF(COUNT(AZ454:BG454)=0,"",AVERAGE(AZ454:BG454)*4)</x:f>
      </x:c>
      <x:c r="CI454" s="178" t="str">
        <x:f>IF(COUNT(BH454:BN454)=0,"",AVERAGE(BH454:BN454)*4)</x:f>
      </x:c>
      <x:c r="CJ454" s="178" t="str">
        <x:f>IF(COUNT(BO454:BU454)=0,"",AVERAGE(BO454:BU454)*4)</x:f>
      </x:c>
      <x:c r="CK454" s="178" t="str">
        <x:f>IF(COUNT(BV454:CB454)=0,"",AVERAGE(BV454:CB454)*4)</x:f>
      </x:c>
      <x:c r="CL454" s="178" t="str">
        <x:f>IF(C454="","",IF(COUNT(G454:CB454)&lt;74,"",(CC454*'تنظیمات وزن‌دهی'!$C$5+CD454*'تنظیمات وزن‌دهی'!$C$6+CE454*'تنظیمات وزن‌دهی'!$C$7+CF454*'تنظیمات وزن‌دهی'!$C$8+CG454*'تنظیمات وزن‌دهی'!$C$9+CH454*'تنظیمات وزن‌دهی'!$C$10+CI454*'تنظیمات وزن‌دهی'!$C$11+CJ454*'تنظیمات وزن‌دهی'!$C$12+CK454*'تنظیمات وزن‌دهی'!$C$13)/100))</x:f>
      </x:c>
      <x:c r="CM454" s="178" t="str">
        <x:f>IF(C454="","",IF(COUNT(G454:CB454)=0,"",IF(COUNT(G454:CB454)&lt;74,"موقت - اطلاعات ناقص",IF(CL454&gt;=17,"عالی",IF(CL454&gt;=14,"خوب",IF(CL454&gt;=10,"متوسط","ضعیف"))))))</x:f>
      </x:c>
      <x:c r="CN454" s="178" t="n">
        <x:v>6</x:v>
      </x:c>
      <x:c r="CO454" s="142" t="n">
        <x:f>IF(C454="","",COUNT(G454:CB454)/74)</x:f>
        <x:v>0</x:v>
      </x:c>
      <x:c r="CP454" s="245"/>
    </x:row>
    <x:row r="455">
      <x:c r="A455" s="165" t="n">
        <x:v>451</x:v>
      </x:c>
      <x:c r="B455" s="233" t="str">
        <x:v>دی</x:v>
      </x:c>
      <x:c r="C455" s="233" t="n">
        <x:f>IF('دانش‌آموزان'!E42="","",'دانش‌آموزان'!B42)</x:f>
        <x:v>38</x:v>
      </x:c>
      <x:c r="D455" s="233" t="str">
        <x:f>IF('دانش‌آموزان'!C42="","",'دانش‌آموزان'!C42)</x:f>
        <x:v>4000000381</x:v>
      </x:c>
      <x:c r="E455" s="233" t="str">
        <x:f>IF('دانش‌آموزان'!E42="","",'دانش‌آموزان'!E42&amp;" "&amp;'دانش‌آموزان'!F42)</x:f>
        <x:v>یسنا حیدری</x:v>
      </x:c>
      <x:c r="F455" s="166" t="str">
        <x:f>IF('دانش‌آموزان'!I42="","",'دانش‌آموزان'!I42)</x:f>
        <x:v>sample-7-b</x:v>
      </x:c>
      <x:c r="G455" s="114"/>
      <x:c r="H455" s="115"/>
      <x:c r="I455" s="115"/>
      <x:c r="J455" s="115"/>
      <x:c r="K455" s="115"/>
      <x:c r="L455" s="115"/>
      <x:c r="M455" s="115"/>
      <x:c r="N455" s="115"/>
      <x:c r="O455" s="115"/>
      <x:c r="P455" s="115"/>
      <x:c r="Q455" s="115"/>
      <x:c r="R455" s="115"/>
      <x:c r="S455" s="115"/>
      <x:c r="T455" s="115"/>
      <x:c r="U455" s="115"/>
      <x:c r="V455" s="115"/>
      <x:c r="W455" s="115"/>
      <x:c r="X455" s="115"/>
      <x:c r="Y455" s="115"/>
      <x:c r="Z455" s="115"/>
      <x:c r="AA455" s="115"/>
      <x:c r="AB455" s="115"/>
      <x:c r="AC455" s="115"/>
      <x:c r="AD455" s="115"/>
      <x:c r="AE455" s="115"/>
      <x:c r="AF455" s="115"/>
      <x:c r="AG455" s="115"/>
      <x:c r="AH455" s="115"/>
      <x:c r="AI455" s="115"/>
      <x:c r="AJ455" s="115"/>
      <x:c r="AK455" s="115"/>
      <x:c r="AL455" s="115"/>
      <x:c r="AM455" s="115"/>
      <x:c r="AN455" s="115"/>
      <x:c r="AO455" s="115"/>
      <x:c r="AP455" s="115"/>
      <x:c r="AQ455" s="115"/>
      <x:c r="AR455" s="115"/>
      <x:c r="AS455" s="115"/>
      <x:c r="AT455" s="115"/>
      <x:c r="AU455" s="115"/>
      <x:c r="AV455" s="115"/>
      <x:c r="AW455" s="115"/>
      <x:c r="AX455" s="115"/>
      <x:c r="AY455" s="115"/>
      <x:c r="AZ455" s="115"/>
      <x:c r="BA455" s="115"/>
      <x:c r="BB455" s="115"/>
      <x:c r="BC455" s="115"/>
      <x:c r="BD455" s="115"/>
      <x:c r="BE455" s="115"/>
      <x:c r="BF455" s="115"/>
      <x:c r="BG455" s="115"/>
      <x:c r="BH455" s="115"/>
      <x:c r="BI455" s="115"/>
      <x:c r="BJ455" s="115"/>
      <x:c r="BK455" s="115"/>
      <x:c r="BL455" s="115"/>
      <x:c r="BM455" s="115"/>
      <x:c r="BN455" s="115"/>
      <x:c r="BO455" s="115"/>
      <x:c r="BP455" s="115"/>
      <x:c r="BQ455" s="115"/>
      <x:c r="BR455" s="115"/>
      <x:c r="BS455" s="115"/>
      <x:c r="BT455" s="115"/>
      <x:c r="BU455" s="115"/>
      <x:c r="BV455" s="115"/>
      <x:c r="BW455" s="115"/>
      <x:c r="BX455" s="115"/>
      <x:c r="BY455" s="115"/>
      <x:c r="BZ455" s="115"/>
      <x:c r="CA455" s="115"/>
      <x:c r="CB455" s="116"/>
      <x:c r="CC455" s="141" t="str">
        <x:f>IF(COUNT(G455:P455)=0,"",AVERAGE(G455:P455)*4)</x:f>
      </x:c>
      <x:c r="CD455" s="178" t="str">
        <x:f>IF(COUNT(Q455:Z455)=0,"",AVERAGE(Q455:Z455)*4)</x:f>
      </x:c>
      <x:c r="CE455" s="178" t="str">
        <x:f>IF(COUNT(AA455:AJ455)=0,"",AVERAGE(AA455:AJ455)*4)</x:f>
      </x:c>
      <x:c r="CF455" s="178" t="str">
        <x:f>IF(COUNT(AK455:AR455)=0,"",AVERAGE(AK455:AR455)*4)</x:f>
      </x:c>
      <x:c r="CG455" s="178" t="str">
        <x:f>IF(COUNT(AS455:AY455)=0,"",AVERAGE(AS455:AY455)*4)</x:f>
      </x:c>
      <x:c r="CH455" s="178" t="str">
        <x:f>IF(COUNT(AZ455:BG455)=0,"",AVERAGE(AZ455:BG455)*4)</x:f>
      </x:c>
      <x:c r="CI455" s="178" t="str">
        <x:f>IF(COUNT(BH455:BN455)=0,"",AVERAGE(BH455:BN455)*4)</x:f>
      </x:c>
      <x:c r="CJ455" s="178" t="str">
        <x:f>IF(COUNT(BO455:BU455)=0,"",AVERAGE(BO455:BU455)*4)</x:f>
      </x:c>
      <x:c r="CK455" s="178" t="str">
        <x:f>IF(COUNT(BV455:CB455)=0,"",AVERAGE(BV455:CB455)*4)</x:f>
      </x:c>
      <x:c r="CL455" s="178" t="str">
        <x:f>IF(C455="","",IF(COUNT(G455:CB455)&lt;74,"",(CC455*'تنظیمات وزن‌دهی'!$C$5+CD455*'تنظیمات وزن‌دهی'!$C$6+CE455*'تنظیمات وزن‌دهی'!$C$7+CF455*'تنظیمات وزن‌دهی'!$C$8+CG455*'تنظیمات وزن‌دهی'!$C$9+CH455*'تنظیمات وزن‌دهی'!$C$10+CI455*'تنظیمات وزن‌دهی'!$C$11+CJ455*'تنظیمات وزن‌دهی'!$C$12+CK455*'تنظیمات وزن‌دهی'!$C$13)/100))</x:f>
      </x:c>
      <x:c r="CM455" s="178" t="str">
        <x:f>IF(C455="","",IF(COUNT(G455:CB455)=0,"",IF(COUNT(G455:CB455)&lt;74,"موقت - اطلاعات ناقص",IF(CL455&gt;=17,"عالی",IF(CL455&gt;=14,"خوب",IF(CL455&gt;=10,"متوسط","ضعیف"))))))</x:f>
      </x:c>
      <x:c r="CN455" s="178" t="n">
        <x:v>7</x:v>
      </x:c>
      <x:c r="CO455" s="142" t="n">
        <x:f>IF(C455="","",COUNT(G455:CB455)/74)</x:f>
        <x:v>0</x:v>
      </x:c>
      <x:c r="CP455" s="245"/>
    </x:row>
    <x:row r="456">
      <x:c r="A456" s="165" t="n">
        <x:v>452</x:v>
      </x:c>
      <x:c r="B456" s="233" t="str">
        <x:v>بهمن</x:v>
      </x:c>
      <x:c r="C456" s="233" t="n">
        <x:f>IF('دانش‌آموزان'!E42="","",'دانش‌آموزان'!B42)</x:f>
        <x:v>38</x:v>
      </x:c>
      <x:c r="D456" s="233" t="str">
        <x:f>IF('دانش‌آموزان'!C42="","",'دانش‌آموزان'!C42)</x:f>
        <x:v>4000000381</x:v>
      </x:c>
      <x:c r="E456" s="233" t="str">
        <x:f>IF('دانش‌آموزان'!E42="","",'دانش‌آموزان'!E42&amp;" "&amp;'دانش‌آموزان'!F42)</x:f>
        <x:v>یسنا حیدری</x:v>
      </x:c>
      <x:c r="F456" s="166" t="str">
        <x:f>IF('دانش‌آموزان'!I42="","",'دانش‌آموزان'!I42)</x:f>
        <x:v>sample-7-b</x:v>
      </x:c>
      <x:c r="G456" s="114"/>
      <x:c r="H456" s="115"/>
      <x:c r="I456" s="115"/>
      <x:c r="J456" s="115"/>
      <x:c r="K456" s="115"/>
      <x:c r="L456" s="115"/>
      <x:c r="M456" s="115"/>
      <x:c r="N456" s="115"/>
      <x:c r="O456" s="115"/>
      <x:c r="P456" s="115"/>
      <x:c r="Q456" s="115"/>
      <x:c r="R456" s="115"/>
      <x:c r="S456" s="115"/>
      <x:c r="T456" s="115"/>
      <x:c r="U456" s="115"/>
      <x:c r="V456" s="115"/>
      <x:c r="W456" s="115"/>
      <x:c r="X456" s="115"/>
      <x:c r="Y456" s="115"/>
      <x:c r="Z456" s="115"/>
      <x:c r="AA456" s="115"/>
      <x:c r="AB456" s="115"/>
      <x:c r="AC456" s="115"/>
      <x:c r="AD456" s="115"/>
      <x:c r="AE456" s="115"/>
      <x:c r="AF456" s="115"/>
      <x:c r="AG456" s="115"/>
      <x:c r="AH456" s="115"/>
      <x:c r="AI456" s="115"/>
      <x:c r="AJ456" s="115"/>
      <x:c r="AK456" s="115"/>
      <x:c r="AL456" s="115"/>
      <x:c r="AM456" s="115"/>
      <x:c r="AN456" s="115"/>
      <x:c r="AO456" s="115"/>
      <x:c r="AP456" s="115"/>
      <x:c r="AQ456" s="115"/>
      <x:c r="AR456" s="115"/>
      <x:c r="AS456" s="115"/>
      <x:c r="AT456" s="115"/>
      <x:c r="AU456" s="115"/>
      <x:c r="AV456" s="115"/>
      <x:c r="AW456" s="115"/>
      <x:c r="AX456" s="115"/>
      <x:c r="AY456" s="115"/>
      <x:c r="AZ456" s="115"/>
      <x:c r="BA456" s="115"/>
      <x:c r="BB456" s="115"/>
      <x:c r="BC456" s="115"/>
      <x:c r="BD456" s="115"/>
      <x:c r="BE456" s="115"/>
      <x:c r="BF456" s="115"/>
      <x:c r="BG456" s="115"/>
      <x:c r="BH456" s="115"/>
      <x:c r="BI456" s="115"/>
      <x:c r="BJ456" s="115"/>
      <x:c r="BK456" s="115"/>
      <x:c r="BL456" s="115"/>
      <x:c r="BM456" s="115"/>
      <x:c r="BN456" s="115"/>
      <x:c r="BO456" s="115"/>
      <x:c r="BP456" s="115"/>
      <x:c r="BQ456" s="115"/>
      <x:c r="BR456" s="115"/>
      <x:c r="BS456" s="115"/>
      <x:c r="BT456" s="115"/>
      <x:c r="BU456" s="115"/>
      <x:c r="BV456" s="115"/>
      <x:c r="BW456" s="115"/>
      <x:c r="BX456" s="115"/>
      <x:c r="BY456" s="115"/>
      <x:c r="BZ456" s="115"/>
      <x:c r="CA456" s="115"/>
      <x:c r="CB456" s="116"/>
      <x:c r="CC456" s="141" t="str">
        <x:f>IF(COUNT(G456:P456)=0,"",AVERAGE(G456:P456)*4)</x:f>
      </x:c>
      <x:c r="CD456" s="178" t="str">
        <x:f>IF(COUNT(Q456:Z456)=0,"",AVERAGE(Q456:Z456)*4)</x:f>
      </x:c>
      <x:c r="CE456" s="178" t="str">
        <x:f>IF(COUNT(AA456:AJ456)=0,"",AVERAGE(AA456:AJ456)*4)</x:f>
      </x:c>
      <x:c r="CF456" s="178" t="str">
        <x:f>IF(COUNT(AK456:AR456)=0,"",AVERAGE(AK456:AR456)*4)</x:f>
      </x:c>
      <x:c r="CG456" s="178" t="str">
        <x:f>IF(COUNT(AS456:AY456)=0,"",AVERAGE(AS456:AY456)*4)</x:f>
      </x:c>
      <x:c r="CH456" s="178" t="str">
        <x:f>IF(COUNT(AZ456:BG456)=0,"",AVERAGE(AZ456:BG456)*4)</x:f>
      </x:c>
      <x:c r="CI456" s="178" t="str">
        <x:f>IF(COUNT(BH456:BN456)=0,"",AVERAGE(BH456:BN456)*4)</x:f>
      </x:c>
      <x:c r="CJ456" s="178" t="str">
        <x:f>IF(COUNT(BO456:BU456)=0,"",AVERAGE(BO456:BU456)*4)</x:f>
      </x:c>
      <x:c r="CK456" s="178" t="str">
        <x:f>IF(COUNT(BV456:CB456)=0,"",AVERAGE(BV456:CB456)*4)</x:f>
      </x:c>
      <x:c r="CL456" s="178" t="str">
        <x:f>IF(C456="","",IF(COUNT(G456:CB456)&lt;74,"",(CC456*'تنظیمات وزن‌دهی'!$C$5+CD456*'تنظیمات وزن‌دهی'!$C$6+CE456*'تنظیمات وزن‌دهی'!$C$7+CF456*'تنظیمات وزن‌دهی'!$C$8+CG456*'تنظیمات وزن‌دهی'!$C$9+CH456*'تنظیمات وزن‌دهی'!$C$10+CI456*'تنظیمات وزن‌دهی'!$C$11+CJ456*'تنظیمات وزن‌دهی'!$C$12+CK456*'تنظیمات وزن‌دهی'!$C$13)/100))</x:f>
      </x:c>
      <x:c r="CM456" s="178" t="str">
        <x:f>IF(C456="","",IF(COUNT(G456:CB456)=0,"",IF(COUNT(G456:CB456)&lt;74,"موقت - اطلاعات ناقص",IF(CL456&gt;=17,"عالی",IF(CL456&gt;=14,"خوب",IF(CL456&gt;=10,"متوسط","ضعیف"))))))</x:f>
      </x:c>
      <x:c r="CN456" s="178" t="n">
        <x:v>8</x:v>
      </x:c>
      <x:c r="CO456" s="142" t="n">
        <x:f>IF(C456="","",COUNT(G456:CB456)/74)</x:f>
        <x:v>0</x:v>
      </x:c>
      <x:c r="CP456" s="245"/>
    </x:row>
    <x:row r="457">
      <x:c r="A457" s="165" t="n">
        <x:v>453</x:v>
      </x:c>
      <x:c r="B457" s="233" t="str">
        <x:v>اسفند</x:v>
      </x:c>
      <x:c r="C457" s="233" t="n">
        <x:f>IF('دانش‌آموزان'!E42="","",'دانش‌آموزان'!B42)</x:f>
        <x:v>38</x:v>
      </x:c>
      <x:c r="D457" s="233" t="str">
        <x:f>IF('دانش‌آموزان'!C42="","",'دانش‌آموزان'!C42)</x:f>
        <x:v>4000000381</x:v>
      </x:c>
      <x:c r="E457" s="233" t="str">
        <x:f>IF('دانش‌آموزان'!E42="","",'دانش‌آموزان'!E42&amp;" "&amp;'دانش‌آموزان'!F42)</x:f>
        <x:v>یسنا حیدری</x:v>
      </x:c>
      <x:c r="F457" s="166" t="str">
        <x:f>IF('دانش‌آموزان'!I42="","",'دانش‌آموزان'!I42)</x:f>
        <x:v>sample-7-b</x:v>
      </x:c>
      <x:c r="G457" s="114"/>
      <x:c r="H457" s="115"/>
      <x:c r="I457" s="115"/>
      <x:c r="J457" s="115"/>
      <x:c r="K457" s="115"/>
      <x:c r="L457" s="115"/>
      <x:c r="M457" s="115"/>
      <x:c r="N457" s="115"/>
      <x:c r="O457" s="115"/>
      <x:c r="P457" s="115"/>
      <x:c r="Q457" s="115"/>
      <x:c r="R457" s="115"/>
      <x:c r="S457" s="115"/>
      <x:c r="T457" s="115"/>
      <x:c r="U457" s="115"/>
      <x:c r="V457" s="115"/>
      <x:c r="W457" s="115"/>
      <x:c r="X457" s="115"/>
      <x:c r="Y457" s="115"/>
      <x:c r="Z457" s="115"/>
      <x:c r="AA457" s="115"/>
      <x:c r="AB457" s="115"/>
      <x:c r="AC457" s="115"/>
      <x:c r="AD457" s="115"/>
      <x:c r="AE457" s="115"/>
      <x:c r="AF457" s="115"/>
      <x:c r="AG457" s="115"/>
      <x:c r="AH457" s="115"/>
      <x:c r="AI457" s="115"/>
      <x:c r="AJ457" s="115"/>
      <x:c r="AK457" s="115"/>
      <x:c r="AL457" s="115"/>
      <x:c r="AM457" s="115"/>
      <x:c r="AN457" s="115"/>
      <x:c r="AO457" s="115"/>
      <x:c r="AP457" s="115"/>
      <x:c r="AQ457" s="115"/>
      <x:c r="AR457" s="115"/>
      <x:c r="AS457" s="115"/>
      <x:c r="AT457" s="115"/>
      <x:c r="AU457" s="115"/>
      <x:c r="AV457" s="115"/>
      <x:c r="AW457" s="115"/>
      <x:c r="AX457" s="115"/>
      <x:c r="AY457" s="115"/>
      <x:c r="AZ457" s="115"/>
      <x:c r="BA457" s="115"/>
      <x:c r="BB457" s="115"/>
      <x:c r="BC457" s="115"/>
      <x:c r="BD457" s="115"/>
      <x:c r="BE457" s="115"/>
      <x:c r="BF457" s="115"/>
      <x:c r="BG457" s="115"/>
      <x:c r="BH457" s="115"/>
      <x:c r="BI457" s="115"/>
      <x:c r="BJ457" s="115"/>
      <x:c r="BK457" s="115"/>
      <x:c r="BL457" s="115"/>
      <x:c r="BM457" s="115"/>
      <x:c r="BN457" s="115"/>
      <x:c r="BO457" s="115"/>
      <x:c r="BP457" s="115"/>
      <x:c r="BQ457" s="115"/>
      <x:c r="BR457" s="115"/>
      <x:c r="BS457" s="115"/>
      <x:c r="BT457" s="115"/>
      <x:c r="BU457" s="115"/>
      <x:c r="BV457" s="115"/>
      <x:c r="BW457" s="115"/>
      <x:c r="BX457" s="115"/>
      <x:c r="BY457" s="115"/>
      <x:c r="BZ457" s="115"/>
      <x:c r="CA457" s="115"/>
      <x:c r="CB457" s="116"/>
      <x:c r="CC457" s="141" t="str">
        <x:f>IF(COUNT(G457:P457)=0,"",AVERAGE(G457:P457)*4)</x:f>
      </x:c>
      <x:c r="CD457" s="178" t="str">
        <x:f>IF(COUNT(Q457:Z457)=0,"",AVERAGE(Q457:Z457)*4)</x:f>
      </x:c>
      <x:c r="CE457" s="178" t="str">
        <x:f>IF(COUNT(AA457:AJ457)=0,"",AVERAGE(AA457:AJ457)*4)</x:f>
      </x:c>
      <x:c r="CF457" s="178" t="str">
        <x:f>IF(COUNT(AK457:AR457)=0,"",AVERAGE(AK457:AR457)*4)</x:f>
      </x:c>
      <x:c r="CG457" s="178" t="str">
        <x:f>IF(COUNT(AS457:AY457)=0,"",AVERAGE(AS457:AY457)*4)</x:f>
      </x:c>
      <x:c r="CH457" s="178" t="str">
        <x:f>IF(COUNT(AZ457:BG457)=0,"",AVERAGE(AZ457:BG457)*4)</x:f>
      </x:c>
      <x:c r="CI457" s="178" t="str">
        <x:f>IF(COUNT(BH457:BN457)=0,"",AVERAGE(BH457:BN457)*4)</x:f>
      </x:c>
      <x:c r="CJ457" s="178" t="str">
        <x:f>IF(COUNT(BO457:BU457)=0,"",AVERAGE(BO457:BU457)*4)</x:f>
      </x:c>
      <x:c r="CK457" s="178" t="str">
        <x:f>IF(COUNT(BV457:CB457)=0,"",AVERAGE(BV457:CB457)*4)</x:f>
      </x:c>
      <x:c r="CL457" s="178" t="str">
        <x:f>IF(C457="","",IF(COUNT(G457:CB457)&lt;74,"",(CC457*'تنظیمات وزن‌دهی'!$C$5+CD457*'تنظیمات وزن‌دهی'!$C$6+CE457*'تنظیمات وزن‌دهی'!$C$7+CF457*'تنظیمات وزن‌دهی'!$C$8+CG457*'تنظیمات وزن‌دهی'!$C$9+CH457*'تنظیمات وزن‌دهی'!$C$10+CI457*'تنظیمات وزن‌دهی'!$C$11+CJ457*'تنظیمات وزن‌دهی'!$C$12+CK457*'تنظیمات وزن‌دهی'!$C$13)/100))</x:f>
      </x:c>
      <x:c r="CM457" s="178" t="str">
        <x:f>IF(C457="","",IF(COUNT(G457:CB457)=0,"",IF(COUNT(G457:CB457)&lt;74,"موقت - اطلاعات ناقص",IF(CL457&gt;=17,"عالی",IF(CL457&gt;=14,"خوب",IF(CL457&gt;=10,"متوسط","ضعیف"))))))</x:f>
      </x:c>
      <x:c r="CN457" s="178" t="n">
        <x:v>9</x:v>
      </x:c>
      <x:c r="CO457" s="142" t="n">
        <x:f>IF(C457="","",COUNT(G457:CB457)/74)</x:f>
        <x:v>0</x:v>
      </x:c>
      <x:c r="CP457" s="245"/>
    </x:row>
    <x:row r="458">
      <x:c r="A458" s="165" t="n">
        <x:v>454</x:v>
      </x:c>
      <x:c r="B458" s="233" t="str">
        <x:v>فروردین</x:v>
      </x:c>
      <x:c r="C458" s="233" t="n">
        <x:f>IF('دانش‌آموزان'!E42="","",'دانش‌آموزان'!B42)</x:f>
        <x:v>38</x:v>
      </x:c>
      <x:c r="D458" s="233" t="str">
        <x:f>IF('دانش‌آموزان'!C42="","",'دانش‌آموزان'!C42)</x:f>
        <x:v>4000000381</x:v>
      </x:c>
      <x:c r="E458" s="233" t="str">
        <x:f>IF('دانش‌آموزان'!E42="","",'دانش‌آموزان'!E42&amp;" "&amp;'دانش‌آموزان'!F42)</x:f>
        <x:v>یسنا حیدری</x:v>
      </x:c>
      <x:c r="F458" s="166" t="str">
        <x:f>IF('دانش‌آموزان'!I42="","",'دانش‌آموزان'!I42)</x:f>
        <x:v>sample-7-b</x:v>
      </x:c>
      <x:c r="G458" s="114"/>
      <x:c r="H458" s="115"/>
      <x:c r="I458" s="115"/>
      <x:c r="J458" s="115"/>
      <x:c r="K458" s="115"/>
      <x:c r="L458" s="115"/>
      <x:c r="M458" s="115"/>
      <x:c r="N458" s="115"/>
      <x:c r="O458" s="115"/>
      <x:c r="P458" s="115"/>
      <x:c r="Q458" s="115"/>
      <x:c r="R458" s="115"/>
      <x:c r="S458" s="115"/>
      <x:c r="T458" s="115"/>
      <x:c r="U458" s="115"/>
      <x:c r="V458" s="115"/>
      <x:c r="W458" s="115"/>
      <x:c r="X458" s="115"/>
      <x:c r="Y458" s="115"/>
      <x:c r="Z458" s="115"/>
      <x:c r="AA458" s="115"/>
      <x:c r="AB458" s="115"/>
      <x:c r="AC458" s="115"/>
      <x:c r="AD458" s="115"/>
      <x:c r="AE458" s="115"/>
      <x:c r="AF458" s="115"/>
      <x:c r="AG458" s="115"/>
      <x:c r="AH458" s="115"/>
      <x:c r="AI458" s="115"/>
      <x:c r="AJ458" s="115"/>
      <x:c r="AK458" s="115"/>
      <x:c r="AL458" s="115"/>
      <x:c r="AM458" s="115"/>
      <x:c r="AN458" s="115"/>
      <x:c r="AO458" s="115"/>
      <x:c r="AP458" s="115"/>
      <x:c r="AQ458" s="115"/>
      <x:c r="AR458" s="115"/>
      <x:c r="AS458" s="115"/>
      <x:c r="AT458" s="115"/>
      <x:c r="AU458" s="115"/>
      <x:c r="AV458" s="115"/>
      <x:c r="AW458" s="115"/>
      <x:c r="AX458" s="115"/>
      <x:c r="AY458" s="115"/>
      <x:c r="AZ458" s="115"/>
      <x:c r="BA458" s="115"/>
      <x:c r="BB458" s="115"/>
      <x:c r="BC458" s="115"/>
      <x:c r="BD458" s="115"/>
      <x:c r="BE458" s="115"/>
      <x:c r="BF458" s="115"/>
      <x:c r="BG458" s="115"/>
      <x:c r="BH458" s="115"/>
      <x:c r="BI458" s="115"/>
      <x:c r="BJ458" s="115"/>
      <x:c r="BK458" s="115"/>
      <x:c r="BL458" s="115"/>
      <x:c r="BM458" s="115"/>
      <x:c r="BN458" s="115"/>
      <x:c r="BO458" s="115"/>
      <x:c r="BP458" s="115"/>
      <x:c r="BQ458" s="115"/>
      <x:c r="BR458" s="115"/>
      <x:c r="BS458" s="115"/>
      <x:c r="BT458" s="115"/>
      <x:c r="BU458" s="115"/>
      <x:c r="BV458" s="115"/>
      <x:c r="BW458" s="115"/>
      <x:c r="BX458" s="115"/>
      <x:c r="BY458" s="115"/>
      <x:c r="BZ458" s="115"/>
      <x:c r="CA458" s="115"/>
      <x:c r="CB458" s="116"/>
      <x:c r="CC458" s="141" t="str">
        <x:f>IF(COUNT(G458:P458)=0,"",AVERAGE(G458:P458)*4)</x:f>
      </x:c>
      <x:c r="CD458" s="178" t="str">
        <x:f>IF(COUNT(Q458:Z458)=0,"",AVERAGE(Q458:Z458)*4)</x:f>
      </x:c>
      <x:c r="CE458" s="178" t="str">
        <x:f>IF(COUNT(AA458:AJ458)=0,"",AVERAGE(AA458:AJ458)*4)</x:f>
      </x:c>
      <x:c r="CF458" s="178" t="str">
        <x:f>IF(COUNT(AK458:AR458)=0,"",AVERAGE(AK458:AR458)*4)</x:f>
      </x:c>
      <x:c r="CG458" s="178" t="str">
        <x:f>IF(COUNT(AS458:AY458)=0,"",AVERAGE(AS458:AY458)*4)</x:f>
      </x:c>
      <x:c r="CH458" s="178" t="str">
        <x:f>IF(COUNT(AZ458:BG458)=0,"",AVERAGE(AZ458:BG458)*4)</x:f>
      </x:c>
      <x:c r="CI458" s="178" t="str">
        <x:f>IF(COUNT(BH458:BN458)=0,"",AVERAGE(BH458:BN458)*4)</x:f>
      </x:c>
      <x:c r="CJ458" s="178" t="str">
        <x:f>IF(COUNT(BO458:BU458)=0,"",AVERAGE(BO458:BU458)*4)</x:f>
      </x:c>
      <x:c r="CK458" s="178" t="str">
        <x:f>IF(COUNT(BV458:CB458)=0,"",AVERAGE(BV458:CB458)*4)</x:f>
      </x:c>
      <x:c r="CL458" s="178" t="str">
        <x:f>IF(C458="","",IF(COUNT(G458:CB458)&lt;74,"",(CC458*'تنظیمات وزن‌دهی'!$C$5+CD458*'تنظیمات وزن‌دهی'!$C$6+CE458*'تنظیمات وزن‌دهی'!$C$7+CF458*'تنظیمات وزن‌دهی'!$C$8+CG458*'تنظیمات وزن‌دهی'!$C$9+CH458*'تنظیمات وزن‌دهی'!$C$10+CI458*'تنظیمات وزن‌دهی'!$C$11+CJ458*'تنظیمات وزن‌دهی'!$C$12+CK458*'تنظیمات وزن‌دهی'!$C$13)/100))</x:f>
      </x:c>
      <x:c r="CM458" s="178" t="str">
        <x:f>IF(C458="","",IF(COUNT(G458:CB458)=0,"",IF(COUNT(G458:CB458)&lt;74,"موقت - اطلاعات ناقص",IF(CL458&gt;=17,"عالی",IF(CL458&gt;=14,"خوب",IF(CL458&gt;=10,"متوسط","ضعیف"))))))</x:f>
      </x:c>
      <x:c r="CN458" s="178" t="n">
        <x:v>10</x:v>
      </x:c>
      <x:c r="CO458" s="142" t="n">
        <x:f>IF(C458="","",COUNT(G458:CB458)/74)</x:f>
        <x:v>0</x:v>
      </x:c>
      <x:c r="CP458" s="245"/>
    </x:row>
    <x:row r="459">
      <x:c r="A459" s="165" t="n">
        <x:v>455</x:v>
      </x:c>
      <x:c r="B459" s="233" t="str">
        <x:v>اردیبهشت</x:v>
      </x:c>
      <x:c r="C459" s="233" t="n">
        <x:f>IF('دانش‌آموزان'!E42="","",'دانش‌آموزان'!B42)</x:f>
        <x:v>38</x:v>
      </x:c>
      <x:c r="D459" s="233" t="str">
        <x:f>IF('دانش‌آموزان'!C42="","",'دانش‌آموزان'!C42)</x:f>
        <x:v>4000000381</x:v>
      </x:c>
      <x:c r="E459" s="233" t="str">
        <x:f>IF('دانش‌آموزان'!E42="","",'دانش‌آموزان'!E42&amp;" "&amp;'دانش‌آموزان'!F42)</x:f>
        <x:v>یسنا حیدری</x:v>
      </x:c>
      <x:c r="F459" s="166" t="str">
        <x:f>IF('دانش‌آموزان'!I42="","",'دانش‌آموزان'!I42)</x:f>
        <x:v>sample-7-b</x:v>
      </x:c>
      <x:c r="G459" s="114"/>
      <x:c r="H459" s="115"/>
      <x:c r="I459" s="115"/>
      <x:c r="J459" s="115"/>
      <x:c r="K459" s="115"/>
      <x:c r="L459" s="115"/>
      <x:c r="M459" s="115"/>
      <x:c r="N459" s="115"/>
      <x:c r="O459" s="115"/>
      <x:c r="P459" s="115"/>
      <x:c r="Q459" s="115"/>
      <x:c r="R459" s="115"/>
      <x:c r="S459" s="115"/>
      <x:c r="T459" s="115"/>
      <x:c r="U459" s="115"/>
      <x:c r="V459" s="115"/>
      <x:c r="W459" s="115"/>
      <x:c r="X459" s="115"/>
      <x:c r="Y459" s="115"/>
      <x:c r="Z459" s="115"/>
      <x:c r="AA459" s="115"/>
      <x:c r="AB459" s="115"/>
      <x:c r="AC459" s="115"/>
      <x:c r="AD459" s="115"/>
      <x:c r="AE459" s="115"/>
      <x:c r="AF459" s="115"/>
      <x:c r="AG459" s="115"/>
      <x:c r="AH459" s="115"/>
      <x:c r="AI459" s="115"/>
      <x:c r="AJ459" s="115"/>
      <x:c r="AK459" s="115"/>
      <x:c r="AL459" s="115"/>
      <x:c r="AM459" s="115"/>
      <x:c r="AN459" s="115"/>
      <x:c r="AO459" s="115"/>
      <x:c r="AP459" s="115"/>
      <x:c r="AQ459" s="115"/>
      <x:c r="AR459" s="115"/>
      <x:c r="AS459" s="115"/>
      <x:c r="AT459" s="115"/>
      <x:c r="AU459" s="115"/>
      <x:c r="AV459" s="115"/>
      <x:c r="AW459" s="115"/>
      <x:c r="AX459" s="115"/>
      <x:c r="AY459" s="115"/>
      <x:c r="AZ459" s="115"/>
      <x:c r="BA459" s="115"/>
      <x:c r="BB459" s="115"/>
      <x:c r="BC459" s="115"/>
      <x:c r="BD459" s="115"/>
      <x:c r="BE459" s="115"/>
      <x:c r="BF459" s="115"/>
      <x:c r="BG459" s="115"/>
      <x:c r="BH459" s="115"/>
      <x:c r="BI459" s="115"/>
      <x:c r="BJ459" s="115"/>
      <x:c r="BK459" s="115"/>
      <x:c r="BL459" s="115"/>
      <x:c r="BM459" s="115"/>
      <x:c r="BN459" s="115"/>
      <x:c r="BO459" s="115"/>
      <x:c r="BP459" s="115"/>
      <x:c r="BQ459" s="115"/>
      <x:c r="BR459" s="115"/>
      <x:c r="BS459" s="115"/>
      <x:c r="BT459" s="115"/>
      <x:c r="BU459" s="115"/>
      <x:c r="BV459" s="115"/>
      <x:c r="BW459" s="115"/>
      <x:c r="BX459" s="115"/>
      <x:c r="BY459" s="115"/>
      <x:c r="BZ459" s="115"/>
      <x:c r="CA459" s="115"/>
      <x:c r="CB459" s="116"/>
      <x:c r="CC459" s="141" t="str">
        <x:f>IF(COUNT(G459:P459)=0,"",AVERAGE(G459:P459)*4)</x:f>
      </x:c>
      <x:c r="CD459" s="178" t="str">
        <x:f>IF(COUNT(Q459:Z459)=0,"",AVERAGE(Q459:Z459)*4)</x:f>
      </x:c>
      <x:c r="CE459" s="178" t="str">
        <x:f>IF(COUNT(AA459:AJ459)=0,"",AVERAGE(AA459:AJ459)*4)</x:f>
      </x:c>
      <x:c r="CF459" s="178" t="str">
        <x:f>IF(COUNT(AK459:AR459)=0,"",AVERAGE(AK459:AR459)*4)</x:f>
      </x:c>
      <x:c r="CG459" s="178" t="str">
        <x:f>IF(COUNT(AS459:AY459)=0,"",AVERAGE(AS459:AY459)*4)</x:f>
      </x:c>
      <x:c r="CH459" s="178" t="str">
        <x:f>IF(COUNT(AZ459:BG459)=0,"",AVERAGE(AZ459:BG459)*4)</x:f>
      </x:c>
      <x:c r="CI459" s="178" t="str">
        <x:f>IF(COUNT(BH459:BN459)=0,"",AVERAGE(BH459:BN459)*4)</x:f>
      </x:c>
      <x:c r="CJ459" s="178" t="str">
        <x:f>IF(COUNT(BO459:BU459)=0,"",AVERAGE(BO459:BU459)*4)</x:f>
      </x:c>
      <x:c r="CK459" s="178" t="str">
        <x:f>IF(COUNT(BV459:CB459)=0,"",AVERAGE(BV459:CB459)*4)</x:f>
      </x:c>
      <x:c r="CL459" s="178" t="str">
        <x:f>IF(C459="","",IF(COUNT(G459:CB459)&lt;74,"",(CC459*'تنظیمات وزن‌دهی'!$C$5+CD459*'تنظیمات وزن‌دهی'!$C$6+CE459*'تنظیمات وزن‌دهی'!$C$7+CF459*'تنظیمات وزن‌دهی'!$C$8+CG459*'تنظیمات وزن‌دهی'!$C$9+CH459*'تنظیمات وزن‌دهی'!$C$10+CI459*'تنظیمات وزن‌دهی'!$C$11+CJ459*'تنظیمات وزن‌دهی'!$C$12+CK459*'تنظیمات وزن‌دهی'!$C$13)/100))</x:f>
      </x:c>
      <x:c r="CM459" s="178" t="str">
        <x:f>IF(C459="","",IF(COUNT(G459:CB459)=0,"",IF(COUNT(G459:CB459)&lt;74,"موقت - اطلاعات ناقص",IF(CL459&gt;=17,"عالی",IF(CL459&gt;=14,"خوب",IF(CL459&gt;=10,"متوسط","ضعیف"))))))</x:f>
      </x:c>
      <x:c r="CN459" s="178" t="n">
        <x:v>11</x:v>
      </x:c>
      <x:c r="CO459" s="142" t="n">
        <x:f>IF(C459="","",COUNT(G459:CB459)/74)</x:f>
        <x:v>0</x:v>
      </x:c>
      <x:c r="CP459" s="245"/>
    </x:row>
    <x:row r="460">
      <x:c r="A460" s="165" t="n">
        <x:v>456</x:v>
      </x:c>
      <x:c r="B460" s="233" t="str">
        <x:v>خرداد</x:v>
      </x:c>
      <x:c r="C460" s="233" t="n">
        <x:f>IF('دانش‌آموزان'!E42="","",'دانش‌آموزان'!B42)</x:f>
        <x:v>38</x:v>
      </x:c>
      <x:c r="D460" s="233" t="str">
        <x:f>IF('دانش‌آموزان'!C42="","",'دانش‌آموزان'!C42)</x:f>
        <x:v>4000000381</x:v>
      </x:c>
      <x:c r="E460" s="233" t="str">
        <x:f>IF('دانش‌آموزان'!E42="","",'دانش‌آموزان'!E42&amp;" "&amp;'دانش‌آموزان'!F42)</x:f>
        <x:v>یسنا حیدری</x:v>
      </x:c>
      <x:c r="F460" s="166" t="str">
        <x:f>IF('دانش‌آموزان'!I42="","",'دانش‌آموزان'!I42)</x:f>
        <x:v>sample-7-b</x:v>
      </x:c>
      <x:c r="G460" s="114"/>
      <x:c r="H460" s="115"/>
      <x:c r="I460" s="115"/>
      <x:c r="J460" s="115"/>
      <x:c r="K460" s="115"/>
      <x:c r="L460" s="115"/>
      <x:c r="M460" s="115"/>
      <x:c r="N460" s="115"/>
      <x:c r="O460" s="115"/>
      <x:c r="P460" s="115"/>
      <x:c r="Q460" s="115"/>
      <x:c r="R460" s="115"/>
      <x:c r="S460" s="115"/>
      <x:c r="T460" s="115"/>
      <x:c r="U460" s="115"/>
      <x:c r="V460" s="115"/>
      <x:c r="W460" s="115"/>
      <x:c r="X460" s="115"/>
      <x:c r="Y460" s="115"/>
      <x:c r="Z460" s="115"/>
      <x:c r="AA460" s="115"/>
      <x:c r="AB460" s="115"/>
      <x:c r="AC460" s="115"/>
      <x:c r="AD460" s="115"/>
      <x:c r="AE460" s="115"/>
      <x:c r="AF460" s="115"/>
      <x:c r="AG460" s="115"/>
      <x:c r="AH460" s="115"/>
      <x:c r="AI460" s="115"/>
      <x:c r="AJ460" s="115"/>
      <x:c r="AK460" s="115"/>
      <x:c r="AL460" s="115"/>
      <x:c r="AM460" s="115"/>
      <x:c r="AN460" s="115"/>
      <x:c r="AO460" s="115"/>
      <x:c r="AP460" s="115"/>
      <x:c r="AQ460" s="115"/>
      <x:c r="AR460" s="115"/>
      <x:c r="AS460" s="115"/>
      <x:c r="AT460" s="115"/>
      <x:c r="AU460" s="115"/>
      <x:c r="AV460" s="115"/>
      <x:c r="AW460" s="115"/>
      <x:c r="AX460" s="115"/>
      <x:c r="AY460" s="115"/>
      <x:c r="AZ460" s="115"/>
      <x:c r="BA460" s="115"/>
      <x:c r="BB460" s="115"/>
      <x:c r="BC460" s="115"/>
      <x:c r="BD460" s="115"/>
      <x:c r="BE460" s="115"/>
      <x:c r="BF460" s="115"/>
      <x:c r="BG460" s="115"/>
      <x:c r="BH460" s="115"/>
      <x:c r="BI460" s="115"/>
      <x:c r="BJ460" s="115"/>
      <x:c r="BK460" s="115"/>
      <x:c r="BL460" s="115"/>
      <x:c r="BM460" s="115"/>
      <x:c r="BN460" s="115"/>
      <x:c r="BO460" s="115"/>
      <x:c r="BP460" s="115"/>
      <x:c r="BQ460" s="115"/>
      <x:c r="BR460" s="115"/>
      <x:c r="BS460" s="115"/>
      <x:c r="BT460" s="115"/>
      <x:c r="BU460" s="115"/>
      <x:c r="BV460" s="115"/>
      <x:c r="BW460" s="115"/>
      <x:c r="BX460" s="115"/>
      <x:c r="BY460" s="115"/>
      <x:c r="BZ460" s="115"/>
      <x:c r="CA460" s="115"/>
      <x:c r="CB460" s="116"/>
      <x:c r="CC460" s="141" t="str">
        <x:f>IF(COUNT(G460:P460)=0,"",AVERAGE(G460:P460)*4)</x:f>
      </x:c>
      <x:c r="CD460" s="178" t="str">
        <x:f>IF(COUNT(Q460:Z460)=0,"",AVERAGE(Q460:Z460)*4)</x:f>
      </x:c>
      <x:c r="CE460" s="178" t="str">
        <x:f>IF(COUNT(AA460:AJ460)=0,"",AVERAGE(AA460:AJ460)*4)</x:f>
      </x:c>
      <x:c r="CF460" s="178" t="str">
        <x:f>IF(COUNT(AK460:AR460)=0,"",AVERAGE(AK460:AR460)*4)</x:f>
      </x:c>
      <x:c r="CG460" s="178" t="str">
        <x:f>IF(COUNT(AS460:AY460)=0,"",AVERAGE(AS460:AY460)*4)</x:f>
      </x:c>
      <x:c r="CH460" s="178" t="str">
        <x:f>IF(COUNT(AZ460:BG460)=0,"",AVERAGE(AZ460:BG460)*4)</x:f>
      </x:c>
      <x:c r="CI460" s="178" t="str">
        <x:f>IF(COUNT(BH460:BN460)=0,"",AVERAGE(BH460:BN460)*4)</x:f>
      </x:c>
      <x:c r="CJ460" s="178" t="str">
        <x:f>IF(COUNT(BO460:BU460)=0,"",AVERAGE(BO460:BU460)*4)</x:f>
      </x:c>
      <x:c r="CK460" s="178" t="str">
        <x:f>IF(COUNT(BV460:CB460)=0,"",AVERAGE(BV460:CB460)*4)</x:f>
      </x:c>
      <x:c r="CL460" s="178" t="str">
        <x:f>IF(C460="","",IF(COUNT(G460:CB460)&lt;74,"",(CC460*'تنظیمات وزن‌دهی'!$C$5+CD460*'تنظیمات وزن‌دهی'!$C$6+CE460*'تنظیمات وزن‌دهی'!$C$7+CF460*'تنظیمات وزن‌دهی'!$C$8+CG460*'تنظیمات وزن‌دهی'!$C$9+CH460*'تنظیمات وزن‌دهی'!$C$10+CI460*'تنظیمات وزن‌دهی'!$C$11+CJ460*'تنظیمات وزن‌دهی'!$C$12+CK460*'تنظیمات وزن‌دهی'!$C$13)/100))</x:f>
      </x:c>
      <x:c r="CM460" s="178" t="str">
        <x:f>IF(C460="","",IF(COUNT(G460:CB460)=0,"",IF(COUNT(G460:CB460)&lt;74,"موقت - اطلاعات ناقص",IF(CL460&gt;=17,"عالی",IF(CL460&gt;=14,"خوب",IF(CL460&gt;=10,"متوسط","ضعیف"))))))</x:f>
      </x:c>
      <x:c r="CN460" s="178" t="n">
        <x:v>12</x:v>
      </x:c>
      <x:c r="CO460" s="142" t="n">
        <x:f>IF(C460="","",COUNT(G460:CB460)/74)</x:f>
        <x:v>0</x:v>
      </x:c>
      <x:c r="CP460" s="245"/>
    </x:row>
    <x:row r="461">
      <x:c r="A461" s="165" t="n">
        <x:v>457</x:v>
      </x:c>
      <x:c r="B461" s="233" t="str">
        <x:v>تیر</x:v>
      </x:c>
      <x:c r="C461" s="233" t="n">
        <x:f>IF('دانش‌آموزان'!E43="","",'دانش‌آموزان'!B43)</x:f>
        <x:v>39</x:v>
      </x:c>
      <x:c r="D461" s="233" t="str">
        <x:f>IF('دانش‌آموزان'!C43="","",'دانش‌آموزان'!C43)</x:f>
        <x:v>4000000391</x:v>
      </x:c>
      <x:c r="E461" s="233" t="str">
        <x:f>IF('دانش‌آموزان'!E43="","",'دانش‌آموزان'!E43&amp;" "&amp;'دانش‌آموزان'!F43)</x:f>
        <x:v>رضا صادقی</x:v>
      </x:c>
      <x:c r="F461" s="166" t="str">
        <x:f>IF('دانش‌آموزان'!I43="","",'دانش‌آموزان'!I43)</x:f>
        <x:v>sample-7-b</x:v>
      </x:c>
      <x:c r="G461" s="114" t="n">
        <x:v>4</x:v>
      </x:c>
      <x:c r="H461" s="115" t="n">
        <x:v>5</x:v>
      </x:c>
      <x:c r="I461" s="115" t="n">
        <x:v>3</x:v>
      </x:c>
      <x:c r="J461" s="115" t="n">
        <x:v>5</x:v>
      </x:c>
      <x:c r="K461" s="115" t="n">
        <x:v>3</x:v>
      </x:c>
      <x:c r="L461" s="115" t="n">
        <x:v>4</x:v>
      </x:c>
      <x:c r="M461" s="115" t="n">
        <x:v>3</x:v>
      </x:c>
      <x:c r="N461" s="115" t="n">
        <x:v>4</x:v>
      </x:c>
      <x:c r="O461" s="115" t="n">
        <x:v>2</x:v>
      </x:c>
      <x:c r="P461" s="115" t="n">
        <x:v>4</x:v>
      </x:c>
      <x:c r="Q461" s="115" t="n">
        <x:v>5</x:v>
      </x:c>
      <x:c r="R461" s="115" t="n">
        <x:v>4</x:v>
      </x:c>
      <x:c r="S461" s="115" t="n">
        <x:v>5</x:v>
      </x:c>
      <x:c r="T461" s="115" t="n">
        <x:v>3</x:v>
      </x:c>
      <x:c r="U461" s="115" t="n">
        <x:v>5</x:v>
      </x:c>
      <x:c r="V461" s="115" t="n">
        <x:v>3</x:v>
      </x:c>
      <x:c r="W461" s="115" t="n">
        <x:v>4</x:v>
      </x:c>
      <x:c r="X461" s="115" t="n">
        <x:v>3</x:v>
      </x:c>
      <x:c r="Y461" s="115" t="n">
        <x:v>4</x:v>
      </x:c>
      <x:c r="Z461" s="115" t="n">
        <x:v>2</x:v>
      </x:c>
      <x:c r="AA461" s="115" t="n">
        <x:v>4</x:v>
      </x:c>
      <x:c r="AB461" s="115" t="n">
        <x:v>5</x:v>
      </x:c>
      <x:c r="AC461" s="115" t="n">
        <x:v>4</x:v>
      </x:c>
      <x:c r="AD461" s="115" t="n">
        <x:v>5</x:v>
      </x:c>
      <x:c r="AE461" s="115" t="n">
        <x:v>3</x:v>
      </x:c>
      <x:c r="AF461" s="115" t="n">
        <x:v>5</x:v>
      </x:c>
      <x:c r="AG461" s="115" t="n">
        <x:v>3</x:v>
      </x:c>
      <x:c r="AH461" s="115" t="n">
        <x:v>4</x:v>
      </x:c>
      <x:c r="AI461" s="115" t="n">
        <x:v>3</x:v>
      </x:c>
      <x:c r="AJ461" s="115" t="n">
        <x:v>4</x:v>
      </x:c>
      <x:c r="AK461" s="115" t="n">
        <x:v>2</x:v>
      </x:c>
      <x:c r="AL461" s="115" t="n">
        <x:v>4</x:v>
      </x:c>
      <x:c r="AM461" s="115" t="n">
        <x:v>5</x:v>
      </x:c>
      <x:c r="AN461" s="115" t="n">
        <x:v>4</x:v>
      </x:c>
      <x:c r="AO461" s="115" t="n">
        <x:v>5</x:v>
      </x:c>
      <x:c r="AP461" s="115" t="n">
        <x:v>3</x:v>
      </x:c>
      <x:c r="AQ461" s="115" t="n">
        <x:v>5</x:v>
      </x:c>
      <x:c r="AR461" s="115" t="n">
        <x:v>3</x:v>
      </x:c>
      <x:c r="AS461" s="115" t="n">
        <x:v>4</x:v>
      </x:c>
      <x:c r="AT461" s="115" t="n">
        <x:v>3</x:v>
      </x:c>
      <x:c r="AU461" s="115" t="n">
        <x:v>4</x:v>
      </x:c>
      <x:c r="AV461" s="115" t="n">
        <x:v>2</x:v>
      </x:c>
      <x:c r="AW461" s="115" t="n">
        <x:v>4</x:v>
      </x:c>
      <x:c r="AX461" s="115" t="n">
        <x:v>5</x:v>
      </x:c>
      <x:c r="AY461" s="115" t="n">
        <x:v>4</x:v>
      </x:c>
      <x:c r="AZ461" s="115" t="n">
        <x:v>5</x:v>
      </x:c>
      <x:c r="BA461" s="115" t="n">
        <x:v>3</x:v>
      </x:c>
      <x:c r="BB461" s="115" t="n">
        <x:v>5</x:v>
      </x:c>
      <x:c r="BC461" s="115" t="n">
        <x:v>3</x:v>
      </x:c>
      <x:c r="BD461" s="115" t="n">
        <x:v>4</x:v>
      </x:c>
      <x:c r="BE461" s="115" t="n">
        <x:v>3</x:v>
      </x:c>
      <x:c r="BF461" s="115" t="n">
        <x:v>4</x:v>
      </x:c>
      <x:c r="BG461" s="115" t="n">
        <x:v>2</x:v>
      </x:c>
      <x:c r="BH461" s="115" t="n">
        <x:v>4</x:v>
      </x:c>
      <x:c r="BI461" s="115" t="n">
        <x:v>5</x:v>
      </x:c>
      <x:c r="BJ461" s="115" t="n">
        <x:v>4</x:v>
      </x:c>
      <x:c r="BK461" s="115" t="n">
        <x:v>5</x:v>
      </x:c>
      <x:c r="BL461" s="115" t="n">
        <x:v>3</x:v>
      </x:c>
      <x:c r="BM461" s="115" t="n">
        <x:v>5</x:v>
      </x:c>
      <x:c r="BN461" s="115" t="n">
        <x:v>3</x:v>
      </x:c>
      <x:c r="BO461" s="115" t="n">
        <x:v>4</x:v>
      </x:c>
      <x:c r="BP461" s="115" t="n">
        <x:v>3</x:v>
      </x:c>
      <x:c r="BQ461" s="115" t="n">
        <x:v>4</x:v>
      </x:c>
      <x:c r="BR461" s="115" t="n">
        <x:v>2</x:v>
      </x:c>
      <x:c r="BS461" s="115" t="n">
        <x:v>4</x:v>
      </x:c>
      <x:c r="BT461" s="115" t="n">
        <x:v>5</x:v>
      </x:c>
      <x:c r="BU461" s="115" t="n">
        <x:v>4</x:v>
      </x:c>
      <x:c r="BV461" s="115" t="n">
        <x:v>5</x:v>
      </x:c>
      <x:c r="BW461" s="115" t="n">
        <x:v>3</x:v>
      </x:c>
      <x:c r="BX461" s="115" t="n">
        <x:v>5</x:v>
      </x:c>
      <x:c r="BY461" s="115" t="n">
        <x:v>3</x:v>
      </x:c>
      <x:c r="BZ461" s="115" t="n">
        <x:v>4</x:v>
      </x:c>
      <x:c r="CA461" s="115" t="n">
        <x:v>3</x:v>
      </x:c>
      <x:c r="CB461" s="116" t="n">
        <x:v>4</x:v>
      </x:c>
      <x:c r="CC461" s="141" t="n">
        <x:f>IF(COUNT(G461:P461)=0,"",AVERAGE(G461:P461)*4)</x:f>
        <x:v>14.8</x:v>
      </x:c>
      <x:c r="CD461" s="178" t="n">
        <x:f>IF(COUNT(Q461:Z461)=0,"",AVERAGE(Q461:Z461)*4)</x:f>
        <x:v>15.2</x:v>
      </x:c>
      <x:c r="CE461" s="178" t="n">
        <x:f>IF(COUNT(AA461:AJ461)=0,"",AVERAGE(AA461:AJ461)*4)</x:f>
        <x:v>16</x:v>
      </x:c>
      <x:c r="CF461" s="178" t="n">
        <x:f>IF(COUNT(AK461:AR461)=0,"",AVERAGE(AK461:AR461)*4)</x:f>
        <x:v>15.5</x:v>
      </x:c>
      <x:c r="CG461" s="178" t="n">
        <x:f>IF(COUNT(AS461:AY461)=0,"",AVERAGE(AS461:AY461)*4)</x:f>
        <x:v>14.857142857142858</x:v>
      </x:c>
      <x:c r="CH461" s="178" t="n">
        <x:f>IF(COUNT(AZ461:BG461)=0,"",AVERAGE(AZ461:BG461)*4)</x:f>
        <x:v>14.5</x:v>
      </x:c>
      <x:c r="CI461" s="178" t="n">
        <x:f>IF(COUNT(BH461:BN461)=0,"",AVERAGE(BH461:BN461)*4)</x:f>
        <x:v>16.571428571428573</x:v>
      </x:c>
      <x:c r="CJ461" s="178" t="n">
        <x:f>IF(COUNT(BO461:BU461)=0,"",AVERAGE(BO461:BU461)*4)</x:f>
        <x:v>14.857142857142858</x:v>
      </x:c>
      <x:c r="CK461" s="178" t="n">
        <x:f>IF(COUNT(BV461:CB461)=0,"",AVERAGE(BV461:CB461)*4)</x:f>
        <x:v>15.428571428571429</x:v>
      </x:c>
      <x:c r="CL461" s="178" t="n">
        <x:f>IF(C461="","",IF(COUNT(G461:CB461)&lt;74,"",(CC461*'تنظیمات وزن‌دهی'!$C$5+CD461*'تنظیمات وزن‌دهی'!$C$6+CE461*'تنظیمات وزن‌دهی'!$C$7+CF461*'تنظیمات وزن‌دهی'!$C$8+CG461*'تنظیمات وزن‌دهی'!$C$9+CH461*'تنظیمات وزن‌دهی'!$C$10+CI461*'تنظیمات وزن‌دهی'!$C$11+CJ461*'تنظیمات وزن‌دهی'!$C$12+CK461*'تنظیمات وزن‌دهی'!$C$13)/100))</x:f>
        <x:v>15.29642857142857</x:v>
      </x:c>
      <x:c r="CM461" s="178" t="str">
        <x:f>IF(C461="","",IF(COUNT(G461:CB461)=0,"",IF(COUNT(G461:CB461)&lt;74,"موقت - اطلاعات ناقص",IF(CL461&gt;=17,"عالی",IF(CL461&gt;=14,"خوب",IF(CL461&gt;=10,"متوسط","ضعیف"))))))</x:f>
        <x:v>خوب</x:v>
      </x:c>
      <x:c r="CN461" s="178" t="n">
        <x:v>1</x:v>
      </x:c>
      <x:c r="CO461" s="142" t="n">
        <x:f>IF(C461="","",COUNT(G461:CB461)/74)</x:f>
        <x:v>1</x:v>
      </x:c>
      <x:c r="CP461" s="245" t="str">
        <x:v>داده نمونه کامل برای ماه تیر - دانش‌آموز شماره 39</x:v>
      </x:c>
    </x:row>
    <x:row r="462">
      <x:c r="A462" s="165" t="n">
        <x:v>458</x:v>
      </x:c>
      <x:c r="B462" s="233" t="str">
        <x:v>مرداد</x:v>
      </x:c>
      <x:c r="C462" s="233" t="n">
        <x:f>IF('دانش‌آموزان'!E43="","",'دانش‌آموزان'!B43)</x:f>
        <x:v>39</x:v>
      </x:c>
      <x:c r="D462" s="233" t="str">
        <x:f>IF('دانش‌آموزان'!C43="","",'دانش‌آموزان'!C43)</x:f>
        <x:v>4000000391</x:v>
      </x:c>
      <x:c r="E462" s="233" t="str">
        <x:f>IF('دانش‌آموزان'!E43="","",'دانش‌آموزان'!E43&amp;" "&amp;'دانش‌آموزان'!F43)</x:f>
        <x:v>رضا صادقی</x:v>
      </x:c>
      <x:c r="F462" s="166" t="str">
        <x:f>IF('دانش‌آموزان'!I43="","",'دانش‌آموزان'!I43)</x:f>
        <x:v>sample-7-b</x:v>
      </x:c>
      <x:c r="G462" s="114"/>
      <x:c r="H462" s="115"/>
      <x:c r="I462" s="115"/>
      <x:c r="J462" s="115"/>
      <x:c r="K462" s="115"/>
      <x:c r="L462" s="115"/>
      <x:c r="M462" s="115"/>
      <x:c r="N462" s="115"/>
      <x:c r="O462" s="115"/>
      <x:c r="P462" s="115"/>
      <x:c r="Q462" s="115"/>
      <x:c r="R462" s="115"/>
      <x:c r="S462" s="115"/>
      <x:c r="T462" s="115"/>
      <x:c r="U462" s="115"/>
      <x:c r="V462" s="115"/>
      <x:c r="W462" s="115"/>
      <x:c r="X462" s="115"/>
      <x:c r="Y462" s="115"/>
      <x:c r="Z462" s="115"/>
      <x:c r="AA462" s="115"/>
      <x:c r="AB462" s="115"/>
      <x:c r="AC462" s="115"/>
      <x:c r="AD462" s="115"/>
      <x:c r="AE462" s="115"/>
      <x:c r="AF462" s="115"/>
      <x:c r="AG462" s="115"/>
      <x:c r="AH462" s="115"/>
      <x:c r="AI462" s="115"/>
      <x:c r="AJ462" s="115"/>
      <x:c r="AK462" s="115"/>
      <x:c r="AL462" s="115"/>
      <x:c r="AM462" s="115"/>
      <x:c r="AN462" s="115"/>
      <x:c r="AO462" s="115"/>
      <x:c r="AP462" s="115"/>
      <x:c r="AQ462" s="115"/>
      <x:c r="AR462" s="115"/>
      <x:c r="AS462" s="115"/>
      <x:c r="AT462" s="115"/>
      <x:c r="AU462" s="115"/>
      <x:c r="AV462" s="115"/>
      <x:c r="AW462" s="115"/>
      <x:c r="AX462" s="115"/>
      <x:c r="AY462" s="115"/>
      <x:c r="AZ462" s="115"/>
      <x:c r="BA462" s="115"/>
      <x:c r="BB462" s="115"/>
      <x:c r="BC462" s="115"/>
      <x:c r="BD462" s="115"/>
      <x:c r="BE462" s="115"/>
      <x:c r="BF462" s="115"/>
      <x:c r="BG462" s="115"/>
      <x:c r="BH462" s="115"/>
      <x:c r="BI462" s="115"/>
      <x:c r="BJ462" s="115"/>
      <x:c r="BK462" s="115"/>
      <x:c r="BL462" s="115"/>
      <x:c r="BM462" s="115"/>
      <x:c r="BN462" s="115"/>
      <x:c r="BO462" s="115"/>
      <x:c r="BP462" s="115"/>
      <x:c r="BQ462" s="115"/>
      <x:c r="BR462" s="115"/>
      <x:c r="BS462" s="115"/>
      <x:c r="BT462" s="115"/>
      <x:c r="BU462" s="115"/>
      <x:c r="BV462" s="115"/>
      <x:c r="BW462" s="115"/>
      <x:c r="BX462" s="115"/>
      <x:c r="BY462" s="115"/>
      <x:c r="BZ462" s="115"/>
      <x:c r="CA462" s="115"/>
      <x:c r="CB462" s="116"/>
      <x:c r="CC462" s="141" t="str">
        <x:f>IF(COUNT(G462:P462)=0,"",AVERAGE(G462:P462)*4)</x:f>
      </x:c>
      <x:c r="CD462" s="178" t="str">
        <x:f>IF(COUNT(Q462:Z462)=0,"",AVERAGE(Q462:Z462)*4)</x:f>
      </x:c>
      <x:c r="CE462" s="178" t="str">
        <x:f>IF(COUNT(AA462:AJ462)=0,"",AVERAGE(AA462:AJ462)*4)</x:f>
      </x:c>
      <x:c r="CF462" s="178" t="str">
        <x:f>IF(COUNT(AK462:AR462)=0,"",AVERAGE(AK462:AR462)*4)</x:f>
      </x:c>
      <x:c r="CG462" s="178" t="str">
        <x:f>IF(COUNT(AS462:AY462)=0,"",AVERAGE(AS462:AY462)*4)</x:f>
      </x:c>
      <x:c r="CH462" s="178" t="str">
        <x:f>IF(COUNT(AZ462:BG462)=0,"",AVERAGE(AZ462:BG462)*4)</x:f>
      </x:c>
      <x:c r="CI462" s="178" t="str">
        <x:f>IF(COUNT(BH462:BN462)=0,"",AVERAGE(BH462:BN462)*4)</x:f>
      </x:c>
      <x:c r="CJ462" s="178" t="str">
        <x:f>IF(COUNT(BO462:BU462)=0,"",AVERAGE(BO462:BU462)*4)</x:f>
      </x:c>
      <x:c r="CK462" s="178" t="str">
        <x:f>IF(COUNT(BV462:CB462)=0,"",AVERAGE(BV462:CB462)*4)</x:f>
      </x:c>
      <x:c r="CL462" s="178" t="str">
        <x:f>IF(C462="","",IF(COUNT(G462:CB462)&lt;74,"",(CC462*'تنظیمات وزن‌دهی'!$C$5+CD462*'تنظیمات وزن‌دهی'!$C$6+CE462*'تنظیمات وزن‌دهی'!$C$7+CF462*'تنظیمات وزن‌دهی'!$C$8+CG462*'تنظیمات وزن‌دهی'!$C$9+CH462*'تنظیمات وزن‌دهی'!$C$10+CI462*'تنظیمات وزن‌دهی'!$C$11+CJ462*'تنظیمات وزن‌دهی'!$C$12+CK462*'تنظیمات وزن‌دهی'!$C$13)/100))</x:f>
      </x:c>
      <x:c r="CM462" s="178" t="str">
        <x:f>IF(C462="","",IF(COUNT(G462:CB462)=0,"",IF(COUNT(G462:CB462)&lt;74,"موقت - اطلاعات ناقص",IF(CL462&gt;=17,"عالی",IF(CL462&gt;=14,"خوب",IF(CL462&gt;=10,"متوسط","ضعیف"))))))</x:f>
      </x:c>
      <x:c r="CN462" s="178" t="n">
        <x:v>2</x:v>
      </x:c>
      <x:c r="CO462" s="142" t="n">
        <x:f>IF(C462="","",COUNT(G462:CB462)/74)</x:f>
        <x:v>0</x:v>
      </x:c>
      <x:c r="CP462" s="245"/>
    </x:row>
    <x:row r="463">
      <x:c r="A463" s="165" t="n">
        <x:v>459</x:v>
      </x:c>
      <x:c r="B463" s="233" t="str">
        <x:v>شهریور</x:v>
      </x:c>
      <x:c r="C463" s="233" t="n">
        <x:f>IF('دانش‌آموزان'!E43="","",'دانش‌آموزان'!B43)</x:f>
        <x:v>39</x:v>
      </x:c>
      <x:c r="D463" s="233" t="str">
        <x:f>IF('دانش‌آموزان'!C43="","",'دانش‌آموزان'!C43)</x:f>
        <x:v>4000000391</x:v>
      </x:c>
      <x:c r="E463" s="233" t="str">
        <x:f>IF('دانش‌آموزان'!E43="","",'دانش‌آموزان'!E43&amp;" "&amp;'دانش‌آموزان'!F43)</x:f>
        <x:v>رضا صادقی</x:v>
      </x:c>
      <x:c r="F463" s="166" t="str">
        <x:f>IF('دانش‌آموزان'!I43="","",'دانش‌آموزان'!I43)</x:f>
        <x:v>sample-7-b</x:v>
      </x:c>
      <x:c r="G463" s="114"/>
      <x:c r="H463" s="115"/>
      <x:c r="I463" s="115"/>
      <x:c r="J463" s="115"/>
      <x:c r="K463" s="115"/>
      <x:c r="L463" s="115"/>
      <x:c r="M463" s="115"/>
      <x:c r="N463" s="115"/>
      <x:c r="O463" s="115"/>
      <x:c r="P463" s="115"/>
      <x:c r="Q463" s="115"/>
      <x:c r="R463" s="115"/>
      <x:c r="S463" s="115"/>
      <x:c r="T463" s="115"/>
      <x:c r="U463" s="115"/>
      <x:c r="V463" s="115"/>
      <x:c r="W463" s="115"/>
      <x:c r="X463" s="115"/>
      <x:c r="Y463" s="115"/>
      <x:c r="Z463" s="115"/>
      <x:c r="AA463" s="115"/>
      <x:c r="AB463" s="115"/>
      <x:c r="AC463" s="115"/>
      <x:c r="AD463" s="115"/>
      <x:c r="AE463" s="115"/>
      <x:c r="AF463" s="115"/>
      <x:c r="AG463" s="115"/>
      <x:c r="AH463" s="115"/>
      <x:c r="AI463" s="115"/>
      <x:c r="AJ463" s="115"/>
      <x:c r="AK463" s="115"/>
      <x:c r="AL463" s="115"/>
      <x:c r="AM463" s="115"/>
      <x:c r="AN463" s="115"/>
      <x:c r="AO463" s="115"/>
      <x:c r="AP463" s="115"/>
      <x:c r="AQ463" s="115"/>
      <x:c r="AR463" s="115"/>
      <x:c r="AS463" s="115"/>
      <x:c r="AT463" s="115"/>
      <x:c r="AU463" s="115"/>
      <x:c r="AV463" s="115"/>
      <x:c r="AW463" s="115"/>
      <x:c r="AX463" s="115"/>
      <x:c r="AY463" s="115"/>
      <x:c r="AZ463" s="115"/>
      <x:c r="BA463" s="115"/>
      <x:c r="BB463" s="115"/>
      <x:c r="BC463" s="115"/>
      <x:c r="BD463" s="115"/>
      <x:c r="BE463" s="115"/>
      <x:c r="BF463" s="115"/>
      <x:c r="BG463" s="115"/>
      <x:c r="BH463" s="115"/>
      <x:c r="BI463" s="115"/>
      <x:c r="BJ463" s="115"/>
      <x:c r="BK463" s="115"/>
      <x:c r="BL463" s="115"/>
      <x:c r="BM463" s="115"/>
      <x:c r="BN463" s="115"/>
      <x:c r="BO463" s="115"/>
      <x:c r="BP463" s="115"/>
      <x:c r="BQ463" s="115"/>
      <x:c r="BR463" s="115"/>
      <x:c r="BS463" s="115"/>
      <x:c r="BT463" s="115"/>
      <x:c r="BU463" s="115"/>
      <x:c r="BV463" s="115"/>
      <x:c r="BW463" s="115"/>
      <x:c r="BX463" s="115"/>
      <x:c r="BY463" s="115"/>
      <x:c r="BZ463" s="115"/>
      <x:c r="CA463" s="115"/>
      <x:c r="CB463" s="116"/>
      <x:c r="CC463" s="141" t="str">
        <x:f>IF(COUNT(G463:P463)=0,"",AVERAGE(G463:P463)*4)</x:f>
      </x:c>
      <x:c r="CD463" s="178" t="str">
        <x:f>IF(COUNT(Q463:Z463)=0,"",AVERAGE(Q463:Z463)*4)</x:f>
      </x:c>
      <x:c r="CE463" s="178" t="str">
        <x:f>IF(COUNT(AA463:AJ463)=0,"",AVERAGE(AA463:AJ463)*4)</x:f>
      </x:c>
      <x:c r="CF463" s="178" t="str">
        <x:f>IF(COUNT(AK463:AR463)=0,"",AVERAGE(AK463:AR463)*4)</x:f>
      </x:c>
      <x:c r="CG463" s="178" t="str">
        <x:f>IF(COUNT(AS463:AY463)=0,"",AVERAGE(AS463:AY463)*4)</x:f>
      </x:c>
      <x:c r="CH463" s="178" t="str">
        <x:f>IF(COUNT(AZ463:BG463)=0,"",AVERAGE(AZ463:BG463)*4)</x:f>
      </x:c>
      <x:c r="CI463" s="178" t="str">
        <x:f>IF(COUNT(BH463:BN463)=0,"",AVERAGE(BH463:BN463)*4)</x:f>
      </x:c>
      <x:c r="CJ463" s="178" t="str">
        <x:f>IF(COUNT(BO463:BU463)=0,"",AVERAGE(BO463:BU463)*4)</x:f>
      </x:c>
      <x:c r="CK463" s="178" t="str">
        <x:f>IF(COUNT(BV463:CB463)=0,"",AVERAGE(BV463:CB463)*4)</x:f>
      </x:c>
      <x:c r="CL463" s="178" t="str">
        <x:f>IF(C463="","",IF(COUNT(G463:CB463)&lt;74,"",(CC463*'تنظیمات وزن‌دهی'!$C$5+CD463*'تنظیمات وزن‌دهی'!$C$6+CE463*'تنظیمات وزن‌دهی'!$C$7+CF463*'تنظیمات وزن‌دهی'!$C$8+CG463*'تنظیمات وزن‌دهی'!$C$9+CH463*'تنظیمات وزن‌دهی'!$C$10+CI463*'تنظیمات وزن‌دهی'!$C$11+CJ463*'تنظیمات وزن‌دهی'!$C$12+CK463*'تنظیمات وزن‌دهی'!$C$13)/100))</x:f>
      </x:c>
      <x:c r="CM463" s="178" t="str">
        <x:f>IF(C463="","",IF(COUNT(G463:CB463)=0,"",IF(COUNT(G463:CB463)&lt;74,"موقت - اطلاعات ناقص",IF(CL463&gt;=17,"عالی",IF(CL463&gt;=14,"خوب",IF(CL463&gt;=10,"متوسط","ضعیف"))))))</x:f>
      </x:c>
      <x:c r="CN463" s="178" t="n">
        <x:v>3</x:v>
      </x:c>
      <x:c r="CO463" s="142" t="n">
        <x:f>IF(C463="","",COUNT(G463:CB463)/74)</x:f>
        <x:v>0</x:v>
      </x:c>
      <x:c r="CP463" s="245"/>
    </x:row>
    <x:row r="464">
      <x:c r="A464" s="165" t="n">
        <x:v>460</x:v>
      </x:c>
      <x:c r="B464" s="233" t="str">
        <x:v>مهر</x:v>
      </x:c>
      <x:c r="C464" s="233" t="n">
        <x:f>IF('دانش‌آموزان'!E43="","",'دانش‌آموزان'!B43)</x:f>
        <x:v>39</x:v>
      </x:c>
      <x:c r="D464" s="233" t="str">
        <x:f>IF('دانش‌آموزان'!C43="","",'دانش‌آموزان'!C43)</x:f>
        <x:v>4000000391</x:v>
      </x:c>
      <x:c r="E464" s="233" t="str">
        <x:f>IF('دانش‌آموزان'!E43="","",'دانش‌آموزان'!E43&amp;" "&amp;'دانش‌آموزان'!F43)</x:f>
        <x:v>رضا صادقی</x:v>
      </x:c>
      <x:c r="F464" s="166" t="str">
        <x:f>IF('دانش‌آموزان'!I43="","",'دانش‌آموزان'!I43)</x:f>
        <x:v>sample-7-b</x:v>
      </x:c>
      <x:c r="G464" s="114"/>
      <x:c r="H464" s="115"/>
      <x:c r="I464" s="115"/>
      <x:c r="J464" s="115"/>
      <x:c r="K464" s="115"/>
      <x:c r="L464" s="115"/>
      <x:c r="M464" s="115"/>
      <x:c r="N464" s="115"/>
      <x:c r="O464" s="115"/>
      <x:c r="P464" s="115"/>
      <x:c r="Q464" s="115"/>
      <x:c r="R464" s="115"/>
      <x:c r="S464" s="115"/>
      <x:c r="T464" s="115"/>
      <x:c r="U464" s="115"/>
      <x:c r="V464" s="115"/>
      <x:c r="W464" s="115"/>
      <x:c r="X464" s="115"/>
      <x:c r="Y464" s="115"/>
      <x:c r="Z464" s="115"/>
      <x:c r="AA464" s="115"/>
      <x:c r="AB464" s="115"/>
      <x:c r="AC464" s="115"/>
      <x:c r="AD464" s="115"/>
      <x:c r="AE464" s="115"/>
      <x:c r="AF464" s="115"/>
      <x:c r="AG464" s="115"/>
      <x:c r="AH464" s="115"/>
      <x:c r="AI464" s="115"/>
      <x:c r="AJ464" s="115"/>
      <x:c r="AK464" s="115"/>
      <x:c r="AL464" s="115"/>
      <x:c r="AM464" s="115"/>
      <x:c r="AN464" s="115"/>
      <x:c r="AO464" s="115"/>
      <x:c r="AP464" s="115"/>
      <x:c r="AQ464" s="115"/>
      <x:c r="AR464" s="115"/>
      <x:c r="AS464" s="115"/>
      <x:c r="AT464" s="115"/>
      <x:c r="AU464" s="115"/>
      <x:c r="AV464" s="115"/>
      <x:c r="AW464" s="115"/>
      <x:c r="AX464" s="115"/>
      <x:c r="AY464" s="115"/>
      <x:c r="AZ464" s="115"/>
      <x:c r="BA464" s="115"/>
      <x:c r="BB464" s="115"/>
      <x:c r="BC464" s="115"/>
      <x:c r="BD464" s="115"/>
      <x:c r="BE464" s="115"/>
      <x:c r="BF464" s="115"/>
      <x:c r="BG464" s="115"/>
      <x:c r="BH464" s="115"/>
      <x:c r="BI464" s="115"/>
      <x:c r="BJ464" s="115"/>
      <x:c r="BK464" s="115"/>
      <x:c r="BL464" s="115"/>
      <x:c r="BM464" s="115"/>
      <x:c r="BN464" s="115"/>
      <x:c r="BO464" s="115"/>
      <x:c r="BP464" s="115"/>
      <x:c r="BQ464" s="115"/>
      <x:c r="BR464" s="115"/>
      <x:c r="BS464" s="115"/>
      <x:c r="BT464" s="115"/>
      <x:c r="BU464" s="115"/>
      <x:c r="BV464" s="115"/>
      <x:c r="BW464" s="115"/>
      <x:c r="BX464" s="115"/>
      <x:c r="BY464" s="115"/>
      <x:c r="BZ464" s="115"/>
      <x:c r="CA464" s="115"/>
      <x:c r="CB464" s="116"/>
      <x:c r="CC464" s="141" t="str">
        <x:f>IF(COUNT(G464:P464)=0,"",AVERAGE(G464:P464)*4)</x:f>
      </x:c>
      <x:c r="CD464" s="178" t="str">
        <x:f>IF(COUNT(Q464:Z464)=0,"",AVERAGE(Q464:Z464)*4)</x:f>
      </x:c>
      <x:c r="CE464" s="178" t="str">
        <x:f>IF(COUNT(AA464:AJ464)=0,"",AVERAGE(AA464:AJ464)*4)</x:f>
      </x:c>
      <x:c r="CF464" s="178" t="str">
        <x:f>IF(COUNT(AK464:AR464)=0,"",AVERAGE(AK464:AR464)*4)</x:f>
      </x:c>
      <x:c r="CG464" s="178" t="str">
        <x:f>IF(COUNT(AS464:AY464)=0,"",AVERAGE(AS464:AY464)*4)</x:f>
      </x:c>
      <x:c r="CH464" s="178" t="str">
        <x:f>IF(COUNT(AZ464:BG464)=0,"",AVERAGE(AZ464:BG464)*4)</x:f>
      </x:c>
      <x:c r="CI464" s="178" t="str">
        <x:f>IF(COUNT(BH464:BN464)=0,"",AVERAGE(BH464:BN464)*4)</x:f>
      </x:c>
      <x:c r="CJ464" s="178" t="str">
        <x:f>IF(COUNT(BO464:BU464)=0,"",AVERAGE(BO464:BU464)*4)</x:f>
      </x:c>
      <x:c r="CK464" s="178" t="str">
        <x:f>IF(COUNT(BV464:CB464)=0,"",AVERAGE(BV464:CB464)*4)</x:f>
      </x:c>
      <x:c r="CL464" s="178" t="str">
        <x:f>IF(C464="","",IF(COUNT(G464:CB464)&lt;74,"",(CC464*'تنظیمات وزن‌دهی'!$C$5+CD464*'تنظیمات وزن‌دهی'!$C$6+CE464*'تنظیمات وزن‌دهی'!$C$7+CF464*'تنظیمات وزن‌دهی'!$C$8+CG464*'تنظیمات وزن‌دهی'!$C$9+CH464*'تنظیمات وزن‌دهی'!$C$10+CI464*'تنظیمات وزن‌دهی'!$C$11+CJ464*'تنظیمات وزن‌دهی'!$C$12+CK464*'تنظیمات وزن‌دهی'!$C$13)/100))</x:f>
      </x:c>
      <x:c r="CM464" s="178" t="str">
        <x:f>IF(C464="","",IF(COUNT(G464:CB464)=0,"",IF(COUNT(G464:CB464)&lt;74,"موقت - اطلاعات ناقص",IF(CL464&gt;=17,"عالی",IF(CL464&gt;=14,"خوب",IF(CL464&gt;=10,"متوسط","ضعیف"))))))</x:f>
      </x:c>
      <x:c r="CN464" s="178" t="n">
        <x:v>4</x:v>
      </x:c>
      <x:c r="CO464" s="142" t="n">
        <x:f>IF(C464="","",COUNT(G464:CB464)/74)</x:f>
        <x:v>0</x:v>
      </x:c>
      <x:c r="CP464" s="245"/>
    </x:row>
    <x:row r="465">
      <x:c r="A465" s="165" t="n">
        <x:v>461</x:v>
      </x:c>
      <x:c r="B465" s="233" t="str">
        <x:v>آبان</x:v>
      </x:c>
      <x:c r="C465" s="233" t="n">
        <x:f>IF('دانش‌آموزان'!E43="","",'دانش‌آموزان'!B43)</x:f>
        <x:v>39</x:v>
      </x:c>
      <x:c r="D465" s="233" t="str">
        <x:f>IF('دانش‌آموزان'!C43="","",'دانش‌آموزان'!C43)</x:f>
        <x:v>4000000391</x:v>
      </x:c>
      <x:c r="E465" s="233" t="str">
        <x:f>IF('دانش‌آموزان'!E43="","",'دانش‌آموزان'!E43&amp;" "&amp;'دانش‌آموزان'!F43)</x:f>
        <x:v>رضا صادقی</x:v>
      </x:c>
      <x:c r="F465" s="166" t="str">
        <x:f>IF('دانش‌آموزان'!I43="","",'دانش‌آموزان'!I43)</x:f>
        <x:v>sample-7-b</x:v>
      </x:c>
      <x:c r="G465" s="114"/>
      <x:c r="H465" s="115"/>
      <x:c r="I465" s="115"/>
      <x:c r="J465" s="115"/>
      <x:c r="K465" s="115"/>
      <x:c r="L465" s="115"/>
      <x:c r="M465" s="115"/>
      <x:c r="N465" s="115"/>
      <x:c r="O465" s="115"/>
      <x:c r="P465" s="115"/>
      <x:c r="Q465" s="115"/>
      <x:c r="R465" s="115"/>
      <x:c r="S465" s="115"/>
      <x:c r="T465" s="115"/>
      <x:c r="U465" s="115"/>
      <x:c r="V465" s="115"/>
      <x:c r="W465" s="115"/>
      <x:c r="X465" s="115"/>
      <x:c r="Y465" s="115"/>
      <x:c r="Z465" s="115"/>
      <x:c r="AA465" s="115"/>
      <x:c r="AB465" s="115"/>
      <x:c r="AC465" s="115"/>
      <x:c r="AD465" s="115"/>
      <x:c r="AE465" s="115"/>
      <x:c r="AF465" s="115"/>
      <x:c r="AG465" s="115"/>
      <x:c r="AH465" s="115"/>
      <x:c r="AI465" s="115"/>
      <x:c r="AJ465" s="115"/>
      <x:c r="AK465" s="115"/>
      <x:c r="AL465" s="115"/>
      <x:c r="AM465" s="115"/>
      <x:c r="AN465" s="115"/>
      <x:c r="AO465" s="115"/>
      <x:c r="AP465" s="115"/>
      <x:c r="AQ465" s="115"/>
      <x:c r="AR465" s="115"/>
      <x:c r="AS465" s="115"/>
      <x:c r="AT465" s="115"/>
      <x:c r="AU465" s="115"/>
      <x:c r="AV465" s="115"/>
      <x:c r="AW465" s="115"/>
      <x:c r="AX465" s="115"/>
      <x:c r="AY465" s="115"/>
      <x:c r="AZ465" s="115"/>
      <x:c r="BA465" s="115"/>
      <x:c r="BB465" s="115"/>
      <x:c r="BC465" s="115"/>
      <x:c r="BD465" s="115"/>
      <x:c r="BE465" s="115"/>
      <x:c r="BF465" s="115"/>
      <x:c r="BG465" s="115"/>
      <x:c r="BH465" s="115"/>
      <x:c r="BI465" s="115"/>
      <x:c r="BJ465" s="115"/>
      <x:c r="BK465" s="115"/>
      <x:c r="BL465" s="115"/>
      <x:c r="BM465" s="115"/>
      <x:c r="BN465" s="115"/>
      <x:c r="BO465" s="115"/>
      <x:c r="BP465" s="115"/>
      <x:c r="BQ465" s="115"/>
      <x:c r="BR465" s="115"/>
      <x:c r="BS465" s="115"/>
      <x:c r="BT465" s="115"/>
      <x:c r="BU465" s="115"/>
      <x:c r="BV465" s="115"/>
      <x:c r="BW465" s="115"/>
      <x:c r="BX465" s="115"/>
      <x:c r="BY465" s="115"/>
      <x:c r="BZ465" s="115"/>
      <x:c r="CA465" s="115"/>
      <x:c r="CB465" s="116"/>
      <x:c r="CC465" s="141" t="str">
        <x:f>IF(COUNT(G465:P465)=0,"",AVERAGE(G465:P465)*4)</x:f>
      </x:c>
      <x:c r="CD465" s="178" t="str">
        <x:f>IF(COUNT(Q465:Z465)=0,"",AVERAGE(Q465:Z465)*4)</x:f>
      </x:c>
      <x:c r="CE465" s="178" t="str">
        <x:f>IF(COUNT(AA465:AJ465)=0,"",AVERAGE(AA465:AJ465)*4)</x:f>
      </x:c>
      <x:c r="CF465" s="178" t="str">
        <x:f>IF(COUNT(AK465:AR465)=0,"",AVERAGE(AK465:AR465)*4)</x:f>
      </x:c>
      <x:c r="CG465" s="178" t="str">
        <x:f>IF(COUNT(AS465:AY465)=0,"",AVERAGE(AS465:AY465)*4)</x:f>
      </x:c>
      <x:c r="CH465" s="178" t="str">
        <x:f>IF(COUNT(AZ465:BG465)=0,"",AVERAGE(AZ465:BG465)*4)</x:f>
      </x:c>
      <x:c r="CI465" s="178" t="str">
        <x:f>IF(COUNT(BH465:BN465)=0,"",AVERAGE(BH465:BN465)*4)</x:f>
      </x:c>
      <x:c r="CJ465" s="178" t="str">
        <x:f>IF(COUNT(BO465:BU465)=0,"",AVERAGE(BO465:BU465)*4)</x:f>
      </x:c>
      <x:c r="CK465" s="178" t="str">
        <x:f>IF(COUNT(BV465:CB465)=0,"",AVERAGE(BV465:CB465)*4)</x:f>
      </x:c>
      <x:c r="CL465" s="178" t="str">
        <x:f>IF(C465="","",IF(COUNT(G465:CB465)&lt;74,"",(CC465*'تنظیمات وزن‌دهی'!$C$5+CD465*'تنظیمات وزن‌دهی'!$C$6+CE465*'تنظیمات وزن‌دهی'!$C$7+CF465*'تنظیمات وزن‌دهی'!$C$8+CG465*'تنظیمات وزن‌دهی'!$C$9+CH465*'تنظیمات وزن‌دهی'!$C$10+CI465*'تنظیمات وزن‌دهی'!$C$11+CJ465*'تنظیمات وزن‌دهی'!$C$12+CK465*'تنظیمات وزن‌دهی'!$C$13)/100))</x:f>
      </x:c>
      <x:c r="CM465" s="178" t="str">
        <x:f>IF(C465="","",IF(COUNT(G465:CB465)=0,"",IF(COUNT(G465:CB465)&lt;74,"موقت - اطلاعات ناقص",IF(CL465&gt;=17,"عالی",IF(CL465&gt;=14,"خوب",IF(CL465&gt;=10,"متوسط","ضعیف"))))))</x:f>
      </x:c>
      <x:c r="CN465" s="178" t="n">
        <x:v>5</x:v>
      </x:c>
      <x:c r="CO465" s="142" t="n">
        <x:f>IF(C465="","",COUNT(G465:CB465)/74)</x:f>
        <x:v>0</x:v>
      </x:c>
      <x:c r="CP465" s="245"/>
    </x:row>
    <x:row r="466">
      <x:c r="A466" s="165" t="n">
        <x:v>462</x:v>
      </x:c>
      <x:c r="B466" s="233" t="str">
        <x:v>آذر</x:v>
      </x:c>
      <x:c r="C466" s="233" t="n">
        <x:f>IF('دانش‌آموزان'!E43="","",'دانش‌آموزان'!B43)</x:f>
        <x:v>39</x:v>
      </x:c>
      <x:c r="D466" s="233" t="str">
        <x:f>IF('دانش‌آموزان'!C43="","",'دانش‌آموزان'!C43)</x:f>
        <x:v>4000000391</x:v>
      </x:c>
      <x:c r="E466" s="233" t="str">
        <x:f>IF('دانش‌آموزان'!E43="","",'دانش‌آموزان'!E43&amp;" "&amp;'دانش‌آموزان'!F43)</x:f>
        <x:v>رضا صادقی</x:v>
      </x:c>
      <x:c r="F466" s="166" t="str">
        <x:f>IF('دانش‌آموزان'!I43="","",'دانش‌آموزان'!I43)</x:f>
        <x:v>sample-7-b</x:v>
      </x:c>
      <x:c r="G466" s="114"/>
      <x:c r="H466" s="115"/>
      <x:c r="I466" s="115"/>
      <x:c r="J466" s="115"/>
      <x:c r="K466" s="115"/>
      <x:c r="L466" s="115"/>
      <x:c r="M466" s="115"/>
      <x:c r="N466" s="115"/>
      <x:c r="O466" s="115"/>
      <x:c r="P466" s="115"/>
      <x:c r="Q466" s="115"/>
      <x:c r="R466" s="115"/>
      <x:c r="S466" s="115"/>
      <x:c r="T466" s="115"/>
      <x:c r="U466" s="115"/>
      <x:c r="V466" s="115"/>
      <x:c r="W466" s="115"/>
      <x:c r="X466" s="115"/>
      <x:c r="Y466" s="115"/>
      <x:c r="Z466" s="115"/>
      <x:c r="AA466" s="115"/>
      <x:c r="AB466" s="115"/>
      <x:c r="AC466" s="115"/>
      <x:c r="AD466" s="115"/>
      <x:c r="AE466" s="115"/>
      <x:c r="AF466" s="115"/>
      <x:c r="AG466" s="115"/>
      <x:c r="AH466" s="115"/>
      <x:c r="AI466" s="115"/>
      <x:c r="AJ466" s="115"/>
      <x:c r="AK466" s="115"/>
      <x:c r="AL466" s="115"/>
      <x:c r="AM466" s="115"/>
      <x:c r="AN466" s="115"/>
      <x:c r="AO466" s="115"/>
      <x:c r="AP466" s="115"/>
      <x:c r="AQ466" s="115"/>
      <x:c r="AR466" s="115"/>
      <x:c r="AS466" s="115"/>
      <x:c r="AT466" s="115"/>
      <x:c r="AU466" s="115"/>
      <x:c r="AV466" s="115"/>
      <x:c r="AW466" s="115"/>
      <x:c r="AX466" s="115"/>
      <x:c r="AY466" s="115"/>
      <x:c r="AZ466" s="115"/>
      <x:c r="BA466" s="115"/>
      <x:c r="BB466" s="115"/>
      <x:c r="BC466" s="115"/>
      <x:c r="BD466" s="115"/>
      <x:c r="BE466" s="115"/>
      <x:c r="BF466" s="115"/>
      <x:c r="BG466" s="115"/>
      <x:c r="BH466" s="115"/>
      <x:c r="BI466" s="115"/>
      <x:c r="BJ466" s="115"/>
      <x:c r="BK466" s="115"/>
      <x:c r="BL466" s="115"/>
      <x:c r="BM466" s="115"/>
      <x:c r="BN466" s="115"/>
      <x:c r="BO466" s="115"/>
      <x:c r="BP466" s="115"/>
      <x:c r="BQ466" s="115"/>
      <x:c r="BR466" s="115"/>
      <x:c r="BS466" s="115"/>
      <x:c r="BT466" s="115"/>
      <x:c r="BU466" s="115"/>
      <x:c r="BV466" s="115"/>
      <x:c r="BW466" s="115"/>
      <x:c r="BX466" s="115"/>
      <x:c r="BY466" s="115"/>
      <x:c r="BZ466" s="115"/>
      <x:c r="CA466" s="115"/>
      <x:c r="CB466" s="116"/>
      <x:c r="CC466" s="141" t="str">
        <x:f>IF(COUNT(G466:P466)=0,"",AVERAGE(G466:P466)*4)</x:f>
      </x:c>
      <x:c r="CD466" s="178" t="str">
        <x:f>IF(COUNT(Q466:Z466)=0,"",AVERAGE(Q466:Z466)*4)</x:f>
      </x:c>
      <x:c r="CE466" s="178" t="str">
        <x:f>IF(COUNT(AA466:AJ466)=0,"",AVERAGE(AA466:AJ466)*4)</x:f>
      </x:c>
      <x:c r="CF466" s="178" t="str">
        <x:f>IF(COUNT(AK466:AR466)=0,"",AVERAGE(AK466:AR466)*4)</x:f>
      </x:c>
      <x:c r="CG466" s="178" t="str">
        <x:f>IF(COUNT(AS466:AY466)=0,"",AVERAGE(AS466:AY466)*4)</x:f>
      </x:c>
      <x:c r="CH466" s="178" t="str">
        <x:f>IF(COUNT(AZ466:BG466)=0,"",AVERAGE(AZ466:BG466)*4)</x:f>
      </x:c>
      <x:c r="CI466" s="178" t="str">
        <x:f>IF(COUNT(BH466:BN466)=0,"",AVERAGE(BH466:BN466)*4)</x:f>
      </x:c>
      <x:c r="CJ466" s="178" t="str">
        <x:f>IF(COUNT(BO466:BU466)=0,"",AVERAGE(BO466:BU466)*4)</x:f>
      </x:c>
      <x:c r="CK466" s="178" t="str">
        <x:f>IF(COUNT(BV466:CB466)=0,"",AVERAGE(BV466:CB466)*4)</x:f>
      </x:c>
      <x:c r="CL466" s="178" t="str">
        <x:f>IF(C466="","",IF(COUNT(G466:CB466)&lt;74,"",(CC466*'تنظیمات وزن‌دهی'!$C$5+CD466*'تنظیمات وزن‌دهی'!$C$6+CE466*'تنظیمات وزن‌دهی'!$C$7+CF466*'تنظیمات وزن‌دهی'!$C$8+CG466*'تنظیمات وزن‌دهی'!$C$9+CH466*'تنظیمات وزن‌دهی'!$C$10+CI466*'تنظیمات وزن‌دهی'!$C$11+CJ466*'تنظیمات وزن‌دهی'!$C$12+CK466*'تنظیمات وزن‌دهی'!$C$13)/100))</x:f>
      </x:c>
      <x:c r="CM466" s="178" t="str">
        <x:f>IF(C466="","",IF(COUNT(G466:CB466)=0,"",IF(COUNT(G466:CB466)&lt;74,"موقت - اطلاعات ناقص",IF(CL466&gt;=17,"عالی",IF(CL466&gt;=14,"خوب",IF(CL466&gt;=10,"متوسط","ضعیف"))))))</x:f>
      </x:c>
      <x:c r="CN466" s="178" t="n">
        <x:v>6</x:v>
      </x:c>
      <x:c r="CO466" s="142" t="n">
        <x:f>IF(C466="","",COUNT(G466:CB466)/74)</x:f>
        <x:v>0</x:v>
      </x:c>
      <x:c r="CP466" s="245"/>
    </x:row>
    <x:row r="467">
      <x:c r="A467" s="165" t="n">
        <x:v>463</x:v>
      </x:c>
      <x:c r="B467" s="233" t="str">
        <x:v>دی</x:v>
      </x:c>
      <x:c r="C467" s="233" t="n">
        <x:f>IF('دانش‌آموزان'!E43="","",'دانش‌آموزان'!B43)</x:f>
        <x:v>39</x:v>
      </x:c>
      <x:c r="D467" s="233" t="str">
        <x:f>IF('دانش‌آموزان'!C43="","",'دانش‌آموزان'!C43)</x:f>
        <x:v>4000000391</x:v>
      </x:c>
      <x:c r="E467" s="233" t="str">
        <x:f>IF('دانش‌آموزان'!E43="","",'دانش‌آموزان'!E43&amp;" "&amp;'دانش‌آموزان'!F43)</x:f>
        <x:v>رضا صادقی</x:v>
      </x:c>
      <x:c r="F467" s="166" t="str">
        <x:f>IF('دانش‌آموزان'!I43="","",'دانش‌آموزان'!I43)</x:f>
        <x:v>sample-7-b</x:v>
      </x:c>
      <x:c r="G467" s="114"/>
      <x:c r="H467" s="115"/>
      <x:c r="I467" s="115"/>
      <x:c r="J467" s="115"/>
      <x:c r="K467" s="115"/>
      <x:c r="L467" s="115"/>
      <x:c r="M467" s="115"/>
      <x:c r="N467" s="115"/>
      <x:c r="O467" s="115"/>
      <x:c r="P467" s="115"/>
      <x:c r="Q467" s="115"/>
      <x:c r="R467" s="115"/>
      <x:c r="S467" s="115"/>
      <x:c r="T467" s="115"/>
      <x:c r="U467" s="115"/>
      <x:c r="V467" s="115"/>
      <x:c r="W467" s="115"/>
      <x:c r="X467" s="115"/>
      <x:c r="Y467" s="115"/>
      <x:c r="Z467" s="115"/>
      <x:c r="AA467" s="115"/>
      <x:c r="AB467" s="115"/>
      <x:c r="AC467" s="115"/>
      <x:c r="AD467" s="115"/>
      <x:c r="AE467" s="115"/>
      <x:c r="AF467" s="115"/>
      <x:c r="AG467" s="115"/>
      <x:c r="AH467" s="115"/>
      <x:c r="AI467" s="115"/>
      <x:c r="AJ467" s="115"/>
      <x:c r="AK467" s="115"/>
      <x:c r="AL467" s="115"/>
      <x:c r="AM467" s="115"/>
      <x:c r="AN467" s="115"/>
      <x:c r="AO467" s="115"/>
      <x:c r="AP467" s="115"/>
      <x:c r="AQ467" s="115"/>
      <x:c r="AR467" s="115"/>
      <x:c r="AS467" s="115"/>
      <x:c r="AT467" s="115"/>
      <x:c r="AU467" s="115"/>
      <x:c r="AV467" s="115"/>
      <x:c r="AW467" s="115"/>
      <x:c r="AX467" s="115"/>
      <x:c r="AY467" s="115"/>
      <x:c r="AZ467" s="115"/>
      <x:c r="BA467" s="115"/>
      <x:c r="BB467" s="115"/>
      <x:c r="BC467" s="115"/>
      <x:c r="BD467" s="115"/>
      <x:c r="BE467" s="115"/>
      <x:c r="BF467" s="115"/>
      <x:c r="BG467" s="115"/>
      <x:c r="BH467" s="115"/>
      <x:c r="BI467" s="115"/>
      <x:c r="BJ467" s="115"/>
      <x:c r="BK467" s="115"/>
      <x:c r="BL467" s="115"/>
      <x:c r="BM467" s="115"/>
      <x:c r="BN467" s="115"/>
      <x:c r="BO467" s="115"/>
      <x:c r="BP467" s="115"/>
      <x:c r="BQ467" s="115"/>
      <x:c r="BR467" s="115"/>
      <x:c r="BS467" s="115"/>
      <x:c r="BT467" s="115"/>
      <x:c r="BU467" s="115"/>
      <x:c r="BV467" s="115"/>
      <x:c r="BW467" s="115"/>
      <x:c r="BX467" s="115"/>
      <x:c r="BY467" s="115"/>
      <x:c r="BZ467" s="115"/>
      <x:c r="CA467" s="115"/>
      <x:c r="CB467" s="116"/>
      <x:c r="CC467" s="141" t="str">
        <x:f>IF(COUNT(G467:P467)=0,"",AVERAGE(G467:P467)*4)</x:f>
      </x:c>
      <x:c r="CD467" s="178" t="str">
        <x:f>IF(COUNT(Q467:Z467)=0,"",AVERAGE(Q467:Z467)*4)</x:f>
      </x:c>
      <x:c r="CE467" s="178" t="str">
        <x:f>IF(COUNT(AA467:AJ467)=0,"",AVERAGE(AA467:AJ467)*4)</x:f>
      </x:c>
      <x:c r="CF467" s="178" t="str">
        <x:f>IF(COUNT(AK467:AR467)=0,"",AVERAGE(AK467:AR467)*4)</x:f>
      </x:c>
      <x:c r="CG467" s="178" t="str">
        <x:f>IF(COUNT(AS467:AY467)=0,"",AVERAGE(AS467:AY467)*4)</x:f>
      </x:c>
      <x:c r="CH467" s="178" t="str">
        <x:f>IF(COUNT(AZ467:BG467)=0,"",AVERAGE(AZ467:BG467)*4)</x:f>
      </x:c>
      <x:c r="CI467" s="178" t="str">
        <x:f>IF(COUNT(BH467:BN467)=0,"",AVERAGE(BH467:BN467)*4)</x:f>
      </x:c>
      <x:c r="CJ467" s="178" t="str">
        <x:f>IF(COUNT(BO467:BU467)=0,"",AVERAGE(BO467:BU467)*4)</x:f>
      </x:c>
      <x:c r="CK467" s="178" t="str">
        <x:f>IF(COUNT(BV467:CB467)=0,"",AVERAGE(BV467:CB467)*4)</x:f>
      </x:c>
      <x:c r="CL467" s="178" t="str">
        <x:f>IF(C467="","",IF(COUNT(G467:CB467)&lt;74,"",(CC467*'تنظیمات وزن‌دهی'!$C$5+CD467*'تنظیمات وزن‌دهی'!$C$6+CE467*'تنظیمات وزن‌دهی'!$C$7+CF467*'تنظیمات وزن‌دهی'!$C$8+CG467*'تنظیمات وزن‌دهی'!$C$9+CH467*'تنظیمات وزن‌دهی'!$C$10+CI467*'تنظیمات وزن‌دهی'!$C$11+CJ467*'تنظیمات وزن‌دهی'!$C$12+CK467*'تنظیمات وزن‌دهی'!$C$13)/100))</x:f>
      </x:c>
      <x:c r="CM467" s="178" t="str">
        <x:f>IF(C467="","",IF(COUNT(G467:CB467)=0,"",IF(COUNT(G467:CB467)&lt;74,"موقت - اطلاعات ناقص",IF(CL467&gt;=17,"عالی",IF(CL467&gt;=14,"خوب",IF(CL467&gt;=10,"متوسط","ضعیف"))))))</x:f>
      </x:c>
      <x:c r="CN467" s="178" t="n">
        <x:v>7</x:v>
      </x:c>
      <x:c r="CO467" s="142" t="n">
        <x:f>IF(C467="","",COUNT(G467:CB467)/74)</x:f>
        <x:v>0</x:v>
      </x:c>
      <x:c r="CP467" s="245"/>
    </x:row>
    <x:row r="468">
      <x:c r="A468" s="165" t="n">
        <x:v>464</x:v>
      </x:c>
      <x:c r="B468" s="233" t="str">
        <x:v>بهمن</x:v>
      </x:c>
      <x:c r="C468" s="233" t="n">
        <x:f>IF('دانش‌آموزان'!E43="","",'دانش‌آموزان'!B43)</x:f>
        <x:v>39</x:v>
      </x:c>
      <x:c r="D468" s="233" t="str">
        <x:f>IF('دانش‌آموزان'!C43="","",'دانش‌آموزان'!C43)</x:f>
        <x:v>4000000391</x:v>
      </x:c>
      <x:c r="E468" s="233" t="str">
        <x:f>IF('دانش‌آموزان'!E43="","",'دانش‌آموزان'!E43&amp;" "&amp;'دانش‌آموزان'!F43)</x:f>
        <x:v>رضا صادقی</x:v>
      </x:c>
      <x:c r="F468" s="166" t="str">
        <x:f>IF('دانش‌آموزان'!I43="","",'دانش‌آموزان'!I43)</x:f>
        <x:v>sample-7-b</x:v>
      </x:c>
      <x:c r="G468" s="114"/>
      <x:c r="H468" s="115"/>
      <x:c r="I468" s="115"/>
      <x:c r="J468" s="115"/>
      <x:c r="K468" s="115"/>
      <x:c r="L468" s="115"/>
      <x:c r="M468" s="115"/>
      <x:c r="N468" s="115"/>
      <x:c r="O468" s="115"/>
      <x:c r="P468" s="115"/>
      <x:c r="Q468" s="115"/>
      <x:c r="R468" s="115"/>
      <x:c r="S468" s="115"/>
      <x:c r="T468" s="115"/>
      <x:c r="U468" s="115"/>
      <x:c r="V468" s="115"/>
      <x:c r="W468" s="115"/>
      <x:c r="X468" s="115"/>
      <x:c r="Y468" s="115"/>
      <x:c r="Z468" s="115"/>
      <x:c r="AA468" s="115"/>
      <x:c r="AB468" s="115"/>
      <x:c r="AC468" s="115"/>
      <x:c r="AD468" s="115"/>
      <x:c r="AE468" s="115"/>
      <x:c r="AF468" s="115"/>
      <x:c r="AG468" s="115"/>
      <x:c r="AH468" s="115"/>
      <x:c r="AI468" s="115"/>
      <x:c r="AJ468" s="115"/>
      <x:c r="AK468" s="115"/>
      <x:c r="AL468" s="115"/>
      <x:c r="AM468" s="115"/>
      <x:c r="AN468" s="115"/>
      <x:c r="AO468" s="115"/>
      <x:c r="AP468" s="115"/>
      <x:c r="AQ468" s="115"/>
      <x:c r="AR468" s="115"/>
      <x:c r="AS468" s="115"/>
      <x:c r="AT468" s="115"/>
      <x:c r="AU468" s="115"/>
      <x:c r="AV468" s="115"/>
      <x:c r="AW468" s="115"/>
      <x:c r="AX468" s="115"/>
      <x:c r="AY468" s="115"/>
      <x:c r="AZ468" s="115"/>
      <x:c r="BA468" s="115"/>
      <x:c r="BB468" s="115"/>
      <x:c r="BC468" s="115"/>
      <x:c r="BD468" s="115"/>
      <x:c r="BE468" s="115"/>
      <x:c r="BF468" s="115"/>
      <x:c r="BG468" s="115"/>
      <x:c r="BH468" s="115"/>
      <x:c r="BI468" s="115"/>
      <x:c r="BJ468" s="115"/>
      <x:c r="BK468" s="115"/>
      <x:c r="BL468" s="115"/>
      <x:c r="BM468" s="115"/>
      <x:c r="BN468" s="115"/>
      <x:c r="BO468" s="115"/>
      <x:c r="BP468" s="115"/>
      <x:c r="BQ468" s="115"/>
      <x:c r="BR468" s="115"/>
      <x:c r="BS468" s="115"/>
      <x:c r="BT468" s="115"/>
      <x:c r="BU468" s="115"/>
      <x:c r="BV468" s="115"/>
      <x:c r="BW468" s="115"/>
      <x:c r="BX468" s="115"/>
      <x:c r="BY468" s="115"/>
      <x:c r="BZ468" s="115"/>
      <x:c r="CA468" s="115"/>
      <x:c r="CB468" s="116"/>
      <x:c r="CC468" s="141" t="str">
        <x:f>IF(COUNT(G468:P468)=0,"",AVERAGE(G468:P468)*4)</x:f>
      </x:c>
      <x:c r="CD468" s="178" t="str">
        <x:f>IF(COUNT(Q468:Z468)=0,"",AVERAGE(Q468:Z468)*4)</x:f>
      </x:c>
      <x:c r="CE468" s="178" t="str">
        <x:f>IF(COUNT(AA468:AJ468)=0,"",AVERAGE(AA468:AJ468)*4)</x:f>
      </x:c>
      <x:c r="CF468" s="178" t="str">
        <x:f>IF(COUNT(AK468:AR468)=0,"",AVERAGE(AK468:AR468)*4)</x:f>
      </x:c>
      <x:c r="CG468" s="178" t="str">
        <x:f>IF(COUNT(AS468:AY468)=0,"",AVERAGE(AS468:AY468)*4)</x:f>
      </x:c>
      <x:c r="CH468" s="178" t="str">
        <x:f>IF(COUNT(AZ468:BG468)=0,"",AVERAGE(AZ468:BG468)*4)</x:f>
      </x:c>
      <x:c r="CI468" s="178" t="str">
        <x:f>IF(COUNT(BH468:BN468)=0,"",AVERAGE(BH468:BN468)*4)</x:f>
      </x:c>
      <x:c r="CJ468" s="178" t="str">
        <x:f>IF(COUNT(BO468:BU468)=0,"",AVERAGE(BO468:BU468)*4)</x:f>
      </x:c>
      <x:c r="CK468" s="178" t="str">
        <x:f>IF(COUNT(BV468:CB468)=0,"",AVERAGE(BV468:CB468)*4)</x:f>
      </x:c>
      <x:c r="CL468" s="178" t="str">
        <x:f>IF(C468="","",IF(COUNT(G468:CB468)&lt;74,"",(CC468*'تنظیمات وزن‌دهی'!$C$5+CD468*'تنظیمات وزن‌دهی'!$C$6+CE468*'تنظیمات وزن‌دهی'!$C$7+CF468*'تنظیمات وزن‌دهی'!$C$8+CG468*'تنظیمات وزن‌دهی'!$C$9+CH468*'تنظیمات وزن‌دهی'!$C$10+CI468*'تنظیمات وزن‌دهی'!$C$11+CJ468*'تنظیمات وزن‌دهی'!$C$12+CK468*'تنظیمات وزن‌دهی'!$C$13)/100))</x:f>
      </x:c>
      <x:c r="CM468" s="178" t="str">
        <x:f>IF(C468="","",IF(COUNT(G468:CB468)=0,"",IF(COUNT(G468:CB468)&lt;74,"موقت - اطلاعات ناقص",IF(CL468&gt;=17,"عالی",IF(CL468&gt;=14,"خوب",IF(CL468&gt;=10,"متوسط","ضعیف"))))))</x:f>
      </x:c>
      <x:c r="CN468" s="178" t="n">
        <x:v>8</x:v>
      </x:c>
      <x:c r="CO468" s="142" t="n">
        <x:f>IF(C468="","",COUNT(G468:CB468)/74)</x:f>
        <x:v>0</x:v>
      </x:c>
      <x:c r="CP468" s="245"/>
    </x:row>
    <x:row r="469">
      <x:c r="A469" s="165" t="n">
        <x:v>465</x:v>
      </x:c>
      <x:c r="B469" s="233" t="str">
        <x:v>اسفند</x:v>
      </x:c>
      <x:c r="C469" s="233" t="n">
        <x:f>IF('دانش‌آموزان'!E43="","",'دانش‌آموزان'!B43)</x:f>
        <x:v>39</x:v>
      </x:c>
      <x:c r="D469" s="233" t="str">
        <x:f>IF('دانش‌آموزان'!C43="","",'دانش‌آموزان'!C43)</x:f>
        <x:v>4000000391</x:v>
      </x:c>
      <x:c r="E469" s="233" t="str">
        <x:f>IF('دانش‌آموزان'!E43="","",'دانش‌آموزان'!E43&amp;" "&amp;'دانش‌آموزان'!F43)</x:f>
        <x:v>رضا صادقی</x:v>
      </x:c>
      <x:c r="F469" s="166" t="str">
        <x:f>IF('دانش‌آموزان'!I43="","",'دانش‌آموزان'!I43)</x:f>
        <x:v>sample-7-b</x:v>
      </x:c>
      <x:c r="G469" s="114"/>
      <x:c r="H469" s="115"/>
      <x:c r="I469" s="115"/>
      <x:c r="J469" s="115"/>
      <x:c r="K469" s="115"/>
      <x:c r="L469" s="115"/>
      <x:c r="M469" s="115"/>
      <x:c r="N469" s="115"/>
      <x:c r="O469" s="115"/>
      <x:c r="P469" s="115"/>
      <x:c r="Q469" s="115"/>
      <x:c r="R469" s="115"/>
      <x:c r="S469" s="115"/>
      <x:c r="T469" s="115"/>
      <x:c r="U469" s="115"/>
      <x:c r="V469" s="115"/>
      <x:c r="W469" s="115"/>
      <x:c r="X469" s="115"/>
      <x:c r="Y469" s="115"/>
      <x:c r="Z469" s="115"/>
      <x:c r="AA469" s="115"/>
      <x:c r="AB469" s="115"/>
      <x:c r="AC469" s="115"/>
      <x:c r="AD469" s="115"/>
      <x:c r="AE469" s="115"/>
      <x:c r="AF469" s="115"/>
      <x:c r="AG469" s="115"/>
      <x:c r="AH469" s="115"/>
      <x:c r="AI469" s="115"/>
      <x:c r="AJ469" s="115"/>
      <x:c r="AK469" s="115"/>
      <x:c r="AL469" s="115"/>
      <x:c r="AM469" s="115"/>
      <x:c r="AN469" s="115"/>
      <x:c r="AO469" s="115"/>
      <x:c r="AP469" s="115"/>
      <x:c r="AQ469" s="115"/>
      <x:c r="AR469" s="115"/>
      <x:c r="AS469" s="115"/>
      <x:c r="AT469" s="115"/>
      <x:c r="AU469" s="115"/>
      <x:c r="AV469" s="115"/>
      <x:c r="AW469" s="115"/>
      <x:c r="AX469" s="115"/>
      <x:c r="AY469" s="115"/>
      <x:c r="AZ469" s="115"/>
      <x:c r="BA469" s="115"/>
      <x:c r="BB469" s="115"/>
      <x:c r="BC469" s="115"/>
      <x:c r="BD469" s="115"/>
      <x:c r="BE469" s="115"/>
      <x:c r="BF469" s="115"/>
      <x:c r="BG469" s="115"/>
      <x:c r="BH469" s="115"/>
      <x:c r="BI469" s="115"/>
      <x:c r="BJ469" s="115"/>
      <x:c r="BK469" s="115"/>
      <x:c r="BL469" s="115"/>
      <x:c r="BM469" s="115"/>
      <x:c r="BN469" s="115"/>
      <x:c r="BO469" s="115"/>
      <x:c r="BP469" s="115"/>
      <x:c r="BQ469" s="115"/>
      <x:c r="BR469" s="115"/>
      <x:c r="BS469" s="115"/>
      <x:c r="BT469" s="115"/>
      <x:c r="BU469" s="115"/>
      <x:c r="BV469" s="115"/>
      <x:c r="BW469" s="115"/>
      <x:c r="BX469" s="115"/>
      <x:c r="BY469" s="115"/>
      <x:c r="BZ469" s="115"/>
      <x:c r="CA469" s="115"/>
      <x:c r="CB469" s="116"/>
      <x:c r="CC469" s="141" t="str">
        <x:f>IF(COUNT(G469:P469)=0,"",AVERAGE(G469:P469)*4)</x:f>
      </x:c>
      <x:c r="CD469" s="178" t="str">
        <x:f>IF(COUNT(Q469:Z469)=0,"",AVERAGE(Q469:Z469)*4)</x:f>
      </x:c>
      <x:c r="CE469" s="178" t="str">
        <x:f>IF(COUNT(AA469:AJ469)=0,"",AVERAGE(AA469:AJ469)*4)</x:f>
      </x:c>
      <x:c r="CF469" s="178" t="str">
        <x:f>IF(COUNT(AK469:AR469)=0,"",AVERAGE(AK469:AR469)*4)</x:f>
      </x:c>
      <x:c r="CG469" s="178" t="str">
        <x:f>IF(COUNT(AS469:AY469)=0,"",AVERAGE(AS469:AY469)*4)</x:f>
      </x:c>
      <x:c r="CH469" s="178" t="str">
        <x:f>IF(COUNT(AZ469:BG469)=0,"",AVERAGE(AZ469:BG469)*4)</x:f>
      </x:c>
      <x:c r="CI469" s="178" t="str">
        <x:f>IF(COUNT(BH469:BN469)=0,"",AVERAGE(BH469:BN469)*4)</x:f>
      </x:c>
      <x:c r="CJ469" s="178" t="str">
        <x:f>IF(COUNT(BO469:BU469)=0,"",AVERAGE(BO469:BU469)*4)</x:f>
      </x:c>
      <x:c r="CK469" s="178" t="str">
        <x:f>IF(COUNT(BV469:CB469)=0,"",AVERAGE(BV469:CB469)*4)</x:f>
      </x:c>
      <x:c r="CL469" s="178" t="str">
        <x:f>IF(C469="","",IF(COUNT(G469:CB469)&lt;74,"",(CC469*'تنظیمات وزن‌دهی'!$C$5+CD469*'تنظیمات وزن‌دهی'!$C$6+CE469*'تنظیمات وزن‌دهی'!$C$7+CF469*'تنظیمات وزن‌دهی'!$C$8+CG469*'تنظیمات وزن‌دهی'!$C$9+CH469*'تنظیمات وزن‌دهی'!$C$10+CI469*'تنظیمات وزن‌دهی'!$C$11+CJ469*'تنظیمات وزن‌دهی'!$C$12+CK469*'تنظیمات وزن‌دهی'!$C$13)/100))</x:f>
      </x:c>
      <x:c r="CM469" s="178" t="str">
        <x:f>IF(C469="","",IF(COUNT(G469:CB469)=0,"",IF(COUNT(G469:CB469)&lt;74,"موقت - اطلاعات ناقص",IF(CL469&gt;=17,"عالی",IF(CL469&gt;=14,"خوب",IF(CL469&gt;=10,"متوسط","ضعیف"))))))</x:f>
      </x:c>
      <x:c r="CN469" s="178" t="n">
        <x:v>9</x:v>
      </x:c>
      <x:c r="CO469" s="142" t="n">
        <x:f>IF(C469="","",COUNT(G469:CB469)/74)</x:f>
        <x:v>0</x:v>
      </x:c>
      <x:c r="CP469" s="245"/>
    </x:row>
    <x:row r="470">
      <x:c r="A470" s="165" t="n">
        <x:v>466</x:v>
      </x:c>
      <x:c r="B470" s="233" t="str">
        <x:v>فروردین</x:v>
      </x:c>
      <x:c r="C470" s="233" t="n">
        <x:f>IF('دانش‌آموزان'!E43="","",'دانش‌آموزان'!B43)</x:f>
        <x:v>39</x:v>
      </x:c>
      <x:c r="D470" s="233" t="str">
        <x:f>IF('دانش‌آموزان'!C43="","",'دانش‌آموزان'!C43)</x:f>
        <x:v>4000000391</x:v>
      </x:c>
      <x:c r="E470" s="233" t="str">
        <x:f>IF('دانش‌آموزان'!E43="","",'دانش‌آموزان'!E43&amp;" "&amp;'دانش‌آموزان'!F43)</x:f>
        <x:v>رضا صادقی</x:v>
      </x:c>
      <x:c r="F470" s="166" t="str">
        <x:f>IF('دانش‌آموزان'!I43="","",'دانش‌آموزان'!I43)</x:f>
        <x:v>sample-7-b</x:v>
      </x:c>
      <x:c r="G470" s="114"/>
      <x:c r="H470" s="115"/>
      <x:c r="I470" s="115"/>
      <x:c r="J470" s="115"/>
      <x:c r="K470" s="115"/>
      <x:c r="L470" s="115"/>
      <x:c r="M470" s="115"/>
      <x:c r="N470" s="115"/>
      <x:c r="O470" s="115"/>
      <x:c r="P470" s="115"/>
      <x:c r="Q470" s="115"/>
      <x:c r="R470" s="115"/>
      <x:c r="S470" s="115"/>
      <x:c r="T470" s="115"/>
      <x:c r="U470" s="115"/>
      <x:c r="V470" s="115"/>
      <x:c r="W470" s="115"/>
      <x:c r="X470" s="115"/>
      <x:c r="Y470" s="115"/>
      <x:c r="Z470" s="115"/>
      <x:c r="AA470" s="115"/>
      <x:c r="AB470" s="115"/>
      <x:c r="AC470" s="115"/>
      <x:c r="AD470" s="115"/>
      <x:c r="AE470" s="115"/>
      <x:c r="AF470" s="115"/>
      <x:c r="AG470" s="115"/>
      <x:c r="AH470" s="115"/>
      <x:c r="AI470" s="115"/>
      <x:c r="AJ470" s="115"/>
      <x:c r="AK470" s="115"/>
      <x:c r="AL470" s="115"/>
      <x:c r="AM470" s="115"/>
      <x:c r="AN470" s="115"/>
      <x:c r="AO470" s="115"/>
      <x:c r="AP470" s="115"/>
      <x:c r="AQ470" s="115"/>
      <x:c r="AR470" s="115"/>
      <x:c r="AS470" s="115"/>
      <x:c r="AT470" s="115"/>
      <x:c r="AU470" s="115"/>
      <x:c r="AV470" s="115"/>
      <x:c r="AW470" s="115"/>
      <x:c r="AX470" s="115"/>
      <x:c r="AY470" s="115"/>
      <x:c r="AZ470" s="115"/>
      <x:c r="BA470" s="115"/>
      <x:c r="BB470" s="115"/>
      <x:c r="BC470" s="115"/>
      <x:c r="BD470" s="115"/>
      <x:c r="BE470" s="115"/>
      <x:c r="BF470" s="115"/>
      <x:c r="BG470" s="115"/>
      <x:c r="BH470" s="115"/>
      <x:c r="BI470" s="115"/>
      <x:c r="BJ470" s="115"/>
      <x:c r="BK470" s="115"/>
      <x:c r="BL470" s="115"/>
      <x:c r="BM470" s="115"/>
      <x:c r="BN470" s="115"/>
      <x:c r="BO470" s="115"/>
      <x:c r="BP470" s="115"/>
      <x:c r="BQ470" s="115"/>
      <x:c r="BR470" s="115"/>
      <x:c r="BS470" s="115"/>
      <x:c r="BT470" s="115"/>
      <x:c r="BU470" s="115"/>
      <x:c r="BV470" s="115"/>
      <x:c r="BW470" s="115"/>
      <x:c r="BX470" s="115"/>
      <x:c r="BY470" s="115"/>
      <x:c r="BZ470" s="115"/>
      <x:c r="CA470" s="115"/>
      <x:c r="CB470" s="116"/>
      <x:c r="CC470" s="141" t="str">
        <x:f>IF(COUNT(G470:P470)=0,"",AVERAGE(G470:P470)*4)</x:f>
      </x:c>
      <x:c r="CD470" s="178" t="str">
        <x:f>IF(COUNT(Q470:Z470)=0,"",AVERAGE(Q470:Z470)*4)</x:f>
      </x:c>
      <x:c r="CE470" s="178" t="str">
        <x:f>IF(COUNT(AA470:AJ470)=0,"",AVERAGE(AA470:AJ470)*4)</x:f>
      </x:c>
      <x:c r="CF470" s="178" t="str">
        <x:f>IF(COUNT(AK470:AR470)=0,"",AVERAGE(AK470:AR470)*4)</x:f>
      </x:c>
      <x:c r="CG470" s="178" t="str">
        <x:f>IF(COUNT(AS470:AY470)=0,"",AVERAGE(AS470:AY470)*4)</x:f>
      </x:c>
      <x:c r="CH470" s="178" t="str">
        <x:f>IF(COUNT(AZ470:BG470)=0,"",AVERAGE(AZ470:BG470)*4)</x:f>
      </x:c>
      <x:c r="CI470" s="178" t="str">
        <x:f>IF(COUNT(BH470:BN470)=0,"",AVERAGE(BH470:BN470)*4)</x:f>
      </x:c>
      <x:c r="CJ470" s="178" t="str">
        <x:f>IF(COUNT(BO470:BU470)=0,"",AVERAGE(BO470:BU470)*4)</x:f>
      </x:c>
      <x:c r="CK470" s="178" t="str">
        <x:f>IF(COUNT(BV470:CB470)=0,"",AVERAGE(BV470:CB470)*4)</x:f>
      </x:c>
      <x:c r="CL470" s="178" t="str">
        <x:f>IF(C470="","",IF(COUNT(G470:CB470)&lt;74,"",(CC470*'تنظیمات وزن‌دهی'!$C$5+CD470*'تنظیمات وزن‌دهی'!$C$6+CE470*'تنظیمات وزن‌دهی'!$C$7+CF470*'تنظیمات وزن‌دهی'!$C$8+CG470*'تنظیمات وزن‌دهی'!$C$9+CH470*'تنظیمات وزن‌دهی'!$C$10+CI470*'تنظیمات وزن‌دهی'!$C$11+CJ470*'تنظیمات وزن‌دهی'!$C$12+CK470*'تنظیمات وزن‌دهی'!$C$13)/100))</x:f>
      </x:c>
      <x:c r="CM470" s="178" t="str">
        <x:f>IF(C470="","",IF(COUNT(G470:CB470)=0,"",IF(COUNT(G470:CB470)&lt;74,"موقت - اطلاعات ناقص",IF(CL470&gt;=17,"عالی",IF(CL470&gt;=14,"خوب",IF(CL470&gt;=10,"متوسط","ضعیف"))))))</x:f>
      </x:c>
      <x:c r="CN470" s="178" t="n">
        <x:v>10</x:v>
      </x:c>
      <x:c r="CO470" s="142" t="n">
        <x:f>IF(C470="","",COUNT(G470:CB470)/74)</x:f>
        <x:v>0</x:v>
      </x:c>
      <x:c r="CP470" s="245"/>
    </x:row>
    <x:row r="471">
      <x:c r="A471" s="165" t="n">
        <x:v>467</x:v>
      </x:c>
      <x:c r="B471" s="233" t="str">
        <x:v>اردیبهشت</x:v>
      </x:c>
      <x:c r="C471" s="233" t="n">
        <x:f>IF('دانش‌آموزان'!E43="","",'دانش‌آموزان'!B43)</x:f>
        <x:v>39</x:v>
      </x:c>
      <x:c r="D471" s="233" t="str">
        <x:f>IF('دانش‌آموزان'!C43="","",'دانش‌آموزان'!C43)</x:f>
        <x:v>4000000391</x:v>
      </x:c>
      <x:c r="E471" s="233" t="str">
        <x:f>IF('دانش‌آموزان'!E43="","",'دانش‌آموزان'!E43&amp;" "&amp;'دانش‌آموزان'!F43)</x:f>
        <x:v>رضا صادقی</x:v>
      </x:c>
      <x:c r="F471" s="166" t="str">
        <x:f>IF('دانش‌آموزان'!I43="","",'دانش‌آموزان'!I43)</x:f>
        <x:v>sample-7-b</x:v>
      </x:c>
      <x:c r="G471" s="114"/>
      <x:c r="H471" s="115"/>
      <x:c r="I471" s="115"/>
      <x:c r="J471" s="115"/>
      <x:c r="K471" s="115"/>
      <x:c r="L471" s="115"/>
      <x:c r="M471" s="115"/>
      <x:c r="N471" s="115"/>
      <x:c r="O471" s="115"/>
      <x:c r="P471" s="115"/>
      <x:c r="Q471" s="115"/>
      <x:c r="R471" s="115"/>
      <x:c r="S471" s="115"/>
      <x:c r="T471" s="115"/>
      <x:c r="U471" s="115"/>
      <x:c r="V471" s="115"/>
      <x:c r="W471" s="115"/>
      <x:c r="X471" s="115"/>
      <x:c r="Y471" s="115"/>
      <x:c r="Z471" s="115"/>
      <x:c r="AA471" s="115"/>
      <x:c r="AB471" s="115"/>
      <x:c r="AC471" s="115"/>
      <x:c r="AD471" s="115"/>
      <x:c r="AE471" s="115"/>
      <x:c r="AF471" s="115"/>
      <x:c r="AG471" s="115"/>
      <x:c r="AH471" s="115"/>
      <x:c r="AI471" s="115"/>
      <x:c r="AJ471" s="115"/>
      <x:c r="AK471" s="115"/>
      <x:c r="AL471" s="115"/>
      <x:c r="AM471" s="115"/>
      <x:c r="AN471" s="115"/>
      <x:c r="AO471" s="115"/>
      <x:c r="AP471" s="115"/>
      <x:c r="AQ471" s="115"/>
      <x:c r="AR471" s="115"/>
      <x:c r="AS471" s="115"/>
      <x:c r="AT471" s="115"/>
      <x:c r="AU471" s="115"/>
      <x:c r="AV471" s="115"/>
      <x:c r="AW471" s="115"/>
      <x:c r="AX471" s="115"/>
      <x:c r="AY471" s="115"/>
      <x:c r="AZ471" s="115"/>
      <x:c r="BA471" s="115"/>
      <x:c r="BB471" s="115"/>
      <x:c r="BC471" s="115"/>
      <x:c r="BD471" s="115"/>
      <x:c r="BE471" s="115"/>
      <x:c r="BF471" s="115"/>
      <x:c r="BG471" s="115"/>
      <x:c r="BH471" s="115"/>
      <x:c r="BI471" s="115"/>
      <x:c r="BJ471" s="115"/>
      <x:c r="BK471" s="115"/>
      <x:c r="BL471" s="115"/>
      <x:c r="BM471" s="115"/>
      <x:c r="BN471" s="115"/>
      <x:c r="BO471" s="115"/>
      <x:c r="BP471" s="115"/>
      <x:c r="BQ471" s="115"/>
      <x:c r="BR471" s="115"/>
      <x:c r="BS471" s="115"/>
      <x:c r="BT471" s="115"/>
      <x:c r="BU471" s="115"/>
      <x:c r="BV471" s="115"/>
      <x:c r="BW471" s="115"/>
      <x:c r="BX471" s="115"/>
      <x:c r="BY471" s="115"/>
      <x:c r="BZ471" s="115"/>
      <x:c r="CA471" s="115"/>
      <x:c r="CB471" s="116"/>
      <x:c r="CC471" s="141" t="str">
        <x:f>IF(COUNT(G471:P471)=0,"",AVERAGE(G471:P471)*4)</x:f>
      </x:c>
      <x:c r="CD471" s="178" t="str">
        <x:f>IF(COUNT(Q471:Z471)=0,"",AVERAGE(Q471:Z471)*4)</x:f>
      </x:c>
      <x:c r="CE471" s="178" t="str">
        <x:f>IF(COUNT(AA471:AJ471)=0,"",AVERAGE(AA471:AJ471)*4)</x:f>
      </x:c>
      <x:c r="CF471" s="178" t="str">
        <x:f>IF(COUNT(AK471:AR471)=0,"",AVERAGE(AK471:AR471)*4)</x:f>
      </x:c>
      <x:c r="CG471" s="178" t="str">
        <x:f>IF(COUNT(AS471:AY471)=0,"",AVERAGE(AS471:AY471)*4)</x:f>
      </x:c>
      <x:c r="CH471" s="178" t="str">
        <x:f>IF(COUNT(AZ471:BG471)=0,"",AVERAGE(AZ471:BG471)*4)</x:f>
      </x:c>
      <x:c r="CI471" s="178" t="str">
        <x:f>IF(COUNT(BH471:BN471)=0,"",AVERAGE(BH471:BN471)*4)</x:f>
      </x:c>
      <x:c r="CJ471" s="178" t="str">
        <x:f>IF(COUNT(BO471:BU471)=0,"",AVERAGE(BO471:BU471)*4)</x:f>
      </x:c>
      <x:c r="CK471" s="178" t="str">
        <x:f>IF(COUNT(BV471:CB471)=0,"",AVERAGE(BV471:CB471)*4)</x:f>
      </x:c>
      <x:c r="CL471" s="178" t="str">
        <x:f>IF(C471="","",IF(COUNT(G471:CB471)&lt;74,"",(CC471*'تنظیمات وزن‌دهی'!$C$5+CD471*'تنظیمات وزن‌دهی'!$C$6+CE471*'تنظیمات وزن‌دهی'!$C$7+CF471*'تنظیمات وزن‌دهی'!$C$8+CG471*'تنظیمات وزن‌دهی'!$C$9+CH471*'تنظیمات وزن‌دهی'!$C$10+CI471*'تنظیمات وزن‌دهی'!$C$11+CJ471*'تنظیمات وزن‌دهی'!$C$12+CK471*'تنظیمات وزن‌دهی'!$C$13)/100))</x:f>
      </x:c>
      <x:c r="CM471" s="178" t="str">
        <x:f>IF(C471="","",IF(COUNT(G471:CB471)=0,"",IF(COUNT(G471:CB471)&lt;74,"موقت - اطلاعات ناقص",IF(CL471&gt;=17,"عالی",IF(CL471&gt;=14,"خوب",IF(CL471&gt;=10,"متوسط","ضعیف"))))))</x:f>
      </x:c>
      <x:c r="CN471" s="178" t="n">
        <x:v>11</x:v>
      </x:c>
      <x:c r="CO471" s="142" t="n">
        <x:f>IF(C471="","",COUNT(G471:CB471)/74)</x:f>
        <x:v>0</x:v>
      </x:c>
      <x:c r="CP471" s="245"/>
    </x:row>
    <x:row r="472">
      <x:c r="A472" s="165" t="n">
        <x:v>468</x:v>
      </x:c>
      <x:c r="B472" s="233" t="str">
        <x:v>خرداد</x:v>
      </x:c>
      <x:c r="C472" s="233" t="n">
        <x:f>IF('دانش‌آموزان'!E43="","",'دانش‌آموزان'!B43)</x:f>
        <x:v>39</x:v>
      </x:c>
      <x:c r="D472" s="233" t="str">
        <x:f>IF('دانش‌آموزان'!C43="","",'دانش‌آموزان'!C43)</x:f>
        <x:v>4000000391</x:v>
      </x:c>
      <x:c r="E472" s="233" t="str">
        <x:f>IF('دانش‌آموزان'!E43="","",'دانش‌آموزان'!E43&amp;" "&amp;'دانش‌آموزان'!F43)</x:f>
        <x:v>رضا صادقی</x:v>
      </x:c>
      <x:c r="F472" s="166" t="str">
        <x:f>IF('دانش‌آموزان'!I43="","",'دانش‌آموزان'!I43)</x:f>
        <x:v>sample-7-b</x:v>
      </x:c>
      <x:c r="G472" s="114"/>
      <x:c r="H472" s="115"/>
      <x:c r="I472" s="115"/>
      <x:c r="J472" s="115"/>
      <x:c r="K472" s="115"/>
      <x:c r="L472" s="115"/>
      <x:c r="M472" s="115"/>
      <x:c r="N472" s="115"/>
      <x:c r="O472" s="115"/>
      <x:c r="P472" s="115"/>
      <x:c r="Q472" s="115"/>
      <x:c r="R472" s="115"/>
      <x:c r="S472" s="115"/>
      <x:c r="T472" s="115"/>
      <x:c r="U472" s="115"/>
      <x:c r="V472" s="115"/>
      <x:c r="W472" s="115"/>
      <x:c r="X472" s="115"/>
      <x:c r="Y472" s="115"/>
      <x:c r="Z472" s="115"/>
      <x:c r="AA472" s="115"/>
      <x:c r="AB472" s="115"/>
      <x:c r="AC472" s="115"/>
      <x:c r="AD472" s="115"/>
      <x:c r="AE472" s="115"/>
      <x:c r="AF472" s="115"/>
      <x:c r="AG472" s="115"/>
      <x:c r="AH472" s="115"/>
      <x:c r="AI472" s="115"/>
      <x:c r="AJ472" s="115"/>
      <x:c r="AK472" s="115"/>
      <x:c r="AL472" s="115"/>
      <x:c r="AM472" s="115"/>
      <x:c r="AN472" s="115"/>
      <x:c r="AO472" s="115"/>
      <x:c r="AP472" s="115"/>
      <x:c r="AQ472" s="115"/>
      <x:c r="AR472" s="115"/>
      <x:c r="AS472" s="115"/>
      <x:c r="AT472" s="115"/>
      <x:c r="AU472" s="115"/>
      <x:c r="AV472" s="115"/>
      <x:c r="AW472" s="115"/>
      <x:c r="AX472" s="115"/>
      <x:c r="AY472" s="115"/>
      <x:c r="AZ472" s="115"/>
      <x:c r="BA472" s="115"/>
      <x:c r="BB472" s="115"/>
      <x:c r="BC472" s="115"/>
      <x:c r="BD472" s="115"/>
      <x:c r="BE472" s="115"/>
      <x:c r="BF472" s="115"/>
      <x:c r="BG472" s="115"/>
      <x:c r="BH472" s="115"/>
      <x:c r="BI472" s="115"/>
      <x:c r="BJ472" s="115"/>
      <x:c r="BK472" s="115"/>
      <x:c r="BL472" s="115"/>
      <x:c r="BM472" s="115"/>
      <x:c r="BN472" s="115"/>
      <x:c r="BO472" s="115"/>
      <x:c r="BP472" s="115"/>
      <x:c r="BQ472" s="115"/>
      <x:c r="BR472" s="115"/>
      <x:c r="BS472" s="115"/>
      <x:c r="BT472" s="115"/>
      <x:c r="BU472" s="115"/>
      <x:c r="BV472" s="115"/>
      <x:c r="BW472" s="115"/>
      <x:c r="BX472" s="115"/>
      <x:c r="BY472" s="115"/>
      <x:c r="BZ472" s="115"/>
      <x:c r="CA472" s="115"/>
      <x:c r="CB472" s="116"/>
      <x:c r="CC472" s="141" t="str">
        <x:f>IF(COUNT(G472:P472)=0,"",AVERAGE(G472:P472)*4)</x:f>
      </x:c>
      <x:c r="CD472" s="178" t="str">
        <x:f>IF(COUNT(Q472:Z472)=0,"",AVERAGE(Q472:Z472)*4)</x:f>
      </x:c>
      <x:c r="CE472" s="178" t="str">
        <x:f>IF(COUNT(AA472:AJ472)=0,"",AVERAGE(AA472:AJ472)*4)</x:f>
      </x:c>
      <x:c r="CF472" s="178" t="str">
        <x:f>IF(COUNT(AK472:AR472)=0,"",AVERAGE(AK472:AR472)*4)</x:f>
      </x:c>
      <x:c r="CG472" s="178" t="str">
        <x:f>IF(COUNT(AS472:AY472)=0,"",AVERAGE(AS472:AY472)*4)</x:f>
      </x:c>
      <x:c r="CH472" s="178" t="str">
        <x:f>IF(COUNT(AZ472:BG472)=0,"",AVERAGE(AZ472:BG472)*4)</x:f>
      </x:c>
      <x:c r="CI472" s="178" t="str">
        <x:f>IF(COUNT(BH472:BN472)=0,"",AVERAGE(BH472:BN472)*4)</x:f>
      </x:c>
      <x:c r="CJ472" s="178" t="str">
        <x:f>IF(COUNT(BO472:BU472)=0,"",AVERAGE(BO472:BU472)*4)</x:f>
      </x:c>
      <x:c r="CK472" s="178" t="str">
        <x:f>IF(COUNT(BV472:CB472)=0,"",AVERAGE(BV472:CB472)*4)</x:f>
      </x:c>
      <x:c r="CL472" s="178" t="str">
        <x:f>IF(C472="","",IF(COUNT(G472:CB472)&lt;74,"",(CC472*'تنظیمات وزن‌دهی'!$C$5+CD472*'تنظیمات وزن‌دهی'!$C$6+CE472*'تنظیمات وزن‌دهی'!$C$7+CF472*'تنظیمات وزن‌دهی'!$C$8+CG472*'تنظیمات وزن‌دهی'!$C$9+CH472*'تنظیمات وزن‌دهی'!$C$10+CI472*'تنظیمات وزن‌دهی'!$C$11+CJ472*'تنظیمات وزن‌دهی'!$C$12+CK472*'تنظیمات وزن‌دهی'!$C$13)/100))</x:f>
      </x:c>
      <x:c r="CM472" s="178" t="str">
        <x:f>IF(C472="","",IF(COUNT(G472:CB472)=0,"",IF(COUNT(G472:CB472)&lt;74,"موقت - اطلاعات ناقص",IF(CL472&gt;=17,"عالی",IF(CL472&gt;=14,"خوب",IF(CL472&gt;=10,"متوسط","ضعیف"))))))</x:f>
      </x:c>
      <x:c r="CN472" s="178" t="n">
        <x:v>12</x:v>
      </x:c>
      <x:c r="CO472" s="142" t="n">
        <x:f>IF(C472="","",COUNT(G472:CB472)/74)</x:f>
        <x:v>0</x:v>
      </x:c>
      <x:c r="CP472" s="245"/>
    </x:row>
    <x:row r="473">
      <x:c r="A473" s="165" t="n">
        <x:v>469</x:v>
      </x:c>
      <x:c r="B473" s="233" t="str">
        <x:v>تیر</x:v>
      </x:c>
      <x:c r="C473" s="233" t="n">
        <x:f>IF('دانش‌آموزان'!E44="","",'دانش‌آموزان'!B44)</x:f>
        <x:v>40</x:v>
      </x:c>
      <x:c r="D473" s="233" t="str">
        <x:f>IF('دانش‌آموزان'!C44="","",'دانش‌آموزان'!C44)</x:f>
        <x:v>4000000403</x:v>
      </x:c>
      <x:c r="E473" s="233" t="str">
        <x:f>IF('دانش‌آموزان'!E44="","",'دانش‌آموزان'!E44&amp;" "&amp;'دانش‌آموزان'!F44)</x:f>
        <x:v>آوا کاظمی</x:v>
      </x:c>
      <x:c r="F473" s="166" t="str">
        <x:f>IF('دانش‌آموزان'!I44="","",'دانش‌آموزان'!I44)</x:f>
        <x:v>sample-7-b</x:v>
      </x:c>
      <x:c r="G473" s="114" t="n">
        <x:v>4</x:v>
      </x:c>
      <x:c r="H473" s="115" t="n">
        <x:v>3</x:v>
      </x:c>
      <x:c r="I473" s="115" t="n">
        <x:v>4</x:v>
      </x:c>
      <x:c r="J473" s="115" t="n">
        <x:v>2</x:v>
      </x:c>
      <x:c r="K473" s="115" t="n">
        <x:v>4</x:v>
      </x:c>
      <x:c r="L473" s="115" t="n">
        <x:v>5</x:v>
      </x:c>
      <x:c r="M473" s="115" t="n">
        <x:v>4</x:v>
      </x:c>
      <x:c r="N473" s="115" t="n">
        <x:v>5</x:v>
      </x:c>
      <x:c r="O473" s="115" t="n">
        <x:v>3</x:v>
      </x:c>
      <x:c r="P473" s="115" t="n">
        <x:v>5</x:v>
      </x:c>
      <x:c r="Q473" s="115" t="n">
        <x:v>3</x:v>
      </x:c>
      <x:c r="R473" s="115" t="n">
        <x:v>4</x:v>
      </x:c>
      <x:c r="S473" s="115" t="n">
        <x:v>3</x:v>
      </x:c>
      <x:c r="T473" s="115" t="n">
        <x:v>4</x:v>
      </x:c>
      <x:c r="U473" s="115" t="n">
        <x:v>2</x:v>
      </x:c>
      <x:c r="V473" s="115" t="n">
        <x:v>4</x:v>
      </x:c>
      <x:c r="W473" s="115" t="n">
        <x:v>5</x:v>
      </x:c>
      <x:c r="X473" s="115" t="n">
        <x:v>4</x:v>
      </x:c>
      <x:c r="Y473" s="115" t="n">
        <x:v>5</x:v>
      </x:c>
      <x:c r="Z473" s="115" t="n">
        <x:v>3</x:v>
      </x:c>
      <x:c r="AA473" s="115" t="n">
        <x:v>5</x:v>
      </x:c>
      <x:c r="AB473" s="115" t="n">
        <x:v>3</x:v>
      </x:c>
      <x:c r="AC473" s="115" t="n">
        <x:v>4</x:v>
      </x:c>
      <x:c r="AD473" s="115" t="n">
        <x:v>3</x:v>
      </x:c>
      <x:c r="AE473" s="115" t="n">
        <x:v>4</x:v>
      </x:c>
      <x:c r="AF473" s="115" t="n">
        <x:v>2</x:v>
      </x:c>
      <x:c r="AG473" s="115" t="n">
        <x:v>4</x:v>
      </x:c>
      <x:c r="AH473" s="115" t="n">
        <x:v>5</x:v>
      </x:c>
      <x:c r="AI473" s="115" t="n">
        <x:v>4</x:v>
      </x:c>
      <x:c r="AJ473" s="115" t="n">
        <x:v>5</x:v>
      </x:c>
      <x:c r="AK473" s="115" t="n">
        <x:v>3</x:v>
      </x:c>
      <x:c r="AL473" s="115" t="n">
        <x:v>5</x:v>
      </x:c>
      <x:c r="AM473" s="115" t="n">
        <x:v>3</x:v>
      </x:c>
      <x:c r="AN473" s="115" t="n">
        <x:v>4</x:v>
      </x:c>
      <x:c r="AO473" s="115" t="n">
        <x:v>3</x:v>
      </x:c>
      <x:c r="AP473" s="115" t="n">
        <x:v>4</x:v>
      </x:c>
      <x:c r="AQ473" s="115" t="n">
        <x:v>2</x:v>
      </x:c>
      <x:c r="AR473" s="115" t="n">
        <x:v>4</x:v>
      </x:c>
      <x:c r="AS473" s="115" t="n">
        <x:v>5</x:v>
      </x:c>
      <x:c r="AT473" s="115" t="n">
        <x:v>4</x:v>
      </x:c>
      <x:c r="AU473" s="115" t="n">
        <x:v>5</x:v>
      </x:c>
      <x:c r="AV473" s="115" t="n">
        <x:v>3</x:v>
      </x:c>
      <x:c r="AW473" s="115" t="n">
        <x:v>5</x:v>
      </x:c>
      <x:c r="AX473" s="115" t="n">
        <x:v>3</x:v>
      </x:c>
      <x:c r="AY473" s="115" t="n">
        <x:v>4</x:v>
      </x:c>
      <x:c r="AZ473" s="115" t="n">
        <x:v>3</x:v>
      </x:c>
      <x:c r="BA473" s="115" t="n">
        <x:v>4</x:v>
      </x:c>
      <x:c r="BB473" s="115" t="n">
        <x:v>2</x:v>
      </x:c>
      <x:c r="BC473" s="115" t="n">
        <x:v>4</x:v>
      </x:c>
      <x:c r="BD473" s="115" t="n">
        <x:v>5</x:v>
      </x:c>
      <x:c r="BE473" s="115" t="n">
        <x:v>4</x:v>
      </x:c>
      <x:c r="BF473" s="115" t="n">
        <x:v>5</x:v>
      </x:c>
      <x:c r="BG473" s="115" t="n">
        <x:v>3</x:v>
      </x:c>
      <x:c r="BH473" s="115" t="n">
        <x:v>5</x:v>
      </x:c>
      <x:c r="BI473" s="115" t="n">
        <x:v>3</x:v>
      </x:c>
      <x:c r="BJ473" s="115" t="n">
        <x:v>4</x:v>
      </x:c>
      <x:c r="BK473" s="115" t="n">
        <x:v>3</x:v>
      </x:c>
      <x:c r="BL473" s="115" t="n">
        <x:v>4</x:v>
      </x:c>
      <x:c r="BM473" s="115" t="n">
        <x:v>2</x:v>
      </x:c>
      <x:c r="BN473" s="115" t="n">
        <x:v>4</x:v>
      </x:c>
      <x:c r="BO473" s="115" t="n">
        <x:v>5</x:v>
      </x:c>
      <x:c r="BP473" s="115" t="n">
        <x:v>4</x:v>
      </x:c>
      <x:c r="BQ473" s="115" t="n">
        <x:v>5</x:v>
      </x:c>
      <x:c r="BR473" s="115" t="n">
        <x:v>3</x:v>
      </x:c>
      <x:c r="BS473" s="115" t="n">
        <x:v>5</x:v>
      </x:c>
      <x:c r="BT473" s="115" t="n">
        <x:v>3</x:v>
      </x:c>
      <x:c r="BU473" s="115" t="n">
        <x:v>4</x:v>
      </x:c>
      <x:c r="BV473" s="115" t="n">
        <x:v>3</x:v>
      </x:c>
      <x:c r="BW473" s="115" t="n">
        <x:v>4</x:v>
      </x:c>
      <x:c r="BX473" s="115" t="n">
        <x:v>2</x:v>
      </x:c>
      <x:c r="BY473" s="115" t="n">
        <x:v>4</x:v>
      </x:c>
      <x:c r="BZ473" s="115" t="n">
        <x:v>5</x:v>
      </x:c>
      <x:c r="CA473" s="115" t="n">
        <x:v>4</x:v>
      </x:c>
      <x:c r="CB473" s="116" t="n">
        <x:v>5</x:v>
      </x:c>
      <x:c r="CC473" s="141" t="n">
        <x:f>IF(COUNT(G473:P473)=0,"",AVERAGE(G473:P473)*4)</x:f>
        <x:v>15.6</x:v>
      </x:c>
      <x:c r="CD473" s="178" t="n">
        <x:f>IF(COUNT(Q473:Z473)=0,"",AVERAGE(Q473:Z473)*4)</x:f>
        <x:v>14.8</x:v>
      </x:c>
      <x:c r="CE473" s="178" t="n">
        <x:f>IF(COUNT(AA473:AJ473)=0,"",AVERAGE(AA473:AJ473)*4)</x:f>
        <x:v>15.6</x:v>
      </x:c>
      <x:c r="CF473" s="178" t="n">
        <x:f>IF(COUNT(AK473:AR473)=0,"",AVERAGE(AK473:AR473)*4)</x:f>
        <x:v>14</x:v>
      </x:c>
      <x:c r="CG473" s="178" t="n">
        <x:f>IF(COUNT(AS473:AY473)=0,"",AVERAGE(AS473:AY473)*4)</x:f>
        <x:v>16.571428571428573</x:v>
      </x:c>
      <x:c r="CH473" s="178" t="n">
        <x:f>IF(COUNT(AZ473:BG473)=0,"",AVERAGE(AZ473:BG473)*4)</x:f>
        <x:v>15</x:v>
      </x:c>
      <x:c r="CI473" s="178" t="n">
        <x:f>IF(COUNT(BH473:BN473)=0,"",AVERAGE(BH473:BN473)*4)</x:f>
        <x:v>14.285714285714286</x:v>
      </x:c>
      <x:c r="CJ473" s="178" t="n">
        <x:f>IF(COUNT(BO473:BU473)=0,"",AVERAGE(BO473:BU473)*4)</x:f>
        <x:v>16.571428571428573</x:v>
      </x:c>
      <x:c r="CK473" s="178" t="n">
        <x:f>IF(COUNT(BV473:CB473)=0,"",AVERAGE(BV473:CB473)*4)</x:f>
        <x:v>15.428571428571429</x:v>
      </x:c>
      <x:c r="CL473" s="178" t="n">
        <x:f>IF(C473="","",IF(COUNT(G473:CB473)&lt;74,"",(CC473*'تنظیمات وزن‌دهی'!$C$5+CD473*'تنظیمات وزن‌دهی'!$C$6+CE473*'تنظیمات وزن‌دهی'!$C$7+CF473*'تنظیمات وزن‌دهی'!$C$8+CG473*'تنظیمات وزن‌دهی'!$C$9+CH473*'تنظیمات وزن‌دهی'!$C$10+CI473*'تنظیمات وزن‌دهی'!$C$11+CJ473*'تنظیمات وزن‌دهی'!$C$12+CK473*'تنظیمات وزن‌دهی'!$C$13)/100))</x:f>
        <x:v>15.214285714285715</x:v>
      </x:c>
      <x:c r="CM473" s="178" t="str">
        <x:f>IF(C473="","",IF(COUNT(G473:CB473)=0,"",IF(COUNT(G473:CB473)&lt;74,"موقت - اطلاعات ناقص",IF(CL473&gt;=17,"عالی",IF(CL473&gt;=14,"خوب",IF(CL473&gt;=10,"متوسط","ضعیف"))))))</x:f>
        <x:v>خوب</x:v>
      </x:c>
      <x:c r="CN473" s="178" t="n">
        <x:v>1</x:v>
      </x:c>
      <x:c r="CO473" s="142" t="n">
        <x:f>IF(C473="","",COUNT(G473:CB473)/74)</x:f>
        <x:v>1</x:v>
      </x:c>
      <x:c r="CP473" s="245" t="str">
        <x:v>داده نمونه کامل برای ماه تیر - دانش‌آموز شماره 40</x:v>
      </x:c>
    </x:row>
    <x:row r="474">
      <x:c r="A474" s="165" t="n">
        <x:v>470</x:v>
      </x:c>
      <x:c r="B474" s="233" t="str">
        <x:v>مرداد</x:v>
      </x:c>
      <x:c r="C474" s="233" t="n">
        <x:f>IF('دانش‌آموزان'!E44="","",'دانش‌آموزان'!B44)</x:f>
        <x:v>40</x:v>
      </x:c>
      <x:c r="D474" s="233" t="str">
        <x:f>IF('دانش‌آموزان'!C44="","",'دانش‌آموزان'!C44)</x:f>
        <x:v>4000000403</x:v>
      </x:c>
      <x:c r="E474" s="233" t="str">
        <x:f>IF('دانش‌آموزان'!E44="","",'دانش‌آموزان'!E44&amp;" "&amp;'دانش‌آموزان'!F44)</x:f>
        <x:v>آوا کاظمی</x:v>
      </x:c>
      <x:c r="F474" s="166" t="str">
        <x:f>IF('دانش‌آموزان'!I44="","",'دانش‌آموزان'!I44)</x:f>
        <x:v>sample-7-b</x:v>
      </x:c>
      <x:c r="G474" s="114"/>
      <x:c r="H474" s="115"/>
      <x:c r="I474" s="115"/>
      <x:c r="J474" s="115"/>
      <x:c r="K474" s="115"/>
      <x:c r="L474" s="115"/>
      <x:c r="M474" s="115"/>
      <x:c r="N474" s="115"/>
      <x:c r="O474" s="115"/>
      <x:c r="P474" s="115"/>
      <x:c r="Q474" s="115"/>
      <x:c r="R474" s="115"/>
      <x:c r="S474" s="115"/>
      <x:c r="T474" s="115"/>
      <x:c r="U474" s="115"/>
      <x:c r="V474" s="115"/>
      <x:c r="W474" s="115"/>
      <x:c r="X474" s="115"/>
      <x:c r="Y474" s="115"/>
      <x:c r="Z474" s="115"/>
      <x:c r="AA474" s="115"/>
      <x:c r="AB474" s="115"/>
      <x:c r="AC474" s="115"/>
      <x:c r="AD474" s="115"/>
      <x:c r="AE474" s="115"/>
      <x:c r="AF474" s="115"/>
      <x:c r="AG474" s="115"/>
      <x:c r="AH474" s="115"/>
      <x:c r="AI474" s="115"/>
      <x:c r="AJ474" s="115"/>
      <x:c r="AK474" s="115"/>
      <x:c r="AL474" s="115"/>
      <x:c r="AM474" s="115"/>
      <x:c r="AN474" s="115"/>
      <x:c r="AO474" s="115"/>
      <x:c r="AP474" s="115"/>
      <x:c r="AQ474" s="115"/>
      <x:c r="AR474" s="115"/>
      <x:c r="AS474" s="115"/>
      <x:c r="AT474" s="115"/>
      <x:c r="AU474" s="115"/>
      <x:c r="AV474" s="115"/>
      <x:c r="AW474" s="115"/>
      <x:c r="AX474" s="115"/>
      <x:c r="AY474" s="115"/>
      <x:c r="AZ474" s="115"/>
      <x:c r="BA474" s="115"/>
      <x:c r="BB474" s="115"/>
      <x:c r="BC474" s="115"/>
      <x:c r="BD474" s="115"/>
      <x:c r="BE474" s="115"/>
      <x:c r="BF474" s="115"/>
      <x:c r="BG474" s="115"/>
      <x:c r="BH474" s="115"/>
      <x:c r="BI474" s="115"/>
      <x:c r="BJ474" s="115"/>
      <x:c r="BK474" s="115"/>
      <x:c r="BL474" s="115"/>
      <x:c r="BM474" s="115"/>
      <x:c r="BN474" s="115"/>
      <x:c r="BO474" s="115"/>
      <x:c r="BP474" s="115"/>
      <x:c r="BQ474" s="115"/>
      <x:c r="BR474" s="115"/>
      <x:c r="BS474" s="115"/>
      <x:c r="BT474" s="115"/>
      <x:c r="BU474" s="115"/>
      <x:c r="BV474" s="115"/>
      <x:c r="BW474" s="115"/>
      <x:c r="BX474" s="115"/>
      <x:c r="BY474" s="115"/>
      <x:c r="BZ474" s="115"/>
      <x:c r="CA474" s="115"/>
      <x:c r="CB474" s="116"/>
      <x:c r="CC474" s="141" t="str">
        <x:f>IF(COUNT(G474:P474)=0,"",AVERAGE(G474:P474)*4)</x:f>
      </x:c>
      <x:c r="CD474" s="178" t="str">
        <x:f>IF(COUNT(Q474:Z474)=0,"",AVERAGE(Q474:Z474)*4)</x:f>
      </x:c>
      <x:c r="CE474" s="178" t="str">
        <x:f>IF(COUNT(AA474:AJ474)=0,"",AVERAGE(AA474:AJ474)*4)</x:f>
      </x:c>
      <x:c r="CF474" s="178" t="str">
        <x:f>IF(COUNT(AK474:AR474)=0,"",AVERAGE(AK474:AR474)*4)</x:f>
      </x:c>
      <x:c r="CG474" s="178" t="str">
        <x:f>IF(COUNT(AS474:AY474)=0,"",AVERAGE(AS474:AY474)*4)</x:f>
      </x:c>
      <x:c r="CH474" s="178" t="str">
        <x:f>IF(COUNT(AZ474:BG474)=0,"",AVERAGE(AZ474:BG474)*4)</x:f>
      </x:c>
      <x:c r="CI474" s="178" t="str">
        <x:f>IF(COUNT(BH474:BN474)=0,"",AVERAGE(BH474:BN474)*4)</x:f>
      </x:c>
      <x:c r="CJ474" s="178" t="str">
        <x:f>IF(COUNT(BO474:BU474)=0,"",AVERAGE(BO474:BU474)*4)</x:f>
      </x:c>
      <x:c r="CK474" s="178" t="str">
        <x:f>IF(COUNT(BV474:CB474)=0,"",AVERAGE(BV474:CB474)*4)</x:f>
      </x:c>
      <x:c r="CL474" s="178" t="str">
        <x:f>IF(C474="","",IF(COUNT(G474:CB474)&lt;74,"",(CC474*'تنظیمات وزن‌دهی'!$C$5+CD474*'تنظیمات وزن‌دهی'!$C$6+CE474*'تنظیمات وزن‌دهی'!$C$7+CF474*'تنظیمات وزن‌دهی'!$C$8+CG474*'تنظیمات وزن‌دهی'!$C$9+CH474*'تنظیمات وزن‌دهی'!$C$10+CI474*'تنظیمات وزن‌دهی'!$C$11+CJ474*'تنظیمات وزن‌دهی'!$C$12+CK474*'تنظیمات وزن‌دهی'!$C$13)/100))</x:f>
      </x:c>
      <x:c r="CM474" s="178" t="str">
        <x:f>IF(C474="","",IF(COUNT(G474:CB474)=0,"",IF(COUNT(G474:CB474)&lt;74,"موقت - اطلاعات ناقص",IF(CL474&gt;=17,"عالی",IF(CL474&gt;=14,"خوب",IF(CL474&gt;=10,"متوسط","ضعیف"))))))</x:f>
      </x:c>
      <x:c r="CN474" s="178" t="n">
        <x:v>2</x:v>
      </x:c>
      <x:c r="CO474" s="142" t="n">
        <x:f>IF(C474="","",COUNT(G474:CB474)/74)</x:f>
        <x:v>0</x:v>
      </x:c>
      <x:c r="CP474" s="245"/>
    </x:row>
    <x:row r="475">
      <x:c r="A475" s="165" t="n">
        <x:v>471</x:v>
      </x:c>
      <x:c r="B475" s="233" t="str">
        <x:v>شهریور</x:v>
      </x:c>
      <x:c r="C475" s="233" t="n">
        <x:f>IF('دانش‌آموزان'!E44="","",'دانش‌آموزان'!B44)</x:f>
        <x:v>40</x:v>
      </x:c>
      <x:c r="D475" s="233" t="str">
        <x:f>IF('دانش‌آموزان'!C44="","",'دانش‌آموزان'!C44)</x:f>
        <x:v>4000000403</x:v>
      </x:c>
      <x:c r="E475" s="233" t="str">
        <x:f>IF('دانش‌آموزان'!E44="","",'دانش‌آموزان'!E44&amp;" "&amp;'دانش‌آموزان'!F44)</x:f>
        <x:v>آوا کاظمی</x:v>
      </x:c>
      <x:c r="F475" s="166" t="str">
        <x:f>IF('دانش‌آموزان'!I44="","",'دانش‌آموزان'!I44)</x:f>
        <x:v>sample-7-b</x:v>
      </x:c>
      <x:c r="G475" s="114"/>
      <x:c r="H475" s="115"/>
      <x:c r="I475" s="115"/>
      <x:c r="J475" s="115"/>
      <x:c r="K475" s="115"/>
      <x:c r="L475" s="115"/>
      <x:c r="M475" s="115"/>
      <x:c r="N475" s="115"/>
      <x:c r="O475" s="115"/>
      <x:c r="P475" s="115"/>
      <x:c r="Q475" s="115"/>
      <x:c r="R475" s="115"/>
      <x:c r="S475" s="115"/>
      <x:c r="T475" s="115"/>
      <x:c r="U475" s="115"/>
      <x:c r="V475" s="115"/>
      <x:c r="W475" s="115"/>
      <x:c r="X475" s="115"/>
      <x:c r="Y475" s="115"/>
      <x:c r="Z475" s="115"/>
      <x:c r="AA475" s="115"/>
      <x:c r="AB475" s="115"/>
      <x:c r="AC475" s="115"/>
      <x:c r="AD475" s="115"/>
      <x:c r="AE475" s="115"/>
      <x:c r="AF475" s="115"/>
      <x:c r="AG475" s="115"/>
      <x:c r="AH475" s="115"/>
      <x:c r="AI475" s="115"/>
      <x:c r="AJ475" s="115"/>
      <x:c r="AK475" s="115"/>
      <x:c r="AL475" s="115"/>
      <x:c r="AM475" s="115"/>
      <x:c r="AN475" s="115"/>
      <x:c r="AO475" s="115"/>
      <x:c r="AP475" s="115"/>
      <x:c r="AQ475" s="115"/>
      <x:c r="AR475" s="115"/>
      <x:c r="AS475" s="115"/>
      <x:c r="AT475" s="115"/>
      <x:c r="AU475" s="115"/>
      <x:c r="AV475" s="115"/>
      <x:c r="AW475" s="115"/>
      <x:c r="AX475" s="115"/>
      <x:c r="AY475" s="115"/>
      <x:c r="AZ475" s="115"/>
      <x:c r="BA475" s="115"/>
      <x:c r="BB475" s="115"/>
      <x:c r="BC475" s="115"/>
      <x:c r="BD475" s="115"/>
      <x:c r="BE475" s="115"/>
      <x:c r="BF475" s="115"/>
      <x:c r="BG475" s="115"/>
      <x:c r="BH475" s="115"/>
      <x:c r="BI475" s="115"/>
      <x:c r="BJ475" s="115"/>
      <x:c r="BK475" s="115"/>
      <x:c r="BL475" s="115"/>
      <x:c r="BM475" s="115"/>
      <x:c r="BN475" s="115"/>
      <x:c r="BO475" s="115"/>
      <x:c r="BP475" s="115"/>
      <x:c r="BQ475" s="115"/>
      <x:c r="BR475" s="115"/>
      <x:c r="BS475" s="115"/>
      <x:c r="BT475" s="115"/>
      <x:c r="BU475" s="115"/>
      <x:c r="BV475" s="115"/>
      <x:c r="BW475" s="115"/>
      <x:c r="BX475" s="115"/>
      <x:c r="BY475" s="115"/>
      <x:c r="BZ475" s="115"/>
      <x:c r="CA475" s="115"/>
      <x:c r="CB475" s="116"/>
      <x:c r="CC475" s="141" t="str">
        <x:f>IF(COUNT(G475:P475)=0,"",AVERAGE(G475:P475)*4)</x:f>
      </x:c>
      <x:c r="CD475" s="178" t="str">
        <x:f>IF(COUNT(Q475:Z475)=0,"",AVERAGE(Q475:Z475)*4)</x:f>
      </x:c>
      <x:c r="CE475" s="178" t="str">
        <x:f>IF(COUNT(AA475:AJ475)=0,"",AVERAGE(AA475:AJ475)*4)</x:f>
      </x:c>
      <x:c r="CF475" s="178" t="str">
        <x:f>IF(COUNT(AK475:AR475)=0,"",AVERAGE(AK475:AR475)*4)</x:f>
      </x:c>
      <x:c r="CG475" s="178" t="str">
        <x:f>IF(COUNT(AS475:AY475)=0,"",AVERAGE(AS475:AY475)*4)</x:f>
      </x:c>
      <x:c r="CH475" s="178" t="str">
        <x:f>IF(COUNT(AZ475:BG475)=0,"",AVERAGE(AZ475:BG475)*4)</x:f>
      </x:c>
      <x:c r="CI475" s="178" t="str">
        <x:f>IF(COUNT(BH475:BN475)=0,"",AVERAGE(BH475:BN475)*4)</x:f>
      </x:c>
      <x:c r="CJ475" s="178" t="str">
        <x:f>IF(COUNT(BO475:BU475)=0,"",AVERAGE(BO475:BU475)*4)</x:f>
      </x:c>
      <x:c r="CK475" s="178" t="str">
        <x:f>IF(COUNT(BV475:CB475)=0,"",AVERAGE(BV475:CB475)*4)</x:f>
      </x:c>
      <x:c r="CL475" s="178" t="str">
        <x:f>IF(C475="","",IF(COUNT(G475:CB475)&lt;74,"",(CC475*'تنظیمات وزن‌دهی'!$C$5+CD475*'تنظیمات وزن‌دهی'!$C$6+CE475*'تنظیمات وزن‌دهی'!$C$7+CF475*'تنظیمات وزن‌دهی'!$C$8+CG475*'تنظیمات وزن‌دهی'!$C$9+CH475*'تنظیمات وزن‌دهی'!$C$10+CI475*'تنظیمات وزن‌دهی'!$C$11+CJ475*'تنظیمات وزن‌دهی'!$C$12+CK475*'تنظیمات وزن‌دهی'!$C$13)/100))</x:f>
      </x:c>
      <x:c r="CM475" s="178" t="str">
        <x:f>IF(C475="","",IF(COUNT(G475:CB475)=0,"",IF(COUNT(G475:CB475)&lt;74,"موقت - اطلاعات ناقص",IF(CL475&gt;=17,"عالی",IF(CL475&gt;=14,"خوب",IF(CL475&gt;=10,"متوسط","ضعیف"))))))</x:f>
      </x:c>
      <x:c r="CN475" s="178" t="n">
        <x:v>3</x:v>
      </x:c>
      <x:c r="CO475" s="142" t="n">
        <x:f>IF(C475="","",COUNT(G475:CB475)/74)</x:f>
        <x:v>0</x:v>
      </x:c>
      <x:c r="CP475" s="245"/>
    </x:row>
    <x:row r="476">
      <x:c r="A476" s="165" t="n">
        <x:v>472</x:v>
      </x:c>
      <x:c r="B476" s="233" t="str">
        <x:v>مهر</x:v>
      </x:c>
      <x:c r="C476" s="233" t="n">
        <x:f>IF('دانش‌آموزان'!E44="","",'دانش‌آموزان'!B44)</x:f>
        <x:v>40</x:v>
      </x:c>
      <x:c r="D476" s="233" t="str">
        <x:f>IF('دانش‌آموزان'!C44="","",'دانش‌آموزان'!C44)</x:f>
        <x:v>4000000403</x:v>
      </x:c>
      <x:c r="E476" s="233" t="str">
        <x:f>IF('دانش‌آموزان'!E44="","",'دانش‌آموزان'!E44&amp;" "&amp;'دانش‌آموزان'!F44)</x:f>
        <x:v>آوا کاظمی</x:v>
      </x:c>
      <x:c r="F476" s="166" t="str">
        <x:f>IF('دانش‌آموزان'!I44="","",'دانش‌آموزان'!I44)</x:f>
        <x:v>sample-7-b</x:v>
      </x:c>
      <x:c r="G476" s="114"/>
      <x:c r="H476" s="115"/>
      <x:c r="I476" s="115"/>
      <x:c r="J476" s="115"/>
      <x:c r="K476" s="115"/>
      <x:c r="L476" s="115"/>
      <x:c r="M476" s="115"/>
      <x:c r="N476" s="115"/>
      <x:c r="O476" s="115"/>
      <x:c r="P476" s="115"/>
      <x:c r="Q476" s="115"/>
      <x:c r="R476" s="115"/>
      <x:c r="S476" s="115"/>
      <x:c r="T476" s="115"/>
      <x:c r="U476" s="115"/>
      <x:c r="V476" s="115"/>
      <x:c r="W476" s="115"/>
      <x:c r="X476" s="115"/>
      <x:c r="Y476" s="115"/>
      <x:c r="Z476" s="115"/>
      <x:c r="AA476" s="115"/>
      <x:c r="AB476" s="115"/>
      <x:c r="AC476" s="115"/>
      <x:c r="AD476" s="115"/>
      <x:c r="AE476" s="115"/>
      <x:c r="AF476" s="115"/>
      <x:c r="AG476" s="115"/>
      <x:c r="AH476" s="115"/>
      <x:c r="AI476" s="115"/>
      <x:c r="AJ476" s="115"/>
      <x:c r="AK476" s="115"/>
      <x:c r="AL476" s="115"/>
      <x:c r="AM476" s="115"/>
      <x:c r="AN476" s="115"/>
      <x:c r="AO476" s="115"/>
      <x:c r="AP476" s="115"/>
      <x:c r="AQ476" s="115"/>
      <x:c r="AR476" s="115"/>
      <x:c r="AS476" s="115"/>
      <x:c r="AT476" s="115"/>
      <x:c r="AU476" s="115"/>
      <x:c r="AV476" s="115"/>
      <x:c r="AW476" s="115"/>
      <x:c r="AX476" s="115"/>
      <x:c r="AY476" s="115"/>
      <x:c r="AZ476" s="115"/>
      <x:c r="BA476" s="115"/>
      <x:c r="BB476" s="115"/>
      <x:c r="BC476" s="115"/>
      <x:c r="BD476" s="115"/>
      <x:c r="BE476" s="115"/>
      <x:c r="BF476" s="115"/>
      <x:c r="BG476" s="115"/>
      <x:c r="BH476" s="115"/>
      <x:c r="BI476" s="115"/>
      <x:c r="BJ476" s="115"/>
      <x:c r="BK476" s="115"/>
      <x:c r="BL476" s="115"/>
      <x:c r="BM476" s="115"/>
      <x:c r="BN476" s="115"/>
      <x:c r="BO476" s="115"/>
      <x:c r="BP476" s="115"/>
      <x:c r="BQ476" s="115"/>
      <x:c r="BR476" s="115"/>
      <x:c r="BS476" s="115"/>
      <x:c r="BT476" s="115"/>
      <x:c r="BU476" s="115"/>
      <x:c r="BV476" s="115"/>
      <x:c r="BW476" s="115"/>
      <x:c r="BX476" s="115"/>
      <x:c r="BY476" s="115"/>
      <x:c r="BZ476" s="115"/>
      <x:c r="CA476" s="115"/>
      <x:c r="CB476" s="116"/>
      <x:c r="CC476" s="141" t="str">
        <x:f>IF(COUNT(G476:P476)=0,"",AVERAGE(G476:P476)*4)</x:f>
      </x:c>
      <x:c r="CD476" s="178" t="str">
        <x:f>IF(COUNT(Q476:Z476)=0,"",AVERAGE(Q476:Z476)*4)</x:f>
      </x:c>
      <x:c r="CE476" s="178" t="str">
        <x:f>IF(COUNT(AA476:AJ476)=0,"",AVERAGE(AA476:AJ476)*4)</x:f>
      </x:c>
      <x:c r="CF476" s="178" t="str">
        <x:f>IF(COUNT(AK476:AR476)=0,"",AVERAGE(AK476:AR476)*4)</x:f>
      </x:c>
      <x:c r="CG476" s="178" t="str">
        <x:f>IF(COUNT(AS476:AY476)=0,"",AVERAGE(AS476:AY476)*4)</x:f>
      </x:c>
      <x:c r="CH476" s="178" t="str">
        <x:f>IF(COUNT(AZ476:BG476)=0,"",AVERAGE(AZ476:BG476)*4)</x:f>
      </x:c>
      <x:c r="CI476" s="178" t="str">
        <x:f>IF(COUNT(BH476:BN476)=0,"",AVERAGE(BH476:BN476)*4)</x:f>
      </x:c>
      <x:c r="CJ476" s="178" t="str">
        <x:f>IF(COUNT(BO476:BU476)=0,"",AVERAGE(BO476:BU476)*4)</x:f>
      </x:c>
      <x:c r="CK476" s="178" t="str">
        <x:f>IF(COUNT(BV476:CB476)=0,"",AVERAGE(BV476:CB476)*4)</x:f>
      </x:c>
      <x:c r="CL476" s="178" t="str">
        <x:f>IF(C476="","",IF(COUNT(G476:CB476)&lt;74,"",(CC476*'تنظیمات وزن‌دهی'!$C$5+CD476*'تنظیمات وزن‌دهی'!$C$6+CE476*'تنظیمات وزن‌دهی'!$C$7+CF476*'تنظیمات وزن‌دهی'!$C$8+CG476*'تنظیمات وزن‌دهی'!$C$9+CH476*'تنظیمات وزن‌دهی'!$C$10+CI476*'تنظیمات وزن‌دهی'!$C$11+CJ476*'تنظیمات وزن‌دهی'!$C$12+CK476*'تنظیمات وزن‌دهی'!$C$13)/100))</x:f>
      </x:c>
      <x:c r="CM476" s="178" t="str">
        <x:f>IF(C476="","",IF(COUNT(G476:CB476)=0,"",IF(COUNT(G476:CB476)&lt;74,"موقت - اطلاعات ناقص",IF(CL476&gt;=17,"عالی",IF(CL476&gt;=14,"خوب",IF(CL476&gt;=10,"متوسط","ضعیف"))))))</x:f>
      </x:c>
      <x:c r="CN476" s="178" t="n">
        <x:v>4</x:v>
      </x:c>
      <x:c r="CO476" s="142" t="n">
        <x:f>IF(C476="","",COUNT(G476:CB476)/74)</x:f>
        <x:v>0</x:v>
      </x:c>
      <x:c r="CP476" s="245"/>
    </x:row>
    <x:row r="477">
      <x:c r="A477" s="165" t="n">
        <x:v>473</x:v>
      </x:c>
      <x:c r="B477" s="233" t="str">
        <x:v>آبان</x:v>
      </x:c>
      <x:c r="C477" s="233" t="n">
        <x:f>IF('دانش‌آموزان'!E44="","",'دانش‌آموزان'!B44)</x:f>
        <x:v>40</x:v>
      </x:c>
      <x:c r="D477" s="233" t="str">
        <x:f>IF('دانش‌آموزان'!C44="","",'دانش‌آموزان'!C44)</x:f>
        <x:v>4000000403</x:v>
      </x:c>
      <x:c r="E477" s="233" t="str">
        <x:f>IF('دانش‌آموزان'!E44="","",'دانش‌آموزان'!E44&amp;" "&amp;'دانش‌آموزان'!F44)</x:f>
        <x:v>آوا کاظمی</x:v>
      </x:c>
      <x:c r="F477" s="166" t="str">
        <x:f>IF('دانش‌آموزان'!I44="","",'دانش‌آموزان'!I44)</x:f>
        <x:v>sample-7-b</x:v>
      </x:c>
      <x:c r="G477" s="114"/>
      <x:c r="H477" s="115"/>
      <x:c r="I477" s="115"/>
      <x:c r="J477" s="115"/>
      <x:c r="K477" s="115"/>
      <x:c r="L477" s="115"/>
      <x:c r="M477" s="115"/>
      <x:c r="N477" s="115"/>
      <x:c r="O477" s="115"/>
      <x:c r="P477" s="115"/>
      <x:c r="Q477" s="115"/>
      <x:c r="R477" s="115"/>
      <x:c r="S477" s="115"/>
      <x:c r="T477" s="115"/>
      <x:c r="U477" s="115"/>
      <x:c r="V477" s="115"/>
      <x:c r="W477" s="115"/>
      <x:c r="X477" s="115"/>
      <x:c r="Y477" s="115"/>
      <x:c r="Z477" s="115"/>
      <x:c r="AA477" s="115"/>
      <x:c r="AB477" s="115"/>
      <x:c r="AC477" s="115"/>
      <x:c r="AD477" s="115"/>
      <x:c r="AE477" s="115"/>
      <x:c r="AF477" s="115"/>
      <x:c r="AG477" s="115"/>
      <x:c r="AH477" s="115"/>
      <x:c r="AI477" s="115"/>
      <x:c r="AJ477" s="115"/>
      <x:c r="AK477" s="115"/>
      <x:c r="AL477" s="115"/>
      <x:c r="AM477" s="115"/>
      <x:c r="AN477" s="115"/>
      <x:c r="AO477" s="115"/>
      <x:c r="AP477" s="115"/>
      <x:c r="AQ477" s="115"/>
      <x:c r="AR477" s="115"/>
      <x:c r="AS477" s="115"/>
      <x:c r="AT477" s="115"/>
      <x:c r="AU477" s="115"/>
      <x:c r="AV477" s="115"/>
      <x:c r="AW477" s="115"/>
      <x:c r="AX477" s="115"/>
      <x:c r="AY477" s="115"/>
      <x:c r="AZ477" s="115"/>
      <x:c r="BA477" s="115"/>
      <x:c r="BB477" s="115"/>
      <x:c r="BC477" s="115"/>
      <x:c r="BD477" s="115"/>
      <x:c r="BE477" s="115"/>
      <x:c r="BF477" s="115"/>
      <x:c r="BG477" s="115"/>
      <x:c r="BH477" s="115"/>
      <x:c r="BI477" s="115"/>
      <x:c r="BJ477" s="115"/>
      <x:c r="BK477" s="115"/>
      <x:c r="BL477" s="115"/>
      <x:c r="BM477" s="115"/>
      <x:c r="BN477" s="115"/>
      <x:c r="BO477" s="115"/>
      <x:c r="BP477" s="115"/>
      <x:c r="BQ477" s="115"/>
      <x:c r="BR477" s="115"/>
      <x:c r="BS477" s="115"/>
      <x:c r="BT477" s="115"/>
      <x:c r="BU477" s="115"/>
      <x:c r="BV477" s="115"/>
      <x:c r="BW477" s="115"/>
      <x:c r="BX477" s="115"/>
      <x:c r="BY477" s="115"/>
      <x:c r="BZ477" s="115"/>
      <x:c r="CA477" s="115"/>
      <x:c r="CB477" s="116"/>
      <x:c r="CC477" s="141" t="str">
        <x:f>IF(COUNT(G477:P477)=0,"",AVERAGE(G477:P477)*4)</x:f>
      </x:c>
      <x:c r="CD477" s="178" t="str">
        <x:f>IF(COUNT(Q477:Z477)=0,"",AVERAGE(Q477:Z477)*4)</x:f>
      </x:c>
      <x:c r="CE477" s="178" t="str">
        <x:f>IF(COUNT(AA477:AJ477)=0,"",AVERAGE(AA477:AJ477)*4)</x:f>
      </x:c>
      <x:c r="CF477" s="178" t="str">
        <x:f>IF(COUNT(AK477:AR477)=0,"",AVERAGE(AK477:AR477)*4)</x:f>
      </x:c>
      <x:c r="CG477" s="178" t="str">
        <x:f>IF(COUNT(AS477:AY477)=0,"",AVERAGE(AS477:AY477)*4)</x:f>
      </x:c>
      <x:c r="CH477" s="178" t="str">
        <x:f>IF(COUNT(AZ477:BG477)=0,"",AVERAGE(AZ477:BG477)*4)</x:f>
      </x:c>
      <x:c r="CI477" s="178" t="str">
        <x:f>IF(COUNT(BH477:BN477)=0,"",AVERAGE(BH477:BN477)*4)</x:f>
      </x:c>
      <x:c r="CJ477" s="178" t="str">
        <x:f>IF(COUNT(BO477:BU477)=0,"",AVERAGE(BO477:BU477)*4)</x:f>
      </x:c>
      <x:c r="CK477" s="178" t="str">
        <x:f>IF(COUNT(BV477:CB477)=0,"",AVERAGE(BV477:CB477)*4)</x:f>
      </x:c>
      <x:c r="CL477" s="178" t="str">
        <x:f>IF(C477="","",IF(COUNT(G477:CB477)&lt;74,"",(CC477*'تنظیمات وزن‌دهی'!$C$5+CD477*'تنظیمات وزن‌دهی'!$C$6+CE477*'تنظیمات وزن‌دهی'!$C$7+CF477*'تنظیمات وزن‌دهی'!$C$8+CG477*'تنظیمات وزن‌دهی'!$C$9+CH477*'تنظیمات وزن‌دهی'!$C$10+CI477*'تنظیمات وزن‌دهی'!$C$11+CJ477*'تنظیمات وزن‌دهی'!$C$12+CK477*'تنظیمات وزن‌دهی'!$C$13)/100))</x:f>
      </x:c>
      <x:c r="CM477" s="178" t="str">
        <x:f>IF(C477="","",IF(COUNT(G477:CB477)=0,"",IF(COUNT(G477:CB477)&lt;74,"موقت - اطلاعات ناقص",IF(CL477&gt;=17,"عالی",IF(CL477&gt;=14,"خوب",IF(CL477&gt;=10,"متوسط","ضعیف"))))))</x:f>
      </x:c>
      <x:c r="CN477" s="178" t="n">
        <x:v>5</x:v>
      </x:c>
      <x:c r="CO477" s="142" t="n">
        <x:f>IF(C477="","",COUNT(G477:CB477)/74)</x:f>
        <x:v>0</x:v>
      </x:c>
      <x:c r="CP477" s="245"/>
    </x:row>
    <x:row r="478">
      <x:c r="A478" s="165" t="n">
        <x:v>474</x:v>
      </x:c>
      <x:c r="B478" s="233" t="str">
        <x:v>آذر</x:v>
      </x:c>
      <x:c r="C478" s="233" t="n">
        <x:f>IF('دانش‌آموزان'!E44="","",'دانش‌آموزان'!B44)</x:f>
        <x:v>40</x:v>
      </x:c>
      <x:c r="D478" s="233" t="str">
        <x:f>IF('دانش‌آموزان'!C44="","",'دانش‌آموزان'!C44)</x:f>
        <x:v>4000000403</x:v>
      </x:c>
      <x:c r="E478" s="233" t="str">
        <x:f>IF('دانش‌آموزان'!E44="","",'دانش‌آموزان'!E44&amp;" "&amp;'دانش‌آموزان'!F44)</x:f>
        <x:v>آوا کاظمی</x:v>
      </x:c>
      <x:c r="F478" s="166" t="str">
        <x:f>IF('دانش‌آموزان'!I44="","",'دانش‌آموزان'!I44)</x:f>
        <x:v>sample-7-b</x:v>
      </x:c>
      <x:c r="G478" s="114"/>
      <x:c r="H478" s="115"/>
      <x:c r="I478" s="115"/>
      <x:c r="J478" s="115"/>
      <x:c r="K478" s="115"/>
      <x:c r="L478" s="115"/>
      <x:c r="M478" s="115"/>
      <x:c r="N478" s="115"/>
      <x:c r="O478" s="115"/>
      <x:c r="P478" s="115"/>
      <x:c r="Q478" s="115"/>
      <x:c r="R478" s="115"/>
      <x:c r="S478" s="115"/>
      <x:c r="T478" s="115"/>
      <x:c r="U478" s="115"/>
      <x:c r="V478" s="115"/>
      <x:c r="W478" s="115"/>
      <x:c r="X478" s="115"/>
      <x:c r="Y478" s="115"/>
      <x:c r="Z478" s="115"/>
      <x:c r="AA478" s="115"/>
      <x:c r="AB478" s="115"/>
      <x:c r="AC478" s="115"/>
      <x:c r="AD478" s="115"/>
      <x:c r="AE478" s="115"/>
      <x:c r="AF478" s="115"/>
      <x:c r="AG478" s="115"/>
      <x:c r="AH478" s="115"/>
      <x:c r="AI478" s="115"/>
      <x:c r="AJ478" s="115"/>
      <x:c r="AK478" s="115"/>
      <x:c r="AL478" s="115"/>
      <x:c r="AM478" s="115"/>
      <x:c r="AN478" s="115"/>
      <x:c r="AO478" s="115"/>
      <x:c r="AP478" s="115"/>
      <x:c r="AQ478" s="115"/>
      <x:c r="AR478" s="115"/>
      <x:c r="AS478" s="115"/>
      <x:c r="AT478" s="115"/>
      <x:c r="AU478" s="115"/>
      <x:c r="AV478" s="115"/>
      <x:c r="AW478" s="115"/>
      <x:c r="AX478" s="115"/>
      <x:c r="AY478" s="115"/>
      <x:c r="AZ478" s="115"/>
      <x:c r="BA478" s="115"/>
      <x:c r="BB478" s="115"/>
      <x:c r="BC478" s="115"/>
      <x:c r="BD478" s="115"/>
      <x:c r="BE478" s="115"/>
      <x:c r="BF478" s="115"/>
      <x:c r="BG478" s="115"/>
      <x:c r="BH478" s="115"/>
      <x:c r="BI478" s="115"/>
      <x:c r="BJ478" s="115"/>
      <x:c r="BK478" s="115"/>
      <x:c r="BL478" s="115"/>
      <x:c r="BM478" s="115"/>
      <x:c r="BN478" s="115"/>
      <x:c r="BO478" s="115"/>
      <x:c r="BP478" s="115"/>
      <x:c r="BQ478" s="115"/>
      <x:c r="BR478" s="115"/>
      <x:c r="BS478" s="115"/>
      <x:c r="BT478" s="115"/>
      <x:c r="BU478" s="115"/>
      <x:c r="BV478" s="115"/>
      <x:c r="BW478" s="115"/>
      <x:c r="BX478" s="115"/>
      <x:c r="BY478" s="115"/>
      <x:c r="BZ478" s="115"/>
      <x:c r="CA478" s="115"/>
      <x:c r="CB478" s="116"/>
      <x:c r="CC478" s="141" t="str">
        <x:f>IF(COUNT(G478:P478)=0,"",AVERAGE(G478:P478)*4)</x:f>
      </x:c>
      <x:c r="CD478" s="178" t="str">
        <x:f>IF(COUNT(Q478:Z478)=0,"",AVERAGE(Q478:Z478)*4)</x:f>
      </x:c>
      <x:c r="CE478" s="178" t="str">
        <x:f>IF(COUNT(AA478:AJ478)=0,"",AVERAGE(AA478:AJ478)*4)</x:f>
      </x:c>
      <x:c r="CF478" s="178" t="str">
        <x:f>IF(COUNT(AK478:AR478)=0,"",AVERAGE(AK478:AR478)*4)</x:f>
      </x:c>
      <x:c r="CG478" s="178" t="str">
        <x:f>IF(COUNT(AS478:AY478)=0,"",AVERAGE(AS478:AY478)*4)</x:f>
      </x:c>
      <x:c r="CH478" s="178" t="str">
        <x:f>IF(COUNT(AZ478:BG478)=0,"",AVERAGE(AZ478:BG478)*4)</x:f>
      </x:c>
      <x:c r="CI478" s="178" t="str">
        <x:f>IF(COUNT(BH478:BN478)=0,"",AVERAGE(BH478:BN478)*4)</x:f>
      </x:c>
      <x:c r="CJ478" s="178" t="str">
        <x:f>IF(COUNT(BO478:BU478)=0,"",AVERAGE(BO478:BU478)*4)</x:f>
      </x:c>
      <x:c r="CK478" s="178" t="str">
        <x:f>IF(COUNT(BV478:CB478)=0,"",AVERAGE(BV478:CB478)*4)</x:f>
      </x:c>
      <x:c r="CL478" s="178" t="str">
        <x:f>IF(C478="","",IF(COUNT(G478:CB478)&lt;74,"",(CC478*'تنظیمات وزن‌دهی'!$C$5+CD478*'تنظیمات وزن‌دهی'!$C$6+CE478*'تنظیمات وزن‌دهی'!$C$7+CF478*'تنظیمات وزن‌دهی'!$C$8+CG478*'تنظیمات وزن‌دهی'!$C$9+CH478*'تنظیمات وزن‌دهی'!$C$10+CI478*'تنظیمات وزن‌دهی'!$C$11+CJ478*'تنظیمات وزن‌دهی'!$C$12+CK478*'تنظیمات وزن‌دهی'!$C$13)/100))</x:f>
      </x:c>
      <x:c r="CM478" s="178" t="str">
        <x:f>IF(C478="","",IF(COUNT(G478:CB478)=0,"",IF(COUNT(G478:CB478)&lt;74,"موقت - اطلاعات ناقص",IF(CL478&gt;=17,"عالی",IF(CL478&gt;=14,"خوب",IF(CL478&gt;=10,"متوسط","ضعیف"))))))</x:f>
      </x:c>
      <x:c r="CN478" s="178" t="n">
        <x:v>6</x:v>
      </x:c>
      <x:c r="CO478" s="142" t="n">
        <x:f>IF(C478="","",COUNT(G478:CB478)/74)</x:f>
        <x:v>0</x:v>
      </x:c>
      <x:c r="CP478" s="245"/>
    </x:row>
    <x:row r="479">
      <x:c r="A479" s="165" t="n">
        <x:v>475</x:v>
      </x:c>
      <x:c r="B479" s="233" t="str">
        <x:v>دی</x:v>
      </x:c>
      <x:c r="C479" s="233" t="n">
        <x:f>IF('دانش‌آموزان'!E44="","",'دانش‌آموزان'!B44)</x:f>
        <x:v>40</x:v>
      </x:c>
      <x:c r="D479" s="233" t="str">
        <x:f>IF('دانش‌آموزان'!C44="","",'دانش‌آموزان'!C44)</x:f>
        <x:v>4000000403</x:v>
      </x:c>
      <x:c r="E479" s="233" t="str">
        <x:f>IF('دانش‌آموزان'!E44="","",'دانش‌آموزان'!E44&amp;" "&amp;'دانش‌آموزان'!F44)</x:f>
        <x:v>آوا کاظمی</x:v>
      </x:c>
      <x:c r="F479" s="166" t="str">
        <x:f>IF('دانش‌آموزان'!I44="","",'دانش‌آموزان'!I44)</x:f>
        <x:v>sample-7-b</x:v>
      </x:c>
      <x:c r="G479" s="114"/>
      <x:c r="H479" s="115"/>
      <x:c r="I479" s="115"/>
      <x:c r="J479" s="115"/>
      <x:c r="K479" s="115"/>
      <x:c r="L479" s="115"/>
      <x:c r="M479" s="115"/>
      <x:c r="N479" s="115"/>
      <x:c r="O479" s="115"/>
      <x:c r="P479" s="115"/>
      <x:c r="Q479" s="115"/>
      <x:c r="R479" s="115"/>
      <x:c r="S479" s="115"/>
      <x:c r="T479" s="115"/>
      <x:c r="U479" s="115"/>
      <x:c r="V479" s="115"/>
      <x:c r="W479" s="115"/>
      <x:c r="X479" s="115"/>
      <x:c r="Y479" s="115"/>
      <x:c r="Z479" s="115"/>
      <x:c r="AA479" s="115"/>
      <x:c r="AB479" s="115"/>
      <x:c r="AC479" s="115"/>
      <x:c r="AD479" s="115"/>
      <x:c r="AE479" s="115"/>
      <x:c r="AF479" s="115"/>
      <x:c r="AG479" s="115"/>
      <x:c r="AH479" s="115"/>
      <x:c r="AI479" s="115"/>
      <x:c r="AJ479" s="115"/>
      <x:c r="AK479" s="115"/>
      <x:c r="AL479" s="115"/>
      <x:c r="AM479" s="115"/>
      <x:c r="AN479" s="115"/>
      <x:c r="AO479" s="115"/>
      <x:c r="AP479" s="115"/>
      <x:c r="AQ479" s="115"/>
      <x:c r="AR479" s="115"/>
      <x:c r="AS479" s="115"/>
      <x:c r="AT479" s="115"/>
      <x:c r="AU479" s="115"/>
      <x:c r="AV479" s="115"/>
      <x:c r="AW479" s="115"/>
      <x:c r="AX479" s="115"/>
      <x:c r="AY479" s="115"/>
      <x:c r="AZ479" s="115"/>
      <x:c r="BA479" s="115"/>
      <x:c r="BB479" s="115"/>
      <x:c r="BC479" s="115"/>
      <x:c r="BD479" s="115"/>
      <x:c r="BE479" s="115"/>
      <x:c r="BF479" s="115"/>
      <x:c r="BG479" s="115"/>
      <x:c r="BH479" s="115"/>
      <x:c r="BI479" s="115"/>
      <x:c r="BJ479" s="115"/>
      <x:c r="BK479" s="115"/>
      <x:c r="BL479" s="115"/>
      <x:c r="BM479" s="115"/>
      <x:c r="BN479" s="115"/>
      <x:c r="BO479" s="115"/>
      <x:c r="BP479" s="115"/>
      <x:c r="BQ479" s="115"/>
      <x:c r="BR479" s="115"/>
      <x:c r="BS479" s="115"/>
      <x:c r="BT479" s="115"/>
      <x:c r="BU479" s="115"/>
      <x:c r="BV479" s="115"/>
      <x:c r="BW479" s="115"/>
      <x:c r="BX479" s="115"/>
      <x:c r="BY479" s="115"/>
      <x:c r="BZ479" s="115"/>
      <x:c r="CA479" s="115"/>
      <x:c r="CB479" s="116"/>
      <x:c r="CC479" s="141" t="str">
        <x:f>IF(COUNT(G479:P479)=0,"",AVERAGE(G479:P479)*4)</x:f>
      </x:c>
      <x:c r="CD479" s="178" t="str">
        <x:f>IF(COUNT(Q479:Z479)=0,"",AVERAGE(Q479:Z479)*4)</x:f>
      </x:c>
      <x:c r="CE479" s="178" t="str">
        <x:f>IF(COUNT(AA479:AJ479)=0,"",AVERAGE(AA479:AJ479)*4)</x:f>
      </x:c>
      <x:c r="CF479" s="178" t="str">
        <x:f>IF(COUNT(AK479:AR479)=0,"",AVERAGE(AK479:AR479)*4)</x:f>
      </x:c>
      <x:c r="CG479" s="178" t="str">
        <x:f>IF(COUNT(AS479:AY479)=0,"",AVERAGE(AS479:AY479)*4)</x:f>
      </x:c>
      <x:c r="CH479" s="178" t="str">
        <x:f>IF(COUNT(AZ479:BG479)=0,"",AVERAGE(AZ479:BG479)*4)</x:f>
      </x:c>
      <x:c r="CI479" s="178" t="str">
        <x:f>IF(COUNT(BH479:BN479)=0,"",AVERAGE(BH479:BN479)*4)</x:f>
      </x:c>
      <x:c r="CJ479" s="178" t="str">
        <x:f>IF(COUNT(BO479:BU479)=0,"",AVERAGE(BO479:BU479)*4)</x:f>
      </x:c>
      <x:c r="CK479" s="178" t="str">
        <x:f>IF(COUNT(BV479:CB479)=0,"",AVERAGE(BV479:CB479)*4)</x:f>
      </x:c>
      <x:c r="CL479" s="178" t="str">
        <x:f>IF(C479="","",IF(COUNT(G479:CB479)&lt;74,"",(CC479*'تنظیمات وزن‌دهی'!$C$5+CD479*'تنظیمات وزن‌دهی'!$C$6+CE479*'تنظیمات وزن‌دهی'!$C$7+CF479*'تنظیمات وزن‌دهی'!$C$8+CG479*'تنظیمات وزن‌دهی'!$C$9+CH479*'تنظیمات وزن‌دهی'!$C$10+CI479*'تنظیمات وزن‌دهی'!$C$11+CJ479*'تنظیمات وزن‌دهی'!$C$12+CK479*'تنظیمات وزن‌دهی'!$C$13)/100))</x:f>
      </x:c>
      <x:c r="CM479" s="178" t="str">
        <x:f>IF(C479="","",IF(COUNT(G479:CB479)=0,"",IF(COUNT(G479:CB479)&lt;74,"موقت - اطلاعات ناقص",IF(CL479&gt;=17,"عالی",IF(CL479&gt;=14,"خوب",IF(CL479&gt;=10,"متوسط","ضعیف"))))))</x:f>
      </x:c>
      <x:c r="CN479" s="178" t="n">
        <x:v>7</x:v>
      </x:c>
      <x:c r="CO479" s="142" t="n">
        <x:f>IF(C479="","",COUNT(G479:CB479)/74)</x:f>
        <x:v>0</x:v>
      </x:c>
      <x:c r="CP479" s="245"/>
    </x:row>
    <x:row r="480">
      <x:c r="A480" s="165" t="n">
        <x:v>476</x:v>
      </x:c>
      <x:c r="B480" s="233" t="str">
        <x:v>بهمن</x:v>
      </x:c>
      <x:c r="C480" s="233" t="n">
        <x:f>IF('دانش‌آموزان'!E44="","",'دانش‌آموزان'!B44)</x:f>
        <x:v>40</x:v>
      </x:c>
      <x:c r="D480" s="233" t="str">
        <x:f>IF('دانش‌آموزان'!C44="","",'دانش‌آموزان'!C44)</x:f>
        <x:v>4000000403</x:v>
      </x:c>
      <x:c r="E480" s="233" t="str">
        <x:f>IF('دانش‌آموزان'!E44="","",'دانش‌آموزان'!E44&amp;" "&amp;'دانش‌آموزان'!F44)</x:f>
        <x:v>آوا کاظمی</x:v>
      </x:c>
      <x:c r="F480" s="166" t="str">
        <x:f>IF('دانش‌آموزان'!I44="","",'دانش‌آموزان'!I44)</x:f>
        <x:v>sample-7-b</x:v>
      </x:c>
      <x:c r="G480" s="114"/>
      <x:c r="H480" s="115"/>
      <x:c r="I480" s="115"/>
      <x:c r="J480" s="115"/>
      <x:c r="K480" s="115"/>
      <x:c r="L480" s="115"/>
      <x:c r="M480" s="115"/>
      <x:c r="N480" s="115"/>
      <x:c r="O480" s="115"/>
      <x:c r="P480" s="115"/>
      <x:c r="Q480" s="115"/>
      <x:c r="R480" s="115"/>
      <x:c r="S480" s="115"/>
      <x:c r="T480" s="115"/>
      <x:c r="U480" s="115"/>
      <x:c r="V480" s="115"/>
      <x:c r="W480" s="115"/>
      <x:c r="X480" s="115"/>
      <x:c r="Y480" s="115"/>
      <x:c r="Z480" s="115"/>
      <x:c r="AA480" s="115"/>
      <x:c r="AB480" s="115"/>
      <x:c r="AC480" s="115"/>
      <x:c r="AD480" s="115"/>
      <x:c r="AE480" s="115"/>
      <x:c r="AF480" s="115"/>
      <x:c r="AG480" s="115"/>
      <x:c r="AH480" s="115"/>
      <x:c r="AI480" s="115"/>
      <x:c r="AJ480" s="115"/>
      <x:c r="AK480" s="115"/>
      <x:c r="AL480" s="115"/>
      <x:c r="AM480" s="115"/>
      <x:c r="AN480" s="115"/>
      <x:c r="AO480" s="115"/>
      <x:c r="AP480" s="115"/>
      <x:c r="AQ480" s="115"/>
      <x:c r="AR480" s="115"/>
      <x:c r="AS480" s="115"/>
      <x:c r="AT480" s="115"/>
      <x:c r="AU480" s="115"/>
      <x:c r="AV480" s="115"/>
      <x:c r="AW480" s="115"/>
      <x:c r="AX480" s="115"/>
      <x:c r="AY480" s="115"/>
      <x:c r="AZ480" s="115"/>
      <x:c r="BA480" s="115"/>
      <x:c r="BB480" s="115"/>
      <x:c r="BC480" s="115"/>
      <x:c r="BD480" s="115"/>
      <x:c r="BE480" s="115"/>
      <x:c r="BF480" s="115"/>
      <x:c r="BG480" s="115"/>
      <x:c r="BH480" s="115"/>
      <x:c r="BI480" s="115"/>
      <x:c r="BJ480" s="115"/>
      <x:c r="BK480" s="115"/>
      <x:c r="BL480" s="115"/>
      <x:c r="BM480" s="115"/>
      <x:c r="BN480" s="115"/>
      <x:c r="BO480" s="115"/>
      <x:c r="BP480" s="115"/>
      <x:c r="BQ480" s="115"/>
      <x:c r="BR480" s="115"/>
      <x:c r="BS480" s="115"/>
      <x:c r="BT480" s="115"/>
      <x:c r="BU480" s="115"/>
      <x:c r="BV480" s="115"/>
      <x:c r="BW480" s="115"/>
      <x:c r="BX480" s="115"/>
      <x:c r="BY480" s="115"/>
      <x:c r="BZ480" s="115"/>
      <x:c r="CA480" s="115"/>
      <x:c r="CB480" s="116"/>
      <x:c r="CC480" s="141" t="str">
        <x:f>IF(COUNT(G480:P480)=0,"",AVERAGE(G480:P480)*4)</x:f>
      </x:c>
      <x:c r="CD480" s="178" t="str">
        <x:f>IF(COUNT(Q480:Z480)=0,"",AVERAGE(Q480:Z480)*4)</x:f>
      </x:c>
      <x:c r="CE480" s="178" t="str">
        <x:f>IF(COUNT(AA480:AJ480)=0,"",AVERAGE(AA480:AJ480)*4)</x:f>
      </x:c>
      <x:c r="CF480" s="178" t="str">
        <x:f>IF(COUNT(AK480:AR480)=0,"",AVERAGE(AK480:AR480)*4)</x:f>
      </x:c>
      <x:c r="CG480" s="178" t="str">
        <x:f>IF(COUNT(AS480:AY480)=0,"",AVERAGE(AS480:AY480)*4)</x:f>
      </x:c>
      <x:c r="CH480" s="178" t="str">
        <x:f>IF(COUNT(AZ480:BG480)=0,"",AVERAGE(AZ480:BG480)*4)</x:f>
      </x:c>
      <x:c r="CI480" s="178" t="str">
        <x:f>IF(COUNT(BH480:BN480)=0,"",AVERAGE(BH480:BN480)*4)</x:f>
      </x:c>
      <x:c r="CJ480" s="178" t="str">
        <x:f>IF(COUNT(BO480:BU480)=0,"",AVERAGE(BO480:BU480)*4)</x:f>
      </x:c>
      <x:c r="CK480" s="178" t="str">
        <x:f>IF(COUNT(BV480:CB480)=0,"",AVERAGE(BV480:CB480)*4)</x:f>
      </x:c>
      <x:c r="CL480" s="178" t="str">
        <x:f>IF(C480="","",IF(COUNT(G480:CB480)&lt;74,"",(CC480*'تنظیمات وزن‌دهی'!$C$5+CD480*'تنظیمات وزن‌دهی'!$C$6+CE480*'تنظیمات وزن‌دهی'!$C$7+CF480*'تنظیمات وزن‌دهی'!$C$8+CG480*'تنظیمات وزن‌دهی'!$C$9+CH480*'تنظیمات وزن‌دهی'!$C$10+CI480*'تنظیمات وزن‌دهی'!$C$11+CJ480*'تنظیمات وزن‌دهی'!$C$12+CK480*'تنظیمات وزن‌دهی'!$C$13)/100))</x:f>
      </x:c>
      <x:c r="CM480" s="178" t="str">
        <x:f>IF(C480="","",IF(COUNT(G480:CB480)=0,"",IF(COUNT(G480:CB480)&lt;74,"موقت - اطلاعات ناقص",IF(CL480&gt;=17,"عالی",IF(CL480&gt;=14,"خوب",IF(CL480&gt;=10,"متوسط","ضعیف"))))))</x:f>
      </x:c>
      <x:c r="CN480" s="178" t="n">
        <x:v>8</x:v>
      </x:c>
      <x:c r="CO480" s="142" t="n">
        <x:f>IF(C480="","",COUNT(G480:CB480)/74)</x:f>
        <x:v>0</x:v>
      </x:c>
      <x:c r="CP480" s="245"/>
    </x:row>
    <x:row r="481">
      <x:c r="A481" s="165" t="n">
        <x:v>477</x:v>
      </x:c>
      <x:c r="B481" s="233" t="str">
        <x:v>اسفند</x:v>
      </x:c>
      <x:c r="C481" s="233" t="n">
        <x:f>IF('دانش‌آموزان'!E44="","",'دانش‌آموزان'!B44)</x:f>
        <x:v>40</x:v>
      </x:c>
      <x:c r="D481" s="233" t="str">
        <x:f>IF('دانش‌آموزان'!C44="","",'دانش‌آموزان'!C44)</x:f>
        <x:v>4000000403</x:v>
      </x:c>
      <x:c r="E481" s="233" t="str">
        <x:f>IF('دانش‌آموزان'!E44="","",'دانش‌آموزان'!E44&amp;" "&amp;'دانش‌آموزان'!F44)</x:f>
        <x:v>آوا کاظمی</x:v>
      </x:c>
      <x:c r="F481" s="166" t="str">
        <x:f>IF('دانش‌آموزان'!I44="","",'دانش‌آموزان'!I44)</x:f>
        <x:v>sample-7-b</x:v>
      </x:c>
      <x:c r="G481" s="114"/>
      <x:c r="H481" s="115"/>
      <x:c r="I481" s="115"/>
      <x:c r="J481" s="115"/>
      <x:c r="K481" s="115"/>
      <x:c r="L481" s="115"/>
      <x:c r="M481" s="115"/>
      <x:c r="N481" s="115"/>
      <x:c r="O481" s="115"/>
      <x:c r="P481" s="115"/>
      <x:c r="Q481" s="115"/>
      <x:c r="R481" s="115"/>
      <x:c r="S481" s="115"/>
      <x:c r="T481" s="115"/>
      <x:c r="U481" s="115"/>
      <x:c r="V481" s="115"/>
      <x:c r="W481" s="115"/>
      <x:c r="X481" s="115"/>
      <x:c r="Y481" s="115"/>
      <x:c r="Z481" s="115"/>
      <x:c r="AA481" s="115"/>
      <x:c r="AB481" s="115"/>
      <x:c r="AC481" s="115"/>
      <x:c r="AD481" s="115"/>
      <x:c r="AE481" s="115"/>
      <x:c r="AF481" s="115"/>
      <x:c r="AG481" s="115"/>
      <x:c r="AH481" s="115"/>
      <x:c r="AI481" s="115"/>
      <x:c r="AJ481" s="115"/>
      <x:c r="AK481" s="115"/>
      <x:c r="AL481" s="115"/>
      <x:c r="AM481" s="115"/>
      <x:c r="AN481" s="115"/>
      <x:c r="AO481" s="115"/>
      <x:c r="AP481" s="115"/>
      <x:c r="AQ481" s="115"/>
      <x:c r="AR481" s="115"/>
      <x:c r="AS481" s="115"/>
      <x:c r="AT481" s="115"/>
      <x:c r="AU481" s="115"/>
      <x:c r="AV481" s="115"/>
      <x:c r="AW481" s="115"/>
      <x:c r="AX481" s="115"/>
      <x:c r="AY481" s="115"/>
      <x:c r="AZ481" s="115"/>
      <x:c r="BA481" s="115"/>
      <x:c r="BB481" s="115"/>
      <x:c r="BC481" s="115"/>
      <x:c r="BD481" s="115"/>
      <x:c r="BE481" s="115"/>
      <x:c r="BF481" s="115"/>
      <x:c r="BG481" s="115"/>
      <x:c r="BH481" s="115"/>
      <x:c r="BI481" s="115"/>
      <x:c r="BJ481" s="115"/>
      <x:c r="BK481" s="115"/>
      <x:c r="BL481" s="115"/>
      <x:c r="BM481" s="115"/>
      <x:c r="BN481" s="115"/>
      <x:c r="BO481" s="115"/>
      <x:c r="BP481" s="115"/>
      <x:c r="BQ481" s="115"/>
      <x:c r="BR481" s="115"/>
      <x:c r="BS481" s="115"/>
      <x:c r="BT481" s="115"/>
      <x:c r="BU481" s="115"/>
      <x:c r="BV481" s="115"/>
      <x:c r="BW481" s="115"/>
      <x:c r="BX481" s="115"/>
      <x:c r="BY481" s="115"/>
      <x:c r="BZ481" s="115"/>
      <x:c r="CA481" s="115"/>
      <x:c r="CB481" s="116"/>
      <x:c r="CC481" s="141" t="str">
        <x:f>IF(COUNT(G481:P481)=0,"",AVERAGE(G481:P481)*4)</x:f>
      </x:c>
      <x:c r="CD481" s="178" t="str">
        <x:f>IF(COUNT(Q481:Z481)=0,"",AVERAGE(Q481:Z481)*4)</x:f>
      </x:c>
      <x:c r="CE481" s="178" t="str">
        <x:f>IF(COUNT(AA481:AJ481)=0,"",AVERAGE(AA481:AJ481)*4)</x:f>
      </x:c>
      <x:c r="CF481" s="178" t="str">
        <x:f>IF(COUNT(AK481:AR481)=0,"",AVERAGE(AK481:AR481)*4)</x:f>
      </x:c>
      <x:c r="CG481" s="178" t="str">
        <x:f>IF(COUNT(AS481:AY481)=0,"",AVERAGE(AS481:AY481)*4)</x:f>
      </x:c>
      <x:c r="CH481" s="178" t="str">
        <x:f>IF(COUNT(AZ481:BG481)=0,"",AVERAGE(AZ481:BG481)*4)</x:f>
      </x:c>
      <x:c r="CI481" s="178" t="str">
        <x:f>IF(COUNT(BH481:BN481)=0,"",AVERAGE(BH481:BN481)*4)</x:f>
      </x:c>
      <x:c r="CJ481" s="178" t="str">
        <x:f>IF(COUNT(BO481:BU481)=0,"",AVERAGE(BO481:BU481)*4)</x:f>
      </x:c>
      <x:c r="CK481" s="178" t="str">
        <x:f>IF(COUNT(BV481:CB481)=0,"",AVERAGE(BV481:CB481)*4)</x:f>
      </x:c>
      <x:c r="CL481" s="178" t="str">
        <x:f>IF(C481="","",IF(COUNT(G481:CB481)&lt;74,"",(CC481*'تنظیمات وزن‌دهی'!$C$5+CD481*'تنظیمات وزن‌دهی'!$C$6+CE481*'تنظیمات وزن‌دهی'!$C$7+CF481*'تنظیمات وزن‌دهی'!$C$8+CG481*'تنظیمات وزن‌دهی'!$C$9+CH481*'تنظیمات وزن‌دهی'!$C$10+CI481*'تنظیمات وزن‌دهی'!$C$11+CJ481*'تنظیمات وزن‌دهی'!$C$12+CK481*'تنظیمات وزن‌دهی'!$C$13)/100))</x:f>
      </x:c>
      <x:c r="CM481" s="178" t="str">
        <x:f>IF(C481="","",IF(COUNT(G481:CB481)=0,"",IF(COUNT(G481:CB481)&lt;74,"موقت - اطلاعات ناقص",IF(CL481&gt;=17,"عالی",IF(CL481&gt;=14,"خوب",IF(CL481&gt;=10,"متوسط","ضعیف"))))))</x:f>
      </x:c>
      <x:c r="CN481" s="178" t="n">
        <x:v>9</x:v>
      </x:c>
      <x:c r="CO481" s="142" t="n">
        <x:f>IF(C481="","",COUNT(G481:CB481)/74)</x:f>
        <x:v>0</x:v>
      </x:c>
      <x:c r="CP481" s="245"/>
    </x:row>
    <x:row r="482">
      <x:c r="A482" s="165" t="n">
        <x:v>478</x:v>
      </x:c>
      <x:c r="B482" s="233" t="str">
        <x:v>فروردین</x:v>
      </x:c>
      <x:c r="C482" s="233" t="n">
        <x:f>IF('دانش‌آموزان'!E44="","",'دانش‌آموزان'!B44)</x:f>
        <x:v>40</x:v>
      </x:c>
      <x:c r="D482" s="233" t="str">
        <x:f>IF('دانش‌آموزان'!C44="","",'دانش‌آموزان'!C44)</x:f>
        <x:v>4000000403</x:v>
      </x:c>
      <x:c r="E482" s="233" t="str">
        <x:f>IF('دانش‌آموزان'!E44="","",'دانش‌آموزان'!E44&amp;" "&amp;'دانش‌آموزان'!F44)</x:f>
        <x:v>آوا کاظمی</x:v>
      </x:c>
      <x:c r="F482" s="166" t="str">
        <x:f>IF('دانش‌آموزان'!I44="","",'دانش‌آموزان'!I44)</x:f>
        <x:v>sample-7-b</x:v>
      </x:c>
      <x:c r="G482" s="114"/>
      <x:c r="H482" s="115"/>
      <x:c r="I482" s="115"/>
      <x:c r="J482" s="115"/>
      <x:c r="K482" s="115"/>
      <x:c r="L482" s="115"/>
      <x:c r="M482" s="115"/>
      <x:c r="N482" s="115"/>
      <x:c r="O482" s="115"/>
      <x:c r="P482" s="115"/>
      <x:c r="Q482" s="115"/>
      <x:c r="R482" s="115"/>
      <x:c r="S482" s="115"/>
      <x:c r="T482" s="115"/>
      <x:c r="U482" s="115"/>
      <x:c r="V482" s="115"/>
      <x:c r="W482" s="115"/>
      <x:c r="X482" s="115"/>
      <x:c r="Y482" s="115"/>
      <x:c r="Z482" s="115"/>
      <x:c r="AA482" s="115"/>
      <x:c r="AB482" s="115"/>
      <x:c r="AC482" s="115"/>
      <x:c r="AD482" s="115"/>
      <x:c r="AE482" s="115"/>
      <x:c r="AF482" s="115"/>
      <x:c r="AG482" s="115"/>
      <x:c r="AH482" s="115"/>
      <x:c r="AI482" s="115"/>
      <x:c r="AJ482" s="115"/>
      <x:c r="AK482" s="115"/>
      <x:c r="AL482" s="115"/>
      <x:c r="AM482" s="115"/>
      <x:c r="AN482" s="115"/>
      <x:c r="AO482" s="115"/>
      <x:c r="AP482" s="115"/>
      <x:c r="AQ482" s="115"/>
      <x:c r="AR482" s="115"/>
      <x:c r="AS482" s="115"/>
      <x:c r="AT482" s="115"/>
      <x:c r="AU482" s="115"/>
      <x:c r="AV482" s="115"/>
      <x:c r="AW482" s="115"/>
      <x:c r="AX482" s="115"/>
      <x:c r="AY482" s="115"/>
      <x:c r="AZ482" s="115"/>
      <x:c r="BA482" s="115"/>
      <x:c r="BB482" s="115"/>
      <x:c r="BC482" s="115"/>
      <x:c r="BD482" s="115"/>
      <x:c r="BE482" s="115"/>
      <x:c r="BF482" s="115"/>
      <x:c r="BG482" s="115"/>
      <x:c r="BH482" s="115"/>
      <x:c r="BI482" s="115"/>
      <x:c r="BJ482" s="115"/>
      <x:c r="BK482" s="115"/>
      <x:c r="BL482" s="115"/>
      <x:c r="BM482" s="115"/>
      <x:c r="BN482" s="115"/>
      <x:c r="BO482" s="115"/>
      <x:c r="BP482" s="115"/>
      <x:c r="BQ482" s="115"/>
      <x:c r="BR482" s="115"/>
      <x:c r="BS482" s="115"/>
      <x:c r="BT482" s="115"/>
      <x:c r="BU482" s="115"/>
      <x:c r="BV482" s="115"/>
      <x:c r="BW482" s="115"/>
      <x:c r="BX482" s="115"/>
      <x:c r="BY482" s="115"/>
      <x:c r="BZ482" s="115"/>
      <x:c r="CA482" s="115"/>
      <x:c r="CB482" s="116"/>
      <x:c r="CC482" s="141" t="str">
        <x:f>IF(COUNT(G482:P482)=0,"",AVERAGE(G482:P482)*4)</x:f>
      </x:c>
      <x:c r="CD482" s="178" t="str">
        <x:f>IF(COUNT(Q482:Z482)=0,"",AVERAGE(Q482:Z482)*4)</x:f>
      </x:c>
      <x:c r="CE482" s="178" t="str">
        <x:f>IF(COUNT(AA482:AJ482)=0,"",AVERAGE(AA482:AJ482)*4)</x:f>
      </x:c>
      <x:c r="CF482" s="178" t="str">
        <x:f>IF(COUNT(AK482:AR482)=0,"",AVERAGE(AK482:AR482)*4)</x:f>
      </x:c>
      <x:c r="CG482" s="178" t="str">
        <x:f>IF(COUNT(AS482:AY482)=0,"",AVERAGE(AS482:AY482)*4)</x:f>
      </x:c>
      <x:c r="CH482" s="178" t="str">
        <x:f>IF(COUNT(AZ482:BG482)=0,"",AVERAGE(AZ482:BG482)*4)</x:f>
      </x:c>
      <x:c r="CI482" s="178" t="str">
        <x:f>IF(COUNT(BH482:BN482)=0,"",AVERAGE(BH482:BN482)*4)</x:f>
      </x:c>
      <x:c r="CJ482" s="178" t="str">
        <x:f>IF(COUNT(BO482:BU482)=0,"",AVERAGE(BO482:BU482)*4)</x:f>
      </x:c>
      <x:c r="CK482" s="178" t="str">
        <x:f>IF(COUNT(BV482:CB482)=0,"",AVERAGE(BV482:CB482)*4)</x:f>
      </x:c>
      <x:c r="CL482" s="178" t="str">
        <x:f>IF(C482="","",IF(COUNT(G482:CB482)&lt;74,"",(CC482*'تنظیمات وزن‌دهی'!$C$5+CD482*'تنظیمات وزن‌دهی'!$C$6+CE482*'تنظیمات وزن‌دهی'!$C$7+CF482*'تنظیمات وزن‌دهی'!$C$8+CG482*'تنظیمات وزن‌دهی'!$C$9+CH482*'تنظیمات وزن‌دهی'!$C$10+CI482*'تنظیمات وزن‌دهی'!$C$11+CJ482*'تنظیمات وزن‌دهی'!$C$12+CK482*'تنظیمات وزن‌دهی'!$C$13)/100))</x:f>
      </x:c>
      <x:c r="CM482" s="178" t="str">
        <x:f>IF(C482="","",IF(COUNT(G482:CB482)=0,"",IF(COUNT(G482:CB482)&lt;74,"موقت - اطلاعات ناقص",IF(CL482&gt;=17,"عالی",IF(CL482&gt;=14,"خوب",IF(CL482&gt;=10,"متوسط","ضعیف"))))))</x:f>
      </x:c>
      <x:c r="CN482" s="178" t="n">
        <x:v>10</x:v>
      </x:c>
      <x:c r="CO482" s="142" t="n">
        <x:f>IF(C482="","",COUNT(G482:CB482)/74)</x:f>
        <x:v>0</x:v>
      </x:c>
      <x:c r="CP482" s="245"/>
    </x:row>
    <x:row r="483">
      <x:c r="A483" s="165" t="n">
        <x:v>479</x:v>
      </x:c>
      <x:c r="B483" s="233" t="str">
        <x:v>اردیبهشت</x:v>
      </x:c>
      <x:c r="C483" s="233" t="n">
        <x:f>IF('دانش‌آموزان'!E44="","",'دانش‌آموزان'!B44)</x:f>
        <x:v>40</x:v>
      </x:c>
      <x:c r="D483" s="233" t="str">
        <x:f>IF('دانش‌آموزان'!C44="","",'دانش‌آموزان'!C44)</x:f>
        <x:v>4000000403</x:v>
      </x:c>
      <x:c r="E483" s="233" t="str">
        <x:f>IF('دانش‌آموزان'!E44="","",'دانش‌آموزان'!E44&amp;" "&amp;'دانش‌آموزان'!F44)</x:f>
        <x:v>آوا کاظمی</x:v>
      </x:c>
      <x:c r="F483" s="166" t="str">
        <x:f>IF('دانش‌آموزان'!I44="","",'دانش‌آموزان'!I44)</x:f>
        <x:v>sample-7-b</x:v>
      </x:c>
      <x:c r="G483" s="114"/>
      <x:c r="H483" s="115"/>
      <x:c r="I483" s="115"/>
      <x:c r="J483" s="115"/>
      <x:c r="K483" s="115"/>
      <x:c r="L483" s="115"/>
      <x:c r="M483" s="115"/>
      <x:c r="N483" s="115"/>
      <x:c r="O483" s="115"/>
      <x:c r="P483" s="115"/>
      <x:c r="Q483" s="115"/>
      <x:c r="R483" s="115"/>
      <x:c r="S483" s="115"/>
      <x:c r="T483" s="115"/>
      <x:c r="U483" s="115"/>
      <x:c r="V483" s="115"/>
      <x:c r="W483" s="115"/>
      <x:c r="X483" s="115"/>
      <x:c r="Y483" s="115"/>
      <x:c r="Z483" s="115"/>
      <x:c r="AA483" s="115"/>
      <x:c r="AB483" s="115"/>
      <x:c r="AC483" s="115"/>
      <x:c r="AD483" s="115"/>
      <x:c r="AE483" s="115"/>
      <x:c r="AF483" s="115"/>
      <x:c r="AG483" s="115"/>
      <x:c r="AH483" s="115"/>
      <x:c r="AI483" s="115"/>
      <x:c r="AJ483" s="115"/>
      <x:c r="AK483" s="115"/>
      <x:c r="AL483" s="115"/>
      <x:c r="AM483" s="115"/>
      <x:c r="AN483" s="115"/>
      <x:c r="AO483" s="115"/>
      <x:c r="AP483" s="115"/>
      <x:c r="AQ483" s="115"/>
      <x:c r="AR483" s="115"/>
      <x:c r="AS483" s="115"/>
      <x:c r="AT483" s="115"/>
      <x:c r="AU483" s="115"/>
      <x:c r="AV483" s="115"/>
      <x:c r="AW483" s="115"/>
      <x:c r="AX483" s="115"/>
      <x:c r="AY483" s="115"/>
      <x:c r="AZ483" s="115"/>
      <x:c r="BA483" s="115"/>
      <x:c r="BB483" s="115"/>
      <x:c r="BC483" s="115"/>
      <x:c r="BD483" s="115"/>
      <x:c r="BE483" s="115"/>
      <x:c r="BF483" s="115"/>
      <x:c r="BG483" s="115"/>
      <x:c r="BH483" s="115"/>
      <x:c r="BI483" s="115"/>
      <x:c r="BJ483" s="115"/>
      <x:c r="BK483" s="115"/>
      <x:c r="BL483" s="115"/>
      <x:c r="BM483" s="115"/>
      <x:c r="BN483" s="115"/>
      <x:c r="BO483" s="115"/>
      <x:c r="BP483" s="115"/>
      <x:c r="BQ483" s="115"/>
      <x:c r="BR483" s="115"/>
      <x:c r="BS483" s="115"/>
      <x:c r="BT483" s="115"/>
      <x:c r="BU483" s="115"/>
      <x:c r="BV483" s="115"/>
      <x:c r="BW483" s="115"/>
      <x:c r="BX483" s="115"/>
      <x:c r="BY483" s="115"/>
      <x:c r="BZ483" s="115"/>
      <x:c r="CA483" s="115"/>
      <x:c r="CB483" s="116"/>
      <x:c r="CC483" s="141" t="str">
        <x:f>IF(COUNT(G483:P483)=0,"",AVERAGE(G483:P483)*4)</x:f>
      </x:c>
      <x:c r="CD483" s="178" t="str">
        <x:f>IF(COUNT(Q483:Z483)=0,"",AVERAGE(Q483:Z483)*4)</x:f>
      </x:c>
      <x:c r="CE483" s="178" t="str">
        <x:f>IF(COUNT(AA483:AJ483)=0,"",AVERAGE(AA483:AJ483)*4)</x:f>
      </x:c>
      <x:c r="CF483" s="178" t="str">
        <x:f>IF(COUNT(AK483:AR483)=0,"",AVERAGE(AK483:AR483)*4)</x:f>
      </x:c>
      <x:c r="CG483" s="178" t="str">
        <x:f>IF(COUNT(AS483:AY483)=0,"",AVERAGE(AS483:AY483)*4)</x:f>
      </x:c>
      <x:c r="CH483" s="178" t="str">
        <x:f>IF(COUNT(AZ483:BG483)=0,"",AVERAGE(AZ483:BG483)*4)</x:f>
      </x:c>
      <x:c r="CI483" s="178" t="str">
        <x:f>IF(COUNT(BH483:BN483)=0,"",AVERAGE(BH483:BN483)*4)</x:f>
      </x:c>
      <x:c r="CJ483" s="178" t="str">
        <x:f>IF(COUNT(BO483:BU483)=0,"",AVERAGE(BO483:BU483)*4)</x:f>
      </x:c>
      <x:c r="CK483" s="178" t="str">
        <x:f>IF(COUNT(BV483:CB483)=0,"",AVERAGE(BV483:CB483)*4)</x:f>
      </x:c>
      <x:c r="CL483" s="178" t="str">
        <x:f>IF(C483="","",IF(COUNT(G483:CB483)&lt;74,"",(CC483*'تنظیمات وزن‌دهی'!$C$5+CD483*'تنظیمات وزن‌دهی'!$C$6+CE483*'تنظیمات وزن‌دهی'!$C$7+CF483*'تنظیمات وزن‌دهی'!$C$8+CG483*'تنظیمات وزن‌دهی'!$C$9+CH483*'تنظیمات وزن‌دهی'!$C$10+CI483*'تنظیمات وزن‌دهی'!$C$11+CJ483*'تنظیمات وزن‌دهی'!$C$12+CK483*'تنظیمات وزن‌دهی'!$C$13)/100))</x:f>
      </x:c>
      <x:c r="CM483" s="178" t="str">
        <x:f>IF(C483="","",IF(COUNT(G483:CB483)=0,"",IF(COUNT(G483:CB483)&lt;74,"موقت - اطلاعات ناقص",IF(CL483&gt;=17,"عالی",IF(CL483&gt;=14,"خوب",IF(CL483&gt;=10,"متوسط","ضعیف"))))))</x:f>
      </x:c>
      <x:c r="CN483" s="178" t="n">
        <x:v>11</x:v>
      </x:c>
      <x:c r="CO483" s="142" t="n">
        <x:f>IF(C483="","",COUNT(G483:CB483)/74)</x:f>
        <x:v>0</x:v>
      </x:c>
      <x:c r="CP483" s="245"/>
    </x:row>
    <x:row r="484">
      <x:c r="A484" s="165" t="n">
        <x:v>480</x:v>
      </x:c>
      <x:c r="B484" s="233" t="str">
        <x:v>خرداد</x:v>
      </x:c>
      <x:c r="C484" s="233" t="n">
        <x:f>IF('دانش‌آموزان'!E44="","",'دانش‌آموزان'!B44)</x:f>
        <x:v>40</x:v>
      </x:c>
      <x:c r="D484" s="233" t="str">
        <x:f>IF('دانش‌آموزان'!C44="","",'دانش‌آموزان'!C44)</x:f>
        <x:v>4000000403</x:v>
      </x:c>
      <x:c r="E484" s="233" t="str">
        <x:f>IF('دانش‌آموزان'!E44="","",'دانش‌آموزان'!E44&amp;" "&amp;'دانش‌آموزان'!F44)</x:f>
        <x:v>آوا کاظمی</x:v>
      </x:c>
      <x:c r="F484" s="166" t="str">
        <x:f>IF('دانش‌آموزان'!I44="","",'دانش‌آموزان'!I44)</x:f>
        <x:v>sample-7-b</x:v>
      </x:c>
      <x:c r="G484" s="114"/>
      <x:c r="H484" s="115"/>
      <x:c r="I484" s="115"/>
      <x:c r="J484" s="115"/>
      <x:c r="K484" s="115"/>
      <x:c r="L484" s="115"/>
      <x:c r="M484" s="115"/>
      <x:c r="N484" s="115"/>
      <x:c r="O484" s="115"/>
      <x:c r="P484" s="115"/>
      <x:c r="Q484" s="115"/>
      <x:c r="R484" s="115"/>
      <x:c r="S484" s="115"/>
      <x:c r="T484" s="115"/>
      <x:c r="U484" s="115"/>
      <x:c r="V484" s="115"/>
      <x:c r="W484" s="115"/>
      <x:c r="X484" s="115"/>
      <x:c r="Y484" s="115"/>
      <x:c r="Z484" s="115"/>
      <x:c r="AA484" s="115"/>
      <x:c r="AB484" s="115"/>
      <x:c r="AC484" s="115"/>
      <x:c r="AD484" s="115"/>
      <x:c r="AE484" s="115"/>
      <x:c r="AF484" s="115"/>
      <x:c r="AG484" s="115"/>
      <x:c r="AH484" s="115"/>
      <x:c r="AI484" s="115"/>
      <x:c r="AJ484" s="115"/>
      <x:c r="AK484" s="115"/>
      <x:c r="AL484" s="115"/>
      <x:c r="AM484" s="115"/>
      <x:c r="AN484" s="115"/>
      <x:c r="AO484" s="115"/>
      <x:c r="AP484" s="115"/>
      <x:c r="AQ484" s="115"/>
      <x:c r="AR484" s="115"/>
      <x:c r="AS484" s="115"/>
      <x:c r="AT484" s="115"/>
      <x:c r="AU484" s="115"/>
      <x:c r="AV484" s="115"/>
      <x:c r="AW484" s="115"/>
      <x:c r="AX484" s="115"/>
      <x:c r="AY484" s="115"/>
      <x:c r="AZ484" s="115"/>
      <x:c r="BA484" s="115"/>
      <x:c r="BB484" s="115"/>
      <x:c r="BC484" s="115"/>
      <x:c r="BD484" s="115"/>
      <x:c r="BE484" s="115"/>
      <x:c r="BF484" s="115"/>
      <x:c r="BG484" s="115"/>
      <x:c r="BH484" s="115"/>
      <x:c r="BI484" s="115"/>
      <x:c r="BJ484" s="115"/>
      <x:c r="BK484" s="115"/>
      <x:c r="BL484" s="115"/>
      <x:c r="BM484" s="115"/>
      <x:c r="BN484" s="115"/>
      <x:c r="BO484" s="115"/>
      <x:c r="BP484" s="115"/>
      <x:c r="BQ484" s="115"/>
      <x:c r="BR484" s="115"/>
      <x:c r="BS484" s="115"/>
      <x:c r="BT484" s="115"/>
      <x:c r="BU484" s="115"/>
      <x:c r="BV484" s="115"/>
      <x:c r="BW484" s="115"/>
      <x:c r="BX484" s="115"/>
      <x:c r="BY484" s="115"/>
      <x:c r="BZ484" s="115"/>
      <x:c r="CA484" s="115"/>
      <x:c r="CB484" s="116"/>
      <x:c r="CC484" s="141" t="str">
        <x:f>IF(COUNT(G484:P484)=0,"",AVERAGE(G484:P484)*4)</x:f>
      </x:c>
      <x:c r="CD484" s="178" t="str">
        <x:f>IF(COUNT(Q484:Z484)=0,"",AVERAGE(Q484:Z484)*4)</x:f>
      </x:c>
      <x:c r="CE484" s="178" t="str">
        <x:f>IF(COUNT(AA484:AJ484)=0,"",AVERAGE(AA484:AJ484)*4)</x:f>
      </x:c>
      <x:c r="CF484" s="178" t="str">
        <x:f>IF(COUNT(AK484:AR484)=0,"",AVERAGE(AK484:AR484)*4)</x:f>
      </x:c>
      <x:c r="CG484" s="178" t="str">
        <x:f>IF(COUNT(AS484:AY484)=0,"",AVERAGE(AS484:AY484)*4)</x:f>
      </x:c>
      <x:c r="CH484" s="178" t="str">
        <x:f>IF(COUNT(AZ484:BG484)=0,"",AVERAGE(AZ484:BG484)*4)</x:f>
      </x:c>
      <x:c r="CI484" s="178" t="str">
        <x:f>IF(COUNT(BH484:BN484)=0,"",AVERAGE(BH484:BN484)*4)</x:f>
      </x:c>
      <x:c r="CJ484" s="178" t="str">
        <x:f>IF(COUNT(BO484:BU484)=0,"",AVERAGE(BO484:BU484)*4)</x:f>
      </x:c>
      <x:c r="CK484" s="178" t="str">
        <x:f>IF(COUNT(BV484:CB484)=0,"",AVERAGE(BV484:CB484)*4)</x:f>
      </x:c>
      <x:c r="CL484" s="178" t="str">
        <x:f>IF(C484="","",IF(COUNT(G484:CB484)&lt;74,"",(CC484*'تنظیمات وزن‌دهی'!$C$5+CD484*'تنظیمات وزن‌دهی'!$C$6+CE484*'تنظیمات وزن‌دهی'!$C$7+CF484*'تنظیمات وزن‌دهی'!$C$8+CG484*'تنظیمات وزن‌دهی'!$C$9+CH484*'تنظیمات وزن‌دهی'!$C$10+CI484*'تنظیمات وزن‌دهی'!$C$11+CJ484*'تنظیمات وزن‌دهی'!$C$12+CK484*'تنظیمات وزن‌دهی'!$C$13)/100))</x:f>
      </x:c>
      <x:c r="CM484" s="178" t="str">
        <x:f>IF(C484="","",IF(COUNT(G484:CB484)=0,"",IF(COUNT(G484:CB484)&lt;74,"موقت - اطلاعات ناقص",IF(CL484&gt;=17,"عالی",IF(CL484&gt;=14,"خوب",IF(CL484&gt;=10,"متوسط","ضعیف"))))))</x:f>
      </x:c>
      <x:c r="CN484" s="178" t="n">
        <x:v>12</x:v>
      </x:c>
      <x:c r="CO484" s="142" t="n">
        <x:f>IF(C484="","",COUNT(G484:CB484)/74)</x:f>
        <x:v>0</x:v>
      </x:c>
      <x:c r="CP484" s="245"/>
    </x:row>
    <x:row r="485">
      <x:c r="A485" s="165" t="n">
        <x:v>481</x:v>
      </x:c>
      <x:c r="B485" s="233" t="str">
        <x:v>تیر</x:v>
      </x:c>
      <x:c r="C485" s="233" t="n">
        <x:f>IF('دانش‌آموزان'!E45="","",'دانش‌آموزان'!B45)</x:f>
        <x:v>41</x:v>
      </x:c>
      <x:c r="D485" s="233" t="str">
        <x:f>IF('دانش‌آموزان'!C45="","",'دانش‌آموزان'!C45)</x:f>
        <x:v>4000000411</x:v>
      </x:c>
      <x:c r="E485" s="233" t="str">
        <x:f>IF('دانش‌آموزان'!E45="","",'دانش‌آموزان'!E45&amp;" "&amp;'دانش‌آموزان'!F45)</x:f>
        <x:v>علی احمدی</x:v>
      </x:c>
      <x:c r="F485" s="166" t="str">
        <x:f>IF('دانش‌آموزان'!I45="","",'دانش‌آموزان'!I45)</x:f>
        <x:v>sample-7-b</x:v>
      </x:c>
      <x:c r="G485" s="114" t="n">
        <x:v>5</x:v>
      </x:c>
      <x:c r="H485" s="115" t="n">
        <x:v>4</x:v>
      </x:c>
      <x:c r="I485" s="115" t="n">
        <x:v>5</x:v>
      </x:c>
      <x:c r="J485" s="115" t="n">
        <x:v>3</x:v>
      </x:c>
      <x:c r="K485" s="115" t="n">
        <x:v>5</x:v>
      </x:c>
      <x:c r="L485" s="115" t="n">
        <x:v>3</x:v>
      </x:c>
      <x:c r="M485" s="115" t="n">
        <x:v>4</x:v>
      </x:c>
      <x:c r="N485" s="115" t="n">
        <x:v>3</x:v>
      </x:c>
      <x:c r="O485" s="115" t="n">
        <x:v>4</x:v>
      </x:c>
      <x:c r="P485" s="115" t="n">
        <x:v>2</x:v>
      </x:c>
      <x:c r="Q485" s="115" t="n">
        <x:v>4</x:v>
      </x:c>
      <x:c r="R485" s="115" t="n">
        <x:v>5</x:v>
      </x:c>
      <x:c r="S485" s="115" t="n">
        <x:v>4</x:v>
      </x:c>
      <x:c r="T485" s="115" t="n">
        <x:v>5</x:v>
      </x:c>
      <x:c r="U485" s="115" t="n">
        <x:v>3</x:v>
      </x:c>
      <x:c r="V485" s="115" t="n">
        <x:v>5</x:v>
      </x:c>
      <x:c r="W485" s="115" t="n">
        <x:v>3</x:v>
      </x:c>
      <x:c r="X485" s="115" t="n">
        <x:v>4</x:v>
      </x:c>
      <x:c r="Y485" s="115" t="n">
        <x:v>3</x:v>
      </x:c>
      <x:c r="Z485" s="115" t="n">
        <x:v>4</x:v>
      </x:c>
      <x:c r="AA485" s="115" t="n">
        <x:v>2</x:v>
      </x:c>
      <x:c r="AB485" s="115" t="n">
        <x:v>4</x:v>
      </x:c>
      <x:c r="AC485" s="115" t="n">
        <x:v>5</x:v>
      </x:c>
      <x:c r="AD485" s="115" t="n">
        <x:v>4</x:v>
      </x:c>
      <x:c r="AE485" s="115" t="n">
        <x:v>5</x:v>
      </x:c>
      <x:c r="AF485" s="115" t="n">
        <x:v>3</x:v>
      </x:c>
      <x:c r="AG485" s="115" t="n">
        <x:v>5</x:v>
      </x:c>
      <x:c r="AH485" s="115" t="n">
        <x:v>3</x:v>
      </x:c>
      <x:c r="AI485" s="115" t="n">
        <x:v>4</x:v>
      </x:c>
      <x:c r="AJ485" s="115" t="n">
        <x:v>3</x:v>
      </x:c>
      <x:c r="AK485" s="115" t="n">
        <x:v>4</x:v>
      </x:c>
      <x:c r="AL485" s="115" t="n">
        <x:v>2</x:v>
      </x:c>
      <x:c r="AM485" s="115" t="n">
        <x:v>4</x:v>
      </x:c>
      <x:c r="AN485" s="115" t="n">
        <x:v>5</x:v>
      </x:c>
      <x:c r="AO485" s="115" t="n">
        <x:v>4</x:v>
      </x:c>
      <x:c r="AP485" s="115" t="n">
        <x:v>5</x:v>
      </x:c>
      <x:c r="AQ485" s="115" t="n">
        <x:v>3</x:v>
      </x:c>
      <x:c r="AR485" s="115" t="n">
        <x:v>5</x:v>
      </x:c>
      <x:c r="AS485" s="115" t="n">
        <x:v>3</x:v>
      </x:c>
      <x:c r="AT485" s="115" t="n">
        <x:v>4</x:v>
      </x:c>
      <x:c r="AU485" s="115" t="n">
        <x:v>3</x:v>
      </x:c>
      <x:c r="AV485" s="115" t="n">
        <x:v>4</x:v>
      </x:c>
      <x:c r="AW485" s="115" t="n">
        <x:v>2</x:v>
      </x:c>
      <x:c r="AX485" s="115" t="n">
        <x:v>4</x:v>
      </x:c>
      <x:c r="AY485" s="115" t="n">
        <x:v>5</x:v>
      </x:c>
      <x:c r="AZ485" s="115" t="n">
        <x:v>4</x:v>
      </x:c>
      <x:c r="BA485" s="115" t="n">
        <x:v>5</x:v>
      </x:c>
      <x:c r="BB485" s="115" t="n">
        <x:v>3</x:v>
      </x:c>
      <x:c r="BC485" s="115" t="n">
        <x:v>5</x:v>
      </x:c>
      <x:c r="BD485" s="115" t="n">
        <x:v>3</x:v>
      </x:c>
      <x:c r="BE485" s="115" t="n">
        <x:v>4</x:v>
      </x:c>
      <x:c r="BF485" s="115" t="n">
        <x:v>3</x:v>
      </x:c>
      <x:c r="BG485" s="115" t="n">
        <x:v>4</x:v>
      </x:c>
      <x:c r="BH485" s="115" t="n">
        <x:v>2</x:v>
      </x:c>
      <x:c r="BI485" s="115" t="n">
        <x:v>4</x:v>
      </x:c>
      <x:c r="BJ485" s="115" t="n">
        <x:v>5</x:v>
      </x:c>
      <x:c r="BK485" s="115" t="n">
        <x:v>4</x:v>
      </x:c>
      <x:c r="BL485" s="115" t="n">
        <x:v>5</x:v>
      </x:c>
      <x:c r="BM485" s="115" t="n">
        <x:v>3</x:v>
      </x:c>
      <x:c r="BN485" s="115" t="n">
        <x:v>5</x:v>
      </x:c>
      <x:c r="BO485" s="115" t="n">
        <x:v>3</x:v>
      </x:c>
      <x:c r="BP485" s="115" t="n">
        <x:v>4</x:v>
      </x:c>
      <x:c r="BQ485" s="115" t="n">
        <x:v>3</x:v>
      </x:c>
      <x:c r="BR485" s="115" t="n">
        <x:v>4</x:v>
      </x:c>
      <x:c r="BS485" s="115" t="n">
        <x:v>2</x:v>
      </x:c>
      <x:c r="BT485" s="115" t="n">
        <x:v>4</x:v>
      </x:c>
      <x:c r="BU485" s="115" t="n">
        <x:v>5</x:v>
      </x:c>
      <x:c r="BV485" s="115" t="n">
        <x:v>4</x:v>
      </x:c>
      <x:c r="BW485" s="115" t="n">
        <x:v>5</x:v>
      </x:c>
      <x:c r="BX485" s="115" t="n">
        <x:v>3</x:v>
      </x:c>
      <x:c r="BY485" s="115" t="n">
        <x:v>5</x:v>
      </x:c>
      <x:c r="BZ485" s="115" t="n">
        <x:v>3</x:v>
      </x:c>
      <x:c r="CA485" s="115" t="n">
        <x:v>4</x:v>
      </x:c>
      <x:c r="CB485" s="116" t="n">
        <x:v>3</x:v>
      </x:c>
      <x:c r="CC485" s="141" t="n">
        <x:f>IF(COUNT(G485:P485)=0,"",AVERAGE(G485:P485)*4)</x:f>
        <x:v>15.2</x:v>
      </x:c>
      <x:c r="CD485" s="178" t="n">
        <x:f>IF(COUNT(Q485:Z485)=0,"",AVERAGE(Q485:Z485)*4)</x:f>
        <x:v>16</x:v>
      </x:c>
      <x:c r="CE485" s="178" t="n">
        <x:f>IF(COUNT(AA485:AJ485)=0,"",AVERAGE(AA485:AJ485)*4)</x:f>
        <x:v>15.2</x:v>
      </x:c>
      <x:c r="CF485" s="178" t="n">
        <x:f>IF(COUNT(AK485:AR485)=0,"",AVERAGE(AK485:AR485)*4)</x:f>
        <x:v>16</x:v>
      </x:c>
      <x:c r="CG485" s="178" t="n">
        <x:f>IF(COUNT(AS485:AY485)=0,"",AVERAGE(AS485:AY485)*4)</x:f>
        <x:v>14.285714285714286</x:v>
      </x:c>
      <x:c r="CH485" s="178" t="n">
        <x:f>IF(COUNT(AZ485:BG485)=0,"",AVERAGE(AZ485:BG485)*4)</x:f>
        <x:v>15.5</x:v>
      </x:c>
      <x:c r="CI485" s="178" t="n">
        <x:f>IF(COUNT(BH485:BN485)=0,"",AVERAGE(BH485:BN485)*4)</x:f>
        <x:v>16</x:v>
      </x:c>
      <x:c r="CJ485" s="178" t="n">
        <x:f>IF(COUNT(BO485:BU485)=0,"",AVERAGE(BO485:BU485)*4)</x:f>
        <x:v>14.285714285714286</x:v>
      </x:c>
      <x:c r="CK485" s="178" t="n">
        <x:f>IF(COUNT(BV485:CB485)=0,"",AVERAGE(BV485:CB485)*4)</x:f>
        <x:v>15.428571428571429</x:v>
      </x:c>
      <x:c r="CL485" s="178" t="n">
        <x:f>IF(C485="","",IF(COUNT(G485:CB485)&lt;74,"",(CC485*'تنظیمات وزن‌دهی'!$C$5+CD485*'تنظیمات وزن‌دهی'!$C$6+CE485*'تنظیمات وزن‌دهی'!$C$7+CF485*'تنظیمات وزن‌دهی'!$C$8+CG485*'تنظیمات وزن‌دهی'!$C$9+CH485*'تنظیمات وزن‌دهی'!$C$10+CI485*'تنظیمات وزن‌دهی'!$C$11+CJ485*'تنظیمات وزن‌دهی'!$C$12+CK485*'تنظیمات وزن‌دهی'!$C$13)/100))</x:f>
        <x:v>15.417142857142858</x:v>
      </x:c>
      <x:c r="CM485" s="178" t="str">
        <x:f>IF(C485="","",IF(COUNT(G485:CB485)=0,"",IF(COUNT(G485:CB485)&lt;74,"موقت - اطلاعات ناقص",IF(CL485&gt;=17,"عالی",IF(CL485&gt;=14,"خوب",IF(CL485&gt;=10,"متوسط","ضعیف"))))))</x:f>
        <x:v>خوب</x:v>
      </x:c>
      <x:c r="CN485" s="178" t="n">
        <x:v>1</x:v>
      </x:c>
      <x:c r="CO485" s="142" t="n">
        <x:f>IF(C485="","",COUNT(G485:CB485)/74)</x:f>
        <x:v>1</x:v>
      </x:c>
      <x:c r="CP485" s="245" t="str">
        <x:v>داده نمونه کامل برای ماه تیر - دانش‌آموز شماره 41</x:v>
      </x:c>
    </x:row>
    <x:row r="486">
      <x:c r="A486" s="165" t="n">
        <x:v>482</x:v>
      </x:c>
      <x:c r="B486" s="233" t="str">
        <x:v>مرداد</x:v>
      </x:c>
      <x:c r="C486" s="233" t="n">
        <x:f>IF('دانش‌آموزان'!E45="","",'دانش‌آموزان'!B45)</x:f>
        <x:v>41</x:v>
      </x:c>
      <x:c r="D486" s="233" t="str">
        <x:f>IF('دانش‌آموزان'!C45="","",'دانش‌آموزان'!C45)</x:f>
        <x:v>4000000411</x:v>
      </x:c>
      <x:c r="E486" s="233" t="str">
        <x:f>IF('دانش‌آموزان'!E45="","",'دانش‌آموزان'!E45&amp;" "&amp;'دانش‌آموزان'!F45)</x:f>
        <x:v>علی احمدی</x:v>
      </x:c>
      <x:c r="F486" s="166" t="str">
        <x:f>IF('دانش‌آموزان'!I45="","",'دانش‌آموزان'!I45)</x:f>
        <x:v>sample-7-b</x:v>
      </x:c>
      <x:c r="G486" s="114"/>
      <x:c r="H486" s="115"/>
      <x:c r="I486" s="115"/>
      <x:c r="J486" s="115"/>
      <x:c r="K486" s="115"/>
      <x:c r="L486" s="115"/>
      <x:c r="M486" s="115"/>
      <x:c r="N486" s="115"/>
      <x:c r="O486" s="115"/>
      <x:c r="P486" s="115"/>
      <x:c r="Q486" s="115"/>
      <x:c r="R486" s="115"/>
      <x:c r="S486" s="115"/>
      <x:c r="T486" s="115"/>
      <x:c r="U486" s="115"/>
      <x:c r="V486" s="115"/>
      <x:c r="W486" s="115"/>
      <x:c r="X486" s="115"/>
      <x:c r="Y486" s="115"/>
      <x:c r="Z486" s="115"/>
      <x:c r="AA486" s="115"/>
      <x:c r="AB486" s="115"/>
      <x:c r="AC486" s="115"/>
      <x:c r="AD486" s="115"/>
      <x:c r="AE486" s="115"/>
      <x:c r="AF486" s="115"/>
      <x:c r="AG486" s="115"/>
      <x:c r="AH486" s="115"/>
      <x:c r="AI486" s="115"/>
      <x:c r="AJ486" s="115"/>
      <x:c r="AK486" s="115"/>
      <x:c r="AL486" s="115"/>
      <x:c r="AM486" s="115"/>
      <x:c r="AN486" s="115"/>
      <x:c r="AO486" s="115"/>
      <x:c r="AP486" s="115"/>
      <x:c r="AQ486" s="115"/>
      <x:c r="AR486" s="115"/>
      <x:c r="AS486" s="115"/>
      <x:c r="AT486" s="115"/>
      <x:c r="AU486" s="115"/>
      <x:c r="AV486" s="115"/>
      <x:c r="AW486" s="115"/>
      <x:c r="AX486" s="115"/>
      <x:c r="AY486" s="115"/>
      <x:c r="AZ486" s="115"/>
      <x:c r="BA486" s="115"/>
      <x:c r="BB486" s="115"/>
      <x:c r="BC486" s="115"/>
      <x:c r="BD486" s="115"/>
      <x:c r="BE486" s="115"/>
      <x:c r="BF486" s="115"/>
      <x:c r="BG486" s="115"/>
      <x:c r="BH486" s="115"/>
      <x:c r="BI486" s="115"/>
      <x:c r="BJ486" s="115"/>
      <x:c r="BK486" s="115"/>
      <x:c r="BL486" s="115"/>
      <x:c r="BM486" s="115"/>
      <x:c r="BN486" s="115"/>
      <x:c r="BO486" s="115"/>
      <x:c r="BP486" s="115"/>
      <x:c r="BQ486" s="115"/>
      <x:c r="BR486" s="115"/>
      <x:c r="BS486" s="115"/>
      <x:c r="BT486" s="115"/>
      <x:c r="BU486" s="115"/>
      <x:c r="BV486" s="115"/>
      <x:c r="BW486" s="115"/>
      <x:c r="BX486" s="115"/>
      <x:c r="BY486" s="115"/>
      <x:c r="BZ486" s="115"/>
      <x:c r="CA486" s="115"/>
      <x:c r="CB486" s="116"/>
      <x:c r="CC486" s="141" t="str">
        <x:f>IF(COUNT(G486:P486)=0,"",AVERAGE(G486:P486)*4)</x:f>
      </x:c>
      <x:c r="CD486" s="178" t="str">
        <x:f>IF(COUNT(Q486:Z486)=0,"",AVERAGE(Q486:Z486)*4)</x:f>
      </x:c>
      <x:c r="CE486" s="178" t="str">
        <x:f>IF(COUNT(AA486:AJ486)=0,"",AVERAGE(AA486:AJ486)*4)</x:f>
      </x:c>
      <x:c r="CF486" s="178" t="str">
        <x:f>IF(COUNT(AK486:AR486)=0,"",AVERAGE(AK486:AR486)*4)</x:f>
      </x:c>
      <x:c r="CG486" s="178" t="str">
        <x:f>IF(COUNT(AS486:AY486)=0,"",AVERAGE(AS486:AY486)*4)</x:f>
      </x:c>
      <x:c r="CH486" s="178" t="str">
        <x:f>IF(COUNT(AZ486:BG486)=0,"",AVERAGE(AZ486:BG486)*4)</x:f>
      </x:c>
      <x:c r="CI486" s="178" t="str">
        <x:f>IF(COUNT(BH486:BN486)=0,"",AVERAGE(BH486:BN486)*4)</x:f>
      </x:c>
      <x:c r="CJ486" s="178" t="str">
        <x:f>IF(COUNT(BO486:BU486)=0,"",AVERAGE(BO486:BU486)*4)</x:f>
      </x:c>
      <x:c r="CK486" s="178" t="str">
        <x:f>IF(COUNT(BV486:CB486)=0,"",AVERAGE(BV486:CB486)*4)</x:f>
      </x:c>
      <x:c r="CL486" s="178" t="str">
        <x:f>IF(C486="","",IF(COUNT(G486:CB486)&lt;74,"",(CC486*'تنظیمات وزن‌دهی'!$C$5+CD486*'تنظیمات وزن‌دهی'!$C$6+CE486*'تنظیمات وزن‌دهی'!$C$7+CF486*'تنظیمات وزن‌دهی'!$C$8+CG486*'تنظیمات وزن‌دهی'!$C$9+CH486*'تنظیمات وزن‌دهی'!$C$10+CI486*'تنظیمات وزن‌دهی'!$C$11+CJ486*'تنظیمات وزن‌دهی'!$C$12+CK486*'تنظیمات وزن‌دهی'!$C$13)/100))</x:f>
      </x:c>
      <x:c r="CM486" s="178" t="str">
        <x:f>IF(C486="","",IF(COUNT(G486:CB486)=0,"",IF(COUNT(G486:CB486)&lt;74,"موقت - اطلاعات ناقص",IF(CL486&gt;=17,"عالی",IF(CL486&gt;=14,"خوب",IF(CL486&gt;=10,"متوسط","ضعیف"))))))</x:f>
      </x:c>
      <x:c r="CN486" s="178" t="n">
        <x:v>2</x:v>
      </x:c>
      <x:c r="CO486" s="142" t="n">
        <x:f>IF(C486="","",COUNT(G486:CB486)/74)</x:f>
        <x:v>0</x:v>
      </x:c>
      <x:c r="CP486" s="245"/>
    </x:row>
    <x:row r="487">
      <x:c r="A487" s="165" t="n">
        <x:v>483</x:v>
      </x:c>
      <x:c r="B487" s="233" t="str">
        <x:v>شهریور</x:v>
      </x:c>
      <x:c r="C487" s="233" t="n">
        <x:f>IF('دانش‌آموزان'!E45="","",'دانش‌آموزان'!B45)</x:f>
        <x:v>41</x:v>
      </x:c>
      <x:c r="D487" s="233" t="str">
        <x:f>IF('دانش‌آموزان'!C45="","",'دانش‌آموزان'!C45)</x:f>
        <x:v>4000000411</x:v>
      </x:c>
      <x:c r="E487" s="233" t="str">
        <x:f>IF('دانش‌آموزان'!E45="","",'دانش‌آموزان'!E45&amp;" "&amp;'دانش‌آموزان'!F45)</x:f>
        <x:v>علی احمدی</x:v>
      </x:c>
      <x:c r="F487" s="166" t="str">
        <x:f>IF('دانش‌آموزان'!I45="","",'دانش‌آموزان'!I45)</x:f>
        <x:v>sample-7-b</x:v>
      </x:c>
      <x:c r="G487" s="114"/>
      <x:c r="H487" s="115"/>
      <x:c r="I487" s="115"/>
      <x:c r="J487" s="115"/>
      <x:c r="K487" s="115"/>
      <x:c r="L487" s="115"/>
      <x:c r="M487" s="115"/>
      <x:c r="N487" s="115"/>
      <x:c r="O487" s="115"/>
      <x:c r="P487" s="115"/>
      <x:c r="Q487" s="115"/>
      <x:c r="R487" s="115"/>
      <x:c r="S487" s="115"/>
      <x:c r="T487" s="115"/>
      <x:c r="U487" s="115"/>
      <x:c r="V487" s="115"/>
      <x:c r="W487" s="115"/>
      <x:c r="X487" s="115"/>
      <x:c r="Y487" s="115"/>
      <x:c r="Z487" s="115"/>
      <x:c r="AA487" s="115"/>
      <x:c r="AB487" s="115"/>
      <x:c r="AC487" s="115"/>
      <x:c r="AD487" s="115"/>
      <x:c r="AE487" s="115"/>
      <x:c r="AF487" s="115"/>
      <x:c r="AG487" s="115"/>
      <x:c r="AH487" s="115"/>
      <x:c r="AI487" s="115"/>
      <x:c r="AJ487" s="115"/>
      <x:c r="AK487" s="115"/>
      <x:c r="AL487" s="115"/>
      <x:c r="AM487" s="115"/>
      <x:c r="AN487" s="115"/>
      <x:c r="AO487" s="115"/>
      <x:c r="AP487" s="115"/>
      <x:c r="AQ487" s="115"/>
      <x:c r="AR487" s="115"/>
      <x:c r="AS487" s="115"/>
      <x:c r="AT487" s="115"/>
      <x:c r="AU487" s="115"/>
      <x:c r="AV487" s="115"/>
      <x:c r="AW487" s="115"/>
      <x:c r="AX487" s="115"/>
      <x:c r="AY487" s="115"/>
      <x:c r="AZ487" s="115"/>
      <x:c r="BA487" s="115"/>
      <x:c r="BB487" s="115"/>
      <x:c r="BC487" s="115"/>
      <x:c r="BD487" s="115"/>
      <x:c r="BE487" s="115"/>
      <x:c r="BF487" s="115"/>
      <x:c r="BG487" s="115"/>
      <x:c r="BH487" s="115"/>
      <x:c r="BI487" s="115"/>
      <x:c r="BJ487" s="115"/>
      <x:c r="BK487" s="115"/>
      <x:c r="BL487" s="115"/>
      <x:c r="BM487" s="115"/>
      <x:c r="BN487" s="115"/>
      <x:c r="BO487" s="115"/>
      <x:c r="BP487" s="115"/>
      <x:c r="BQ487" s="115"/>
      <x:c r="BR487" s="115"/>
      <x:c r="BS487" s="115"/>
      <x:c r="BT487" s="115"/>
      <x:c r="BU487" s="115"/>
      <x:c r="BV487" s="115"/>
      <x:c r="BW487" s="115"/>
      <x:c r="BX487" s="115"/>
      <x:c r="BY487" s="115"/>
      <x:c r="BZ487" s="115"/>
      <x:c r="CA487" s="115"/>
      <x:c r="CB487" s="116"/>
      <x:c r="CC487" s="141" t="str">
        <x:f>IF(COUNT(G487:P487)=0,"",AVERAGE(G487:P487)*4)</x:f>
      </x:c>
      <x:c r="CD487" s="178" t="str">
        <x:f>IF(COUNT(Q487:Z487)=0,"",AVERAGE(Q487:Z487)*4)</x:f>
      </x:c>
      <x:c r="CE487" s="178" t="str">
        <x:f>IF(COUNT(AA487:AJ487)=0,"",AVERAGE(AA487:AJ487)*4)</x:f>
      </x:c>
      <x:c r="CF487" s="178" t="str">
        <x:f>IF(COUNT(AK487:AR487)=0,"",AVERAGE(AK487:AR487)*4)</x:f>
      </x:c>
      <x:c r="CG487" s="178" t="str">
        <x:f>IF(COUNT(AS487:AY487)=0,"",AVERAGE(AS487:AY487)*4)</x:f>
      </x:c>
      <x:c r="CH487" s="178" t="str">
        <x:f>IF(COUNT(AZ487:BG487)=0,"",AVERAGE(AZ487:BG487)*4)</x:f>
      </x:c>
      <x:c r="CI487" s="178" t="str">
        <x:f>IF(COUNT(BH487:BN487)=0,"",AVERAGE(BH487:BN487)*4)</x:f>
      </x:c>
      <x:c r="CJ487" s="178" t="str">
        <x:f>IF(COUNT(BO487:BU487)=0,"",AVERAGE(BO487:BU487)*4)</x:f>
      </x:c>
      <x:c r="CK487" s="178" t="str">
        <x:f>IF(COUNT(BV487:CB487)=0,"",AVERAGE(BV487:CB487)*4)</x:f>
      </x:c>
      <x:c r="CL487" s="178" t="str">
        <x:f>IF(C487="","",IF(COUNT(G487:CB487)&lt;74,"",(CC487*'تنظیمات وزن‌دهی'!$C$5+CD487*'تنظیمات وزن‌دهی'!$C$6+CE487*'تنظیمات وزن‌دهی'!$C$7+CF487*'تنظیمات وزن‌دهی'!$C$8+CG487*'تنظیمات وزن‌دهی'!$C$9+CH487*'تنظیمات وزن‌دهی'!$C$10+CI487*'تنظیمات وزن‌دهی'!$C$11+CJ487*'تنظیمات وزن‌دهی'!$C$12+CK487*'تنظیمات وزن‌دهی'!$C$13)/100))</x:f>
      </x:c>
      <x:c r="CM487" s="178" t="str">
        <x:f>IF(C487="","",IF(COUNT(G487:CB487)=0,"",IF(COUNT(G487:CB487)&lt;74,"موقت - اطلاعات ناقص",IF(CL487&gt;=17,"عالی",IF(CL487&gt;=14,"خوب",IF(CL487&gt;=10,"متوسط","ضعیف"))))))</x:f>
      </x:c>
      <x:c r="CN487" s="178" t="n">
        <x:v>3</x:v>
      </x:c>
      <x:c r="CO487" s="142" t="n">
        <x:f>IF(C487="","",COUNT(G487:CB487)/74)</x:f>
        <x:v>0</x:v>
      </x:c>
      <x:c r="CP487" s="245"/>
    </x:row>
    <x:row r="488">
      <x:c r="A488" s="165" t="n">
        <x:v>484</x:v>
      </x:c>
      <x:c r="B488" s="233" t="str">
        <x:v>مهر</x:v>
      </x:c>
      <x:c r="C488" s="233" t="n">
        <x:f>IF('دانش‌آموزان'!E45="","",'دانش‌آموزان'!B45)</x:f>
        <x:v>41</x:v>
      </x:c>
      <x:c r="D488" s="233" t="str">
        <x:f>IF('دانش‌آموزان'!C45="","",'دانش‌آموزان'!C45)</x:f>
        <x:v>4000000411</x:v>
      </x:c>
      <x:c r="E488" s="233" t="str">
        <x:f>IF('دانش‌آموزان'!E45="","",'دانش‌آموزان'!E45&amp;" "&amp;'دانش‌آموزان'!F45)</x:f>
        <x:v>علی احمدی</x:v>
      </x:c>
      <x:c r="F488" s="166" t="str">
        <x:f>IF('دانش‌آموزان'!I45="","",'دانش‌آموزان'!I45)</x:f>
        <x:v>sample-7-b</x:v>
      </x:c>
      <x:c r="G488" s="114"/>
      <x:c r="H488" s="115"/>
      <x:c r="I488" s="115"/>
      <x:c r="J488" s="115"/>
      <x:c r="K488" s="115"/>
      <x:c r="L488" s="115"/>
      <x:c r="M488" s="115"/>
      <x:c r="N488" s="115"/>
      <x:c r="O488" s="115"/>
      <x:c r="P488" s="115"/>
      <x:c r="Q488" s="115"/>
      <x:c r="R488" s="115"/>
      <x:c r="S488" s="115"/>
      <x:c r="T488" s="115"/>
      <x:c r="U488" s="115"/>
      <x:c r="V488" s="115"/>
      <x:c r="W488" s="115"/>
      <x:c r="X488" s="115"/>
      <x:c r="Y488" s="115"/>
      <x:c r="Z488" s="115"/>
      <x:c r="AA488" s="115"/>
      <x:c r="AB488" s="115"/>
      <x:c r="AC488" s="115"/>
      <x:c r="AD488" s="115"/>
      <x:c r="AE488" s="115"/>
      <x:c r="AF488" s="115"/>
      <x:c r="AG488" s="115"/>
      <x:c r="AH488" s="115"/>
      <x:c r="AI488" s="115"/>
      <x:c r="AJ488" s="115"/>
      <x:c r="AK488" s="115"/>
      <x:c r="AL488" s="115"/>
      <x:c r="AM488" s="115"/>
      <x:c r="AN488" s="115"/>
      <x:c r="AO488" s="115"/>
      <x:c r="AP488" s="115"/>
      <x:c r="AQ488" s="115"/>
      <x:c r="AR488" s="115"/>
      <x:c r="AS488" s="115"/>
      <x:c r="AT488" s="115"/>
      <x:c r="AU488" s="115"/>
      <x:c r="AV488" s="115"/>
      <x:c r="AW488" s="115"/>
      <x:c r="AX488" s="115"/>
      <x:c r="AY488" s="115"/>
      <x:c r="AZ488" s="115"/>
      <x:c r="BA488" s="115"/>
      <x:c r="BB488" s="115"/>
      <x:c r="BC488" s="115"/>
      <x:c r="BD488" s="115"/>
      <x:c r="BE488" s="115"/>
      <x:c r="BF488" s="115"/>
      <x:c r="BG488" s="115"/>
      <x:c r="BH488" s="115"/>
      <x:c r="BI488" s="115"/>
      <x:c r="BJ488" s="115"/>
      <x:c r="BK488" s="115"/>
      <x:c r="BL488" s="115"/>
      <x:c r="BM488" s="115"/>
      <x:c r="BN488" s="115"/>
      <x:c r="BO488" s="115"/>
      <x:c r="BP488" s="115"/>
      <x:c r="BQ488" s="115"/>
      <x:c r="BR488" s="115"/>
      <x:c r="BS488" s="115"/>
      <x:c r="BT488" s="115"/>
      <x:c r="BU488" s="115"/>
      <x:c r="BV488" s="115"/>
      <x:c r="BW488" s="115"/>
      <x:c r="BX488" s="115"/>
      <x:c r="BY488" s="115"/>
      <x:c r="BZ488" s="115"/>
      <x:c r="CA488" s="115"/>
      <x:c r="CB488" s="116"/>
      <x:c r="CC488" s="141" t="str">
        <x:f>IF(COUNT(G488:P488)=0,"",AVERAGE(G488:P488)*4)</x:f>
      </x:c>
      <x:c r="CD488" s="178" t="str">
        <x:f>IF(COUNT(Q488:Z488)=0,"",AVERAGE(Q488:Z488)*4)</x:f>
      </x:c>
      <x:c r="CE488" s="178" t="str">
        <x:f>IF(COUNT(AA488:AJ488)=0,"",AVERAGE(AA488:AJ488)*4)</x:f>
      </x:c>
      <x:c r="CF488" s="178" t="str">
        <x:f>IF(COUNT(AK488:AR488)=0,"",AVERAGE(AK488:AR488)*4)</x:f>
      </x:c>
      <x:c r="CG488" s="178" t="str">
        <x:f>IF(COUNT(AS488:AY488)=0,"",AVERAGE(AS488:AY488)*4)</x:f>
      </x:c>
      <x:c r="CH488" s="178" t="str">
        <x:f>IF(COUNT(AZ488:BG488)=0,"",AVERAGE(AZ488:BG488)*4)</x:f>
      </x:c>
      <x:c r="CI488" s="178" t="str">
        <x:f>IF(COUNT(BH488:BN488)=0,"",AVERAGE(BH488:BN488)*4)</x:f>
      </x:c>
      <x:c r="CJ488" s="178" t="str">
        <x:f>IF(COUNT(BO488:BU488)=0,"",AVERAGE(BO488:BU488)*4)</x:f>
      </x:c>
      <x:c r="CK488" s="178" t="str">
        <x:f>IF(COUNT(BV488:CB488)=0,"",AVERAGE(BV488:CB488)*4)</x:f>
      </x:c>
      <x:c r="CL488" s="178" t="str">
        <x:f>IF(C488="","",IF(COUNT(G488:CB488)&lt;74,"",(CC488*'تنظیمات وزن‌دهی'!$C$5+CD488*'تنظیمات وزن‌دهی'!$C$6+CE488*'تنظیمات وزن‌دهی'!$C$7+CF488*'تنظیمات وزن‌دهی'!$C$8+CG488*'تنظیمات وزن‌دهی'!$C$9+CH488*'تنظیمات وزن‌دهی'!$C$10+CI488*'تنظیمات وزن‌دهی'!$C$11+CJ488*'تنظیمات وزن‌دهی'!$C$12+CK488*'تنظیمات وزن‌دهی'!$C$13)/100))</x:f>
      </x:c>
      <x:c r="CM488" s="178" t="str">
        <x:f>IF(C488="","",IF(COUNT(G488:CB488)=0,"",IF(COUNT(G488:CB488)&lt;74,"موقت - اطلاعات ناقص",IF(CL488&gt;=17,"عالی",IF(CL488&gt;=14,"خوب",IF(CL488&gt;=10,"متوسط","ضعیف"))))))</x:f>
      </x:c>
      <x:c r="CN488" s="178" t="n">
        <x:v>4</x:v>
      </x:c>
      <x:c r="CO488" s="142" t="n">
        <x:f>IF(C488="","",COUNT(G488:CB488)/74)</x:f>
        <x:v>0</x:v>
      </x:c>
      <x:c r="CP488" s="245"/>
    </x:row>
    <x:row r="489">
      <x:c r="A489" s="165" t="n">
        <x:v>485</x:v>
      </x:c>
      <x:c r="B489" s="233" t="str">
        <x:v>آبان</x:v>
      </x:c>
      <x:c r="C489" s="233" t="n">
        <x:f>IF('دانش‌آموزان'!E45="","",'دانش‌آموزان'!B45)</x:f>
        <x:v>41</x:v>
      </x:c>
      <x:c r="D489" s="233" t="str">
        <x:f>IF('دانش‌آموزان'!C45="","",'دانش‌آموزان'!C45)</x:f>
        <x:v>4000000411</x:v>
      </x:c>
      <x:c r="E489" s="233" t="str">
        <x:f>IF('دانش‌آموزان'!E45="","",'دانش‌آموزان'!E45&amp;" "&amp;'دانش‌آموزان'!F45)</x:f>
        <x:v>علی احمدی</x:v>
      </x:c>
      <x:c r="F489" s="166" t="str">
        <x:f>IF('دانش‌آموزان'!I45="","",'دانش‌آموزان'!I45)</x:f>
        <x:v>sample-7-b</x:v>
      </x:c>
      <x:c r="G489" s="114"/>
      <x:c r="H489" s="115"/>
      <x:c r="I489" s="115"/>
      <x:c r="J489" s="115"/>
      <x:c r="K489" s="115"/>
      <x:c r="L489" s="115"/>
      <x:c r="M489" s="115"/>
      <x:c r="N489" s="115"/>
      <x:c r="O489" s="115"/>
      <x:c r="P489" s="115"/>
      <x:c r="Q489" s="115"/>
      <x:c r="R489" s="115"/>
      <x:c r="S489" s="115"/>
      <x:c r="T489" s="115"/>
      <x:c r="U489" s="115"/>
      <x:c r="V489" s="115"/>
      <x:c r="W489" s="115"/>
      <x:c r="X489" s="115"/>
      <x:c r="Y489" s="115"/>
      <x:c r="Z489" s="115"/>
      <x:c r="AA489" s="115"/>
      <x:c r="AB489" s="115"/>
      <x:c r="AC489" s="115"/>
      <x:c r="AD489" s="115"/>
      <x:c r="AE489" s="115"/>
      <x:c r="AF489" s="115"/>
      <x:c r="AG489" s="115"/>
      <x:c r="AH489" s="115"/>
      <x:c r="AI489" s="115"/>
      <x:c r="AJ489" s="115"/>
      <x:c r="AK489" s="115"/>
      <x:c r="AL489" s="115"/>
      <x:c r="AM489" s="115"/>
      <x:c r="AN489" s="115"/>
      <x:c r="AO489" s="115"/>
      <x:c r="AP489" s="115"/>
      <x:c r="AQ489" s="115"/>
      <x:c r="AR489" s="115"/>
      <x:c r="AS489" s="115"/>
      <x:c r="AT489" s="115"/>
      <x:c r="AU489" s="115"/>
      <x:c r="AV489" s="115"/>
      <x:c r="AW489" s="115"/>
      <x:c r="AX489" s="115"/>
      <x:c r="AY489" s="115"/>
      <x:c r="AZ489" s="115"/>
      <x:c r="BA489" s="115"/>
      <x:c r="BB489" s="115"/>
      <x:c r="BC489" s="115"/>
      <x:c r="BD489" s="115"/>
      <x:c r="BE489" s="115"/>
      <x:c r="BF489" s="115"/>
      <x:c r="BG489" s="115"/>
      <x:c r="BH489" s="115"/>
      <x:c r="BI489" s="115"/>
      <x:c r="BJ489" s="115"/>
      <x:c r="BK489" s="115"/>
      <x:c r="BL489" s="115"/>
      <x:c r="BM489" s="115"/>
      <x:c r="BN489" s="115"/>
      <x:c r="BO489" s="115"/>
      <x:c r="BP489" s="115"/>
      <x:c r="BQ489" s="115"/>
      <x:c r="BR489" s="115"/>
      <x:c r="BS489" s="115"/>
      <x:c r="BT489" s="115"/>
      <x:c r="BU489" s="115"/>
      <x:c r="BV489" s="115"/>
      <x:c r="BW489" s="115"/>
      <x:c r="BX489" s="115"/>
      <x:c r="BY489" s="115"/>
      <x:c r="BZ489" s="115"/>
      <x:c r="CA489" s="115"/>
      <x:c r="CB489" s="116"/>
      <x:c r="CC489" s="141" t="str">
        <x:f>IF(COUNT(G489:P489)=0,"",AVERAGE(G489:P489)*4)</x:f>
      </x:c>
      <x:c r="CD489" s="178" t="str">
        <x:f>IF(COUNT(Q489:Z489)=0,"",AVERAGE(Q489:Z489)*4)</x:f>
      </x:c>
      <x:c r="CE489" s="178" t="str">
        <x:f>IF(COUNT(AA489:AJ489)=0,"",AVERAGE(AA489:AJ489)*4)</x:f>
      </x:c>
      <x:c r="CF489" s="178" t="str">
        <x:f>IF(COUNT(AK489:AR489)=0,"",AVERAGE(AK489:AR489)*4)</x:f>
      </x:c>
      <x:c r="CG489" s="178" t="str">
        <x:f>IF(COUNT(AS489:AY489)=0,"",AVERAGE(AS489:AY489)*4)</x:f>
      </x:c>
      <x:c r="CH489" s="178" t="str">
        <x:f>IF(COUNT(AZ489:BG489)=0,"",AVERAGE(AZ489:BG489)*4)</x:f>
      </x:c>
      <x:c r="CI489" s="178" t="str">
        <x:f>IF(COUNT(BH489:BN489)=0,"",AVERAGE(BH489:BN489)*4)</x:f>
      </x:c>
      <x:c r="CJ489" s="178" t="str">
        <x:f>IF(COUNT(BO489:BU489)=0,"",AVERAGE(BO489:BU489)*4)</x:f>
      </x:c>
      <x:c r="CK489" s="178" t="str">
        <x:f>IF(COUNT(BV489:CB489)=0,"",AVERAGE(BV489:CB489)*4)</x:f>
      </x:c>
      <x:c r="CL489" s="178" t="str">
        <x:f>IF(C489="","",IF(COUNT(G489:CB489)&lt;74,"",(CC489*'تنظیمات وزن‌دهی'!$C$5+CD489*'تنظیمات وزن‌دهی'!$C$6+CE489*'تنظیمات وزن‌دهی'!$C$7+CF489*'تنظیمات وزن‌دهی'!$C$8+CG489*'تنظیمات وزن‌دهی'!$C$9+CH489*'تنظیمات وزن‌دهی'!$C$10+CI489*'تنظیمات وزن‌دهی'!$C$11+CJ489*'تنظیمات وزن‌دهی'!$C$12+CK489*'تنظیمات وزن‌دهی'!$C$13)/100))</x:f>
      </x:c>
      <x:c r="CM489" s="178" t="str">
        <x:f>IF(C489="","",IF(COUNT(G489:CB489)=0,"",IF(COUNT(G489:CB489)&lt;74,"موقت - اطلاعات ناقص",IF(CL489&gt;=17,"عالی",IF(CL489&gt;=14,"خوب",IF(CL489&gt;=10,"متوسط","ضعیف"))))))</x:f>
      </x:c>
      <x:c r="CN489" s="178" t="n">
        <x:v>5</x:v>
      </x:c>
      <x:c r="CO489" s="142" t="n">
        <x:f>IF(C489="","",COUNT(G489:CB489)/74)</x:f>
        <x:v>0</x:v>
      </x:c>
      <x:c r="CP489" s="245"/>
    </x:row>
    <x:row r="490">
      <x:c r="A490" s="165" t="n">
        <x:v>486</x:v>
      </x:c>
      <x:c r="B490" s="233" t="str">
        <x:v>آذر</x:v>
      </x:c>
      <x:c r="C490" s="233" t="n">
        <x:f>IF('دانش‌آموزان'!E45="","",'دانش‌آموزان'!B45)</x:f>
        <x:v>41</x:v>
      </x:c>
      <x:c r="D490" s="233" t="str">
        <x:f>IF('دانش‌آموزان'!C45="","",'دانش‌آموزان'!C45)</x:f>
        <x:v>4000000411</x:v>
      </x:c>
      <x:c r="E490" s="233" t="str">
        <x:f>IF('دانش‌آموزان'!E45="","",'دانش‌آموزان'!E45&amp;" "&amp;'دانش‌آموزان'!F45)</x:f>
        <x:v>علی احمدی</x:v>
      </x:c>
      <x:c r="F490" s="166" t="str">
        <x:f>IF('دانش‌آموزان'!I45="","",'دانش‌آموزان'!I45)</x:f>
        <x:v>sample-7-b</x:v>
      </x:c>
      <x:c r="G490" s="114"/>
      <x:c r="H490" s="115"/>
      <x:c r="I490" s="115"/>
      <x:c r="J490" s="115"/>
      <x:c r="K490" s="115"/>
      <x:c r="L490" s="115"/>
      <x:c r="M490" s="115"/>
      <x:c r="N490" s="115"/>
      <x:c r="O490" s="115"/>
      <x:c r="P490" s="115"/>
      <x:c r="Q490" s="115"/>
      <x:c r="R490" s="115"/>
      <x:c r="S490" s="115"/>
      <x:c r="T490" s="115"/>
      <x:c r="U490" s="115"/>
      <x:c r="V490" s="115"/>
      <x:c r="W490" s="115"/>
      <x:c r="X490" s="115"/>
      <x:c r="Y490" s="115"/>
      <x:c r="Z490" s="115"/>
      <x:c r="AA490" s="115"/>
      <x:c r="AB490" s="115"/>
      <x:c r="AC490" s="115"/>
      <x:c r="AD490" s="115"/>
      <x:c r="AE490" s="115"/>
      <x:c r="AF490" s="115"/>
      <x:c r="AG490" s="115"/>
      <x:c r="AH490" s="115"/>
      <x:c r="AI490" s="115"/>
      <x:c r="AJ490" s="115"/>
      <x:c r="AK490" s="115"/>
      <x:c r="AL490" s="115"/>
      <x:c r="AM490" s="115"/>
      <x:c r="AN490" s="115"/>
      <x:c r="AO490" s="115"/>
      <x:c r="AP490" s="115"/>
      <x:c r="AQ490" s="115"/>
      <x:c r="AR490" s="115"/>
      <x:c r="AS490" s="115"/>
      <x:c r="AT490" s="115"/>
      <x:c r="AU490" s="115"/>
      <x:c r="AV490" s="115"/>
      <x:c r="AW490" s="115"/>
      <x:c r="AX490" s="115"/>
      <x:c r="AY490" s="115"/>
      <x:c r="AZ490" s="115"/>
      <x:c r="BA490" s="115"/>
      <x:c r="BB490" s="115"/>
      <x:c r="BC490" s="115"/>
      <x:c r="BD490" s="115"/>
      <x:c r="BE490" s="115"/>
      <x:c r="BF490" s="115"/>
      <x:c r="BG490" s="115"/>
      <x:c r="BH490" s="115"/>
      <x:c r="BI490" s="115"/>
      <x:c r="BJ490" s="115"/>
      <x:c r="BK490" s="115"/>
      <x:c r="BL490" s="115"/>
      <x:c r="BM490" s="115"/>
      <x:c r="BN490" s="115"/>
      <x:c r="BO490" s="115"/>
      <x:c r="BP490" s="115"/>
      <x:c r="BQ490" s="115"/>
      <x:c r="BR490" s="115"/>
      <x:c r="BS490" s="115"/>
      <x:c r="BT490" s="115"/>
      <x:c r="BU490" s="115"/>
      <x:c r="BV490" s="115"/>
      <x:c r="BW490" s="115"/>
      <x:c r="BX490" s="115"/>
      <x:c r="BY490" s="115"/>
      <x:c r="BZ490" s="115"/>
      <x:c r="CA490" s="115"/>
      <x:c r="CB490" s="116"/>
      <x:c r="CC490" s="141" t="str">
        <x:f>IF(COUNT(G490:P490)=0,"",AVERAGE(G490:P490)*4)</x:f>
      </x:c>
      <x:c r="CD490" s="178" t="str">
        <x:f>IF(COUNT(Q490:Z490)=0,"",AVERAGE(Q490:Z490)*4)</x:f>
      </x:c>
      <x:c r="CE490" s="178" t="str">
        <x:f>IF(COUNT(AA490:AJ490)=0,"",AVERAGE(AA490:AJ490)*4)</x:f>
      </x:c>
      <x:c r="CF490" s="178" t="str">
        <x:f>IF(COUNT(AK490:AR490)=0,"",AVERAGE(AK490:AR490)*4)</x:f>
      </x:c>
      <x:c r="CG490" s="178" t="str">
        <x:f>IF(COUNT(AS490:AY490)=0,"",AVERAGE(AS490:AY490)*4)</x:f>
      </x:c>
      <x:c r="CH490" s="178" t="str">
        <x:f>IF(COUNT(AZ490:BG490)=0,"",AVERAGE(AZ490:BG490)*4)</x:f>
      </x:c>
      <x:c r="CI490" s="178" t="str">
        <x:f>IF(COUNT(BH490:BN490)=0,"",AVERAGE(BH490:BN490)*4)</x:f>
      </x:c>
      <x:c r="CJ490" s="178" t="str">
        <x:f>IF(COUNT(BO490:BU490)=0,"",AVERAGE(BO490:BU490)*4)</x:f>
      </x:c>
      <x:c r="CK490" s="178" t="str">
        <x:f>IF(COUNT(BV490:CB490)=0,"",AVERAGE(BV490:CB490)*4)</x:f>
      </x:c>
      <x:c r="CL490" s="178" t="str">
        <x:f>IF(C490="","",IF(COUNT(G490:CB490)&lt;74,"",(CC490*'تنظیمات وزن‌دهی'!$C$5+CD490*'تنظیمات وزن‌دهی'!$C$6+CE490*'تنظیمات وزن‌دهی'!$C$7+CF490*'تنظیمات وزن‌دهی'!$C$8+CG490*'تنظیمات وزن‌دهی'!$C$9+CH490*'تنظیمات وزن‌دهی'!$C$10+CI490*'تنظیمات وزن‌دهی'!$C$11+CJ490*'تنظیمات وزن‌دهی'!$C$12+CK490*'تنظیمات وزن‌دهی'!$C$13)/100))</x:f>
      </x:c>
      <x:c r="CM490" s="178" t="str">
        <x:f>IF(C490="","",IF(COUNT(G490:CB490)=0,"",IF(COUNT(G490:CB490)&lt;74,"موقت - اطلاعات ناقص",IF(CL490&gt;=17,"عالی",IF(CL490&gt;=14,"خوب",IF(CL490&gt;=10,"متوسط","ضعیف"))))))</x:f>
      </x:c>
      <x:c r="CN490" s="178" t="n">
        <x:v>6</x:v>
      </x:c>
      <x:c r="CO490" s="142" t="n">
        <x:f>IF(C490="","",COUNT(G490:CB490)/74)</x:f>
        <x:v>0</x:v>
      </x:c>
      <x:c r="CP490" s="245"/>
    </x:row>
    <x:row r="491">
      <x:c r="A491" s="165" t="n">
        <x:v>487</x:v>
      </x:c>
      <x:c r="B491" s="233" t="str">
        <x:v>دی</x:v>
      </x:c>
      <x:c r="C491" s="233" t="n">
        <x:f>IF('دانش‌آموزان'!E45="","",'دانش‌آموزان'!B45)</x:f>
        <x:v>41</x:v>
      </x:c>
      <x:c r="D491" s="233" t="str">
        <x:f>IF('دانش‌آموزان'!C45="","",'دانش‌آموزان'!C45)</x:f>
        <x:v>4000000411</x:v>
      </x:c>
      <x:c r="E491" s="233" t="str">
        <x:f>IF('دانش‌آموزان'!E45="","",'دانش‌آموزان'!E45&amp;" "&amp;'دانش‌آموزان'!F45)</x:f>
        <x:v>علی احمدی</x:v>
      </x:c>
      <x:c r="F491" s="166" t="str">
        <x:f>IF('دانش‌آموزان'!I45="","",'دانش‌آموزان'!I45)</x:f>
        <x:v>sample-7-b</x:v>
      </x:c>
      <x:c r="G491" s="114"/>
      <x:c r="H491" s="115"/>
      <x:c r="I491" s="115"/>
      <x:c r="J491" s="115"/>
      <x:c r="K491" s="115"/>
      <x:c r="L491" s="115"/>
      <x:c r="M491" s="115"/>
      <x:c r="N491" s="115"/>
      <x:c r="O491" s="115"/>
      <x:c r="P491" s="115"/>
      <x:c r="Q491" s="115"/>
      <x:c r="R491" s="115"/>
      <x:c r="S491" s="115"/>
      <x:c r="T491" s="115"/>
      <x:c r="U491" s="115"/>
      <x:c r="V491" s="115"/>
      <x:c r="W491" s="115"/>
      <x:c r="X491" s="115"/>
      <x:c r="Y491" s="115"/>
      <x:c r="Z491" s="115"/>
      <x:c r="AA491" s="115"/>
      <x:c r="AB491" s="115"/>
      <x:c r="AC491" s="115"/>
      <x:c r="AD491" s="115"/>
      <x:c r="AE491" s="115"/>
      <x:c r="AF491" s="115"/>
      <x:c r="AG491" s="115"/>
      <x:c r="AH491" s="115"/>
      <x:c r="AI491" s="115"/>
      <x:c r="AJ491" s="115"/>
      <x:c r="AK491" s="115"/>
      <x:c r="AL491" s="115"/>
      <x:c r="AM491" s="115"/>
      <x:c r="AN491" s="115"/>
      <x:c r="AO491" s="115"/>
      <x:c r="AP491" s="115"/>
      <x:c r="AQ491" s="115"/>
      <x:c r="AR491" s="115"/>
      <x:c r="AS491" s="115"/>
      <x:c r="AT491" s="115"/>
      <x:c r="AU491" s="115"/>
      <x:c r="AV491" s="115"/>
      <x:c r="AW491" s="115"/>
      <x:c r="AX491" s="115"/>
      <x:c r="AY491" s="115"/>
      <x:c r="AZ491" s="115"/>
      <x:c r="BA491" s="115"/>
      <x:c r="BB491" s="115"/>
      <x:c r="BC491" s="115"/>
      <x:c r="BD491" s="115"/>
      <x:c r="BE491" s="115"/>
      <x:c r="BF491" s="115"/>
      <x:c r="BG491" s="115"/>
      <x:c r="BH491" s="115"/>
      <x:c r="BI491" s="115"/>
      <x:c r="BJ491" s="115"/>
      <x:c r="BK491" s="115"/>
      <x:c r="BL491" s="115"/>
      <x:c r="BM491" s="115"/>
      <x:c r="BN491" s="115"/>
      <x:c r="BO491" s="115"/>
      <x:c r="BP491" s="115"/>
      <x:c r="BQ491" s="115"/>
      <x:c r="BR491" s="115"/>
      <x:c r="BS491" s="115"/>
      <x:c r="BT491" s="115"/>
      <x:c r="BU491" s="115"/>
      <x:c r="BV491" s="115"/>
      <x:c r="BW491" s="115"/>
      <x:c r="BX491" s="115"/>
      <x:c r="BY491" s="115"/>
      <x:c r="BZ491" s="115"/>
      <x:c r="CA491" s="115"/>
      <x:c r="CB491" s="116"/>
      <x:c r="CC491" s="141" t="str">
        <x:f>IF(COUNT(G491:P491)=0,"",AVERAGE(G491:P491)*4)</x:f>
      </x:c>
      <x:c r="CD491" s="178" t="str">
        <x:f>IF(COUNT(Q491:Z491)=0,"",AVERAGE(Q491:Z491)*4)</x:f>
      </x:c>
      <x:c r="CE491" s="178" t="str">
        <x:f>IF(COUNT(AA491:AJ491)=0,"",AVERAGE(AA491:AJ491)*4)</x:f>
      </x:c>
      <x:c r="CF491" s="178" t="str">
        <x:f>IF(COUNT(AK491:AR491)=0,"",AVERAGE(AK491:AR491)*4)</x:f>
      </x:c>
      <x:c r="CG491" s="178" t="str">
        <x:f>IF(COUNT(AS491:AY491)=0,"",AVERAGE(AS491:AY491)*4)</x:f>
      </x:c>
      <x:c r="CH491" s="178" t="str">
        <x:f>IF(COUNT(AZ491:BG491)=0,"",AVERAGE(AZ491:BG491)*4)</x:f>
      </x:c>
      <x:c r="CI491" s="178" t="str">
        <x:f>IF(COUNT(BH491:BN491)=0,"",AVERAGE(BH491:BN491)*4)</x:f>
      </x:c>
      <x:c r="CJ491" s="178" t="str">
        <x:f>IF(COUNT(BO491:BU491)=0,"",AVERAGE(BO491:BU491)*4)</x:f>
      </x:c>
      <x:c r="CK491" s="178" t="str">
        <x:f>IF(COUNT(BV491:CB491)=0,"",AVERAGE(BV491:CB491)*4)</x:f>
      </x:c>
      <x:c r="CL491" s="178" t="str">
        <x:f>IF(C491="","",IF(COUNT(G491:CB491)&lt;74,"",(CC491*'تنظیمات وزن‌دهی'!$C$5+CD491*'تنظیمات وزن‌دهی'!$C$6+CE491*'تنظیمات وزن‌دهی'!$C$7+CF491*'تنظیمات وزن‌دهی'!$C$8+CG491*'تنظیمات وزن‌دهی'!$C$9+CH491*'تنظیمات وزن‌دهی'!$C$10+CI491*'تنظیمات وزن‌دهی'!$C$11+CJ491*'تنظیمات وزن‌دهی'!$C$12+CK491*'تنظیمات وزن‌دهی'!$C$13)/100))</x:f>
      </x:c>
      <x:c r="CM491" s="178" t="str">
        <x:f>IF(C491="","",IF(COUNT(G491:CB491)=0,"",IF(COUNT(G491:CB491)&lt;74,"موقت - اطلاعات ناقص",IF(CL491&gt;=17,"عالی",IF(CL491&gt;=14,"خوب",IF(CL491&gt;=10,"متوسط","ضعیف"))))))</x:f>
      </x:c>
      <x:c r="CN491" s="178" t="n">
        <x:v>7</x:v>
      </x:c>
      <x:c r="CO491" s="142" t="n">
        <x:f>IF(C491="","",COUNT(G491:CB491)/74)</x:f>
        <x:v>0</x:v>
      </x:c>
      <x:c r="CP491" s="245"/>
    </x:row>
    <x:row r="492">
      <x:c r="A492" s="165" t="n">
        <x:v>488</x:v>
      </x:c>
      <x:c r="B492" s="233" t="str">
        <x:v>بهمن</x:v>
      </x:c>
      <x:c r="C492" s="233" t="n">
        <x:f>IF('دانش‌آموزان'!E45="","",'دانش‌آموزان'!B45)</x:f>
        <x:v>41</x:v>
      </x:c>
      <x:c r="D492" s="233" t="str">
        <x:f>IF('دانش‌آموزان'!C45="","",'دانش‌آموزان'!C45)</x:f>
        <x:v>4000000411</x:v>
      </x:c>
      <x:c r="E492" s="233" t="str">
        <x:f>IF('دانش‌آموزان'!E45="","",'دانش‌آموزان'!E45&amp;" "&amp;'دانش‌آموزان'!F45)</x:f>
        <x:v>علی احمدی</x:v>
      </x:c>
      <x:c r="F492" s="166" t="str">
        <x:f>IF('دانش‌آموزان'!I45="","",'دانش‌آموزان'!I45)</x:f>
        <x:v>sample-7-b</x:v>
      </x:c>
      <x:c r="G492" s="114"/>
      <x:c r="H492" s="115"/>
      <x:c r="I492" s="115"/>
      <x:c r="J492" s="115"/>
      <x:c r="K492" s="115"/>
      <x:c r="L492" s="115"/>
      <x:c r="M492" s="115"/>
      <x:c r="N492" s="115"/>
      <x:c r="O492" s="115"/>
      <x:c r="P492" s="115"/>
      <x:c r="Q492" s="115"/>
      <x:c r="R492" s="115"/>
      <x:c r="S492" s="115"/>
      <x:c r="T492" s="115"/>
      <x:c r="U492" s="115"/>
      <x:c r="V492" s="115"/>
      <x:c r="W492" s="115"/>
      <x:c r="X492" s="115"/>
      <x:c r="Y492" s="115"/>
      <x:c r="Z492" s="115"/>
      <x:c r="AA492" s="115"/>
      <x:c r="AB492" s="115"/>
      <x:c r="AC492" s="115"/>
      <x:c r="AD492" s="115"/>
      <x:c r="AE492" s="115"/>
      <x:c r="AF492" s="115"/>
      <x:c r="AG492" s="115"/>
      <x:c r="AH492" s="115"/>
      <x:c r="AI492" s="115"/>
      <x:c r="AJ492" s="115"/>
      <x:c r="AK492" s="115"/>
      <x:c r="AL492" s="115"/>
      <x:c r="AM492" s="115"/>
      <x:c r="AN492" s="115"/>
      <x:c r="AO492" s="115"/>
      <x:c r="AP492" s="115"/>
      <x:c r="AQ492" s="115"/>
      <x:c r="AR492" s="115"/>
      <x:c r="AS492" s="115"/>
      <x:c r="AT492" s="115"/>
      <x:c r="AU492" s="115"/>
      <x:c r="AV492" s="115"/>
      <x:c r="AW492" s="115"/>
      <x:c r="AX492" s="115"/>
      <x:c r="AY492" s="115"/>
      <x:c r="AZ492" s="115"/>
      <x:c r="BA492" s="115"/>
      <x:c r="BB492" s="115"/>
      <x:c r="BC492" s="115"/>
      <x:c r="BD492" s="115"/>
      <x:c r="BE492" s="115"/>
      <x:c r="BF492" s="115"/>
      <x:c r="BG492" s="115"/>
      <x:c r="BH492" s="115"/>
      <x:c r="BI492" s="115"/>
      <x:c r="BJ492" s="115"/>
      <x:c r="BK492" s="115"/>
      <x:c r="BL492" s="115"/>
      <x:c r="BM492" s="115"/>
      <x:c r="BN492" s="115"/>
      <x:c r="BO492" s="115"/>
      <x:c r="BP492" s="115"/>
      <x:c r="BQ492" s="115"/>
      <x:c r="BR492" s="115"/>
      <x:c r="BS492" s="115"/>
      <x:c r="BT492" s="115"/>
      <x:c r="BU492" s="115"/>
      <x:c r="BV492" s="115"/>
      <x:c r="BW492" s="115"/>
      <x:c r="BX492" s="115"/>
      <x:c r="BY492" s="115"/>
      <x:c r="BZ492" s="115"/>
      <x:c r="CA492" s="115"/>
      <x:c r="CB492" s="116"/>
      <x:c r="CC492" s="141" t="str">
        <x:f>IF(COUNT(G492:P492)=0,"",AVERAGE(G492:P492)*4)</x:f>
      </x:c>
      <x:c r="CD492" s="178" t="str">
        <x:f>IF(COUNT(Q492:Z492)=0,"",AVERAGE(Q492:Z492)*4)</x:f>
      </x:c>
      <x:c r="CE492" s="178" t="str">
        <x:f>IF(COUNT(AA492:AJ492)=0,"",AVERAGE(AA492:AJ492)*4)</x:f>
      </x:c>
      <x:c r="CF492" s="178" t="str">
        <x:f>IF(COUNT(AK492:AR492)=0,"",AVERAGE(AK492:AR492)*4)</x:f>
      </x:c>
      <x:c r="CG492" s="178" t="str">
        <x:f>IF(COUNT(AS492:AY492)=0,"",AVERAGE(AS492:AY492)*4)</x:f>
      </x:c>
      <x:c r="CH492" s="178" t="str">
        <x:f>IF(COUNT(AZ492:BG492)=0,"",AVERAGE(AZ492:BG492)*4)</x:f>
      </x:c>
      <x:c r="CI492" s="178" t="str">
        <x:f>IF(COUNT(BH492:BN492)=0,"",AVERAGE(BH492:BN492)*4)</x:f>
      </x:c>
      <x:c r="CJ492" s="178" t="str">
        <x:f>IF(COUNT(BO492:BU492)=0,"",AVERAGE(BO492:BU492)*4)</x:f>
      </x:c>
      <x:c r="CK492" s="178" t="str">
        <x:f>IF(COUNT(BV492:CB492)=0,"",AVERAGE(BV492:CB492)*4)</x:f>
      </x:c>
      <x:c r="CL492" s="178" t="str">
        <x:f>IF(C492="","",IF(COUNT(G492:CB492)&lt;74,"",(CC492*'تنظیمات وزن‌دهی'!$C$5+CD492*'تنظیمات وزن‌دهی'!$C$6+CE492*'تنظیمات وزن‌دهی'!$C$7+CF492*'تنظیمات وزن‌دهی'!$C$8+CG492*'تنظیمات وزن‌دهی'!$C$9+CH492*'تنظیمات وزن‌دهی'!$C$10+CI492*'تنظیمات وزن‌دهی'!$C$11+CJ492*'تنظیمات وزن‌دهی'!$C$12+CK492*'تنظیمات وزن‌دهی'!$C$13)/100))</x:f>
      </x:c>
      <x:c r="CM492" s="178" t="str">
        <x:f>IF(C492="","",IF(COUNT(G492:CB492)=0,"",IF(COUNT(G492:CB492)&lt;74,"موقت - اطلاعات ناقص",IF(CL492&gt;=17,"عالی",IF(CL492&gt;=14,"خوب",IF(CL492&gt;=10,"متوسط","ضعیف"))))))</x:f>
      </x:c>
      <x:c r="CN492" s="178" t="n">
        <x:v>8</x:v>
      </x:c>
      <x:c r="CO492" s="142" t="n">
        <x:f>IF(C492="","",COUNT(G492:CB492)/74)</x:f>
        <x:v>0</x:v>
      </x:c>
      <x:c r="CP492" s="245"/>
    </x:row>
    <x:row r="493">
      <x:c r="A493" s="165" t="n">
        <x:v>489</x:v>
      </x:c>
      <x:c r="B493" s="233" t="str">
        <x:v>اسفند</x:v>
      </x:c>
      <x:c r="C493" s="233" t="n">
        <x:f>IF('دانش‌آموزان'!E45="","",'دانش‌آموزان'!B45)</x:f>
        <x:v>41</x:v>
      </x:c>
      <x:c r="D493" s="233" t="str">
        <x:f>IF('دانش‌آموزان'!C45="","",'دانش‌آموزان'!C45)</x:f>
        <x:v>4000000411</x:v>
      </x:c>
      <x:c r="E493" s="233" t="str">
        <x:f>IF('دانش‌آموزان'!E45="","",'دانش‌آموزان'!E45&amp;" "&amp;'دانش‌آموزان'!F45)</x:f>
        <x:v>علی احمدی</x:v>
      </x:c>
      <x:c r="F493" s="166" t="str">
        <x:f>IF('دانش‌آموزان'!I45="","",'دانش‌آموزان'!I45)</x:f>
        <x:v>sample-7-b</x:v>
      </x:c>
      <x:c r="G493" s="114"/>
      <x:c r="H493" s="115"/>
      <x:c r="I493" s="115"/>
      <x:c r="J493" s="115"/>
      <x:c r="K493" s="115"/>
      <x:c r="L493" s="115"/>
      <x:c r="M493" s="115"/>
      <x:c r="N493" s="115"/>
      <x:c r="O493" s="115"/>
      <x:c r="P493" s="115"/>
      <x:c r="Q493" s="115"/>
      <x:c r="R493" s="115"/>
      <x:c r="S493" s="115"/>
      <x:c r="T493" s="115"/>
      <x:c r="U493" s="115"/>
      <x:c r="V493" s="115"/>
      <x:c r="W493" s="115"/>
      <x:c r="X493" s="115"/>
      <x:c r="Y493" s="115"/>
      <x:c r="Z493" s="115"/>
      <x:c r="AA493" s="115"/>
      <x:c r="AB493" s="115"/>
      <x:c r="AC493" s="115"/>
      <x:c r="AD493" s="115"/>
      <x:c r="AE493" s="115"/>
      <x:c r="AF493" s="115"/>
      <x:c r="AG493" s="115"/>
      <x:c r="AH493" s="115"/>
      <x:c r="AI493" s="115"/>
      <x:c r="AJ493" s="115"/>
      <x:c r="AK493" s="115"/>
      <x:c r="AL493" s="115"/>
      <x:c r="AM493" s="115"/>
      <x:c r="AN493" s="115"/>
      <x:c r="AO493" s="115"/>
      <x:c r="AP493" s="115"/>
      <x:c r="AQ493" s="115"/>
      <x:c r="AR493" s="115"/>
      <x:c r="AS493" s="115"/>
      <x:c r="AT493" s="115"/>
      <x:c r="AU493" s="115"/>
      <x:c r="AV493" s="115"/>
      <x:c r="AW493" s="115"/>
      <x:c r="AX493" s="115"/>
      <x:c r="AY493" s="115"/>
      <x:c r="AZ493" s="115"/>
      <x:c r="BA493" s="115"/>
      <x:c r="BB493" s="115"/>
      <x:c r="BC493" s="115"/>
      <x:c r="BD493" s="115"/>
      <x:c r="BE493" s="115"/>
      <x:c r="BF493" s="115"/>
      <x:c r="BG493" s="115"/>
      <x:c r="BH493" s="115"/>
      <x:c r="BI493" s="115"/>
      <x:c r="BJ493" s="115"/>
      <x:c r="BK493" s="115"/>
      <x:c r="BL493" s="115"/>
      <x:c r="BM493" s="115"/>
      <x:c r="BN493" s="115"/>
      <x:c r="BO493" s="115"/>
      <x:c r="BP493" s="115"/>
      <x:c r="BQ493" s="115"/>
      <x:c r="BR493" s="115"/>
      <x:c r="BS493" s="115"/>
      <x:c r="BT493" s="115"/>
      <x:c r="BU493" s="115"/>
      <x:c r="BV493" s="115"/>
      <x:c r="BW493" s="115"/>
      <x:c r="BX493" s="115"/>
      <x:c r="BY493" s="115"/>
      <x:c r="BZ493" s="115"/>
      <x:c r="CA493" s="115"/>
      <x:c r="CB493" s="116"/>
      <x:c r="CC493" s="141" t="str">
        <x:f>IF(COUNT(G493:P493)=0,"",AVERAGE(G493:P493)*4)</x:f>
      </x:c>
      <x:c r="CD493" s="178" t="str">
        <x:f>IF(COUNT(Q493:Z493)=0,"",AVERAGE(Q493:Z493)*4)</x:f>
      </x:c>
      <x:c r="CE493" s="178" t="str">
        <x:f>IF(COUNT(AA493:AJ493)=0,"",AVERAGE(AA493:AJ493)*4)</x:f>
      </x:c>
      <x:c r="CF493" s="178" t="str">
        <x:f>IF(COUNT(AK493:AR493)=0,"",AVERAGE(AK493:AR493)*4)</x:f>
      </x:c>
      <x:c r="CG493" s="178" t="str">
        <x:f>IF(COUNT(AS493:AY493)=0,"",AVERAGE(AS493:AY493)*4)</x:f>
      </x:c>
      <x:c r="CH493" s="178" t="str">
        <x:f>IF(COUNT(AZ493:BG493)=0,"",AVERAGE(AZ493:BG493)*4)</x:f>
      </x:c>
      <x:c r="CI493" s="178" t="str">
        <x:f>IF(COUNT(BH493:BN493)=0,"",AVERAGE(BH493:BN493)*4)</x:f>
      </x:c>
      <x:c r="CJ493" s="178" t="str">
        <x:f>IF(COUNT(BO493:BU493)=0,"",AVERAGE(BO493:BU493)*4)</x:f>
      </x:c>
      <x:c r="CK493" s="178" t="str">
        <x:f>IF(COUNT(BV493:CB493)=0,"",AVERAGE(BV493:CB493)*4)</x:f>
      </x:c>
      <x:c r="CL493" s="178" t="str">
        <x:f>IF(C493="","",IF(COUNT(G493:CB493)&lt;74,"",(CC493*'تنظیمات وزن‌دهی'!$C$5+CD493*'تنظیمات وزن‌دهی'!$C$6+CE493*'تنظیمات وزن‌دهی'!$C$7+CF493*'تنظیمات وزن‌دهی'!$C$8+CG493*'تنظیمات وزن‌دهی'!$C$9+CH493*'تنظیمات وزن‌دهی'!$C$10+CI493*'تنظیمات وزن‌دهی'!$C$11+CJ493*'تنظیمات وزن‌دهی'!$C$12+CK493*'تنظیمات وزن‌دهی'!$C$13)/100))</x:f>
      </x:c>
      <x:c r="CM493" s="178" t="str">
        <x:f>IF(C493="","",IF(COUNT(G493:CB493)=0,"",IF(COUNT(G493:CB493)&lt;74,"موقت - اطلاعات ناقص",IF(CL493&gt;=17,"عالی",IF(CL493&gt;=14,"خوب",IF(CL493&gt;=10,"متوسط","ضعیف"))))))</x:f>
      </x:c>
      <x:c r="CN493" s="178" t="n">
        <x:v>9</x:v>
      </x:c>
      <x:c r="CO493" s="142" t="n">
        <x:f>IF(C493="","",COUNT(G493:CB493)/74)</x:f>
        <x:v>0</x:v>
      </x:c>
      <x:c r="CP493" s="245"/>
    </x:row>
    <x:row r="494">
      <x:c r="A494" s="165" t="n">
        <x:v>490</x:v>
      </x:c>
      <x:c r="B494" s="233" t="str">
        <x:v>فروردین</x:v>
      </x:c>
      <x:c r="C494" s="233" t="n">
        <x:f>IF('دانش‌آموزان'!E45="","",'دانش‌آموزان'!B45)</x:f>
        <x:v>41</x:v>
      </x:c>
      <x:c r="D494" s="233" t="str">
        <x:f>IF('دانش‌آموزان'!C45="","",'دانش‌آموزان'!C45)</x:f>
        <x:v>4000000411</x:v>
      </x:c>
      <x:c r="E494" s="233" t="str">
        <x:f>IF('دانش‌آموزان'!E45="","",'دانش‌آموزان'!E45&amp;" "&amp;'دانش‌آموزان'!F45)</x:f>
        <x:v>علی احمدی</x:v>
      </x:c>
      <x:c r="F494" s="166" t="str">
        <x:f>IF('دانش‌آموزان'!I45="","",'دانش‌آموزان'!I45)</x:f>
        <x:v>sample-7-b</x:v>
      </x:c>
      <x:c r="G494" s="114"/>
      <x:c r="H494" s="115"/>
      <x:c r="I494" s="115"/>
      <x:c r="J494" s="115"/>
      <x:c r="K494" s="115"/>
      <x:c r="L494" s="115"/>
      <x:c r="M494" s="115"/>
      <x:c r="N494" s="115"/>
      <x:c r="O494" s="115"/>
      <x:c r="P494" s="115"/>
      <x:c r="Q494" s="115"/>
      <x:c r="R494" s="115"/>
      <x:c r="S494" s="115"/>
      <x:c r="T494" s="115"/>
      <x:c r="U494" s="115"/>
      <x:c r="V494" s="115"/>
      <x:c r="W494" s="115"/>
      <x:c r="X494" s="115"/>
      <x:c r="Y494" s="115"/>
      <x:c r="Z494" s="115"/>
      <x:c r="AA494" s="115"/>
      <x:c r="AB494" s="115"/>
      <x:c r="AC494" s="115"/>
      <x:c r="AD494" s="115"/>
      <x:c r="AE494" s="115"/>
      <x:c r="AF494" s="115"/>
      <x:c r="AG494" s="115"/>
      <x:c r="AH494" s="115"/>
      <x:c r="AI494" s="115"/>
      <x:c r="AJ494" s="115"/>
      <x:c r="AK494" s="115"/>
      <x:c r="AL494" s="115"/>
      <x:c r="AM494" s="115"/>
      <x:c r="AN494" s="115"/>
      <x:c r="AO494" s="115"/>
      <x:c r="AP494" s="115"/>
      <x:c r="AQ494" s="115"/>
      <x:c r="AR494" s="115"/>
      <x:c r="AS494" s="115"/>
      <x:c r="AT494" s="115"/>
      <x:c r="AU494" s="115"/>
      <x:c r="AV494" s="115"/>
      <x:c r="AW494" s="115"/>
      <x:c r="AX494" s="115"/>
      <x:c r="AY494" s="115"/>
      <x:c r="AZ494" s="115"/>
      <x:c r="BA494" s="115"/>
      <x:c r="BB494" s="115"/>
      <x:c r="BC494" s="115"/>
      <x:c r="BD494" s="115"/>
      <x:c r="BE494" s="115"/>
      <x:c r="BF494" s="115"/>
      <x:c r="BG494" s="115"/>
      <x:c r="BH494" s="115"/>
      <x:c r="BI494" s="115"/>
      <x:c r="BJ494" s="115"/>
      <x:c r="BK494" s="115"/>
      <x:c r="BL494" s="115"/>
      <x:c r="BM494" s="115"/>
      <x:c r="BN494" s="115"/>
      <x:c r="BO494" s="115"/>
      <x:c r="BP494" s="115"/>
      <x:c r="BQ494" s="115"/>
      <x:c r="BR494" s="115"/>
      <x:c r="BS494" s="115"/>
      <x:c r="BT494" s="115"/>
      <x:c r="BU494" s="115"/>
      <x:c r="BV494" s="115"/>
      <x:c r="BW494" s="115"/>
      <x:c r="BX494" s="115"/>
      <x:c r="BY494" s="115"/>
      <x:c r="BZ494" s="115"/>
      <x:c r="CA494" s="115"/>
      <x:c r="CB494" s="116"/>
      <x:c r="CC494" s="141" t="str">
        <x:f>IF(COUNT(G494:P494)=0,"",AVERAGE(G494:P494)*4)</x:f>
      </x:c>
      <x:c r="CD494" s="178" t="str">
        <x:f>IF(COUNT(Q494:Z494)=0,"",AVERAGE(Q494:Z494)*4)</x:f>
      </x:c>
      <x:c r="CE494" s="178" t="str">
        <x:f>IF(COUNT(AA494:AJ494)=0,"",AVERAGE(AA494:AJ494)*4)</x:f>
      </x:c>
      <x:c r="CF494" s="178" t="str">
        <x:f>IF(COUNT(AK494:AR494)=0,"",AVERAGE(AK494:AR494)*4)</x:f>
      </x:c>
      <x:c r="CG494" s="178" t="str">
        <x:f>IF(COUNT(AS494:AY494)=0,"",AVERAGE(AS494:AY494)*4)</x:f>
      </x:c>
      <x:c r="CH494" s="178" t="str">
        <x:f>IF(COUNT(AZ494:BG494)=0,"",AVERAGE(AZ494:BG494)*4)</x:f>
      </x:c>
      <x:c r="CI494" s="178" t="str">
        <x:f>IF(COUNT(BH494:BN494)=0,"",AVERAGE(BH494:BN494)*4)</x:f>
      </x:c>
      <x:c r="CJ494" s="178" t="str">
        <x:f>IF(COUNT(BO494:BU494)=0,"",AVERAGE(BO494:BU494)*4)</x:f>
      </x:c>
      <x:c r="CK494" s="178" t="str">
        <x:f>IF(COUNT(BV494:CB494)=0,"",AVERAGE(BV494:CB494)*4)</x:f>
      </x:c>
      <x:c r="CL494" s="178" t="str">
        <x:f>IF(C494="","",IF(COUNT(G494:CB494)&lt;74,"",(CC494*'تنظیمات وزن‌دهی'!$C$5+CD494*'تنظیمات وزن‌دهی'!$C$6+CE494*'تنظیمات وزن‌دهی'!$C$7+CF494*'تنظیمات وزن‌دهی'!$C$8+CG494*'تنظیمات وزن‌دهی'!$C$9+CH494*'تنظیمات وزن‌دهی'!$C$10+CI494*'تنظیمات وزن‌دهی'!$C$11+CJ494*'تنظیمات وزن‌دهی'!$C$12+CK494*'تنظیمات وزن‌دهی'!$C$13)/100))</x:f>
      </x:c>
      <x:c r="CM494" s="178" t="str">
        <x:f>IF(C494="","",IF(COUNT(G494:CB494)=0,"",IF(COUNT(G494:CB494)&lt;74,"موقت - اطلاعات ناقص",IF(CL494&gt;=17,"عالی",IF(CL494&gt;=14,"خوب",IF(CL494&gt;=10,"متوسط","ضعیف"))))))</x:f>
      </x:c>
      <x:c r="CN494" s="178" t="n">
        <x:v>10</x:v>
      </x:c>
      <x:c r="CO494" s="142" t="n">
        <x:f>IF(C494="","",COUNT(G494:CB494)/74)</x:f>
        <x:v>0</x:v>
      </x:c>
      <x:c r="CP494" s="245"/>
    </x:row>
    <x:row r="495">
      <x:c r="A495" s="165" t="n">
        <x:v>491</x:v>
      </x:c>
      <x:c r="B495" s="233" t="str">
        <x:v>اردیبهشت</x:v>
      </x:c>
      <x:c r="C495" s="233" t="n">
        <x:f>IF('دانش‌آموزان'!E45="","",'دانش‌آموزان'!B45)</x:f>
        <x:v>41</x:v>
      </x:c>
      <x:c r="D495" s="233" t="str">
        <x:f>IF('دانش‌آموزان'!C45="","",'دانش‌آموزان'!C45)</x:f>
        <x:v>4000000411</x:v>
      </x:c>
      <x:c r="E495" s="233" t="str">
        <x:f>IF('دانش‌آموزان'!E45="","",'دانش‌آموزان'!E45&amp;" "&amp;'دانش‌آموزان'!F45)</x:f>
        <x:v>علی احمدی</x:v>
      </x:c>
      <x:c r="F495" s="166" t="str">
        <x:f>IF('دانش‌آموزان'!I45="","",'دانش‌آموزان'!I45)</x:f>
        <x:v>sample-7-b</x:v>
      </x:c>
      <x:c r="G495" s="114"/>
      <x:c r="H495" s="115"/>
      <x:c r="I495" s="115"/>
      <x:c r="J495" s="115"/>
      <x:c r="K495" s="115"/>
      <x:c r="L495" s="115"/>
      <x:c r="M495" s="115"/>
      <x:c r="N495" s="115"/>
      <x:c r="O495" s="115"/>
      <x:c r="P495" s="115"/>
      <x:c r="Q495" s="115"/>
      <x:c r="R495" s="115"/>
      <x:c r="S495" s="115"/>
      <x:c r="T495" s="115"/>
      <x:c r="U495" s="115"/>
      <x:c r="V495" s="115"/>
      <x:c r="W495" s="115"/>
      <x:c r="X495" s="115"/>
      <x:c r="Y495" s="115"/>
      <x:c r="Z495" s="115"/>
      <x:c r="AA495" s="115"/>
      <x:c r="AB495" s="115"/>
      <x:c r="AC495" s="115"/>
      <x:c r="AD495" s="115"/>
      <x:c r="AE495" s="115"/>
      <x:c r="AF495" s="115"/>
      <x:c r="AG495" s="115"/>
      <x:c r="AH495" s="115"/>
      <x:c r="AI495" s="115"/>
      <x:c r="AJ495" s="115"/>
      <x:c r="AK495" s="115"/>
      <x:c r="AL495" s="115"/>
      <x:c r="AM495" s="115"/>
      <x:c r="AN495" s="115"/>
      <x:c r="AO495" s="115"/>
      <x:c r="AP495" s="115"/>
      <x:c r="AQ495" s="115"/>
      <x:c r="AR495" s="115"/>
      <x:c r="AS495" s="115"/>
      <x:c r="AT495" s="115"/>
      <x:c r="AU495" s="115"/>
      <x:c r="AV495" s="115"/>
      <x:c r="AW495" s="115"/>
      <x:c r="AX495" s="115"/>
      <x:c r="AY495" s="115"/>
      <x:c r="AZ495" s="115"/>
      <x:c r="BA495" s="115"/>
      <x:c r="BB495" s="115"/>
      <x:c r="BC495" s="115"/>
      <x:c r="BD495" s="115"/>
      <x:c r="BE495" s="115"/>
      <x:c r="BF495" s="115"/>
      <x:c r="BG495" s="115"/>
      <x:c r="BH495" s="115"/>
      <x:c r="BI495" s="115"/>
      <x:c r="BJ495" s="115"/>
      <x:c r="BK495" s="115"/>
      <x:c r="BL495" s="115"/>
      <x:c r="BM495" s="115"/>
      <x:c r="BN495" s="115"/>
      <x:c r="BO495" s="115"/>
      <x:c r="BP495" s="115"/>
      <x:c r="BQ495" s="115"/>
      <x:c r="BR495" s="115"/>
      <x:c r="BS495" s="115"/>
      <x:c r="BT495" s="115"/>
      <x:c r="BU495" s="115"/>
      <x:c r="BV495" s="115"/>
      <x:c r="BW495" s="115"/>
      <x:c r="BX495" s="115"/>
      <x:c r="BY495" s="115"/>
      <x:c r="BZ495" s="115"/>
      <x:c r="CA495" s="115"/>
      <x:c r="CB495" s="116"/>
      <x:c r="CC495" s="141" t="str">
        <x:f>IF(COUNT(G495:P495)=0,"",AVERAGE(G495:P495)*4)</x:f>
      </x:c>
      <x:c r="CD495" s="178" t="str">
        <x:f>IF(COUNT(Q495:Z495)=0,"",AVERAGE(Q495:Z495)*4)</x:f>
      </x:c>
      <x:c r="CE495" s="178" t="str">
        <x:f>IF(COUNT(AA495:AJ495)=0,"",AVERAGE(AA495:AJ495)*4)</x:f>
      </x:c>
      <x:c r="CF495" s="178" t="str">
        <x:f>IF(COUNT(AK495:AR495)=0,"",AVERAGE(AK495:AR495)*4)</x:f>
      </x:c>
      <x:c r="CG495" s="178" t="str">
        <x:f>IF(COUNT(AS495:AY495)=0,"",AVERAGE(AS495:AY495)*4)</x:f>
      </x:c>
      <x:c r="CH495" s="178" t="str">
        <x:f>IF(COUNT(AZ495:BG495)=0,"",AVERAGE(AZ495:BG495)*4)</x:f>
      </x:c>
      <x:c r="CI495" s="178" t="str">
        <x:f>IF(COUNT(BH495:BN495)=0,"",AVERAGE(BH495:BN495)*4)</x:f>
      </x:c>
      <x:c r="CJ495" s="178" t="str">
        <x:f>IF(COUNT(BO495:BU495)=0,"",AVERAGE(BO495:BU495)*4)</x:f>
      </x:c>
      <x:c r="CK495" s="178" t="str">
        <x:f>IF(COUNT(BV495:CB495)=0,"",AVERAGE(BV495:CB495)*4)</x:f>
      </x:c>
      <x:c r="CL495" s="178" t="str">
        <x:f>IF(C495="","",IF(COUNT(G495:CB495)&lt;74,"",(CC495*'تنظیمات وزن‌دهی'!$C$5+CD495*'تنظیمات وزن‌دهی'!$C$6+CE495*'تنظیمات وزن‌دهی'!$C$7+CF495*'تنظیمات وزن‌دهی'!$C$8+CG495*'تنظیمات وزن‌دهی'!$C$9+CH495*'تنظیمات وزن‌دهی'!$C$10+CI495*'تنظیمات وزن‌دهی'!$C$11+CJ495*'تنظیمات وزن‌دهی'!$C$12+CK495*'تنظیمات وزن‌دهی'!$C$13)/100))</x:f>
      </x:c>
      <x:c r="CM495" s="178" t="str">
        <x:f>IF(C495="","",IF(COUNT(G495:CB495)=0,"",IF(COUNT(G495:CB495)&lt;74,"موقت - اطلاعات ناقص",IF(CL495&gt;=17,"عالی",IF(CL495&gt;=14,"خوب",IF(CL495&gt;=10,"متوسط","ضعیف"))))))</x:f>
      </x:c>
      <x:c r="CN495" s="178" t="n">
        <x:v>11</x:v>
      </x:c>
      <x:c r="CO495" s="142" t="n">
        <x:f>IF(C495="","",COUNT(G495:CB495)/74)</x:f>
        <x:v>0</x:v>
      </x:c>
      <x:c r="CP495" s="245"/>
    </x:row>
    <x:row r="496">
      <x:c r="A496" s="165" t="n">
        <x:v>492</x:v>
      </x:c>
      <x:c r="B496" s="233" t="str">
        <x:v>خرداد</x:v>
      </x:c>
      <x:c r="C496" s="233" t="n">
        <x:f>IF('دانش‌آموزان'!E45="","",'دانش‌آموزان'!B45)</x:f>
        <x:v>41</x:v>
      </x:c>
      <x:c r="D496" s="233" t="str">
        <x:f>IF('دانش‌آموزان'!C45="","",'دانش‌آموزان'!C45)</x:f>
        <x:v>4000000411</x:v>
      </x:c>
      <x:c r="E496" s="233" t="str">
        <x:f>IF('دانش‌آموزان'!E45="","",'دانش‌آموزان'!E45&amp;" "&amp;'دانش‌آموزان'!F45)</x:f>
        <x:v>علی احمدی</x:v>
      </x:c>
      <x:c r="F496" s="166" t="str">
        <x:f>IF('دانش‌آموزان'!I45="","",'دانش‌آموزان'!I45)</x:f>
        <x:v>sample-7-b</x:v>
      </x:c>
      <x:c r="G496" s="114"/>
      <x:c r="H496" s="115"/>
      <x:c r="I496" s="115"/>
      <x:c r="J496" s="115"/>
      <x:c r="K496" s="115"/>
      <x:c r="L496" s="115"/>
      <x:c r="M496" s="115"/>
      <x:c r="N496" s="115"/>
      <x:c r="O496" s="115"/>
      <x:c r="P496" s="115"/>
      <x:c r="Q496" s="115"/>
      <x:c r="R496" s="115"/>
      <x:c r="S496" s="115"/>
      <x:c r="T496" s="115"/>
      <x:c r="U496" s="115"/>
      <x:c r="V496" s="115"/>
      <x:c r="W496" s="115"/>
      <x:c r="X496" s="115"/>
      <x:c r="Y496" s="115"/>
      <x:c r="Z496" s="115"/>
      <x:c r="AA496" s="115"/>
      <x:c r="AB496" s="115"/>
      <x:c r="AC496" s="115"/>
      <x:c r="AD496" s="115"/>
      <x:c r="AE496" s="115"/>
      <x:c r="AF496" s="115"/>
      <x:c r="AG496" s="115"/>
      <x:c r="AH496" s="115"/>
      <x:c r="AI496" s="115"/>
      <x:c r="AJ496" s="115"/>
      <x:c r="AK496" s="115"/>
      <x:c r="AL496" s="115"/>
      <x:c r="AM496" s="115"/>
      <x:c r="AN496" s="115"/>
      <x:c r="AO496" s="115"/>
      <x:c r="AP496" s="115"/>
      <x:c r="AQ496" s="115"/>
      <x:c r="AR496" s="115"/>
      <x:c r="AS496" s="115"/>
      <x:c r="AT496" s="115"/>
      <x:c r="AU496" s="115"/>
      <x:c r="AV496" s="115"/>
      <x:c r="AW496" s="115"/>
      <x:c r="AX496" s="115"/>
      <x:c r="AY496" s="115"/>
      <x:c r="AZ496" s="115"/>
      <x:c r="BA496" s="115"/>
      <x:c r="BB496" s="115"/>
      <x:c r="BC496" s="115"/>
      <x:c r="BD496" s="115"/>
      <x:c r="BE496" s="115"/>
      <x:c r="BF496" s="115"/>
      <x:c r="BG496" s="115"/>
      <x:c r="BH496" s="115"/>
      <x:c r="BI496" s="115"/>
      <x:c r="BJ496" s="115"/>
      <x:c r="BK496" s="115"/>
      <x:c r="BL496" s="115"/>
      <x:c r="BM496" s="115"/>
      <x:c r="BN496" s="115"/>
      <x:c r="BO496" s="115"/>
      <x:c r="BP496" s="115"/>
      <x:c r="BQ496" s="115"/>
      <x:c r="BR496" s="115"/>
      <x:c r="BS496" s="115"/>
      <x:c r="BT496" s="115"/>
      <x:c r="BU496" s="115"/>
      <x:c r="BV496" s="115"/>
      <x:c r="BW496" s="115"/>
      <x:c r="BX496" s="115"/>
      <x:c r="BY496" s="115"/>
      <x:c r="BZ496" s="115"/>
      <x:c r="CA496" s="115"/>
      <x:c r="CB496" s="116"/>
      <x:c r="CC496" s="141" t="str">
        <x:f>IF(COUNT(G496:P496)=0,"",AVERAGE(G496:P496)*4)</x:f>
      </x:c>
      <x:c r="CD496" s="178" t="str">
        <x:f>IF(COUNT(Q496:Z496)=0,"",AVERAGE(Q496:Z496)*4)</x:f>
      </x:c>
      <x:c r="CE496" s="178" t="str">
        <x:f>IF(COUNT(AA496:AJ496)=0,"",AVERAGE(AA496:AJ496)*4)</x:f>
      </x:c>
      <x:c r="CF496" s="178" t="str">
        <x:f>IF(COUNT(AK496:AR496)=0,"",AVERAGE(AK496:AR496)*4)</x:f>
      </x:c>
      <x:c r="CG496" s="178" t="str">
        <x:f>IF(COUNT(AS496:AY496)=0,"",AVERAGE(AS496:AY496)*4)</x:f>
      </x:c>
      <x:c r="CH496" s="178" t="str">
        <x:f>IF(COUNT(AZ496:BG496)=0,"",AVERAGE(AZ496:BG496)*4)</x:f>
      </x:c>
      <x:c r="CI496" s="178" t="str">
        <x:f>IF(COUNT(BH496:BN496)=0,"",AVERAGE(BH496:BN496)*4)</x:f>
      </x:c>
      <x:c r="CJ496" s="178" t="str">
        <x:f>IF(COUNT(BO496:BU496)=0,"",AVERAGE(BO496:BU496)*4)</x:f>
      </x:c>
      <x:c r="CK496" s="178" t="str">
        <x:f>IF(COUNT(BV496:CB496)=0,"",AVERAGE(BV496:CB496)*4)</x:f>
      </x:c>
      <x:c r="CL496" s="178" t="str">
        <x:f>IF(C496="","",IF(COUNT(G496:CB496)&lt;74,"",(CC496*'تنظیمات وزن‌دهی'!$C$5+CD496*'تنظیمات وزن‌دهی'!$C$6+CE496*'تنظیمات وزن‌دهی'!$C$7+CF496*'تنظیمات وزن‌دهی'!$C$8+CG496*'تنظیمات وزن‌دهی'!$C$9+CH496*'تنظیمات وزن‌دهی'!$C$10+CI496*'تنظیمات وزن‌دهی'!$C$11+CJ496*'تنظیمات وزن‌دهی'!$C$12+CK496*'تنظیمات وزن‌دهی'!$C$13)/100))</x:f>
      </x:c>
      <x:c r="CM496" s="178" t="str">
        <x:f>IF(C496="","",IF(COUNT(G496:CB496)=0,"",IF(COUNT(G496:CB496)&lt;74,"موقت - اطلاعات ناقص",IF(CL496&gt;=17,"عالی",IF(CL496&gt;=14,"خوب",IF(CL496&gt;=10,"متوسط","ضعیف"))))))</x:f>
      </x:c>
      <x:c r="CN496" s="178" t="n">
        <x:v>12</x:v>
      </x:c>
      <x:c r="CO496" s="142" t="n">
        <x:f>IF(C496="","",COUNT(G496:CB496)/74)</x:f>
        <x:v>0</x:v>
      </x:c>
      <x:c r="CP496" s="245"/>
    </x:row>
    <x:row r="497">
      <x:c r="A497" s="165" t="n">
        <x:v>493</x:v>
      </x:c>
      <x:c r="B497" s="233" t="str">
        <x:v>تیر</x:v>
      </x:c>
      <x:c r="C497" s="233" t="n">
        <x:f>IF('دانش‌آموزان'!E46="","",'دانش‌آموزان'!B46)</x:f>
        <x:v>42</x:v>
      </x:c>
      <x:c r="D497" s="233" t="str">
        <x:f>IF('دانش‌آموزان'!C46="","",'دانش‌آموزان'!C46)</x:f>
        <x:v>4000000421</x:v>
      </x:c>
      <x:c r="E497" s="233" t="str">
        <x:f>IF('دانش‌آموزان'!E46="","",'دانش‌آموزان'!E46&amp;" "&amp;'دانش‌آموزان'!F46)</x:f>
        <x:v>فاطمه اکبری</x:v>
      </x:c>
      <x:c r="F497" s="166" t="str">
        <x:f>IF('دانش‌آموزان'!I46="","",'دانش‌آموزان'!I46)</x:f>
        <x:v>sample-7-b</x:v>
      </x:c>
      <x:c r="G497" s="114" t="n">
        <x:v>3</x:v>
      </x:c>
      <x:c r="H497" s="115" t="n">
        <x:v>4</x:v>
      </x:c>
      <x:c r="I497" s="115" t="n">
        <x:v>3</x:v>
      </x:c>
      <x:c r="J497" s="115" t="n">
        <x:v>4</x:v>
      </x:c>
      <x:c r="K497" s="115" t="n">
        <x:v>2</x:v>
      </x:c>
      <x:c r="L497" s="115" t="n">
        <x:v>4</x:v>
      </x:c>
      <x:c r="M497" s="115" t="n">
        <x:v>5</x:v>
      </x:c>
      <x:c r="N497" s="115" t="n">
        <x:v>4</x:v>
      </x:c>
      <x:c r="O497" s="115" t="n">
        <x:v>5</x:v>
      </x:c>
      <x:c r="P497" s="115" t="n">
        <x:v>3</x:v>
      </x:c>
      <x:c r="Q497" s="115" t="n">
        <x:v>5</x:v>
      </x:c>
      <x:c r="R497" s="115" t="n">
        <x:v>3</x:v>
      </x:c>
      <x:c r="S497" s="115" t="n">
        <x:v>4</x:v>
      </x:c>
      <x:c r="T497" s="115" t="n">
        <x:v>3</x:v>
      </x:c>
      <x:c r="U497" s="115" t="n">
        <x:v>4</x:v>
      </x:c>
      <x:c r="V497" s="115" t="n">
        <x:v>2</x:v>
      </x:c>
      <x:c r="W497" s="115" t="n">
        <x:v>4</x:v>
      </x:c>
      <x:c r="X497" s="115" t="n">
        <x:v>5</x:v>
      </x:c>
      <x:c r="Y497" s="115" t="n">
        <x:v>4</x:v>
      </x:c>
      <x:c r="Z497" s="115" t="n">
        <x:v>5</x:v>
      </x:c>
      <x:c r="AA497" s="115" t="n">
        <x:v>3</x:v>
      </x:c>
      <x:c r="AB497" s="115" t="n">
        <x:v>5</x:v>
      </x:c>
      <x:c r="AC497" s="115" t="n">
        <x:v>3</x:v>
      </x:c>
      <x:c r="AD497" s="115" t="n">
        <x:v>4</x:v>
      </x:c>
      <x:c r="AE497" s="115" t="n">
        <x:v>3</x:v>
      </x:c>
      <x:c r="AF497" s="115" t="n">
        <x:v>4</x:v>
      </x:c>
      <x:c r="AG497" s="115" t="n">
        <x:v>2</x:v>
      </x:c>
      <x:c r="AH497" s="115" t="n">
        <x:v>4</x:v>
      </x:c>
      <x:c r="AI497" s="115" t="n">
        <x:v>5</x:v>
      </x:c>
      <x:c r="AJ497" s="115" t="n">
        <x:v>4</x:v>
      </x:c>
      <x:c r="AK497" s="115" t="n">
        <x:v>5</x:v>
      </x:c>
      <x:c r="AL497" s="115" t="n">
        <x:v>3</x:v>
      </x:c>
      <x:c r="AM497" s="115" t="n">
        <x:v>5</x:v>
      </x:c>
      <x:c r="AN497" s="115" t="n">
        <x:v>3</x:v>
      </x:c>
      <x:c r="AO497" s="115" t="n">
        <x:v>4</x:v>
      </x:c>
      <x:c r="AP497" s="115" t="n">
        <x:v>3</x:v>
      </x:c>
      <x:c r="AQ497" s="115" t="n">
        <x:v>4</x:v>
      </x:c>
      <x:c r="AR497" s="115" t="n">
        <x:v>2</x:v>
      </x:c>
      <x:c r="AS497" s="115" t="n">
        <x:v>4</x:v>
      </x:c>
      <x:c r="AT497" s="115" t="n">
        <x:v>5</x:v>
      </x:c>
      <x:c r="AU497" s="115" t="n">
        <x:v>4</x:v>
      </x:c>
      <x:c r="AV497" s="115" t="n">
        <x:v>5</x:v>
      </x:c>
      <x:c r="AW497" s="115" t="n">
        <x:v>3</x:v>
      </x:c>
      <x:c r="AX497" s="115" t="n">
        <x:v>5</x:v>
      </x:c>
      <x:c r="AY497" s="115" t="n">
        <x:v>3</x:v>
      </x:c>
      <x:c r="AZ497" s="115" t="n">
        <x:v>4</x:v>
      </x:c>
      <x:c r="BA497" s="115" t="n">
        <x:v>3</x:v>
      </x:c>
      <x:c r="BB497" s="115" t="n">
        <x:v>4</x:v>
      </x:c>
      <x:c r="BC497" s="115" t="n">
        <x:v>2</x:v>
      </x:c>
      <x:c r="BD497" s="115" t="n">
        <x:v>4</x:v>
      </x:c>
      <x:c r="BE497" s="115" t="n">
        <x:v>5</x:v>
      </x:c>
      <x:c r="BF497" s="115" t="n">
        <x:v>4</x:v>
      </x:c>
      <x:c r="BG497" s="115" t="n">
        <x:v>5</x:v>
      </x:c>
      <x:c r="BH497" s="115" t="n">
        <x:v>3</x:v>
      </x:c>
      <x:c r="BI497" s="115" t="n">
        <x:v>5</x:v>
      </x:c>
      <x:c r="BJ497" s="115" t="n">
        <x:v>3</x:v>
      </x:c>
      <x:c r="BK497" s="115" t="n">
        <x:v>4</x:v>
      </x:c>
      <x:c r="BL497" s="115" t="n">
        <x:v>3</x:v>
      </x:c>
      <x:c r="BM497" s="115" t="n">
        <x:v>4</x:v>
      </x:c>
      <x:c r="BN497" s="115" t="n">
        <x:v>2</x:v>
      </x:c>
      <x:c r="BO497" s="115" t="n">
        <x:v>4</x:v>
      </x:c>
      <x:c r="BP497" s="115" t="n">
        <x:v>5</x:v>
      </x:c>
      <x:c r="BQ497" s="115" t="n">
        <x:v>4</x:v>
      </x:c>
      <x:c r="BR497" s="115" t="n">
        <x:v>5</x:v>
      </x:c>
      <x:c r="BS497" s="115" t="n">
        <x:v>3</x:v>
      </x:c>
      <x:c r="BT497" s="115" t="n">
        <x:v>5</x:v>
      </x:c>
      <x:c r="BU497" s="115" t="n">
        <x:v>3</x:v>
      </x:c>
      <x:c r="BV497" s="115" t="n">
        <x:v>4</x:v>
      </x:c>
      <x:c r="BW497" s="115" t="n">
        <x:v>3</x:v>
      </x:c>
      <x:c r="BX497" s="115" t="n">
        <x:v>4</x:v>
      </x:c>
      <x:c r="BY497" s="115" t="n">
        <x:v>2</x:v>
      </x:c>
      <x:c r="BZ497" s="115" t="n">
        <x:v>4</x:v>
      </x:c>
      <x:c r="CA497" s="115" t="n">
        <x:v>5</x:v>
      </x:c>
      <x:c r="CB497" s="116" t="n">
        <x:v>4</x:v>
      </x:c>
      <x:c r="CC497" s="141" t="n">
        <x:f>IF(COUNT(G497:P497)=0,"",AVERAGE(G497:P497)*4)</x:f>
        <x:v>14.8</x:v>
      </x:c>
      <x:c r="CD497" s="178" t="n">
        <x:f>IF(COUNT(Q497:Z497)=0,"",AVERAGE(Q497:Z497)*4)</x:f>
        <x:v>15.6</x:v>
      </x:c>
      <x:c r="CE497" s="178" t="n">
        <x:f>IF(COUNT(AA497:AJ497)=0,"",AVERAGE(AA497:AJ497)*4)</x:f>
        <x:v>14.8</x:v>
      </x:c>
      <x:c r="CF497" s="178" t="n">
        <x:f>IF(COUNT(AK497:AR497)=0,"",AVERAGE(AK497:AR497)*4)</x:f>
        <x:v>14.5</x:v>
      </x:c>
      <x:c r="CG497" s="178" t="n">
        <x:f>IF(COUNT(AS497:AY497)=0,"",AVERAGE(AS497:AY497)*4)</x:f>
        <x:v>16.571428571428573</x:v>
      </x:c>
      <x:c r="CH497" s="178" t="n">
        <x:f>IF(COUNT(AZ497:BG497)=0,"",AVERAGE(AZ497:BG497)*4)</x:f>
        <x:v>15.5</x:v>
      </x:c>
      <x:c r="CI497" s="178" t="n">
        <x:f>IF(COUNT(BH497:BN497)=0,"",AVERAGE(BH497:BN497)*4)</x:f>
        <x:v>13.714285714285714</x:v>
      </x:c>
      <x:c r="CJ497" s="178" t="n">
        <x:f>IF(COUNT(BO497:BU497)=0,"",AVERAGE(BO497:BU497)*4)</x:f>
        <x:v>16.571428571428573</x:v>
      </x:c>
      <x:c r="CK497" s="178" t="n">
        <x:f>IF(COUNT(BV497:CB497)=0,"",AVERAGE(BV497:CB497)*4)</x:f>
        <x:v>14.857142857142858</x:v>
      </x:c>
      <x:c r="CL497" s="178" t="n">
        <x:f>IF(C497="","",IF(COUNT(G497:CB497)&lt;74,"",(CC497*'تنظیمات وزن‌دهی'!$C$5+CD497*'تنظیمات وزن‌دهی'!$C$6+CE497*'تنظیمات وزن‌دهی'!$C$7+CF497*'تنظیمات وزن‌دهی'!$C$8+CG497*'تنظیمات وزن‌دهی'!$C$9+CH497*'تنظیمات وزن‌دهی'!$C$10+CI497*'تنظیمات وزن‌دهی'!$C$11+CJ497*'تنظیمات وزن‌دهی'!$C$12+CK497*'تنظیمات وزن‌دهی'!$C$13)/100))</x:f>
        <x:v>15.089285714285715</x:v>
      </x:c>
      <x:c r="CM497" s="178" t="str">
        <x:f>IF(C497="","",IF(COUNT(G497:CB497)=0,"",IF(COUNT(G497:CB497)&lt;74,"موقت - اطلاعات ناقص",IF(CL497&gt;=17,"عالی",IF(CL497&gt;=14,"خوب",IF(CL497&gt;=10,"متوسط","ضعیف"))))))</x:f>
        <x:v>خوب</x:v>
      </x:c>
      <x:c r="CN497" s="178" t="n">
        <x:v>1</x:v>
      </x:c>
      <x:c r="CO497" s="142" t="n">
        <x:f>IF(C497="","",COUNT(G497:CB497)/74)</x:f>
        <x:v>1</x:v>
      </x:c>
      <x:c r="CP497" s="245" t="str">
        <x:v>داده نمونه کامل برای ماه تیر - دانش‌آموز شماره 42</x:v>
      </x:c>
    </x:row>
    <x:row r="498">
      <x:c r="A498" s="165" t="n">
        <x:v>494</x:v>
      </x:c>
      <x:c r="B498" s="233" t="str">
        <x:v>مرداد</x:v>
      </x:c>
      <x:c r="C498" s="233" t="n">
        <x:f>IF('دانش‌آموزان'!E46="","",'دانش‌آموزان'!B46)</x:f>
        <x:v>42</x:v>
      </x:c>
      <x:c r="D498" s="233" t="str">
        <x:f>IF('دانش‌آموزان'!C46="","",'دانش‌آموزان'!C46)</x:f>
        <x:v>4000000421</x:v>
      </x:c>
      <x:c r="E498" s="233" t="str">
        <x:f>IF('دانش‌آموزان'!E46="","",'دانش‌آموزان'!E46&amp;" "&amp;'دانش‌آموزان'!F46)</x:f>
        <x:v>فاطمه اکبری</x:v>
      </x:c>
      <x:c r="F498" s="166" t="str">
        <x:f>IF('دانش‌آموزان'!I46="","",'دانش‌آموزان'!I46)</x:f>
        <x:v>sample-7-b</x:v>
      </x:c>
      <x:c r="G498" s="114"/>
      <x:c r="H498" s="115"/>
      <x:c r="I498" s="115"/>
      <x:c r="J498" s="115"/>
      <x:c r="K498" s="115"/>
      <x:c r="L498" s="115"/>
      <x:c r="M498" s="115"/>
      <x:c r="N498" s="115"/>
      <x:c r="O498" s="115"/>
      <x:c r="P498" s="115"/>
      <x:c r="Q498" s="115"/>
      <x:c r="R498" s="115"/>
      <x:c r="S498" s="115"/>
      <x:c r="T498" s="115"/>
      <x:c r="U498" s="115"/>
      <x:c r="V498" s="115"/>
      <x:c r="W498" s="115"/>
      <x:c r="X498" s="115"/>
      <x:c r="Y498" s="115"/>
      <x:c r="Z498" s="115"/>
      <x:c r="AA498" s="115"/>
      <x:c r="AB498" s="115"/>
      <x:c r="AC498" s="115"/>
      <x:c r="AD498" s="115"/>
      <x:c r="AE498" s="115"/>
      <x:c r="AF498" s="115"/>
      <x:c r="AG498" s="115"/>
      <x:c r="AH498" s="115"/>
      <x:c r="AI498" s="115"/>
      <x:c r="AJ498" s="115"/>
      <x:c r="AK498" s="115"/>
      <x:c r="AL498" s="115"/>
      <x:c r="AM498" s="115"/>
      <x:c r="AN498" s="115"/>
      <x:c r="AO498" s="115"/>
      <x:c r="AP498" s="115"/>
      <x:c r="AQ498" s="115"/>
      <x:c r="AR498" s="115"/>
      <x:c r="AS498" s="115"/>
      <x:c r="AT498" s="115"/>
      <x:c r="AU498" s="115"/>
      <x:c r="AV498" s="115"/>
      <x:c r="AW498" s="115"/>
      <x:c r="AX498" s="115"/>
      <x:c r="AY498" s="115"/>
      <x:c r="AZ498" s="115"/>
      <x:c r="BA498" s="115"/>
      <x:c r="BB498" s="115"/>
      <x:c r="BC498" s="115"/>
      <x:c r="BD498" s="115"/>
      <x:c r="BE498" s="115"/>
      <x:c r="BF498" s="115"/>
      <x:c r="BG498" s="115"/>
      <x:c r="BH498" s="115"/>
      <x:c r="BI498" s="115"/>
      <x:c r="BJ498" s="115"/>
      <x:c r="BK498" s="115"/>
      <x:c r="BL498" s="115"/>
      <x:c r="BM498" s="115"/>
      <x:c r="BN498" s="115"/>
      <x:c r="BO498" s="115"/>
      <x:c r="BP498" s="115"/>
      <x:c r="BQ498" s="115"/>
      <x:c r="BR498" s="115"/>
      <x:c r="BS498" s="115"/>
      <x:c r="BT498" s="115"/>
      <x:c r="BU498" s="115"/>
      <x:c r="BV498" s="115"/>
      <x:c r="BW498" s="115"/>
      <x:c r="BX498" s="115"/>
      <x:c r="BY498" s="115"/>
      <x:c r="BZ498" s="115"/>
      <x:c r="CA498" s="115"/>
      <x:c r="CB498" s="116"/>
      <x:c r="CC498" s="141" t="str">
        <x:f>IF(COUNT(G498:P498)=0,"",AVERAGE(G498:P498)*4)</x:f>
      </x:c>
      <x:c r="CD498" s="178" t="str">
        <x:f>IF(COUNT(Q498:Z498)=0,"",AVERAGE(Q498:Z498)*4)</x:f>
      </x:c>
      <x:c r="CE498" s="178" t="str">
        <x:f>IF(COUNT(AA498:AJ498)=0,"",AVERAGE(AA498:AJ498)*4)</x:f>
      </x:c>
      <x:c r="CF498" s="178" t="str">
        <x:f>IF(COUNT(AK498:AR498)=0,"",AVERAGE(AK498:AR498)*4)</x:f>
      </x:c>
      <x:c r="CG498" s="178" t="str">
        <x:f>IF(COUNT(AS498:AY498)=0,"",AVERAGE(AS498:AY498)*4)</x:f>
      </x:c>
      <x:c r="CH498" s="178" t="str">
        <x:f>IF(COUNT(AZ498:BG498)=0,"",AVERAGE(AZ498:BG498)*4)</x:f>
      </x:c>
      <x:c r="CI498" s="178" t="str">
        <x:f>IF(COUNT(BH498:BN498)=0,"",AVERAGE(BH498:BN498)*4)</x:f>
      </x:c>
      <x:c r="CJ498" s="178" t="str">
        <x:f>IF(COUNT(BO498:BU498)=0,"",AVERAGE(BO498:BU498)*4)</x:f>
      </x:c>
      <x:c r="CK498" s="178" t="str">
        <x:f>IF(COUNT(BV498:CB498)=0,"",AVERAGE(BV498:CB498)*4)</x:f>
      </x:c>
      <x:c r="CL498" s="178" t="str">
        <x:f>IF(C498="","",IF(COUNT(G498:CB498)&lt;74,"",(CC498*'تنظیمات وزن‌دهی'!$C$5+CD498*'تنظیمات وزن‌دهی'!$C$6+CE498*'تنظیمات وزن‌دهی'!$C$7+CF498*'تنظیمات وزن‌دهی'!$C$8+CG498*'تنظیمات وزن‌دهی'!$C$9+CH498*'تنظیمات وزن‌دهی'!$C$10+CI498*'تنظیمات وزن‌دهی'!$C$11+CJ498*'تنظیمات وزن‌دهی'!$C$12+CK498*'تنظیمات وزن‌دهی'!$C$13)/100))</x:f>
      </x:c>
      <x:c r="CM498" s="178" t="str">
        <x:f>IF(C498="","",IF(COUNT(G498:CB498)=0,"",IF(COUNT(G498:CB498)&lt;74,"موقت - اطلاعات ناقص",IF(CL498&gt;=17,"عالی",IF(CL498&gt;=14,"خوب",IF(CL498&gt;=10,"متوسط","ضعیف"))))))</x:f>
      </x:c>
      <x:c r="CN498" s="178" t="n">
        <x:v>2</x:v>
      </x:c>
      <x:c r="CO498" s="142" t="n">
        <x:f>IF(C498="","",COUNT(G498:CB498)/74)</x:f>
        <x:v>0</x:v>
      </x:c>
      <x:c r="CP498" s="245"/>
    </x:row>
    <x:row r="499">
      <x:c r="A499" s="165" t="n">
        <x:v>495</x:v>
      </x:c>
      <x:c r="B499" s="233" t="str">
        <x:v>شهریور</x:v>
      </x:c>
      <x:c r="C499" s="233" t="n">
        <x:f>IF('دانش‌آموزان'!E46="","",'دانش‌آموزان'!B46)</x:f>
        <x:v>42</x:v>
      </x:c>
      <x:c r="D499" s="233" t="str">
        <x:f>IF('دانش‌آموزان'!C46="","",'دانش‌آموزان'!C46)</x:f>
        <x:v>4000000421</x:v>
      </x:c>
      <x:c r="E499" s="233" t="str">
        <x:f>IF('دانش‌آموزان'!E46="","",'دانش‌آموزان'!E46&amp;" "&amp;'دانش‌آموزان'!F46)</x:f>
        <x:v>فاطمه اکبری</x:v>
      </x:c>
      <x:c r="F499" s="166" t="str">
        <x:f>IF('دانش‌آموزان'!I46="","",'دانش‌آموزان'!I46)</x:f>
        <x:v>sample-7-b</x:v>
      </x:c>
      <x:c r="G499" s="114"/>
      <x:c r="H499" s="115"/>
      <x:c r="I499" s="115"/>
      <x:c r="J499" s="115"/>
      <x:c r="K499" s="115"/>
      <x:c r="L499" s="115"/>
      <x:c r="M499" s="115"/>
      <x:c r="N499" s="115"/>
      <x:c r="O499" s="115"/>
      <x:c r="P499" s="115"/>
      <x:c r="Q499" s="115"/>
      <x:c r="R499" s="115"/>
      <x:c r="S499" s="115"/>
      <x:c r="T499" s="115"/>
      <x:c r="U499" s="115"/>
      <x:c r="V499" s="115"/>
      <x:c r="W499" s="115"/>
      <x:c r="X499" s="115"/>
      <x:c r="Y499" s="115"/>
      <x:c r="Z499" s="115"/>
      <x:c r="AA499" s="115"/>
      <x:c r="AB499" s="115"/>
      <x:c r="AC499" s="115"/>
      <x:c r="AD499" s="115"/>
      <x:c r="AE499" s="115"/>
      <x:c r="AF499" s="115"/>
      <x:c r="AG499" s="115"/>
      <x:c r="AH499" s="115"/>
      <x:c r="AI499" s="115"/>
      <x:c r="AJ499" s="115"/>
      <x:c r="AK499" s="115"/>
      <x:c r="AL499" s="115"/>
      <x:c r="AM499" s="115"/>
      <x:c r="AN499" s="115"/>
      <x:c r="AO499" s="115"/>
      <x:c r="AP499" s="115"/>
      <x:c r="AQ499" s="115"/>
      <x:c r="AR499" s="115"/>
      <x:c r="AS499" s="115"/>
      <x:c r="AT499" s="115"/>
      <x:c r="AU499" s="115"/>
      <x:c r="AV499" s="115"/>
      <x:c r="AW499" s="115"/>
      <x:c r="AX499" s="115"/>
      <x:c r="AY499" s="115"/>
      <x:c r="AZ499" s="115"/>
      <x:c r="BA499" s="115"/>
      <x:c r="BB499" s="115"/>
      <x:c r="BC499" s="115"/>
      <x:c r="BD499" s="115"/>
      <x:c r="BE499" s="115"/>
      <x:c r="BF499" s="115"/>
      <x:c r="BG499" s="115"/>
      <x:c r="BH499" s="115"/>
      <x:c r="BI499" s="115"/>
      <x:c r="BJ499" s="115"/>
      <x:c r="BK499" s="115"/>
      <x:c r="BL499" s="115"/>
      <x:c r="BM499" s="115"/>
      <x:c r="BN499" s="115"/>
      <x:c r="BO499" s="115"/>
      <x:c r="BP499" s="115"/>
      <x:c r="BQ499" s="115"/>
      <x:c r="BR499" s="115"/>
      <x:c r="BS499" s="115"/>
      <x:c r="BT499" s="115"/>
      <x:c r="BU499" s="115"/>
      <x:c r="BV499" s="115"/>
      <x:c r="BW499" s="115"/>
      <x:c r="BX499" s="115"/>
      <x:c r="BY499" s="115"/>
      <x:c r="BZ499" s="115"/>
      <x:c r="CA499" s="115"/>
      <x:c r="CB499" s="116"/>
      <x:c r="CC499" s="141" t="str">
        <x:f>IF(COUNT(G499:P499)=0,"",AVERAGE(G499:P499)*4)</x:f>
      </x:c>
      <x:c r="CD499" s="178" t="str">
        <x:f>IF(COUNT(Q499:Z499)=0,"",AVERAGE(Q499:Z499)*4)</x:f>
      </x:c>
      <x:c r="CE499" s="178" t="str">
        <x:f>IF(COUNT(AA499:AJ499)=0,"",AVERAGE(AA499:AJ499)*4)</x:f>
      </x:c>
      <x:c r="CF499" s="178" t="str">
        <x:f>IF(COUNT(AK499:AR499)=0,"",AVERAGE(AK499:AR499)*4)</x:f>
      </x:c>
      <x:c r="CG499" s="178" t="str">
        <x:f>IF(COUNT(AS499:AY499)=0,"",AVERAGE(AS499:AY499)*4)</x:f>
      </x:c>
      <x:c r="CH499" s="178" t="str">
        <x:f>IF(COUNT(AZ499:BG499)=0,"",AVERAGE(AZ499:BG499)*4)</x:f>
      </x:c>
      <x:c r="CI499" s="178" t="str">
        <x:f>IF(COUNT(BH499:BN499)=0,"",AVERAGE(BH499:BN499)*4)</x:f>
      </x:c>
      <x:c r="CJ499" s="178" t="str">
        <x:f>IF(COUNT(BO499:BU499)=0,"",AVERAGE(BO499:BU499)*4)</x:f>
      </x:c>
      <x:c r="CK499" s="178" t="str">
        <x:f>IF(COUNT(BV499:CB499)=0,"",AVERAGE(BV499:CB499)*4)</x:f>
      </x:c>
      <x:c r="CL499" s="178" t="str">
        <x:f>IF(C499="","",IF(COUNT(G499:CB499)&lt;74,"",(CC499*'تنظیمات وزن‌دهی'!$C$5+CD499*'تنظیمات وزن‌دهی'!$C$6+CE499*'تنظیمات وزن‌دهی'!$C$7+CF499*'تنظیمات وزن‌دهی'!$C$8+CG499*'تنظیمات وزن‌دهی'!$C$9+CH499*'تنظیمات وزن‌دهی'!$C$10+CI499*'تنظیمات وزن‌دهی'!$C$11+CJ499*'تنظیمات وزن‌دهی'!$C$12+CK499*'تنظیمات وزن‌دهی'!$C$13)/100))</x:f>
      </x:c>
      <x:c r="CM499" s="178" t="str">
        <x:f>IF(C499="","",IF(COUNT(G499:CB499)=0,"",IF(COUNT(G499:CB499)&lt;74,"موقت - اطلاعات ناقص",IF(CL499&gt;=17,"عالی",IF(CL499&gt;=14,"خوب",IF(CL499&gt;=10,"متوسط","ضعیف"))))))</x:f>
      </x:c>
      <x:c r="CN499" s="178" t="n">
        <x:v>3</x:v>
      </x:c>
      <x:c r="CO499" s="142" t="n">
        <x:f>IF(C499="","",COUNT(G499:CB499)/74)</x:f>
        <x:v>0</x:v>
      </x:c>
      <x:c r="CP499" s="245"/>
    </x:row>
    <x:row r="500">
      <x:c r="A500" s="165" t="n">
        <x:v>496</x:v>
      </x:c>
      <x:c r="B500" s="233" t="str">
        <x:v>مهر</x:v>
      </x:c>
      <x:c r="C500" s="233" t="n">
        <x:f>IF('دانش‌آموزان'!E46="","",'دانش‌آموزان'!B46)</x:f>
        <x:v>42</x:v>
      </x:c>
      <x:c r="D500" s="233" t="str">
        <x:f>IF('دانش‌آموزان'!C46="","",'دانش‌آموزان'!C46)</x:f>
        <x:v>4000000421</x:v>
      </x:c>
      <x:c r="E500" s="233" t="str">
        <x:f>IF('دانش‌آموزان'!E46="","",'دانش‌آموزان'!E46&amp;" "&amp;'دانش‌آموزان'!F46)</x:f>
        <x:v>فاطمه اکبری</x:v>
      </x:c>
      <x:c r="F500" s="166" t="str">
        <x:f>IF('دانش‌آموزان'!I46="","",'دانش‌آموزان'!I46)</x:f>
        <x:v>sample-7-b</x:v>
      </x:c>
      <x:c r="G500" s="114"/>
      <x:c r="H500" s="115"/>
      <x:c r="I500" s="115"/>
      <x:c r="J500" s="115"/>
      <x:c r="K500" s="115"/>
      <x:c r="L500" s="115"/>
      <x:c r="M500" s="115"/>
      <x:c r="N500" s="115"/>
      <x:c r="O500" s="115"/>
      <x:c r="P500" s="115"/>
      <x:c r="Q500" s="115"/>
      <x:c r="R500" s="115"/>
      <x:c r="S500" s="115"/>
      <x:c r="T500" s="115"/>
      <x:c r="U500" s="115"/>
      <x:c r="V500" s="115"/>
      <x:c r="W500" s="115"/>
      <x:c r="X500" s="115"/>
      <x:c r="Y500" s="115"/>
      <x:c r="Z500" s="115"/>
      <x:c r="AA500" s="115"/>
      <x:c r="AB500" s="115"/>
      <x:c r="AC500" s="115"/>
      <x:c r="AD500" s="115"/>
      <x:c r="AE500" s="115"/>
      <x:c r="AF500" s="115"/>
      <x:c r="AG500" s="115"/>
      <x:c r="AH500" s="115"/>
      <x:c r="AI500" s="115"/>
      <x:c r="AJ500" s="115"/>
      <x:c r="AK500" s="115"/>
      <x:c r="AL500" s="115"/>
      <x:c r="AM500" s="115"/>
      <x:c r="AN500" s="115"/>
      <x:c r="AO500" s="115"/>
      <x:c r="AP500" s="115"/>
      <x:c r="AQ500" s="115"/>
      <x:c r="AR500" s="115"/>
      <x:c r="AS500" s="115"/>
      <x:c r="AT500" s="115"/>
      <x:c r="AU500" s="115"/>
      <x:c r="AV500" s="115"/>
      <x:c r="AW500" s="115"/>
      <x:c r="AX500" s="115"/>
      <x:c r="AY500" s="115"/>
      <x:c r="AZ500" s="115"/>
      <x:c r="BA500" s="115"/>
      <x:c r="BB500" s="115"/>
      <x:c r="BC500" s="115"/>
      <x:c r="BD500" s="115"/>
      <x:c r="BE500" s="115"/>
      <x:c r="BF500" s="115"/>
      <x:c r="BG500" s="115"/>
      <x:c r="BH500" s="115"/>
      <x:c r="BI500" s="115"/>
      <x:c r="BJ500" s="115"/>
      <x:c r="BK500" s="115"/>
      <x:c r="BL500" s="115"/>
      <x:c r="BM500" s="115"/>
      <x:c r="BN500" s="115"/>
      <x:c r="BO500" s="115"/>
      <x:c r="BP500" s="115"/>
      <x:c r="BQ500" s="115"/>
      <x:c r="BR500" s="115"/>
      <x:c r="BS500" s="115"/>
      <x:c r="BT500" s="115"/>
      <x:c r="BU500" s="115"/>
      <x:c r="BV500" s="115"/>
      <x:c r="BW500" s="115"/>
      <x:c r="BX500" s="115"/>
      <x:c r="BY500" s="115"/>
      <x:c r="BZ500" s="115"/>
      <x:c r="CA500" s="115"/>
      <x:c r="CB500" s="116"/>
      <x:c r="CC500" s="141" t="str">
        <x:f>IF(COUNT(G500:P500)=0,"",AVERAGE(G500:P500)*4)</x:f>
      </x:c>
      <x:c r="CD500" s="178" t="str">
        <x:f>IF(COUNT(Q500:Z500)=0,"",AVERAGE(Q500:Z500)*4)</x:f>
      </x:c>
      <x:c r="CE500" s="178" t="str">
        <x:f>IF(COUNT(AA500:AJ500)=0,"",AVERAGE(AA500:AJ500)*4)</x:f>
      </x:c>
      <x:c r="CF500" s="178" t="str">
        <x:f>IF(COUNT(AK500:AR500)=0,"",AVERAGE(AK500:AR500)*4)</x:f>
      </x:c>
      <x:c r="CG500" s="178" t="str">
        <x:f>IF(COUNT(AS500:AY500)=0,"",AVERAGE(AS500:AY500)*4)</x:f>
      </x:c>
      <x:c r="CH500" s="178" t="str">
        <x:f>IF(COUNT(AZ500:BG500)=0,"",AVERAGE(AZ500:BG500)*4)</x:f>
      </x:c>
      <x:c r="CI500" s="178" t="str">
        <x:f>IF(COUNT(BH500:BN500)=0,"",AVERAGE(BH500:BN500)*4)</x:f>
      </x:c>
      <x:c r="CJ500" s="178" t="str">
        <x:f>IF(COUNT(BO500:BU500)=0,"",AVERAGE(BO500:BU500)*4)</x:f>
      </x:c>
      <x:c r="CK500" s="178" t="str">
        <x:f>IF(COUNT(BV500:CB500)=0,"",AVERAGE(BV500:CB500)*4)</x:f>
      </x:c>
      <x:c r="CL500" s="178" t="str">
        <x:f>IF(C500="","",IF(COUNT(G500:CB500)&lt;74,"",(CC500*'تنظیمات وزن‌دهی'!$C$5+CD500*'تنظیمات وزن‌دهی'!$C$6+CE500*'تنظیمات وزن‌دهی'!$C$7+CF500*'تنظیمات وزن‌دهی'!$C$8+CG500*'تنظیمات وزن‌دهی'!$C$9+CH500*'تنظیمات وزن‌دهی'!$C$10+CI500*'تنظیمات وزن‌دهی'!$C$11+CJ500*'تنظیمات وزن‌دهی'!$C$12+CK500*'تنظیمات وزن‌دهی'!$C$13)/100))</x:f>
      </x:c>
      <x:c r="CM500" s="178" t="str">
        <x:f>IF(C500="","",IF(COUNT(G500:CB500)=0,"",IF(COUNT(G500:CB500)&lt;74,"موقت - اطلاعات ناقص",IF(CL500&gt;=17,"عالی",IF(CL500&gt;=14,"خوب",IF(CL500&gt;=10,"متوسط","ضعیف"))))))</x:f>
      </x:c>
      <x:c r="CN500" s="178" t="n">
        <x:v>4</x:v>
      </x:c>
      <x:c r="CO500" s="142" t="n">
        <x:f>IF(C500="","",COUNT(G500:CB500)/74)</x:f>
        <x:v>0</x:v>
      </x:c>
      <x:c r="CP500" s="245"/>
    </x:row>
    <x:row r="501">
      <x:c r="A501" s="165" t="n">
        <x:v>497</x:v>
      </x:c>
      <x:c r="B501" s="233" t="str">
        <x:v>آبان</x:v>
      </x:c>
      <x:c r="C501" s="233" t="n">
        <x:f>IF('دانش‌آموزان'!E46="","",'دانش‌آموزان'!B46)</x:f>
        <x:v>42</x:v>
      </x:c>
      <x:c r="D501" s="233" t="str">
        <x:f>IF('دانش‌آموزان'!C46="","",'دانش‌آموزان'!C46)</x:f>
        <x:v>4000000421</x:v>
      </x:c>
      <x:c r="E501" s="233" t="str">
        <x:f>IF('دانش‌آموزان'!E46="","",'دانش‌آموزان'!E46&amp;" "&amp;'دانش‌آموزان'!F46)</x:f>
        <x:v>فاطمه اکبری</x:v>
      </x:c>
      <x:c r="F501" s="166" t="str">
        <x:f>IF('دانش‌آموزان'!I46="","",'دانش‌آموزان'!I46)</x:f>
        <x:v>sample-7-b</x:v>
      </x:c>
      <x:c r="G501" s="114"/>
      <x:c r="H501" s="115"/>
      <x:c r="I501" s="115"/>
      <x:c r="J501" s="115"/>
      <x:c r="K501" s="115"/>
      <x:c r="L501" s="115"/>
      <x:c r="M501" s="115"/>
      <x:c r="N501" s="115"/>
      <x:c r="O501" s="115"/>
      <x:c r="P501" s="115"/>
      <x:c r="Q501" s="115"/>
      <x:c r="R501" s="115"/>
      <x:c r="S501" s="115"/>
      <x:c r="T501" s="115"/>
      <x:c r="U501" s="115"/>
      <x:c r="V501" s="115"/>
      <x:c r="W501" s="115"/>
      <x:c r="X501" s="115"/>
      <x:c r="Y501" s="115"/>
      <x:c r="Z501" s="115"/>
      <x:c r="AA501" s="115"/>
      <x:c r="AB501" s="115"/>
      <x:c r="AC501" s="115"/>
      <x:c r="AD501" s="115"/>
      <x:c r="AE501" s="115"/>
      <x:c r="AF501" s="115"/>
      <x:c r="AG501" s="115"/>
      <x:c r="AH501" s="115"/>
      <x:c r="AI501" s="115"/>
      <x:c r="AJ501" s="115"/>
      <x:c r="AK501" s="115"/>
      <x:c r="AL501" s="115"/>
      <x:c r="AM501" s="115"/>
      <x:c r="AN501" s="115"/>
      <x:c r="AO501" s="115"/>
      <x:c r="AP501" s="115"/>
      <x:c r="AQ501" s="115"/>
      <x:c r="AR501" s="115"/>
      <x:c r="AS501" s="115"/>
      <x:c r="AT501" s="115"/>
      <x:c r="AU501" s="115"/>
      <x:c r="AV501" s="115"/>
      <x:c r="AW501" s="115"/>
      <x:c r="AX501" s="115"/>
      <x:c r="AY501" s="115"/>
      <x:c r="AZ501" s="115"/>
      <x:c r="BA501" s="115"/>
      <x:c r="BB501" s="115"/>
      <x:c r="BC501" s="115"/>
      <x:c r="BD501" s="115"/>
      <x:c r="BE501" s="115"/>
      <x:c r="BF501" s="115"/>
      <x:c r="BG501" s="115"/>
      <x:c r="BH501" s="115"/>
      <x:c r="BI501" s="115"/>
      <x:c r="BJ501" s="115"/>
      <x:c r="BK501" s="115"/>
      <x:c r="BL501" s="115"/>
      <x:c r="BM501" s="115"/>
      <x:c r="BN501" s="115"/>
      <x:c r="BO501" s="115"/>
      <x:c r="BP501" s="115"/>
      <x:c r="BQ501" s="115"/>
      <x:c r="BR501" s="115"/>
      <x:c r="BS501" s="115"/>
      <x:c r="BT501" s="115"/>
      <x:c r="BU501" s="115"/>
      <x:c r="BV501" s="115"/>
      <x:c r="BW501" s="115"/>
      <x:c r="BX501" s="115"/>
      <x:c r="BY501" s="115"/>
      <x:c r="BZ501" s="115"/>
      <x:c r="CA501" s="115"/>
      <x:c r="CB501" s="116"/>
      <x:c r="CC501" s="141" t="str">
        <x:f>IF(COUNT(G501:P501)=0,"",AVERAGE(G501:P501)*4)</x:f>
      </x:c>
      <x:c r="CD501" s="178" t="str">
        <x:f>IF(COUNT(Q501:Z501)=0,"",AVERAGE(Q501:Z501)*4)</x:f>
      </x:c>
      <x:c r="CE501" s="178" t="str">
        <x:f>IF(COUNT(AA501:AJ501)=0,"",AVERAGE(AA501:AJ501)*4)</x:f>
      </x:c>
      <x:c r="CF501" s="178" t="str">
        <x:f>IF(COUNT(AK501:AR501)=0,"",AVERAGE(AK501:AR501)*4)</x:f>
      </x:c>
      <x:c r="CG501" s="178" t="str">
        <x:f>IF(COUNT(AS501:AY501)=0,"",AVERAGE(AS501:AY501)*4)</x:f>
      </x:c>
      <x:c r="CH501" s="178" t="str">
        <x:f>IF(COUNT(AZ501:BG501)=0,"",AVERAGE(AZ501:BG501)*4)</x:f>
      </x:c>
      <x:c r="CI501" s="178" t="str">
        <x:f>IF(COUNT(BH501:BN501)=0,"",AVERAGE(BH501:BN501)*4)</x:f>
      </x:c>
      <x:c r="CJ501" s="178" t="str">
        <x:f>IF(COUNT(BO501:BU501)=0,"",AVERAGE(BO501:BU501)*4)</x:f>
      </x:c>
      <x:c r="CK501" s="178" t="str">
        <x:f>IF(COUNT(BV501:CB501)=0,"",AVERAGE(BV501:CB501)*4)</x:f>
      </x:c>
      <x:c r="CL501" s="178" t="str">
        <x:f>IF(C501="","",IF(COUNT(G501:CB501)&lt;74,"",(CC501*'تنظیمات وزن‌دهی'!$C$5+CD501*'تنظیمات وزن‌دهی'!$C$6+CE501*'تنظیمات وزن‌دهی'!$C$7+CF501*'تنظیمات وزن‌دهی'!$C$8+CG501*'تنظیمات وزن‌دهی'!$C$9+CH501*'تنظیمات وزن‌دهی'!$C$10+CI501*'تنظیمات وزن‌دهی'!$C$11+CJ501*'تنظیمات وزن‌دهی'!$C$12+CK501*'تنظیمات وزن‌دهی'!$C$13)/100))</x:f>
      </x:c>
      <x:c r="CM501" s="178" t="str">
        <x:f>IF(C501="","",IF(COUNT(G501:CB501)=0,"",IF(COUNT(G501:CB501)&lt;74,"موقت - اطلاعات ناقص",IF(CL501&gt;=17,"عالی",IF(CL501&gt;=14,"خوب",IF(CL501&gt;=10,"متوسط","ضعیف"))))))</x:f>
      </x:c>
      <x:c r="CN501" s="178" t="n">
        <x:v>5</x:v>
      </x:c>
      <x:c r="CO501" s="142" t="n">
        <x:f>IF(C501="","",COUNT(G501:CB501)/74)</x:f>
        <x:v>0</x:v>
      </x:c>
      <x:c r="CP501" s="245"/>
    </x:row>
    <x:row r="502">
      <x:c r="A502" s="165" t="n">
        <x:v>498</x:v>
      </x:c>
      <x:c r="B502" s="233" t="str">
        <x:v>آذر</x:v>
      </x:c>
      <x:c r="C502" s="233" t="n">
        <x:f>IF('دانش‌آموزان'!E46="","",'دانش‌آموزان'!B46)</x:f>
        <x:v>42</x:v>
      </x:c>
      <x:c r="D502" s="233" t="str">
        <x:f>IF('دانش‌آموزان'!C46="","",'دانش‌آموزان'!C46)</x:f>
        <x:v>4000000421</x:v>
      </x:c>
      <x:c r="E502" s="233" t="str">
        <x:f>IF('دانش‌آموزان'!E46="","",'دانش‌آموزان'!E46&amp;" "&amp;'دانش‌آموزان'!F46)</x:f>
        <x:v>فاطمه اکبری</x:v>
      </x:c>
      <x:c r="F502" s="166" t="str">
        <x:f>IF('دانش‌آموزان'!I46="","",'دانش‌آموزان'!I46)</x:f>
        <x:v>sample-7-b</x:v>
      </x:c>
      <x:c r="G502" s="114"/>
      <x:c r="H502" s="115"/>
      <x:c r="I502" s="115"/>
      <x:c r="J502" s="115"/>
      <x:c r="K502" s="115"/>
      <x:c r="L502" s="115"/>
      <x:c r="M502" s="115"/>
      <x:c r="N502" s="115"/>
      <x:c r="O502" s="115"/>
      <x:c r="P502" s="115"/>
      <x:c r="Q502" s="115"/>
      <x:c r="R502" s="115"/>
      <x:c r="S502" s="115"/>
      <x:c r="T502" s="115"/>
      <x:c r="U502" s="115"/>
      <x:c r="V502" s="115"/>
      <x:c r="W502" s="115"/>
      <x:c r="X502" s="115"/>
      <x:c r="Y502" s="115"/>
      <x:c r="Z502" s="115"/>
      <x:c r="AA502" s="115"/>
      <x:c r="AB502" s="115"/>
      <x:c r="AC502" s="115"/>
      <x:c r="AD502" s="115"/>
      <x:c r="AE502" s="115"/>
      <x:c r="AF502" s="115"/>
      <x:c r="AG502" s="115"/>
      <x:c r="AH502" s="115"/>
      <x:c r="AI502" s="115"/>
      <x:c r="AJ502" s="115"/>
      <x:c r="AK502" s="115"/>
      <x:c r="AL502" s="115"/>
      <x:c r="AM502" s="115"/>
      <x:c r="AN502" s="115"/>
      <x:c r="AO502" s="115"/>
      <x:c r="AP502" s="115"/>
      <x:c r="AQ502" s="115"/>
      <x:c r="AR502" s="115"/>
      <x:c r="AS502" s="115"/>
      <x:c r="AT502" s="115"/>
      <x:c r="AU502" s="115"/>
      <x:c r="AV502" s="115"/>
      <x:c r="AW502" s="115"/>
      <x:c r="AX502" s="115"/>
      <x:c r="AY502" s="115"/>
      <x:c r="AZ502" s="115"/>
      <x:c r="BA502" s="115"/>
      <x:c r="BB502" s="115"/>
      <x:c r="BC502" s="115"/>
      <x:c r="BD502" s="115"/>
      <x:c r="BE502" s="115"/>
      <x:c r="BF502" s="115"/>
      <x:c r="BG502" s="115"/>
      <x:c r="BH502" s="115"/>
      <x:c r="BI502" s="115"/>
      <x:c r="BJ502" s="115"/>
      <x:c r="BK502" s="115"/>
      <x:c r="BL502" s="115"/>
      <x:c r="BM502" s="115"/>
      <x:c r="BN502" s="115"/>
      <x:c r="BO502" s="115"/>
      <x:c r="BP502" s="115"/>
      <x:c r="BQ502" s="115"/>
      <x:c r="BR502" s="115"/>
      <x:c r="BS502" s="115"/>
      <x:c r="BT502" s="115"/>
      <x:c r="BU502" s="115"/>
      <x:c r="BV502" s="115"/>
      <x:c r="BW502" s="115"/>
      <x:c r="BX502" s="115"/>
      <x:c r="BY502" s="115"/>
      <x:c r="BZ502" s="115"/>
      <x:c r="CA502" s="115"/>
      <x:c r="CB502" s="116"/>
      <x:c r="CC502" s="141" t="str">
        <x:f>IF(COUNT(G502:P502)=0,"",AVERAGE(G502:P502)*4)</x:f>
      </x:c>
      <x:c r="CD502" s="178" t="str">
        <x:f>IF(COUNT(Q502:Z502)=0,"",AVERAGE(Q502:Z502)*4)</x:f>
      </x:c>
      <x:c r="CE502" s="178" t="str">
        <x:f>IF(COUNT(AA502:AJ502)=0,"",AVERAGE(AA502:AJ502)*4)</x:f>
      </x:c>
      <x:c r="CF502" s="178" t="str">
        <x:f>IF(COUNT(AK502:AR502)=0,"",AVERAGE(AK502:AR502)*4)</x:f>
      </x:c>
      <x:c r="CG502" s="178" t="str">
        <x:f>IF(COUNT(AS502:AY502)=0,"",AVERAGE(AS502:AY502)*4)</x:f>
      </x:c>
      <x:c r="CH502" s="178" t="str">
        <x:f>IF(COUNT(AZ502:BG502)=0,"",AVERAGE(AZ502:BG502)*4)</x:f>
      </x:c>
      <x:c r="CI502" s="178" t="str">
        <x:f>IF(COUNT(BH502:BN502)=0,"",AVERAGE(BH502:BN502)*4)</x:f>
      </x:c>
      <x:c r="CJ502" s="178" t="str">
        <x:f>IF(COUNT(BO502:BU502)=0,"",AVERAGE(BO502:BU502)*4)</x:f>
      </x:c>
      <x:c r="CK502" s="178" t="str">
        <x:f>IF(COUNT(BV502:CB502)=0,"",AVERAGE(BV502:CB502)*4)</x:f>
      </x:c>
      <x:c r="CL502" s="178" t="str">
        <x:f>IF(C502="","",IF(COUNT(G502:CB502)&lt;74,"",(CC502*'تنظیمات وزن‌دهی'!$C$5+CD502*'تنظیمات وزن‌دهی'!$C$6+CE502*'تنظیمات وزن‌دهی'!$C$7+CF502*'تنظیمات وزن‌دهی'!$C$8+CG502*'تنظیمات وزن‌دهی'!$C$9+CH502*'تنظیمات وزن‌دهی'!$C$10+CI502*'تنظیمات وزن‌دهی'!$C$11+CJ502*'تنظیمات وزن‌دهی'!$C$12+CK502*'تنظیمات وزن‌دهی'!$C$13)/100))</x:f>
      </x:c>
      <x:c r="CM502" s="178" t="str">
        <x:f>IF(C502="","",IF(COUNT(G502:CB502)=0,"",IF(COUNT(G502:CB502)&lt;74,"موقت - اطلاعات ناقص",IF(CL502&gt;=17,"عالی",IF(CL502&gt;=14,"خوب",IF(CL502&gt;=10,"متوسط","ضعیف"))))))</x:f>
      </x:c>
      <x:c r="CN502" s="178" t="n">
        <x:v>6</x:v>
      </x:c>
      <x:c r="CO502" s="142" t="n">
        <x:f>IF(C502="","",COUNT(G502:CB502)/74)</x:f>
        <x:v>0</x:v>
      </x:c>
      <x:c r="CP502" s="245"/>
    </x:row>
    <x:row r="503">
      <x:c r="A503" s="165" t="n">
        <x:v>499</x:v>
      </x:c>
      <x:c r="B503" s="233" t="str">
        <x:v>دی</x:v>
      </x:c>
      <x:c r="C503" s="233" t="n">
        <x:f>IF('دانش‌آموزان'!E46="","",'دانش‌آموزان'!B46)</x:f>
        <x:v>42</x:v>
      </x:c>
      <x:c r="D503" s="233" t="str">
        <x:f>IF('دانش‌آموزان'!C46="","",'دانش‌آموزان'!C46)</x:f>
        <x:v>4000000421</x:v>
      </x:c>
      <x:c r="E503" s="233" t="str">
        <x:f>IF('دانش‌آموزان'!E46="","",'دانش‌آموزان'!E46&amp;" "&amp;'دانش‌آموزان'!F46)</x:f>
        <x:v>فاطمه اکبری</x:v>
      </x:c>
      <x:c r="F503" s="166" t="str">
        <x:f>IF('دانش‌آموزان'!I46="","",'دانش‌آموزان'!I46)</x:f>
        <x:v>sample-7-b</x:v>
      </x:c>
      <x:c r="G503" s="114"/>
      <x:c r="H503" s="115"/>
      <x:c r="I503" s="115"/>
      <x:c r="J503" s="115"/>
      <x:c r="K503" s="115"/>
      <x:c r="L503" s="115"/>
      <x:c r="M503" s="115"/>
      <x:c r="N503" s="115"/>
      <x:c r="O503" s="115"/>
      <x:c r="P503" s="115"/>
      <x:c r="Q503" s="115"/>
      <x:c r="R503" s="115"/>
      <x:c r="S503" s="115"/>
      <x:c r="T503" s="115"/>
      <x:c r="U503" s="115"/>
      <x:c r="V503" s="115"/>
      <x:c r="W503" s="115"/>
      <x:c r="X503" s="115"/>
      <x:c r="Y503" s="115"/>
      <x:c r="Z503" s="115"/>
      <x:c r="AA503" s="115"/>
      <x:c r="AB503" s="115"/>
      <x:c r="AC503" s="115"/>
      <x:c r="AD503" s="115"/>
      <x:c r="AE503" s="115"/>
      <x:c r="AF503" s="115"/>
      <x:c r="AG503" s="115"/>
      <x:c r="AH503" s="115"/>
      <x:c r="AI503" s="115"/>
      <x:c r="AJ503" s="115"/>
      <x:c r="AK503" s="115"/>
      <x:c r="AL503" s="115"/>
      <x:c r="AM503" s="115"/>
      <x:c r="AN503" s="115"/>
      <x:c r="AO503" s="115"/>
      <x:c r="AP503" s="115"/>
      <x:c r="AQ503" s="115"/>
      <x:c r="AR503" s="115"/>
      <x:c r="AS503" s="115"/>
      <x:c r="AT503" s="115"/>
      <x:c r="AU503" s="115"/>
      <x:c r="AV503" s="115"/>
      <x:c r="AW503" s="115"/>
      <x:c r="AX503" s="115"/>
      <x:c r="AY503" s="115"/>
      <x:c r="AZ503" s="115"/>
      <x:c r="BA503" s="115"/>
      <x:c r="BB503" s="115"/>
      <x:c r="BC503" s="115"/>
      <x:c r="BD503" s="115"/>
      <x:c r="BE503" s="115"/>
      <x:c r="BF503" s="115"/>
      <x:c r="BG503" s="115"/>
      <x:c r="BH503" s="115"/>
      <x:c r="BI503" s="115"/>
      <x:c r="BJ503" s="115"/>
      <x:c r="BK503" s="115"/>
      <x:c r="BL503" s="115"/>
      <x:c r="BM503" s="115"/>
      <x:c r="BN503" s="115"/>
      <x:c r="BO503" s="115"/>
      <x:c r="BP503" s="115"/>
      <x:c r="BQ503" s="115"/>
      <x:c r="BR503" s="115"/>
      <x:c r="BS503" s="115"/>
      <x:c r="BT503" s="115"/>
      <x:c r="BU503" s="115"/>
      <x:c r="BV503" s="115"/>
      <x:c r="BW503" s="115"/>
      <x:c r="BX503" s="115"/>
      <x:c r="BY503" s="115"/>
      <x:c r="BZ503" s="115"/>
      <x:c r="CA503" s="115"/>
      <x:c r="CB503" s="116"/>
      <x:c r="CC503" s="141" t="str">
        <x:f>IF(COUNT(G503:P503)=0,"",AVERAGE(G503:P503)*4)</x:f>
      </x:c>
      <x:c r="CD503" s="178" t="str">
        <x:f>IF(COUNT(Q503:Z503)=0,"",AVERAGE(Q503:Z503)*4)</x:f>
      </x:c>
      <x:c r="CE503" s="178" t="str">
        <x:f>IF(COUNT(AA503:AJ503)=0,"",AVERAGE(AA503:AJ503)*4)</x:f>
      </x:c>
      <x:c r="CF503" s="178" t="str">
        <x:f>IF(COUNT(AK503:AR503)=0,"",AVERAGE(AK503:AR503)*4)</x:f>
      </x:c>
      <x:c r="CG503" s="178" t="str">
        <x:f>IF(COUNT(AS503:AY503)=0,"",AVERAGE(AS503:AY503)*4)</x:f>
      </x:c>
      <x:c r="CH503" s="178" t="str">
        <x:f>IF(COUNT(AZ503:BG503)=0,"",AVERAGE(AZ503:BG503)*4)</x:f>
      </x:c>
      <x:c r="CI503" s="178" t="str">
        <x:f>IF(COUNT(BH503:BN503)=0,"",AVERAGE(BH503:BN503)*4)</x:f>
      </x:c>
      <x:c r="CJ503" s="178" t="str">
        <x:f>IF(COUNT(BO503:BU503)=0,"",AVERAGE(BO503:BU503)*4)</x:f>
      </x:c>
      <x:c r="CK503" s="178" t="str">
        <x:f>IF(COUNT(BV503:CB503)=0,"",AVERAGE(BV503:CB503)*4)</x:f>
      </x:c>
      <x:c r="CL503" s="178" t="str">
        <x:f>IF(C503="","",IF(COUNT(G503:CB503)&lt;74,"",(CC503*'تنظیمات وزن‌دهی'!$C$5+CD503*'تنظیمات وزن‌دهی'!$C$6+CE503*'تنظیمات وزن‌دهی'!$C$7+CF503*'تنظیمات وزن‌دهی'!$C$8+CG503*'تنظیمات وزن‌دهی'!$C$9+CH503*'تنظیمات وزن‌دهی'!$C$10+CI503*'تنظیمات وزن‌دهی'!$C$11+CJ503*'تنظیمات وزن‌دهی'!$C$12+CK503*'تنظیمات وزن‌دهی'!$C$13)/100))</x:f>
      </x:c>
      <x:c r="CM503" s="178" t="str">
        <x:f>IF(C503="","",IF(COUNT(G503:CB503)=0,"",IF(COUNT(G503:CB503)&lt;74,"موقت - اطلاعات ناقص",IF(CL503&gt;=17,"عالی",IF(CL503&gt;=14,"خوب",IF(CL503&gt;=10,"متوسط","ضعیف"))))))</x:f>
      </x:c>
      <x:c r="CN503" s="178" t="n">
        <x:v>7</x:v>
      </x:c>
      <x:c r="CO503" s="142" t="n">
        <x:f>IF(C503="","",COUNT(G503:CB503)/74)</x:f>
        <x:v>0</x:v>
      </x:c>
      <x:c r="CP503" s="245"/>
    </x:row>
    <x:row r="504">
      <x:c r="A504" s="165" t="n">
        <x:v>500</x:v>
      </x:c>
      <x:c r="B504" s="233" t="str">
        <x:v>بهمن</x:v>
      </x:c>
      <x:c r="C504" s="233" t="n">
        <x:f>IF('دانش‌آموزان'!E46="","",'دانش‌آموزان'!B46)</x:f>
        <x:v>42</x:v>
      </x:c>
      <x:c r="D504" s="233" t="str">
        <x:f>IF('دانش‌آموزان'!C46="","",'دانش‌آموزان'!C46)</x:f>
        <x:v>4000000421</x:v>
      </x:c>
      <x:c r="E504" s="233" t="str">
        <x:f>IF('دانش‌آموزان'!E46="","",'دانش‌آموزان'!E46&amp;" "&amp;'دانش‌آموزان'!F46)</x:f>
        <x:v>فاطمه اکبری</x:v>
      </x:c>
      <x:c r="F504" s="166" t="str">
        <x:f>IF('دانش‌آموزان'!I46="","",'دانش‌آموزان'!I46)</x:f>
        <x:v>sample-7-b</x:v>
      </x:c>
      <x:c r="G504" s="114"/>
      <x:c r="H504" s="115"/>
      <x:c r="I504" s="115"/>
      <x:c r="J504" s="115"/>
      <x:c r="K504" s="115"/>
      <x:c r="L504" s="115"/>
      <x:c r="M504" s="115"/>
      <x:c r="N504" s="115"/>
      <x:c r="O504" s="115"/>
      <x:c r="P504" s="115"/>
      <x:c r="Q504" s="115"/>
      <x:c r="R504" s="115"/>
      <x:c r="S504" s="115"/>
      <x:c r="T504" s="115"/>
      <x:c r="U504" s="115"/>
      <x:c r="V504" s="115"/>
      <x:c r="W504" s="115"/>
      <x:c r="X504" s="115"/>
      <x:c r="Y504" s="115"/>
      <x:c r="Z504" s="115"/>
      <x:c r="AA504" s="115"/>
      <x:c r="AB504" s="115"/>
      <x:c r="AC504" s="115"/>
      <x:c r="AD504" s="115"/>
      <x:c r="AE504" s="115"/>
      <x:c r="AF504" s="115"/>
      <x:c r="AG504" s="115"/>
      <x:c r="AH504" s="115"/>
      <x:c r="AI504" s="115"/>
      <x:c r="AJ504" s="115"/>
      <x:c r="AK504" s="115"/>
      <x:c r="AL504" s="115"/>
      <x:c r="AM504" s="115"/>
      <x:c r="AN504" s="115"/>
      <x:c r="AO504" s="115"/>
      <x:c r="AP504" s="115"/>
      <x:c r="AQ504" s="115"/>
      <x:c r="AR504" s="115"/>
      <x:c r="AS504" s="115"/>
      <x:c r="AT504" s="115"/>
      <x:c r="AU504" s="115"/>
      <x:c r="AV504" s="115"/>
      <x:c r="AW504" s="115"/>
      <x:c r="AX504" s="115"/>
      <x:c r="AY504" s="115"/>
      <x:c r="AZ504" s="115"/>
      <x:c r="BA504" s="115"/>
      <x:c r="BB504" s="115"/>
      <x:c r="BC504" s="115"/>
      <x:c r="BD504" s="115"/>
      <x:c r="BE504" s="115"/>
      <x:c r="BF504" s="115"/>
      <x:c r="BG504" s="115"/>
      <x:c r="BH504" s="115"/>
      <x:c r="BI504" s="115"/>
      <x:c r="BJ504" s="115"/>
      <x:c r="BK504" s="115"/>
      <x:c r="BL504" s="115"/>
      <x:c r="BM504" s="115"/>
      <x:c r="BN504" s="115"/>
      <x:c r="BO504" s="115"/>
      <x:c r="BP504" s="115"/>
      <x:c r="BQ504" s="115"/>
      <x:c r="BR504" s="115"/>
      <x:c r="BS504" s="115"/>
      <x:c r="BT504" s="115"/>
      <x:c r="BU504" s="115"/>
      <x:c r="BV504" s="115"/>
      <x:c r="BW504" s="115"/>
      <x:c r="BX504" s="115"/>
      <x:c r="BY504" s="115"/>
      <x:c r="BZ504" s="115"/>
      <x:c r="CA504" s="115"/>
      <x:c r="CB504" s="116"/>
      <x:c r="CC504" s="141" t="str">
        <x:f>IF(COUNT(G504:P504)=0,"",AVERAGE(G504:P504)*4)</x:f>
      </x:c>
      <x:c r="CD504" s="178" t="str">
        <x:f>IF(COUNT(Q504:Z504)=0,"",AVERAGE(Q504:Z504)*4)</x:f>
      </x:c>
      <x:c r="CE504" s="178" t="str">
        <x:f>IF(COUNT(AA504:AJ504)=0,"",AVERAGE(AA504:AJ504)*4)</x:f>
      </x:c>
      <x:c r="CF504" s="178" t="str">
        <x:f>IF(COUNT(AK504:AR504)=0,"",AVERAGE(AK504:AR504)*4)</x:f>
      </x:c>
      <x:c r="CG504" s="178" t="str">
        <x:f>IF(COUNT(AS504:AY504)=0,"",AVERAGE(AS504:AY504)*4)</x:f>
      </x:c>
      <x:c r="CH504" s="178" t="str">
        <x:f>IF(COUNT(AZ504:BG504)=0,"",AVERAGE(AZ504:BG504)*4)</x:f>
      </x:c>
      <x:c r="CI504" s="178" t="str">
        <x:f>IF(COUNT(BH504:BN504)=0,"",AVERAGE(BH504:BN504)*4)</x:f>
      </x:c>
      <x:c r="CJ504" s="178" t="str">
        <x:f>IF(COUNT(BO504:BU504)=0,"",AVERAGE(BO504:BU504)*4)</x:f>
      </x:c>
      <x:c r="CK504" s="178" t="str">
        <x:f>IF(COUNT(BV504:CB504)=0,"",AVERAGE(BV504:CB504)*4)</x:f>
      </x:c>
      <x:c r="CL504" s="178" t="str">
        <x:f>IF(C504="","",IF(COUNT(G504:CB504)&lt;74,"",(CC504*'تنظیمات وزن‌دهی'!$C$5+CD504*'تنظیمات وزن‌دهی'!$C$6+CE504*'تنظیمات وزن‌دهی'!$C$7+CF504*'تنظیمات وزن‌دهی'!$C$8+CG504*'تنظیمات وزن‌دهی'!$C$9+CH504*'تنظیمات وزن‌دهی'!$C$10+CI504*'تنظیمات وزن‌دهی'!$C$11+CJ504*'تنظیمات وزن‌دهی'!$C$12+CK504*'تنظیمات وزن‌دهی'!$C$13)/100))</x:f>
      </x:c>
      <x:c r="CM504" s="178" t="str">
        <x:f>IF(C504="","",IF(COUNT(G504:CB504)=0,"",IF(COUNT(G504:CB504)&lt;74,"موقت - اطلاعات ناقص",IF(CL504&gt;=17,"عالی",IF(CL504&gt;=14,"خوب",IF(CL504&gt;=10,"متوسط","ضعیف"))))))</x:f>
      </x:c>
      <x:c r="CN504" s="178" t="n">
        <x:v>8</x:v>
      </x:c>
      <x:c r="CO504" s="142" t="n">
        <x:f>IF(C504="","",COUNT(G504:CB504)/74)</x:f>
        <x:v>0</x:v>
      </x:c>
      <x:c r="CP504" s="245"/>
    </x:row>
    <x:row r="505">
      <x:c r="A505" s="165" t="n">
        <x:v>501</x:v>
      </x:c>
      <x:c r="B505" s="233" t="str">
        <x:v>اسفند</x:v>
      </x:c>
      <x:c r="C505" s="233" t="n">
        <x:f>IF('دانش‌آموزان'!E46="","",'دانش‌آموزان'!B46)</x:f>
        <x:v>42</x:v>
      </x:c>
      <x:c r="D505" s="233" t="str">
        <x:f>IF('دانش‌آموزان'!C46="","",'دانش‌آموزان'!C46)</x:f>
        <x:v>4000000421</x:v>
      </x:c>
      <x:c r="E505" s="233" t="str">
        <x:f>IF('دانش‌آموزان'!E46="","",'دانش‌آموزان'!E46&amp;" "&amp;'دانش‌آموزان'!F46)</x:f>
        <x:v>فاطمه اکبری</x:v>
      </x:c>
      <x:c r="F505" s="166" t="str">
        <x:f>IF('دانش‌آموزان'!I46="","",'دانش‌آموزان'!I46)</x:f>
        <x:v>sample-7-b</x:v>
      </x:c>
      <x:c r="G505" s="114"/>
      <x:c r="H505" s="115"/>
      <x:c r="I505" s="115"/>
      <x:c r="J505" s="115"/>
      <x:c r="K505" s="115"/>
      <x:c r="L505" s="115"/>
      <x:c r="M505" s="115"/>
      <x:c r="N505" s="115"/>
      <x:c r="O505" s="115"/>
      <x:c r="P505" s="115"/>
      <x:c r="Q505" s="115"/>
      <x:c r="R505" s="115"/>
      <x:c r="S505" s="115"/>
      <x:c r="T505" s="115"/>
      <x:c r="U505" s="115"/>
      <x:c r="V505" s="115"/>
      <x:c r="W505" s="115"/>
      <x:c r="X505" s="115"/>
      <x:c r="Y505" s="115"/>
      <x:c r="Z505" s="115"/>
      <x:c r="AA505" s="115"/>
      <x:c r="AB505" s="115"/>
      <x:c r="AC505" s="115"/>
      <x:c r="AD505" s="115"/>
      <x:c r="AE505" s="115"/>
      <x:c r="AF505" s="115"/>
      <x:c r="AG505" s="115"/>
      <x:c r="AH505" s="115"/>
      <x:c r="AI505" s="115"/>
      <x:c r="AJ505" s="115"/>
      <x:c r="AK505" s="115"/>
      <x:c r="AL505" s="115"/>
      <x:c r="AM505" s="115"/>
      <x:c r="AN505" s="115"/>
      <x:c r="AO505" s="115"/>
      <x:c r="AP505" s="115"/>
      <x:c r="AQ505" s="115"/>
      <x:c r="AR505" s="115"/>
      <x:c r="AS505" s="115"/>
      <x:c r="AT505" s="115"/>
      <x:c r="AU505" s="115"/>
      <x:c r="AV505" s="115"/>
      <x:c r="AW505" s="115"/>
      <x:c r="AX505" s="115"/>
      <x:c r="AY505" s="115"/>
      <x:c r="AZ505" s="115"/>
      <x:c r="BA505" s="115"/>
      <x:c r="BB505" s="115"/>
      <x:c r="BC505" s="115"/>
      <x:c r="BD505" s="115"/>
      <x:c r="BE505" s="115"/>
      <x:c r="BF505" s="115"/>
      <x:c r="BG505" s="115"/>
      <x:c r="BH505" s="115"/>
      <x:c r="BI505" s="115"/>
      <x:c r="BJ505" s="115"/>
      <x:c r="BK505" s="115"/>
      <x:c r="BL505" s="115"/>
      <x:c r="BM505" s="115"/>
      <x:c r="BN505" s="115"/>
      <x:c r="BO505" s="115"/>
      <x:c r="BP505" s="115"/>
      <x:c r="BQ505" s="115"/>
      <x:c r="BR505" s="115"/>
      <x:c r="BS505" s="115"/>
      <x:c r="BT505" s="115"/>
      <x:c r="BU505" s="115"/>
      <x:c r="BV505" s="115"/>
      <x:c r="BW505" s="115"/>
      <x:c r="BX505" s="115"/>
      <x:c r="BY505" s="115"/>
      <x:c r="BZ505" s="115"/>
      <x:c r="CA505" s="115"/>
      <x:c r="CB505" s="116"/>
      <x:c r="CC505" s="141" t="str">
        <x:f>IF(COUNT(G505:P505)=0,"",AVERAGE(G505:P505)*4)</x:f>
      </x:c>
      <x:c r="CD505" s="178" t="str">
        <x:f>IF(COUNT(Q505:Z505)=0,"",AVERAGE(Q505:Z505)*4)</x:f>
      </x:c>
      <x:c r="CE505" s="178" t="str">
        <x:f>IF(COUNT(AA505:AJ505)=0,"",AVERAGE(AA505:AJ505)*4)</x:f>
      </x:c>
      <x:c r="CF505" s="178" t="str">
        <x:f>IF(COUNT(AK505:AR505)=0,"",AVERAGE(AK505:AR505)*4)</x:f>
      </x:c>
      <x:c r="CG505" s="178" t="str">
        <x:f>IF(COUNT(AS505:AY505)=0,"",AVERAGE(AS505:AY505)*4)</x:f>
      </x:c>
      <x:c r="CH505" s="178" t="str">
        <x:f>IF(COUNT(AZ505:BG505)=0,"",AVERAGE(AZ505:BG505)*4)</x:f>
      </x:c>
      <x:c r="CI505" s="178" t="str">
        <x:f>IF(COUNT(BH505:BN505)=0,"",AVERAGE(BH505:BN505)*4)</x:f>
      </x:c>
      <x:c r="CJ505" s="178" t="str">
        <x:f>IF(COUNT(BO505:BU505)=0,"",AVERAGE(BO505:BU505)*4)</x:f>
      </x:c>
      <x:c r="CK505" s="178" t="str">
        <x:f>IF(COUNT(BV505:CB505)=0,"",AVERAGE(BV505:CB505)*4)</x:f>
      </x:c>
      <x:c r="CL505" s="178" t="str">
        <x:f>IF(C505="","",IF(COUNT(G505:CB505)&lt;74,"",(CC505*'تنظیمات وزن‌دهی'!$C$5+CD505*'تنظیمات وزن‌دهی'!$C$6+CE505*'تنظیمات وزن‌دهی'!$C$7+CF505*'تنظیمات وزن‌دهی'!$C$8+CG505*'تنظیمات وزن‌دهی'!$C$9+CH505*'تنظیمات وزن‌دهی'!$C$10+CI505*'تنظیمات وزن‌دهی'!$C$11+CJ505*'تنظیمات وزن‌دهی'!$C$12+CK505*'تنظیمات وزن‌دهی'!$C$13)/100))</x:f>
      </x:c>
      <x:c r="CM505" s="178" t="str">
        <x:f>IF(C505="","",IF(COUNT(G505:CB505)=0,"",IF(COUNT(G505:CB505)&lt;74,"موقت - اطلاعات ناقص",IF(CL505&gt;=17,"عالی",IF(CL505&gt;=14,"خوب",IF(CL505&gt;=10,"متوسط","ضعیف"))))))</x:f>
      </x:c>
      <x:c r="CN505" s="178" t="n">
        <x:v>9</x:v>
      </x:c>
      <x:c r="CO505" s="142" t="n">
        <x:f>IF(C505="","",COUNT(G505:CB505)/74)</x:f>
        <x:v>0</x:v>
      </x:c>
      <x:c r="CP505" s="245"/>
    </x:row>
    <x:row r="506">
      <x:c r="A506" s="165" t="n">
        <x:v>502</x:v>
      </x:c>
      <x:c r="B506" s="233" t="str">
        <x:v>فروردین</x:v>
      </x:c>
      <x:c r="C506" s="233" t="n">
        <x:f>IF('دانش‌آموزان'!E46="","",'دانش‌آموزان'!B46)</x:f>
        <x:v>42</x:v>
      </x:c>
      <x:c r="D506" s="233" t="str">
        <x:f>IF('دانش‌آموزان'!C46="","",'دانش‌آموزان'!C46)</x:f>
        <x:v>4000000421</x:v>
      </x:c>
      <x:c r="E506" s="233" t="str">
        <x:f>IF('دانش‌آموزان'!E46="","",'دانش‌آموزان'!E46&amp;" "&amp;'دانش‌آموزان'!F46)</x:f>
        <x:v>فاطمه اکبری</x:v>
      </x:c>
      <x:c r="F506" s="166" t="str">
        <x:f>IF('دانش‌آموزان'!I46="","",'دانش‌آموزان'!I46)</x:f>
        <x:v>sample-7-b</x:v>
      </x:c>
      <x:c r="G506" s="114"/>
      <x:c r="H506" s="115"/>
      <x:c r="I506" s="115"/>
      <x:c r="J506" s="115"/>
      <x:c r="K506" s="115"/>
      <x:c r="L506" s="115"/>
      <x:c r="M506" s="115"/>
      <x:c r="N506" s="115"/>
      <x:c r="O506" s="115"/>
      <x:c r="P506" s="115"/>
      <x:c r="Q506" s="115"/>
      <x:c r="R506" s="115"/>
      <x:c r="S506" s="115"/>
      <x:c r="T506" s="115"/>
      <x:c r="U506" s="115"/>
      <x:c r="V506" s="115"/>
      <x:c r="W506" s="115"/>
      <x:c r="X506" s="115"/>
      <x:c r="Y506" s="115"/>
      <x:c r="Z506" s="115"/>
      <x:c r="AA506" s="115"/>
      <x:c r="AB506" s="115"/>
      <x:c r="AC506" s="115"/>
      <x:c r="AD506" s="115"/>
      <x:c r="AE506" s="115"/>
      <x:c r="AF506" s="115"/>
      <x:c r="AG506" s="115"/>
      <x:c r="AH506" s="115"/>
      <x:c r="AI506" s="115"/>
      <x:c r="AJ506" s="115"/>
      <x:c r="AK506" s="115"/>
      <x:c r="AL506" s="115"/>
      <x:c r="AM506" s="115"/>
      <x:c r="AN506" s="115"/>
      <x:c r="AO506" s="115"/>
      <x:c r="AP506" s="115"/>
      <x:c r="AQ506" s="115"/>
      <x:c r="AR506" s="115"/>
      <x:c r="AS506" s="115"/>
      <x:c r="AT506" s="115"/>
      <x:c r="AU506" s="115"/>
      <x:c r="AV506" s="115"/>
      <x:c r="AW506" s="115"/>
      <x:c r="AX506" s="115"/>
      <x:c r="AY506" s="115"/>
      <x:c r="AZ506" s="115"/>
      <x:c r="BA506" s="115"/>
      <x:c r="BB506" s="115"/>
      <x:c r="BC506" s="115"/>
      <x:c r="BD506" s="115"/>
      <x:c r="BE506" s="115"/>
      <x:c r="BF506" s="115"/>
      <x:c r="BG506" s="115"/>
      <x:c r="BH506" s="115"/>
      <x:c r="BI506" s="115"/>
      <x:c r="BJ506" s="115"/>
      <x:c r="BK506" s="115"/>
      <x:c r="BL506" s="115"/>
      <x:c r="BM506" s="115"/>
      <x:c r="BN506" s="115"/>
      <x:c r="BO506" s="115"/>
      <x:c r="BP506" s="115"/>
      <x:c r="BQ506" s="115"/>
      <x:c r="BR506" s="115"/>
      <x:c r="BS506" s="115"/>
      <x:c r="BT506" s="115"/>
      <x:c r="BU506" s="115"/>
      <x:c r="BV506" s="115"/>
      <x:c r="BW506" s="115"/>
      <x:c r="BX506" s="115"/>
      <x:c r="BY506" s="115"/>
      <x:c r="BZ506" s="115"/>
      <x:c r="CA506" s="115"/>
      <x:c r="CB506" s="116"/>
      <x:c r="CC506" s="141" t="str">
        <x:f>IF(COUNT(G506:P506)=0,"",AVERAGE(G506:P506)*4)</x:f>
      </x:c>
      <x:c r="CD506" s="178" t="str">
        <x:f>IF(COUNT(Q506:Z506)=0,"",AVERAGE(Q506:Z506)*4)</x:f>
      </x:c>
      <x:c r="CE506" s="178" t="str">
        <x:f>IF(COUNT(AA506:AJ506)=0,"",AVERAGE(AA506:AJ506)*4)</x:f>
      </x:c>
      <x:c r="CF506" s="178" t="str">
        <x:f>IF(COUNT(AK506:AR506)=0,"",AVERAGE(AK506:AR506)*4)</x:f>
      </x:c>
      <x:c r="CG506" s="178" t="str">
        <x:f>IF(COUNT(AS506:AY506)=0,"",AVERAGE(AS506:AY506)*4)</x:f>
      </x:c>
      <x:c r="CH506" s="178" t="str">
        <x:f>IF(COUNT(AZ506:BG506)=0,"",AVERAGE(AZ506:BG506)*4)</x:f>
      </x:c>
      <x:c r="CI506" s="178" t="str">
        <x:f>IF(COUNT(BH506:BN506)=0,"",AVERAGE(BH506:BN506)*4)</x:f>
      </x:c>
      <x:c r="CJ506" s="178" t="str">
        <x:f>IF(COUNT(BO506:BU506)=0,"",AVERAGE(BO506:BU506)*4)</x:f>
      </x:c>
      <x:c r="CK506" s="178" t="str">
        <x:f>IF(COUNT(BV506:CB506)=0,"",AVERAGE(BV506:CB506)*4)</x:f>
      </x:c>
      <x:c r="CL506" s="178" t="str">
        <x:f>IF(C506="","",IF(COUNT(G506:CB506)&lt;74,"",(CC506*'تنظیمات وزن‌دهی'!$C$5+CD506*'تنظیمات وزن‌دهی'!$C$6+CE506*'تنظیمات وزن‌دهی'!$C$7+CF506*'تنظیمات وزن‌دهی'!$C$8+CG506*'تنظیمات وزن‌دهی'!$C$9+CH506*'تنظیمات وزن‌دهی'!$C$10+CI506*'تنظیمات وزن‌دهی'!$C$11+CJ506*'تنظیمات وزن‌دهی'!$C$12+CK506*'تنظیمات وزن‌دهی'!$C$13)/100))</x:f>
      </x:c>
      <x:c r="CM506" s="178" t="str">
        <x:f>IF(C506="","",IF(COUNT(G506:CB506)=0,"",IF(COUNT(G506:CB506)&lt;74,"موقت - اطلاعات ناقص",IF(CL506&gt;=17,"عالی",IF(CL506&gt;=14,"خوب",IF(CL506&gt;=10,"متوسط","ضعیف"))))))</x:f>
      </x:c>
      <x:c r="CN506" s="178" t="n">
        <x:v>10</x:v>
      </x:c>
      <x:c r="CO506" s="142" t="n">
        <x:f>IF(C506="","",COUNT(G506:CB506)/74)</x:f>
        <x:v>0</x:v>
      </x:c>
      <x:c r="CP506" s="245"/>
    </x:row>
    <x:row r="507">
      <x:c r="A507" s="165" t="n">
        <x:v>503</x:v>
      </x:c>
      <x:c r="B507" s="233" t="str">
        <x:v>اردیبهشت</x:v>
      </x:c>
      <x:c r="C507" s="233" t="n">
        <x:f>IF('دانش‌آموزان'!E46="","",'دانش‌آموزان'!B46)</x:f>
        <x:v>42</x:v>
      </x:c>
      <x:c r="D507" s="233" t="str">
        <x:f>IF('دانش‌آموزان'!C46="","",'دانش‌آموزان'!C46)</x:f>
        <x:v>4000000421</x:v>
      </x:c>
      <x:c r="E507" s="233" t="str">
        <x:f>IF('دانش‌آموزان'!E46="","",'دانش‌آموزان'!E46&amp;" "&amp;'دانش‌آموزان'!F46)</x:f>
        <x:v>فاطمه اکبری</x:v>
      </x:c>
      <x:c r="F507" s="166" t="str">
        <x:f>IF('دانش‌آموزان'!I46="","",'دانش‌آموزان'!I46)</x:f>
        <x:v>sample-7-b</x:v>
      </x:c>
      <x:c r="G507" s="114"/>
      <x:c r="H507" s="115"/>
      <x:c r="I507" s="115"/>
      <x:c r="J507" s="115"/>
      <x:c r="K507" s="115"/>
      <x:c r="L507" s="115"/>
      <x:c r="M507" s="115"/>
      <x:c r="N507" s="115"/>
      <x:c r="O507" s="115"/>
      <x:c r="P507" s="115"/>
      <x:c r="Q507" s="115"/>
      <x:c r="R507" s="115"/>
      <x:c r="S507" s="115"/>
      <x:c r="T507" s="115"/>
      <x:c r="U507" s="115"/>
      <x:c r="V507" s="115"/>
      <x:c r="W507" s="115"/>
      <x:c r="X507" s="115"/>
      <x:c r="Y507" s="115"/>
      <x:c r="Z507" s="115"/>
      <x:c r="AA507" s="115"/>
      <x:c r="AB507" s="115"/>
      <x:c r="AC507" s="115"/>
      <x:c r="AD507" s="115"/>
      <x:c r="AE507" s="115"/>
      <x:c r="AF507" s="115"/>
      <x:c r="AG507" s="115"/>
      <x:c r="AH507" s="115"/>
      <x:c r="AI507" s="115"/>
      <x:c r="AJ507" s="115"/>
      <x:c r="AK507" s="115"/>
      <x:c r="AL507" s="115"/>
      <x:c r="AM507" s="115"/>
      <x:c r="AN507" s="115"/>
      <x:c r="AO507" s="115"/>
      <x:c r="AP507" s="115"/>
      <x:c r="AQ507" s="115"/>
      <x:c r="AR507" s="115"/>
      <x:c r="AS507" s="115"/>
      <x:c r="AT507" s="115"/>
      <x:c r="AU507" s="115"/>
      <x:c r="AV507" s="115"/>
      <x:c r="AW507" s="115"/>
      <x:c r="AX507" s="115"/>
      <x:c r="AY507" s="115"/>
      <x:c r="AZ507" s="115"/>
      <x:c r="BA507" s="115"/>
      <x:c r="BB507" s="115"/>
      <x:c r="BC507" s="115"/>
      <x:c r="BD507" s="115"/>
      <x:c r="BE507" s="115"/>
      <x:c r="BF507" s="115"/>
      <x:c r="BG507" s="115"/>
      <x:c r="BH507" s="115"/>
      <x:c r="BI507" s="115"/>
      <x:c r="BJ507" s="115"/>
      <x:c r="BK507" s="115"/>
      <x:c r="BL507" s="115"/>
      <x:c r="BM507" s="115"/>
      <x:c r="BN507" s="115"/>
      <x:c r="BO507" s="115"/>
      <x:c r="BP507" s="115"/>
      <x:c r="BQ507" s="115"/>
      <x:c r="BR507" s="115"/>
      <x:c r="BS507" s="115"/>
      <x:c r="BT507" s="115"/>
      <x:c r="BU507" s="115"/>
      <x:c r="BV507" s="115"/>
      <x:c r="BW507" s="115"/>
      <x:c r="BX507" s="115"/>
      <x:c r="BY507" s="115"/>
      <x:c r="BZ507" s="115"/>
      <x:c r="CA507" s="115"/>
      <x:c r="CB507" s="116"/>
      <x:c r="CC507" s="141" t="str">
        <x:f>IF(COUNT(G507:P507)=0,"",AVERAGE(G507:P507)*4)</x:f>
      </x:c>
      <x:c r="CD507" s="178" t="str">
        <x:f>IF(COUNT(Q507:Z507)=0,"",AVERAGE(Q507:Z507)*4)</x:f>
      </x:c>
      <x:c r="CE507" s="178" t="str">
        <x:f>IF(COUNT(AA507:AJ507)=0,"",AVERAGE(AA507:AJ507)*4)</x:f>
      </x:c>
      <x:c r="CF507" s="178" t="str">
        <x:f>IF(COUNT(AK507:AR507)=0,"",AVERAGE(AK507:AR507)*4)</x:f>
      </x:c>
      <x:c r="CG507" s="178" t="str">
        <x:f>IF(COUNT(AS507:AY507)=0,"",AVERAGE(AS507:AY507)*4)</x:f>
      </x:c>
      <x:c r="CH507" s="178" t="str">
        <x:f>IF(COUNT(AZ507:BG507)=0,"",AVERAGE(AZ507:BG507)*4)</x:f>
      </x:c>
      <x:c r="CI507" s="178" t="str">
        <x:f>IF(COUNT(BH507:BN507)=0,"",AVERAGE(BH507:BN507)*4)</x:f>
      </x:c>
      <x:c r="CJ507" s="178" t="str">
        <x:f>IF(COUNT(BO507:BU507)=0,"",AVERAGE(BO507:BU507)*4)</x:f>
      </x:c>
      <x:c r="CK507" s="178" t="str">
        <x:f>IF(COUNT(BV507:CB507)=0,"",AVERAGE(BV507:CB507)*4)</x:f>
      </x:c>
      <x:c r="CL507" s="178" t="str">
        <x:f>IF(C507="","",IF(COUNT(G507:CB507)&lt;74,"",(CC507*'تنظیمات وزن‌دهی'!$C$5+CD507*'تنظیمات وزن‌دهی'!$C$6+CE507*'تنظیمات وزن‌دهی'!$C$7+CF507*'تنظیمات وزن‌دهی'!$C$8+CG507*'تنظیمات وزن‌دهی'!$C$9+CH507*'تنظیمات وزن‌دهی'!$C$10+CI507*'تنظیمات وزن‌دهی'!$C$11+CJ507*'تنظیمات وزن‌دهی'!$C$12+CK507*'تنظیمات وزن‌دهی'!$C$13)/100))</x:f>
      </x:c>
      <x:c r="CM507" s="178" t="str">
        <x:f>IF(C507="","",IF(COUNT(G507:CB507)=0,"",IF(COUNT(G507:CB507)&lt;74,"موقت - اطلاعات ناقص",IF(CL507&gt;=17,"عالی",IF(CL507&gt;=14,"خوب",IF(CL507&gt;=10,"متوسط","ضعیف"))))))</x:f>
      </x:c>
      <x:c r="CN507" s="178" t="n">
        <x:v>11</x:v>
      </x:c>
      <x:c r="CO507" s="142" t="n">
        <x:f>IF(C507="","",COUNT(G507:CB507)/74)</x:f>
        <x:v>0</x:v>
      </x:c>
      <x:c r="CP507" s="245"/>
    </x:row>
    <x:row r="508">
      <x:c r="A508" s="165" t="n">
        <x:v>504</x:v>
      </x:c>
      <x:c r="B508" s="233" t="str">
        <x:v>خرداد</x:v>
      </x:c>
      <x:c r="C508" s="233" t="n">
        <x:f>IF('دانش‌آموزان'!E46="","",'دانش‌آموزان'!B46)</x:f>
        <x:v>42</x:v>
      </x:c>
      <x:c r="D508" s="233" t="str">
        <x:f>IF('دانش‌آموزان'!C46="","",'دانش‌آموزان'!C46)</x:f>
        <x:v>4000000421</x:v>
      </x:c>
      <x:c r="E508" s="233" t="str">
        <x:f>IF('دانش‌آموزان'!E46="","",'دانش‌آموزان'!E46&amp;" "&amp;'دانش‌آموزان'!F46)</x:f>
        <x:v>فاطمه اکبری</x:v>
      </x:c>
      <x:c r="F508" s="166" t="str">
        <x:f>IF('دانش‌آموزان'!I46="","",'دانش‌آموزان'!I46)</x:f>
        <x:v>sample-7-b</x:v>
      </x:c>
      <x:c r="G508" s="114"/>
      <x:c r="H508" s="115"/>
      <x:c r="I508" s="115"/>
      <x:c r="J508" s="115"/>
      <x:c r="K508" s="115"/>
      <x:c r="L508" s="115"/>
      <x:c r="M508" s="115"/>
      <x:c r="N508" s="115"/>
      <x:c r="O508" s="115"/>
      <x:c r="P508" s="115"/>
      <x:c r="Q508" s="115"/>
      <x:c r="R508" s="115"/>
      <x:c r="S508" s="115"/>
      <x:c r="T508" s="115"/>
      <x:c r="U508" s="115"/>
      <x:c r="V508" s="115"/>
      <x:c r="W508" s="115"/>
      <x:c r="X508" s="115"/>
      <x:c r="Y508" s="115"/>
      <x:c r="Z508" s="115"/>
      <x:c r="AA508" s="115"/>
      <x:c r="AB508" s="115"/>
      <x:c r="AC508" s="115"/>
      <x:c r="AD508" s="115"/>
      <x:c r="AE508" s="115"/>
      <x:c r="AF508" s="115"/>
      <x:c r="AG508" s="115"/>
      <x:c r="AH508" s="115"/>
      <x:c r="AI508" s="115"/>
      <x:c r="AJ508" s="115"/>
      <x:c r="AK508" s="115"/>
      <x:c r="AL508" s="115"/>
      <x:c r="AM508" s="115"/>
      <x:c r="AN508" s="115"/>
      <x:c r="AO508" s="115"/>
      <x:c r="AP508" s="115"/>
      <x:c r="AQ508" s="115"/>
      <x:c r="AR508" s="115"/>
      <x:c r="AS508" s="115"/>
      <x:c r="AT508" s="115"/>
      <x:c r="AU508" s="115"/>
      <x:c r="AV508" s="115"/>
      <x:c r="AW508" s="115"/>
      <x:c r="AX508" s="115"/>
      <x:c r="AY508" s="115"/>
      <x:c r="AZ508" s="115"/>
      <x:c r="BA508" s="115"/>
      <x:c r="BB508" s="115"/>
      <x:c r="BC508" s="115"/>
      <x:c r="BD508" s="115"/>
      <x:c r="BE508" s="115"/>
      <x:c r="BF508" s="115"/>
      <x:c r="BG508" s="115"/>
      <x:c r="BH508" s="115"/>
      <x:c r="BI508" s="115"/>
      <x:c r="BJ508" s="115"/>
      <x:c r="BK508" s="115"/>
      <x:c r="BL508" s="115"/>
      <x:c r="BM508" s="115"/>
      <x:c r="BN508" s="115"/>
      <x:c r="BO508" s="115"/>
      <x:c r="BP508" s="115"/>
      <x:c r="BQ508" s="115"/>
      <x:c r="BR508" s="115"/>
      <x:c r="BS508" s="115"/>
      <x:c r="BT508" s="115"/>
      <x:c r="BU508" s="115"/>
      <x:c r="BV508" s="115"/>
      <x:c r="BW508" s="115"/>
      <x:c r="BX508" s="115"/>
      <x:c r="BY508" s="115"/>
      <x:c r="BZ508" s="115"/>
      <x:c r="CA508" s="115"/>
      <x:c r="CB508" s="116"/>
      <x:c r="CC508" s="141" t="str">
        <x:f>IF(COUNT(G508:P508)=0,"",AVERAGE(G508:P508)*4)</x:f>
      </x:c>
      <x:c r="CD508" s="178" t="str">
        <x:f>IF(COUNT(Q508:Z508)=0,"",AVERAGE(Q508:Z508)*4)</x:f>
      </x:c>
      <x:c r="CE508" s="178" t="str">
        <x:f>IF(COUNT(AA508:AJ508)=0,"",AVERAGE(AA508:AJ508)*4)</x:f>
      </x:c>
      <x:c r="CF508" s="178" t="str">
        <x:f>IF(COUNT(AK508:AR508)=0,"",AVERAGE(AK508:AR508)*4)</x:f>
      </x:c>
      <x:c r="CG508" s="178" t="str">
        <x:f>IF(COUNT(AS508:AY508)=0,"",AVERAGE(AS508:AY508)*4)</x:f>
      </x:c>
      <x:c r="CH508" s="178" t="str">
        <x:f>IF(COUNT(AZ508:BG508)=0,"",AVERAGE(AZ508:BG508)*4)</x:f>
      </x:c>
      <x:c r="CI508" s="178" t="str">
        <x:f>IF(COUNT(BH508:BN508)=0,"",AVERAGE(BH508:BN508)*4)</x:f>
      </x:c>
      <x:c r="CJ508" s="178" t="str">
        <x:f>IF(COUNT(BO508:BU508)=0,"",AVERAGE(BO508:BU508)*4)</x:f>
      </x:c>
      <x:c r="CK508" s="178" t="str">
        <x:f>IF(COUNT(BV508:CB508)=0,"",AVERAGE(BV508:CB508)*4)</x:f>
      </x:c>
      <x:c r="CL508" s="178" t="str">
        <x:f>IF(C508="","",IF(COUNT(G508:CB508)&lt;74,"",(CC508*'تنظیمات وزن‌دهی'!$C$5+CD508*'تنظیمات وزن‌دهی'!$C$6+CE508*'تنظیمات وزن‌دهی'!$C$7+CF508*'تنظیمات وزن‌دهی'!$C$8+CG508*'تنظیمات وزن‌دهی'!$C$9+CH508*'تنظیمات وزن‌دهی'!$C$10+CI508*'تنظیمات وزن‌دهی'!$C$11+CJ508*'تنظیمات وزن‌دهی'!$C$12+CK508*'تنظیمات وزن‌دهی'!$C$13)/100))</x:f>
      </x:c>
      <x:c r="CM508" s="178" t="str">
        <x:f>IF(C508="","",IF(COUNT(G508:CB508)=0,"",IF(COUNT(G508:CB508)&lt;74,"موقت - اطلاعات ناقص",IF(CL508&gt;=17,"عالی",IF(CL508&gt;=14,"خوب",IF(CL508&gt;=10,"متوسط","ضعیف"))))))</x:f>
      </x:c>
      <x:c r="CN508" s="178" t="n">
        <x:v>12</x:v>
      </x:c>
      <x:c r="CO508" s="142" t="n">
        <x:f>IF(C508="","",COUNT(G508:CB508)/74)</x:f>
        <x:v>0</x:v>
      </x:c>
      <x:c r="CP508" s="245"/>
    </x:row>
    <x:row r="509">
      <x:c r="A509" s="165" t="n">
        <x:v>505</x:v>
      </x:c>
      <x:c r="B509" s="233" t="str">
        <x:v>تیر</x:v>
      </x:c>
      <x:c r="C509" s="233" t="n">
        <x:f>IF('دانش‌آموزان'!E47="","",'دانش‌آموزان'!B47)</x:f>
        <x:v>43</x:v>
      </x:c>
      <x:c r="D509" s="233" t="str">
        <x:f>IF('دانش‌آموزان'!C47="","",'دانش‌آموزان'!C47)</x:f>
        <x:v>4000000438</x:v>
      </x:c>
      <x:c r="E509" s="233" t="str">
        <x:f>IF('دانش‌آموزان'!E47="","",'دانش‌آموزان'!E47&amp;" "&amp;'دانش‌آموزان'!F47)</x:f>
        <x:v>امیرحسین طاهری</x:v>
      </x:c>
      <x:c r="F509" s="166" t="str">
        <x:f>IF('دانش‌آموزان'!I47="","",'دانش‌آموزان'!I47)</x:f>
        <x:v>sample-7-b</x:v>
      </x:c>
      <x:c r="G509" s="114" t="n">
        <x:v>4</x:v>
      </x:c>
      <x:c r="H509" s="115" t="n">
        <x:v>5</x:v>
      </x:c>
      <x:c r="I509" s="115" t="n">
        <x:v>4</x:v>
      </x:c>
      <x:c r="J509" s="115" t="n">
        <x:v>5</x:v>
      </x:c>
      <x:c r="K509" s="115" t="n">
        <x:v>3</x:v>
      </x:c>
      <x:c r="L509" s="115" t="n">
        <x:v>5</x:v>
      </x:c>
      <x:c r="M509" s="115" t="n">
        <x:v>3</x:v>
      </x:c>
      <x:c r="N509" s="115" t="n">
        <x:v>4</x:v>
      </x:c>
      <x:c r="O509" s="115" t="n">
        <x:v>3</x:v>
      </x:c>
      <x:c r="P509" s="115" t="n">
        <x:v>4</x:v>
      </x:c>
      <x:c r="Q509" s="115" t="n">
        <x:v>2</x:v>
      </x:c>
      <x:c r="R509" s="115" t="n">
        <x:v>4</x:v>
      </x:c>
      <x:c r="S509" s="115" t="n">
        <x:v>5</x:v>
      </x:c>
      <x:c r="T509" s="115" t="n">
        <x:v>4</x:v>
      </x:c>
      <x:c r="U509" s="115" t="n">
        <x:v>5</x:v>
      </x:c>
      <x:c r="V509" s="115" t="n">
        <x:v>3</x:v>
      </x:c>
      <x:c r="W509" s="115" t="n">
        <x:v>5</x:v>
      </x:c>
      <x:c r="X509" s="115" t="n">
        <x:v>3</x:v>
      </x:c>
      <x:c r="Y509" s="115" t="n">
        <x:v>4</x:v>
      </x:c>
      <x:c r="Z509" s="115" t="n">
        <x:v>3</x:v>
      </x:c>
      <x:c r="AA509" s="115" t="n">
        <x:v>4</x:v>
      </x:c>
      <x:c r="AB509" s="115" t="n">
        <x:v>2</x:v>
      </x:c>
      <x:c r="AC509" s="115" t="n">
        <x:v>4</x:v>
      </x:c>
      <x:c r="AD509" s="115" t="n">
        <x:v>5</x:v>
      </x:c>
      <x:c r="AE509" s="115" t="n">
        <x:v>4</x:v>
      </x:c>
      <x:c r="AF509" s="115" t="n">
        <x:v>5</x:v>
      </x:c>
      <x:c r="AG509" s="115" t="n">
        <x:v>3</x:v>
      </x:c>
      <x:c r="AH509" s="115" t="n">
        <x:v>5</x:v>
      </x:c>
      <x:c r="AI509" s="115" t="n">
        <x:v>3</x:v>
      </x:c>
      <x:c r="AJ509" s="115" t="n">
        <x:v>4</x:v>
      </x:c>
      <x:c r="AK509" s="115" t="n">
        <x:v>3</x:v>
      </x:c>
      <x:c r="AL509" s="115" t="n">
        <x:v>4</x:v>
      </x:c>
      <x:c r="AM509" s="115" t="n">
        <x:v>2</x:v>
      </x:c>
      <x:c r="AN509" s="115" t="n">
        <x:v>4</x:v>
      </x:c>
      <x:c r="AO509" s="115" t="n">
        <x:v>5</x:v>
      </x:c>
      <x:c r="AP509" s="115" t="n">
        <x:v>4</x:v>
      </x:c>
      <x:c r="AQ509" s="115" t="n">
        <x:v>5</x:v>
      </x:c>
      <x:c r="AR509" s="115" t="n">
        <x:v>3</x:v>
      </x:c>
      <x:c r="AS509" s="115" t="n">
        <x:v>5</x:v>
      </x:c>
      <x:c r="AT509" s="115" t="n">
        <x:v>3</x:v>
      </x:c>
      <x:c r="AU509" s="115" t="n">
        <x:v>4</x:v>
      </x:c>
      <x:c r="AV509" s="115" t="n">
        <x:v>3</x:v>
      </x:c>
      <x:c r="AW509" s="115" t="n">
        <x:v>4</x:v>
      </x:c>
      <x:c r="AX509" s="115" t="n">
        <x:v>2</x:v>
      </x:c>
      <x:c r="AY509" s="115" t="n">
        <x:v>4</x:v>
      </x:c>
      <x:c r="AZ509" s="115" t="n">
        <x:v>5</x:v>
      </x:c>
      <x:c r="BA509" s="115" t="n">
        <x:v>4</x:v>
      </x:c>
      <x:c r="BB509" s="115" t="n">
        <x:v>5</x:v>
      </x:c>
      <x:c r="BC509" s="115" t="n">
        <x:v>3</x:v>
      </x:c>
      <x:c r="BD509" s="115" t="n">
        <x:v>5</x:v>
      </x:c>
      <x:c r="BE509" s="115" t="n">
        <x:v>3</x:v>
      </x:c>
      <x:c r="BF509" s="115" t="n">
        <x:v>4</x:v>
      </x:c>
      <x:c r="BG509" s="115" t="n">
        <x:v>3</x:v>
      </x:c>
      <x:c r="BH509" s="115" t="n">
        <x:v>4</x:v>
      </x:c>
      <x:c r="BI509" s="115" t="n">
        <x:v>2</x:v>
      </x:c>
      <x:c r="BJ509" s="115" t="n">
        <x:v>4</x:v>
      </x:c>
      <x:c r="BK509" s="115" t="n">
        <x:v>5</x:v>
      </x:c>
      <x:c r="BL509" s="115" t="n">
        <x:v>4</x:v>
      </x:c>
      <x:c r="BM509" s="115" t="n">
        <x:v>5</x:v>
      </x:c>
      <x:c r="BN509" s="115" t="n">
        <x:v>3</x:v>
      </x:c>
      <x:c r="BO509" s="115" t="n">
        <x:v>5</x:v>
      </x:c>
      <x:c r="BP509" s="115" t="n">
        <x:v>3</x:v>
      </x:c>
      <x:c r="BQ509" s="115" t="n">
        <x:v>4</x:v>
      </x:c>
      <x:c r="BR509" s="115" t="n">
        <x:v>3</x:v>
      </x:c>
      <x:c r="BS509" s="115" t="n">
        <x:v>4</x:v>
      </x:c>
      <x:c r="BT509" s="115" t="n">
        <x:v>2</x:v>
      </x:c>
      <x:c r="BU509" s="115" t="n">
        <x:v>4</x:v>
      </x:c>
      <x:c r="BV509" s="115" t="n">
        <x:v>5</x:v>
      </x:c>
      <x:c r="BW509" s="115" t="n">
        <x:v>4</x:v>
      </x:c>
      <x:c r="BX509" s="115" t="n">
        <x:v>5</x:v>
      </x:c>
      <x:c r="BY509" s="115" t="n">
        <x:v>3</x:v>
      </x:c>
      <x:c r="BZ509" s="115" t="n">
        <x:v>5</x:v>
      </x:c>
      <x:c r="CA509" s="115" t="n">
        <x:v>3</x:v>
      </x:c>
      <x:c r="CB509" s="116" t="n">
        <x:v>4</x:v>
      </x:c>
      <x:c r="CC509" s="141" t="n">
        <x:f>IF(COUNT(G509:P509)=0,"",AVERAGE(G509:P509)*4)</x:f>
        <x:v>16</x:v>
      </x:c>
      <x:c r="CD509" s="178" t="n">
        <x:f>IF(COUNT(Q509:Z509)=0,"",AVERAGE(Q509:Z509)*4)</x:f>
        <x:v>15.2</x:v>
      </x:c>
      <x:c r="CE509" s="178" t="n">
        <x:f>IF(COUNT(AA509:AJ509)=0,"",AVERAGE(AA509:AJ509)*4)</x:f>
        <x:v>15.6</x:v>
      </x:c>
      <x:c r="CF509" s="178" t="n">
        <x:f>IF(COUNT(AK509:AR509)=0,"",AVERAGE(AK509:AR509)*4)</x:f>
        <x:v>15</x:v>
      </x:c>
      <x:c r="CG509" s="178" t="n">
        <x:f>IF(COUNT(AS509:AY509)=0,"",AVERAGE(AS509:AY509)*4)</x:f>
        <x:v>14.285714285714286</x:v>
      </x:c>
      <x:c r="CH509" s="178" t="n">
        <x:f>IF(COUNT(AZ509:BG509)=0,"",AVERAGE(AZ509:BG509)*4)</x:f>
        <x:v>16</x:v>
      </x:c>
      <x:c r="CI509" s="178" t="n">
        <x:f>IF(COUNT(BH509:BN509)=0,"",AVERAGE(BH509:BN509)*4)</x:f>
        <x:v>15.428571428571429</x:v>
      </x:c>
      <x:c r="CJ509" s="178" t="n">
        <x:f>IF(COUNT(BO509:BU509)=0,"",AVERAGE(BO509:BU509)*4)</x:f>
        <x:v>14.285714285714286</x:v>
      </x:c>
      <x:c r="CK509" s="178" t="n">
        <x:f>IF(COUNT(BV509:CB509)=0,"",AVERAGE(BV509:CB509)*4)</x:f>
        <x:v>16.571428571428573</x:v>
      </x:c>
      <x:c r="CL509" s="178" t="n">
        <x:f>IF(C509="","",IF(COUNT(G509:CB509)&lt;74,"",(CC509*'تنظیمات وزن‌دهی'!$C$5+CD509*'تنظیمات وزن‌دهی'!$C$6+CE509*'تنظیمات وزن‌دهی'!$C$7+CF509*'تنظیمات وزن‌دهی'!$C$8+CG509*'تنظیمات وزن‌دهی'!$C$9+CH509*'تنظیمات وزن‌دهی'!$C$10+CI509*'تنظیمات وزن‌دهی'!$C$11+CJ509*'تنظیمات وزن‌دهی'!$C$12+CK509*'تنظیمات وزن‌دهی'!$C$13)/100))</x:f>
        <x:v>15.447142857142858</x:v>
      </x:c>
      <x:c r="CM509" s="178" t="str">
        <x:f>IF(C509="","",IF(COUNT(G509:CB509)=0,"",IF(COUNT(G509:CB509)&lt;74,"موقت - اطلاعات ناقص",IF(CL509&gt;=17,"عالی",IF(CL509&gt;=14,"خوب",IF(CL509&gt;=10,"متوسط","ضعیف"))))))</x:f>
        <x:v>خوب</x:v>
      </x:c>
      <x:c r="CN509" s="178" t="n">
        <x:v>1</x:v>
      </x:c>
      <x:c r="CO509" s="142" t="n">
        <x:f>IF(C509="","",COUNT(G509:CB509)/74)</x:f>
        <x:v>1</x:v>
      </x:c>
      <x:c r="CP509" s="245" t="str">
        <x:v>داده نمونه کامل برای ماه تیر - دانش‌آموز شماره 43</x:v>
      </x:c>
    </x:row>
    <x:row r="510">
      <x:c r="A510" s="165" t="n">
        <x:v>506</x:v>
      </x:c>
      <x:c r="B510" s="233" t="str">
        <x:v>مرداد</x:v>
      </x:c>
      <x:c r="C510" s="233" t="n">
        <x:f>IF('دانش‌آموزان'!E47="","",'دانش‌آموزان'!B47)</x:f>
        <x:v>43</x:v>
      </x:c>
      <x:c r="D510" s="233" t="str">
        <x:f>IF('دانش‌آموزان'!C47="","",'دانش‌آموزان'!C47)</x:f>
        <x:v>4000000438</x:v>
      </x:c>
      <x:c r="E510" s="233" t="str">
        <x:f>IF('دانش‌آموزان'!E47="","",'دانش‌آموزان'!E47&amp;" "&amp;'دانش‌آموزان'!F47)</x:f>
        <x:v>امیرحسین طاهری</x:v>
      </x:c>
      <x:c r="F510" s="166" t="str">
        <x:f>IF('دانش‌آموزان'!I47="","",'دانش‌آموزان'!I47)</x:f>
        <x:v>sample-7-b</x:v>
      </x:c>
      <x:c r="G510" s="114"/>
      <x:c r="H510" s="115"/>
      <x:c r="I510" s="115"/>
      <x:c r="J510" s="115"/>
      <x:c r="K510" s="115"/>
      <x:c r="L510" s="115"/>
      <x:c r="M510" s="115"/>
      <x:c r="N510" s="115"/>
      <x:c r="O510" s="115"/>
      <x:c r="P510" s="115"/>
      <x:c r="Q510" s="115"/>
      <x:c r="R510" s="115"/>
      <x:c r="S510" s="115"/>
      <x:c r="T510" s="115"/>
      <x:c r="U510" s="115"/>
      <x:c r="V510" s="115"/>
      <x:c r="W510" s="115"/>
      <x:c r="X510" s="115"/>
      <x:c r="Y510" s="115"/>
      <x:c r="Z510" s="115"/>
      <x:c r="AA510" s="115"/>
      <x:c r="AB510" s="115"/>
      <x:c r="AC510" s="115"/>
      <x:c r="AD510" s="115"/>
      <x:c r="AE510" s="115"/>
      <x:c r="AF510" s="115"/>
      <x:c r="AG510" s="115"/>
      <x:c r="AH510" s="115"/>
      <x:c r="AI510" s="115"/>
      <x:c r="AJ510" s="115"/>
      <x:c r="AK510" s="115"/>
      <x:c r="AL510" s="115"/>
      <x:c r="AM510" s="115"/>
      <x:c r="AN510" s="115"/>
      <x:c r="AO510" s="115"/>
      <x:c r="AP510" s="115"/>
      <x:c r="AQ510" s="115"/>
      <x:c r="AR510" s="115"/>
      <x:c r="AS510" s="115"/>
      <x:c r="AT510" s="115"/>
      <x:c r="AU510" s="115"/>
      <x:c r="AV510" s="115"/>
      <x:c r="AW510" s="115"/>
      <x:c r="AX510" s="115"/>
      <x:c r="AY510" s="115"/>
      <x:c r="AZ510" s="115"/>
      <x:c r="BA510" s="115"/>
      <x:c r="BB510" s="115"/>
      <x:c r="BC510" s="115"/>
      <x:c r="BD510" s="115"/>
      <x:c r="BE510" s="115"/>
      <x:c r="BF510" s="115"/>
      <x:c r="BG510" s="115"/>
      <x:c r="BH510" s="115"/>
      <x:c r="BI510" s="115"/>
      <x:c r="BJ510" s="115"/>
      <x:c r="BK510" s="115"/>
      <x:c r="BL510" s="115"/>
      <x:c r="BM510" s="115"/>
      <x:c r="BN510" s="115"/>
      <x:c r="BO510" s="115"/>
      <x:c r="BP510" s="115"/>
      <x:c r="BQ510" s="115"/>
      <x:c r="BR510" s="115"/>
      <x:c r="BS510" s="115"/>
      <x:c r="BT510" s="115"/>
      <x:c r="BU510" s="115"/>
      <x:c r="BV510" s="115"/>
      <x:c r="BW510" s="115"/>
      <x:c r="BX510" s="115"/>
      <x:c r="BY510" s="115"/>
      <x:c r="BZ510" s="115"/>
      <x:c r="CA510" s="115"/>
      <x:c r="CB510" s="116"/>
      <x:c r="CC510" s="141" t="str">
        <x:f>IF(COUNT(G510:P510)=0,"",AVERAGE(G510:P510)*4)</x:f>
      </x:c>
      <x:c r="CD510" s="178" t="str">
        <x:f>IF(COUNT(Q510:Z510)=0,"",AVERAGE(Q510:Z510)*4)</x:f>
      </x:c>
      <x:c r="CE510" s="178" t="str">
        <x:f>IF(COUNT(AA510:AJ510)=0,"",AVERAGE(AA510:AJ510)*4)</x:f>
      </x:c>
      <x:c r="CF510" s="178" t="str">
        <x:f>IF(COUNT(AK510:AR510)=0,"",AVERAGE(AK510:AR510)*4)</x:f>
      </x:c>
      <x:c r="CG510" s="178" t="str">
        <x:f>IF(COUNT(AS510:AY510)=0,"",AVERAGE(AS510:AY510)*4)</x:f>
      </x:c>
      <x:c r="CH510" s="178" t="str">
        <x:f>IF(COUNT(AZ510:BG510)=0,"",AVERAGE(AZ510:BG510)*4)</x:f>
      </x:c>
      <x:c r="CI510" s="178" t="str">
        <x:f>IF(COUNT(BH510:BN510)=0,"",AVERAGE(BH510:BN510)*4)</x:f>
      </x:c>
      <x:c r="CJ510" s="178" t="str">
        <x:f>IF(COUNT(BO510:BU510)=0,"",AVERAGE(BO510:BU510)*4)</x:f>
      </x:c>
      <x:c r="CK510" s="178" t="str">
        <x:f>IF(COUNT(BV510:CB510)=0,"",AVERAGE(BV510:CB510)*4)</x:f>
      </x:c>
      <x:c r="CL510" s="178" t="str">
        <x:f>IF(C510="","",IF(COUNT(G510:CB510)&lt;74,"",(CC510*'تنظیمات وزن‌دهی'!$C$5+CD510*'تنظیمات وزن‌دهی'!$C$6+CE510*'تنظیمات وزن‌دهی'!$C$7+CF510*'تنظیمات وزن‌دهی'!$C$8+CG510*'تنظیمات وزن‌دهی'!$C$9+CH510*'تنظیمات وزن‌دهی'!$C$10+CI510*'تنظیمات وزن‌دهی'!$C$11+CJ510*'تنظیمات وزن‌دهی'!$C$12+CK510*'تنظیمات وزن‌دهی'!$C$13)/100))</x:f>
      </x:c>
      <x:c r="CM510" s="178" t="str">
        <x:f>IF(C510="","",IF(COUNT(G510:CB510)=0,"",IF(COUNT(G510:CB510)&lt;74,"موقت - اطلاعات ناقص",IF(CL510&gt;=17,"عالی",IF(CL510&gt;=14,"خوب",IF(CL510&gt;=10,"متوسط","ضعیف"))))))</x:f>
      </x:c>
      <x:c r="CN510" s="178" t="n">
        <x:v>2</x:v>
      </x:c>
      <x:c r="CO510" s="142" t="n">
        <x:f>IF(C510="","",COUNT(G510:CB510)/74)</x:f>
        <x:v>0</x:v>
      </x:c>
      <x:c r="CP510" s="245"/>
    </x:row>
    <x:row r="511">
      <x:c r="A511" s="165" t="n">
        <x:v>507</x:v>
      </x:c>
      <x:c r="B511" s="233" t="str">
        <x:v>شهریور</x:v>
      </x:c>
      <x:c r="C511" s="233" t="n">
        <x:f>IF('دانش‌آموزان'!E47="","",'دانش‌آموزان'!B47)</x:f>
        <x:v>43</x:v>
      </x:c>
      <x:c r="D511" s="233" t="str">
        <x:f>IF('دانش‌آموزان'!C47="","",'دانش‌آموزان'!C47)</x:f>
        <x:v>4000000438</x:v>
      </x:c>
      <x:c r="E511" s="233" t="str">
        <x:f>IF('دانش‌آموزان'!E47="","",'دانش‌آموزان'!E47&amp;" "&amp;'دانش‌آموزان'!F47)</x:f>
        <x:v>امیرحسین طاهری</x:v>
      </x:c>
      <x:c r="F511" s="166" t="str">
        <x:f>IF('دانش‌آموزان'!I47="","",'دانش‌آموزان'!I47)</x:f>
        <x:v>sample-7-b</x:v>
      </x:c>
      <x:c r="G511" s="114"/>
      <x:c r="H511" s="115"/>
      <x:c r="I511" s="115"/>
      <x:c r="J511" s="115"/>
      <x:c r="K511" s="115"/>
      <x:c r="L511" s="115"/>
      <x:c r="M511" s="115"/>
      <x:c r="N511" s="115"/>
      <x:c r="O511" s="115"/>
      <x:c r="P511" s="115"/>
      <x:c r="Q511" s="115"/>
      <x:c r="R511" s="115"/>
      <x:c r="S511" s="115"/>
      <x:c r="T511" s="115"/>
      <x:c r="U511" s="115"/>
      <x:c r="V511" s="115"/>
      <x:c r="W511" s="115"/>
      <x:c r="X511" s="115"/>
      <x:c r="Y511" s="115"/>
      <x:c r="Z511" s="115"/>
      <x:c r="AA511" s="115"/>
      <x:c r="AB511" s="115"/>
      <x:c r="AC511" s="115"/>
      <x:c r="AD511" s="115"/>
      <x:c r="AE511" s="115"/>
      <x:c r="AF511" s="115"/>
      <x:c r="AG511" s="115"/>
      <x:c r="AH511" s="115"/>
      <x:c r="AI511" s="115"/>
      <x:c r="AJ511" s="115"/>
      <x:c r="AK511" s="115"/>
      <x:c r="AL511" s="115"/>
      <x:c r="AM511" s="115"/>
      <x:c r="AN511" s="115"/>
      <x:c r="AO511" s="115"/>
      <x:c r="AP511" s="115"/>
      <x:c r="AQ511" s="115"/>
      <x:c r="AR511" s="115"/>
      <x:c r="AS511" s="115"/>
      <x:c r="AT511" s="115"/>
      <x:c r="AU511" s="115"/>
      <x:c r="AV511" s="115"/>
      <x:c r="AW511" s="115"/>
      <x:c r="AX511" s="115"/>
      <x:c r="AY511" s="115"/>
      <x:c r="AZ511" s="115"/>
      <x:c r="BA511" s="115"/>
      <x:c r="BB511" s="115"/>
      <x:c r="BC511" s="115"/>
      <x:c r="BD511" s="115"/>
      <x:c r="BE511" s="115"/>
      <x:c r="BF511" s="115"/>
      <x:c r="BG511" s="115"/>
      <x:c r="BH511" s="115"/>
      <x:c r="BI511" s="115"/>
      <x:c r="BJ511" s="115"/>
      <x:c r="BK511" s="115"/>
      <x:c r="BL511" s="115"/>
      <x:c r="BM511" s="115"/>
      <x:c r="BN511" s="115"/>
      <x:c r="BO511" s="115"/>
      <x:c r="BP511" s="115"/>
      <x:c r="BQ511" s="115"/>
      <x:c r="BR511" s="115"/>
      <x:c r="BS511" s="115"/>
      <x:c r="BT511" s="115"/>
      <x:c r="BU511" s="115"/>
      <x:c r="BV511" s="115"/>
      <x:c r="BW511" s="115"/>
      <x:c r="BX511" s="115"/>
      <x:c r="BY511" s="115"/>
      <x:c r="BZ511" s="115"/>
      <x:c r="CA511" s="115"/>
      <x:c r="CB511" s="116"/>
      <x:c r="CC511" s="141" t="str">
        <x:f>IF(COUNT(G511:P511)=0,"",AVERAGE(G511:P511)*4)</x:f>
      </x:c>
      <x:c r="CD511" s="178" t="str">
        <x:f>IF(COUNT(Q511:Z511)=0,"",AVERAGE(Q511:Z511)*4)</x:f>
      </x:c>
      <x:c r="CE511" s="178" t="str">
        <x:f>IF(COUNT(AA511:AJ511)=0,"",AVERAGE(AA511:AJ511)*4)</x:f>
      </x:c>
      <x:c r="CF511" s="178" t="str">
        <x:f>IF(COUNT(AK511:AR511)=0,"",AVERAGE(AK511:AR511)*4)</x:f>
      </x:c>
      <x:c r="CG511" s="178" t="str">
        <x:f>IF(COUNT(AS511:AY511)=0,"",AVERAGE(AS511:AY511)*4)</x:f>
      </x:c>
      <x:c r="CH511" s="178" t="str">
        <x:f>IF(COUNT(AZ511:BG511)=0,"",AVERAGE(AZ511:BG511)*4)</x:f>
      </x:c>
      <x:c r="CI511" s="178" t="str">
        <x:f>IF(COUNT(BH511:BN511)=0,"",AVERAGE(BH511:BN511)*4)</x:f>
      </x:c>
      <x:c r="CJ511" s="178" t="str">
        <x:f>IF(COUNT(BO511:BU511)=0,"",AVERAGE(BO511:BU511)*4)</x:f>
      </x:c>
      <x:c r="CK511" s="178" t="str">
        <x:f>IF(COUNT(BV511:CB511)=0,"",AVERAGE(BV511:CB511)*4)</x:f>
      </x:c>
      <x:c r="CL511" s="178" t="str">
        <x:f>IF(C511="","",IF(COUNT(G511:CB511)&lt;74,"",(CC511*'تنظیمات وزن‌دهی'!$C$5+CD511*'تنظیمات وزن‌دهی'!$C$6+CE511*'تنظیمات وزن‌دهی'!$C$7+CF511*'تنظیمات وزن‌دهی'!$C$8+CG511*'تنظیمات وزن‌دهی'!$C$9+CH511*'تنظیمات وزن‌دهی'!$C$10+CI511*'تنظیمات وزن‌دهی'!$C$11+CJ511*'تنظیمات وزن‌دهی'!$C$12+CK511*'تنظیمات وزن‌دهی'!$C$13)/100))</x:f>
      </x:c>
      <x:c r="CM511" s="178" t="str">
        <x:f>IF(C511="","",IF(COUNT(G511:CB511)=0,"",IF(COUNT(G511:CB511)&lt;74,"موقت - اطلاعات ناقص",IF(CL511&gt;=17,"عالی",IF(CL511&gt;=14,"خوب",IF(CL511&gt;=10,"متوسط","ضعیف"))))))</x:f>
      </x:c>
      <x:c r="CN511" s="178" t="n">
        <x:v>3</x:v>
      </x:c>
      <x:c r="CO511" s="142" t="n">
        <x:f>IF(C511="","",COUNT(G511:CB511)/74)</x:f>
        <x:v>0</x:v>
      </x:c>
      <x:c r="CP511" s="245"/>
    </x:row>
    <x:row r="512">
      <x:c r="A512" s="165" t="n">
        <x:v>508</x:v>
      </x:c>
      <x:c r="B512" s="233" t="str">
        <x:v>مهر</x:v>
      </x:c>
      <x:c r="C512" s="233" t="n">
        <x:f>IF('دانش‌آموزان'!E47="","",'دانش‌آموزان'!B47)</x:f>
        <x:v>43</x:v>
      </x:c>
      <x:c r="D512" s="233" t="str">
        <x:f>IF('دانش‌آموزان'!C47="","",'دانش‌آموزان'!C47)</x:f>
        <x:v>4000000438</x:v>
      </x:c>
      <x:c r="E512" s="233" t="str">
        <x:f>IF('دانش‌آموزان'!E47="","",'دانش‌آموزان'!E47&amp;" "&amp;'دانش‌آموزان'!F47)</x:f>
        <x:v>امیرحسین طاهری</x:v>
      </x:c>
      <x:c r="F512" s="166" t="str">
        <x:f>IF('دانش‌آموزان'!I47="","",'دانش‌آموزان'!I47)</x:f>
        <x:v>sample-7-b</x:v>
      </x:c>
      <x:c r="G512" s="114"/>
      <x:c r="H512" s="115"/>
      <x:c r="I512" s="115"/>
      <x:c r="J512" s="115"/>
      <x:c r="K512" s="115"/>
      <x:c r="L512" s="115"/>
      <x:c r="M512" s="115"/>
      <x:c r="N512" s="115"/>
      <x:c r="O512" s="115"/>
      <x:c r="P512" s="115"/>
      <x:c r="Q512" s="115"/>
      <x:c r="R512" s="115"/>
      <x:c r="S512" s="115"/>
      <x:c r="T512" s="115"/>
      <x:c r="U512" s="115"/>
      <x:c r="V512" s="115"/>
      <x:c r="W512" s="115"/>
      <x:c r="X512" s="115"/>
      <x:c r="Y512" s="115"/>
      <x:c r="Z512" s="115"/>
      <x:c r="AA512" s="115"/>
      <x:c r="AB512" s="115"/>
      <x:c r="AC512" s="115"/>
      <x:c r="AD512" s="115"/>
      <x:c r="AE512" s="115"/>
      <x:c r="AF512" s="115"/>
      <x:c r="AG512" s="115"/>
      <x:c r="AH512" s="115"/>
      <x:c r="AI512" s="115"/>
      <x:c r="AJ512" s="115"/>
      <x:c r="AK512" s="115"/>
      <x:c r="AL512" s="115"/>
      <x:c r="AM512" s="115"/>
      <x:c r="AN512" s="115"/>
      <x:c r="AO512" s="115"/>
      <x:c r="AP512" s="115"/>
      <x:c r="AQ512" s="115"/>
      <x:c r="AR512" s="115"/>
      <x:c r="AS512" s="115"/>
      <x:c r="AT512" s="115"/>
      <x:c r="AU512" s="115"/>
      <x:c r="AV512" s="115"/>
      <x:c r="AW512" s="115"/>
      <x:c r="AX512" s="115"/>
      <x:c r="AY512" s="115"/>
      <x:c r="AZ512" s="115"/>
      <x:c r="BA512" s="115"/>
      <x:c r="BB512" s="115"/>
      <x:c r="BC512" s="115"/>
      <x:c r="BD512" s="115"/>
      <x:c r="BE512" s="115"/>
      <x:c r="BF512" s="115"/>
      <x:c r="BG512" s="115"/>
      <x:c r="BH512" s="115"/>
      <x:c r="BI512" s="115"/>
      <x:c r="BJ512" s="115"/>
      <x:c r="BK512" s="115"/>
      <x:c r="BL512" s="115"/>
      <x:c r="BM512" s="115"/>
      <x:c r="BN512" s="115"/>
      <x:c r="BO512" s="115"/>
      <x:c r="BP512" s="115"/>
      <x:c r="BQ512" s="115"/>
      <x:c r="BR512" s="115"/>
      <x:c r="BS512" s="115"/>
      <x:c r="BT512" s="115"/>
      <x:c r="BU512" s="115"/>
      <x:c r="BV512" s="115"/>
      <x:c r="BW512" s="115"/>
      <x:c r="BX512" s="115"/>
      <x:c r="BY512" s="115"/>
      <x:c r="BZ512" s="115"/>
      <x:c r="CA512" s="115"/>
      <x:c r="CB512" s="116"/>
      <x:c r="CC512" s="141" t="str">
        <x:f>IF(COUNT(G512:P512)=0,"",AVERAGE(G512:P512)*4)</x:f>
      </x:c>
      <x:c r="CD512" s="178" t="str">
        <x:f>IF(COUNT(Q512:Z512)=0,"",AVERAGE(Q512:Z512)*4)</x:f>
      </x:c>
      <x:c r="CE512" s="178" t="str">
        <x:f>IF(COUNT(AA512:AJ512)=0,"",AVERAGE(AA512:AJ512)*4)</x:f>
      </x:c>
      <x:c r="CF512" s="178" t="str">
        <x:f>IF(COUNT(AK512:AR512)=0,"",AVERAGE(AK512:AR512)*4)</x:f>
      </x:c>
      <x:c r="CG512" s="178" t="str">
        <x:f>IF(COUNT(AS512:AY512)=0,"",AVERAGE(AS512:AY512)*4)</x:f>
      </x:c>
      <x:c r="CH512" s="178" t="str">
        <x:f>IF(COUNT(AZ512:BG512)=0,"",AVERAGE(AZ512:BG512)*4)</x:f>
      </x:c>
      <x:c r="CI512" s="178" t="str">
        <x:f>IF(COUNT(BH512:BN512)=0,"",AVERAGE(BH512:BN512)*4)</x:f>
      </x:c>
      <x:c r="CJ512" s="178" t="str">
        <x:f>IF(COUNT(BO512:BU512)=0,"",AVERAGE(BO512:BU512)*4)</x:f>
      </x:c>
      <x:c r="CK512" s="178" t="str">
        <x:f>IF(COUNT(BV512:CB512)=0,"",AVERAGE(BV512:CB512)*4)</x:f>
      </x:c>
      <x:c r="CL512" s="178" t="str">
        <x:f>IF(C512="","",IF(COUNT(G512:CB512)&lt;74,"",(CC512*'تنظیمات وزن‌دهی'!$C$5+CD512*'تنظیمات وزن‌دهی'!$C$6+CE512*'تنظیمات وزن‌دهی'!$C$7+CF512*'تنظیمات وزن‌دهی'!$C$8+CG512*'تنظیمات وزن‌دهی'!$C$9+CH512*'تنظیمات وزن‌دهی'!$C$10+CI512*'تنظیمات وزن‌دهی'!$C$11+CJ512*'تنظیمات وزن‌دهی'!$C$12+CK512*'تنظیمات وزن‌دهی'!$C$13)/100))</x:f>
      </x:c>
      <x:c r="CM512" s="178" t="str">
        <x:f>IF(C512="","",IF(COUNT(G512:CB512)=0,"",IF(COUNT(G512:CB512)&lt;74,"موقت - اطلاعات ناقص",IF(CL512&gt;=17,"عالی",IF(CL512&gt;=14,"خوب",IF(CL512&gt;=10,"متوسط","ضعیف"))))))</x:f>
      </x:c>
      <x:c r="CN512" s="178" t="n">
        <x:v>4</x:v>
      </x:c>
      <x:c r="CO512" s="142" t="n">
        <x:f>IF(C512="","",COUNT(G512:CB512)/74)</x:f>
        <x:v>0</x:v>
      </x:c>
      <x:c r="CP512" s="245"/>
    </x:row>
    <x:row r="513">
      <x:c r="A513" s="165" t="n">
        <x:v>509</x:v>
      </x:c>
      <x:c r="B513" s="233" t="str">
        <x:v>آبان</x:v>
      </x:c>
      <x:c r="C513" s="233" t="n">
        <x:f>IF('دانش‌آموزان'!E47="","",'دانش‌آموزان'!B47)</x:f>
        <x:v>43</x:v>
      </x:c>
      <x:c r="D513" s="233" t="str">
        <x:f>IF('دانش‌آموزان'!C47="","",'دانش‌آموزان'!C47)</x:f>
        <x:v>4000000438</x:v>
      </x:c>
      <x:c r="E513" s="233" t="str">
        <x:f>IF('دانش‌آموزان'!E47="","",'دانش‌آموزان'!E47&amp;" "&amp;'دانش‌آموزان'!F47)</x:f>
        <x:v>امیرحسین طاهری</x:v>
      </x:c>
      <x:c r="F513" s="166" t="str">
        <x:f>IF('دانش‌آموزان'!I47="","",'دانش‌آموزان'!I47)</x:f>
        <x:v>sample-7-b</x:v>
      </x:c>
      <x:c r="G513" s="114"/>
      <x:c r="H513" s="115"/>
      <x:c r="I513" s="115"/>
      <x:c r="J513" s="115"/>
      <x:c r="K513" s="115"/>
      <x:c r="L513" s="115"/>
      <x:c r="M513" s="115"/>
      <x:c r="N513" s="115"/>
      <x:c r="O513" s="115"/>
      <x:c r="P513" s="115"/>
      <x:c r="Q513" s="115"/>
      <x:c r="R513" s="115"/>
      <x:c r="S513" s="115"/>
      <x:c r="T513" s="115"/>
      <x:c r="U513" s="115"/>
      <x:c r="V513" s="115"/>
      <x:c r="W513" s="115"/>
      <x:c r="X513" s="115"/>
      <x:c r="Y513" s="115"/>
      <x:c r="Z513" s="115"/>
      <x:c r="AA513" s="115"/>
      <x:c r="AB513" s="115"/>
      <x:c r="AC513" s="115"/>
      <x:c r="AD513" s="115"/>
      <x:c r="AE513" s="115"/>
      <x:c r="AF513" s="115"/>
      <x:c r="AG513" s="115"/>
      <x:c r="AH513" s="115"/>
      <x:c r="AI513" s="115"/>
      <x:c r="AJ513" s="115"/>
      <x:c r="AK513" s="115"/>
      <x:c r="AL513" s="115"/>
      <x:c r="AM513" s="115"/>
      <x:c r="AN513" s="115"/>
      <x:c r="AO513" s="115"/>
      <x:c r="AP513" s="115"/>
      <x:c r="AQ513" s="115"/>
      <x:c r="AR513" s="115"/>
      <x:c r="AS513" s="115"/>
      <x:c r="AT513" s="115"/>
      <x:c r="AU513" s="115"/>
      <x:c r="AV513" s="115"/>
      <x:c r="AW513" s="115"/>
      <x:c r="AX513" s="115"/>
      <x:c r="AY513" s="115"/>
      <x:c r="AZ513" s="115"/>
      <x:c r="BA513" s="115"/>
      <x:c r="BB513" s="115"/>
      <x:c r="BC513" s="115"/>
      <x:c r="BD513" s="115"/>
      <x:c r="BE513" s="115"/>
      <x:c r="BF513" s="115"/>
      <x:c r="BG513" s="115"/>
      <x:c r="BH513" s="115"/>
      <x:c r="BI513" s="115"/>
      <x:c r="BJ513" s="115"/>
      <x:c r="BK513" s="115"/>
      <x:c r="BL513" s="115"/>
      <x:c r="BM513" s="115"/>
      <x:c r="BN513" s="115"/>
      <x:c r="BO513" s="115"/>
      <x:c r="BP513" s="115"/>
      <x:c r="BQ513" s="115"/>
      <x:c r="BR513" s="115"/>
      <x:c r="BS513" s="115"/>
      <x:c r="BT513" s="115"/>
      <x:c r="BU513" s="115"/>
      <x:c r="BV513" s="115"/>
      <x:c r="BW513" s="115"/>
      <x:c r="BX513" s="115"/>
      <x:c r="BY513" s="115"/>
      <x:c r="BZ513" s="115"/>
      <x:c r="CA513" s="115"/>
      <x:c r="CB513" s="116"/>
      <x:c r="CC513" s="141" t="str">
        <x:f>IF(COUNT(G513:P513)=0,"",AVERAGE(G513:P513)*4)</x:f>
      </x:c>
      <x:c r="CD513" s="178" t="str">
        <x:f>IF(COUNT(Q513:Z513)=0,"",AVERAGE(Q513:Z513)*4)</x:f>
      </x:c>
      <x:c r="CE513" s="178" t="str">
        <x:f>IF(COUNT(AA513:AJ513)=0,"",AVERAGE(AA513:AJ513)*4)</x:f>
      </x:c>
      <x:c r="CF513" s="178" t="str">
        <x:f>IF(COUNT(AK513:AR513)=0,"",AVERAGE(AK513:AR513)*4)</x:f>
      </x:c>
      <x:c r="CG513" s="178" t="str">
        <x:f>IF(COUNT(AS513:AY513)=0,"",AVERAGE(AS513:AY513)*4)</x:f>
      </x:c>
      <x:c r="CH513" s="178" t="str">
        <x:f>IF(COUNT(AZ513:BG513)=0,"",AVERAGE(AZ513:BG513)*4)</x:f>
      </x:c>
      <x:c r="CI513" s="178" t="str">
        <x:f>IF(COUNT(BH513:BN513)=0,"",AVERAGE(BH513:BN513)*4)</x:f>
      </x:c>
      <x:c r="CJ513" s="178" t="str">
        <x:f>IF(COUNT(BO513:BU513)=0,"",AVERAGE(BO513:BU513)*4)</x:f>
      </x:c>
      <x:c r="CK513" s="178" t="str">
        <x:f>IF(COUNT(BV513:CB513)=0,"",AVERAGE(BV513:CB513)*4)</x:f>
      </x:c>
      <x:c r="CL513" s="178" t="str">
        <x:f>IF(C513="","",IF(COUNT(G513:CB513)&lt;74,"",(CC513*'تنظیمات وزن‌دهی'!$C$5+CD513*'تنظیمات وزن‌دهی'!$C$6+CE513*'تنظیمات وزن‌دهی'!$C$7+CF513*'تنظیمات وزن‌دهی'!$C$8+CG513*'تنظیمات وزن‌دهی'!$C$9+CH513*'تنظیمات وزن‌دهی'!$C$10+CI513*'تنظیمات وزن‌دهی'!$C$11+CJ513*'تنظیمات وزن‌دهی'!$C$12+CK513*'تنظیمات وزن‌دهی'!$C$13)/100))</x:f>
      </x:c>
      <x:c r="CM513" s="178" t="str">
        <x:f>IF(C513="","",IF(COUNT(G513:CB513)=0,"",IF(COUNT(G513:CB513)&lt;74,"موقت - اطلاعات ناقص",IF(CL513&gt;=17,"عالی",IF(CL513&gt;=14,"خوب",IF(CL513&gt;=10,"متوسط","ضعیف"))))))</x:f>
      </x:c>
      <x:c r="CN513" s="178" t="n">
        <x:v>5</x:v>
      </x:c>
      <x:c r="CO513" s="142" t="n">
        <x:f>IF(C513="","",COUNT(G513:CB513)/74)</x:f>
        <x:v>0</x:v>
      </x:c>
      <x:c r="CP513" s="245"/>
    </x:row>
    <x:row r="514">
      <x:c r="A514" s="165" t="n">
        <x:v>510</x:v>
      </x:c>
      <x:c r="B514" s="233" t="str">
        <x:v>آذر</x:v>
      </x:c>
      <x:c r="C514" s="233" t="n">
        <x:f>IF('دانش‌آموزان'!E47="","",'دانش‌آموزان'!B47)</x:f>
        <x:v>43</x:v>
      </x:c>
      <x:c r="D514" s="233" t="str">
        <x:f>IF('دانش‌آموزان'!C47="","",'دانش‌آموزان'!C47)</x:f>
        <x:v>4000000438</x:v>
      </x:c>
      <x:c r="E514" s="233" t="str">
        <x:f>IF('دانش‌آموزان'!E47="","",'دانش‌آموزان'!E47&amp;" "&amp;'دانش‌آموزان'!F47)</x:f>
        <x:v>امیرحسین طاهری</x:v>
      </x:c>
      <x:c r="F514" s="166" t="str">
        <x:f>IF('دانش‌آموزان'!I47="","",'دانش‌آموزان'!I47)</x:f>
        <x:v>sample-7-b</x:v>
      </x:c>
      <x:c r="G514" s="114"/>
      <x:c r="H514" s="115"/>
      <x:c r="I514" s="115"/>
      <x:c r="J514" s="115"/>
      <x:c r="K514" s="115"/>
      <x:c r="L514" s="115"/>
      <x:c r="M514" s="115"/>
      <x:c r="N514" s="115"/>
      <x:c r="O514" s="115"/>
      <x:c r="P514" s="115"/>
      <x:c r="Q514" s="115"/>
      <x:c r="R514" s="115"/>
      <x:c r="S514" s="115"/>
      <x:c r="T514" s="115"/>
      <x:c r="U514" s="115"/>
      <x:c r="V514" s="115"/>
      <x:c r="W514" s="115"/>
      <x:c r="X514" s="115"/>
      <x:c r="Y514" s="115"/>
      <x:c r="Z514" s="115"/>
      <x:c r="AA514" s="115"/>
      <x:c r="AB514" s="115"/>
      <x:c r="AC514" s="115"/>
      <x:c r="AD514" s="115"/>
      <x:c r="AE514" s="115"/>
      <x:c r="AF514" s="115"/>
      <x:c r="AG514" s="115"/>
      <x:c r="AH514" s="115"/>
      <x:c r="AI514" s="115"/>
      <x:c r="AJ514" s="115"/>
      <x:c r="AK514" s="115"/>
      <x:c r="AL514" s="115"/>
      <x:c r="AM514" s="115"/>
      <x:c r="AN514" s="115"/>
      <x:c r="AO514" s="115"/>
      <x:c r="AP514" s="115"/>
      <x:c r="AQ514" s="115"/>
      <x:c r="AR514" s="115"/>
      <x:c r="AS514" s="115"/>
      <x:c r="AT514" s="115"/>
      <x:c r="AU514" s="115"/>
      <x:c r="AV514" s="115"/>
      <x:c r="AW514" s="115"/>
      <x:c r="AX514" s="115"/>
      <x:c r="AY514" s="115"/>
      <x:c r="AZ514" s="115"/>
      <x:c r="BA514" s="115"/>
      <x:c r="BB514" s="115"/>
      <x:c r="BC514" s="115"/>
      <x:c r="BD514" s="115"/>
      <x:c r="BE514" s="115"/>
      <x:c r="BF514" s="115"/>
      <x:c r="BG514" s="115"/>
      <x:c r="BH514" s="115"/>
      <x:c r="BI514" s="115"/>
      <x:c r="BJ514" s="115"/>
      <x:c r="BK514" s="115"/>
      <x:c r="BL514" s="115"/>
      <x:c r="BM514" s="115"/>
      <x:c r="BN514" s="115"/>
      <x:c r="BO514" s="115"/>
      <x:c r="BP514" s="115"/>
      <x:c r="BQ514" s="115"/>
      <x:c r="BR514" s="115"/>
      <x:c r="BS514" s="115"/>
      <x:c r="BT514" s="115"/>
      <x:c r="BU514" s="115"/>
      <x:c r="BV514" s="115"/>
      <x:c r="BW514" s="115"/>
      <x:c r="BX514" s="115"/>
      <x:c r="BY514" s="115"/>
      <x:c r="BZ514" s="115"/>
      <x:c r="CA514" s="115"/>
      <x:c r="CB514" s="116"/>
      <x:c r="CC514" s="141" t="str">
        <x:f>IF(COUNT(G514:P514)=0,"",AVERAGE(G514:P514)*4)</x:f>
      </x:c>
      <x:c r="CD514" s="178" t="str">
        <x:f>IF(COUNT(Q514:Z514)=0,"",AVERAGE(Q514:Z514)*4)</x:f>
      </x:c>
      <x:c r="CE514" s="178" t="str">
        <x:f>IF(COUNT(AA514:AJ514)=0,"",AVERAGE(AA514:AJ514)*4)</x:f>
      </x:c>
      <x:c r="CF514" s="178" t="str">
        <x:f>IF(COUNT(AK514:AR514)=0,"",AVERAGE(AK514:AR514)*4)</x:f>
      </x:c>
      <x:c r="CG514" s="178" t="str">
        <x:f>IF(COUNT(AS514:AY514)=0,"",AVERAGE(AS514:AY514)*4)</x:f>
      </x:c>
      <x:c r="CH514" s="178" t="str">
        <x:f>IF(COUNT(AZ514:BG514)=0,"",AVERAGE(AZ514:BG514)*4)</x:f>
      </x:c>
      <x:c r="CI514" s="178" t="str">
        <x:f>IF(COUNT(BH514:BN514)=0,"",AVERAGE(BH514:BN514)*4)</x:f>
      </x:c>
      <x:c r="CJ514" s="178" t="str">
        <x:f>IF(COUNT(BO514:BU514)=0,"",AVERAGE(BO514:BU514)*4)</x:f>
      </x:c>
      <x:c r="CK514" s="178" t="str">
        <x:f>IF(COUNT(BV514:CB514)=0,"",AVERAGE(BV514:CB514)*4)</x:f>
      </x:c>
      <x:c r="CL514" s="178" t="str">
        <x:f>IF(C514="","",IF(COUNT(G514:CB514)&lt;74,"",(CC514*'تنظیمات وزن‌دهی'!$C$5+CD514*'تنظیمات وزن‌دهی'!$C$6+CE514*'تنظیمات وزن‌دهی'!$C$7+CF514*'تنظیمات وزن‌دهی'!$C$8+CG514*'تنظیمات وزن‌دهی'!$C$9+CH514*'تنظیمات وزن‌دهی'!$C$10+CI514*'تنظیمات وزن‌دهی'!$C$11+CJ514*'تنظیمات وزن‌دهی'!$C$12+CK514*'تنظیمات وزن‌دهی'!$C$13)/100))</x:f>
      </x:c>
      <x:c r="CM514" s="178" t="str">
        <x:f>IF(C514="","",IF(COUNT(G514:CB514)=0,"",IF(COUNT(G514:CB514)&lt;74,"موقت - اطلاعات ناقص",IF(CL514&gt;=17,"عالی",IF(CL514&gt;=14,"خوب",IF(CL514&gt;=10,"متوسط","ضعیف"))))))</x:f>
      </x:c>
      <x:c r="CN514" s="178" t="n">
        <x:v>6</x:v>
      </x:c>
      <x:c r="CO514" s="142" t="n">
        <x:f>IF(C514="","",COUNT(G514:CB514)/74)</x:f>
        <x:v>0</x:v>
      </x:c>
      <x:c r="CP514" s="245"/>
    </x:row>
    <x:row r="515">
      <x:c r="A515" s="165" t="n">
        <x:v>511</x:v>
      </x:c>
      <x:c r="B515" s="233" t="str">
        <x:v>دی</x:v>
      </x:c>
      <x:c r="C515" s="233" t="n">
        <x:f>IF('دانش‌آموزان'!E47="","",'دانش‌آموزان'!B47)</x:f>
        <x:v>43</x:v>
      </x:c>
      <x:c r="D515" s="233" t="str">
        <x:f>IF('دانش‌آموزان'!C47="","",'دانش‌آموزان'!C47)</x:f>
        <x:v>4000000438</x:v>
      </x:c>
      <x:c r="E515" s="233" t="str">
        <x:f>IF('دانش‌آموزان'!E47="","",'دانش‌آموزان'!E47&amp;" "&amp;'دانش‌آموزان'!F47)</x:f>
        <x:v>امیرحسین طاهری</x:v>
      </x:c>
      <x:c r="F515" s="166" t="str">
        <x:f>IF('دانش‌آموزان'!I47="","",'دانش‌آموزان'!I47)</x:f>
        <x:v>sample-7-b</x:v>
      </x:c>
      <x:c r="G515" s="114"/>
      <x:c r="H515" s="115"/>
      <x:c r="I515" s="115"/>
      <x:c r="J515" s="115"/>
      <x:c r="K515" s="115"/>
      <x:c r="L515" s="115"/>
      <x:c r="M515" s="115"/>
      <x:c r="N515" s="115"/>
      <x:c r="O515" s="115"/>
      <x:c r="P515" s="115"/>
      <x:c r="Q515" s="115"/>
      <x:c r="R515" s="115"/>
      <x:c r="S515" s="115"/>
      <x:c r="T515" s="115"/>
      <x:c r="U515" s="115"/>
      <x:c r="V515" s="115"/>
      <x:c r="W515" s="115"/>
      <x:c r="X515" s="115"/>
      <x:c r="Y515" s="115"/>
      <x:c r="Z515" s="115"/>
      <x:c r="AA515" s="115"/>
      <x:c r="AB515" s="115"/>
      <x:c r="AC515" s="115"/>
      <x:c r="AD515" s="115"/>
      <x:c r="AE515" s="115"/>
      <x:c r="AF515" s="115"/>
      <x:c r="AG515" s="115"/>
      <x:c r="AH515" s="115"/>
      <x:c r="AI515" s="115"/>
      <x:c r="AJ515" s="115"/>
      <x:c r="AK515" s="115"/>
      <x:c r="AL515" s="115"/>
      <x:c r="AM515" s="115"/>
      <x:c r="AN515" s="115"/>
      <x:c r="AO515" s="115"/>
      <x:c r="AP515" s="115"/>
      <x:c r="AQ515" s="115"/>
      <x:c r="AR515" s="115"/>
      <x:c r="AS515" s="115"/>
      <x:c r="AT515" s="115"/>
      <x:c r="AU515" s="115"/>
      <x:c r="AV515" s="115"/>
      <x:c r="AW515" s="115"/>
      <x:c r="AX515" s="115"/>
      <x:c r="AY515" s="115"/>
      <x:c r="AZ515" s="115"/>
      <x:c r="BA515" s="115"/>
      <x:c r="BB515" s="115"/>
      <x:c r="BC515" s="115"/>
      <x:c r="BD515" s="115"/>
      <x:c r="BE515" s="115"/>
      <x:c r="BF515" s="115"/>
      <x:c r="BG515" s="115"/>
      <x:c r="BH515" s="115"/>
      <x:c r="BI515" s="115"/>
      <x:c r="BJ515" s="115"/>
      <x:c r="BK515" s="115"/>
      <x:c r="BL515" s="115"/>
      <x:c r="BM515" s="115"/>
      <x:c r="BN515" s="115"/>
      <x:c r="BO515" s="115"/>
      <x:c r="BP515" s="115"/>
      <x:c r="BQ515" s="115"/>
      <x:c r="BR515" s="115"/>
      <x:c r="BS515" s="115"/>
      <x:c r="BT515" s="115"/>
      <x:c r="BU515" s="115"/>
      <x:c r="BV515" s="115"/>
      <x:c r="BW515" s="115"/>
      <x:c r="BX515" s="115"/>
      <x:c r="BY515" s="115"/>
      <x:c r="BZ515" s="115"/>
      <x:c r="CA515" s="115"/>
      <x:c r="CB515" s="116"/>
      <x:c r="CC515" s="141" t="str">
        <x:f>IF(COUNT(G515:P515)=0,"",AVERAGE(G515:P515)*4)</x:f>
      </x:c>
      <x:c r="CD515" s="178" t="str">
        <x:f>IF(COUNT(Q515:Z515)=0,"",AVERAGE(Q515:Z515)*4)</x:f>
      </x:c>
      <x:c r="CE515" s="178" t="str">
        <x:f>IF(COUNT(AA515:AJ515)=0,"",AVERAGE(AA515:AJ515)*4)</x:f>
      </x:c>
      <x:c r="CF515" s="178" t="str">
        <x:f>IF(COUNT(AK515:AR515)=0,"",AVERAGE(AK515:AR515)*4)</x:f>
      </x:c>
      <x:c r="CG515" s="178" t="str">
        <x:f>IF(COUNT(AS515:AY515)=0,"",AVERAGE(AS515:AY515)*4)</x:f>
      </x:c>
      <x:c r="CH515" s="178" t="str">
        <x:f>IF(COUNT(AZ515:BG515)=0,"",AVERAGE(AZ515:BG515)*4)</x:f>
      </x:c>
      <x:c r="CI515" s="178" t="str">
        <x:f>IF(COUNT(BH515:BN515)=0,"",AVERAGE(BH515:BN515)*4)</x:f>
      </x:c>
      <x:c r="CJ515" s="178" t="str">
        <x:f>IF(COUNT(BO515:BU515)=0,"",AVERAGE(BO515:BU515)*4)</x:f>
      </x:c>
      <x:c r="CK515" s="178" t="str">
        <x:f>IF(COUNT(BV515:CB515)=0,"",AVERAGE(BV515:CB515)*4)</x:f>
      </x:c>
      <x:c r="CL515" s="178" t="str">
        <x:f>IF(C515="","",IF(COUNT(G515:CB515)&lt;74,"",(CC515*'تنظیمات وزن‌دهی'!$C$5+CD515*'تنظیمات وزن‌دهی'!$C$6+CE515*'تنظیمات وزن‌دهی'!$C$7+CF515*'تنظیمات وزن‌دهی'!$C$8+CG515*'تنظیمات وزن‌دهی'!$C$9+CH515*'تنظیمات وزن‌دهی'!$C$10+CI515*'تنظیمات وزن‌دهی'!$C$11+CJ515*'تنظیمات وزن‌دهی'!$C$12+CK515*'تنظیمات وزن‌دهی'!$C$13)/100))</x:f>
      </x:c>
      <x:c r="CM515" s="178" t="str">
        <x:f>IF(C515="","",IF(COUNT(G515:CB515)=0,"",IF(COUNT(G515:CB515)&lt;74,"موقت - اطلاعات ناقص",IF(CL515&gt;=17,"عالی",IF(CL515&gt;=14,"خوب",IF(CL515&gt;=10,"متوسط","ضعیف"))))))</x:f>
      </x:c>
      <x:c r="CN515" s="178" t="n">
        <x:v>7</x:v>
      </x:c>
      <x:c r="CO515" s="142" t="n">
        <x:f>IF(C515="","",COUNT(G515:CB515)/74)</x:f>
        <x:v>0</x:v>
      </x:c>
      <x:c r="CP515" s="245"/>
    </x:row>
    <x:row r="516">
      <x:c r="A516" s="165" t="n">
        <x:v>512</x:v>
      </x:c>
      <x:c r="B516" s="233" t="str">
        <x:v>بهمن</x:v>
      </x:c>
      <x:c r="C516" s="233" t="n">
        <x:f>IF('دانش‌آموزان'!E47="","",'دانش‌آموزان'!B47)</x:f>
        <x:v>43</x:v>
      </x:c>
      <x:c r="D516" s="233" t="str">
        <x:f>IF('دانش‌آموزان'!C47="","",'دانش‌آموزان'!C47)</x:f>
        <x:v>4000000438</x:v>
      </x:c>
      <x:c r="E516" s="233" t="str">
        <x:f>IF('دانش‌آموزان'!E47="","",'دانش‌آموزان'!E47&amp;" "&amp;'دانش‌آموزان'!F47)</x:f>
        <x:v>امیرحسین طاهری</x:v>
      </x:c>
      <x:c r="F516" s="166" t="str">
        <x:f>IF('دانش‌آموزان'!I47="","",'دانش‌آموزان'!I47)</x:f>
        <x:v>sample-7-b</x:v>
      </x:c>
      <x:c r="G516" s="114"/>
      <x:c r="H516" s="115"/>
      <x:c r="I516" s="115"/>
      <x:c r="J516" s="115"/>
      <x:c r="K516" s="115"/>
      <x:c r="L516" s="115"/>
      <x:c r="M516" s="115"/>
      <x:c r="N516" s="115"/>
      <x:c r="O516" s="115"/>
      <x:c r="P516" s="115"/>
      <x:c r="Q516" s="115"/>
      <x:c r="R516" s="115"/>
      <x:c r="S516" s="115"/>
      <x:c r="T516" s="115"/>
      <x:c r="U516" s="115"/>
      <x:c r="V516" s="115"/>
      <x:c r="W516" s="115"/>
      <x:c r="X516" s="115"/>
      <x:c r="Y516" s="115"/>
      <x:c r="Z516" s="115"/>
      <x:c r="AA516" s="115"/>
      <x:c r="AB516" s="115"/>
      <x:c r="AC516" s="115"/>
      <x:c r="AD516" s="115"/>
      <x:c r="AE516" s="115"/>
      <x:c r="AF516" s="115"/>
      <x:c r="AG516" s="115"/>
      <x:c r="AH516" s="115"/>
      <x:c r="AI516" s="115"/>
      <x:c r="AJ516" s="115"/>
      <x:c r="AK516" s="115"/>
      <x:c r="AL516" s="115"/>
      <x:c r="AM516" s="115"/>
      <x:c r="AN516" s="115"/>
      <x:c r="AO516" s="115"/>
      <x:c r="AP516" s="115"/>
      <x:c r="AQ516" s="115"/>
      <x:c r="AR516" s="115"/>
      <x:c r="AS516" s="115"/>
      <x:c r="AT516" s="115"/>
      <x:c r="AU516" s="115"/>
      <x:c r="AV516" s="115"/>
      <x:c r="AW516" s="115"/>
      <x:c r="AX516" s="115"/>
      <x:c r="AY516" s="115"/>
      <x:c r="AZ516" s="115"/>
      <x:c r="BA516" s="115"/>
      <x:c r="BB516" s="115"/>
      <x:c r="BC516" s="115"/>
      <x:c r="BD516" s="115"/>
      <x:c r="BE516" s="115"/>
      <x:c r="BF516" s="115"/>
      <x:c r="BG516" s="115"/>
      <x:c r="BH516" s="115"/>
      <x:c r="BI516" s="115"/>
      <x:c r="BJ516" s="115"/>
      <x:c r="BK516" s="115"/>
      <x:c r="BL516" s="115"/>
      <x:c r="BM516" s="115"/>
      <x:c r="BN516" s="115"/>
      <x:c r="BO516" s="115"/>
      <x:c r="BP516" s="115"/>
      <x:c r="BQ516" s="115"/>
      <x:c r="BR516" s="115"/>
      <x:c r="BS516" s="115"/>
      <x:c r="BT516" s="115"/>
      <x:c r="BU516" s="115"/>
      <x:c r="BV516" s="115"/>
      <x:c r="BW516" s="115"/>
      <x:c r="BX516" s="115"/>
      <x:c r="BY516" s="115"/>
      <x:c r="BZ516" s="115"/>
      <x:c r="CA516" s="115"/>
      <x:c r="CB516" s="116"/>
      <x:c r="CC516" s="141" t="str">
        <x:f>IF(COUNT(G516:P516)=0,"",AVERAGE(G516:P516)*4)</x:f>
      </x:c>
      <x:c r="CD516" s="178" t="str">
        <x:f>IF(COUNT(Q516:Z516)=0,"",AVERAGE(Q516:Z516)*4)</x:f>
      </x:c>
      <x:c r="CE516" s="178" t="str">
        <x:f>IF(COUNT(AA516:AJ516)=0,"",AVERAGE(AA516:AJ516)*4)</x:f>
      </x:c>
      <x:c r="CF516" s="178" t="str">
        <x:f>IF(COUNT(AK516:AR516)=0,"",AVERAGE(AK516:AR516)*4)</x:f>
      </x:c>
      <x:c r="CG516" s="178" t="str">
        <x:f>IF(COUNT(AS516:AY516)=0,"",AVERAGE(AS516:AY516)*4)</x:f>
      </x:c>
      <x:c r="CH516" s="178" t="str">
        <x:f>IF(COUNT(AZ516:BG516)=0,"",AVERAGE(AZ516:BG516)*4)</x:f>
      </x:c>
      <x:c r="CI516" s="178" t="str">
        <x:f>IF(COUNT(BH516:BN516)=0,"",AVERAGE(BH516:BN516)*4)</x:f>
      </x:c>
      <x:c r="CJ516" s="178" t="str">
        <x:f>IF(COUNT(BO516:BU516)=0,"",AVERAGE(BO516:BU516)*4)</x:f>
      </x:c>
      <x:c r="CK516" s="178" t="str">
        <x:f>IF(COUNT(BV516:CB516)=0,"",AVERAGE(BV516:CB516)*4)</x:f>
      </x:c>
      <x:c r="CL516" s="178" t="str">
        <x:f>IF(C516="","",IF(COUNT(G516:CB516)&lt;74,"",(CC516*'تنظیمات وزن‌دهی'!$C$5+CD516*'تنظیمات وزن‌دهی'!$C$6+CE516*'تنظیمات وزن‌دهی'!$C$7+CF516*'تنظیمات وزن‌دهی'!$C$8+CG516*'تنظیمات وزن‌دهی'!$C$9+CH516*'تنظیمات وزن‌دهی'!$C$10+CI516*'تنظیمات وزن‌دهی'!$C$11+CJ516*'تنظیمات وزن‌دهی'!$C$12+CK516*'تنظیمات وزن‌دهی'!$C$13)/100))</x:f>
      </x:c>
      <x:c r="CM516" s="178" t="str">
        <x:f>IF(C516="","",IF(COUNT(G516:CB516)=0,"",IF(COUNT(G516:CB516)&lt;74,"موقت - اطلاعات ناقص",IF(CL516&gt;=17,"عالی",IF(CL516&gt;=14,"خوب",IF(CL516&gt;=10,"متوسط","ضعیف"))))))</x:f>
      </x:c>
      <x:c r="CN516" s="178" t="n">
        <x:v>8</x:v>
      </x:c>
      <x:c r="CO516" s="142" t="n">
        <x:f>IF(C516="","",COUNT(G516:CB516)/74)</x:f>
        <x:v>0</x:v>
      </x:c>
      <x:c r="CP516" s="245"/>
    </x:row>
    <x:row r="517">
      <x:c r="A517" s="165" t="n">
        <x:v>513</x:v>
      </x:c>
      <x:c r="B517" s="233" t="str">
        <x:v>اسفند</x:v>
      </x:c>
      <x:c r="C517" s="233" t="n">
        <x:f>IF('دانش‌آموزان'!E47="","",'دانش‌آموزان'!B47)</x:f>
        <x:v>43</x:v>
      </x:c>
      <x:c r="D517" s="233" t="str">
        <x:f>IF('دانش‌آموزان'!C47="","",'دانش‌آموزان'!C47)</x:f>
        <x:v>4000000438</x:v>
      </x:c>
      <x:c r="E517" s="233" t="str">
        <x:f>IF('دانش‌آموزان'!E47="","",'دانش‌آموزان'!E47&amp;" "&amp;'دانش‌آموزان'!F47)</x:f>
        <x:v>امیرحسین طاهری</x:v>
      </x:c>
      <x:c r="F517" s="166" t="str">
        <x:f>IF('دانش‌آموزان'!I47="","",'دانش‌آموزان'!I47)</x:f>
        <x:v>sample-7-b</x:v>
      </x:c>
      <x:c r="G517" s="114"/>
      <x:c r="H517" s="115"/>
      <x:c r="I517" s="115"/>
      <x:c r="J517" s="115"/>
      <x:c r="K517" s="115"/>
      <x:c r="L517" s="115"/>
      <x:c r="M517" s="115"/>
      <x:c r="N517" s="115"/>
      <x:c r="O517" s="115"/>
      <x:c r="P517" s="115"/>
      <x:c r="Q517" s="115"/>
      <x:c r="R517" s="115"/>
      <x:c r="S517" s="115"/>
      <x:c r="T517" s="115"/>
      <x:c r="U517" s="115"/>
      <x:c r="V517" s="115"/>
      <x:c r="W517" s="115"/>
      <x:c r="X517" s="115"/>
      <x:c r="Y517" s="115"/>
      <x:c r="Z517" s="115"/>
      <x:c r="AA517" s="115"/>
      <x:c r="AB517" s="115"/>
      <x:c r="AC517" s="115"/>
      <x:c r="AD517" s="115"/>
      <x:c r="AE517" s="115"/>
      <x:c r="AF517" s="115"/>
      <x:c r="AG517" s="115"/>
      <x:c r="AH517" s="115"/>
      <x:c r="AI517" s="115"/>
      <x:c r="AJ517" s="115"/>
      <x:c r="AK517" s="115"/>
      <x:c r="AL517" s="115"/>
      <x:c r="AM517" s="115"/>
      <x:c r="AN517" s="115"/>
      <x:c r="AO517" s="115"/>
      <x:c r="AP517" s="115"/>
      <x:c r="AQ517" s="115"/>
      <x:c r="AR517" s="115"/>
      <x:c r="AS517" s="115"/>
      <x:c r="AT517" s="115"/>
      <x:c r="AU517" s="115"/>
      <x:c r="AV517" s="115"/>
      <x:c r="AW517" s="115"/>
      <x:c r="AX517" s="115"/>
      <x:c r="AY517" s="115"/>
      <x:c r="AZ517" s="115"/>
      <x:c r="BA517" s="115"/>
      <x:c r="BB517" s="115"/>
      <x:c r="BC517" s="115"/>
      <x:c r="BD517" s="115"/>
      <x:c r="BE517" s="115"/>
      <x:c r="BF517" s="115"/>
      <x:c r="BG517" s="115"/>
      <x:c r="BH517" s="115"/>
      <x:c r="BI517" s="115"/>
      <x:c r="BJ517" s="115"/>
      <x:c r="BK517" s="115"/>
      <x:c r="BL517" s="115"/>
      <x:c r="BM517" s="115"/>
      <x:c r="BN517" s="115"/>
      <x:c r="BO517" s="115"/>
      <x:c r="BP517" s="115"/>
      <x:c r="BQ517" s="115"/>
      <x:c r="BR517" s="115"/>
      <x:c r="BS517" s="115"/>
      <x:c r="BT517" s="115"/>
      <x:c r="BU517" s="115"/>
      <x:c r="BV517" s="115"/>
      <x:c r="BW517" s="115"/>
      <x:c r="BX517" s="115"/>
      <x:c r="BY517" s="115"/>
      <x:c r="BZ517" s="115"/>
      <x:c r="CA517" s="115"/>
      <x:c r="CB517" s="116"/>
      <x:c r="CC517" s="141" t="str">
        <x:f>IF(COUNT(G517:P517)=0,"",AVERAGE(G517:P517)*4)</x:f>
      </x:c>
      <x:c r="CD517" s="178" t="str">
        <x:f>IF(COUNT(Q517:Z517)=0,"",AVERAGE(Q517:Z517)*4)</x:f>
      </x:c>
      <x:c r="CE517" s="178" t="str">
        <x:f>IF(COUNT(AA517:AJ517)=0,"",AVERAGE(AA517:AJ517)*4)</x:f>
      </x:c>
      <x:c r="CF517" s="178" t="str">
        <x:f>IF(COUNT(AK517:AR517)=0,"",AVERAGE(AK517:AR517)*4)</x:f>
      </x:c>
      <x:c r="CG517" s="178" t="str">
        <x:f>IF(COUNT(AS517:AY517)=0,"",AVERAGE(AS517:AY517)*4)</x:f>
      </x:c>
      <x:c r="CH517" s="178" t="str">
        <x:f>IF(COUNT(AZ517:BG517)=0,"",AVERAGE(AZ517:BG517)*4)</x:f>
      </x:c>
      <x:c r="CI517" s="178" t="str">
        <x:f>IF(COUNT(BH517:BN517)=0,"",AVERAGE(BH517:BN517)*4)</x:f>
      </x:c>
      <x:c r="CJ517" s="178" t="str">
        <x:f>IF(COUNT(BO517:BU517)=0,"",AVERAGE(BO517:BU517)*4)</x:f>
      </x:c>
      <x:c r="CK517" s="178" t="str">
        <x:f>IF(COUNT(BV517:CB517)=0,"",AVERAGE(BV517:CB517)*4)</x:f>
      </x:c>
      <x:c r="CL517" s="178" t="str">
        <x:f>IF(C517="","",IF(COUNT(G517:CB517)&lt;74,"",(CC517*'تنظیمات وزن‌دهی'!$C$5+CD517*'تنظیمات وزن‌دهی'!$C$6+CE517*'تنظیمات وزن‌دهی'!$C$7+CF517*'تنظیمات وزن‌دهی'!$C$8+CG517*'تنظیمات وزن‌دهی'!$C$9+CH517*'تنظیمات وزن‌دهی'!$C$10+CI517*'تنظیمات وزن‌دهی'!$C$11+CJ517*'تنظیمات وزن‌دهی'!$C$12+CK517*'تنظیمات وزن‌دهی'!$C$13)/100))</x:f>
      </x:c>
      <x:c r="CM517" s="178" t="str">
        <x:f>IF(C517="","",IF(COUNT(G517:CB517)=0,"",IF(COUNT(G517:CB517)&lt;74,"موقت - اطلاعات ناقص",IF(CL517&gt;=17,"عالی",IF(CL517&gt;=14,"خوب",IF(CL517&gt;=10,"متوسط","ضعیف"))))))</x:f>
      </x:c>
      <x:c r="CN517" s="178" t="n">
        <x:v>9</x:v>
      </x:c>
      <x:c r="CO517" s="142" t="n">
        <x:f>IF(C517="","",COUNT(G517:CB517)/74)</x:f>
        <x:v>0</x:v>
      </x:c>
      <x:c r="CP517" s="245"/>
    </x:row>
    <x:row r="518">
      <x:c r="A518" s="165" t="n">
        <x:v>514</x:v>
      </x:c>
      <x:c r="B518" s="233" t="str">
        <x:v>فروردین</x:v>
      </x:c>
      <x:c r="C518" s="233" t="n">
        <x:f>IF('دانش‌آموزان'!E47="","",'دانش‌آموزان'!B47)</x:f>
        <x:v>43</x:v>
      </x:c>
      <x:c r="D518" s="233" t="str">
        <x:f>IF('دانش‌آموزان'!C47="","",'دانش‌آموزان'!C47)</x:f>
        <x:v>4000000438</x:v>
      </x:c>
      <x:c r="E518" s="233" t="str">
        <x:f>IF('دانش‌آموزان'!E47="","",'دانش‌آموزان'!E47&amp;" "&amp;'دانش‌آموزان'!F47)</x:f>
        <x:v>امیرحسین طاهری</x:v>
      </x:c>
      <x:c r="F518" s="166" t="str">
        <x:f>IF('دانش‌آموزان'!I47="","",'دانش‌آموزان'!I47)</x:f>
        <x:v>sample-7-b</x:v>
      </x:c>
      <x:c r="G518" s="114"/>
      <x:c r="H518" s="115"/>
      <x:c r="I518" s="115"/>
      <x:c r="J518" s="115"/>
      <x:c r="K518" s="115"/>
      <x:c r="L518" s="115"/>
      <x:c r="M518" s="115"/>
      <x:c r="N518" s="115"/>
      <x:c r="O518" s="115"/>
      <x:c r="P518" s="115"/>
      <x:c r="Q518" s="115"/>
      <x:c r="R518" s="115"/>
      <x:c r="S518" s="115"/>
      <x:c r="T518" s="115"/>
      <x:c r="U518" s="115"/>
      <x:c r="V518" s="115"/>
      <x:c r="W518" s="115"/>
      <x:c r="X518" s="115"/>
      <x:c r="Y518" s="115"/>
      <x:c r="Z518" s="115"/>
      <x:c r="AA518" s="115"/>
      <x:c r="AB518" s="115"/>
      <x:c r="AC518" s="115"/>
      <x:c r="AD518" s="115"/>
      <x:c r="AE518" s="115"/>
      <x:c r="AF518" s="115"/>
      <x:c r="AG518" s="115"/>
      <x:c r="AH518" s="115"/>
      <x:c r="AI518" s="115"/>
      <x:c r="AJ518" s="115"/>
      <x:c r="AK518" s="115"/>
      <x:c r="AL518" s="115"/>
      <x:c r="AM518" s="115"/>
      <x:c r="AN518" s="115"/>
      <x:c r="AO518" s="115"/>
      <x:c r="AP518" s="115"/>
      <x:c r="AQ518" s="115"/>
      <x:c r="AR518" s="115"/>
      <x:c r="AS518" s="115"/>
      <x:c r="AT518" s="115"/>
      <x:c r="AU518" s="115"/>
      <x:c r="AV518" s="115"/>
      <x:c r="AW518" s="115"/>
      <x:c r="AX518" s="115"/>
      <x:c r="AY518" s="115"/>
      <x:c r="AZ518" s="115"/>
      <x:c r="BA518" s="115"/>
      <x:c r="BB518" s="115"/>
      <x:c r="BC518" s="115"/>
      <x:c r="BD518" s="115"/>
      <x:c r="BE518" s="115"/>
      <x:c r="BF518" s="115"/>
      <x:c r="BG518" s="115"/>
      <x:c r="BH518" s="115"/>
      <x:c r="BI518" s="115"/>
      <x:c r="BJ518" s="115"/>
      <x:c r="BK518" s="115"/>
      <x:c r="BL518" s="115"/>
      <x:c r="BM518" s="115"/>
      <x:c r="BN518" s="115"/>
      <x:c r="BO518" s="115"/>
      <x:c r="BP518" s="115"/>
      <x:c r="BQ518" s="115"/>
      <x:c r="BR518" s="115"/>
      <x:c r="BS518" s="115"/>
      <x:c r="BT518" s="115"/>
      <x:c r="BU518" s="115"/>
      <x:c r="BV518" s="115"/>
      <x:c r="BW518" s="115"/>
      <x:c r="BX518" s="115"/>
      <x:c r="BY518" s="115"/>
      <x:c r="BZ518" s="115"/>
      <x:c r="CA518" s="115"/>
      <x:c r="CB518" s="116"/>
      <x:c r="CC518" s="141" t="str">
        <x:f>IF(COUNT(G518:P518)=0,"",AVERAGE(G518:P518)*4)</x:f>
      </x:c>
      <x:c r="CD518" s="178" t="str">
        <x:f>IF(COUNT(Q518:Z518)=0,"",AVERAGE(Q518:Z518)*4)</x:f>
      </x:c>
      <x:c r="CE518" s="178" t="str">
        <x:f>IF(COUNT(AA518:AJ518)=0,"",AVERAGE(AA518:AJ518)*4)</x:f>
      </x:c>
      <x:c r="CF518" s="178" t="str">
        <x:f>IF(COUNT(AK518:AR518)=0,"",AVERAGE(AK518:AR518)*4)</x:f>
      </x:c>
      <x:c r="CG518" s="178" t="str">
        <x:f>IF(COUNT(AS518:AY518)=0,"",AVERAGE(AS518:AY518)*4)</x:f>
      </x:c>
      <x:c r="CH518" s="178" t="str">
        <x:f>IF(COUNT(AZ518:BG518)=0,"",AVERAGE(AZ518:BG518)*4)</x:f>
      </x:c>
      <x:c r="CI518" s="178" t="str">
        <x:f>IF(COUNT(BH518:BN518)=0,"",AVERAGE(BH518:BN518)*4)</x:f>
      </x:c>
      <x:c r="CJ518" s="178" t="str">
        <x:f>IF(COUNT(BO518:BU518)=0,"",AVERAGE(BO518:BU518)*4)</x:f>
      </x:c>
      <x:c r="CK518" s="178" t="str">
        <x:f>IF(COUNT(BV518:CB518)=0,"",AVERAGE(BV518:CB518)*4)</x:f>
      </x:c>
      <x:c r="CL518" s="178" t="str">
        <x:f>IF(C518="","",IF(COUNT(G518:CB518)&lt;74,"",(CC518*'تنظیمات وزن‌دهی'!$C$5+CD518*'تنظیمات وزن‌دهی'!$C$6+CE518*'تنظیمات وزن‌دهی'!$C$7+CF518*'تنظیمات وزن‌دهی'!$C$8+CG518*'تنظیمات وزن‌دهی'!$C$9+CH518*'تنظیمات وزن‌دهی'!$C$10+CI518*'تنظیمات وزن‌دهی'!$C$11+CJ518*'تنظیمات وزن‌دهی'!$C$12+CK518*'تنظیمات وزن‌دهی'!$C$13)/100))</x:f>
      </x:c>
      <x:c r="CM518" s="178" t="str">
        <x:f>IF(C518="","",IF(COUNT(G518:CB518)=0,"",IF(COUNT(G518:CB518)&lt;74,"موقت - اطلاعات ناقص",IF(CL518&gt;=17,"عالی",IF(CL518&gt;=14,"خوب",IF(CL518&gt;=10,"متوسط","ضعیف"))))))</x:f>
      </x:c>
      <x:c r="CN518" s="178" t="n">
        <x:v>10</x:v>
      </x:c>
      <x:c r="CO518" s="142" t="n">
        <x:f>IF(C518="","",COUNT(G518:CB518)/74)</x:f>
        <x:v>0</x:v>
      </x:c>
      <x:c r="CP518" s="245"/>
    </x:row>
    <x:row r="519">
      <x:c r="A519" s="165" t="n">
        <x:v>515</x:v>
      </x:c>
      <x:c r="B519" s="233" t="str">
        <x:v>اردیبهشت</x:v>
      </x:c>
      <x:c r="C519" s="233" t="n">
        <x:f>IF('دانش‌آموزان'!E47="","",'دانش‌آموزان'!B47)</x:f>
        <x:v>43</x:v>
      </x:c>
      <x:c r="D519" s="233" t="str">
        <x:f>IF('دانش‌آموزان'!C47="","",'دانش‌آموزان'!C47)</x:f>
        <x:v>4000000438</x:v>
      </x:c>
      <x:c r="E519" s="233" t="str">
        <x:f>IF('دانش‌آموزان'!E47="","",'دانش‌آموزان'!E47&amp;" "&amp;'دانش‌آموزان'!F47)</x:f>
        <x:v>امیرحسین طاهری</x:v>
      </x:c>
      <x:c r="F519" s="166" t="str">
        <x:f>IF('دانش‌آموزان'!I47="","",'دانش‌آموزان'!I47)</x:f>
        <x:v>sample-7-b</x:v>
      </x:c>
      <x:c r="G519" s="114"/>
      <x:c r="H519" s="115"/>
      <x:c r="I519" s="115"/>
      <x:c r="J519" s="115"/>
      <x:c r="K519" s="115"/>
      <x:c r="L519" s="115"/>
      <x:c r="M519" s="115"/>
      <x:c r="N519" s="115"/>
      <x:c r="O519" s="115"/>
      <x:c r="P519" s="115"/>
      <x:c r="Q519" s="115"/>
      <x:c r="R519" s="115"/>
      <x:c r="S519" s="115"/>
      <x:c r="T519" s="115"/>
      <x:c r="U519" s="115"/>
      <x:c r="V519" s="115"/>
      <x:c r="W519" s="115"/>
      <x:c r="X519" s="115"/>
      <x:c r="Y519" s="115"/>
      <x:c r="Z519" s="115"/>
      <x:c r="AA519" s="115"/>
      <x:c r="AB519" s="115"/>
      <x:c r="AC519" s="115"/>
      <x:c r="AD519" s="115"/>
      <x:c r="AE519" s="115"/>
      <x:c r="AF519" s="115"/>
      <x:c r="AG519" s="115"/>
      <x:c r="AH519" s="115"/>
      <x:c r="AI519" s="115"/>
      <x:c r="AJ519" s="115"/>
      <x:c r="AK519" s="115"/>
      <x:c r="AL519" s="115"/>
      <x:c r="AM519" s="115"/>
      <x:c r="AN519" s="115"/>
      <x:c r="AO519" s="115"/>
      <x:c r="AP519" s="115"/>
      <x:c r="AQ519" s="115"/>
      <x:c r="AR519" s="115"/>
      <x:c r="AS519" s="115"/>
      <x:c r="AT519" s="115"/>
      <x:c r="AU519" s="115"/>
      <x:c r="AV519" s="115"/>
      <x:c r="AW519" s="115"/>
      <x:c r="AX519" s="115"/>
      <x:c r="AY519" s="115"/>
      <x:c r="AZ519" s="115"/>
      <x:c r="BA519" s="115"/>
      <x:c r="BB519" s="115"/>
      <x:c r="BC519" s="115"/>
      <x:c r="BD519" s="115"/>
      <x:c r="BE519" s="115"/>
      <x:c r="BF519" s="115"/>
      <x:c r="BG519" s="115"/>
      <x:c r="BH519" s="115"/>
      <x:c r="BI519" s="115"/>
      <x:c r="BJ519" s="115"/>
      <x:c r="BK519" s="115"/>
      <x:c r="BL519" s="115"/>
      <x:c r="BM519" s="115"/>
      <x:c r="BN519" s="115"/>
      <x:c r="BO519" s="115"/>
      <x:c r="BP519" s="115"/>
      <x:c r="BQ519" s="115"/>
      <x:c r="BR519" s="115"/>
      <x:c r="BS519" s="115"/>
      <x:c r="BT519" s="115"/>
      <x:c r="BU519" s="115"/>
      <x:c r="BV519" s="115"/>
      <x:c r="BW519" s="115"/>
      <x:c r="BX519" s="115"/>
      <x:c r="BY519" s="115"/>
      <x:c r="BZ519" s="115"/>
      <x:c r="CA519" s="115"/>
      <x:c r="CB519" s="116"/>
      <x:c r="CC519" s="141" t="str">
        <x:f>IF(COUNT(G519:P519)=0,"",AVERAGE(G519:P519)*4)</x:f>
      </x:c>
      <x:c r="CD519" s="178" t="str">
        <x:f>IF(COUNT(Q519:Z519)=0,"",AVERAGE(Q519:Z519)*4)</x:f>
      </x:c>
      <x:c r="CE519" s="178" t="str">
        <x:f>IF(COUNT(AA519:AJ519)=0,"",AVERAGE(AA519:AJ519)*4)</x:f>
      </x:c>
      <x:c r="CF519" s="178" t="str">
        <x:f>IF(COUNT(AK519:AR519)=0,"",AVERAGE(AK519:AR519)*4)</x:f>
      </x:c>
      <x:c r="CG519" s="178" t="str">
        <x:f>IF(COUNT(AS519:AY519)=0,"",AVERAGE(AS519:AY519)*4)</x:f>
      </x:c>
      <x:c r="CH519" s="178" t="str">
        <x:f>IF(COUNT(AZ519:BG519)=0,"",AVERAGE(AZ519:BG519)*4)</x:f>
      </x:c>
      <x:c r="CI519" s="178" t="str">
        <x:f>IF(COUNT(BH519:BN519)=0,"",AVERAGE(BH519:BN519)*4)</x:f>
      </x:c>
      <x:c r="CJ519" s="178" t="str">
        <x:f>IF(COUNT(BO519:BU519)=0,"",AVERAGE(BO519:BU519)*4)</x:f>
      </x:c>
      <x:c r="CK519" s="178" t="str">
        <x:f>IF(COUNT(BV519:CB519)=0,"",AVERAGE(BV519:CB519)*4)</x:f>
      </x:c>
      <x:c r="CL519" s="178" t="str">
        <x:f>IF(C519="","",IF(COUNT(G519:CB519)&lt;74,"",(CC519*'تنظیمات وزن‌دهی'!$C$5+CD519*'تنظیمات وزن‌دهی'!$C$6+CE519*'تنظیمات وزن‌دهی'!$C$7+CF519*'تنظیمات وزن‌دهی'!$C$8+CG519*'تنظیمات وزن‌دهی'!$C$9+CH519*'تنظیمات وزن‌دهی'!$C$10+CI519*'تنظیمات وزن‌دهی'!$C$11+CJ519*'تنظیمات وزن‌دهی'!$C$12+CK519*'تنظیمات وزن‌دهی'!$C$13)/100))</x:f>
      </x:c>
      <x:c r="CM519" s="178" t="str">
        <x:f>IF(C519="","",IF(COUNT(G519:CB519)=0,"",IF(COUNT(G519:CB519)&lt;74,"موقت - اطلاعات ناقص",IF(CL519&gt;=17,"عالی",IF(CL519&gt;=14,"خوب",IF(CL519&gt;=10,"متوسط","ضعیف"))))))</x:f>
      </x:c>
      <x:c r="CN519" s="178" t="n">
        <x:v>11</x:v>
      </x:c>
      <x:c r="CO519" s="142" t="n">
        <x:f>IF(C519="","",COUNT(G519:CB519)/74)</x:f>
        <x:v>0</x:v>
      </x:c>
      <x:c r="CP519" s="245"/>
    </x:row>
    <x:row r="520">
      <x:c r="A520" s="165" t="n">
        <x:v>516</x:v>
      </x:c>
      <x:c r="B520" s="233" t="str">
        <x:v>خرداد</x:v>
      </x:c>
      <x:c r="C520" s="233" t="n">
        <x:f>IF('دانش‌آموزان'!E47="","",'دانش‌آموزان'!B47)</x:f>
        <x:v>43</x:v>
      </x:c>
      <x:c r="D520" s="233" t="str">
        <x:f>IF('دانش‌آموزان'!C47="","",'دانش‌آموزان'!C47)</x:f>
        <x:v>4000000438</x:v>
      </x:c>
      <x:c r="E520" s="233" t="str">
        <x:f>IF('دانش‌آموزان'!E47="","",'دانش‌آموزان'!E47&amp;" "&amp;'دانش‌آموزان'!F47)</x:f>
        <x:v>امیرحسین طاهری</x:v>
      </x:c>
      <x:c r="F520" s="166" t="str">
        <x:f>IF('دانش‌آموزان'!I47="","",'دانش‌آموزان'!I47)</x:f>
        <x:v>sample-7-b</x:v>
      </x:c>
      <x:c r="G520" s="114"/>
      <x:c r="H520" s="115"/>
      <x:c r="I520" s="115"/>
      <x:c r="J520" s="115"/>
      <x:c r="K520" s="115"/>
      <x:c r="L520" s="115"/>
      <x:c r="M520" s="115"/>
      <x:c r="N520" s="115"/>
      <x:c r="O520" s="115"/>
      <x:c r="P520" s="115"/>
      <x:c r="Q520" s="115"/>
      <x:c r="R520" s="115"/>
      <x:c r="S520" s="115"/>
      <x:c r="T520" s="115"/>
      <x:c r="U520" s="115"/>
      <x:c r="V520" s="115"/>
      <x:c r="W520" s="115"/>
      <x:c r="X520" s="115"/>
      <x:c r="Y520" s="115"/>
      <x:c r="Z520" s="115"/>
      <x:c r="AA520" s="115"/>
      <x:c r="AB520" s="115"/>
      <x:c r="AC520" s="115"/>
      <x:c r="AD520" s="115"/>
      <x:c r="AE520" s="115"/>
      <x:c r="AF520" s="115"/>
      <x:c r="AG520" s="115"/>
      <x:c r="AH520" s="115"/>
      <x:c r="AI520" s="115"/>
      <x:c r="AJ520" s="115"/>
      <x:c r="AK520" s="115"/>
      <x:c r="AL520" s="115"/>
      <x:c r="AM520" s="115"/>
      <x:c r="AN520" s="115"/>
      <x:c r="AO520" s="115"/>
      <x:c r="AP520" s="115"/>
      <x:c r="AQ520" s="115"/>
      <x:c r="AR520" s="115"/>
      <x:c r="AS520" s="115"/>
      <x:c r="AT520" s="115"/>
      <x:c r="AU520" s="115"/>
      <x:c r="AV520" s="115"/>
      <x:c r="AW520" s="115"/>
      <x:c r="AX520" s="115"/>
      <x:c r="AY520" s="115"/>
      <x:c r="AZ520" s="115"/>
      <x:c r="BA520" s="115"/>
      <x:c r="BB520" s="115"/>
      <x:c r="BC520" s="115"/>
      <x:c r="BD520" s="115"/>
      <x:c r="BE520" s="115"/>
      <x:c r="BF520" s="115"/>
      <x:c r="BG520" s="115"/>
      <x:c r="BH520" s="115"/>
      <x:c r="BI520" s="115"/>
      <x:c r="BJ520" s="115"/>
      <x:c r="BK520" s="115"/>
      <x:c r="BL520" s="115"/>
      <x:c r="BM520" s="115"/>
      <x:c r="BN520" s="115"/>
      <x:c r="BO520" s="115"/>
      <x:c r="BP520" s="115"/>
      <x:c r="BQ520" s="115"/>
      <x:c r="BR520" s="115"/>
      <x:c r="BS520" s="115"/>
      <x:c r="BT520" s="115"/>
      <x:c r="BU520" s="115"/>
      <x:c r="BV520" s="115"/>
      <x:c r="BW520" s="115"/>
      <x:c r="BX520" s="115"/>
      <x:c r="BY520" s="115"/>
      <x:c r="BZ520" s="115"/>
      <x:c r="CA520" s="115"/>
      <x:c r="CB520" s="116"/>
      <x:c r="CC520" s="141" t="str">
        <x:f>IF(COUNT(G520:P520)=0,"",AVERAGE(G520:P520)*4)</x:f>
      </x:c>
      <x:c r="CD520" s="178" t="str">
        <x:f>IF(COUNT(Q520:Z520)=0,"",AVERAGE(Q520:Z520)*4)</x:f>
      </x:c>
      <x:c r="CE520" s="178" t="str">
        <x:f>IF(COUNT(AA520:AJ520)=0,"",AVERAGE(AA520:AJ520)*4)</x:f>
      </x:c>
      <x:c r="CF520" s="178" t="str">
        <x:f>IF(COUNT(AK520:AR520)=0,"",AVERAGE(AK520:AR520)*4)</x:f>
      </x:c>
      <x:c r="CG520" s="178" t="str">
        <x:f>IF(COUNT(AS520:AY520)=0,"",AVERAGE(AS520:AY520)*4)</x:f>
      </x:c>
      <x:c r="CH520" s="178" t="str">
        <x:f>IF(COUNT(AZ520:BG520)=0,"",AVERAGE(AZ520:BG520)*4)</x:f>
      </x:c>
      <x:c r="CI520" s="178" t="str">
        <x:f>IF(COUNT(BH520:BN520)=0,"",AVERAGE(BH520:BN520)*4)</x:f>
      </x:c>
      <x:c r="CJ520" s="178" t="str">
        <x:f>IF(COUNT(BO520:BU520)=0,"",AVERAGE(BO520:BU520)*4)</x:f>
      </x:c>
      <x:c r="CK520" s="178" t="str">
        <x:f>IF(COUNT(BV520:CB520)=0,"",AVERAGE(BV520:CB520)*4)</x:f>
      </x:c>
      <x:c r="CL520" s="178" t="str">
        <x:f>IF(C520="","",IF(COUNT(G520:CB520)&lt;74,"",(CC520*'تنظیمات وزن‌دهی'!$C$5+CD520*'تنظیمات وزن‌دهی'!$C$6+CE520*'تنظیمات وزن‌دهی'!$C$7+CF520*'تنظیمات وزن‌دهی'!$C$8+CG520*'تنظیمات وزن‌دهی'!$C$9+CH520*'تنظیمات وزن‌دهی'!$C$10+CI520*'تنظیمات وزن‌دهی'!$C$11+CJ520*'تنظیمات وزن‌دهی'!$C$12+CK520*'تنظیمات وزن‌دهی'!$C$13)/100))</x:f>
      </x:c>
      <x:c r="CM520" s="178" t="str">
        <x:f>IF(C520="","",IF(COUNT(G520:CB520)=0,"",IF(COUNT(G520:CB520)&lt;74,"موقت - اطلاعات ناقص",IF(CL520&gt;=17,"عالی",IF(CL520&gt;=14,"خوب",IF(CL520&gt;=10,"متوسط","ضعیف"))))))</x:f>
      </x:c>
      <x:c r="CN520" s="178" t="n">
        <x:v>12</x:v>
      </x:c>
      <x:c r="CO520" s="142" t="n">
        <x:f>IF(C520="","",COUNT(G520:CB520)/74)</x:f>
        <x:v>0</x:v>
      </x:c>
      <x:c r="CP520" s="245"/>
    </x:row>
    <x:row r="521">
      <x:c r="A521" s="165" t="n">
        <x:v>517</x:v>
      </x:c>
      <x:c r="B521" s="233" t="str">
        <x:v>تیر</x:v>
      </x:c>
      <x:c r="C521" s="233" t="n">
        <x:f>IF('دانش‌آموزان'!E48="","",'دانش‌آموزان'!B48)</x:f>
        <x:v>44</x:v>
      </x:c>
      <x:c r="D521" s="233" t="str">
        <x:f>IF('دانش‌آموزان'!C48="","",'دانش‌آموزان'!C48)</x:f>
        <x:v>4000000446</x:v>
      </x:c>
      <x:c r="E521" s="233" t="str">
        <x:f>IF('دانش‌آموزان'!E48="","",'دانش‌آموزان'!E48&amp;" "&amp;'دانش‌آموزان'!F48)</x:f>
        <x:v>زهرا محمدی</x:v>
      </x:c>
      <x:c r="F521" s="166" t="str">
        <x:f>IF('دانش‌آموزان'!I48="","",'دانش‌آموزان'!I48)</x:f>
        <x:v>sample-7-b</x:v>
      </x:c>
      <x:c r="G521" s="114" t="n">
        <x:v>5</x:v>
      </x:c>
      <x:c r="H521" s="115" t="n">
        <x:v>3</x:v>
      </x:c>
      <x:c r="I521" s="115" t="n">
        <x:v>4</x:v>
      </x:c>
      <x:c r="J521" s="115" t="n">
        <x:v>3</x:v>
      </x:c>
      <x:c r="K521" s="115" t="n">
        <x:v>4</x:v>
      </x:c>
      <x:c r="L521" s="115" t="n">
        <x:v>2</x:v>
      </x:c>
      <x:c r="M521" s="115" t="n">
        <x:v>4</x:v>
      </x:c>
      <x:c r="N521" s="115" t="n">
        <x:v>5</x:v>
      </x:c>
      <x:c r="O521" s="115" t="n">
        <x:v>4</x:v>
      </x:c>
      <x:c r="P521" s="115" t="n">
        <x:v>5</x:v>
      </x:c>
      <x:c r="Q521" s="115" t="n">
        <x:v>3</x:v>
      </x:c>
      <x:c r="R521" s="115" t="n">
        <x:v>5</x:v>
      </x:c>
      <x:c r="S521" s="115" t="n">
        <x:v>3</x:v>
      </x:c>
      <x:c r="T521" s="115" t="n">
        <x:v>4</x:v>
      </x:c>
      <x:c r="U521" s="115" t="n">
        <x:v>3</x:v>
      </x:c>
      <x:c r="V521" s="115" t="n">
        <x:v>4</x:v>
      </x:c>
      <x:c r="W521" s="115" t="n">
        <x:v>2</x:v>
      </x:c>
      <x:c r="X521" s="115" t="n">
        <x:v>4</x:v>
      </x:c>
      <x:c r="Y521" s="115" t="n">
        <x:v>5</x:v>
      </x:c>
      <x:c r="Z521" s="115" t="n">
        <x:v>4</x:v>
      </x:c>
      <x:c r="AA521" s="115" t="n">
        <x:v>5</x:v>
      </x:c>
      <x:c r="AB521" s="115" t="n">
        <x:v>3</x:v>
      </x:c>
      <x:c r="AC521" s="115" t="n">
        <x:v>5</x:v>
      </x:c>
      <x:c r="AD521" s="115" t="n">
        <x:v>3</x:v>
      </x:c>
      <x:c r="AE521" s="115" t="n">
        <x:v>4</x:v>
      </x:c>
      <x:c r="AF521" s="115" t="n">
        <x:v>3</x:v>
      </x:c>
      <x:c r="AG521" s="115" t="n">
        <x:v>4</x:v>
      </x:c>
      <x:c r="AH521" s="115" t="n">
        <x:v>2</x:v>
      </x:c>
      <x:c r="AI521" s="115" t="n">
        <x:v>4</x:v>
      </x:c>
      <x:c r="AJ521" s="115" t="n">
        <x:v>5</x:v>
      </x:c>
      <x:c r="AK521" s="115" t="n">
        <x:v>4</x:v>
      </x:c>
      <x:c r="AL521" s="115" t="n">
        <x:v>5</x:v>
      </x:c>
      <x:c r="AM521" s="115" t="n">
        <x:v>3</x:v>
      </x:c>
      <x:c r="AN521" s="115" t="n">
        <x:v>5</x:v>
      </x:c>
      <x:c r="AO521" s="115" t="n">
        <x:v>3</x:v>
      </x:c>
      <x:c r="AP521" s="115" t="n">
        <x:v>4</x:v>
      </x:c>
      <x:c r="AQ521" s="115" t="n">
        <x:v>3</x:v>
      </x:c>
      <x:c r="AR521" s="115" t="n">
        <x:v>4</x:v>
      </x:c>
      <x:c r="AS521" s="115" t="n">
        <x:v>2</x:v>
      </x:c>
      <x:c r="AT521" s="115" t="n">
        <x:v>4</x:v>
      </x:c>
      <x:c r="AU521" s="115" t="n">
        <x:v>5</x:v>
      </x:c>
      <x:c r="AV521" s="115" t="n">
        <x:v>4</x:v>
      </x:c>
      <x:c r="AW521" s="115" t="n">
        <x:v>5</x:v>
      </x:c>
      <x:c r="AX521" s="115" t="n">
        <x:v>3</x:v>
      </x:c>
      <x:c r="AY521" s="115" t="n">
        <x:v>5</x:v>
      </x:c>
      <x:c r="AZ521" s="115" t="n">
        <x:v>3</x:v>
      </x:c>
      <x:c r="BA521" s="115" t="n">
        <x:v>4</x:v>
      </x:c>
      <x:c r="BB521" s="115" t="n">
        <x:v>3</x:v>
      </x:c>
      <x:c r="BC521" s="115" t="n">
        <x:v>4</x:v>
      </x:c>
      <x:c r="BD521" s="115" t="n">
        <x:v>2</x:v>
      </x:c>
      <x:c r="BE521" s="115" t="n">
        <x:v>4</x:v>
      </x:c>
      <x:c r="BF521" s="115" t="n">
        <x:v>5</x:v>
      </x:c>
      <x:c r="BG521" s="115" t="n">
        <x:v>4</x:v>
      </x:c>
      <x:c r="BH521" s="115" t="n">
        <x:v>5</x:v>
      </x:c>
      <x:c r="BI521" s="115" t="n">
        <x:v>3</x:v>
      </x:c>
      <x:c r="BJ521" s="115" t="n">
        <x:v>5</x:v>
      </x:c>
      <x:c r="BK521" s="115" t="n">
        <x:v>3</x:v>
      </x:c>
      <x:c r="BL521" s="115" t="n">
        <x:v>4</x:v>
      </x:c>
      <x:c r="BM521" s="115" t="n">
        <x:v>3</x:v>
      </x:c>
      <x:c r="BN521" s="115" t="n">
        <x:v>4</x:v>
      </x:c>
      <x:c r="BO521" s="115" t="n">
        <x:v>2</x:v>
      </x:c>
      <x:c r="BP521" s="115" t="n">
        <x:v>4</x:v>
      </x:c>
      <x:c r="BQ521" s="115" t="n">
        <x:v>5</x:v>
      </x:c>
      <x:c r="BR521" s="115" t="n">
        <x:v>4</x:v>
      </x:c>
      <x:c r="BS521" s="115" t="n">
        <x:v>5</x:v>
      </x:c>
      <x:c r="BT521" s="115" t="n">
        <x:v>3</x:v>
      </x:c>
      <x:c r="BU521" s="115" t="n">
        <x:v>5</x:v>
      </x:c>
      <x:c r="BV521" s="115" t="n">
        <x:v>3</x:v>
      </x:c>
      <x:c r="BW521" s="115" t="n">
        <x:v>4</x:v>
      </x:c>
      <x:c r="BX521" s="115" t="n">
        <x:v>3</x:v>
      </x:c>
      <x:c r="BY521" s="115" t="n">
        <x:v>4</x:v>
      </x:c>
      <x:c r="BZ521" s="115" t="n">
        <x:v>2</x:v>
      </x:c>
      <x:c r="CA521" s="115" t="n">
        <x:v>4</x:v>
      </x:c>
      <x:c r="CB521" s="116" t="n">
        <x:v>5</x:v>
      </x:c>
      <x:c r="CC521" s="141" t="n">
        <x:f>IF(COUNT(G521:P521)=0,"",AVERAGE(G521:P521)*4)</x:f>
        <x:v>15.6</x:v>
      </x:c>
      <x:c r="CD521" s="178" t="n">
        <x:f>IF(COUNT(Q521:Z521)=0,"",AVERAGE(Q521:Z521)*4)</x:f>
        <x:v>14.8</x:v>
      </x:c>
      <x:c r="CE521" s="178" t="n">
        <x:f>IF(COUNT(AA521:AJ521)=0,"",AVERAGE(AA521:AJ521)*4)</x:f>
        <x:v>15.2</x:v>
      </x:c>
      <x:c r="CF521" s="178" t="n">
        <x:f>IF(COUNT(AK521:AR521)=0,"",AVERAGE(AK521:AR521)*4)</x:f>
        <x:v>15.5</x:v>
      </x:c>
      <x:c r="CG521" s="178" t="n">
        <x:f>IF(COUNT(AS521:AY521)=0,"",AVERAGE(AS521:AY521)*4)</x:f>
        <x:v>16</x:v>
      </x:c>
      <x:c r="CH521" s="178" t="n">
        <x:f>IF(COUNT(AZ521:BG521)=0,"",AVERAGE(AZ521:BG521)*4)</x:f>
        <x:v>14.5</x:v>
      </x:c>
      <x:c r="CI521" s="178" t="n">
        <x:f>IF(COUNT(BH521:BN521)=0,"",AVERAGE(BH521:BN521)*4)</x:f>
        <x:v>15.428571428571429</x:v>
      </x:c>
      <x:c r="CJ521" s="178" t="n">
        <x:f>IF(COUNT(BO521:BU521)=0,"",AVERAGE(BO521:BU521)*4)</x:f>
        <x:v>16</x:v>
      </x:c>
      <x:c r="CK521" s="178" t="n">
        <x:f>IF(COUNT(BV521:CB521)=0,"",AVERAGE(BV521:CB521)*4)</x:f>
        <x:v>14.285714285714286</x:v>
      </x:c>
      <x:c r="CL521" s="178" t="n">
        <x:f>IF(C521="","",IF(COUNT(G521:CB521)&lt;74,"",(CC521*'تنظیمات وزن‌دهی'!$C$5+CD521*'تنظیمات وزن‌دهی'!$C$6+CE521*'تنظیمات وزن‌دهی'!$C$7+CF521*'تنظیمات وزن‌دهی'!$C$8+CG521*'تنظیمات وزن‌دهی'!$C$9+CH521*'تنظیمات وزن‌دهی'!$C$10+CI521*'تنظیمات وزن‌دهی'!$C$11+CJ521*'تنظیمات وزن‌دهی'!$C$12+CK521*'تنظیمات وزن‌دهی'!$C$13)/100))</x:f>
        <x:v>15.265</x:v>
      </x:c>
      <x:c r="CM521" s="178" t="str">
        <x:f>IF(C521="","",IF(COUNT(G521:CB521)=0,"",IF(COUNT(G521:CB521)&lt;74,"موقت - اطلاعات ناقص",IF(CL521&gt;=17,"عالی",IF(CL521&gt;=14,"خوب",IF(CL521&gt;=10,"متوسط","ضعیف"))))))</x:f>
        <x:v>خوب</x:v>
      </x:c>
      <x:c r="CN521" s="178" t="n">
        <x:v>1</x:v>
      </x:c>
      <x:c r="CO521" s="142" t="n">
        <x:f>IF(C521="","",COUNT(G521:CB521)/74)</x:f>
        <x:v>1</x:v>
      </x:c>
      <x:c r="CP521" s="245" t="str">
        <x:v>داده نمونه کامل برای ماه تیر - دانش‌آموز شماره 44</x:v>
      </x:c>
    </x:row>
    <x:row r="522">
      <x:c r="A522" s="165" t="n">
        <x:v>518</x:v>
      </x:c>
      <x:c r="B522" s="233" t="str">
        <x:v>مرداد</x:v>
      </x:c>
      <x:c r="C522" s="233" t="n">
        <x:f>IF('دانش‌آموزان'!E48="","",'دانش‌آموزان'!B48)</x:f>
        <x:v>44</x:v>
      </x:c>
      <x:c r="D522" s="233" t="str">
        <x:f>IF('دانش‌آموزان'!C48="","",'دانش‌آموزان'!C48)</x:f>
        <x:v>4000000446</x:v>
      </x:c>
      <x:c r="E522" s="233" t="str">
        <x:f>IF('دانش‌آموزان'!E48="","",'دانش‌آموزان'!E48&amp;" "&amp;'دانش‌آموزان'!F48)</x:f>
        <x:v>زهرا محمدی</x:v>
      </x:c>
      <x:c r="F522" s="166" t="str">
        <x:f>IF('دانش‌آموزان'!I48="","",'دانش‌آموزان'!I48)</x:f>
        <x:v>sample-7-b</x:v>
      </x:c>
      <x:c r="G522" s="114"/>
      <x:c r="H522" s="115"/>
      <x:c r="I522" s="115"/>
      <x:c r="J522" s="115"/>
      <x:c r="K522" s="115"/>
      <x:c r="L522" s="115"/>
      <x:c r="M522" s="115"/>
      <x:c r="N522" s="115"/>
      <x:c r="O522" s="115"/>
      <x:c r="P522" s="115"/>
      <x:c r="Q522" s="115"/>
      <x:c r="R522" s="115"/>
      <x:c r="S522" s="115"/>
      <x:c r="T522" s="115"/>
      <x:c r="U522" s="115"/>
      <x:c r="V522" s="115"/>
      <x:c r="W522" s="115"/>
      <x:c r="X522" s="115"/>
      <x:c r="Y522" s="115"/>
      <x:c r="Z522" s="115"/>
      <x:c r="AA522" s="115"/>
      <x:c r="AB522" s="115"/>
      <x:c r="AC522" s="115"/>
      <x:c r="AD522" s="115"/>
      <x:c r="AE522" s="115"/>
      <x:c r="AF522" s="115"/>
      <x:c r="AG522" s="115"/>
      <x:c r="AH522" s="115"/>
      <x:c r="AI522" s="115"/>
      <x:c r="AJ522" s="115"/>
      <x:c r="AK522" s="115"/>
      <x:c r="AL522" s="115"/>
      <x:c r="AM522" s="115"/>
      <x:c r="AN522" s="115"/>
      <x:c r="AO522" s="115"/>
      <x:c r="AP522" s="115"/>
      <x:c r="AQ522" s="115"/>
      <x:c r="AR522" s="115"/>
      <x:c r="AS522" s="115"/>
      <x:c r="AT522" s="115"/>
      <x:c r="AU522" s="115"/>
      <x:c r="AV522" s="115"/>
      <x:c r="AW522" s="115"/>
      <x:c r="AX522" s="115"/>
      <x:c r="AY522" s="115"/>
      <x:c r="AZ522" s="115"/>
      <x:c r="BA522" s="115"/>
      <x:c r="BB522" s="115"/>
      <x:c r="BC522" s="115"/>
      <x:c r="BD522" s="115"/>
      <x:c r="BE522" s="115"/>
      <x:c r="BF522" s="115"/>
      <x:c r="BG522" s="115"/>
      <x:c r="BH522" s="115"/>
      <x:c r="BI522" s="115"/>
      <x:c r="BJ522" s="115"/>
      <x:c r="BK522" s="115"/>
      <x:c r="BL522" s="115"/>
      <x:c r="BM522" s="115"/>
      <x:c r="BN522" s="115"/>
      <x:c r="BO522" s="115"/>
      <x:c r="BP522" s="115"/>
      <x:c r="BQ522" s="115"/>
      <x:c r="BR522" s="115"/>
      <x:c r="BS522" s="115"/>
      <x:c r="BT522" s="115"/>
      <x:c r="BU522" s="115"/>
      <x:c r="BV522" s="115"/>
      <x:c r="BW522" s="115"/>
      <x:c r="BX522" s="115"/>
      <x:c r="BY522" s="115"/>
      <x:c r="BZ522" s="115"/>
      <x:c r="CA522" s="115"/>
      <x:c r="CB522" s="116"/>
      <x:c r="CC522" s="141" t="str">
        <x:f>IF(COUNT(G522:P522)=0,"",AVERAGE(G522:P522)*4)</x:f>
      </x:c>
      <x:c r="CD522" s="178" t="str">
        <x:f>IF(COUNT(Q522:Z522)=0,"",AVERAGE(Q522:Z522)*4)</x:f>
      </x:c>
      <x:c r="CE522" s="178" t="str">
        <x:f>IF(COUNT(AA522:AJ522)=0,"",AVERAGE(AA522:AJ522)*4)</x:f>
      </x:c>
      <x:c r="CF522" s="178" t="str">
        <x:f>IF(COUNT(AK522:AR522)=0,"",AVERAGE(AK522:AR522)*4)</x:f>
      </x:c>
      <x:c r="CG522" s="178" t="str">
        <x:f>IF(COUNT(AS522:AY522)=0,"",AVERAGE(AS522:AY522)*4)</x:f>
      </x:c>
      <x:c r="CH522" s="178" t="str">
        <x:f>IF(COUNT(AZ522:BG522)=0,"",AVERAGE(AZ522:BG522)*4)</x:f>
      </x:c>
      <x:c r="CI522" s="178" t="str">
        <x:f>IF(COUNT(BH522:BN522)=0,"",AVERAGE(BH522:BN522)*4)</x:f>
      </x:c>
      <x:c r="CJ522" s="178" t="str">
        <x:f>IF(COUNT(BO522:BU522)=0,"",AVERAGE(BO522:BU522)*4)</x:f>
      </x:c>
      <x:c r="CK522" s="178" t="str">
        <x:f>IF(COUNT(BV522:CB522)=0,"",AVERAGE(BV522:CB522)*4)</x:f>
      </x:c>
      <x:c r="CL522" s="178" t="str">
        <x:f>IF(C522="","",IF(COUNT(G522:CB522)&lt;74,"",(CC522*'تنظیمات وزن‌دهی'!$C$5+CD522*'تنظیمات وزن‌دهی'!$C$6+CE522*'تنظیمات وزن‌دهی'!$C$7+CF522*'تنظیمات وزن‌دهی'!$C$8+CG522*'تنظیمات وزن‌دهی'!$C$9+CH522*'تنظیمات وزن‌دهی'!$C$10+CI522*'تنظیمات وزن‌دهی'!$C$11+CJ522*'تنظیمات وزن‌دهی'!$C$12+CK522*'تنظیمات وزن‌دهی'!$C$13)/100))</x:f>
      </x:c>
      <x:c r="CM522" s="178" t="str">
        <x:f>IF(C522="","",IF(COUNT(G522:CB522)=0,"",IF(COUNT(G522:CB522)&lt;74,"موقت - اطلاعات ناقص",IF(CL522&gt;=17,"عالی",IF(CL522&gt;=14,"خوب",IF(CL522&gt;=10,"متوسط","ضعیف"))))))</x:f>
      </x:c>
      <x:c r="CN522" s="178" t="n">
        <x:v>2</x:v>
      </x:c>
      <x:c r="CO522" s="142" t="n">
        <x:f>IF(C522="","",COUNT(G522:CB522)/74)</x:f>
        <x:v>0</x:v>
      </x:c>
      <x:c r="CP522" s="245"/>
    </x:row>
    <x:row r="523">
      <x:c r="A523" s="165" t="n">
        <x:v>519</x:v>
      </x:c>
      <x:c r="B523" s="233" t="str">
        <x:v>شهریور</x:v>
      </x:c>
      <x:c r="C523" s="233" t="n">
        <x:f>IF('دانش‌آموزان'!E48="","",'دانش‌آموزان'!B48)</x:f>
        <x:v>44</x:v>
      </x:c>
      <x:c r="D523" s="233" t="str">
        <x:f>IF('دانش‌آموزان'!C48="","",'دانش‌آموزان'!C48)</x:f>
        <x:v>4000000446</x:v>
      </x:c>
      <x:c r="E523" s="233" t="str">
        <x:f>IF('دانش‌آموزان'!E48="","",'دانش‌آموزان'!E48&amp;" "&amp;'دانش‌آموزان'!F48)</x:f>
        <x:v>زهرا محمدی</x:v>
      </x:c>
      <x:c r="F523" s="166" t="str">
        <x:f>IF('دانش‌آموزان'!I48="","",'دانش‌آموزان'!I48)</x:f>
        <x:v>sample-7-b</x:v>
      </x:c>
      <x:c r="G523" s="114"/>
      <x:c r="H523" s="115"/>
      <x:c r="I523" s="115"/>
      <x:c r="J523" s="115"/>
      <x:c r="K523" s="115"/>
      <x:c r="L523" s="115"/>
      <x:c r="M523" s="115"/>
      <x:c r="N523" s="115"/>
      <x:c r="O523" s="115"/>
      <x:c r="P523" s="115"/>
      <x:c r="Q523" s="115"/>
      <x:c r="R523" s="115"/>
      <x:c r="S523" s="115"/>
      <x:c r="T523" s="115"/>
      <x:c r="U523" s="115"/>
      <x:c r="V523" s="115"/>
      <x:c r="W523" s="115"/>
      <x:c r="X523" s="115"/>
      <x:c r="Y523" s="115"/>
      <x:c r="Z523" s="115"/>
      <x:c r="AA523" s="115"/>
      <x:c r="AB523" s="115"/>
      <x:c r="AC523" s="115"/>
      <x:c r="AD523" s="115"/>
      <x:c r="AE523" s="115"/>
      <x:c r="AF523" s="115"/>
      <x:c r="AG523" s="115"/>
      <x:c r="AH523" s="115"/>
      <x:c r="AI523" s="115"/>
      <x:c r="AJ523" s="115"/>
      <x:c r="AK523" s="115"/>
      <x:c r="AL523" s="115"/>
      <x:c r="AM523" s="115"/>
      <x:c r="AN523" s="115"/>
      <x:c r="AO523" s="115"/>
      <x:c r="AP523" s="115"/>
      <x:c r="AQ523" s="115"/>
      <x:c r="AR523" s="115"/>
      <x:c r="AS523" s="115"/>
      <x:c r="AT523" s="115"/>
      <x:c r="AU523" s="115"/>
      <x:c r="AV523" s="115"/>
      <x:c r="AW523" s="115"/>
      <x:c r="AX523" s="115"/>
      <x:c r="AY523" s="115"/>
      <x:c r="AZ523" s="115"/>
      <x:c r="BA523" s="115"/>
      <x:c r="BB523" s="115"/>
      <x:c r="BC523" s="115"/>
      <x:c r="BD523" s="115"/>
      <x:c r="BE523" s="115"/>
      <x:c r="BF523" s="115"/>
      <x:c r="BG523" s="115"/>
      <x:c r="BH523" s="115"/>
      <x:c r="BI523" s="115"/>
      <x:c r="BJ523" s="115"/>
      <x:c r="BK523" s="115"/>
      <x:c r="BL523" s="115"/>
      <x:c r="BM523" s="115"/>
      <x:c r="BN523" s="115"/>
      <x:c r="BO523" s="115"/>
      <x:c r="BP523" s="115"/>
      <x:c r="BQ523" s="115"/>
      <x:c r="BR523" s="115"/>
      <x:c r="BS523" s="115"/>
      <x:c r="BT523" s="115"/>
      <x:c r="BU523" s="115"/>
      <x:c r="BV523" s="115"/>
      <x:c r="BW523" s="115"/>
      <x:c r="BX523" s="115"/>
      <x:c r="BY523" s="115"/>
      <x:c r="BZ523" s="115"/>
      <x:c r="CA523" s="115"/>
      <x:c r="CB523" s="116"/>
      <x:c r="CC523" s="141" t="str">
        <x:f>IF(COUNT(G523:P523)=0,"",AVERAGE(G523:P523)*4)</x:f>
      </x:c>
      <x:c r="CD523" s="178" t="str">
        <x:f>IF(COUNT(Q523:Z523)=0,"",AVERAGE(Q523:Z523)*4)</x:f>
      </x:c>
      <x:c r="CE523" s="178" t="str">
        <x:f>IF(COUNT(AA523:AJ523)=0,"",AVERAGE(AA523:AJ523)*4)</x:f>
      </x:c>
      <x:c r="CF523" s="178" t="str">
        <x:f>IF(COUNT(AK523:AR523)=0,"",AVERAGE(AK523:AR523)*4)</x:f>
      </x:c>
      <x:c r="CG523" s="178" t="str">
        <x:f>IF(COUNT(AS523:AY523)=0,"",AVERAGE(AS523:AY523)*4)</x:f>
      </x:c>
      <x:c r="CH523" s="178" t="str">
        <x:f>IF(COUNT(AZ523:BG523)=0,"",AVERAGE(AZ523:BG523)*4)</x:f>
      </x:c>
      <x:c r="CI523" s="178" t="str">
        <x:f>IF(COUNT(BH523:BN523)=0,"",AVERAGE(BH523:BN523)*4)</x:f>
      </x:c>
      <x:c r="CJ523" s="178" t="str">
        <x:f>IF(COUNT(BO523:BU523)=0,"",AVERAGE(BO523:BU523)*4)</x:f>
      </x:c>
      <x:c r="CK523" s="178" t="str">
        <x:f>IF(COUNT(BV523:CB523)=0,"",AVERAGE(BV523:CB523)*4)</x:f>
      </x:c>
      <x:c r="CL523" s="178" t="str">
        <x:f>IF(C523="","",IF(COUNT(G523:CB523)&lt;74,"",(CC523*'تنظیمات وزن‌دهی'!$C$5+CD523*'تنظیمات وزن‌دهی'!$C$6+CE523*'تنظیمات وزن‌دهی'!$C$7+CF523*'تنظیمات وزن‌دهی'!$C$8+CG523*'تنظیمات وزن‌دهی'!$C$9+CH523*'تنظیمات وزن‌دهی'!$C$10+CI523*'تنظیمات وزن‌دهی'!$C$11+CJ523*'تنظیمات وزن‌دهی'!$C$12+CK523*'تنظیمات وزن‌دهی'!$C$13)/100))</x:f>
      </x:c>
      <x:c r="CM523" s="178" t="str">
        <x:f>IF(C523="","",IF(COUNT(G523:CB523)=0,"",IF(COUNT(G523:CB523)&lt;74,"موقت - اطلاعات ناقص",IF(CL523&gt;=17,"عالی",IF(CL523&gt;=14,"خوب",IF(CL523&gt;=10,"متوسط","ضعیف"))))))</x:f>
      </x:c>
      <x:c r="CN523" s="178" t="n">
        <x:v>3</x:v>
      </x:c>
      <x:c r="CO523" s="142" t="n">
        <x:f>IF(C523="","",COUNT(G523:CB523)/74)</x:f>
        <x:v>0</x:v>
      </x:c>
      <x:c r="CP523" s="245"/>
    </x:row>
    <x:row r="524">
      <x:c r="A524" s="165" t="n">
        <x:v>520</x:v>
      </x:c>
      <x:c r="B524" s="233" t="str">
        <x:v>مهر</x:v>
      </x:c>
      <x:c r="C524" s="233" t="n">
        <x:f>IF('دانش‌آموزان'!E48="","",'دانش‌آموزان'!B48)</x:f>
        <x:v>44</x:v>
      </x:c>
      <x:c r="D524" s="233" t="str">
        <x:f>IF('دانش‌آموزان'!C48="","",'دانش‌آموزان'!C48)</x:f>
        <x:v>4000000446</x:v>
      </x:c>
      <x:c r="E524" s="233" t="str">
        <x:f>IF('دانش‌آموزان'!E48="","",'دانش‌آموزان'!E48&amp;" "&amp;'دانش‌آموزان'!F48)</x:f>
        <x:v>زهرا محمدی</x:v>
      </x:c>
      <x:c r="F524" s="166" t="str">
        <x:f>IF('دانش‌آموزان'!I48="","",'دانش‌آموزان'!I48)</x:f>
        <x:v>sample-7-b</x:v>
      </x:c>
      <x:c r="G524" s="114"/>
      <x:c r="H524" s="115"/>
      <x:c r="I524" s="115"/>
      <x:c r="J524" s="115"/>
      <x:c r="K524" s="115"/>
      <x:c r="L524" s="115"/>
      <x:c r="M524" s="115"/>
      <x:c r="N524" s="115"/>
      <x:c r="O524" s="115"/>
      <x:c r="P524" s="115"/>
      <x:c r="Q524" s="115"/>
      <x:c r="R524" s="115"/>
      <x:c r="S524" s="115"/>
      <x:c r="T524" s="115"/>
      <x:c r="U524" s="115"/>
      <x:c r="V524" s="115"/>
      <x:c r="W524" s="115"/>
      <x:c r="X524" s="115"/>
      <x:c r="Y524" s="115"/>
      <x:c r="Z524" s="115"/>
      <x:c r="AA524" s="115"/>
      <x:c r="AB524" s="115"/>
      <x:c r="AC524" s="115"/>
      <x:c r="AD524" s="115"/>
      <x:c r="AE524" s="115"/>
      <x:c r="AF524" s="115"/>
      <x:c r="AG524" s="115"/>
      <x:c r="AH524" s="115"/>
      <x:c r="AI524" s="115"/>
      <x:c r="AJ524" s="115"/>
      <x:c r="AK524" s="115"/>
      <x:c r="AL524" s="115"/>
      <x:c r="AM524" s="115"/>
      <x:c r="AN524" s="115"/>
      <x:c r="AO524" s="115"/>
      <x:c r="AP524" s="115"/>
      <x:c r="AQ524" s="115"/>
      <x:c r="AR524" s="115"/>
      <x:c r="AS524" s="115"/>
      <x:c r="AT524" s="115"/>
      <x:c r="AU524" s="115"/>
      <x:c r="AV524" s="115"/>
      <x:c r="AW524" s="115"/>
      <x:c r="AX524" s="115"/>
      <x:c r="AY524" s="115"/>
      <x:c r="AZ524" s="115"/>
      <x:c r="BA524" s="115"/>
      <x:c r="BB524" s="115"/>
      <x:c r="BC524" s="115"/>
      <x:c r="BD524" s="115"/>
      <x:c r="BE524" s="115"/>
      <x:c r="BF524" s="115"/>
      <x:c r="BG524" s="115"/>
      <x:c r="BH524" s="115"/>
      <x:c r="BI524" s="115"/>
      <x:c r="BJ524" s="115"/>
      <x:c r="BK524" s="115"/>
      <x:c r="BL524" s="115"/>
      <x:c r="BM524" s="115"/>
      <x:c r="BN524" s="115"/>
      <x:c r="BO524" s="115"/>
      <x:c r="BP524" s="115"/>
      <x:c r="BQ524" s="115"/>
      <x:c r="BR524" s="115"/>
      <x:c r="BS524" s="115"/>
      <x:c r="BT524" s="115"/>
      <x:c r="BU524" s="115"/>
      <x:c r="BV524" s="115"/>
      <x:c r="BW524" s="115"/>
      <x:c r="BX524" s="115"/>
      <x:c r="BY524" s="115"/>
      <x:c r="BZ524" s="115"/>
      <x:c r="CA524" s="115"/>
      <x:c r="CB524" s="116"/>
      <x:c r="CC524" s="141" t="str">
        <x:f>IF(COUNT(G524:P524)=0,"",AVERAGE(G524:P524)*4)</x:f>
      </x:c>
      <x:c r="CD524" s="178" t="str">
        <x:f>IF(COUNT(Q524:Z524)=0,"",AVERAGE(Q524:Z524)*4)</x:f>
      </x:c>
      <x:c r="CE524" s="178" t="str">
        <x:f>IF(COUNT(AA524:AJ524)=0,"",AVERAGE(AA524:AJ524)*4)</x:f>
      </x:c>
      <x:c r="CF524" s="178" t="str">
        <x:f>IF(COUNT(AK524:AR524)=0,"",AVERAGE(AK524:AR524)*4)</x:f>
      </x:c>
      <x:c r="CG524" s="178" t="str">
        <x:f>IF(COUNT(AS524:AY524)=0,"",AVERAGE(AS524:AY524)*4)</x:f>
      </x:c>
      <x:c r="CH524" s="178" t="str">
        <x:f>IF(COUNT(AZ524:BG524)=0,"",AVERAGE(AZ524:BG524)*4)</x:f>
      </x:c>
      <x:c r="CI524" s="178" t="str">
        <x:f>IF(COUNT(BH524:BN524)=0,"",AVERAGE(BH524:BN524)*4)</x:f>
      </x:c>
      <x:c r="CJ524" s="178" t="str">
        <x:f>IF(COUNT(BO524:BU524)=0,"",AVERAGE(BO524:BU524)*4)</x:f>
      </x:c>
      <x:c r="CK524" s="178" t="str">
        <x:f>IF(COUNT(BV524:CB524)=0,"",AVERAGE(BV524:CB524)*4)</x:f>
      </x:c>
      <x:c r="CL524" s="178" t="str">
        <x:f>IF(C524="","",IF(COUNT(G524:CB524)&lt;74,"",(CC524*'تنظیمات وزن‌دهی'!$C$5+CD524*'تنظیمات وزن‌دهی'!$C$6+CE524*'تنظیمات وزن‌دهی'!$C$7+CF524*'تنظیمات وزن‌دهی'!$C$8+CG524*'تنظیمات وزن‌دهی'!$C$9+CH524*'تنظیمات وزن‌دهی'!$C$10+CI524*'تنظیمات وزن‌دهی'!$C$11+CJ524*'تنظیمات وزن‌دهی'!$C$12+CK524*'تنظیمات وزن‌دهی'!$C$13)/100))</x:f>
      </x:c>
      <x:c r="CM524" s="178" t="str">
        <x:f>IF(C524="","",IF(COUNT(G524:CB524)=0,"",IF(COUNT(G524:CB524)&lt;74,"موقت - اطلاعات ناقص",IF(CL524&gt;=17,"عالی",IF(CL524&gt;=14,"خوب",IF(CL524&gt;=10,"متوسط","ضعیف"))))))</x:f>
      </x:c>
      <x:c r="CN524" s="178" t="n">
        <x:v>4</x:v>
      </x:c>
      <x:c r="CO524" s="142" t="n">
        <x:f>IF(C524="","",COUNT(G524:CB524)/74)</x:f>
        <x:v>0</x:v>
      </x:c>
      <x:c r="CP524" s="245"/>
    </x:row>
    <x:row r="525">
      <x:c r="A525" s="165" t="n">
        <x:v>521</x:v>
      </x:c>
      <x:c r="B525" s="233" t="str">
        <x:v>آبان</x:v>
      </x:c>
      <x:c r="C525" s="233" t="n">
        <x:f>IF('دانش‌آموزان'!E48="","",'دانش‌آموزان'!B48)</x:f>
        <x:v>44</x:v>
      </x:c>
      <x:c r="D525" s="233" t="str">
        <x:f>IF('دانش‌آموزان'!C48="","",'دانش‌آموزان'!C48)</x:f>
        <x:v>4000000446</x:v>
      </x:c>
      <x:c r="E525" s="233" t="str">
        <x:f>IF('دانش‌آموزان'!E48="","",'دانش‌آموزان'!E48&amp;" "&amp;'دانش‌آموزان'!F48)</x:f>
        <x:v>زهرا محمدی</x:v>
      </x:c>
      <x:c r="F525" s="166" t="str">
        <x:f>IF('دانش‌آموزان'!I48="","",'دانش‌آموزان'!I48)</x:f>
        <x:v>sample-7-b</x:v>
      </x:c>
      <x:c r="G525" s="114"/>
      <x:c r="H525" s="115"/>
      <x:c r="I525" s="115"/>
      <x:c r="J525" s="115"/>
      <x:c r="K525" s="115"/>
      <x:c r="L525" s="115"/>
      <x:c r="M525" s="115"/>
      <x:c r="N525" s="115"/>
      <x:c r="O525" s="115"/>
      <x:c r="P525" s="115"/>
      <x:c r="Q525" s="115"/>
      <x:c r="R525" s="115"/>
      <x:c r="S525" s="115"/>
      <x:c r="T525" s="115"/>
      <x:c r="U525" s="115"/>
      <x:c r="V525" s="115"/>
      <x:c r="W525" s="115"/>
      <x:c r="X525" s="115"/>
      <x:c r="Y525" s="115"/>
      <x:c r="Z525" s="115"/>
      <x:c r="AA525" s="115"/>
      <x:c r="AB525" s="115"/>
      <x:c r="AC525" s="115"/>
      <x:c r="AD525" s="115"/>
      <x:c r="AE525" s="115"/>
      <x:c r="AF525" s="115"/>
      <x:c r="AG525" s="115"/>
      <x:c r="AH525" s="115"/>
      <x:c r="AI525" s="115"/>
      <x:c r="AJ525" s="115"/>
      <x:c r="AK525" s="115"/>
      <x:c r="AL525" s="115"/>
      <x:c r="AM525" s="115"/>
      <x:c r="AN525" s="115"/>
      <x:c r="AO525" s="115"/>
      <x:c r="AP525" s="115"/>
      <x:c r="AQ525" s="115"/>
      <x:c r="AR525" s="115"/>
      <x:c r="AS525" s="115"/>
      <x:c r="AT525" s="115"/>
      <x:c r="AU525" s="115"/>
      <x:c r="AV525" s="115"/>
      <x:c r="AW525" s="115"/>
      <x:c r="AX525" s="115"/>
      <x:c r="AY525" s="115"/>
      <x:c r="AZ525" s="115"/>
      <x:c r="BA525" s="115"/>
      <x:c r="BB525" s="115"/>
      <x:c r="BC525" s="115"/>
      <x:c r="BD525" s="115"/>
      <x:c r="BE525" s="115"/>
      <x:c r="BF525" s="115"/>
      <x:c r="BG525" s="115"/>
      <x:c r="BH525" s="115"/>
      <x:c r="BI525" s="115"/>
      <x:c r="BJ525" s="115"/>
      <x:c r="BK525" s="115"/>
      <x:c r="BL525" s="115"/>
      <x:c r="BM525" s="115"/>
      <x:c r="BN525" s="115"/>
      <x:c r="BO525" s="115"/>
      <x:c r="BP525" s="115"/>
      <x:c r="BQ525" s="115"/>
      <x:c r="BR525" s="115"/>
      <x:c r="BS525" s="115"/>
      <x:c r="BT525" s="115"/>
      <x:c r="BU525" s="115"/>
      <x:c r="BV525" s="115"/>
      <x:c r="BW525" s="115"/>
      <x:c r="BX525" s="115"/>
      <x:c r="BY525" s="115"/>
      <x:c r="BZ525" s="115"/>
      <x:c r="CA525" s="115"/>
      <x:c r="CB525" s="116"/>
      <x:c r="CC525" s="141" t="str">
        <x:f>IF(COUNT(G525:P525)=0,"",AVERAGE(G525:P525)*4)</x:f>
      </x:c>
      <x:c r="CD525" s="178" t="str">
        <x:f>IF(COUNT(Q525:Z525)=0,"",AVERAGE(Q525:Z525)*4)</x:f>
      </x:c>
      <x:c r="CE525" s="178" t="str">
        <x:f>IF(COUNT(AA525:AJ525)=0,"",AVERAGE(AA525:AJ525)*4)</x:f>
      </x:c>
      <x:c r="CF525" s="178" t="str">
        <x:f>IF(COUNT(AK525:AR525)=0,"",AVERAGE(AK525:AR525)*4)</x:f>
      </x:c>
      <x:c r="CG525" s="178" t="str">
        <x:f>IF(COUNT(AS525:AY525)=0,"",AVERAGE(AS525:AY525)*4)</x:f>
      </x:c>
      <x:c r="CH525" s="178" t="str">
        <x:f>IF(COUNT(AZ525:BG525)=0,"",AVERAGE(AZ525:BG525)*4)</x:f>
      </x:c>
      <x:c r="CI525" s="178" t="str">
        <x:f>IF(COUNT(BH525:BN525)=0,"",AVERAGE(BH525:BN525)*4)</x:f>
      </x:c>
      <x:c r="CJ525" s="178" t="str">
        <x:f>IF(COUNT(BO525:BU525)=0,"",AVERAGE(BO525:BU525)*4)</x:f>
      </x:c>
      <x:c r="CK525" s="178" t="str">
        <x:f>IF(COUNT(BV525:CB525)=0,"",AVERAGE(BV525:CB525)*4)</x:f>
      </x:c>
      <x:c r="CL525" s="178" t="str">
        <x:f>IF(C525="","",IF(COUNT(G525:CB525)&lt;74,"",(CC525*'تنظیمات وزن‌دهی'!$C$5+CD525*'تنظیمات وزن‌دهی'!$C$6+CE525*'تنظیمات وزن‌دهی'!$C$7+CF525*'تنظیمات وزن‌دهی'!$C$8+CG525*'تنظیمات وزن‌دهی'!$C$9+CH525*'تنظیمات وزن‌دهی'!$C$10+CI525*'تنظیمات وزن‌دهی'!$C$11+CJ525*'تنظیمات وزن‌دهی'!$C$12+CK525*'تنظیمات وزن‌دهی'!$C$13)/100))</x:f>
      </x:c>
      <x:c r="CM525" s="178" t="str">
        <x:f>IF(C525="","",IF(COUNT(G525:CB525)=0,"",IF(COUNT(G525:CB525)&lt;74,"موقت - اطلاعات ناقص",IF(CL525&gt;=17,"عالی",IF(CL525&gt;=14,"خوب",IF(CL525&gt;=10,"متوسط","ضعیف"))))))</x:f>
      </x:c>
      <x:c r="CN525" s="178" t="n">
        <x:v>5</x:v>
      </x:c>
      <x:c r="CO525" s="142" t="n">
        <x:f>IF(C525="","",COUNT(G525:CB525)/74)</x:f>
        <x:v>0</x:v>
      </x:c>
      <x:c r="CP525" s="245"/>
    </x:row>
    <x:row r="526">
      <x:c r="A526" s="165" t="n">
        <x:v>522</x:v>
      </x:c>
      <x:c r="B526" s="233" t="str">
        <x:v>آذر</x:v>
      </x:c>
      <x:c r="C526" s="233" t="n">
        <x:f>IF('دانش‌آموزان'!E48="","",'دانش‌آموزان'!B48)</x:f>
        <x:v>44</x:v>
      </x:c>
      <x:c r="D526" s="233" t="str">
        <x:f>IF('دانش‌آموزان'!C48="","",'دانش‌آموزان'!C48)</x:f>
        <x:v>4000000446</x:v>
      </x:c>
      <x:c r="E526" s="233" t="str">
        <x:f>IF('دانش‌آموزان'!E48="","",'دانش‌آموزان'!E48&amp;" "&amp;'دانش‌آموزان'!F48)</x:f>
        <x:v>زهرا محمدی</x:v>
      </x:c>
      <x:c r="F526" s="166" t="str">
        <x:f>IF('دانش‌آموزان'!I48="","",'دانش‌آموزان'!I48)</x:f>
        <x:v>sample-7-b</x:v>
      </x:c>
      <x:c r="G526" s="114"/>
      <x:c r="H526" s="115"/>
      <x:c r="I526" s="115"/>
      <x:c r="J526" s="115"/>
      <x:c r="K526" s="115"/>
      <x:c r="L526" s="115"/>
      <x:c r="M526" s="115"/>
      <x:c r="N526" s="115"/>
      <x:c r="O526" s="115"/>
      <x:c r="P526" s="115"/>
      <x:c r="Q526" s="115"/>
      <x:c r="R526" s="115"/>
      <x:c r="S526" s="115"/>
      <x:c r="T526" s="115"/>
      <x:c r="U526" s="115"/>
      <x:c r="V526" s="115"/>
      <x:c r="W526" s="115"/>
      <x:c r="X526" s="115"/>
      <x:c r="Y526" s="115"/>
      <x:c r="Z526" s="115"/>
      <x:c r="AA526" s="115"/>
      <x:c r="AB526" s="115"/>
      <x:c r="AC526" s="115"/>
      <x:c r="AD526" s="115"/>
      <x:c r="AE526" s="115"/>
      <x:c r="AF526" s="115"/>
      <x:c r="AG526" s="115"/>
      <x:c r="AH526" s="115"/>
      <x:c r="AI526" s="115"/>
      <x:c r="AJ526" s="115"/>
      <x:c r="AK526" s="115"/>
      <x:c r="AL526" s="115"/>
      <x:c r="AM526" s="115"/>
      <x:c r="AN526" s="115"/>
      <x:c r="AO526" s="115"/>
      <x:c r="AP526" s="115"/>
      <x:c r="AQ526" s="115"/>
      <x:c r="AR526" s="115"/>
      <x:c r="AS526" s="115"/>
      <x:c r="AT526" s="115"/>
      <x:c r="AU526" s="115"/>
      <x:c r="AV526" s="115"/>
      <x:c r="AW526" s="115"/>
      <x:c r="AX526" s="115"/>
      <x:c r="AY526" s="115"/>
      <x:c r="AZ526" s="115"/>
      <x:c r="BA526" s="115"/>
      <x:c r="BB526" s="115"/>
      <x:c r="BC526" s="115"/>
      <x:c r="BD526" s="115"/>
      <x:c r="BE526" s="115"/>
      <x:c r="BF526" s="115"/>
      <x:c r="BG526" s="115"/>
      <x:c r="BH526" s="115"/>
      <x:c r="BI526" s="115"/>
      <x:c r="BJ526" s="115"/>
      <x:c r="BK526" s="115"/>
      <x:c r="BL526" s="115"/>
      <x:c r="BM526" s="115"/>
      <x:c r="BN526" s="115"/>
      <x:c r="BO526" s="115"/>
      <x:c r="BP526" s="115"/>
      <x:c r="BQ526" s="115"/>
      <x:c r="BR526" s="115"/>
      <x:c r="BS526" s="115"/>
      <x:c r="BT526" s="115"/>
      <x:c r="BU526" s="115"/>
      <x:c r="BV526" s="115"/>
      <x:c r="BW526" s="115"/>
      <x:c r="BX526" s="115"/>
      <x:c r="BY526" s="115"/>
      <x:c r="BZ526" s="115"/>
      <x:c r="CA526" s="115"/>
      <x:c r="CB526" s="116"/>
      <x:c r="CC526" s="141" t="str">
        <x:f>IF(COUNT(G526:P526)=0,"",AVERAGE(G526:P526)*4)</x:f>
      </x:c>
      <x:c r="CD526" s="178" t="str">
        <x:f>IF(COUNT(Q526:Z526)=0,"",AVERAGE(Q526:Z526)*4)</x:f>
      </x:c>
      <x:c r="CE526" s="178" t="str">
        <x:f>IF(COUNT(AA526:AJ526)=0,"",AVERAGE(AA526:AJ526)*4)</x:f>
      </x:c>
      <x:c r="CF526" s="178" t="str">
        <x:f>IF(COUNT(AK526:AR526)=0,"",AVERAGE(AK526:AR526)*4)</x:f>
      </x:c>
      <x:c r="CG526" s="178" t="str">
        <x:f>IF(COUNT(AS526:AY526)=0,"",AVERAGE(AS526:AY526)*4)</x:f>
      </x:c>
      <x:c r="CH526" s="178" t="str">
        <x:f>IF(COUNT(AZ526:BG526)=0,"",AVERAGE(AZ526:BG526)*4)</x:f>
      </x:c>
      <x:c r="CI526" s="178" t="str">
        <x:f>IF(COUNT(BH526:BN526)=0,"",AVERAGE(BH526:BN526)*4)</x:f>
      </x:c>
      <x:c r="CJ526" s="178" t="str">
        <x:f>IF(COUNT(BO526:BU526)=0,"",AVERAGE(BO526:BU526)*4)</x:f>
      </x:c>
      <x:c r="CK526" s="178" t="str">
        <x:f>IF(COUNT(BV526:CB526)=0,"",AVERAGE(BV526:CB526)*4)</x:f>
      </x:c>
      <x:c r="CL526" s="178" t="str">
        <x:f>IF(C526="","",IF(COUNT(G526:CB526)&lt;74,"",(CC526*'تنظیمات وزن‌دهی'!$C$5+CD526*'تنظیمات وزن‌دهی'!$C$6+CE526*'تنظیمات وزن‌دهی'!$C$7+CF526*'تنظیمات وزن‌دهی'!$C$8+CG526*'تنظیمات وزن‌دهی'!$C$9+CH526*'تنظیمات وزن‌دهی'!$C$10+CI526*'تنظیمات وزن‌دهی'!$C$11+CJ526*'تنظیمات وزن‌دهی'!$C$12+CK526*'تنظیمات وزن‌دهی'!$C$13)/100))</x:f>
      </x:c>
      <x:c r="CM526" s="178" t="str">
        <x:f>IF(C526="","",IF(COUNT(G526:CB526)=0,"",IF(COUNT(G526:CB526)&lt;74,"موقت - اطلاعات ناقص",IF(CL526&gt;=17,"عالی",IF(CL526&gt;=14,"خوب",IF(CL526&gt;=10,"متوسط","ضعیف"))))))</x:f>
      </x:c>
      <x:c r="CN526" s="178" t="n">
        <x:v>6</x:v>
      </x:c>
      <x:c r="CO526" s="142" t="n">
        <x:f>IF(C526="","",COUNT(G526:CB526)/74)</x:f>
        <x:v>0</x:v>
      </x:c>
      <x:c r="CP526" s="245"/>
    </x:row>
    <x:row r="527">
      <x:c r="A527" s="165" t="n">
        <x:v>523</x:v>
      </x:c>
      <x:c r="B527" s="233" t="str">
        <x:v>دی</x:v>
      </x:c>
      <x:c r="C527" s="233" t="n">
        <x:f>IF('دانش‌آموزان'!E48="","",'دانش‌آموزان'!B48)</x:f>
        <x:v>44</x:v>
      </x:c>
      <x:c r="D527" s="233" t="str">
        <x:f>IF('دانش‌آموزان'!C48="","",'دانش‌آموزان'!C48)</x:f>
        <x:v>4000000446</x:v>
      </x:c>
      <x:c r="E527" s="233" t="str">
        <x:f>IF('دانش‌آموزان'!E48="","",'دانش‌آموزان'!E48&amp;" "&amp;'دانش‌آموزان'!F48)</x:f>
        <x:v>زهرا محمدی</x:v>
      </x:c>
      <x:c r="F527" s="166" t="str">
        <x:f>IF('دانش‌آموزان'!I48="","",'دانش‌آموزان'!I48)</x:f>
        <x:v>sample-7-b</x:v>
      </x:c>
      <x:c r="G527" s="114"/>
      <x:c r="H527" s="115"/>
      <x:c r="I527" s="115"/>
      <x:c r="J527" s="115"/>
      <x:c r="K527" s="115"/>
      <x:c r="L527" s="115"/>
      <x:c r="M527" s="115"/>
      <x:c r="N527" s="115"/>
      <x:c r="O527" s="115"/>
      <x:c r="P527" s="115"/>
      <x:c r="Q527" s="115"/>
      <x:c r="R527" s="115"/>
      <x:c r="S527" s="115"/>
      <x:c r="T527" s="115"/>
      <x:c r="U527" s="115"/>
      <x:c r="V527" s="115"/>
      <x:c r="W527" s="115"/>
      <x:c r="X527" s="115"/>
      <x:c r="Y527" s="115"/>
      <x:c r="Z527" s="115"/>
      <x:c r="AA527" s="115"/>
      <x:c r="AB527" s="115"/>
      <x:c r="AC527" s="115"/>
      <x:c r="AD527" s="115"/>
      <x:c r="AE527" s="115"/>
      <x:c r="AF527" s="115"/>
      <x:c r="AG527" s="115"/>
      <x:c r="AH527" s="115"/>
      <x:c r="AI527" s="115"/>
      <x:c r="AJ527" s="115"/>
      <x:c r="AK527" s="115"/>
      <x:c r="AL527" s="115"/>
      <x:c r="AM527" s="115"/>
      <x:c r="AN527" s="115"/>
      <x:c r="AO527" s="115"/>
      <x:c r="AP527" s="115"/>
      <x:c r="AQ527" s="115"/>
      <x:c r="AR527" s="115"/>
      <x:c r="AS527" s="115"/>
      <x:c r="AT527" s="115"/>
      <x:c r="AU527" s="115"/>
      <x:c r="AV527" s="115"/>
      <x:c r="AW527" s="115"/>
      <x:c r="AX527" s="115"/>
      <x:c r="AY527" s="115"/>
      <x:c r="AZ527" s="115"/>
      <x:c r="BA527" s="115"/>
      <x:c r="BB527" s="115"/>
      <x:c r="BC527" s="115"/>
      <x:c r="BD527" s="115"/>
      <x:c r="BE527" s="115"/>
      <x:c r="BF527" s="115"/>
      <x:c r="BG527" s="115"/>
      <x:c r="BH527" s="115"/>
      <x:c r="BI527" s="115"/>
      <x:c r="BJ527" s="115"/>
      <x:c r="BK527" s="115"/>
      <x:c r="BL527" s="115"/>
      <x:c r="BM527" s="115"/>
      <x:c r="BN527" s="115"/>
      <x:c r="BO527" s="115"/>
      <x:c r="BP527" s="115"/>
      <x:c r="BQ527" s="115"/>
      <x:c r="BR527" s="115"/>
      <x:c r="BS527" s="115"/>
      <x:c r="BT527" s="115"/>
      <x:c r="BU527" s="115"/>
      <x:c r="BV527" s="115"/>
      <x:c r="BW527" s="115"/>
      <x:c r="BX527" s="115"/>
      <x:c r="BY527" s="115"/>
      <x:c r="BZ527" s="115"/>
      <x:c r="CA527" s="115"/>
      <x:c r="CB527" s="116"/>
      <x:c r="CC527" s="141" t="str">
        <x:f>IF(COUNT(G527:P527)=0,"",AVERAGE(G527:P527)*4)</x:f>
      </x:c>
      <x:c r="CD527" s="178" t="str">
        <x:f>IF(COUNT(Q527:Z527)=0,"",AVERAGE(Q527:Z527)*4)</x:f>
      </x:c>
      <x:c r="CE527" s="178" t="str">
        <x:f>IF(COUNT(AA527:AJ527)=0,"",AVERAGE(AA527:AJ527)*4)</x:f>
      </x:c>
      <x:c r="CF527" s="178" t="str">
        <x:f>IF(COUNT(AK527:AR527)=0,"",AVERAGE(AK527:AR527)*4)</x:f>
      </x:c>
      <x:c r="CG527" s="178" t="str">
        <x:f>IF(COUNT(AS527:AY527)=0,"",AVERAGE(AS527:AY527)*4)</x:f>
      </x:c>
      <x:c r="CH527" s="178" t="str">
        <x:f>IF(COUNT(AZ527:BG527)=0,"",AVERAGE(AZ527:BG527)*4)</x:f>
      </x:c>
      <x:c r="CI527" s="178" t="str">
        <x:f>IF(COUNT(BH527:BN527)=0,"",AVERAGE(BH527:BN527)*4)</x:f>
      </x:c>
      <x:c r="CJ527" s="178" t="str">
        <x:f>IF(COUNT(BO527:BU527)=0,"",AVERAGE(BO527:BU527)*4)</x:f>
      </x:c>
      <x:c r="CK527" s="178" t="str">
        <x:f>IF(COUNT(BV527:CB527)=0,"",AVERAGE(BV527:CB527)*4)</x:f>
      </x:c>
      <x:c r="CL527" s="178" t="str">
        <x:f>IF(C527="","",IF(COUNT(G527:CB527)&lt;74,"",(CC527*'تنظیمات وزن‌دهی'!$C$5+CD527*'تنظیمات وزن‌دهی'!$C$6+CE527*'تنظیمات وزن‌دهی'!$C$7+CF527*'تنظیمات وزن‌دهی'!$C$8+CG527*'تنظیمات وزن‌دهی'!$C$9+CH527*'تنظیمات وزن‌دهی'!$C$10+CI527*'تنظیمات وزن‌دهی'!$C$11+CJ527*'تنظیمات وزن‌دهی'!$C$12+CK527*'تنظیمات وزن‌دهی'!$C$13)/100))</x:f>
      </x:c>
      <x:c r="CM527" s="178" t="str">
        <x:f>IF(C527="","",IF(COUNT(G527:CB527)=0,"",IF(COUNT(G527:CB527)&lt;74,"موقت - اطلاعات ناقص",IF(CL527&gt;=17,"عالی",IF(CL527&gt;=14,"خوب",IF(CL527&gt;=10,"متوسط","ضعیف"))))))</x:f>
      </x:c>
      <x:c r="CN527" s="178" t="n">
        <x:v>7</x:v>
      </x:c>
      <x:c r="CO527" s="142" t="n">
        <x:f>IF(C527="","",COUNT(G527:CB527)/74)</x:f>
        <x:v>0</x:v>
      </x:c>
      <x:c r="CP527" s="245"/>
    </x:row>
    <x:row r="528">
      <x:c r="A528" s="165" t="n">
        <x:v>524</x:v>
      </x:c>
      <x:c r="B528" s="233" t="str">
        <x:v>بهمن</x:v>
      </x:c>
      <x:c r="C528" s="233" t="n">
        <x:f>IF('دانش‌آموزان'!E48="","",'دانش‌آموزان'!B48)</x:f>
        <x:v>44</x:v>
      </x:c>
      <x:c r="D528" s="233" t="str">
        <x:f>IF('دانش‌آموزان'!C48="","",'دانش‌آموزان'!C48)</x:f>
        <x:v>4000000446</x:v>
      </x:c>
      <x:c r="E528" s="233" t="str">
        <x:f>IF('دانش‌آموزان'!E48="","",'دانش‌آموزان'!E48&amp;" "&amp;'دانش‌آموزان'!F48)</x:f>
        <x:v>زهرا محمدی</x:v>
      </x:c>
      <x:c r="F528" s="166" t="str">
        <x:f>IF('دانش‌آموزان'!I48="","",'دانش‌آموزان'!I48)</x:f>
        <x:v>sample-7-b</x:v>
      </x:c>
      <x:c r="G528" s="114"/>
      <x:c r="H528" s="115"/>
      <x:c r="I528" s="115"/>
      <x:c r="J528" s="115"/>
      <x:c r="K528" s="115"/>
      <x:c r="L528" s="115"/>
      <x:c r="M528" s="115"/>
      <x:c r="N528" s="115"/>
      <x:c r="O528" s="115"/>
      <x:c r="P528" s="115"/>
      <x:c r="Q528" s="115"/>
      <x:c r="R528" s="115"/>
      <x:c r="S528" s="115"/>
      <x:c r="T528" s="115"/>
      <x:c r="U528" s="115"/>
      <x:c r="V528" s="115"/>
      <x:c r="W528" s="115"/>
      <x:c r="X528" s="115"/>
      <x:c r="Y528" s="115"/>
      <x:c r="Z528" s="115"/>
      <x:c r="AA528" s="115"/>
      <x:c r="AB528" s="115"/>
      <x:c r="AC528" s="115"/>
      <x:c r="AD528" s="115"/>
      <x:c r="AE528" s="115"/>
      <x:c r="AF528" s="115"/>
      <x:c r="AG528" s="115"/>
      <x:c r="AH528" s="115"/>
      <x:c r="AI528" s="115"/>
      <x:c r="AJ528" s="115"/>
      <x:c r="AK528" s="115"/>
      <x:c r="AL528" s="115"/>
      <x:c r="AM528" s="115"/>
      <x:c r="AN528" s="115"/>
      <x:c r="AO528" s="115"/>
      <x:c r="AP528" s="115"/>
      <x:c r="AQ528" s="115"/>
      <x:c r="AR528" s="115"/>
      <x:c r="AS528" s="115"/>
      <x:c r="AT528" s="115"/>
      <x:c r="AU528" s="115"/>
      <x:c r="AV528" s="115"/>
      <x:c r="AW528" s="115"/>
      <x:c r="AX528" s="115"/>
      <x:c r="AY528" s="115"/>
      <x:c r="AZ528" s="115"/>
      <x:c r="BA528" s="115"/>
      <x:c r="BB528" s="115"/>
      <x:c r="BC528" s="115"/>
      <x:c r="BD528" s="115"/>
      <x:c r="BE528" s="115"/>
      <x:c r="BF528" s="115"/>
      <x:c r="BG528" s="115"/>
      <x:c r="BH528" s="115"/>
      <x:c r="BI528" s="115"/>
      <x:c r="BJ528" s="115"/>
      <x:c r="BK528" s="115"/>
      <x:c r="BL528" s="115"/>
      <x:c r="BM528" s="115"/>
      <x:c r="BN528" s="115"/>
      <x:c r="BO528" s="115"/>
      <x:c r="BP528" s="115"/>
      <x:c r="BQ528" s="115"/>
      <x:c r="BR528" s="115"/>
      <x:c r="BS528" s="115"/>
      <x:c r="BT528" s="115"/>
      <x:c r="BU528" s="115"/>
      <x:c r="BV528" s="115"/>
      <x:c r="BW528" s="115"/>
      <x:c r="BX528" s="115"/>
      <x:c r="BY528" s="115"/>
      <x:c r="BZ528" s="115"/>
      <x:c r="CA528" s="115"/>
      <x:c r="CB528" s="116"/>
      <x:c r="CC528" s="141" t="str">
        <x:f>IF(COUNT(G528:P528)=0,"",AVERAGE(G528:P528)*4)</x:f>
      </x:c>
      <x:c r="CD528" s="178" t="str">
        <x:f>IF(COUNT(Q528:Z528)=0,"",AVERAGE(Q528:Z528)*4)</x:f>
      </x:c>
      <x:c r="CE528" s="178" t="str">
        <x:f>IF(COUNT(AA528:AJ528)=0,"",AVERAGE(AA528:AJ528)*4)</x:f>
      </x:c>
      <x:c r="CF528" s="178" t="str">
        <x:f>IF(COUNT(AK528:AR528)=0,"",AVERAGE(AK528:AR528)*4)</x:f>
      </x:c>
      <x:c r="CG528" s="178" t="str">
        <x:f>IF(COUNT(AS528:AY528)=0,"",AVERAGE(AS528:AY528)*4)</x:f>
      </x:c>
      <x:c r="CH528" s="178" t="str">
        <x:f>IF(COUNT(AZ528:BG528)=0,"",AVERAGE(AZ528:BG528)*4)</x:f>
      </x:c>
      <x:c r="CI528" s="178" t="str">
        <x:f>IF(COUNT(BH528:BN528)=0,"",AVERAGE(BH528:BN528)*4)</x:f>
      </x:c>
      <x:c r="CJ528" s="178" t="str">
        <x:f>IF(COUNT(BO528:BU528)=0,"",AVERAGE(BO528:BU528)*4)</x:f>
      </x:c>
      <x:c r="CK528" s="178" t="str">
        <x:f>IF(COUNT(BV528:CB528)=0,"",AVERAGE(BV528:CB528)*4)</x:f>
      </x:c>
      <x:c r="CL528" s="178" t="str">
        <x:f>IF(C528="","",IF(COUNT(G528:CB528)&lt;74,"",(CC528*'تنظیمات وزن‌دهی'!$C$5+CD528*'تنظیمات وزن‌دهی'!$C$6+CE528*'تنظیمات وزن‌دهی'!$C$7+CF528*'تنظیمات وزن‌دهی'!$C$8+CG528*'تنظیمات وزن‌دهی'!$C$9+CH528*'تنظیمات وزن‌دهی'!$C$10+CI528*'تنظیمات وزن‌دهی'!$C$11+CJ528*'تنظیمات وزن‌دهی'!$C$12+CK528*'تنظیمات وزن‌دهی'!$C$13)/100))</x:f>
      </x:c>
      <x:c r="CM528" s="178" t="str">
        <x:f>IF(C528="","",IF(COUNT(G528:CB528)=0,"",IF(COUNT(G528:CB528)&lt;74,"موقت - اطلاعات ناقص",IF(CL528&gt;=17,"عالی",IF(CL528&gt;=14,"خوب",IF(CL528&gt;=10,"متوسط","ضعیف"))))))</x:f>
      </x:c>
      <x:c r="CN528" s="178" t="n">
        <x:v>8</x:v>
      </x:c>
      <x:c r="CO528" s="142" t="n">
        <x:f>IF(C528="","",COUNT(G528:CB528)/74)</x:f>
        <x:v>0</x:v>
      </x:c>
      <x:c r="CP528" s="245"/>
    </x:row>
    <x:row r="529">
      <x:c r="A529" s="165" t="n">
        <x:v>525</x:v>
      </x:c>
      <x:c r="B529" s="233" t="str">
        <x:v>اسفند</x:v>
      </x:c>
      <x:c r="C529" s="233" t="n">
        <x:f>IF('دانش‌آموزان'!E48="","",'دانش‌آموزان'!B48)</x:f>
        <x:v>44</x:v>
      </x:c>
      <x:c r="D529" s="233" t="str">
        <x:f>IF('دانش‌آموزان'!C48="","",'دانش‌آموزان'!C48)</x:f>
        <x:v>4000000446</x:v>
      </x:c>
      <x:c r="E529" s="233" t="str">
        <x:f>IF('دانش‌آموزان'!E48="","",'دانش‌آموزان'!E48&amp;" "&amp;'دانش‌آموزان'!F48)</x:f>
        <x:v>زهرا محمدی</x:v>
      </x:c>
      <x:c r="F529" s="166" t="str">
        <x:f>IF('دانش‌آموزان'!I48="","",'دانش‌آموزان'!I48)</x:f>
        <x:v>sample-7-b</x:v>
      </x:c>
      <x:c r="G529" s="114"/>
      <x:c r="H529" s="115"/>
      <x:c r="I529" s="115"/>
      <x:c r="J529" s="115"/>
      <x:c r="K529" s="115"/>
      <x:c r="L529" s="115"/>
      <x:c r="M529" s="115"/>
      <x:c r="N529" s="115"/>
      <x:c r="O529" s="115"/>
      <x:c r="P529" s="115"/>
      <x:c r="Q529" s="115"/>
      <x:c r="R529" s="115"/>
      <x:c r="S529" s="115"/>
      <x:c r="T529" s="115"/>
      <x:c r="U529" s="115"/>
      <x:c r="V529" s="115"/>
      <x:c r="W529" s="115"/>
      <x:c r="X529" s="115"/>
      <x:c r="Y529" s="115"/>
      <x:c r="Z529" s="115"/>
      <x:c r="AA529" s="115"/>
      <x:c r="AB529" s="115"/>
      <x:c r="AC529" s="115"/>
      <x:c r="AD529" s="115"/>
      <x:c r="AE529" s="115"/>
      <x:c r="AF529" s="115"/>
      <x:c r="AG529" s="115"/>
      <x:c r="AH529" s="115"/>
      <x:c r="AI529" s="115"/>
      <x:c r="AJ529" s="115"/>
      <x:c r="AK529" s="115"/>
      <x:c r="AL529" s="115"/>
      <x:c r="AM529" s="115"/>
      <x:c r="AN529" s="115"/>
      <x:c r="AO529" s="115"/>
      <x:c r="AP529" s="115"/>
      <x:c r="AQ529" s="115"/>
      <x:c r="AR529" s="115"/>
      <x:c r="AS529" s="115"/>
      <x:c r="AT529" s="115"/>
      <x:c r="AU529" s="115"/>
      <x:c r="AV529" s="115"/>
      <x:c r="AW529" s="115"/>
      <x:c r="AX529" s="115"/>
      <x:c r="AY529" s="115"/>
      <x:c r="AZ529" s="115"/>
      <x:c r="BA529" s="115"/>
      <x:c r="BB529" s="115"/>
      <x:c r="BC529" s="115"/>
      <x:c r="BD529" s="115"/>
      <x:c r="BE529" s="115"/>
      <x:c r="BF529" s="115"/>
      <x:c r="BG529" s="115"/>
      <x:c r="BH529" s="115"/>
      <x:c r="BI529" s="115"/>
      <x:c r="BJ529" s="115"/>
      <x:c r="BK529" s="115"/>
      <x:c r="BL529" s="115"/>
      <x:c r="BM529" s="115"/>
      <x:c r="BN529" s="115"/>
      <x:c r="BO529" s="115"/>
      <x:c r="BP529" s="115"/>
      <x:c r="BQ529" s="115"/>
      <x:c r="BR529" s="115"/>
      <x:c r="BS529" s="115"/>
      <x:c r="BT529" s="115"/>
      <x:c r="BU529" s="115"/>
      <x:c r="BV529" s="115"/>
      <x:c r="BW529" s="115"/>
      <x:c r="BX529" s="115"/>
      <x:c r="BY529" s="115"/>
      <x:c r="BZ529" s="115"/>
      <x:c r="CA529" s="115"/>
      <x:c r="CB529" s="116"/>
      <x:c r="CC529" s="141" t="str">
        <x:f>IF(COUNT(G529:P529)=0,"",AVERAGE(G529:P529)*4)</x:f>
      </x:c>
      <x:c r="CD529" s="178" t="str">
        <x:f>IF(COUNT(Q529:Z529)=0,"",AVERAGE(Q529:Z529)*4)</x:f>
      </x:c>
      <x:c r="CE529" s="178" t="str">
        <x:f>IF(COUNT(AA529:AJ529)=0,"",AVERAGE(AA529:AJ529)*4)</x:f>
      </x:c>
      <x:c r="CF529" s="178" t="str">
        <x:f>IF(COUNT(AK529:AR529)=0,"",AVERAGE(AK529:AR529)*4)</x:f>
      </x:c>
      <x:c r="CG529" s="178" t="str">
        <x:f>IF(COUNT(AS529:AY529)=0,"",AVERAGE(AS529:AY529)*4)</x:f>
      </x:c>
      <x:c r="CH529" s="178" t="str">
        <x:f>IF(COUNT(AZ529:BG529)=0,"",AVERAGE(AZ529:BG529)*4)</x:f>
      </x:c>
      <x:c r="CI529" s="178" t="str">
        <x:f>IF(COUNT(BH529:BN529)=0,"",AVERAGE(BH529:BN529)*4)</x:f>
      </x:c>
      <x:c r="CJ529" s="178" t="str">
        <x:f>IF(COUNT(BO529:BU529)=0,"",AVERAGE(BO529:BU529)*4)</x:f>
      </x:c>
      <x:c r="CK529" s="178" t="str">
        <x:f>IF(COUNT(BV529:CB529)=0,"",AVERAGE(BV529:CB529)*4)</x:f>
      </x:c>
      <x:c r="CL529" s="178" t="str">
        <x:f>IF(C529="","",IF(COUNT(G529:CB529)&lt;74,"",(CC529*'تنظیمات وزن‌دهی'!$C$5+CD529*'تنظیمات وزن‌دهی'!$C$6+CE529*'تنظیمات وزن‌دهی'!$C$7+CF529*'تنظیمات وزن‌دهی'!$C$8+CG529*'تنظیمات وزن‌دهی'!$C$9+CH529*'تنظیمات وزن‌دهی'!$C$10+CI529*'تنظیمات وزن‌دهی'!$C$11+CJ529*'تنظیمات وزن‌دهی'!$C$12+CK529*'تنظیمات وزن‌دهی'!$C$13)/100))</x:f>
      </x:c>
      <x:c r="CM529" s="178" t="str">
        <x:f>IF(C529="","",IF(COUNT(G529:CB529)=0,"",IF(COUNT(G529:CB529)&lt;74,"موقت - اطلاعات ناقص",IF(CL529&gt;=17,"عالی",IF(CL529&gt;=14,"خوب",IF(CL529&gt;=10,"متوسط","ضعیف"))))))</x:f>
      </x:c>
      <x:c r="CN529" s="178" t="n">
        <x:v>9</x:v>
      </x:c>
      <x:c r="CO529" s="142" t="n">
        <x:f>IF(C529="","",COUNT(G529:CB529)/74)</x:f>
        <x:v>0</x:v>
      </x:c>
      <x:c r="CP529" s="245"/>
    </x:row>
    <x:row r="530">
      <x:c r="A530" s="165" t="n">
        <x:v>526</x:v>
      </x:c>
      <x:c r="B530" s="233" t="str">
        <x:v>فروردین</x:v>
      </x:c>
      <x:c r="C530" s="233" t="n">
        <x:f>IF('دانش‌آموزان'!E48="","",'دانش‌آموزان'!B48)</x:f>
        <x:v>44</x:v>
      </x:c>
      <x:c r="D530" s="233" t="str">
        <x:f>IF('دانش‌آموزان'!C48="","",'دانش‌آموزان'!C48)</x:f>
        <x:v>4000000446</x:v>
      </x:c>
      <x:c r="E530" s="233" t="str">
        <x:f>IF('دانش‌آموزان'!E48="","",'دانش‌آموزان'!E48&amp;" "&amp;'دانش‌آموزان'!F48)</x:f>
        <x:v>زهرا محمدی</x:v>
      </x:c>
      <x:c r="F530" s="166" t="str">
        <x:f>IF('دانش‌آموزان'!I48="","",'دانش‌آموزان'!I48)</x:f>
        <x:v>sample-7-b</x:v>
      </x:c>
      <x:c r="G530" s="114"/>
      <x:c r="H530" s="115"/>
      <x:c r="I530" s="115"/>
      <x:c r="J530" s="115"/>
      <x:c r="K530" s="115"/>
      <x:c r="L530" s="115"/>
      <x:c r="M530" s="115"/>
      <x:c r="N530" s="115"/>
      <x:c r="O530" s="115"/>
      <x:c r="P530" s="115"/>
      <x:c r="Q530" s="115"/>
      <x:c r="R530" s="115"/>
      <x:c r="S530" s="115"/>
      <x:c r="T530" s="115"/>
      <x:c r="U530" s="115"/>
      <x:c r="V530" s="115"/>
      <x:c r="W530" s="115"/>
      <x:c r="X530" s="115"/>
      <x:c r="Y530" s="115"/>
      <x:c r="Z530" s="115"/>
      <x:c r="AA530" s="115"/>
      <x:c r="AB530" s="115"/>
      <x:c r="AC530" s="115"/>
      <x:c r="AD530" s="115"/>
      <x:c r="AE530" s="115"/>
      <x:c r="AF530" s="115"/>
      <x:c r="AG530" s="115"/>
      <x:c r="AH530" s="115"/>
      <x:c r="AI530" s="115"/>
      <x:c r="AJ530" s="115"/>
      <x:c r="AK530" s="115"/>
      <x:c r="AL530" s="115"/>
      <x:c r="AM530" s="115"/>
      <x:c r="AN530" s="115"/>
      <x:c r="AO530" s="115"/>
      <x:c r="AP530" s="115"/>
      <x:c r="AQ530" s="115"/>
      <x:c r="AR530" s="115"/>
      <x:c r="AS530" s="115"/>
      <x:c r="AT530" s="115"/>
      <x:c r="AU530" s="115"/>
      <x:c r="AV530" s="115"/>
      <x:c r="AW530" s="115"/>
      <x:c r="AX530" s="115"/>
      <x:c r="AY530" s="115"/>
      <x:c r="AZ530" s="115"/>
      <x:c r="BA530" s="115"/>
      <x:c r="BB530" s="115"/>
      <x:c r="BC530" s="115"/>
      <x:c r="BD530" s="115"/>
      <x:c r="BE530" s="115"/>
      <x:c r="BF530" s="115"/>
      <x:c r="BG530" s="115"/>
      <x:c r="BH530" s="115"/>
      <x:c r="BI530" s="115"/>
      <x:c r="BJ530" s="115"/>
      <x:c r="BK530" s="115"/>
      <x:c r="BL530" s="115"/>
      <x:c r="BM530" s="115"/>
      <x:c r="BN530" s="115"/>
      <x:c r="BO530" s="115"/>
      <x:c r="BP530" s="115"/>
      <x:c r="BQ530" s="115"/>
      <x:c r="BR530" s="115"/>
      <x:c r="BS530" s="115"/>
      <x:c r="BT530" s="115"/>
      <x:c r="BU530" s="115"/>
      <x:c r="BV530" s="115"/>
      <x:c r="BW530" s="115"/>
      <x:c r="BX530" s="115"/>
      <x:c r="BY530" s="115"/>
      <x:c r="BZ530" s="115"/>
      <x:c r="CA530" s="115"/>
      <x:c r="CB530" s="116"/>
      <x:c r="CC530" s="141" t="str">
        <x:f>IF(COUNT(G530:P530)=0,"",AVERAGE(G530:P530)*4)</x:f>
      </x:c>
      <x:c r="CD530" s="178" t="str">
        <x:f>IF(COUNT(Q530:Z530)=0,"",AVERAGE(Q530:Z530)*4)</x:f>
      </x:c>
      <x:c r="CE530" s="178" t="str">
        <x:f>IF(COUNT(AA530:AJ530)=0,"",AVERAGE(AA530:AJ530)*4)</x:f>
      </x:c>
      <x:c r="CF530" s="178" t="str">
        <x:f>IF(COUNT(AK530:AR530)=0,"",AVERAGE(AK530:AR530)*4)</x:f>
      </x:c>
      <x:c r="CG530" s="178" t="str">
        <x:f>IF(COUNT(AS530:AY530)=0,"",AVERAGE(AS530:AY530)*4)</x:f>
      </x:c>
      <x:c r="CH530" s="178" t="str">
        <x:f>IF(COUNT(AZ530:BG530)=0,"",AVERAGE(AZ530:BG530)*4)</x:f>
      </x:c>
      <x:c r="CI530" s="178" t="str">
        <x:f>IF(COUNT(BH530:BN530)=0,"",AVERAGE(BH530:BN530)*4)</x:f>
      </x:c>
      <x:c r="CJ530" s="178" t="str">
        <x:f>IF(COUNT(BO530:BU530)=0,"",AVERAGE(BO530:BU530)*4)</x:f>
      </x:c>
      <x:c r="CK530" s="178" t="str">
        <x:f>IF(COUNT(BV530:CB530)=0,"",AVERAGE(BV530:CB530)*4)</x:f>
      </x:c>
      <x:c r="CL530" s="178" t="str">
        <x:f>IF(C530="","",IF(COUNT(G530:CB530)&lt;74,"",(CC530*'تنظیمات وزن‌دهی'!$C$5+CD530*'تنظیمات وزن‌دهی'!$C$6+CE530*'تنظیمات وزن‌دهی'!$C$7+CF530*'تنظیمات وزن‌دهی'!$C$8+CG530*'تنظیمات وزن‌دهی'!$C$9+CH530*'تنظیمات وزن‌دهی'!$C$10+CI530*'تنظیمات وزن‌دهی'!$C$11+CJ530*'تنظیمات وزن‌دهی'!$C$12+CK530*'تنظیمات وزن‌دهی'!$C$13)/100))</x:f>
      </x:c>
      <x:c r="CM530" s="178" t="str">
        <x:f>IF(C530="","",IF(COUNT(G530:CB530)=0,"",IF(COUNT(G530:CB530)&lt;74,"موقت - اطلاعات ناقص",IF(CL530&gt;=17,"عالی",IF(CL530&gt;=14,"خوب",IF(CL530&gt;=10,"متوسط","ضعیف"))))))</x:f>
      </x:c>
      <x:c r="CN530" s="178" t="n">
        <x:v>10</x:v>
      </x:c>
      <x:c r="CO530" s="142" t="n">
        <x:f>IF(C530="","",COUNT(G530:CB530)/74)</x:f>
        <x:v>0</x:v>
      </x:c>
      <x:c r="CP530" s="245"/>
    </x:row>
    <x:row r="531">
      <x:c r="A531" s="165" t="n">
        <x:v>527</x:v>
      </x:c>
      <x:c r="B531" s="233" t="str">
        <x:v>اردیبهشت</x:v>
      </x:c>
      <x:c r="C531" s="233" t="n">
        <x:f>IF('دانش‌آموزان'!E48="","",'دانش‌آموزان'!B48)</x:f>
        <x:v>44</x:v>
      </x:c>
      <x:c r="D531" s="233" t="str">
        <x:f>IF('دانش‌آموزان'!C48="","",'دانش‌آموزان'!C48)</x:f>
        <x:v>4000000446</x:v>
      </x:c>
      <x:c r="E531" s="233" t="str">
        <x:f>IF('دانش‌آموزان'!E48="","",'دانش‌آموزان'!E48&amp;" "&amp;'دانش‌آموزان'!F48)</x:f>
        <x:v>زهرا محمدی</x:v>
      </x:c>
      <x:c r="F531" s="166" t="str">
        <x:f>IF('دانش‌آموزان'!I48="","",'دانش‌آموزان'!I48)</x:f>
        <x:v>sample-7-b</x:v>
      </x:c>
      <x:c r="G531" s="114"/>
      <x:c r="H531" s="115"/>
      <x:c r="I531" s="115"/>
      <x:c r="J531" s="115"/>
      <x:c r="K531" s="115"/>
      <x:c r="L531" s="115"/>
      <x:c r="M531" s="115"/>
      <x:c r="N531" s="115"/>
      <x:c r="O531" s="115"/>
      <x:c r="P531" s="115"/>
      <x:c r="Q531" s="115"/>
      <x:c r="R531" s="115"/>
      <x:c r="S531" s="115"/>
      <x:c r="T531" s="115"/>
      <x:c r="U531" s="115"/>
      <x:c r="V531" s="115"/>
      <x:c r="W531" s="115"/>
      <x:c r="X531" s="115"/>
      <x:c r="Y531" s="115"/>
      <x:c r="Z531" s="115"/>
      <x:c r="AA531" s="115"/>
      <x:c r="AB531" s="115"/>
      <x:c r="AC531" s="115"/>
      <x:c r="AD531" s="115"/>
      <x:c r="AE531" s="115"/>
      <x:c r="AF531" s="115"/>
      <x:c r="AG531" s="115"/>
      <x:c r="AH531" s="115"/>
      <x:c r="AI531" s="115"/>
      <x:c r="AJ531" s="115"/>
      <x:c r="AK531" s="115"/>
      <x:c r="AL531" s="115"/>
      <x:c r="AM531" s="115"/>
      <x:c r="AN531" s="115"/>
      <x:c r="AO531" s="115"/>
      <x:c r="AP531" s="115"/>
      <x:c r="AQ531" s="115"/>
      <x:c r="AR531" s="115"/>
      <x:c r="AS531" s="115"/>
      <x:c r="AT531" s="115"/>
      <x:c r="AU531" s="115"/>
      <x:c r="AV531" s="115"/>
      <x:c r="AW531" s="115"/>
      <x:c r="AX531" s="115"/>
      <x:c r="AY531" s="115"/>
      <x:c r="AZ531" s="115"/>
      <x:c r="BA531" s="115"/>
      <x:c r="BB531" s="115"/>
      <x:c r="BC531" s="115"/>
      <x:c r="BD531" s="115"/>
      <x:c r="BE531" s="115"/>
      <x:c r="BF531" s="115"/>
      <x:c r="BG531" s="115"/>
      <x:c r="BH531" s="115"/>
      <x:c r="BI531" s="115"/>
      <x:c r="BJ531" s="115"/>
      <x:c r="BK531" s="115"/>
      <x:c r="BL531" s="115"/>
      <x:c r="BM531" s="115"/>
      <x:c r="BN531" s="115"/>
      <x:c r="BO531" s="115"/>
      <x:c r="BP531" s="115"/>
      <x:c r="BQ531" s="115"/>
      <x:c r="BR531" s="115"/>
      <x:c r="BS531" s="115"/>
      <x:c r="BT531" s="115"/>
      <x:c r="BU531" s="115"/>
      <x:c r="BV531" s="115"/>
      <x:c r="BW531" s="115"/>
      <x:c r="BX531" s="115"/>
      <x:c r="BY531" s="115"/>
      <x:c r="BZ531" s="115"/>
      <x:c r="CA531" s="115"/>
      <x:c r="CB531" s="116"/>
      <x:c r="CC531" s="141" t="str">
        <x:f>IF(COUNT(G531:P531)=0,"",AVERAGE(G531:P531)*4)</x:f>
      </x:c>
      <x:c r="CD531" s="178" t="str">
        <x:f>IF(COUNT(Q531:Z531)=0,"",AVERAGE(Q531:Z531)*4)</x:f>
      </x:c>
      <x:c r="CE531" s="178" t="str">
        <x:f>IF(COUNT(AA531:AJ531)=0,"",AVERAGE(AA531:AJ531)*4)</x:f>
      </x:c>
      <x:c r="CF531" s="178" t="str">
        <x:f>IF(COUNT(AK531:AR531)=0,"",AVERAGE(AK531:AR531)*4)</x:f>
      </x:c>
      <x:c r="CG531" s="178" t="str">
        <x:f>IF(COUNT(AS531:AY531)=0,"",AVERAGE(AS531:AY531)*4)</x:f>
      </x:c>
      <x:c r="CH531" s="178" t="str">
        <x:f>IF(COUNT(AZ531:BG531)=0,"",AVERAGE(AZ531:BG531)*4)</x:f>
      </x:c>
      <x:c r="CI531" s="178" t="str">
        <x:f>IF(COUNT(BH531:BN531)=0,"",AVERAGE(BH531:BN531)*4)</x:f>
      </x:c>
      <x:c r="CJ531" s="178" t="str">
        <x:f>IF(COUNT(BO531:BU531)=0,"",AVERAGE(BO531:BU531)*4)</x:f>
      </x:c>
      <x:c r="CK531" s="178" t="str">
        <x:f>IF(COUNT(BV531:CB531)=0,"",AVERAGE(BV531:CB531)*4)</x:f>
      </x:c>
      <x:c r="CL531" s="178" t="str">
        <x:f>IF(C531="","",IF(COUNT(G531:CB531)&lt;74,"",(CC531*'تنظیمات وزن‌دهی'!$C$5+CD531*'تنظیمات وزن‌دهی'!$C$6+CE531*'تنظیمات وزن‌دهی'!$C$7+CF531*'تنظیمات وزن‌دهی'!$C$8+CG531*'تنظیمات وزن‌دهی'!$C$9+CH531*'تنظیمات وزن‌دهی'!$C$10+CI531*'تنظیمات وزن‌دهی'!$C$11+CJ531*'تنظیمات وزن‌دهی'!$C$12+CK531*'تنظیمات وزن‌دهی'!$C$13)/100))</x:f>
      </x:c>
      <x:c r="CM531" s="178" t="str">
        <x:f>IF(C531="","",IF(COUNT(G531:CB531)=0,"",IF(COUNT(G531:CB531)&lt;74,"موقت - اطلاعات ناقص",IF(CL531&gt;=17,"عالی",IF(CL531&gt;=14,"خوب",IF(CL531&gt;=10,"متوسط","ضعیف"))))))</x:f>
      </x:c>
      <x:c r="CN531" s="178" t="n">
        <x:v>11</x:v>
      </x:c>
      <x:c r="CO531" s="142" t="n">
        <x:f>IF(C531="","",COUNT(G531:CB531)/74)</x:f>
        <x:v>0</x:v>
      </x:c>
      <x:c r="CP531" s="245"/>
    </x:row>
    <x:row r="532">
      <x:c r="A532" s="165" t="n">
        <x:v>528</x:v>
      </x:c>
      <x:c r="B532" s="233" t="str">
        <x:v>خرداد</x:v>
      </x:c>
      <x:c r="C532" s="233" t="n">
        <x:f>IF('دانش‌آموزان'!E48="","",'دانش‌آموزان'!B48)</x:f>
        <x:v>44</x:v>
      </x:c>
      <x:c r="D532" s="233" t="str">
        <x:f>IF('دانش‌آموزان'!C48="","",'دانش‌آموزان'!C48)</x:f>
        <x:v>4000000446</x:v>
      </x:c>
      <x:c r="E532" s="233" t="str">
        <x:f>IF('دانش‌آموزان'!E48="","",'دانش‌آموزان'!E48&amp;" "&amp;'دانش‌آموزان'!F48)</x:f>
        <x:v>زهرا محمدی</x:v>
      </x:c>
      <x:c r="F532" s="166" t="str">
        <x:f>IF('دانش‌آموزان'!I48="","",'دانش‌آموزان'!I48)</x:f>
        <x:v>sample-7-b</x:v>
      </x:c>
      <x:c r="G532" s="114"/>
      <x:c r="H532" s="115"/>
      <x:c r="I532" s="115"/>
      <x:c r="J532" s="115"/>
      <x:c r="K532" s="115"/>
      <x:c r="L532" s="115"/>
      <x:c r="M532" s="115"/>
      <x:c r="N532" s="115"/>
      <x:c r="O532" s="115"/>
      <x:c r="P532" s="115"/>
      <x:c r="Q532" s="115"/>
      <x:c r="R532" s="115"/>
      <x:c r="S532" s="115"/>
      <x:c r="T532" s="115"/>
      <x:c r="U532" s="115"/>
      <x:c r="V532" s="115"/>
      <x:c r="W532" s="115"/>
      <x:c r="X532" s="115"/>
      <x:c r="Y532" s="115"/>
      <x:c r="Z532" s="115"/>
      <x:c r="AA532" s="115"/>
      <x:c r="AB532" s="115"/>
      <x:c r="AC532" s="115"/>
      <x:c r="AD532" s="115"/>
      <x:c r="AE532" s="115"/>
      <x:c r="AF532" s="115"/>
      <x:c r="AG532" s="115"/>
      <x:c r="AH532" s="115"/>
      <x:c r="AI532" s="115"/>
      <x:c r="AJ532" s="115"/>
      <x:c r="AK532" s="115"/>
      <x:c r="AL532" s="115"/>
      <x:c r="AM532" s="115"/>
      <x:c r="AN532" s="115"/>
      <x:c r="AO532" s="115"/>
      <x:c r="AP532" s="115"/>
      <x:c r="AQ532" s="115"/>
      <x:c r="AR532" s="115"/>
      <x:c r="AS532" s="115"/>
      <x:c r="AT532" s="115"/>
      <x:c r="AU532" s="115"/>
      <x:c r="AV532" s="115"/>
      <x:c r="AW532" s="115"/>
      <x:c r="AX532" s="115"/>
      <x:c r="AY532" s="115"/>
      <x:c r="AZ532" s="115"/>
      <x:c r="BA532" s="115"/>
      <x:c r="BB532" s="115"/>
      <x:c r="BC532" s="115"/>
      <x:c r="BD532" s="115"/>
      <x:c r="BE532" s="115"/>
      <x:c r="BF532" s="115"/>
      <x:c r="BG532" s="115"/>
      <x:c r="BH532" s="115"/>
      <x:c r="BI532" s="115"/>
      <x:c r="BJ532" s="115"/>
      <x:c r="BK532" s="115"/>
      <x:c r="BL532" s="115"/>
      <x:c r="BM532" s="115"/>
      <x:c r="BN532" s="115"/>
      <x:c r="BO532" s="115"/>
      <x:c r="BP532" s="115"/>
      <x:c r="BQ532" s="115"/>
      <x:c r="BR532" s="115"/>
      <x:c r="BS532" s="115"/>
      <x:c r="BT532" s="115"/>
      <x:c r="BU532" s="115"/>
      <x:c r="BV532" s="115"/>
      <x:c r="BW532" s="115"/>
      <x:c r="BX532" s="115"/>
      <x:c r="BY532" s="115"/>
      <x:c r="BZ532" s="115"/>
      <x:c r="CA532" s="115"/>
      <x:c r="CB532" s="116"/>
      <x:c r="CC532" s="141" t="str">
        <x:f>IF(COUNT(G532:P532)=0,"",AVERAGE(G532:P532)*4)</x:f>
      </x:c>
      <x:c r="CD532" s="178" t="str">
        <x:f>IF(COUNT(Q532:Z532)=0,"",AVERAGE(Q532:Z532)*4)</x:f>
      </x:c>
      <x:c r="CE532" s="178" t="str">
        <x:f>IF(COUNT(AA532:AJ532)=0,"",AVERAGE(AA532:AJ532)*4)</x:f>
      </x:c>
      <x:c r="CF532" s="178" t="str">
        <x:f>IF(COUNT(AK532:AR532)=0,"",AVERAGE(AK532:AR532)*4)</x:f>
      </x:c>
      <x:c r="CG532" s="178" t="str">
        <x:f>IF(COUNT(AS532:AY532)=0,"",AVERAGE(AS532:AY532)*4)</x:f>
      </x:c>
      <x:c r="CH532" s="178" t="str">
        <x:f>IF(COUNT(AZ532:BG532)=0,"",AVERAGE(AZ532:BG532)*4)</x:f>
      </x:c>
      <x:c r="CI532" s="178" t="str">
        <x:f>IF(COUNT(BH532:BN532)=0,"",AVERAGE(BH532:BN532)*4)</x:f>
      </x:c>
      <x:c r="CJ532" s="178" t="str">
        <x:f>IF(COUNT(BO532:BU532)=0,"",AVERAGE(BO532:BU532)*4)</x:f>
      </x:c>
      <x:c r="CK532" s="178" t="str">
        <x:f>IF(COUNT(BV532:CB532)=0,"",AVERAGE(BV532:CB532)*4)</x:f>
      </x:c>
      <x:c r="CL532" s="178" t="str">
        <x:f>IF(C532="","",IF(COUNT(G532:CB532)&lt;74,"",(CC532*'تنظیمات وزن‌دهی'!$C$5+CD532*'تنظیمات وزن‌دهی'!$C$6+CE532*'تنظیمات وزن‌دهی'!$C$7+CF532*'تنظیمات وزن‌دهی'!$C$8+CG532*'تنظیمات وزن‌دهی'!$C$9+CH532*'تنظیمات وزن‌دهی'!$C$10+CI532*'تنظیمات وزن‌دهی'!$C$11+CJ532*'تنظیمات وزن‌دهی'!$C$12+CK532*'تنظیمات وزن‌دهی'!$C$13)/100))</x:f>
      </x:c>
      <x:c r="CM532" s="178" t="str">
        <x:f>IF(C532="","",IF(COUNT(G532:CB532)=0,"",IF(COUNT(G532:CB532)&lt;74,"موقت - اطلاعات ناقص",IF(CL532&gt;=17,"عالی",IF(CL532&gt;=14,"خوب",IF(CL532&gt;=10,"متوسط","ضعیف"))))))</x:f>
      </x:c>
      <x:c r="CN532" s="178" t="n">
        <x:v>12</x:v>
      </x:c>
      <x:c r="CO532" s="142" t="n">
        <x:f>IF(C532="","",COUNT(G532:CB532)/74)</x:f>
        <x:v>0</x:v>
      </x:c>
      <x:c r="CP532" s="245"/>
    </x:row>
    <x:row r="533">
      <x:c r="A533" s="165" t="n">
        <x:v>529</x:v>
      </x:c>
      <x:c r="B533" s="233" t="str">
        <x:v>تیر</x:v>
      </x:c>
      <x:c r="C533" s="233" t="n">
        <x:f>IF('دانش‌آموزان'!E49="","",'دانش‌آموزان'!B49)</x:f>
        <x:v>45</x:v>
      </x:c>
      <x:c r="D533" s="233" t="str">
        <x:f>IF('دانش‌آموزان'!C49="","",'دانش‌آموزان'!C49)</x:f>
        <x:v>4000000454</x:v>
      </x:c>
      <x:c r="E533" s="233" t="str">
        <x:f>IF('دانش‌آموزان'!E49="","",'دانش‌آموزان'!E49&amp;" "&amp;'دانش‌آموزان'!F49)</x:f>
        <x:v>محمد قاسمی</x:v>
      </x:c>
      <x:c r="F533" s="166" t="str">
        <x:f>IF('دانش‌آموزان'!I49="","",'دانش‌آموزان'!I49)</x:f>
        <x:v>sample-7-b</x:v>
      </x:c>
      <x:c r="G533" s="114" t="n">
        <x:v>2</x:v>
      </x:c>
      <x:c r="H533" s="115" t="n">
        <x:v>4</x:v>
      </x:c>
      <x:c r="I533" s="115" t="n">
        <x:v>5</x:v>
      </x:c>
      <x:c r="J533" s="115" t="n">
        <x:v>4</x:v>
      </x:c>
      <x:c r="K533" s="115" t="n">
        <x:v>5</x:v>
      </x:c>
      <x:c r="L533" s="115" t="n">
        <x:v>3</x:v>
      </x:c>
      <x:c r="M533" s="115" t="n">
        <x:v>5</x:v>
      </x:c>
      <x:c r="N533" s="115" t="n">
        <x:v>3</x:v>
      </x:c>
      <x:c r="O533" s="115" t="n">
        <x:v>4</x:v>
      </x:c>
      <x:c r="P533" s="115" t="n">
        <x:v>3</x:v>
      </x:c>
      <x:c r="Q533" s="115" t="n">
        <x:v>4</x:v>
      </x:c>
      <x:c r="R533" s="115" t="n">
        <x:v>2</x:v>
      </x:c>
      <x:c r="S533" s="115" t="n">
        <x:v>4</x:v>
      </x:c>
      <x:c r="T533" s="115" t="n">
        <x:v>5</x:v>
      </x:c>
      <x:c r="U533" s="115" t="n">
        <x:v>4</x:v>
      </x:c>
      <x:c r="V533" s="115" t="n">
        <x:v>5</x:v>
      </x:c>
      <x:c r="W533" s="115" t="n">
        <x:v>3</x:v>
      </x:c>
      <x:c r="X533" s="115" t="n">
        <x:v>5</x:v>
      </x:c>
      <x:c r="Y533" s="115" t="n">
        <x:v>3</x:v>
      </x:c>
      <x:c r="Z533" s="115" t="n">
        <x:v>4</x:v>
      </x:c>
      <x:c r="AA533" s="115" t="n">
        <x:v>3</x:v>
      </x:c>
      <x:c r="AB533" s="115" t="n">
        <x:v>4</x:v>
      </x:c>
      <x:c r="AC533" s="115" t="n">
        <x:v>2</x:v>
      </x:c>
      <x:c r="AD533" s="115" t="n">
        <x:v>4</x:v>
      </x:c>
      <x:c r="AE533" s="115" t="n">
        <x:v>5</x:v>
      </x:c>
      <x:c r="AF533" s="115" t="n">
        <x:v>4</x:v>
      </x:c>
      <x:c r="AG533" s="115" t="n">
        <x:v>5</x:v>
      </x:c>
      <x:c r="AH533" s="115" t="n">
        <x:v>3</x:v>
      </x:c>
      <x:c r="AI533" s="115" t="n">
        <x:v>5</x:v>
      </x:c>
      <x:c r="AJ533" s="115" t="n">
        <x:v>3</x:v>
      </x:c>
      <x:c r="AK533" s="115" t="n">
        <x:v>4</x:v>
      </x:c>
      <x:c r="AL533" s="115" t="n">
        <x:v>3</x:v>
      </x:c>
      <x:c r="AM533" s="115" t="n">
        <x:v>4</x:v>
      </x:c>
      <x:c r="AN533" s="115" t="n">
        <x:v>2</x:v>
      </x:c>
      <x:c r="AO533" s="115" t="n">
        <x:v>4</x:v>
      </x:c>
      <x:c r="AP533" s="115" t="n">
        <x:v>5</x:v>
      </x:c>
      <x:c r="AQ533" s="115" t="n">
        <x:v>4</x:v>
      </x:c>
      <x:c r="AR533" s="115" t="n">
        <x:v>5</x:v>
      </x:c>
      <x:c r="AS533" s="115" t="n">
        <x:v>3</x:v>
      </x:c>
      <x:c r="AT533" s="115" t="n">
        <x:v>5</x:v>
      </x:c>
      <x:c r="AU533" s="115" t="n">
        <x:v>3</x:v>
      </x:c>
      <x:c r="AV533" s="115" t="n">
        <x:v>4</x:v>
      </x:c>
      <x:c r="AW533" s="115" t="n">
        <x:v>3</x:v>
      </x:c>
      <x:c r="AX533" s="115" t="n">
        <x:v>4</x:v>
      </x:c>
      <x:c r="AY533" s="115" t="n">
        <x:v>2</x:v>
      </x:c>
      <x:c r="AZ533" s="115" t="n">
        <x:v>4</x:v>
      </x:c>
      <x:c r="BA533" s="115" t="n">
        <x:v>5</x:v>
      </x:c>
      <x:c r="BB533" s="115" t="n">
        <x:v>4</x:v>
      </x:c>
      <x:c r="BC533" s="115" t="n">
        <x:v>5</x:v>
      </x:c>
      <x:c r="BD533" s="115" t="n">
        <x:v>3</x:v>
      </x:c>
      <x:c r="BE533" s="115" t="n">
        <x:v>5</x:v>
      </x:c>
      <x:c r="BF533" s="115" t="n">
        <x:v>3</x:v>
      </x:c>
      <x:c r="BG533" s="115" t="n">
        <x:v>4</x:v>
      </x:c>
      <x:c r="BH533" s="115" t="n">
        <x:v>3</x:v>
      </x:c>
      <x:c r="BI533" s="115" t="n">
        <x:v>4</x:v>
      </x:c>
      <x:c r="BJ533" s="115" t="n">
        <x:v>2</x:v>
      </x:c>
      <x:c r="BK533" s="115" t="n">
        <x:v>4</x:v>
      </x:c>
      <x:c r="BL533" s="115" t="n">
        <x:v>5</x:v>
      </x:c>
      <x:c r="BM533" s="115" t="n">
        <x:v>4</x:v>
      </x:c>
      <x:c r="BN533" s="115" t="n">
        <x:v>5</x:v>
      </x:c>
      <x:c r="BO533" s="115" t="n">
        <x:v>3</x:v>
      </x:c>
      <x:c r="BP533" s="115" t="n">
        <x:v>5</x:v>
      </x:c>
      <x:c r="BQ533" s="115" t="n">
        <x:v>3</x:v>
      </x:c>
      <x:c r="BR533" s="115" t="n">
        <x:v>4</x:v>
      </x:c>
      <x:c r="BS533" s="115" t="n">
        <x:v>3</x:v>
      </x:c>
      <x:c r="BT533" s="115" t="n">
        <x:v>4</x:v>
      </x:c>
      <x:c r="BU533" s="115" t="n">
        <x:v>2</x:v>
      </x:c>
      <x:c r="BV533" s="115" t="n">
        <x:v>4</x:v>
      </x:c>
      <x:c r="BW533" s="115" t="n">
        <x:v>5</x:v>
      </x:c>
      <x:c r="BX533" s="115" t="n">
        <x:v>4</x:v>
      </x:c>
      <x:c r="BY533" s="115" t="n">
        <x:v>5</x:v>
      </x:c>
      <x:c r="BZ533" s="115" t="n">
        <x:v>3</x:v>
      </x:c>
      <x:c r="CA533" s="115" t="n">
        <x:v>5</x:v>
      </x:c>
      <x:c r="CB533" s="116" t="n">
        <x:v>3</x:v>
      </x:c>
      <x:c r="CC533" s="141" t="n">
        <x:f>IF(COUNT(G533:P533)=0,"",AVERAGE(G533:P533)*4)</x:f>
        <x:v>15.2</x:v>
      </x:c>
      <x:c r="CD533" s="178" t="n">
        <x:f>IF(COUNT(Q533:Z533)=0,"",AVERAGE(Q533:Z533)*4)</x:f>
        <x:v>15.6</x:v>
      </x:c>
      <x:c r="CE533" s="178" t="n">
        <x:f>IF(COUNT(AA533:AJ533)=0,"",AVERAGE(AA533:AJ533)*4)</x:f>
        <x:v>15.2</x:v>
      </x:c>
      <x:c r="CF533" s="178" t="n">
        <x:f>IF(COUNT(AK533:AR533)=0,"",AVERAGE(AK533:AR533)*4)</x:f>
        <x:v>15.5</x:v>
      </x:c>
      <x:c r="CG533" s="178" t="n">
        <x:f>IF(COUNT(AS533:AY533)=0,"",AVERAGE(AS533:AY533)*4)</x:f>
        <x:v>13.714285714285714</x:v>
      </x:c>
      <x:c r="CH533" s="178" t="n">
        <x:f>IF(COUNT(AZ533:BG533)=0,"",AVERAGE(AZ533:BG533)*4)</x:f>
        <x:v>16.5</x:v>
      </x:c>
      <x:c r="CI533" s="178" t="n">
        <x:f>IF(COUNT(BH533:BN533)=0,"",AVERAGE(BH533:BN533)*4)</x:f>
        <x:v>15.428571428571429</x:v>
      </x:c>
      <x:c r="CJ533" s="178" t="n">
        <x:f>IF(COUNT(BO533:BU533)=0,"",AVERAGE(BO533:BU533)*4)</x:f>
        <x:v>13.714285714285714</x:v>
      </x:c>
      <x:c r="CK533" s="178" t="n">
        <x:f>IF(COUNT(BV533:CB533)=0,"",AVERAGE(BV533:CB533)*4)</x:f>
        <x:v>16.571428571428573</x:v>
      </x:c>
      <x:c r="CL533" s="178" t="n">
        <x:f>IF(C533="","",IF(COUNT(G533:CB533)&lt;74,"",(CC533*'تنظیمات وزن‌دهی'!$C$5+CD533*'تنظیمات وزن‌دهی'!$C$6+CE533*'تنظیمات وزن‌دهی'!$C$7+CF533*'تنظیمات وزن‌دهی'!$C$8+CG533*'تنظیمات وزن‌دهی'!$C$9+CH533*'تنظیمات وزن‌دهی'!$C$10+CI533*'تنظیمات وزن‌دهی'!$C$11+CJ533*'تنظیمات وزن‌دهی'!$C$12+CK533*'تنظیمات وزن‌دهی'!$C$13)/100))</x:f>
        <x:v>15.327857142857143</x:v>
      </x:c>
      <x:c r="CM533" s="178" t="str">
        <x:f>IF(C533="","",IF(COUNT(G533:CB533)=0,"",IF(COUNT(G533:CB533)&lt;74,"موقت - اطلاعات ناقص",IF(CL533&gt;=17,"عالی",IF(CL533&gt;=14,"خوب",IF(CL533&gt;=10,"متوسط","ضعیف"))))))</x:f>
        <x:v>خوب</x:v>
      </x:c>
      <x:c r="CN533" s="178" t="n">
        <x:v>1</x:v>
      </x:c>
      <x:c r="CO533" s="142" t="n">
        <x:f>IF(C533="","",COUNT(G533:CB533)/74)</x:f>
        <x:v>1</x:v>
      </x:c>
      <x:c r="CP533" s="245" t="str">
        <x:v>داده نمونه کامل برای ماه تیر - دانش‌آموز شماره 45</x:v>
      </x:c>
    </x:row>
    <x:row r="534">
      <x:c r="A534" s="165" t="n">
        <x:v>530</x:v>
      </x:c>
      <x:c r="B534" s="233" t="str">
        <x:v>مرداد</x:v>
      </x:c>
      <x:c r="C534" s="233" t="n">
        <x:f>IF('دانش‌آموزان'!E49="","",'دانش‌آموزان'!B49)</x:f>
        <x:v>45</x:v>
      </x:c>
      <x:c r="D534" s="233" t="str">
        <x:f>IF('دانش‌آموزان'!C49="","",'دانش‌آموزان'!C49)</x:f>
        <x:v>4000000454</x:v>
      </x:c>
      <x:c r="E534" s="233" t="str">
        <x:f>IF('دانش‌آموزان'!E49="","",'دانش‌آموزان'!E49&amp;" "&amp;'دانش‌آموزان'!F49)</x:f>
        <x:v>محمد قاسمی</x:v>
      </x:c>
      <x:c r="F534" s="166" t="str">
        <x:f>IF('دانش‌آموزان'!I49="","",'دانش‌آموزان'!I49)</x:f>
        <x:v>sample-7-b</x:v>
      </x:c>
      <x:c r="G534" s="114"/>
      <x:c r="H534" s="115"/>
      <x:c r="I534" s="115"/>
      <x:c r="J534" s="115"/>
      <x:c r="K534" s="115"/>
      <x:c r="L534" s="115"/>
      <x:c r="M534" s="115"/>
      <x:c r="N534" s="115"/>
      <x:c r="O534" s="115"/>
      <x:c r="P534" s="115"/>
      <x:c r="Q534" s="115"/>
      <x:c r="R534" s="115"/>
      <x:c r="S534" s="115"/>
      <x:c r="T534" s="115"/>
      <x:c r="U534" s="115"/>
      <x:c r="V534" s="115"/>
      <x:c r="W534" s="115"/>
      <x:c r="X534" s="115"/>
      <x:c r="Y534" s="115"/>
      <x:c r="Z534" s="115"/>
      <x:c r="AA534" s="115"/>
      <x:c r="AB534" s="115"/>
      <x:c r="AC534" s="115"/>
      <x:c r="AD534" s="115"/>
      <x:c r="AE534" s="115"/>
      <x:c r="AF534" s="115"/>
      <x:c r="AG534" s="115"/>
      <x:c r="AH534" s="115"/>
      <x:c r="AI534" s="115"/>
      <x:c r="AJ534" s="115"/>
      <x:c r="AK534" s="115"/>
      <x:c r="AL534" s="115"/>
      <x:c r="AM534" s="115"/>
      <x:c r="AN534" s="115"/>
      <x:c r="AO534" s="115"/>
      <x:c r="AP534" s="115"/>
      <x:c r="AQ534" s="115"/>
      <x:c r="AR534" s="115"/>
      <x:c r="AS534" s="115"/>
      <x:c r="AT534" s="115"/>
      <x:c r="AU534" s="115"/>
      <x:c r="AV534" s="115"/>
      <x:c r="AW534" s="115"/>
      <x:c r="AX534" s="115"/>
      <x:c r="AY534" s="115"/>
      <x:c r="AZ534" s="115"/>
      <x:c r="BA534" s="115"/>
      <x:c r="BB534" s="115"/>
      <x:c r="BC534" s="115"/>
      <x:c r="BD534" s="115"/>
      <x:c r="BE534" s="115"/>
      <x:c r="BF534" s="115"/>
      <x:c r="BG534" s="115"/>
      <x:c r="BH534" s="115"/>
      <x:c r="BI534" s="115"/>
      <x:c r="BJ534" s="115"/>
      <x:c r="BK534" s="115"/>
      <x:c r="BL534" s="115"/>
      <x:c r="BM534" s="115"/>
      <x:c r="BN534" s="115"/>
      <x:c r="BO534" s="115"/>
      <x:c r="BP534" s="115"/>
      <x:c r="BQ534" s="115"/>
      <x:c r="BR534" s="115"/>
      <x:c r="BS534" s="115"/>
      <x:c r="BT534" s="115"/>
      <x:c r="BU534" s="115"/>
      <x:c r="BV534" s="115"/>
      <x:c r="BW534" s="115"/>
      <x:c r="BX534" s="115"/>
      <x:c r="BY534" s="115"/>
      <x:c r="BZ534" s="115"/>
      <x:c r="CA534" s="115"/>
      <x:c r="CB534" s="116"/>
      <x:c r="CC534" s="141" t="str">
        <x:f>IF(COUNT(G534:P534)=0,"",AVERAGE(G534:P534)*4)</x:f>
      </x:c>
      <x:c r="CD534" s="178" t="str">
        <x:f>IF(COUNT(Q534:Z534)=0,"",AVERAGE(Q534:Z534)*4)</x:f>
      </x:c>
      <x:c r="CE534" s="178" t="str">
        <x:f>IF(COUNT(AA534:AJ534)=0,"",AVERAGE(AA534:AJ534)*4)</x:f>
      </x:c>
      <x:c r="CF534" s="178" t="str">
        <x:f>IF(COUNT(AK534:AR534)=0,"",AVERAGE(AK534:AR534)*4)</x:f>
      </x:c>
      <x:c r="CG534" s="178" t="str">
        <x:f>IF(COUNT(AS534:AY534)=0,"",AVERAGE(AS534:AY534)*4)</x:f>
      </x:c>
      <x:c r="CH534" s="178" t="str">
        <x:f>IF(COUNT(AZ534:BG534)=0,"",AVERAGE(AZ534:BG534)*4)</x:f>
      </x:c>
      <x:c r="CI534" s="178" t="str">
        <x:f>IF(COUNT(BH534:BN534)=0,"",AVERAGE(BH534:BN534)*4)</x:f>
      </x:c>
      <x:c r="CJ534" s="178" t="str">
        <x:f>IF(COUNT(BO534:BU534)=0,"",AVERAGE(BO534:BU534)*4)</x:f>
      </x:c>
      <x:c r="CK534" s="178" t="str">
        <x:f>IF(COUNT(BV534:CB534)=0,"",AVERAGE(BV534:CB534)*4)</x:f>
      </x:c>
      <x:c r="CL534" s="178" t="str">
        <x:f>IF(C534="","",IF(COUNT(G534:CB534)&lt;74,"",(CC534*'تنظیمات وزن‌دهی'!$C$5+CD534*'تنظیمات وزن‌دهی'!$C$6+CE534*'تنظیمات وزن‌دهی'!$C$7+CF534*'تنظیمات وزن‌دهی'!$C$8+CG534*'تنظیمات وزن‌دهی'!$C$9+CH534*'تنظیمات وزن‌دهی'!$C$10+CI534*'تنظیمات وزن‌دهی'!$C$11+CJ534*'تنظیمات وزن‌دهی'!$C$12+CK534*'تنظیمات وزن‌دهی'!$C$13)/100))</x:f>
      </x:c>
      <x:c r="CM534" s="178" t="str">
        <x:f>IF(C534="","",IF(COUNT(G534:CB534)=0,"",IF(COUNT(G534:CB534)&lt;74,"موقت - اطلاعات ناقص",IF(CL534&gt;=17,"عالی",IF(CL534&gt;=14,"خوب",IF(CL534&gt;=10,"متوسط","ضعیف"))))))</x:f>
      </x:c>
      <x:c r="CN534" s="178" t="n">
        <x:v>2</x:v>
      </x:c>
      <x:c r="CO534" s="142" t="n">
        <x:f>IF(C534="","",COUNT(G534:CB534)/74)</x:f>
        <x:v>0</x:v>
      </x:c>
      <x:c r="CP534" s="245"/>
    </x:row>
    <x:row r="535">
      <x:c r="A535" s="165" t="n">
        <x:v>531</x:v>
      </x:c>
      <x:c r="B535" s="233" t="str">
        <x:v>شهریور</x:v>
      </x:c>
      <x:c r="C535" s="233" t="n">
        <x:f>IF('دانش‌آموزان'!E49="","",'دانش‌آموزان'!B49)</x:f>
        <x:v>45</x:v>
      </x:c>
      <x:c r="D535" s="233" t="str">
        <x:f>IF('دانش‌آموزان'!C49="","",'دانش‌آموزان'!C49)</x:f>
        <x:v>4000000454</x:v>
      </x:c>
      <x:c r="E535" s="233" t="str">
        <x:f>IF('دانش‌آموزان'!E49="","",'دانش‌آموزان'!E49&amp;" "&amp;'دانش‌آموزان'!F49)</x:f>
        <x:v>محمد قاسمی</x:v>
      </x:c>
      <x:c r="F535" s="166" t="str">
        <x:f>IF('دانش‌آموزان'!I49="","",'دانش‌آموزان'!I49)</x:f>
        <x:v>sample-7-b</x:v>
      </x:c>
      <x:c r="G535" s="114"/>
      <x:c r="H535" s="115"/>
      <x:c r="I535" s="115"/>
      <x:c r="J535" s="115"/>
      <x:c r="K535" s="115"/>
      <x:c r="L535" s="115"/>
      <x:c r="M535" s="115"/>
      <x:c r="N535" s="115"/>
      <x:c r="O535" s="115"/>
      <x:c r="P535" s="115"/>
      <x:c r="Q535" s="115"/>
      <x:c r="R535" s="115"/>
      <x:c r="S535" s="115"/>
      <x:c r="T535" s="115"/>
      <x:c r="U535" s="115"/>
      <x:c r="V535" s="115"/>
      <x:c r="W535" s="115"/>
      <x:c r="X535" s="115"/>
      <x:c r="Y535" s="115"/>
      <x:c r="Z535" s="115"/>
      <x:c r="AA535" s="115"/>
      <x:c r="AB535" s="115"/>
      <x:c r="AC535" s="115"/>
      <x:c r="AD535" s="115"/>
      <x:c r="AE535" s="115"/>
      <x:c r="AF535" s="115"/>
      <x:c r="AG535" s="115"/>
      <x:c r="AH535" s="115"/>
      <x:c r="AI535" s="115"/>
      <x:c r="AJ535" s="115"/>
      <x:c r="AK535" s="115"/>
      <x:c r="AL535" s="115"/>
      <x:c r="AM535" s="115"/>
      <x:c r="AN535" s="115"/>
      <x:c r="AO535" s="115"/>
      <x:c r="AP535" s="115"/>
      <x:c r="AQ535" s="115"/>
      <x:c r="AR535" s="115"/>
      <x:c r="AS535" s="115"/>
      <x:c r="AT535" s="115"/>
      <x:c r="AU535" s="115"/>
      <x:c r="AV535" s="115"/>
      <x:c r="AW535" s="115"/>
      <x:c r="AX535" s="115"/>
      <x:c r="AY535" s="115"/>
      <x:c r="AZ535" s="115"/>
      <x:c r="BA535" s="115"/>
      <x:c r="BB535" s="115"/>
      <x:c r="BC535" s="115"/>
      <x:c r="BD535" s="115"/>
      <x:c r="BE535" s="115"/>
      <x:c r="BF535" s="115"/>
      <x:c r="BG535" s="115"/>
      <x:c r="BH535" s="115"/>
      <x:c r="BI535" s="115"/>
      <x:c r="BJ535" s="115"/>
      <x:c r="BK535" s="115"/>
      <x:c r="BL535" s="115"/>
      <x:c r="BM535" s="115"/>
      <x:c r="BN535" s="115"/>
      <x:c r="BO535" s="115"/>
      <x:c r="BP535" s="115"/>
      <x:c r="BQ535" s="115"/>
      <x:c r="BR535" s="115"/>
      <x:c r="BS535" s="115"/>
      <x:c r="BT535" s="115"/>
      <x:c r="BU535" s="115"/>
      <x:c r="BV535" s="115"/>
      <x:c r="BW535" s="115"/>
      <x:c r="BX535" s="115"/>
      <x:c r="BY535" s="115"/>
      <x:c r="BZ535" s="115"/>
      <x:c r="CA535" s="115"/>
      <x:c r="CB535" s="116"/>
      <x:c r="CC535" s="141" t="str">
        <x:f>IF(COUNT(G535:P535)=0,"",AVERAGE(G535:P535)*4)</x:f>
      </x:c>
      <x:c r="CD535" s="178" t="str">
        <x:f>IF(COUNT(Q535:Z535)=0,"",AVERAGE(Q535:Z535)*4)</x:f>
      </x:c>
      <x:c r="CE535" s="178" t="str">
        <x:f>IF(COUNT(AA535:AJ535)=0,"",AVERAGE(AA535:AJ535)*4)</x:f>
      </x:c>
      <x:c r="CF535" s="178" t="str">
        <x:f>IF(COUNT(AK535:AR535)=0,"",AVERAGE(AK535:AR535)*4)</x:f>
      </x:c>
      <x:c r="CG535" s="178" t="str">
        <x:f>IF(COUNT(AS535:AY535)=0,"",AVERAGE(AS535:AY535)*4)</x:f>
      </x:c>
      <x:c r="CH535" s="178" t="str">
        <x:f>IF(COUNT(AZ535:BG535)=0,"",AVERAGE(AZ535:BG535)*4)</x:f>
      </x:c>
      <x:c r="CI535" s="178" t="str">
        <x:f>IF(COUNT(BH535:BN535)=0,"",AVERAGE(BH535:BN535)*4)</x:f>
      </x:c>
      <x:c r="CJ535" s="178" t="str">
        <x:f>IF(COUNT(BO535:BU535)=0,"",AVERAGE(BO535:BU535)*4)</x:f>
      </x:c>
      <x:c r="CK535" s="178" t="str">
        <x:f>IF(COUNT(BV535:CB535)=0,"",AVERAGE(BV535:CB535)*4)</x:f>
      </x:c>
      <x:c r="CL535" s="178" t="str">
        <x:f>IF(C535="","",IF(COUNT(G535:CB535)&lt;74,"",(CC535*'تنظیمات وزن‌دهی'!$C$5+CD535*'تنظیمات وزن‌دهی'!$C$6+CE535*'تنظیمات وزن‌دهی'!$C$7+CF535*'تنظیمات وزن‌دهی'!$C$8+CG535*'تنظیمات وزن‌دهی'!$C$9+CH535*'تنظیمات وزن‌دهی'!$C$10+CI535*'تنظیمات وزن‌دهی'!$C$11+CJ535*'تنظیمات وزن‌دهی'!$C$12+CK535*'تنظیمات وزن‌دهی'!$C$13)/100))</x:f>
      </x:c>
      <x:c r="CM535" s="178" t="str">
        <x:f>IF(C535="","",IF(COUNT(G535:CB535)=0,"",IF(COUNT(G535:CB535)&lt;74,"موقت - اطلاعات ناقص",IF(CL535&gt;=17,"عالی",IF(CL535&gt;=14,"خوب",IF(CL535&gt;=10,"متوسط","ضعیف"))))))</x:f>
      </x:c>
      <x:c r="CN535" s="178" t="n">
        <x:v>3</x:v>
      </x:c>
      <x:c r="CO535" s="142" t="n">
        <x:f>IF(C535="","",COUNT(G535:CB535)/74)</x:f>
        <x:v>0</x:v>
      </x:c>
      <x:c r="CP535" s="245"/>
    </x:row>
    <x:row r="536">
      <x:c r="A536" s="165" t="n">
        <x:v>532</x:v>
      </x:c>
      <x:c r="B536" s="233" t="str">
        <x:v>مهر</x:v>
      </x:c>
      <x:c r="C536" s="233" t="n">
        <x:f>IF('دانش‌آموزان'!E49="","",'دانش‌آموزان'!B49)</x:f>
        <x:v>45</x:v>
      </x:c>
      <x:c r="D536" s="233" t="str">
        <x:f>IF('دانش‌آموزان'!C49="","",'دانش‌آموزان'!C49)</x:f>
        <x:v>4000000454</x:v>
      </x:c>
      <x:c r="E536" s="233" t="str">
        <x:f>IF('دانش‌آموزان'!E49="","",'دانش‌آموزان'!E49&amp;" "&amp;'دانش‌آموزان'!F49)</x:f>
        <x:v>محمد قاسمی</x:v>
      </x:c>
      <x:c r="F536" s="166" t="str">
        <x:f>IF('دانش‌آموزان'!I49="","",'دانش‌آموزان'!I49)</x:f>
        <x:v>sample-7-b</x:v>
      </x:c>
      <x:c r="G536" s="114"/>
      <x:c r="H536" s="115"/>
      <x:c r="I536" s="115"/>
      <x:c r="J536" s="115"/>
      <x:c r="K536" s="115"/>
      <x:c r="L536" s="115"/>
      <x:c r="M536" s="115"/>
      <x:c r="N536" s="115"/>
      <x:c r="O536" s="115"/>
      <x:c r="P536" s="115"/>
      <x:c r="Q536" s="115"/>
      <x:c r="R536" s="115"/>
      <x:c r="S536" s="115"/>
      <x:c r="T536" s="115"/>
      <x:c r="U536" s="115"/>
      <x:c r="V536" s="115"/>
      <x:c r="W536" s="115"/>
      <x:c r="X536" s="115"/>
      <x:c r="Y536" s="115"/>
      <x:c r="Z536" s="115"/>
      <x:c r="AA536" s="115"/>
      <x:c r="AB536" s="115"/>
      <x:c r="AC536" s="115"/>
      <x:c r="AD536" s="115"/>
      <x:c r="AE536" s="115"/>
      <x:c r="AF536" s="115"/>
      <x:c r="AG536" s="115"/>
      <x:c r="AH536" s="115"/>
      <x:c r="AI536" s="115"/>
      <x:c r="AJ536" s="115"/>
      <x:c r="AK536" s="115"/>
      <x:c r="AL536" s="115"/>
      <x:c r="AM536" s="115"/>
      <x:c r="AN536" s="115"/>
      <x:c r="AO536" s="115"/>
      <x:c r="AP536" s="115"/>
      <x:c r="AQ536" s="115"/>
      <x:c r="AR536" s="115"/>
      <x:c r="AS536" s="115"/>
      <x:c r="AT536" s="115"/>
      <x:c r="AU536" s="115"/>
      <x:c r="AV536" s="115"/>
      <x:c r="AW536" s="115"/>
      <x:c r="AX536" s="115"/>
      <x:c r="AY536" s="115"/>
      <x:c r="AZ536" s="115"/>
      <x:c r="BA536" s="115"/>
      <x:c r="BB536" s="115"/>
      <x:c r="BC536" s="115"/>
      <x:c r="BD536" s="115"/>
      <x:c r="BE536" s="115"/>
      <x:c r="BF536" s="115"/>
      <x:c r="BG536" s="115"/>
      <x:c r="BH536" s="115"/>
      <x:c r="BI536" s="115"/>
      <x:c r="BJ536" s="115"/>
      <x:c r="BK536" s="115"/>
      <x:c r="BL536" s="115"/>
      <x:c r="BM536" s="115"/>
      <x:c r="BN536" s="115"/>
      <x:c r="BO536" s="115"/>
      <x:c r="BP536" s="115"/>
      <x:c r="BQ536" s="115"/>
      <x:c r="BR536" s="115"/>
      <x:c r="BS536" s="115"/>
      <x:c r="BT536" s="115"/>
      <x:c r="BU536" s="115"/>
      <x:c r="BV536" s="115"/>
      <x:c r="BW536" s="115"/>
      <x:c r="BX536" s="115"/>
      <x:c r="BY536" s="115"/>
      <x:c r="BZ536" s="115"/>
      <x:c r="CA536" s="115"/>
      <x:c r="CB536" s="116"/>
      <x:c r="CC536" s="141" t="str">
        <x:f>IF(COUNT(G536:P536)=0,"",AVERAGE(G536:P536)*4)</x:f>
      </x:c>
      <x:c r="CD536" s="178" t="str">
        <x:f>IF(COUNT(Q536:Z536)=0,"",AVERAGE(Q536:Z536)*4)</x:f>
      </x:c>
      <x:c r="CE536" s="178" t="str">
        <x:f>IF(COUNT(AA536:AJ536)=0,"",AVERAGE(AA536:AJ536)*4)</x:f>
      </x:c>
      <x:c r="CF536" s="178" t="str">
        <x:f>IF(COUNT(AK536:AR536)=0,"",AVERAGE(AK536:AR536)*4)</x:f>
      </x:c>
      <x:c r="CG536" s="178" t="str">
        <x:f>IF(COUNT(AS536:AY536)=0,"",AVERAGE(AS536:AY536)*4)</x:f>
      </x:c>
      <x:c r="CH536" s="178" t="str">
        <x:f>IF(COUNT(AZ536:BG536)=0,"",AVERAGE(AZ536:BG536)*4)</x:f>
      </x:c>
      <x:c r="CI536" s="178" t="str">
        <x:f>IF(COUNT(BH536:BN536)=0,"",AVERAGE(BH536:BN536)*4)</x:f>
      </x:c>
      <x:c r="CJ536" s="178" t="str">
        <x:f>IF(COUNT(BO536:BU536)=0,"",AVERAGE(BO536:BU536)*4)</x:f>
      </x:c>
      <x:c r="CK536" s="178" t="str">
        <x:f>IF(COUNT(BV536:CB536)=0,"",AVERAGE(BV536:CB536)*4)</x:f>
      </x:c>
      <x:c r="CL536" s="178" t="str">
        <x:f>IF(C536="","",IF(COUNT(G536:CB536)&lt;74,"",(CC536*'تنظیمات وزن‌دهی'!$C$5+CD536*'تنظیمات وزن‌دهی'!$C$6+CE536*'تنظیمات وزن‌دهی'!$C$7+CF536*'تنظیمات وزن‌دهی'!$C$8+CG536*'تنظیمات وزن‌دهی'!$C$9+CH536*'تنظیمات وزن‌دهی'!$C$10+CI536*'تنظیمات وزن‌دهی'!$C$11+CJ536*'تنظیمات وزن‌دهی'!$C$12+CK536*'تنظیمات وزن‌دهی'!$C$13)/100))</x:f>
      </x:c>
      <x:c r="CM536" s="178" t="str">
        <x:f>IF(C536="","",IF(COUNT(G536:CB536)=0,"",IF(COUNT(G536:CB536)&lt;74,"موقت - اطلاعات ناقص",IF(CL536&gt;=17,"عالی",IF(CL536&gt;=14,"خوب",IF(CL536&gt;=10,"متوسط","ضعیف"))))))</x:f>
      </x:c>
      <x:c r="CN536" s="178" t="n">
        <x:v>4</x:v>
      </x:c>
      <x:c r="CO536" s="142" t="n">
        <x:f>IF(C536="","",COUNT(G536:CB536)/74)</x:f>
        <x:v>0</x:v>
      </x:c>
      <x:c r="CP536" s="245"/>
    </x:row>
    <x:row r="537">
      <x:c r="A537" s="165" t="n">
        <x:v>533</x:v>
      </x:c>
      <x:c r="B537" s="233" t="str">
        <x:v>آبان</x:v>
      </x:c>
      <x:c r="C537" s="233" t="n">
        <x:f>IF('دانش‌آموزان'!E49="","",'دانش‌آموزان'!B49)</x:f>
        <x:v>45</x:v>
      </x:c>
      <x:c r="D537" s="233" t="str">
        <x:f>IF('دانش‌آموزان'!C49="","",'دانش‌آموزان'!C49)</x:f>
        <x:v>4000000454</x:v>
      </x:c>
      <x:c r="E537" s="233" t="str">
        <x:f>IF('دانش‌آموزان'!E49="","",'دانش‌آموزان'!E49&amp;" "&amp;'دانش‌آموزان'!F49)</x:f>
        <x:v>محمد قاسمی</x:v>
      </x:c>
      <x:c r="F537" s="166" t="str">
        <x:f>IF('دانش‌آموزان'!I49="","",'دانش‌آموزان'!I49)</x:f>
        <x:v>sample-7-b</x:v>
      </x:c>
      <x:c r="G537" s="114"/>
      <x:c r="H537" s="115"/>
      <x:c r="I537" s="115"/>
      <x:c r="J537" s="115"/>
      <x:c r="K537" s="115"/>
      <x:c r="L537" s="115"/>
      <x:c r="M537" s="115"/>
      <x:c r="N537" s="115"/>
      <x:c r="O537" s="115"/>
      <x:c r="P537" s="115"/>
      <x:c r="Q537" s="115"/>
      <x:c r="R537" s="115"/>
      <x:c r="S537" s="115"/>
      <x:c r="T537" s="115"/>
      <x:c r="U537" s="115"/>
      <x:c r="V537" s="115"/>
      <x:c r="W537" s="115"/>
      <x:c r="X537" s="115"/>
      <x:c r="Y537" s="115"/>
      <x:c r="Z537" s="115"/>
      <x:c r="AA537" s="115"/>
      <x:c r="AB537" s="115"/>
      <x:c r="AC537" s="115"/>
      <x:c r="AD537" s="115"/>
      <x:c r="AE537" s="115"/>
      <x:c r="AF537" s="115"/>
      <x:c r="AG537" s="115"/>
      <x:c r="AH537" s="115"/>
      <x:c r="AI537" s="115"/>
      <x:c r="AJ537" s="115"/>
      <x:c r="AK537" s="115"/>
      <x:c r="AL537" s="115"/>
      <x:c r="AM537" s="115"/>
      <x:c r="AN537" s="115"/>
      <x:c r="AO537" s="115"/>
      <x:c r="AP537" s="115"/>
      <x:c r="AQ537" s="115"/>
      <x:c r="AR537" s="115"/>
      <x:c r="AS537" s="115"/>
      <x:c r="AT537" s="115"/>
      <x:c r="AU537" s="115"/>
      <x:c r="AV537" s="115"/>
      <x:c r="AW537" s="115"/>
      <x:c r="AX537" s="115"/>
      <x:c r="AY537" s="115"/>
      <x:c r="AZ537" s="115"/>
      <x:c r="BA537" s="115"/>
      <x:c r="BB537" s="115"/>
      <x:c r="BC537" s="115"/>
      <x:c r="BD537" s="115"/>
      <x:c r="BE537" s="115"/>
      <x:c r="BF537" s="115"/>
      <x:c r="BG537" s="115"/>
      <x:c r="BH537" s="115"/>
      <x:c r="BI537" s="115"/>
      <x:c r="BJ537" s="115"/>
      <x:c r="BK537" s="115"/>
      <x:c r="BL537" s="115"/>
      <x:c r="BM537" s="115"/>
      <x:c r="BN537" s="115"/>
      <x:c r="BO537" s="115"/>
      <x:c r="BP537" s="115"/>
      <x:c r="BQ537" s="115"/>
      <x:c r="BR537" s="115"/>
      <x:c r="BS537" s="115"/>
      <x:c r="BT537" s="115"/>
      <x:c r="BU537" s="115"/>
      <x:c r="BV537" s="115"/>
      <x:c r="BW537" s="115"/>
      <x:c r="BX537" s="115"/>
      <x:c r="BY537" s="115"/>
      <x:c r="BZ537" s="115"/>
      <x:c r="CA537" s="115"/>
      <x:c r="CB537" s="116"/>
      <x:c r="CC537" s="141" t="str">
        <x:f>IF(COUNT(G537:P537)=0,"",AVERAGE(G537:P537)*4)</x:f>
      </x:c>
      <x:c r="CD537" s="178" t="str">
        <x:f>IF(COUNT(Q537:Z537)=0,"",AVERAGE(Q537:Z537)*4)</x:f>
      </x:c>
      <x:c r="CE537" s="178" t="str">
        <x:f>IF(COUNT(AA537:AJ537)=0,"",AVERAGE(AA537:AJ537)*4)</x:f>
      </x:c>
      <x:c r="CF537" s="178" t="str">
        <x:f>IF(COUNT(AK537:AR537)=0,"",AVERAGE(AK537:AR537)*4)</x:f>
      </x:c>
      <x:c r="CG537" s="178" t="str">
        <x:f>IF(COUNT(AS537:AY537)=0,"",AVERAGE(AS537:AY537)*4)</x:f>
      </x:c>
      <x:c r="CH537" s="178" t="str">
        <x:f>IF(COUNT(AZ537:BG537)=0,"",AVERAGE(AZ537:BG537)*4)</x:f>
      </x:c>
      <x:c r="CI537" s="178" t="str">
        <x:f>IF(COUNT(BH537:BN537)=0,"",AVERAGE(BH537:BN537)*4)</x:f>
      </x:c>
      <x:c r="CJ537" s="178" t="str">
        <x:f>IF(COUNT(BO537:BU537)=0,"",AVERAGE(BO537:BU537)*4)</x:f>
      </x:c>
      <x:c r="CK537" s="178" t="str">
        <x:f>IF(COUNT(BV537:CB537)=0,"",AVERAGE(BV537:CB537)*4)</x:f>
      </x:c>
      <x:c r="CL537" s="178" t="str">
        <x:f>IF(C537="","",IF(COUNT(G537:CB537)&lt;74,"",(CC537*'تنظیمات وزن‌دهی'!$C$5+CD537*'تنظیمات وزن‌دهی'!$C$6+CE537*'تنظیمات وزن‌دهی'!$C$7+CF537*'تنظیمات وزن‌دهی'!$C$8+CG537*'تنظیمات وزن‌دهی'!$C$9+CH537*'تنظیمات وزن‌دهی'!$C$10+CI537*'تنظیمات وزن‌دهی'!$C$11+CJ537*'تنظیمات وزن‌دهی'!$C$12+CK537*'تنظیمات وزن‌دهی'!$C$13)/100))</x:f>
      </x:c>
      <x:c r="CM537" s="178" t="str">
        <x:f>IF(C537="","",IF(COUNT(G537:CB537)=0,"",IF(COUNT(G537:CB537)&lt;74,"موقت - اطلاعات ناقص",IF(CL537&gt;=17,"عالی",IF(CL537&gt;=14,"خوب",IF(CL537&gt;=10,"متوسط","ضعیف"))))))</x:f>
      </x:c>
      <x:c r="CN537" s="178" t="n">
        <x:v>5</x:v>
      </x:c>
      <x:c r="CO537" s="142" t="n">
        <x:f>IF(C537="","",COUNT(G537:CB537)/74)</x:f>
        <x:v>0</x:v>
      </x:c>
      <x:c r="CP537" s="245"/>
    </x:row>
    <x:row r="538">
      <x:c r="A538" s="165" t="n">
        <x:v>534</x:v>
      </x:c>
      <x:c r="B538" s="233" t="str">
        <x:v>آذر</x:v>
      </x:c>
      <x:c r="C538" s="233" t="n">
        <x:f>IF('دانش‌آموزان'!E49="","",'دانش‌آموزان'!B49)</x:f>
        <x:v>45</x:v>
      </x:c>
      <x:c r="D538" s="233" t="str">
        <x:f>IF('دانش‌آموزان'!C49="","",'دانش‌آموزان'!C49)</x:f>
        <x:v>4000000454</x:v>
      </x:c>
      <x:c r="E538" s="233" t="str">
        <x:f>IF('دانش‌آموزان'!E49="","",'دانش‌آموزان'!E49&amp;" "&amp;'دانش‌آموزان'!F49)</x:f>
        <x:v>محمد قاسمی</x:v>
      </x:c>
      <x:c r="F538" s="166" t="str">
        <x:f>IF('دانش‌آموزان'!I49="","",'دانش‌آموزان'!I49)</x:f>
        <x:v>sample-7-b</x:v>
      </x:c>
      <x:c r="G538" s="114"/>
      <x:c r="H538" s="115"/>
      <x:c r="I538" s="115"/>
      <x:c r="J538" s="115"/>
      <x:c r="K538" s="115"/>
      <x:c r="L538" s="115"/>
      <x:c r="M538" s="115"/>
      <x:c r="N538" s="115"/>
      <x:c r="O538" s="115"/>
      <x:c r="P538" s="115"/>
      <x:c r="Q538" s="115"/>
      <x:c r="R538" s="115"/>
      <x:c r="S538" s="115"/>
      <x:c r="T538" s="115"/>
      <x:c r="U538" s="115"/>
      <x:c r="V538" s="115"/>
      <x:c r="W538" s="115"/>
      <x:c r="X538" s="115"/>
      <x:c r="Y538" s="115"/>
      <x:c r="Z538" s="115"/>
      <x:c r="AA538" s="115"/>
      <x:c r="AB538" s="115"/>
      <x:c r="AC538" s="115"/>
      <x:c r="AD538" s="115"/>
      <x:c r="AE538" s="115"/>
      <x:c r="AF538" s="115"/>
      <x:c r="AG538" s="115"/>
      <x:c r="AH538" s="115"/>
      <x:c r="AI538" s="115"/>
      <x:c r="AJ538" s="115"/>
      <x:c r="AK538" s="115"/>
      <x:c r="AL538" s="115"/>
      <x:c r="AM538" s="115"/>
      <x:c r="AN538" s="115"/>
      <x:c r="AO538" s="115"/>
      <x:c r="AP538" s="115"/>
      <x:c r="AQ538" s="115"/>
      <x:c r="AR538" s="115"/>
      <x:c r="AS538" s="115"/>
      <x:c r="AT538" s="115"/>
      <x:c r="AU538" s="115"/>
      <x:c r="AV538" s="115"/>
      <x:c r="AW538" s="115"/>
      <x:c r="AX538" s="115"/>
      <x:c r="AY538" s="115"/>
      <x:c r="AZ538" s="115"/>
      <x:c r="BA538" s="115"/>
      <x:c r="BB538" s="115"/>
      <x:c r="BC538" s="115"/>
      <x:c r="BD538" s="115"/>
      <x:c r="BE538" s="115"/>
      <x:c r="BF538" s="115"/>
      <x:c r="BG538" s="115"/>
      <x:c r="BH538" s="115"/>
      <x:c r="BI538" s="115"/>
      <x:c r="BJ538" s="115"/>
      <x:c r="BK538" s="115"/>
      <x:c r="BL538" s="115"/>
      <x:c r="BM538" s="115"/>
      <x:c r="BN538" s="115"/>
      <x:c r="BO538" s="115"/>
      <x:c r="BP538" s="115"/>
      <x:c r="BQ538" s="115"/>
      <x:c r="BR538" s="115"/>
      <x:c r="BS538" s="115"/>
      <x:c r="BT538" s="115"/>
      <x:c r="BU538" s="115"/>
      <x:c r="BV538" s="115"/>
      <x:c r="BW538" s="115"/>
      <x:c r="BX538" s="115"/>
      <x:c r="BY538" s="115"/>
      <x:c r="BZ538" s="115"/>
      <x:c r="CA538" s="115"/>
      <x:c r="CB538" s="116"/>
      <x:c r="CC538" s="141" t="str">
        <x:f>IF(COUNT(G538:P538)=0,"",AVERAGE(G538:P538)*4)</x:f>
      </x:c>
      <x:c r="CD538" s="178" t="str">
        <x:f>IF(COUNT(Q538:Z538)=0,"",AVERAGE(Q538:Z538)*4)</x:f>
      </x:c>
      <x:c r="CE538" s="178" t="str">
        <x:f>IF(COUNT(AA538:AJ538)=0,"",AVERAGE(AA538:AJ538)*4)</x:f>
      </x:c>
      <x:c r="CF538" s="178" t="str">
        <x:f>IF(COUNT(AK538:AR538)=0,"",AVERAGE(AK538:AR538)*4)</x:f>
      </x:c>
      <x:c r="CG538" s="178" t="str">
        <x:f>IF(COUNT(AS538:AY538)=0,"",AVERAGE(AS538:AY538)*4)</x:f>
      </x:c>
      <x:c r="CH538" s="178" t="str">
        <x:f>IF(COUNT(AZ538:BG538)=0,"",AVERAGE(AZ538:BG538)*4)</x:f>
      </x:c>
      <x:c r="CI538" s="178" t="str">
        <x:f>IF(COUNT(BH538:BN538)=0,"",AVERAGE(BH538:BN538)*4)</x:f>
      </x:c>
      <x:c r="CJ538" s="178" t="str">
        <x:f>IF(COUNT(BO538:BU538)=0,"",AVERAGE(BO538:BU538)*4)</x:f>
      </x:c>
      <x:c r="CK538" s="178" t="str">
        <x:f>IF(COUNT(BV538:CB538)=0,"",AVERAGE(BV538:CB538)*4)</x:f>
      </x:c>
      <x:c r="CL538" s="178" t="str">
        <x:f>IF(C538="","",IF(COUNT(G538:CB538)&lt;74,"",(CC538*'تنظیمات وزن‌دهی'!$C$5+CD538*'تنظیمات وزن‌دهی'!$C$6+CE538*'تنظیمات وزن‌دهی'!$C$7+CF538*'تنظیمات وزن‌دهی'!$C$8+CG538*'تنظیمات وزن‌دهی'!$C$9+CH538*'تنظیمات وزن‌دهی'!$C$10+CI538*'تنظیمات وزن‌دهی'!$C$11+CJ538*'تنظیمات وزن‌دهی'!$C$12+CK538*'تنظیمات وزن‌دهی'!$C$13)/100))</x:f>
      </x:c>
      <x:c r="CM538" s="178" t="str">
        <x:f>IF(C538="","",IF(COUNT(G538:CB538)=0,"",IF(COUNT(G538:CB538)&lt;74,"موقت - اطلاعات ناقص",IF(CL538&gt;=17,"عالی",IF(CL538&gt;=14,"خوب",IF(CL538&gt;=10,"متوسط","ضعیف"))))))</x:f>
      </x:c>
      <x:c r="CN538" s="178" t="n">
        <x:v>6</x:v>
      </x:c>
      <x:c r="CO538" s="142" t="n">
        <x:f>IF(C538="","",COUNT(G538:CB538)/74)</x:f>
        <x:v>0</x:v>
      </x:c>
      <x:c r="CP538" s="245"/>
    </x:row>
    <x:row r="539">
      <x:c r="A539" s="165" t="n">
        <x:v>535</x:v>
      </x:c>
      <x:c r="B539" s="233" t="str">
        <x:v>دی</x:v>
      </x:c>
      <x:c r="C539" s="233" t="n">
        <x:f>IF('دانش‌آموزان'!E49="","",'دانش‌آموزان'!B49)</x:f>
        <x:v>45</x:v>
      </x:c>
      <x:c r="D539" s="233" t="str">
        <x:f>IF('دانش‌آموزان'!C49="","",'دانش‌آموزان'!C49)</x:f>
        <x:v>4000000454</x:v>
      </x:c>
      <x:c r="E539" s="233" t="str">
        <x:f>IF('دانش‌آموزان'!E49="","",'دانش‌آموزان'!E49&amp;" "&amp;'دانش‌آموزان'!F49)</x:f>
        <x:v>محمد قاسمی</x:v>
      </x:c>
      <x:c r="F539" s="166" t="str">
        <x:f>IF('دانش‌آموزان'!I49="","",'دانش‌آموزان'!I49)</x:f>
        <x:v>sample-7-b</x:v>
      </x:c>
      <x:c r="G539" s="114"/>
      <x:c r="H539" s="115"/>
      <x:c r="I539" s="115"/>
      <x:c r="J539" s="115"/>
      <x:c r="K539" s="115"/>
      <x:c r="L539" s="115"/>
      <x:c r="M539" s="115"/>
      <x:c r="N539" s="115"/>
      <x:c r="O539" s="115"/>
      <x:c r="P539" s="115"/>
      <x:c r="Q539" s="115"/>
      <x:c r="R539" s="115"/>
      <x:c r="S539" s="115"/>
      <x:c r="T539" s="115"/>
      <x:c r="U539" s="115"/>
      <x:c r="V539" s="115"/>
      <x:c r="W539" s="115"/>
      <x:c r="X539" s="115"/>
      <x:c r="Y539" s="115"/>
      <x:c r="Z539" s="115"/>
      <x:c r="AA539" s="115"/>
      <x:c r="AB539" s="115"/>
      <x:c r="AC539" s="115"/>
      <x:c r="AD539" s="115"/>
      <x:c r="AE539" s="115"/>
      <x:c r="AF539" s="115"/>
      <x:c r="AG539" s="115"/>
      <x:c r="AH539" s="115"/>
      <x:c r="AI539" s="115"/>
      <x:c r="AJ539" s="115"/>
      <x:c r="AK539" s="115"/>
      <x:c r="AL539" s="115"/>
      <x:c r="AM539" s="115"/>
      <x:c r="AN539" s="115"/>
      <x:c r="AO539" s="115"/>
      <x:c r="AP539" s="115"/>
      <x:c r="AQ539" s="115"/>
      <x:c r="AR539" s="115"/>
      <x:c r="AS539" s="115"/>
      <x:c r="AT539" s="115"/>
      <x:c r="AU539" s="115"/>
      <x:c r="AV539" s="115"/>
      <x:c r="AW539" s="115"/>
      <x:c r="AX539" s="115"/>
      <x:c r="AY539" s="115"/>
      <x:c r="AZ539" s="115"/>
      <x:c r="BA539" s="115"/>
      <x:c r="BB539" s="115"/>
      <x:c r="BC539" s="115"/>
      <x:c r="BD539" s="115"/>
      <x:c r="BE539" s="115"/>
      <x:c r="BF539" s="115"/>
      <x:c r="BG539" s="115"/>
      <x:c r="BH539" s="115"/>
      <x:c r="BI539" s="115"/>
      <x:c r="BJ539" s="115"/>
      <x:c r="BK539" s="115"/>
      <x:c r="BL539" s="115"/>
      <x:c r="BM539" s="115"/>
      <x:c r="BN539" s="115"/>
      <x:c r="BO539" s="115"/>
      <x:c r="BP539" s="115"/>
      <x:c r="BQ539" s="115"/>
      <x:c r="BR539" s="115"/>
      <x:c r="BS539" s="115"/>
      <x:c r="BT539" s="115"/>
      <x:c r="BU539" s="115"/>
      <x:c r="BV539" s="115"/>
      <x:c r="BW539" s="115"/>
      <x:c r="BX539" s="115"/>
      <x:c r="BY539" s="115"/>
      <x:c r="BZ539" s="115"/>
      <x:c r="CA539" s="115"/>
      <x:c r="CB539" s="116"/>
      <x:c r="CC539" s="141" t="str">
        <x:f>IF(COUNT(G539:P539)=0,"",AVERAGE(G539:P539)*4)</x:f>
      </x:c>
      <x:c r="CD539" s="178" t="str">
        <x:f>IF(COUNT(Q539:Z539)=0,"",AVERAGE(Q539:Z539)*4)</x:f>
      </x:c>
      <x:c r="CE539" s="178" t="str">
        <x:f>IF(COUNT(AA539:AJ539)=0,"",AVERAGE(AA539:AJ539)*4)</x:f>
      </x:c>
      <x:c r="CF539" s="178" t="str">
        <x:f>IF(COUNT(AK539:AR539)=0,"",AVERAGE(AK539:AR539)*4)</x:f>
      </x:c>
      <x:c r="CG539" s="178" t="str">
        <x:f>IF(COUNT(AS539:AY539)=0,"",AVERAGE(AS539:AY539)*4)</x:f>
      </x:c>
      <x:c r="CH539" s="178" t="str">
        <x:f>IF(COUNT(AZ539:BG539)=0,"",AVERAGE(AZ539:BG539)*4)</x:f>
      </x:c>
      <x:c r="CI539" s="178" t="str">
        <x:f>IF(COUNT(BH539:BN539)=0,"",AVERAGE(BH539:BN539)*4)</x:f>
      </x:c>
      <x:c r="CJ539" s="178" t="str">
        <x:f>IF(COUNT(BO539:BU539)=0,"",AVERAGE(BO539:BU539)*4)</x:f>
      </x:c>
      <x:c r="CK539" s="178" t="str">
        <x:f>IF(COUNT(BV539:CB539)=0,"",AVERAGE(BV539:CB539)*4)</x:f>
      </x:c>
      <x:c r="CL539" s="178" t="str">
        <x:f>IF(C539="","",IF(COUNT(G539:CB539)&lt;74,"",(CC539*'تنظیمات وزن‌دهی'!$C$5+CD539*'تنظیمات وزن‌دهی'!$C$6+CE539*'تنظیمات وزن‌دهی'!$C$7+CF539*'تنظیمات وزن‌دهی'!$C$8+CG539*'تنظیمات وزن‌دهی'!$C$9+CH539*'تنظیمات وزن‌دهی'!$C$10+CI539*'تنظیمات وزن‌دهی'!$C$11+CJ539*'تنظیمات وزن‌دهی'!$C$12+CK539*'تنظیمات وزن‌دهی'!$C$13)/100))</x:f>
      </x:c>
      <x:c r="CM539" s="178" t="str">
        <x:f>IF(C539="","",IF(COUNT(G539:CB539)=0,"",IF(COUNT(G539:CB539)&lt;74,"موقت - اطلاعات ناقص",IF(CL539&gt;=17,"عالی",IF(CL539&gt;=14,"خوب",IF(CL539&gt;=10,"متوسط","ضعیف"))))))</x:f>
      </x:c>
      <x:c r="CN539" s="178" t="n">
        <x:v>7</x:v>
      </x:c>
      <x:c r="CO539" s="142" t="n">
        <x:f>IF(C539="","",COUNT(G539:CB539)/74)</x:f>
        <x:v>0</x:v>
      </x:c>
      <x:c r="CP539" s="245"/>
    </x:row>
    <x:row r="540">
      <x:c r="A540" s="165" t="n">
        <x:v>536</x:v>
      </x:c>
      <x:c r="B540" s="233" t="str">
        <x:v>بهمن</x:v>
      </x:c>
      <x:c r="C540" s="233" t="n">
        <x:f>IF('دانش‌آموزان'!E49="","",'دانش‌آموزان'!B49)</x:f>
        <x:v>45</x:v>
      </x:c>
      <x:c r="D540" s="233" t="str">
        <x:f>IF('دانش‌آموزان'!C49="","",'دانش‌آموزان'!C49)</x:f>
        <x:v>4000000454</x:v>
      </x:c>
      <x:c r="E540" s="233" t="str">
        <x:f>IF('دانش‌آموزان'!E49="","",'دانش‌آموزان'!E49&amp;" "&amp;'دانش‌آموزان'!F49)</x:f>
        <x:v>محمد قاسمی</x:v>
      </x:c>
      <x:c r="F540" s="166" t="str">
        <x:f>IF('دانش‌آموزان'!I49="","",'دانش‌آموزان'!I49)</x:f>
        <x:v>sample-7-b</x:v>
      </x:c>
      <x:c r="G540" s="114"/>
      <x:c r="H540" s="115"/>
      <x:c r="I540" s="115"/>
      <x:c r="J540" s="115"/>
      <x:c r="K540" s="115"/>
      <x:c r="L540" s="115"/>
      <x:c r="M540" s="115"/>
      <x:c r="N540" s="115"/>
      <x:c r="O540" s="115"/>
      <x:c r="P540" s="115"/>
      <x:c r="Q540" s="115"/>
      <x:c r="R540" s="115"/>
      <x:c r="S540" s="115"/>
      <x:c r="T540" s="115"/>
      <x:c r="U540" s="115"/>
      <x:c r="V540" s="115"/>
      <x:c r="W540" s="115"/>
      <x:c r="X540" s="115"/>
      <x:c r="Y540" s="115"/>
      <x:c r="Z540" s="115"/>
      <x:c r="AA540" s="115"/>
      <x:c r="AB540" s="115"/>
      <x:c r="AC540" s="115"/>
      <x:c r="AD540" s="115"/>
      <x:c r="AE540" s="115"/>
      <x:c r="AF540" s="115"/>
      <x:c r="AG540" s="115"/>
      <x:c r="AH540" s="115"/>
      <x:c r="AI540" s="115"/>
      <x:c r="AJ540" s="115"/>
      <x:c r="AK540" s="115"/>
      <x:c r="AL540" s="115"/>
      <x:c r="AM540" s="115"/>
      <x:c r="AN540" s="115"/>
      <x:c r="AO540" s="115"/>
      <x:c r="AP540" s="115"/>
      <x:c r="AQ540" s="115"/>
      <x:c r="AR540" s="115"/>
      <x:c r="AS540" s="115"/>
      <x:c r="AT540" s="115"/>
      <x:c r="AU540" s="115"/>
      <x:c r="AV540" s="115"/>
      <x:c r="AW540" s="115"/>
      <x:c r="AX540" s="115"/>
      <x:c r="AY540" s="115"/>
      <x:c r="AZ540" s="115"/>
      <x:c r="BA540" s="115"/>
      <x:c r="BB540" s="115"/>
      <x:c r="BC540" s="115"/>
      <x:c r="BD540" s="115"/>
      <x:c r="BE540" s="115"/>
      <x:c r="BF540" s="115"/>
      <x:c r="BG540" s="115"/>
      <x:c r="BH540" s="115"/>
      <x:c r="BI540" s="115"/>
      <x:c r="BJ540" s="115"/>
      <x:c r="BK540" s="115"/>
      <x:c r="BL540" s="115"/>
      <x:c r="BM540" s="115"/>
      <x:c r="BN540" s="115"/>
      <x:c r="BO540" s="115"/>
      <x:c r="BP540" s="115"/>
      <x:c r="BQ540" s="115"/>
      <x:c r="BR540" s="115"/>
      <x:c r="BS540" s="115"/>
      <x:c r="BT540" s="115"/>
      <x:c r="BU540" s="115"/>
      <x:c r="BV540" s="115"/>
      <x:c r="BW540" s="115"/>
      <x:c r="BX540" s="115"/>
      <x:c r="BY540" s="115"/>
      <x:c r="BZ540" s="115"/>
      <x:c r="CA540" s="115"/>
      <x:c r="CB540" s="116"/>
      <x:c r="CC540" s="141" t="str">
        <x:f>IF(COUNT(G540:P540)=0,"",AVERAGE(G540:P540)*4)</x:f>
      </x:c>
      <x:c r="CD540" s="178" t="str">
        <x:f>IF(COUNT(Q540:Z540)=0,"",AVERAGE(Q540:Z540)*4)</x:f>
      </x:c>
      <x:c r="CE540" s="178" t="str">
        <x:f>IF(COUNT(AA540:AJ540)=0,"",AVERAGE(AA540:AJ540)*4)</x:f>
      </x:c>
      <x:c r="CF540" s="178" t="str">
        <x:f>IF(COUNT(AK540:AR540)=0,"",AVERAGE(AK540:AR540)*4)</x:f>
      </x:c>
      <x:c r="CG540" s="178" t="str">
        <x:f>IF(COUNT(AS540:AY540)=0,"",AVERAGE(AS540:AY540)*4)</x:f>
      </x:c>
      <x:c r="CH540" s="178" t="str">
        <x:f>IF(COUNT(AZ540:BG540)=0,"",AVERAGE(AZ540:BG540)*4)</x:f>
      </x:c>
      <x:c r="CI540" s="178" t="str">
        <x:f>IF(COUNT(BH540:BN540)=0,"",AVERAGE(BH540:BN540)*4)</x:f>
      </x:c>
      <x:c r="CJ540" s="178" t="str">
        <x:f>IF(COUNT(BO540:BU540)=0,"",AVERAGE(BO540:BU540)*4)</x:f>
      </x:c>
      <x:c r="CK540" s="178" t="str">
        <x:f>IF(COUNT(BV540:CB540)=0,"",AVERAGE(BV540:CB540)*4)</x:f>
      </x:c>
      <x:c r="CL540" s="178" t="str">
        <x:f>IF(C540="","",IF(COUNT(G540:CB540)&lt;74,"",(CC540*'تنظیمات وزن‌دهی'!$C$5+CD540*'تنظیمات وزن‌دهی'!$C$6+CE540*'تنظیمات وزن‌دهی'!$C$7+CF540*'تنظیمات وزن‌دهی'!$C$8+CG540*'تنظیمات وزن‌دهی'!$C$9+CH540*'تنظیمات وزن‌دهی'!$C$10+CI540*'تنظیمات وزن‌دهی'!$C$11+CJ540*'تنظیمات وزن‌دهی'!$C$12+CK540*'تنظیمات وزن‌دهی'!$C$13)/100))</x:f>
      </x:c>
      <x:c r="CM540" s="178" t="str">
        <x:f>IF(C540="","",IF(COUNT(G540:CB540)=0,"",IF(COUNT(G540:CB540)&lt;74,"موقت - اطلاعات ناقص",IF(CL540&gt;=17,"عالی",IF(CL540&gt;=14,"خوب",IF(CL540&gt;=10,"متوسط","ضعیف"))))))</x:f>
      </x:c>
      <x:c r="CN540" s="178" t="n">
        <x:v>8</x:v>
      </x:c>
      <x:c r="CO540" s="142" t="n">
        <x:f>IF(C540="","",COUNT(G540:CB540)/74)</x:f>
        <x:v>0</x:v>
      </x:c>
      <x:c r="CP540" s="245"/>
    </x:row>
    <x:row r="541">
      <x:c r="A541" s="165" t="n">
        <x:v>537</x:v>
      </x:c>
      <x:c r="B541" s="233" t="str">
        <x:v>اسفند</x:v>
      </x:c>
      <x:c r="C541" s="233" t="n">
        <x:f>IF('دانش‌آموزان'!E49="","",'دانش‌آموزان'!B49)</x:f>
        <x:v>45</x:v>
      </x:c>
      <x:c r="D541" s="233" t="str">
        <x:f>IF('دانش‌آموزان'!C49="","",'دانش‌آموزان'!C49)</x:f>
        <x:v>4000000454</x:v>
      </x:c>
      <x:c r="E541" s="233" t="str">
        <x:f>IF('دانش‌آموزان'!E49="","",'دانش‌آموزان'!E49&amp;" "&amp;'دانش‌آموزان'!F49)</x:f>
        <x:v>محمد قاسمی</x:v>
      </x:c>
      <x:c r="F541" s="166" t="str">
        <x:f>IF('دانش‌آموزان'!I49="","",'دانش‌آموزان'!I49)</x:f>
        <x:v>sample-7-b</x:v>
      </x:c>
      <x:c r="G541" s="114"/>
      <x:c r="H541" s="115"/>
      <x:c r="I541" s="115"/>
      <x:c r="J541" s="115"/>
      <x:c r="K541" s="115"/>
      <x:c r="L541" s="115"/>
      <x:c r="M541" s="115"/>
      <x:c r="N541" s="115"/>
      <x:c r="O541" s="115"/>
      <x:c r="P541" s="115"/>
      <x:c r="Q541" s="115"/>
      <x:c r="R541" s="115"/>
      <x:c r="S541" s="115"/>
      <x:c r="T541" s="115"/>
      <x:c r="U541" s="115"/>
      <x:c r="V541" s="115"/>
      <x:c r="W541" s="115"/>
      <x:c r="X541" s="115"/>
      <x:c r="Y541" s="115"/>
      <x:c r="Z541" s="115"/>
      <x:c r="AA541" s="115"/>
      <x:c r="AB541" s="115"/>
      <x:c r="AC541" s="115"/>
      <x:c r="AD541" s="115"/>
      <x:c r="AE541" s="115"/>
      <x:c r="AF541" s="115"/>
      <x:c r="AG541" s="115"/>
      <x:c r="AH541" s="115"/>
      <x:c r="AI541" s="115"/>
      <x:c r="AJ541" s="115"/>
      <x:c r="AK541" s="115"/>
      <x:c r="AL541" s="115"/>
      <x:c r="AM541" s="115"/>
      <x:c r="AN541" s="115"/>
      <x:c r="AO541" s="115"/>
      <x:c r="AP541" s="115"/>
      <x:c r="AQ541" s="115"/>
      <x:c r="AR541" s="115"/>
      <x:c r="AS541" s="115"/>
      <x:c r="AT541" s="115"/>
      <x:c r="AU541" s="115"/>
      <x:c r="AV541" s="115"/>
      <x:c r="AW541" s="115"/>
      <x:c r="AX541" s="115"/>
      <x:c r="AY541" s="115"/>
      <x:c r="AZ541" s="115"/>
      <x:c r="BA541" s="115"/>
      <x:c r="BB541" s="115"/>
      <x:c r="BC541" s="115"/>
      <x:c r="BD541" s="115"/>
      <x:c r="BE541" s="115"/>
      <x:c r="BF541" s="115"/>
      <x:c r="BG541" s="115"/>
      <x:c r="BH541" s="115"/>
      <x:c r="BI541" s="115"/>
      <x:c r="BJ541" s="115"/>
      <x:c r="BK541" s="115"/>
      <x:c r="BL541" s="115"/>
      <x:c r="BM541" s="115"/>
      <x:c r="BN541" s="115"/>
      <x:c r="BO541" s="115"/>
      <x:c r="BP541" s="115"/>
      <x:c r="BQ541" s="115"/>
      <x:c r="BR541" s="115"/>
      <x:c r="BS541" s="115"/>
      <x:c r="BT541" s="115"/>
      <x:c r="BU541" s="115"/>
      <x:c r="BV541" s="115"/>
      <x:c r="BW541" s="115"/>
      <x:c r="BX541" s="115"/>
      <x:c r="BY541" s="115"/>
      <x:c r="BZ541" s="115"/>
      <x:c r="CA541" s="115"/>
      <x:c r="CB541" s="116"/>
      <x:c r="CC541" s="141" t="str">
        <x:f>IF(COUNT(G541:P541)=0,"",AVERAGE(G541:P541)*4)</x:f>
      </x:c>
      <x:c r="CD541" s="178" t="str">
        <x:f>IF(COUNT(Q541:Z541)=0,"",AVERAGE(Q541:Z541)*4)</x:f>
      </x:c>
      <x:c r="CE541" s="178" t="str">
        <x:f>IF(COUNT(AA541:AJ541)=0,"",AVERAGE(AA541:AJ541)*4)</x:f>
      </x:c>
      <x:c r="CF541" s="178" t="str">
        <x:f>IF(COUNT(AK541:AR541)=0,"",AVERAGE(AK541:AR541)*4)</x:f>
      </x:c>
      <x:c r="CG541" s="178" t="str">
        <x:f>IF(COUNT(AS541:AY541)=0,"",AVERAGE(AS541:AY541)*4)</x:f>
      </x:c>
      <x:c r="CH541" s="178" t="str">
        <x:f>IF(COUNT(AZ541:BG541)=0,"",AVERAGE(AZ541:BG541)*4)</x:f>
      </x:c>
      <x:c r="CI541" s="178" t="str">
        <x:f>IF(COUNT(BH541:BN541)=0,"",AVERAGE(BH541:BN541)*4)</x:f>
      </x:c>
      <x:c r="CJ541" s="178" t="str">
        <x:f>IF(COUNT(BO541:BU541)=0,"",AVERAGE(BO541:BU541)*4)</x:f>
      </x:c>
      <x:c r="CK541" s="178" t="str">
        <x:f>IF(COUNT(BV541:CB541)=0,"",AVERAGE(BV541:CB541)*4)</x:f>
      </x:c>
      <x:c r="CL541" s="178" t="str">
        <x:f>IF(C541="","",IF(COUNT(G541:CB541)&lt;74,"",(CC541*'تنظیمات وزن‌دهی'!$C$5+CD541*'تنظیمات وزن‌دهی'!$C$6+CE541*'تنظیمات وزن‌دهی'!$C$7+CF541*'تنظیمات وزن‌دهی'!$C$8+CG541*'تنظیمات وزن‌دهی'!$C$9+CH541*'تنظیمات وزن‌دهی'!$C$10+CI541*'تنظیمات وزن‌دهی'!$C$11+CJ541*'تنظیمات وزن‌دهی'!$C$12+CK541*'تنظیمات وزن‌دهی'!$C$13)/100))</x:f>
      </x:c>
      <x:c r="CM541" s="178" t="str">
        <x:f>IF(C541="","",IF(COUNT(G541:CB541)=0,"",IF(COUNT(G541:CB541)&lt;74,"موقت - اطلاعات ناقص",IF(CL541&gt;=17,"عالی",IF(CL541&gt;=14,"خوب",IF(CL541&gt;=10,"متوسط","ضعیف"))))))</x:f>
      </x:c>
      <x:c r="CN541" s="178" t="n">
        <x:v>9</x:v>
      </x:c>
      <x:c r="CO541" s="142" t="n">
        <x:f>IF(C541="","",COUNT(G541:CB541)/74)</x:f>
        <x:v>0</x:v>
      </x:c>
      <x:c r="CP541" s="245"/>
    </x:row>
    <x:row r="542">
      <x:c r="A542" s="165" t="n">
        <x:v>538</x:v>
      </x:c>
      <x:c r="B542" s="233" t="str">
        <x:v>فروردین</x:v>
      </x:c>
      <x:c r="C542" s="233" t="n">
        <x:f>IF('دانش‌آموزان'!E49="","",'دانش‌آموزان'!B49)</x:f>
        <x:v>45</x:v>
      </x:c>
      <x:c r="D542" s="233" t="str">
        <x:f>IF('دانش‌آموزان'!C49="","",'دانش‌آموزان'!C49)</x:f>
        <x:v>4000000454</x:v>
      </x:c>
      <x:c r="E542" s="233" t="str">
        <x:f>IF('دانش‌آموزان'!E49="","",'دانش‌آموزان'!E49&amp;" "&amp;'دانش‌آموزان'!F49)</x:f>
        <x:v>محمد قاسمی</x:v>
      </x:c>
      <x:c r="F542" s="166" t="str">
        <x:f>IF('دانش‌آموزان'!I49="","",'دانش‌آموزان'!I49)</x:f>
        <x:v>sample-7-b</x:v>
      </x:c>
      <x:c r="G542" s="114"/>
      <x:c r="H542" s="115"/>
      <x:c r="I542" s="115"/>
      <x:c r="J542" s="115"/>
      <x:c r="K542" s="115"/>
      <x:c r="L542" s="115"/>
      <x:c r="M542" s="115"/>
      <x:c r="N542" s="115"/>
      <x:c r="O542" s="115"/>
      <x:c r="P542" s="115"/>
      <x:c r="Q542" s="115"/>
      <x:c r="R542" s="115"/>
      <x:c r="S542" s="115"/>
      <x:c r="T542" s="115"/>
      <x:c r="U542" s="115"/>
      <x:c r="V542" s="115"/>
      <x:c r="W542" s="115"/>
      <x:c r="X542" s="115"/>
      <x:c r="Y542" s="115"/>
      <x:c r="Z542" s="115"/>
      <x:c r="AA542" s="115"/>
      <x:c r="AB542" s="115"/>
      <x:c r="AC542" s="115"/>
      <x:c r="AD542" s="115"/>
      <x:c r="AE542" s="115"/>
      <x:c r="AF542" s="115"/>
      <x:c r="AG542" s="115"/>
      <x:c r="AH542" s="115"/>
      <x:c r="AI542" s="115"/>
      <x:c r="AJ542" s="115"/>
      <x:c r="AK542" s="115"/>
      <x:c r="AL542" s="115"/>
      <x:c r="AM542" s="115"/>
      <x:c r="AN542" s="115"/>
      <x:c r="AO542" s="115"/>
      <x:c r="AP542" s="115"/>
      <x:c r="AQ542" s="115"/>
      <x:c r="AR542" s="115"/>
      <x:c r="AS542" s="115"/>
      <x:c r="AT542" s="115"/>
      <x:c r="AU542" s="115"/>
      <x:c r="AV542" s="115"/>
      <x:c r="AW542" s="115"/>
      <x:c r="AX542" s="115"/>
      <x:c r="AY542" s="115"/>
      <x:c r="AZ542" s="115"/>
      <x:c r="BA542" s="115"/>
      <x:c r="BB542" s="115"/>
      <x:c r="BC542" s="115"/>
      <x:c r="BD542" s="115"/>
      <x:c r="BE542" s="115"/>
      <x:c r="BF542" s="115"/>
      <x:c r="BG542" s="115"/>
      <x:c r="BH542" s="115"/>
      <x:c r="BI542" s="115"/>
      <x:c r="BJ542" s="115"/>
      <x:c r="BK542" s="115"/>
      <x:c r="BL542" s="115"/>
      <x:c r="BM542" s="115"/>
      <x:c r="BN542" s="115"/>
      <x:c r="BO542" s="115"/>
      <x:c r="BP542" s="115"/>
      <x:c r="BQ542" s="115"/>
      <x:c r="BR542" s="115"/>
      <x:c r="BS542" s="115"/>
      <x:c r="BT542" s="115"/>
      <x:c r="BU542" s="115"/>
      <x:c r="BV542" s="115"/>
      <x:c r="BW542" s="115"/>
      <x:c r="BX542" s="115"/>
      <x:c r="BY542" s="115"/>
      <x:c r="BZ542" s="115"/>
      <x:c r="CA542" s="115"/>
      <x:c r="CB542" s="116"/>
      <x:c r="CC542" s="141" t="str">
        <x:f>IF(COUNT(G542:P542)=0,"",AVERAGE(G542:P542)*4)</x:f>
      </x:c>
      <x:c r="CD542" s="178" t="str">
        <x:f>IF(COUNT(Q542:Z542)=0,"",AVERAGE(Q542:Z542)*4)</x:f>
      </x:c>
      <x:c r="CE542" s="178" t="str">
        <x:f>IF(COUNT(AA542:AJ542)=0,"",AVERAGE(AA542:AJ542)*4)</x:f>
      </x:c>
      <x:c r="CF542" s="178" t="str">
        <x:f>IF(COUNT(AK542:AR542)=0,"",AVERAGE(AK542:AR542)*4)</x:f>
      </x:c>
      <x:c r="CG542" s="178" t="str">
        <x:f>IF(COUNT(AS542:AY542)=0,"",AVERAGE(AS542:AY542)*4)</x:f>
      </x:c>
      <x:c r="CH542" s="178" t="str">
        <x:f>IF(COUNT(AZ542:BG542)=0,"",AVERAGE(AZ542:BG542)*4)</x:f>
      </x:c>
      <x:c r="CI542" s="178" t="str">
        <x:f>IF(COUNT(BH542:BN542)=0,"",AVERAGE(BH542:BN542)*4)</x:f>
      </x:c>
      <x:c r="CJ542" s="178" t="str">
        <x:f>IF(COUNT(BO542:BU542)=0,"",AVERAGE(BO542:BU542)*4)</x:f>
      </x:c>
      <x:c r="CK542" s="178" t="str">
        <x:f>IF(COUNT(BV542:CB542)=0,"",AVERAGE(BV542:CB542)*4)</x:f>
      </x:c>
      <x:c r="CL542" s="178" t="str">
        <x:f>IF(C542="","",IF(COUNT(G542:CB542)&lt;74,"",(CC542*'تنظیمات وزن‌دهی'!$C$5+CD542*'تنظیمات وزن‌دهی'!$C$6+CE542*'تنظیمات وزن‌دهی'!$C$7+CF542*'تنظیمات وزن‌دهی'!$C$8+CG542*'تنظیمات وزن‌دهی'!$C$9+CH542*'تنظیمات وزن‌دهی'!$C$10+CI542*'تنظیمات وزن‌دهی'!$C$11+CJ542*'تنظیمات وزن‌دهی'!$C$12+CK542*'تنظیمات وزن‌دهی'!$C$13)/100))</x:f>
      </x:c>
      <x:c r="CM542" s="178" t="str">
        <x:f>IF(C542="","",IF(COUNT(G542:CB542)=0,"",IF(COUNT(G542:CB542)&lt;74,"موقت - اطلاعات ناقص",IF(CL542&gt;=17,"عالی",IF(CL542&gt;=14,"خوب",IF(CL542&gt;=10,"متوسط","ضعیف"))))))</x:f>
      </x:c>
      <x:c r="CN542" s="178" t="n">
        <x:v>10</x:v>
      </x:c>
      <x:c r="CO542" s="142" t="n">
        <x:f>IF(C542="","",COUNT(G542:CB542)/74)</x:f>
        <x:v>0</x:v>
      </x:c>
      <x:c r="CP542" s="245"/>
    </x:row>
    <x:row r="543">
      <x:c r="A543" s="165" t="n">
        <x:v>539</x:v>
      </x:c>
      <x:c r="B543" s="233" t="str">
        <x:v>اردیبهشت</x:v>
      </x:c>
      <x:c r="C543" s="233" t="n">
        <x:f>IF('دانش‌آموزان'!E49="","",'دانش‌آموزان'!B49)</x:f>
        <x:v>45</x:v>
      </x:c>
      <x:c r="D543" s="233" t="str">
        <x:f>IF('دانش‌آموزان'!C49="","",'دانش‌آموزان'!C49)</x:f>
        <x:v>4000000454</x:v>
      </x:c>
      <x:c r="E543" s="233" t="str">
        <x:f>IF('دانش‌آموزان'!E49="","",'دانش‌آموزان'!E49&amp;" "&amp;'دانش‌آموزان'!F49)</x:f>
        <x:v>محمد قاسمی</x:v>
      </x:c>
      <x:c r="F543" s="166" t="str">
        <x:f>IF('دانش‌آموزان'!I49="","",'دانش‌آموزان'!I49)</x:f>
        <x:v>sample-7-b</x:v>
      </x:c>
      <x:c r="G543" s="114"/>
      <x:c r="H543" s="115"/>
      <x:c r="I543" s="115"/>
      <x:c r="J543" s="115"/>
      <x:c r="K543" s="115"/>
      <x:c r="L543" s="115"/>
      <x:c r="M543" s="115"/>
      <x:c r="N543" s="115"/>
      <x:c r="O543" s="115"/>
      <x:c r="P543" s="115"/>
      <x:c r="Q543" s="115"/>
      <x:c r="R543" s="115"/>
      <x:c r="S543" s="115"/>
      <x:c r="T543" s="115"/>
      <x:c r="U543" s="115"/>
      <x:c r="V543" s="115"/>
      <x:c r="W543" s="115"/>
      <x:c r="X543" s="115"/>
      <x:c r="Y543" s="115"/>
      <x:c r="Z543" s="115"/>
      <x:c r="AA543" s="115"/>
      <x:c r="AB543" s="115"/>
      <x:c r="AC543" s="115"/>
      <x:c r="AD543" s="115"/>
      <x:c r="AE543" s="115"/>
      <x:c r="AF543" s="115"/>
      <x:c r="AG543" s="115"/>
      <x:c r="AH543" s="115"/>
      <x:c r="AI543" s="115"/>
      <x:c r="AJ543" s="115"/>
      <x:c r="AK543" s="115"/>
      <x:c r="AL543" s="115"/>
      <x:c r="AM543" s="115"/>
      <x:c r="AN543" s="115"/>
      <x:c r="AO543" s="115"/>
      <x:c r="AP543" s="115"/>
      <x:c r="AQ543" s="115"/>
      <x:c r="AR543" s="115"/>
      <x:c r="AS543" s="115"/>
      <x:c r="AT543" s="115"/>
      <x:c r="AU543" s="115"/>
      <x:c r="AV543" s="115"/>
      <x:c r="AW543" s="115"/>
      <x:c r="AX543" s="115"/>
      <x:c r="AY543" s="115"/>
      <x:c r="AZ543" s="115"/>
      <x:c r="BA543" s="115"/>
      <x:c r="BB543" s="115"/>
      <x:c r="BC543" s="115"/>
      <x:c r="BD543" s="115"/>
      <x:c r="BE543" s="115"/>
      <x:c r="BF543" s="115"/>
      <x:c r="BG543" s="115"/>
      <x:c r="BH543" s="115"/>
      <x:c r="BI543" s="115"/>
      <x:c r="BJ543" s="115"/>
      <x:c r="BK543" s="115"/>
      <x:c r="BL543" s="115"/>
      <x:c r="BM543" s="115"/>
      <x:c r="BN543" s="115"/>
      <x:c r="BO543" s="115"/>
      <x:c r="BP543" s="115"/>
      <x:c r="BQ543" s="115"/>
      <x:c r="BR543" s="115"/>
      <x:c r="BS543" s="115"/>
      <x:c r="BT543" s="115"/>
      <x:c r="BU543" s="115"/>
      <x:c r="BV543" s="115"/>
      <x:c r="BW543" s="115"/>
      <x:c r="BX543" s="115"/>
      <x:c r="BY543" s="115"/>
      <x:c r="BZ543" s="115"/>
      <x:c r="CA543" s="115"/>
      <x:c r="CB543" s="116"/>
      <x:c r="CC543" s="141" t="str">
        <x:f>IF(COUNT(G543:P543)=0,"",AVERAGE(G543:P543)*4)</x:f>
      </x:c>
      <x:c r="CD543" s="178" t="str">
        <x:f>IF(COUNT(Q543:Z543)=0,"",AVERAGE(Q543:Z543)*4)</x:f>
      </x:c>
      <x:c r="CE543" s="178" t="str">
        <x:f>IF(COUNT(AA543:AJ543)=0,"",AVERAGE(AA543:AJ543)*4)</x:f>
      </x:c>
      <x:c r="CF543" s="178" t="str">
        <x:f>IF(COUNT(AK543:AR543)=0,"",AVERAGE(AK543:AR543)*4)</x:f>
      </x:c>
      <x:c r="CG543" s="178" t="str">
        <x:f>IF(COUNT(AS543:AY543)=0,"",AVERAGE(AS543:AY543)*4)</x:f>
      </x:c>
      <x:c r="CH543" s="178" t="str">
        <x:f>IF(COUNT(AZ543:BG543)=0,"",AVERAGE(AZ543:BG543)*4)</x:f>
      </x:c>
      <x:c r="CI543" s="178" t="str">
        <x:f>IF(COUNT(BH543:BN543)=0,"",AVERAGE(BH543:BN543)*4)</x:f>
      </x:c>
      <x:c r="CJ543" s="178" t="str">
        <x:f>IF(COUNT(BO543:BU543)=0,"",AVERAGE(BO543:BU543)*4)</x:f>
      </x:c>
      <x:c r="CK543" s="178" t="str">
        <x:f>IF(COUNT(BV543:CB543)=0,"",AVERAGE(BV543:CB543)*4)</x:f>
      </x:c>
      <x:c r="CL543" s="178" t="str">
        <x:f>IF(C543="","",IF(COUNT(G543:CB543)&lt;74,"",(CC543*'تنظیمات وزن‌دهی'!$C$5+CD543*'تنظیمات وزن‌دهی'!$C$6+CE543*'تنظیمات وزن‌دهی'!$C$7+CF543*'تنظیمات وزن‌دهی'!$C$8+CG543*'تنظیمات وزن‌دهی'!$C$9+CH543*'تنظیمات وزن‌دهی'!$C$10+CI543*'تنظیمات وزن‌دهی'!$C$11+CJ543*'تنظیمات وزن‌دهی'!$C$12+CK543*'تنظیمات وزن‌دهی'!$C$13)/100))</x:f>
      </x:c>
      <x:c r="CM543" s="178" t="str">
        <x:f>IF(C543="","",IF(COUNT(G543:CB543)=0,"",IF(COUNT(G543:CB543)&lt;74,"موقت - اطلاعات ناقص",IF(CL543&gt;=17,"عالی",IF(CL543&gt;=14,"خوب",IF(CL543&gt;=10,"متوسط","ضعیف"))))))</x:f>
      </x:c>
      <x:c r="CN543" s="178" t="n">
        <x:v>11</x:v>
      </x:c>
      <x:c r="CO543" s="142" t="n">
        <x:f>IF(C543="","",COUNT(G543:CB543)/74)</x:f>
        <x:v>0</x:v>
      </x:c>
      <x:c r="CP543" s="245"/>
    </x:row>
    <x:row r="544">
      <x:c r="A544" s="165" t="n">
        <x:v>540</x:v>
      </x:c>
      <x:c r="B544" s="233" t="str">
        <x:v>خرداد</x:v>
      </x:c>
      <x:c r="C544" s="233" t="n">
        <x:f>IF('دانش‌آموزان'!E49="","",'دانش‌آموزان'!B49)</x:f>
        <x:v>45</x:v>
      </x:c>
      <x:c r="D544" s="233" t="str">
        <x:f>IF('دانش‌آموزان'!C49="","",'دانش‌آموزان'!C49)</x:f>
        <x:v>4000000454</x:v>
      </x:c>
      <x:c r="E544" s="233" t="str">
        <x:f>IF('دانش‌آموزان'!E49="","",'دانش‌آموزان'!E49&amp;" "&amp;'دانش‌آموزان'!F49)</x:f>
        <x:v>محمد قاسمی</x:v>
      </x:c>
      <x:c r="F544" s="166" t="str">
        <x:f>IF('دانش‌آموزان'!I49="","",'دانش‌آموزان'!I49)</x:f>
        <x:v>sample-7-b</x:v>
      </x:c>
      <x:c r="G544" s="114"/>
      <x:c r="H544" s="115"/>
      <x:c r="I544" s="115"/>
      <x:c r="J544" s="115"/>
      <x:c r="K544" s="115"/>
      <x:c r="L544" s="115"/>
      <x:c r="M544" s="115"/>
      <x:c r="N544" s="115"/>
      <x:c r="O544" s="115"/>
      <x:c r="P544" s="115"/>
      <x:c r="Q544" s="115"/>
      <x:c r="R544" s="115"/>
      <x:c r="S544" s="115"/>
      <x:c r="T544" s="115"/>
      <x:c r="U544" s="115"/>
      <x:c r="V544" s="115"/>
      <x:c r="W544" s="115"/>
      <x:c r="X544" s="115"/>
      <x:c r="Y544" s="115"/>
      <x:c r="Z544" s="115"/>
      <x:c r="AA544" s="115"/>
      <x:c r="AB544" s="115"/>
      <x:c r="AC544" s="115"/>
      <x:c r="AD544" s="115"/>
      <x:c r="AE544" s="115"/>
      <x:c r="AF544" s="115"/>
      <x:c r="AG544" s="115"/>
      <x:c r="AH544" s="115"/>
      <x:c r="AI544" s="115"/>
      <x:c r="AJ544" s="115"/>
      <x:c r="AK544" s="115"/>
      <x:c r="AL544" s="115"/>
      <x:c r="AM544" s="115"/>
      <x:c r="AN544" s="115"/>
      <x:c r="AO544" s="115"/>
      <x:c r="AP544" s="115"/>
      <x:c r="AQ544" s="115"/>
      <x:c r="AR544" s="115"/>
      <x:c r="AS544" s="115"/>
      <x:c r="AT544" s="115"/>
      <x:c r="AU544" s="115"/>
      <x:c r="AV544" s="115"/>
      <x:c r="AW544" s="115"/>
      <x:c r="AX544" s="115"/>
      <x:c r="AY544" s="115"/>
      <x:c r="AZ544" s="115"/>
      <x:c r="BA544" s="115"/>
      <x:c r="BB544" s="115"/>
      <x:c r="BC544" s="115"/>
      <x:c r="BD544" s="115"/>
      <x:c r="BE544" s="115"/>
      <x:c r="BF544" s="115"/>
      <x:c r="BG544" s="115"/>
      <x:c r="BH544" s="115"/>
      <x:c r="BI544" s="115"/>
      <x:c r="BJ544" s="115"/>
      <x:c r="BK544" s="115"/>
      <x:c r="BL544" s="115"/>
      <x:c r="BM544" s="115"/>
      <x:c r="BN544" s="115"/>
      <x:c r="BO544" s="115"/>
      <x:c r="BP544" s="115"/>
      <x:c r="BQ544" s="115"/>
      <x:c r="BR544" s="115"/>
      <x:c r="BS544" s="115"/>
      <x:c r="BT544" s="115"/>
      <x:c r="BU544" s="115"/>
      <x:c r="BV544" s="115"/>
      <x:c r="BW544" s="115"/>
      <x:c r="BX544" s="115"/>
      <x:c r="BY544" s="115"/>
      <x:c r="BZ544" s="115"/>
      <x:c r="CA544" s="115"/>
      <x:c r="CB544" s="116"/>
      <x:c r="CC544" s="141" t="str">
        <x:f>IF(COUNT(G544:P544)=0,"",AVERAGE(G544:P544)*4)</x:f>
      </x:c>
      <x:c r="CD544" s="178" t="str">
        <x:f>IF(COUNT(Q544:Z544)=0,"",AVERAGE(Q544:Z544)*4)</x:f>
      </x:c>
      <x:c r="CE544" s="178" t="str">
        <x:f>IF(COUNT(AA544:AJ544)=0,"",AVERAGE(AA544:AJ544)*4)</x:f>
      </x:c>
      <x:c r="CF544" s="178" t="str">
        <x:f>IF(COUNT(AK544:AR544)=0,"",AVERAGE(AK544:AR544)*4)</x:f>
      </x:c>
      <x:c r="CG544" s="178" t="str">
        <x:f>IF(COUNT(AS544:AY544)=0,"",AVERAGE(AS544:AY544)*4)</x:f>
      </x:c>
      <x:c r="CH544" s="178" t="str">
        <x:f>IF(COUNT(AZ544:BG544)=0,"",AVERAGE(AZ544:BG544)*4)</x:f>
      </x:c>
      <x:c r="CI544" s="178" t="str">
        <x:f>IF(COUNT(BH544:BN544)=0,"",AVERAGE(BH544:BN544)*4)</x:f>
      </x:c>
      <x:c r="CJ544" s="178" t="str">
        <x:f>IF(COUNT(BO544:BU544)=0,"",AVERAGE(BO544:BU544)*4)</x:f>
      </x:c>
      <x:c r="CK544" s="178" t="str">
        <x:f>IF(COUNT(BV544:CB544)=0,"",AVERAGE(BV544:CB544)*4)</x:f>
      </x:c>
      <x:c r="CL544" s="178" t="str">
        <x:f>IF(C544="","",IF(COUNT(G544:CB544)&lt;74,"",(CC544*'تنظیمات وزن‌دهی'!$C$5+CD544*'تنظیمات وزن‌دهی'!$C$6+CE544*'تنظیمات وزن‌دهی'!$C$7+CF544*'تنظیمات وزن‌دهی'!$C$8+CG544*'تنظیمات وزن‌دهی'!$C$9+CH544*'تنظیمات وزن‌دهی'!$C$10+CI544*'تنظیمات وزن‌دهی'!$C$11+CJ544*'تنظیمات وزن‌دهی'!$C$12+CK544*'تنظیمات وزن‌دهی'!$C$13)/100))</x:f>
      </x:c>
      <x:c r="CM544" s="178" t="str">
        <x:f>IF(C544="","",IF(COUNT(G544:CB544)=0,"",IF(COUNT(G544:CB544)&lt;74,"موقت - اطلاعات ناقص",IF(CL544&gt;=17,"عالی",IF(CL544&gt;=14,"خوب",IF(CL544&gt;=10,"متوسط","ضعیف"))))))</x:f>
      </x:c>
      <x:c r="CN544" s="178" t="n">
        <x:v>12</x:v>
      </x:c>
      <x:c r="CO544" s="142" t="n">
        <x:f>IF(C544="","",COUNT(G544:CB544)/74)</x:f>
        <x:v>0</x:v>
      </x:c>
      <x:c r="CP544" s="245"/>
    </x:row>
    <x:row r="545">
      <x:c r="A545" s="165" t="n">
        <x:v>541</x:v>
      </x:c>
      <x:c r="B545" s="233" t="str">
        <x:v>تیر</x:v>
      </x:c>
      <x:c r="C545" s="233" t="n">
        <x:f>IF('دانش‌آموزان'!E50="","",'دانش‌آموزان'!B50)</x:f>
        <x:v>46</x:v>
      </x:c>
      <x:c r="D545" s="233" t="str">
        <x:f>IF('دانش‌آموزان'!C50="","",'دانش‌آموزان'!C50)</x:f>
        <x:v>4000000462</x:v>
      </x:c>
      <x:c r="E545" s="233" t="str">
        <x:f>IF('دانش‌آموزان'!E50="","",'دانش‌آموزان'!E50&amp;" "&amp;'دانش‌آموزان'!F50)</x:f>
        <x:v>سارا خلیلی</x:v>
      </x:c>
      <x:c r="F545" s="166" t="str">
        <x:f>IF('دانش‌آموزان'!I50="","",'دانش‌آموزان'!I50)</x:f>
        <x:v>sample-7-b</x:v>
      </x:c>
      <x:c r="G545" s="114" t="n">
        <x:v>3</x:v>
      </x:c>
      <x:c r="H545" s="115" t="n">
        <x:v>5</x:v>
      </x:c>
      <x:c r="I545" s="115" t="n">
        <x:v>3</x:v>
      </x:c>
      <x:c r="J545" s="115" t="n">
        <x:v>4</x:v>
      </x:c>
      <x:c r="K545" s="115" t="n">
        <x:v>3</x:v>
      </x:c>
      <x:c r="L545" s="115" t="n">
        <x:v>4</x:v>
      </x:c>
      <x:c r="M545" s="115" t="n">
        <x:v>2</x:v>
      </x:c>
      <x:c r="N545" s="115" t="n">
        <x:v>4</x:v>
      </x:c>
      <x:c r="O545" s="115" t="n">
        <x:v>5</x:v>
      </x:c>
      <x:c r="P545" s="115" t="n">
        <x:v>4</x:v>
      </x:c>
      <x:c r="Q545" s="115" t="n">
        <x:v>5</x:v>
      </x:c>
      <x:c r="R545" s="115" t="n">
        <x:v>3</x:v>
      </x:c>
      <x:c r="S545" s="115" t="n">
        <x:v>5</x:v>
      </x:c>
      <x:c r="T545" s="115" t="n">
        <x:v>3</x:v>
      </x:c>
      <x:c r="U545" s="115" t="n">
        <x:v>4</x:v>
      </x:c>
      <x:c r="V545" s="115" t="n">
        <x:v>3</x:v>
      </x:c>
      <x:c r="W545" s="115" t="n">
        <x:v>4</x:v>
      </x:c>
      <x:c r="X545" s="115" t="n">
        <x:v>2</x:v>
      </x:c>
      <x:c r="Y545" s="115" t="n">
        <x:v>4</x:v>
      </x:c>
      <x:c r="Z545" s="115" t="n">
        <x:v>5</x:v>
      </x:c>
      <x:c r="AA545" s="115" t="n">
        <x:v>4</x:v>
      </x:c>
      <x:c r="AB545" s="115" t="n">
        <x:v>5</x:v>
      </x:c>
      <x:c r="AC545" s="115" t="n">
        <x:v>3</x:v>
      </x:c>
      <x:c r="AD545" s="115" t="n">
        <x:v>5</x:v>
      </x:c>
      <x:c r="AE545" s="115" t="n">
        <x:v>3</x:v>
      </x:c>
      <x:c r="AF545" s="115" t="n">
        <x:v>4</x:v>
      </x:c>
      <x:c r="AG545" s="115" t="n">
        <x:v>3</x:v>
      </x:c>
      <x:c r="AH545" s="115" t="n">
        <x:v>4</x:v>
      </x:c>
      <x:c r="AI545" s="115" t="n">
        <x:v>2</x:v>
      </x:c>
      <x:c r="AJ545" s="115" t="n">
        <x:v>4</x:v>
      </x:c>
      <x:c r="AK545" s="115" t="n">
        <x:v>5</x:v>
      </x:c>
      <x:c r="AL545" s="115" t="n">
        <x:v>4</x:v>
      </x:c>
      <x:c r="AM545" s="115" t="n">
        <x:v>5</x:v>
      </x:c>
      <x:c r="AN545" s="115" t="n">
        <x:v>3</x:v>
      </x:c>
      <x:c r="AO545" s="115" t="n">
        <x:v>5</x:v>
      </x:c>
      <x:c r="AP545" s="115" t="n">
        <x:v>3</x:v>
      </x:c>
      <x:c r="AQ545" s="115" t="n">
        <x:v>4</x:v>
      </x:c>
      <x:c r="AR545" s="115" t="n">
        <x:v>3</x:v>
      </x:c>
      <x:c r="AS545" s="115" t="n">
        <x:v>4</x:v>
      </x:c>
      <x:c r="AT545" s="115" t="n">
        <x:v>2</x:v>
      </x:c>
      <x:c r="AU545" s="115" t="n">
        <x:v>4</x:v>
      </x:c>
      <x:c r="AV545" s="115" t="n">
        <x:v>5</x:v>
      </x:c>
      <x:c r="AW545" s="115" t="n">
        <x:v>4</x:v>
      </x:c>
      <x:c r="AX545" s="115" t="n">
        <x:v>5</x:v>
      </x:c>
      <x:c r="AY545" s="115" t="n">
        <x:v>3</x:v>
      </x:c>
      <x:c r="AZ545" s="115" t="n">
        <x:v>5</x:v>
      </x:c>
      <x:c r="BA545" s="115" t="n">
        <x:v>3</x:v>
      </x:c>
      <x:c r="BB545" s="115" t="n">
        <x:v>4</x:v>
      </x:c>
      <x:c r="BC545" s="115" t="n">
        <x:v>3</x:v>
      </x:c>
      <x:c r="BD545" s="115" t="n">
        <x:v>4</x:v>
      </x:c>
      <x:c r="BE545" s="115" t="n">
        <x:v>2</x:v>
      </x:c>
      <x:c r="BF545" s="115" t="n">
        <x:v>4</x:v>
      </x:c>
      <x:c r="BG545" s="115" t="n">
        <x:v>5</x:v>
      </x:c>
      <x:c r="BH545" s="115" t="n">
        <x:v>4</x:v>
      </x:c>
      <x:c r="BI545" s="115" t="n">
        <x:v>5</x:v>
      </x:c>
      <x:c r="BJ545" s="115" t="n">
        <x:v>3</x:v>
      </x:c>
      <x:c r="BK545" s="115" t="n">
        <x:v>5</x:v>
      </x:c>
      <x:c r="BL545" s="115" t="n">
        <x:v>3</x:v>
      </x:c>
      <x:c r="BM545" s="115" t="n">
        <x:v>4</x:v>
      </x:c>
      <x:c r="BN545" s="115" t="n">
        <x:v>3</x:v>
      </x:c>
      <x:c r="BO545" s="115" t="n">
        <x:v>4</x:v>
      </x:c>
      <x:c r="BP545" s="115" t="n">
        <x:v>2</x:v>
      </x:c>
      <x:c r="BQ545" s="115" t="n">
        <x:v>4</x:v>
      </x:c>
      <x:c r="BR545" s="115" t="n">
        <x:v>5</x:v>
      </x:c>
      <x:c r="BS545" s="115" t="n">
        <x:v>4</x:v>
      </x:c>
      <x:c r="BT545" s="115" t="n">
        <x:v>5</x:v>
      </x:c>
      <x:c r="BU545" s="115" t="n">
        <x:v>3</x:v>
      </x:c>
      <x:c r="BV545" s="115" t="n">
        <x:v>5</x:v>
      </x:c>
      <x:c r="BW545" s="115" t="n">
        <x:v>3</x:v>
      </x:c>
      <x:c r="BX545" s="115" t="n">
        <x:v>4</x:v>
      </x:c>
      <x:c r="BY545" s="115" t="n">
        <x:v>3</x:v>
      </x:c>
      <x:c r="BZ545" s="115" t="n">
        <x:v>4</x:v>
      </x:c>
      <x:c r="CA545" s="115" t="n">
        <x:v>2</x:v>
      </x:c>
      <x:c r="CB545" s="116" t="n">
        <x:v>4</x:v>
      </x:c>
      <x:c r="CC545" s="141" t="n">
        <x:f>IF(COUNT(G545:P545)=0,"",AVERAGE(G545:P545)*4)</x:f>
        <x:v>14.8</x:v>
      </x:c>
      <x:c r="CD545" s="178" t="n">
        <x:f>IF(COUNT(Q545:Z545)=0,"",AVERAGE(Q545:Z545)*4)</x:f>
        <x:v>15.2</x:v>
      </x:c>
      <x:c r="CE545" s="178" t="n">
        <x:f>IF(COUNT(AA545:AJ545)=0,"",AVERAGE(AA545:AJ545)*4)</x:f>
        <x:v>14.8</x:v>
      </x:c>
      <x:c r="CF545" s="178" t="n">
        <x:f>IF(COUNT(AK545:AR545)=0,"",AVERAGE(AK545:AR545)*4)</x:f>
        <x:v>16</x:v>
      </x:c>
      <x:c r="CG545" s="178" t="n">
        <x:f>IF(COUNT(AS545:AY545)=0,"",AVERAGE(AS545:AY545)*4)</x:f>
        <x:v>15.428571428571429</x:v>
      </x:c>
      <x:c r="CH545" s="178" t="n">
        <x:f>IF(COUNT(AZ545:BG545)=0,"",AVERAGE(AZ545:BG545)*4)</x:f>
        <x:v>15</x:v>
      </x:c>
      <x:c r="CI545" s="178" t="n">
        <x:f>IF(COUNT(BH545:BN545)=0,"",AVERAGE(BH545:BN545)*4)</x:f>
        <x:v>15.428571428571429</x:v>
      </x:c>
      <x:c r="CJ545" s="178" t="n">
        <x:f>IF(COUNT(BO545:BU545)=0,"",AVERAGE(BO545:BU545)*4)</x:f>
        <x:v>15.428571428571429</x:v>
      </x:c>
      <x:c r="CK545" s="178" t="n">
        <x:f>IF(COUNT(BV545:CB545)=0,"",AVERAGE(BV545:CB545)*4)</x:f>
        <x:v>14.285714285714286</x:v>
      </x:c>
      <x:c r="CL545" s="178" t="n">
        <x:f>IF(C545="","",IF(COUNT(G545:CB545)&lt;74,"",(CC545*'تنظیمات وزن‌دهی'!$C$5+CD545*'تنظیمات وزن‌دهی'!$C$6+CE545*'تنظیمات وزن‌دهی'!$C$7+CF545*'تنظیمات وزن‌دهی'!$C$8+CG545*'تنظیمات وزن‌دهی'!$C$9+CH545*'تنظیمات وزن‌دهی'!$C$10+CI545*'تنظیمات وزن‌دهی'!$C$11+CJ545*'تنظیمات وزن‌دهی'!$C$12+CK545*'تنظیمات وزن‌دهی'!$C$13)/100))</x:f>
        <x:v>15.145714285714286</x:v>
      </x:c>
      <x:c r="CM545" s="178" t="str">
        <x:f>IF(C545="","",IF(COUNT(G545:CB545)=0,"",IF(COUNT(G545:CB545)&lt;74,"موقت - اطلاعات ناقص",IF(CL545&gt;=17,"عالی",IF(CL545&gt;=14,"خوب",IF(CL545&gt;=10,"متوسط","ضعیف"))))))</x:f>
        <x:v>خوب</x:v>
      </x:c>
      <x:c r="CN545" s="178" t="n">
        <x:v>1</x:v>
      </x:c>
      <x:c r="CO545" s="142" t="n">
        <x:f>IF(C545="","",COUNT(G545:CB545)/74)</x:f>
        <x:v>1</x:v>
      </x:c>
      <x:c r="CP545" s="245" t="str">
        <x:v>داده نمونه کامل برای ماه تیر - دانش‌آموز شماره 46</x:v>
      </x:c>
    </x:row>
    <x:row r="546">
      <x:c r="A546" s="165" t="n">
        <x:v>542</x:v>
      </x:c>
      <x:c r="B546" s="233" t="str">
        <x:v>مرداد</x:v>
      </x:c>
      <x:c r="C546" s="233" t="n">
        <x:f>IF('دانش‌آموزان'!E50="","",'دانش‌آموزان'!B50)</x:f>
        <x:v>46</x:v>
      </x:c>
      <x:c r="D546" s="233" t="str">
        <x:f>IF('دانش‌آموزان'!C50="","",'دانش‌آموزان'!C50)</x:f>
        <x:v>4000000462</x:v>
      </x:c>
      <x:c r="E546" s="233" t="str">
        <x:f>IF('دانش‌آموزان'!E50="","",'دانش‌آموزان'!E50&amp;" "&amp;'دانش‌آموزان'!F50)</x:f>
        <x:v>سارا خلیلی</x:v>
      </x:c>
      <x:c r="F546" s="166" t="str">
        <x:f>IF('دانش‌آموزان'!I50="","",'دانش‌آموزان'!I50)</x:f>
        <x:v>sample-7-b</x:v>
      </x:c>
      <x:c r="G546" s="114"/>
      <x:c r="H546" s="115"/>
      <x:c r="I546" s="115"/>
      <x:c r="J546" s="115"/>
      <x:c r="K546" s="115"/>
      <x:c r="L546" s="115"/>
      <x:c r="M546" s="115"/>
      <x:c r="N546" s="115"/>
      <x:c r="O546" s="115"/>
      <x:c r="P546" s="115"/>
      <x:c r="Q546" s="115"/>
      <x:c r="R546" s="115"/>
      <x:c r="S546" s="115"/>
      <x:c r="T546" s="115"/>
      <x:c r="U546" s="115"/>
      <x:c r="V546" s="115"/>
      <x:c r="W546" s="115"/>
      <x:c r="X546" s="115"/>
      <x:c r="Y546" s="115"/>
      <x:c r="Z546" s="115"/>
      <x:c r="AA546" s="115"/>
      <x:c r="AB546" s="115"/>
      <x:c r="AC546" s="115"/>
      <x:c r="AD546" s="115"/>
      <x:c r="AE546" s="115"/>
      <x:c r="AF546" s="115"/>
      <x:c r="AG546" s="115"/>
      <x:c r="AH546" s="115"/>
      <x:c r="AI546" s="115"/>
      <x:c r="AJ546" s="115"/>
      <x:c r="AK546" s="115"/>
      <x:c r="AL546" s="115"/>
      <x:c r="AM546" s="115"/>
      <x:c r="AN546" s="115"/>
      <x:c r="AO546" s="115"/>
      <x:c r="AP546" s="115"/>
      <x:c r="AQ546" s="115"/>
      <x:c r="AR546" s="115"/>
      <x:c r="AS546" s="115"/>
      <x:c r="AT546" s="115"/>
      <x:c r="AU546" s="115"/>
      <x:c r="AV546" s="115"/>
      <x:c r="AW546" s="115"/>
      <x:c r="AX546" s="115"/>
      <x:c r="AY546" s="115"/>
      <x:c r="AZ546" s="115"/>
      <x:c r="BA546" s="115"/>
      <x:c r="BB546" s="115"/>
      <x:c r="BC546" s="115"/>
      <x:c r="BD546" s="115"/>
      <x:c r="BE546" s="115"/>
      <x:c r="BF546" s="115"/>
      <x:c r="BG546" s="115"/>
      <x:c r="BH546" s="115"/>
      <x:c r="BI546" s="115"/>
      <x:c r="BJ546" s="115"/>
      <x:c r="BK546" s="115"/>
      <x:c r="BL546" s="115"/>
      <x:c r="BM546" s="115"/>
      <x:c r="BN546" s="115"/>
      <x:c r="BO546" s="115"/>
      <x:c r="BP546" s="115"/>
      <x:c r="BQ546" s="115"/>
      <x:c r="BR546" s="115"/>
      <x:c r="BS546" s="115"/>
      <x:c r="BT546" s="115"/>
      <x:c r="BU546" s="115"/>
      <x:c r="BV546" s="115"/>
      <x:c r="BW546" s="115"/>
      <x:c r="BX546" s="115"/>
      <x:c r="BY546" s="115"/>
      <x:c r="BZ546" s="115"/>
      <x:c r="CA546" s="115"/>
      <x:c r="CB546" s="116"/>
      <x:c r="CC546" s="141" t="str">
        <x:f>IF(COUNT(G546:P546)=0,"",AVERAGE(G546:P546)*4)</x:f>
      </x:c>
      <x:c r="CD546" s="178" t="str">
        <x:f>IF(COUNT(Q546:Z546)=0,"",AVERAGE(Q546:Z546)*4)</x:f>
      </x:c>
      <x:c r="CE546" s="178" t="str">
        <x:f>IF(COUNT(AA546:AJ546)=0,"",AVERAGE(AA546:AJ546)*4)</x:f>
      </x:c>
      <x:c r="CF546" s="178" t="str">
        <x:f>IF(COUNT(AK546:AR546)=0,"",AVERAGE(AK546:AR546)*4)</x:f>
      </x:c>
      <x:c r="CG546" s="178" t="str">
        <x:f>IF(COUNT(AS546:AY546)=0,"",AVERAGE(AS546:AY546)*4)</x:f>
      </x:c>
      <x:c r="CH546" s="178" t="str">
        <x:f>IF(COUNT(AZ546:BG546)=0,"",AVERAGE(AZ546:BG546)*4)</x:f>
      </x:c>
      <x:c r="CI546" s="178" t="str">
        <x:f>IF(COUNT(BH546:BN546)=0,"",AVERAGE(BH546:BN546)*4)</x:f>
      </x:c>
      <x:c r="CJ546" s="178" t="str">
        <x:f>IF(COUNT(BO546:BU546)=0,"",AVERAGE(BO546:BU546)*4)</x:f>
      </x:c>
      <x:c r="CK546" s="178" t="str">
        <x:f>IF(COUNT(BV546:CB546)=0,"",AVERAGE(BV546:CB546)*4)</x:f>
      </x:c>
      <x:c r="CL546" s="178" t="str">
        <x:f>IF(C546="","",IF(COUNT(G546:CB546)&lt;74,"",(CC546*'تنظیمات وزن‌دهی'!$C$5+CD546*'تنظیمات وزن‌دهی'!$C$6+CE546*'تنظیمات وزن‌دهی'!$C$7+CF546*'تنظیمات وزن‌دهی'!$C$8+CG546*'تنظیمات وزن‌دهی'!$C$9+CH546*'تنظیمات وزن‌دهی'!$C$10+CI546*'تنظیمات وزن‌دهی'!$C$11+CJ546*'تنظیمات وزن‌دهی'!$C$12+CK546*'تنظیمات وزن‌دهی'!$C$13)/100))</x:f>
      </x:c>
      <x:c r="CM546" s="178" t="str">
        <x:f>IF(C546="","",IF(COUNT(G546:CB546)=0,"",IF(COUNT(G546:CB546)&lt;74,"موقت - اطلاعات ناقص",IF(CL546&gt;=17,"عالی",IF(CL546&gt;=14,"خوب",IF(CL546&gt;=10,"متوسط","ضعیف"))))))</x:f>
      </x:c>
      <x:c r="CN546" s="178" t="n">
        <x:v>2</x:v>
      </x:c>
      <x:c r="CO546" s="142" t="n">
        <x:f>IF(C546="","",COUNT(G546:CB546)/74)</x:f>
        <x:v>0</x:v>
      </x:c>
      <x:c r="CP546" s="245"/>
    </x:row>
    <x:row r="547">
      <x:c r="A547" s="165" t="n">
        <x:v>543</x:v>
      </x:c>
      <x:c r="B547" s="233" t="str">
        <x:v>شهریور</x:v>
      </x:c>
      <x:c r="C547" s="233" t="n">
        <x:f>IF('دانش‌آموزان'!E50="","",'دانش‌آموزان'!B50)</x:f>
        <x:v>46</x:v>
      </x:c>
      <x:c r="D547" s="233" t="str">
        <x:f>IF('دانش‌آموزان'!C50="","",'دانش‌آموزان'!C50)</x:f>
        <x:v>4000000462</x:v>
      </x:c>
      <x:c r="E547" s="233" t="str">
        <x:f>IF('دانش‌آموزان'!E50="","",'دانش‌آموزان'!E50&amp;" "&amp;'دانش‌آموزان'!F50)</x:f>
        <x:v>سارا خلیلی</x:v>
      </x:c>
      <x:c r="F547" s="166" t="str">
        <x:f>IF('دانش‌آموزان'!I50="","",'دانش‌آموزان'!I50)</x:f>
        <x:v>sample-7-b</x:v>
      </x:c>
      <x:c r="G547" s="114"/>
      <x:c r="H547" s="115"/>
      <x:c r="I547" s="115"/>
      <x:c r="J547" s="115"/>
      <x:c r="K547" s="115"/>
      <x:c r="L547" s="115"/>
      <x:c r="M547" s="115"/>
      <x:c r="N547" s="115"/>
      <x:c r="O547" s="115"/>
      <x:c r="P547" s="115"/>
      <x:c r="Q547" s="115"/>
      <x:c r="R547" s="115"/>
      <x:c r="S547" s="115"/>
      <x:c r="T547" s="115"/>
      <x:c r="U547" s="115"/>
      <x:c r="V547" s="115"/>
      <x:c r="W547" s="115"/>
      <x:c r="X547" s="115"/>
      <x:c r="Y547" s="115"/>
      <x:c r="Z547" s="115"/>
      <x:c r="AA547" s="115"/>
      <x:c r="AB547" s="115"/>
      <x:c r="AC547" s="115"/>
      <x:c r="AD547" s="115"/>
      <x:c r="AE547" s="115"/>
      <x:c r="AF547" s="115"/>
      <x:c r="AG547" s="115"/>
      <x:c r="AH547" s="115"/>
      <x:c r="AI547" s="115"/>
      <x:c r="AJ547" s="115"/>
      <x:c r="AK547" s="115"/>
      <x:c r="AL547" s="115"/>
      <x:c r="AM547" s="115"/>
      <x:c r="AN547" s="115"/>
      <x:c r="AO547" s="115"/>
      <x:c r="AP547" s="115"/>
      <x:c r="AQ547" s="115"/>
      <x:c r="AR547" s="115"/>
      <x:c r="AS547" s="115"/>
      <x:c r="AT547" s="115"/>
      <x:c r="AU547" s="115"/>
      <x:c r="AV547" s="115"/>
      <x:c r="AW547" s="115"/>
      <x:c r="AX547" s="115"/>
      <x:c r="AY547" s="115"/>
      <x:c r="AZ547" s="115"/>
      <x:c r="BA547" s="115"/>
      <x:c r="BB547" s="115"/>
      <x:c r="BC547" s="115"/>
      <x:c r="BD547" s="115"/>
      <x:c r="BE547" s="115"/>
      <x:c r="BF547" s="115"/>
      <x:c r="BG547" s="115"/>
      <x:c r="BH547" s="115"/>
      <x:c r="BI547" s="115"/>
      <x:c r="BJ547" s="115"/>
      <x:c r="BK547" s="115"/>
      <x:c r="BL547" s="115"/>
      <x:c r="BM547" s="115"/>
      <x:c r="BN547" s="115"/>
      <x:c r="BO547" s="115"/>
      <x:c r="BP547" s="115"/>
      <x:c r="BQ547" s="115"/>
      <x:c r="BR547" s="115"/>
      <x:c r="BS547" s="115"/>
      <x:c r="BT547" s="115"/>
      <x:c r="BU547" s="115"/>
      <x:c r="BV547" s="115"/>
      <x:c r="BW547" s="115"/>
      <x:c r="BX547" s="115"/>
      <x:c r="BY547" s="115"/>
      <x:c r="BZ547" s="115"/>
      <x:c r="CA547" s="115"/>
      <x:c r="CB547" s="116"/>
      <x:c r="CC547" s="141" t="str">
        <x:f>IF(COUNT(G547:P547)=0,"",AVERAGE(G547:P547)*4)</x:f>
      </x:c>
      <x:c r="CD547" s="178" t="str">
        <x:f>IF(COUNT(Q547:Z547)=0,"",AVERAGE(Q547:Z547)*4)</x:f>
      </x:c>
      <x:c r="CE547" s="178" t="str">
        <x:f>IF(COUNT(AA547:AJ547)=0,"",AVERAGE(AA547:AJ547)*4)</x:f>
      </x:c>
      <x:c r="CF547" s="178" t="str">
        <x:f>IF(COUNT(AK547:AR547)=0,"",AVERAGE(AK547:AR547)*4)</x:f>
      </x:c>
      <x:c r="CG547" s="178" t="str">
        <x:f>IF(COUNT(AS547:AY547)=0,"",AVERAGE(AS547:AY547)*4)</x:f>
      </x:c>
      <x:c r="CH547" s="178" t="str">
        <x:f>IF(COUNT(AZ547:BG547)=0,"",AVERAGE(AZ547:BG547)*4)</x:f>
      </x:c>
      <x:c r="CI547" s="178" t="str">
        <x:f>IF(COUNT(BH547:BN547)=0,"",AVERAGE(BH547:BN547)*4)</x:f>
      </x:c>
      <x:c r="CJ547" s="178" t="str">
        <x:f>IF(COUNT(BO547:BU547)=0,"",AVERAGE(BO547:BU547)*4)</x:f>
      </x:c>
      <x:c r="CK547" s="178" t="str">
        <x:f>IF(COUNT(BV547:CB547)=0,"",AVERAGE(BV547:CB547)*4)</x:f>
      </x:c>
      <x:c r="CL547" s="178" t="str">
        <x:f>IF(C547="","",IF(COUNT(G547:CB547)&lt;74,"",(CC547*'تنظیمات وزن‌دهی'!$C$5+CD547*'تنظیمات وزن‌دهی'!$C$6+CE547*'تنظیمات وزن‌دهی'!$C$7+CF547*'تنظیمات وزن‌دهی'!$C$8+CG547*'تنظیمات وزن‌دهی'!$C$9+CH547*'تنظیمات وزن‌دهی'!$C$10+CI547*'تنظیمات وزن‌دهی'!$C$11+CJ547*'تنظیمات وزن‌دهی'!$C$12+CK547*'تنظیمات وزن‌دهی'!$C$13)/100))</x:f>
      </x:c>
      <x:c r="CM547" s="178" t="str">
        <x:f>IF(C547="","",IF(COUNT(G547:CB547)=0,"",IF(COUNT(G547:CB547)&lt;74,"موقت - اطلاعات ناقص",IF(CL547&gt;=17,"عالی",IF(CL547&gt;=14,"خوب",IF(CL547&gt;=10,"متوسط","ضعیف"))))))</x:f>
      </x:c>
      <x:c r="CN547" s="178" t="n">
        <x:v>3</x:v>
      </x:c>
      <x:c r="CO547" s="142" t="n">
        <x:f>IF(C547="","",COUNT(G547:CB547)/74)</x:f>
        <x:v>0</x:v>
      </x:c>
      <x:c r="CP547" s="245"/>
    </x:row>
    <x:row r="548">
      <x:c r="A548" s="165" t="n">
        <x:v>544</x:v>
      </x:c>
      <x:c r="B548" s="233" t="str">
        <x:v>مهر</x:v>
      </x:c>
      <x:c r="C548" s="233" t="n">
        <x:f>IF('دانش‌آموزان'!E50="","",'دانش‌آموزان'!B50)</x:f>
        <x:v>46</x:v>
      </x:c>
      <x:c r="D548" s="233" t="str">
        <x:f>IF('دانش‌آموزان'!C50="","",'دانش‌آموزان'!C50)</x:f>
        <x:v>4000000462</x:v>
      </x:c>
      <x:c r="E548" s="233" t="str">
        <x:f>IF('دانش‌آموزان'!E50="","",'دانش‌آموزان'!E50&amp;" "&amp;'دانش‌آموزان'!F50)</x:f>
        <x:v>سارا خلیلی</x:v>
      </x:c>
      <x:c r="F548" s="166" t="str">
        <x:f>IF('دانش‌آموزان'!I50="","",'دانش‌آموزان'!I50)</x:f>
        <x:v>sample-7-b</x:v>
      </x:c>
      <x:c r="G548" s="114"/>
      <x:c r="H548" s="115"/>
      <x:c r="I548" s="115"/>
      <x:c r="J548" s="115"/>
      <x:c r="K548" s="115"/>
      <x:c r="L548" s="115"/>
      <x:c r="M548" s="115"/>
      <x:c r="N548" s="115"/>
      <x:c r="O548" s="115"/>
      <x:c r="P548" s="115"/>
      <x:c r="Q548" s="115"/>
      <x:c r="R548" s="115"/>
      <x:c r="S548" s="115"/>
      <x:c r="T548" s="115"/>
      <x:c r="U548" s="115"/>
      <x:c r="V548" s="115"/>
      <x:c r="W548" s="115"/>
      <x:c r="X548" s="115"/>
      <x:c r="Y548" s="115"/>
      <x:c r="Z548" s="115"/>
      <x:c r="AA548" s="115"/>
      <x:c r="AB548" s="115"/>
      <x:c r="AC548" s="115"/>
      <x:c r="AD548" s="115"/>
      <x:c r="AE548" s="115"/>
      <x:c r="AF548" s="115"/>
      <x:c r="AG548" s="115"/>
      <x:c r="AH548" s="115"/>
      <x:c r="AI548" s="115"/>
      <x:c r="AJ548" s="115"/>
      <x:c r="AK548" s="115"/>
      <x:c r="AL548" s="115"/>
      <x:c r="AM548" s="115"/>
      <x:c r="AN548" s="115"/>
      <x:c r="AO548" s="115"/>
      <x:c r="AP548" s="115"/>
      <x:c r="AQ548" s="115"/>
      <x:c r="AR548" s="115"/>
      <x:c r="AS548" s="115"/>
      <x:c r="AT548" s="115"/>
      <x:c r="AU548" s="115"/>
      <x:c r="AV548" s="115"/>
      <x:c r="AW548" s="115"/>
      <x:c r="AX548" s="115"/>
      <x:c r="AY548" s="115"/>
      <x:c r="AZ548" s="115"/>
      <x:c r="BA548" s="115"/>
      <x:c r="BB548" s="115"/>
      <x:c r="BC548" s="115"/>
      <x:c r="BD548" s="115"/>
      <x:c r="BE548" s="115"/>
      <x:c r="BF548" s="115"/>
      <x:c r="BG548" s="115"/>
      <x:c r="BH548" s="115"/>
      <x:c r="BI548" s="115"/>
      <x:c r="BJ548" s="115"/>
      <x:c r="BK548" s="115"/>
      <x:c r="BL548" s="115"/>
      <x:c r="BM548" s="115"/>
      <x:c r="BN548" s="115"/>
      <x:c r="BO548" s="115"/>
      <x:c r="BP548" s="115"/>
      <x:c r="BQ548" s="115"/>
      <x:c r="BR548" s="115"/>
      <x:c r="BS548" s="115"/>
      <x:c r="BT548" s="115"/>
      <x:c r="BU548" s="115"/>
      <x:c r="BV548" s="115"/>
      <x:c r="BW548" s="115"/>
      <x:c r="BX548" s="115"/>
      <x:c r="BY548" s="115"/>
      <x:c r="BZ548" s="115"/>
      <x:c r="CA548" s="115"/>
      <x:c r="CB548" s="116"/>
      <x:c r="CC548" s="141" t="str">
        <x:f>IF(COUNT(G548:P548)=0,"",AVERAGE(G548:P548)*4)</x:f>
      </x:c>
      <x:c r="CD548" s="178" t="str">
        <x:f>IF(COUNT(Q548:Z548)=0,"",AVERAGE(Q548:Z548)*4)</x:f>
      </x:c>
      <x:c r="CE548" s="178" t="str">
        <x:f>IF(COUNT(AA548:AJ548)=0,"",AVERAGE(AA548:AJ548)*4)</x:f>
      </x:c>
      <x:c r="CF548" s="178" t="str">
        <x:f>IF(COUNT(AK548:AR548)=0,"",AVERAGE(AK548:AR548)*4)</x:f>
      </x:c>
      <x:c r="CG548" s="178" t="str">
        <x:f>IF(COUNT(AS548:AY548)=0,"",AVERAGE(AS548:AY548)*4)</x:f>
      </x:c>
      <x:c r="CH548" s="178" t="str">
        <x:f>IF(COUNT(AZ548:BG548)=0,"",AVERAGE(AZ548:BG548)*4)</x:f>
      </x:c>
      <x:c r="CI548" s="178" t="str">
        <x:f>IF(COUNT(BH548:BN548)=0,"",AVERAGE(BH548:BN548)*4)</x:f>
      </x:c>
      <x:c r="CJ548" s="178" t="str">
        <x:f>IF(COUNT(BO548:BU548)=0,"",AVERAGE(BO548:BU548)*4)</x:f>
      </x:c>
      <x:c r="CK548" s="178" t="str">
        <x:f>IF(COUNT(BV548:CB548)=0,"",AVERAGE(BV548:CB548)*4)</x:f>
      </x:c>
      <x:c r="CL548" s="178" t="str">
        <x:f>IF(C548="","",IF(COUNT(G548:CB548)&lt;74,"",(CC548*'تنظیمات وزن‌دهی'!$C$5+CD548*'تنظیمات وزن‌دهی'!$C$6+CE548*'تنظیمات وزن‌دهی'!$C$7+CF548*'تنظیمات وزن‌دهی'!$C$8+CG548*'تنظیمات وزن‌دهی'!$C$9+CH548*'تنظیمات وزن‌دهی'!$C$10+CI548*'تنظیمات وزن‌دهی'!$C$11+CJ548*'تنظیمات وزن‌دهی'!$C$12+CK548*'تنظیمات وزن‌دهی'!$C$13)/100))</x:f>
      </x:c>
      <x:c r="CM548" s="178" t="str">
        <x:f>IF(C548="","",IF(COUNT(G548:CB548)=0,"",IF(COUNT(G548:CB548)&lt;74,"موقت - اطلاعات ناقص",IF(CL548&gt;=17,"عالی",IF(CL548&gt;=14,"خوب",IF(CL548&gt;=10,"متوسط","ضعیف"))))))</x:f>
      </x:c>
      <x:c r="CN548" s="178" t="n">
        <x:v>4</x:v>
      </x:c>
      <x:c r="CO548" s="142" t="n">
        <x:f>IF(C548="","",COUNT(G548:CB548)/74)</x:f>
        <x:v>0</x:v>
      </x:c>
      <x:c r="CP548" s="245"/>
    </x:row>
    <x:row r="549">
      <x:c r="A549" s="165" t="n">
        <x:v>545</x:v>
      </x:c>
      <x:c r="B549" s="233" t="str">
        <x:v>آبان</x:v>
      </x:c>
      <x:c r="C549" s="233" t="n">
        <x:f>IF('دانش‌آموزان'!E50="","",'دانش‌آموزان'!B50)</x:f>
        <x:v>46</x:v>
      </x:c>
      <x:c r="D549" s="233" t="str">
        <x:f>IF('دانش‌آموزان'!C50="","",'دانش‌آموزان'!C50)</x:f>
        <x:v>4000000462</x:v>
      </x:c>
      <x:c r="E549" s="233" t="str">
        <x:f>IF('دانش‌آموزان'!E50="","",'دانش‌آموزان'!E50&amp;" "&amp;'دانش‌آموزان'!F50)</x:f>
        <x:v>سارا خلیلی</x:v>
      </x:c>
      <x:c r="F549" s="166" t="str">
        <x:f>IF('دانش‌آموزان'!I50="","",'دانش‌آموزان'!I50)</x:f>
        <x:v>sample-7-b</x:v>
      </x:c>
      <x:c r="G549" s="114"/>
      <x:c r="H549" s="115"/>
      <x:c r="I549" s="115"/>
      <x:c r="J549" s="115"/>
      <x:c r="K549" s="115"/>
      <x:c r="L549" s="115"/>
      <x:c r="M549" s="115"/>
      <x:c r="N549" s="115"/>
      <x:c r="O549" s="115"/>
      <x:c r="P549" s="115"/>
      <x:c r="Q549" s="115"/>
      <x:c r="R549" s="115"/>
      <x:c r="S549" s="115"/>
      <x:c r="T549" s="115"/>
      <x:c r="U549" s="115"/>
      <x:c r="V549" s="115"/>
      <x:c r="W549" s="115"/>
      <x:c r="X549" s="115"/>
      <x:c r="Y549" s="115"/>
      <x:c r="Z549" s="115"/>
      <x:c r="AA549" s="115"/>
      <x:c r="AB549" s="115"/>
      <x:c r="AC549" s="115"/>
      <x:c r="AD549" s="115"/>
      <x:c r="AE549" s="115"/>
      <x:c r="AF549" s="115"/>
      <x:c r="AG549" s="115"/>
      <x:c r="AH549" s="115"/>
      <x:c r="AI549" s="115"/>
      <x:c r="AJ549" s="115"/>
      <x:c r="AK549" s="115"/>
      <x:c r="AL549" s="115"/>
      <x:c r="AM549" s="115"/>
      <x:c r="AN549" s="115"/>
      <x:c r="AO549" s="115"/>
      <x:c r="AP549" s="115"/>
      <x:c r="AQ549" s="115"/>
      <x:c r="AR549" s="115"/>
      <x:c r="AS549" s="115"/>
      <x:c r="AT549" s="115"/>
      <x:c r="AU549" s="115"/>
      <x:c r="AV549" s="115"/>
      <x:c r="AW549" s="115"/>
      <x:c r="AX549" s="115"/>
      <x:c r="AY549" s="115"/>
      <x:c r="AZ549" s="115"/>
      <x:c r="BA549" s="115"/>
      <x:c r="BB549" s="115"/>
      <x:c r="BC549" s="115"/>
      <x:c r="BD549" s="115"/>
      <x:c r="BE549" s="115"/>
      <x:c r="BF549" s="115"/>
      <x:c r="BG549" s="115"/>
      <x:c r="BH549" s="115"/>
      <x:c r="BI549" s="115"/>
      <x:c r="BJ549" s="115"/>
      <x:c r="BK549" s="115"/>
      <x:c r="BL549" s="115"/>
      <x:c r="BM549" s="115"/>
      <x:c r="BN549" s="115"/>
      <x:c r="BO549" s="115"/>
      <x:c r="BP549" s="115"/>
      <x:c r="BQ549" s="115"/>
      <x:c r="BR549" s="115"/>
      <x:c r="BS549" s="115"/>
      <x:c r="BT549" s="115"/>
      <x:c r="BU549" s="115"/>
      <x:c r="BV549" s="115"/>
      <x:c r="BW549" s="115"/>
      <x:c r="BX549" s="115"/>
      <x:c r="BY549" s="115"/>
      <x:c r="BZ549" s="115"/>
      <x:c r="CA549" s="115"/>
      <x:c r="CB549" s="116"/>
      <x:c r="CC549" s="141" t="str">
        <x:f>IF(COUNT(G549:P549)=0,"",AVERAGE(G549:P549)*4)</x:f>
      </x:c>
      <x:c r="CD549" s="178" t="str">
        <x:f>IF(COUNT(Q549:Z549)=0,"",AVERAGE(Q549:Z549)*4)</x:f>
      </x:c>
      <x:c r="CE549" s="178" t="str">
        <x:f>IF(COUNT(AA549:AJ549)=0,"",AVERAGE(AA549:AJ549)*4)</x:f>
      </x:c>
      <x:c r="CF549" s="178" t="str">
        <x:f>IF(COUNT(AK549:AR549)=0,"",AVERAGE(AK549:AR549)*4)</x:f>
      </x:c>
      <x:c r="CG549" s="178" t="str">
        <x:f>IF(COUNT(AS549:AY549)=0,"",AVERAGE(AS549:AY549)*4)</x:f>
      </x:c>
      <x:c r="CH549" s="178" t="str">
        <x:f>IF(COUNT(AZ549:BG549)=0,"",AVERAGE(AZ549:BG549)*4)</x:f>
      </x:c>
      <x:c r="CI549" s="178" t="str">
        <x:f>IF(COUNT(BH549:BN549)=0,"",AVERAGE(BH549:BN549)*4)</x:f>
      </x:c>
      <x:c r="CJ549" s="178" t="str">
        <x:f>IF(COUNT(BO549:BU549)=0,"",AVERAGE(BO549:BU549)*4)</x:f>
      </x:c>
      <x:c r="CK549" s="178" t="str">
        <x:f>IF(COUNT(BV549:CB549)=0,"",AVERAGE(BV549:CB549)*4)</x:f>
      </x:c>
      <x:c r="CL549" s="178" t="str">
        <x:f>IF(C549="","",IF(COUNT(G549:CB549)&lt;74,"",(CC549*'تنظیمات وزن‌دهی'!$C$5+CD549*'تنظیمات وزن‌دهی'!$C$6+CE549*'تنظیمات وزن‌دهی'!$C$7+CF549*'تنظیمات وزن‌دهی'!$C$8+CG549*'تنظیمات وزن‌دهی'!$C$9+CH549*'تنظیمات وزن‌دهی'!$C$10+CI549*'تنظیمات وزن‌دهی'!$C$11+CJ549*'تنظیمات وزن‌دهی'!$C$12+CK549*'تنظیمات وزن‌دهی'!$C$13)/100))</x:f>
      </x:c>
      <x:c r="CM549" s="178" t="str">
        <x:f>IF(C549="","",IF(COUNT(G549:CB549)=0,"",IF(COUNT(G549:CB549)&lt;74,"موقت - اطلاعات ناقص",IF(CL549&gt;=17,"عالی",IF(CL549&gt;=14,"خوب",IF(CL549&gt;=10,"متوسط","ضعیف"))))))</x:f>
      </x:c>
      <x:c r="CN549" s="178" t="n">
        <x:v>5</x:v>
      </x:c>
      <x:c r="CO549" s="142" t="n">
        <x:f>IF(C549="","",COUNT(G549:CB549)/74)</x:f>
        <x:v>0</x:v>
      </x:c>
      <x:c r="CP549" s="245"/>
    </x:row>
    <x:row r="550">
      <x:c r="A550" s="165" t="n">
        <x:v>546</x:v>
      </x:c>
      <x:c r="B550" s="233" t="str">
        <x:v>آذر</x:v>
      </x:c>
      <x:c r="C550" s="233" t="n">
        <x:f>IF('دانش‌آموزان'!E50="","",'دانش‌آموزان'!B50)</x:f>
        <x:v>46</x:v>
      </x:c>
      <x:c r="D550" s="233" t="str">
        <x:f>IF('دانش‌آموزان'!C50="","",'دانش‌آموزان'!C50)</x:f>
        <x:v>4000000462</x:v>
      </x:c>
      <x:c r="E550" s="233" t="str">
        <x:f>IF('دانش‌آموزان'!E50="","",'دانش‌آموزان'!E50&amp;" "&amp;'دانش‌آموزان'!F50)</x:f>
        <x:v>سارا خلیلی</x:v>
      </x:c>
      <x:c r="F550" s="166" t="str">
        <x:f>IF('دانش‌آموزان'!I50="","",'دانش‌آموزان'!I50)</x:f>
        <x:v>sample-7-b</x:v>
      </x:c>
      <x:c r="G550" s="114"/>
      <x:c r="H550" s="115"/>
      <x:c r="I550" s="115"/>
      <x:c r="J550" s="115"/>
      <x:c r="K550" s="115"/>
      <x:c r="L550" s="115"/>
      <x:c r="M550" s="115"/>
      <x:c r="N550" s="115"/>
      <x:c r="O550" s="115"/>
      <x:c r="P550" s="115"/>
      <x:c r="Q550" s="115"/>
      <x:c r="R550" s="115"/>
      <x:c r="S550" s="115"/>
      <x:c r="T550" s="115"/>
      <x:c r="U550" s="115"/>
      <x:c r="V550" s="115"/>
      <x:c r="W550" s="115"/>
      <x:c r="X550" s="115"/>
      <x:c r="Y550" s="115"/>
      <x:c r="Z550" s="115"/>
      <x:c r="AA550" s="115"/>
      <x:c r="AB550" s="115"/>
      <x:c r="AC550" s="115"/>
      <x:c r="AD550" s="115"/>
      <x:c r="AE550" s="115"/>
      <x:c r="AF550" s="115"/>
      <x:c r="AG550" s="115"/>
      <x:c r="AH550" s="115"/>
      <x:c r="AI550" s="115"/>
      <x:c r="AJ550" s="115"/>
      <x:c r="AK550" s="115"/>
      <x:c r="AL550" s="115"/>
      <x:c r="AM550" s="115"/>
      <x:c r="AN550" s="115"/>
      <x:c r="AO550" s="115"/>
      <x:c r="AP550" s="115"/>
      <x:c r="AQ550" s="115"/>
      <x:c r="AR550" s="115"/>
      <x:c r="AS550" s="115"/>
      <x:c r="AT550" s="115"/>
      <x:c r="AU550" s="115"/>
      <x:c r="AV550" s="115"/>
      <x:c r="AW550" s="115"/>
      <x:c r="AX550" s="115"/>
      <x:c r="AY550" s="115"/>
      <x:c r="AZ550" s="115"/>
      <x:c r="BA550" s="115"/>
      <x:c r="BB550" s="115"/>
      <x:c r="BC550" s="115"/>
      <x:c r="BD550" s="115"/>
      <x:c r="BE550" s="115"/>
      <x:c r="BF550" s="115"/>
      <x:c r="BG550" s="115"/>
      <x:c r="BH550" s="115"/>
      <x:c r="BI550" s="115"/>
      <x:c r="BJ550" s="115"/>
      <x:c r="BK550" s="115"/>
      <x:c r="BL550" s="115"/>
      <x:c r="BM550" s="115"/>
      <x:c r="BN550" s="115"/>
      <x:c r="BO550" s="115"/>
      <x:c r="BP550" s="115"/>
      <x:c r="BQ550" s="115"/>
      <x:c r="BR550" s="115"/>
      <x:c r="BS550" s="115"/>
      <x:c r="BT550" s="115"/>
      <x:c r="BU550" s="115"/>
      <x:c r="BV550" s="115"/>
      <x:c r="BW550" s="115"/>
      <x:c r="BX550" s="115"/>
      <x:c r="BY550" s="115"/>
      <x:c r="BZ550" s="115"/>
      <x:c r="CA550" s="115"/>
      <x:c r="CB550" s="116"/>
      <x:c r="CC550" s="141" t="str">
        <x:f>IF(COUNT(G550:P550)=0,"",AVERAGE(G550:P550)*4)</x:f>
      </x:c>
      <x:c r="CD550" s="178" t="str">
        <x:f>IF(COUNT(Q550:Z550)=0,"",AVERAGE(Q550:Z550)*4)</x:f>
      </x:c>
      <x:c r="CE550" s="178" t="str">
        <x:f>IF(COUNT(AA550:AJ550)=0,"",AVERAGE(AA550:AJ550)*4)</x:f>
      </x:c>
      <x:c r="CF550" s="178" t="str">
        <x:f>IF(COUNT(AK550:AR550)=0,"",AVERAGE(AK550:AR550)*4)</x:f>
      </x:c>
      <x:c r="CG550" s="178" t="str">
        <x:f>IF(COUNT(AS550:AY550)=0,"",AVERAGE(AS550:AY550)*4)</x:f>
      </x:c>
      <x:c r="CH550" s="178" t="str">
        <x:f>IF(COUNT(AZ550:BG550)=0,"",AVERAGE(AZ550:BG550)*4)</x:f>
      </x:c>
      <x:c r="CI550" s="178" t="str">
        <x:f>IF(COUNT(BH550:BN550)=0,"",AVERAGE(BH550:BN550)*4)</x:f>
      </x:c>
      <x:c r="CJ550" s="178" t="str">
        <x:f>IF(COUNT(BO550:BU550)=0,"",AVERAGE(BO550:BU550)*4)</x:f>
      </x:c>
      <x:c r="CK550" s="178" t="str">
        <x:f>IF(COUNT(BV550:CB550)=0,"",AVERAGE(BV550:CB550)*4)</x:f>
      </x:c>
      <x:c r="CL550" s="178" t="str">
        <x:f>IF(C550="","",IF(COUNT(G550:CB550)&lt;74,"",(CC550*'تنظیمات وزن‌دهی'!$C$5+CD550*'تنظیمات وزن‌دهی'!$C$6+CE550*'تنظیمات وزن‌دهی'!$C$7+CF550*'تنظیمات وزن‌دهی'!$C$8+CG550*'تنظیمات وزن‌دهی'!$C$9+CH550*'تنظیمات وزن‌دهی'!$C$10+CI550*'تنظیمات وزن‌دهی'!$C$11+CJ550*'تنظیمات وزن‌دهی'!$C$12+CK550*'تنظیمات وزن‌دهی'!$C$13)/100))</x:f>
      </x:c>
      <x:c r="CM550" s="178" t="str">
        <x:f>IF(C550="","",IF(COUNT(G550:CB550)=0,"",IF(COUNT(G550:CB550)&lt;74,"موقت - اطلاعات ناقص",IF(CL550&gt;=17,"عالی",IF(CL550&gt;=14,"خوب",IF(CL550&gt;=10,"متوسط","ضعیف"))))))</x:f>
      </x:c>
      <x:c r="CN550" s="178" t="n">
        <x:v>6</x:v>
      </x:c>
      <x:c r="CO550" s="142" t="n">
        <x:f>IF(C550="","",COUNT(G550:CB550)/74)</x:f>
        <x:v>0</x:v>
      </x:c>
      <x:c r="CP550" s="245"/>
    </x:row>
    <x:row r="551">
      <x:c r="A551" s="165" t="n">
        <x:v>547</x:v>
      </x:c>
      <x:c r="B551" s="233" t="str">
        <x:v>دی</x:v>
      </x:c>
      <x:c r="C551" s="233" t="n">
        <x:f>IF('دانش‌آموزان'!E50="","",'دانش‌آموزان'!B50)</x:f>
        <x:v>46</x:v>
      </x:c>
      <x:c r="D551" s="233" t="str">
        <x:f>IF('دانش‌آموزان'!C50="","",'دانش‌آموزان'!C50)</x:f>
        <x:v>4000000462</x:v>
      </x:c>
      <x:c r="E551" s="233" t="str">
        <x:f>IF('دانش‌آموزان'!E50="","",'دانش‌آموزان'!E50&amp;" "&amp;'دانش‌آموزان'!F50)</x:f>
        <x:v>سارا خلیلی</x:v>
      </x:c>
      <x:c r="F551" s="166" t="str">
        <x:f>IF('دانش‌آموزان'!I50="","",'دانش‌آموزان'!I50)</x:f>
        <x:v>sample-7-b</x:v>
      </x:c>
      <x:c r="G551" s="114"/>
      <x:c r="H551" s="115"/>
      <x:c r="I551" s="115"/>
      <x:c r="J551" s="115"/>
      <x:c r="K551" s="115"/>
      <x:c r="L551" s="115"/>
      <x:c r="M551" s="115"/>
      <x:c r="N551" s="115"/>
      <x:c r="O551" s="115"/>
      <x:c r="P551" s="115"/>
      <x:c r="Q551" s="115"/>
      <x:c r="R551" s="115"/>
      <x:c r="S551" s="115"/>
      <x:c r="T551" s="115"/>
      <x:c r="U551" s="115"/>
      <x:c r="V551" s="115"/>
      <x:c r="W551" s="115"/>
      <x:c r="X551" s="115"/>
      <x:c r="Y551" s="115"/>
      <x:c r="Z551" s="115"/>
      <x:c r="AA551" s="115"/>
      <x:c r="AB551" s="115"/>
      <x:c r="AC551" s="115"/>
      <x:c r="AD551" s="115"/>
      <x:c r="AE551" s="115"/>
      <x:c r="AF551" s="115"/>
      <x:c r="AG551" s="115"/>
      <x:c r="AH551" s="115"/>
      <x:c r="AI551" s="115"/>
      <x:c r="AJ551" s="115"/>
      <x:c r="AK551" s="115"/>
      <x:c r="AL551" s="115"/>
      <x:c r="AM551" s="115"/>
      <x:c r="AN551" s="115"/>
      <x:c r="AO551" s="115"/>
      <x:c r="AP551" s="115"/>
      <x:c r="AQ551" s="115"/>
      <x:c r="AR551" s="115"/>
      <x:c r="AS551" s="115"/>
      <x:c r="AT551" s="115"/>
      <x:c r="AU551" s="115"/>
      <x:c r="AV551" s="115"/>
      <x:c r="AW551" s="115"/>
      <x:c r="AX551" s="115"/>
      <x:c r="AY551" s="115"/>
      <x:c r="AZ551" s="115"/>
      <x:c r="BA551" s="115"/>
      <x:c r="BB551" s="115"/>
      <x:c r="BC551" s="115"/>
      <x:c r="BD551" s="115"/>
      <x:c r="BE551" s="115"/>
      <x:c r="BF551" s="115"/>
      <x:c r="BG551" s="115"/>
      <x:c r="BH551" s="115"/>
      <x:c r="BI551" s="115"/>
      <x:c r="BJ551" s="115"/>
      <x:c r="BK551" s="115"/>
      <x:c r="BL551" s="115"/>
      <x:c r="BM551" s="115"/>
      <x:c r="BN551" s="115"/>
      <x:c r="BO551" s="115"/>
      <x:c r="BP551" s="115"/>
      <x:c r="BQ551" s="115"/>
      <x:c r="BR551" s="115"/>
      <x:c r="BS551" s="115"/>
      <x:c r="BT551" s="115"/>
      <x:c r="BU551" s="115"/>
      <x:c r="BV551" s="115"/>
      <x:c r="BW551" s="115"/>
      <x:c r="BX551" s="115"/>
      <x:c r="BY551" s="115"/>
      <x:c r="BZ551" s="115"/>
      <x:c r="CA551" s="115"/>
      <x:c r="CB551" s="116"/>
      <x:c r="CC551" s="141" t="str">
        <x:f>IF(COUNT(G551:P551)=0,"",AVERAGE(G551:P551)*4)</x:f>
      </x:c>
      <x:c r="CD551" s="178" t="str">
        <x:f>IF(COUNT(Q551:Z551)=0,"",AVERAGE(Q551:Z551)*4)</x:f>
      </x:c>
      <x:c r="CE551" s="178" t="str">
        <x:f>IF(COUNT(AA551:AJ551)=0,"",AVERAGE(AA551:AJ551)*4)</x:f>
      </x:c>
      <x:c r="CF551" s="178" t="str">
        <x:f>IF(COUNT(AK551:AR551)=0,"",AVERAGE(AK551:AR551)*4)</x:f>
      </x:c>
      <x:c r="CG551" s="178" t="str">
        <x:f>IF(COUNT(AS551:AY551)=0,"",AVERAGE(AS551:AY551)*4)</x:f>
      </x:c>
      <x:c r="CH551" s="178" t="str">
        <x:f>IF(COUNT(AZ551:BG551)=0,"",AVERAGE(AZ551:BG551)*4)</x:f>
      </x:c>
      <x:c r="CI551" s="178" t="str">
        <x:f>IF(COUNT(BH551:BN551)=0,"",AVERAGE(BH551:BN551)*4)</x:f>
      </x:c>
      <x:c r="CJ551" s="178" t="str">
        <x:f>IF(COUNT(BO551:BU551)=0,"",AVERAGE(BO551:BU551)*4)</x:f>
      </x:c>
      <x:c r="CK551" s="178" t="str">
        <x:f>IF(COUNT(BV551:CB551)=0,"",AVERAGE(BV551:CB551)*4)</x:f>
      </x:c>
      <x:c r="CL551" s="178" t="str">
        <x:f>IF(C551="","",IF(COUNT(G551:CB551)&lt;74,"",(CC551*'تنظیمات وزن‌دهی'!$C$5+CD551*'تنظیمات وزن‌دهی'!$C$6+CE551*'تنظیمات وزن‌دهی'!$C$7+CF551*'تنظیمات وزن‌دهی'!$C$8+CG551*'تنظیمات وزن‌دهی'!$C$9+CH551*'تنظیمات وزن‌دهی'!$C$10+CI551*'تنظیمات وزن‌دهی'!$C$11+CJ551*'تنظیمات وزن‌دهی'!$C$12+CK551*'تنظیمات وزن‌دهی'!$C$13)/100))</x:f>
      </x:c>
      <x:c r="CM551" s="178" t="str">
        <x:f>IF(C551="","",IF(COUNT(G551:CB551)=0,"",IF(COUNT(G551:CB551)&lt;74,"موقت - اطلاعات ناقص",IF(CL551&gt;=17,"عالی",IF(CL551&gt;=14,"خوب",IF(CL551&gt;=10,"متوسط","ضعیف"))))))</x:f>
      </x:c>
      <x:c r="CN551" s="178" t="n">
        <x:v>7</x:v>
      </x:c>
      <x:c r="CO551" s="142" t="n">
        <x:f>IF(C551="","",COUNT(G551:CB551)/74)</x:f>
        <x:v>0</x:v>
      </x:c>
      <x:c r="CP551" s="245"/>
    </x:row>
    <x:row r="552">
      <x:c r="A552" s="165" t="n">
        <x:v>548</x:v>
      </x:c>
      <x:c r="B552" s="233" t="str">
        <x:v>بهمن</x:v>
      </x:c>
      <x:c r="C552" s="233" t="n">
        <x:f>IF('دانش‌آموزان'!E50="","",'دانش‌آموزان'!B50)</x:f>
        <x:v>46</x:v>
      </x:c>
      <x:c r="D552" s="233" t="str">
        <x:f>IF('دانش‌آموزان'!C50="","",'دانش‌آموزان'!C50)</x:f>
        <x:v>4000000462</x:v>
      </x:c>
      <x:c r="E552" s="233" t="str">
        <x:f>IF('دانش‌آموزان'!E50="","",'دانش‌آموزان'!E50&amp;" "&amp;'دانش‌آموزان'!F50)</x:f>
        <x:v>سارا خلیلی</x:v>
      </x:c>
      <x:c r="F552" s="166" t="str">
        <x:f>IF('دانش‌آموزان'!I50="","",'دانش‌آموزان'!I50)</x:f>
        <x:v>sample-7-b</x:v>
      </x:c>
      <x:c r="G552" s="114"/>
      <x:c r="H552" s="115"/>
      <x:c r="I552" s="115"/>
      <x:c r="J552" s="115"/>
      <x:c r="K552" s="115"/>
      <x:c r="L552" s="115"/>
      <x:c r="M552" s="115"/>
      <x:c r="N552" s="115"/>
      <x:c r="O552" s="115"/>
      <x:c r="P552" s="115"/>
      <x:c r="Q552" s="115"/>
      <x:c r="R552" s="115"/>
      <x:c r="S552" s="115"/>
      <x:c r="T552" s="115"/>
      <x:c r="U552" s="115"/>
      <x:c r="V552" s="115"/>
      <x:c r="W552" s="115"/>
      <x:c r="X552" s="115"/>
      <x:c r="Y552" s="115"/>
      <x:c r="Z552" s="115"/>
      <x:c r="AA552" s="115"/>
      <x:c r="AB552" s="115"/>
      <x:c r="AC552" s="115"/>
      <x:c r="AD552" s="115"/>
      <x:c r="AE552" s="115"/>
      <x:c r="AF552" s="115"/>
      <x:c r="AG552" s="115"/>
      <x:c r="AH552" s="115"/>
      <x:c r="AI552" s="115"/>
      <x:c r="AJ552" s="115"/>
      <x:c r="AK552" s="115"/>
      <x:c r="AL552" s="115"/>
      <x:c r="AM552" s="115"/>
      <x:c r="AN552" s="115"/>
      <x:c r="AO552" s="115"/>
      <x:c r="AP552" s="115"/>
      <x:c r="AQ552" s="115"/>
      <x:c r="AR552" s="115"/>
      <x:c r="AS552" s="115"/>
      <x:c r="AT552" s="115"/>
      <x:c r="AU552" s="115"/>
      <x:c r="AV552" s="115"/>
      <x:c r="AW552" s="115"/>
      <x:c r="AX552" s="115"/>
      <x:c r="AY552" s="115"/>
      <x:c r="AZ552" s="115"/>
      <x:c r="BA552" s="115"/>
      <x:c r="BB552" s="115"/>
      <x:c r="BC552" s="115"/>
      <x:c r="BD552" s="115"/>
      <x:c r="BE552" s="115"/>
      <x:c r="BF552" s="115"/>
      <x:c r="BG552" s="115"/>
      <x:c r="BH552" s="115"/>
      <x:c r="BI552" s="115"/>
      <x:c r="BJ552" s="115"/>
      <x:c r="BK552" s="115"/>
      <x:c r="BL552" s="115"/>
      <x:c r="BM552" s="115"/>
      <x:c r="BN552" s="115"/>
      <x:c r="BO552" s="115"/>
      <x:c r="BP552" s="115"/>
      <x:c r="BQ552" s="115"/>
      <x:c r="BR552" s="115"/>
      <x:c r="BS552" s="115"/>
      <x:c r="BT552" s="115"/>
      <x:c r="BU552" s="115"/>
      <x:c r="BV552" s="115"/>
      <x:c r="BW552" s="115"/>
      <x:c r="BX552" s="115"/>
      <x:c r="BY552" s="115"/>
      <x:c r="BZ552" s="115"/>
      <x:c r="CA552" s="115"/>
      <x:c r="CB552" s="116"/>
      <x:c r="CC552" s="141" t="str">
        <x:f>IF(COUNT(G552:P552)=0,"",AVERAGE(G552:P552)*4)</x:f>
      </x:c>
      <x:c r="CD552" s="178" t="str">
        <x:f>IF(COUNT(Q552:Z552)=0,"",AVERAGE(Q552:Z552)*4)</x:f>
      </x:c>
      <x:c r="CE552" s="178" t="str">
        <x:f>IF(COUNT(AA552:AJ552)=0,"",AVERAGE(AA552:AJ552)*4)</x:f>
      </x:c>
      <x:c r="CF552" s="178" t="str">
        <x:f>IF(COUNT(AK552:AR552)=0,"",AVERAGE(AK552:AR552)*4)</x:f>
      </x:c>
      <x:c r="CG552" s="178" t="str">
        <x:f>IF(COUNT(AS552:AY552)=0,"",AVERAGE(AS552:AY552)*4)</x:f>
      </x:c>
      <x:c r="CH552" s="178" t="str">
        <x:f>IF(COUNT(AZ552:BG552)=0,"",AVERAGE(AZ552:BG552)*4)</x:f>
      </x:c>
      <x:c r="CI552" s="178" t="str">
        <x:f>IF(COUNT(BH552:BN552)=0,"",AVERAGE(BH552:BN552)*4)</x:f>
      </x:c>
      <x:c r="CJ552" s="178" t="str">
        <x:f>IF(COUNT(BO552:BU552)=0,"",AVERAGE(BO552:BU552)*4)</x:f>
      </x:c>
      <x:c r="CK552" s="178" t="str">
        <x:f>IF(COUNT(BV552:CB552)=0,"",AVERAGE(BV552:CB552)*4)</x:f>
      </x:c>
      <x:c r="CL552" s="178" t="str">
        <x:f>IF(C552="","",IF(COUNT(G552:CB552)&lt;74,"",(CC552*'تنظیمات وزن‌دهی'!$C$5+CD552*'تنظیمات وزن‌دهی'!$C$6+CE552*'تنظیمات وزن‌دهی'!$C$7+CF552*'تنظیمات وزن‌دهی'!$C$8+CG552*'تنظیمات وزن‌دهی'!$C$9+CH552*'تنظیمات وزن‌دهی'!$C$10+CI552*'تنظیمات وزن‌دهی'!$C$11+CJ552*'تنظیمات وزن‌دهی'!$C$12+CK552*'تنظیمات وزن‌دهی'!$C$13)/100))</x:f>
      </x:c>
      <x:c r="CM552" s="178" t="str">
        <x:f>IF(C552="","",IF(COUNT(G552:CB552)=0,"",IF(COUNT(G552:CB552)&lt;74,"موقت - اطلاعات ناقص",IF(CL552&gt;=17,"عالی",IF(CL552&gt;=14,"خوب",IF(CL552&gt;=10,"متوسط","ضعیف"))))))</x:f>
      </x:c>
      <x:c r="CN552" s="178" t="n">
        <x:v>8</x:v>
      </x:c>
      <x:c r="CO552" s="142" t="n">
        <x:f>IF(C552="","",COUNT(G552:CB552)/74)</x:f>
        <x:v>0</x:v>
      </x:c>
      <x:c r="CP552" s="245"/>
    </x:row>
    <x:row r="553">
      <x:c r="A553" s="165" t="n">
        <x:v>549</x:v>
      </x:c>
      <x:c r="B553" s="233" t="str">
        <x:v>اسفند</x:v>
      </x:c>
      <x:c r="C553" s="233" t="n">
        <x:f>IF('دانش‌آموزان'!E50="","",'دانش‌آموزان'!B50)</x:f>
        <x:v>46</x:v>
      </x:c>
      <x:c r="D553" s="233" t="str">
        <x:f>IF('دانش‌آموزان'!C50="","",'دانش‌آموزان'!C50)</x:f>
        <x:v>4000000462</x:v>
      </x:c>
      <x:c r="E553" s="233" t="str">
        <x:f>IF('دانش‌آموزان'!E50="","",'دانش‌آموزان'!E50&amp;" "&amp;'دانش‌آموزان'!F50)</x:f>
        <x:v>سارا خلیلی</x:v>
      </x:c>
      <x:c r="F553" s="166" t="str">
        <x:f>IF('دانش‌آموزان'!I50="","",'دانش‌آموزان'!I50)</x:f>
        <x:v>sample-7-b</x:v>
      </x:c>
      <x:c r="G553" s="114"/>
      <x:c r="H553" s="115"/>
      <x:c r="I553" s="115"/>
      <x:c r="J553" s="115"/>
      <x:c r="K553" s="115"/>
      <x:c r="L553" s="115"/>
      <x:c r="M553" s="115"/>
      <x:c r="N553" s="115"/>
      <x:c r="O553" s="115"/>
      <x:c r="P553" s="115"/>
      <x:c r="Q553" s="115"/>
      <x:c r="R553" s="115"/>
      <x:c r="S553" s="115"/>
      <x:c r="T553" s="115"/>
      <x:c r="U553" s="115"/>
      <x:c r="V553" s="115"/>
      <x:c r="W553" s="115"/>
      <x:c r="X553" s="115"/>
      <x:c r="Y553" s="115"/>
      <x:c r="Z553" s="115"/>
      <x:c r="AA553" s="115"/>
      <x:c r="AB553" s="115"/>
      <x:c r="AC553" s="115"/>
      <x:c r="AD553" s="115"/>
      <x:c r="AE553" s="115"/>
      <x:c r="AF553" s="115"/>
      <x:c r="AG553" s="115"/>
      <x:c r="AH553" s="115"/>
      <x:c r="AI553" s="115"/>
      <x:c r="AJ553" s="115"/>
      <x:c r="AK553" s="115"/>
      <x:c r="AL553" s="115"/>
      <x:c r="AM553" s="115"/>
      <x:c r="AN553" s="115"/>
      <x:c r="AO553" s="115"/>
      <x:c r="AP553" s="115"/>
      <x:c r="AQ553" s="115"/>
      <x:c r="AR553" s="115"/>
      <x:c r="AS553" s="115"/>
      <x:c r="AT553" s="115"/>
      <x:c r="AU553" s="115"/>
      <x:c r="AV553" s="115"/>
      <x:c r="AW553" s="115"/>
      <x:c r="AX553" s="115"/>
      <x:c r="AY553" s="115"/>
      <x:c r="AZ553" s="115"/>
      <x:c r="BA553" s="115"/>
      <x:c r="BB553" s="115"/>
      <x:c r="BC553" s="115"/>
      <x:c r="BD553" s="115"/>
      <x:c r="BE553" s="115"/>
      <x:c r="BF553" s="115"/>
      <x:c r="BG553" s="115"/>
      <x:c r="BH553" s="115"/>
      <x:c r="BI553" s="115"/>
      <x:c r="BJ553" s="115"/>
      <x:c r="BK553" s="115"/>
      <x:c r="BL553" s="115"/>
      <x:c r="BM553" s="115"/>
      <x:c r="BN553" s="115"/>
      <x:c r="BO553" s="115"/>
      <x:c r="BP553" s="115"/>
      <x:c r="BQ553" s="115"/>
      <x:c r="BR553" s="115"/>
      <x:c r="BS553" s="115"/>
      <x:c r="BT553" s="115"/>
      <x:c r="BU553" s="115"/>
      <x:c r="BV553" s="115"/>
      <x:c r="BW553" s="115"/>
      <x:c r="BX553" s="115"/>
      <x:c r="BY553" s="115"/>
      <x:c r="BZ553" s="115"/>
      <x:c r="CA553" s="115"/>
      <x:c r="CB553" s="116"/>
      <x:c r="CC553" s="141" t="str">
        <x:f>IF(COUNT(G553:P553)=0,"",AVERAGE(G553:P553)*4)</x:f>
      </x:c>
      <x:c r="CD553" s="178" t="str">
        <x:f>IF(COUNT(Q553:Z553)=0,"",AVERAGE(Q553:Z553)*4)</x:f>
      </x:c>
      <x:c r="CE553" s="178" t="str">
        <x:f>IF(COUNT(AA553:AJ553)=0,"",AVERAGE(AA553:AJ553)*4)</x:f>
      </x:c>
      <x:c r="CF553" s="178" t="str">
        <x:f>IF(COUNT(AK553:AR553)=0,"",AVERAGE(AK553:AR553)*4)</x:f>
      </x:c>
      <x:c r="CG553" s="178" t="str">
        <x:f>IF(COUNT(AS553:AY553)=0,"",AVERAGE(AS553:AY553)*4)</x:f>
      </x:c>
      <x:c r="CH553" s="178" t="str">
        <x:f>IF(COUNT(AZ553:BG553)=0,"",AVERAGE(AZ553:BG553)*4)</x:f>
      </x:c>
      <x:c r="CI553" s="178" t="str">
        <x:f>IF(COUNT(BH553:BN553)=0,"",AVERAGE(BH553:BN553)*4)</x:f>
      </x:c>
      <x:c r="CJ553" s="178" t="str">
        <x:f>IF(COUNT(BO553:BU553)=0,"",AVERAGE(BO553:BU553)*4)</x:f>
      </x:c>
      <x:c r="CK553" s="178" t="str">
        <x:f>IF(COUNT(BV553:CB553)=0,"",AVERAGE(BV553:CB553)*4)</x:f>
      </x:c>
      <x:c r="CL553" s="178" t="str">
        <x:f>IF(C553="","",IF(COUNT(G553:CB553)&lt;74,"",(CC553*'تنظیمات وزن‌دهی'!$C$5+CD553*'تنظیمات وزن‌دهی'!$C$6+CE553*'تنظیمات وزن‌دهی'!$C$7+CF553*'تنظیمات وزن‌دهی'!$C$8+CG553*'تنظیمات وزن‌دهی'!$C$9+CH553*'تنظیمات وزن‌دهی'!$C$10+CI553*'تنظیمات وزن‌دهی'!$C$11+CJ553*'تنظیمات وزن‌دهی'!$C$12+CK553*'تنظیمات وزن‌دهی'!$C$13)/100))</x:f>
      </x:c>
      <x:c r="CM553" s="178" t="str">
        <x:f>IF(C553="","",IF(COUNT(G553:CB553)=0,"",IF(COUNT(G553:CB553)&lt;74,"موقت - اطلاعات ناقص",IF(CL553&gt;=17,"عالی",IF(CL553&gt;=14,"خوب",IF(CL553&gt;=10,"متوسط","ضعیف"))))))</x:f>
      </x:c>
      <x:c r="CN553" s="178" t="n">
        <x:v>9</x:v>
      </x:c>
      <x:c r="CO553" s="142" t="n">
        <x:f>IF(C553="","",COUNT(G553:CB553)/74)</x:f>
        <x:v>0</x:v>
      </x:c>
      <x:c r="CP553" s="245"/>
    </x:row>
    <x:row r="554">
      <x:c r="A554" s="165" t="n">
        <x:v>550</x:v>
      </x:c>
      <x:c r="B554" s="233" t="str">
        <x:v>فروردین</x:v>
      </x:c>
      <x:c r="C554" s="233" t="n">
        <x:f>IF('دانش‌آموزان'!E50="","",'دانش‌آموزان'!B50)</x:f>
        <x:v>46</x:v>
      </x:c>
      <x:c r="D554" s="233" t="str">
        <x:f>IF('دانش‌آموزان'!C50="","",'دانش‌آموزان'!C50)</x:f>
        <x:v>4000000462</x:v>
      </x:c>
      <x:c r="E554" s="233" t="str">
        <x:f>IF('دانش‌آموزان'!E50="","",'دانش‌آموزان'!E50&amp;" "&amp;'دانش‌آموزان'!F50)</x:f>
        <x:v>سارا خلیلی</x:v>
      </x:c>
      <x:c r="F554" s="166" t="str">
        <x:f>IF('دانش‌آموزان'!I50="","",'دانش‌آموزان'!I50)</x:f>
        <x:v>sample-7-b</x:v>
      </x:c>
      <x:c r="G554" s="114"/>
      <x:c r="H554" s="115"/>
      <x:c r="I554" s="115"/>
      <x:c r="J554" s="115"/>
      <x:c r="K554" s="115"/>
      <x:c r="L554" s="115"/>
      <x:c r="M554" s="115"/>
      <x:c r="N554" s="115"/>
      <x:c r="O554" s="115"/>
      <x:c r="P554" s="115"/>
      <x:c r="Q554" s="115"/>
      <x:c r="R554" s="115"/>
      <x:c r="S554" s="115"/>
      <x:c r="T554" s="115"/>
      <x:c r="U554" s="115"/>
      <x:c r="V554" s="115"/>
      <x:c r="W554" s="115"/>
      <x:c r="X554" s="115"/>
      <x:c r="Y554" s="115"/>
      <x:c r="Z554" s="115"/>
      <x:c r="AA554" s="115"/>
      <x:c r="AB554" s="115"/>
      <x:c r="AC554" s="115"/>
      <x:c r="AD554" s="115"/>
      <x:c r="AE554" s="115"/>
      <x:c r="AF554" s="115"/>
      <x:c r="AG554" s="115"/>
      <x:c r="AH554" s="115"/>
      <x:c r="AI554" s="115"/>
      <x:c r="AJ554" s="115"/>
      <x:c r="AK554" s="115"/>
      <x:c r="AL554" s="115"/>
      <x:c r="AM554" s="115"/>
      <x:c r="AN554" s="115"/>
      <x:c r="AO554" s="115"/>
      <x:c r="AP554" s="115"/>
      <x:c r="AQ554" s="115"/>
      <x:c r="AR554" s="115"/>
      <x:c r="AS554" s="115"/>
      <x:c r="AT554" s="115"/>
      <x:c r="AU554" s="115"/>
      <x:c r="AV554" s="115"/>
      <x:c r="AW554" s="115"/>
      <x:c r="AX554" s="115"/>
      <x:c r="AY554" s="115"/>
      <x:c r="AZ554" s="115"/>
      <x:c r="BA554" s="115"/>
      <x:c r="BB554" s="115"/>
      <x:c r="BC554" s="115"/>
      <x:c r="BD554" s="115"/>
      <x:c r="BE554" s="115"/>
      <x:c r="BF554" s="115"/>
      <x:c r="BG554" s="115"/>
      <x:c r="BH554" s="115"/>
      <x:c r="BI554" s="115"/>
      <x:c r="BJ554" s="115"/>
      <x:c r="BK554" s="115"/>
      <x:c r="BL554" s="115"/>
      <x:c r="BM554" s="115"/>
      <x:c r="BN554" s="115"/>
      <x:c r="BO554" s="115"/>
      <x:c r="BP554" s="115"/>
      <x:c r="BQ554" s="115"/>
      <x:c r="BR554" s="115"/>
      <x:c r="BS554" s="115"/>
      <x:c r="BT554" s="115"/>
      <x:c r="BU554" s="115"/>
      <x:c r="BV554" s="115"/>
      <x:c r="BW554" s="115"/>
      <x:c r="BX554" s="115"/>
      <x:c r="BY554" s="115"/>
      <x:c r="BZ554" s="115"/>
      <x:c r="CA554" s="115"/>
      <x:c r="CB554" s="116"/>
      <x:c r="CC554" s="141" t="str">
        <x:f>IF(COUNT(G554:P554)=0,"",AVERAGE(G554:P554)*4)</x:f>
      </x:c>
      <x:c r="CD554" s="178" t="str">
        <x:f>IF(COUNT(Q554:Z554)=0,"",AVERAGE(Q554:Z554)*4)</x:f>
      </x:c>
      <x:c r="CE554" s="178" t="str">
        <x:f>IF(COUNT(AA554:AJ554)=0,"",AVERAGE(AA554:AJ554)*4)</x:f>
      </x:c>
      <x:c r="CF554" s="178" t="str">
        <x:f>IF(COUNT(AK554:AR554)=0,"",AVERAGE(AK554:AR554)*4)</x:f>
      </x:c>
      <x:c r="CG554" s="178" t="str">
        <x:f>IF(COUNT(AS554:AY554)=0,"",AVERAGE(AS554:AY554)*4)</x:f>
      </x:c>
      <x:c r="CH554" s="178" t="str">
        <x:f>IF(COUNT(AZ554:BG554)=0,"",AVERAGE(AZ554:BG554)*4)</x:f>
      </x:c>
      <x:c r="CI554" s="178" t="str">
        <x:f>IF(COUNT(BH554:BN554)=0,"",AVERAGE(BH554:BN554)*4)</x:f>
      </x:c>
      <x:c r="CJ554" s="178" t="str">
        <x:f>IF(COUNT(BO554:BU554)=0,"",AVERAGE(BO554:BU554)*4)</x:f>
      </x:c>
      <x:c r="CK554" s="178" t="str">
        <x:f>IF(COUNT(BV554:CB554)=0,"",AVERAGE(BV554:CB554)*4)</x:f>
      </x:c>
      <x:c r="CL554" s="178" t="str">
        <x:f>IF(C554="","",IF(COUNT(G554:CB554)&lt;74,"",(CC554*'تنظیمات وزن‌دهی'!$C$5+CD554*'تنظیمات وزن‌دهی'!$C$6+CE554*'تنظیمات وزن‌دهی'!$C$7+CF554*'تنظیمات وزن‌دهی'!$C$8+CG554*'تنظیمات وزن‌دهی'!$C$9+CH554*'تنظیمات وزن‌دهی'!$C$10+CI554*'تنظیمات وزن‌دهی'!$C$11+CJ554*'تنظیمات وزن‌دهی'!$C$12+CK554*'تنظیمات وزن‌دهی'!$C$13)/100))</x:f>
      </x:c>
      <x:c r="CM554" s="178" t="str">
        <x:f>IF(C554="","",IF(COUNT(G554:CB554)=0,"",IF(COUNT(G554:CB554)&lt;74,"موقت - اطلاعات ناقص",IF(CL554&gt;=17,"عالی",IF(CL554&gt;=14,"خوب",IF(CL554&gt;=10,"متوسط","ضعیف"))))))</x:f>
      </x:c>
      <x:c r="CN554" s="178" t="n">
        <x:v>10</x:v>
      </x:c>
      <x:c r="CO554" s="142" t="n">
        <x:f>IF(C554="","",COUNT(G554:CB554)/74)</x:f>
        <x:v>0</x:v>
      </x:c>
      <x:c r="CP554" s="245"/>
    </x:row>
    <x:row r="555">
      <x:c r="A555" s="165" t="n">
        <x:v>551</x:v>
      </x:c>
      <x:c r="B555" s="233" t="str">
        <x:v>اردیبهشت</x:v>
      </x:c>
      <x:c r="C555" s="233" t="n">
        <x:f>IF('دانش‌آموزان'!E50="","",'دانش‌آموزان'!B50)</x:f>
        <x:v>46</x:v>
      </x:c>
      <x:c r="D555" s="233" t="str">
        <x:f>IF('دانش‌آموزان'!C50="","",'دانش‌آموزان'!C50)</x:f>
        <x:v>4000000462</x:v>
      </x:c>
      <x:c r="E555" s="233" t="str">
        <x:f>IF('دانش‌آموزان'!E50="","",'دانش‌آموزان'!E50&amp;" "&amp;'دانش‌آموزان'!F50)</x:f>
        <x:v>سارا خلیلی</x:v>
      </x:c>
      <x:c r="F555" s="166" t="str">
        <x:f>IF('دانش‌آموزان'!I50="","",'دانش‌آموزان'!I50)</x:f>
        <x:v>sample-7-b</x:v>
      </x:c>
      <x:c r="G555" s="114"/>
      <x:c r="H555" s="115"/>
      <x:c r="I555" s="115"/>
      <x:c r="J555" s="115"/>
      <x:c r="K555" s="115"/>
      <x:c r="L555" s="115"/>
      <x:c r="M555" s="115"/>
      <x:c r="N555" s="115"/>
      <x:c r="O555" s="115"/>
      <x:c r="P555" s="115"/>
      <x:c r="Q555" s="115"/>
      <x:c r="R555" s="115"/>
      <x:c r="S555" s="115"/>
      <x:c r="T555" s="115"/>
      <x:c r="U555" s="115"/>
      <x:c r="V555" s="115"/>
      <x:c r="W555" s="115"/>
      <x:c r="X555" s="115"/>
      <x:c r="Y555" s="115"/>
      <x:c r="Z555" s="115"/>
      <x:c r="AA555" s="115"/>
      <x:c r="AB555" s="115"/>
      <x:c r="AC555" s="115"/>
      <x:c r="AD555" s="115"/>
      <x:c r="AE555" s="115"/>
      <x:c r="AF555" s="115"/>
      <x:c r="AG555" s="115"/>
      <x:c r="AH555" s="115"/>
      <x:c r="AI555" s="115"/>
      <x:c r="AJ555" s="115"/>
      <x:c r="AK555" s="115"/>
      <x:c r="AL555" s="115"/>
      <x:c r="AM555" s="115"/>
      <x:c r="AN555" s="115"/>
      <x:c r="AO555" s="115"/>
      <x:c r="AP555" s="115"/>
      <x:c r="AQ555" s="115"/>
      <x:c r="AR555" s="115"/>
      <x:c r="AS555" s="115"/>
      <x:c r="AT555" s="115"/>
      <x:c r="AU555" s="115"/>
      <x:c r="AV555" s="115"/>
      <x:c r="AW555" s="115"/>
      <x:c r="AX555" s="115"/>
      <x:c r="AY555" s="115"/>
      <x:c r="AZ555" s="115"/>
      <x:c r="BA555" s="115"/>
      <x:c r="BB555" s="115"/>
      <x:c r="BC555" s="115"/>
      <x:c r="BD555" s="115"/>
      <x:c r="BE555" s="115"/>
      <x:c r="BF555" s="115"/>
      <x:c r="BG555" s="115"/>
      <x:c r="BH555" s="115"/>
      <x:c r="BI555" s="115"/>
      <x:c r="BJ555" s="115"/>
      <x:c r="BK555" s="115"/>
      <x:c r="BL555" s="115"/>
      <x:c r="BM555" s="115"/>
      <x:c r="BN555" s="115"/>
      <x:c r="BO555" s="115"/>
      <x:c r="BP555" s="115"/>
      <x:c r="BQ555" s="115"/>
      <x:c r="BR555" s="115"/>
      <x:c r="BS555" s="115"/>
      <x:c r="BT555" s="115"/>
      <x:c r="BU555" s="115"/>
      <x:c r="BV555" s="115"/>
      <x:c r="BW555" s="115"/>
      <x:c r="BX555" s="115"/>
      <x:c r="BY555" s="115"/>
      <x:c r="BZ555" s="115"/>
      <x:c r="CA555" s="115"/>
      <x:c r="CB555" s="116"/>
      <x:c r="CC555" s="141" t="str">
        <x:f>IF(COUNT(G555:P555)=0,"",AVERAGE(G555:P555)*4)</x:f>
      </x:c>
      <x:c r="CD555" s="178" t="str">
        <x:f>IF(COUNT(Q555:Z555)=0,"",AVERAGE(Q555:Z555)*4)</x:f>
      </x:c>
      <x:c r="CE555" s="178" t="str">
        <x:f>IF(COUNT(AA555:AJ555)=0,"",AVERAGE(AA555:AJ555)*4)</x:f>
      </x:c>
      <x:c r="CF555" s="178" t="str">
        <x:f>IF(COUNT(AK555:AR555)=0,"",AVERAGE(AK555:AR555)*4)</x:f>
      </x:c>
      <x:c r="CG555" s="178" t="str">
        <x:f>IF(COUNT(AS555:AY555)=0,"",AVERAGE(AS555:AY555)*4)</x:f>
      </x:c>
      <x:c r="CH555" s="178" t="str">
        <x:f>IF(COUNT(AZ555:BG555)=0,"",AVERAGE(AZ555:BG555)*4)</x:f>
      </x:c>
      <x:c r="CI555" s="178" t="str">
        <x:f>IF(COUNT(BH555:BN555)=0,"",AVERAGE(BH555:BN555)*4)</x:f>
      </x:c>
      <x:c r="CJ555" s="178" t="str">
        <x:f>IF(COUNT(BO555:BU555)=0,"",AVERAGE(BO555:BU555)*4)</x:f>
      </x:c>
      <x:c r="CK555" s="178" t="str">
        <x:f>IF(COUNT(BV555:CB555)=0,"",AVERAGE(BV555:CB555)*4)</x:f>
      </x:c>
      <x:c r="CL555" s="178" t="str">
        <x:f>IF(C555="","",IF(COUNT(G555:CB555)&lt;74,"",(CC555*'تنظیمات وزن‌دهی'!$C$5+CD555*'تنظیمات وزن‌دهی'!$C$6+CE555*'تنظیمات وزن‌دهی'!$C$7+CF555*'تنظیمات وزن‌دهی'!$C$8+CG555*'تنظیمات وزن‌دهی'!$C$9+CH555*'تنظیمات وزن‌دهی'!$C$10+CI555*'تنظیمات وزن‌دهی'!$C$11+CJ555*'تنظیمات وزن‌دهی'!$C$12+CK555*'تنظیمات وزن‌دهی'!$C$13)/100))</x:f>
      </x:c>
      <x:c r="CM555" s="178" t="str">
        <x:f>IF(C555="","",IF(COUNT(G555:CB555)=0,"",IF(COUNT(G555:CB555)&lt;74,"موقت - اطلاعات ناقص",IF(CL555&gt;=17,"عالی",IF(CL555&gt;=14,"خوب",IF(CL555&gt;=10,"متوسط","ضعیف"))))))</x:f>
      </x:c>
      <x:c r="CN555" s="178" t="n">
        <x:v>11</x:v>
      </x:c>
      <x:c r="CO555" s="142" t="n">
        <x:f>IF(C555="","",COUNT(G555:CB555)/74)</x:f>
        <x:v>0</x:v>
      </x:c>
      <x:c r="CP555" s="245"/>
    </x:row>
    <x:row r="556">
      <x:c r="A556" s="165" t="n">
        <x:v>552</x:v>
      </x:c>
      <x:c r="B556" s="233" t="str">
        <x:v>خرداد</x:v>
      </x:c>
      <x:c r="C556" s="233" t="n">
        <x:f>IF('دانش‌آموزان'!E50="","",'دانش‌آموزان'!B50)</x:f>
        <x:v>46</x:v>
      </x:c>
      <x:c r="D556" s="233" t="str">
        <x:f>IF('دانش‌آموزان'!C50="","",'دانش‌آموزان'!C50)</x:f>
        <x:v>4000000462</x:v>
      </x:c>
      <x:c r="E556" s="233" t="str">
        <x:f>IF('دانش‌آموزان'!E50="","",'دانش‌آموزان'!E50&amp;" "&amp;'دانش‌آموزان'!F50)</x:f>
        <x:v>سارا خلیلی</x:v>
      </x:c>
      <x:c r="F556" s="166" t="str">
        <x:f>IF('دانش‌آموزان'!I50="","",'دانش‌آموزان'!I50)</x:f>
        <x:v>sample-7-b</x:v>
      </x:c>
      <x:c r="G556" s="114"/>
      <x:c r="H556" s="115"/>
      <x:c r="I556" s="115"/>
      <x:c r="J556" s="115"/>
      <x:c r="K556" s="115"/>
      <x:c r="L556" s="115"/>
      <x:c r="M556" s="115"/>
      <x:c r="N556" s="115"/>
      <x:c r="O556" s="115"/>
      <x:c r="P556" s="115"/>
      <x:c r="Q556" s="115"/>
      <x:c r="R556" s="115"/>
      <x:c r="S556" s="115"/>
      <x:c r="T556" s="115"/>
      <x:c r="U556" s="115"/>
      <x:c r="V556" s="115"/>
      <x:c r="W556" s="115"/>
      <x:c r="X556" s="115"/>
      <x:c r="Y556" s="115"/>
      <x:c r="Z556" s="115"/>
      <x:c r="AA556" s="115"/>
      <x:c r="AB556" s="115"/>
      <x:c r="AC556" s="115"/>
      <x:c r="AD556" s="115"/>
      <x:c r="AE556" s="115"/>
      <x:c r="AF556" s="115"/>
      <x:c r="AG556" s="115"/>
      <x:c r="AH556" s="115"/>
      <x:c r="AI556" s="115"/>
      <x:c r="AJ556" s="115"/>
      <x:c r="AK556" s="115"/>
      <x:c r="AL556" s="115"/>
      <x:c r="AM556" s="115"/>
      <x:c r="AN556" s="115"/>
      <x:c r="AO556" s="115"/>
      <x:c r="AP556" s="115"/>
      <x:c r="AQ556" s="115"/>
      <x:c r="AR556" s="115"/>
      <x:c r="AS556" s="115"/>
      <x:c r="AT556" s="115"/>
      <x:c r="AU556" s="115"/>
      <x:c r="AV556" s="115"/>
      <x:c r="AW556" s="115"/>
      <x:c r="AX556" s="115"/>
      <x:c r="AY556" s="115"/>
      <x:c r="AZ556" s="115"/>
      <x:c r="BA556" s="115"/>
      <x:c r="BB556" s="115"/>
      <x:c r="BC556" s="115"/>
      <x:c r="BD556" s="115"/>
      <x:c r="BE556" s="115"/>
      <x:c r="BF556" s="115"/>
      <x:c r="BG556" s="115"/>
      <x:c r="BH556" s="115"/>
      <x:c r="BI556" s="115"/>
      <x:c r="BJ556" s="115"/>
      <x:c r="BK556" s="115"/>
      <x:c r="BL556" s="115"/>
      <x:c r="BM556" s="115"/>
      <x:c r="BN556" s="115"/>
      <x:c r="BO556" s="115"/>
      <x:c r="BP556" s="115"/>
      <x:c r="BQ556" s="115"/>
      <x:c r="BR556" s="115"/>
      <x:c r="BS556" s="115"/>
      <x:c r="BT556" s="115"/>
      <x:c r="BU556" s="115"/>
      <x:c r="BV556" s="115"/>
      <x:c r="BW556" s="115"/>
      <x:c r="BX556" s="115"/>
      <x:c r="BY556" s="115"/>
      <x:c r="BZ556" s="115"/>
      <x:c r="CA556" s="115"/>
      <x:c r="CB556" s="116"/>
      <x:c r="CC556" s="141" t="str">
        <x:f>IF(COUNT(G556:P556)=0,"",AVERAGE(G556:P556)*4)</x:f>
      </x:c>
      <x:c r="CD556" s="178" t="str">
        <x:f>IF(COUNT(Q556:Z556)=0,"",AVERAGE(Q556:Z556)*4)</x:f>
      </x:c>
      <x:c r="CE556" s="178" t="str">
        <x:f>IF(COUNT(AA556:AJ556)=0,"",AVERAGE(AA556:AJ556)*4)</x:f>
      </x:c>
      <x:c r="CF556" s="178" t="str">
        <x:f>IF(COUNT(AK556:AR556)=0,"",AVERAGE(AK556:AR556)*4)</x:f>
      </x:c>
      <x:c r="CG556" s="178" t="str">
        <x:f>IF(COUNT(AS556:AY556)=0,"",AVERAGE(AS556:AY556)*4)</x:f>
      </x:c>
      <x:c r="CH556" s="178" t="str">
        <x:f>IF(COUNT(AZ556:BG556)=0,"",AVERAGE(AZ556:BG556)*4)</x:f>
      </x:c>
      <x:c r="CI556" s="178" t="str">
        <x:f>IF(COUNT(BH556:BN556)=0,"",AVERAGE(BH556:BN556)*4)</x:f>
      </x:c>
      <x:c r="CJ556" s="178" t="str">
        <x:f>IF(COUNT(BO556:BU556)=0,"",AVERAGE(BO556:BU556)*4)</x:f>
      </x:c>
      <x:c r="CK556" s="178" t="str">
        <x:f>IF(COUNT(BV556:CB556)=0,"",AVERAGE(BV556:CB556)*4)</x:f>
      </x:c>
      <x:c r="CL556" s="178" t="str">
        <x:f>IF(C556="","",IF(COUNT(G556:CB556)&lt;74,"",(CC556*'تنظیمات وزن‌دهی'!$C$5+CD556*'تنظیمات وزن‌دهی'!$C$6+CE556*'تنظیمات وزن‌دهی'!$C$7+CF556*'تنظیمات وزن‌دهی'!$C$8+CG556*'تنظیمات وزن‌دهی'!$C$9+CH556*'تنظیمات وزن‌دهی'!$C$10+CI556*'تنظیمات وزن‌دهی'!$C$11+CJ556*'تنظیمات وزن‌دهی'!$C$12+CK556*'تنظیمات وزن‌دهی'!$C$13)/100))</x:f>
      </x:c>
      <x:c r="CM556" s="178" t="str">
        <x:f>IF(C556="","",IF(COUNT(G556:CB556)=0,"",IF(COUNT(G556:CB556)&lt;74,"موقت - اطلاعات ناقص",IF(CL556&gt;=17,"عالی",IF(CL556&gt;=14,"خوب",IF(CL556&gt;=10,"متوسط","ضعیف"))))))</x:f>
      </x:c>
      <x:c r="CN556" s="178" t="n">
        <x:v>12</x:v>
      </x:c>
      <x:c r="CO556" s="142" t="n">
        <x:f>IF(C556="","",COUNT(G556:CB556)/74)</x:f>
        <x:v>0</x:v>
      </x:c>
      <x:c r="CP556" s="245"/>
    </x:row>
    <x:row r="557">
      <x:c r="A557" s="165" t="n">
        <x:v>553</x:v>
      </x:c>
      <x:c r="B557" s="233" t="str">
        <x:v>تیر</x:v>
      </x:c>
      <x:c r="C557" s="233" t="n">
        <x:f>IF('دانش‌آموزان'!E51="","",'دانش‌آموزان'!B51)</x:f>
        <x:v>47</x:v>
      </x:c>
      <x:c r="D557" s="233" t="str">
        <x:f>IF('دانش‌آموزان'!C51="","",'دانش‌آموزان'!C51)</x:f>
        <x:v>4000000470</x:v>
      </x:c>
      <x:c r="E557" s="233" t="str">
        <x:f>IF('دانش‌آموزان'!E51="","",'دانش‌آموزان'!E51&amp;" "&amp;'دانش‌آموزان'!F51)</x:f>
        <x:v>آراد حسینی</x:v>
      </x:c>
      <x:c r="F557" s="166" t="str">
        <x:f>IF('دانش‌آموزان'!I51="","",'دانش‌آموزان'!I51)</x:f>
        <x:v>sample-7-b</x:v>
      </x:c>
      <x:c r="G557" s="114" t="n">
        <x:v>4</x:v>
      </x:c>
      <x:c r="H557" s="115" t="n">
        <x:v>2</x:v>
      </x:c>
      <x:c r="I557" s="115" t="n">
        <x:v>4</x:v>
      </x:c>
      <x:c r="J557" s="115" t="n">
        <x:v>5</x:v>
      </x:c>
      <x:c r="K557" s="115" t="n">
        <x:v>4</x:v>
      </x:c>
      <x:c r="L557" s="115" t="n">
        <x:v>5</x:v>
      </x:c>
      <x:c r="M557" s="115" t="n">
        <x:v>3</x:v>
      </x:c>
      <x:c r="N557" s="115" t="n">
        <x:v>5</x:v>
      </x:c>
      <x:c r="O557" s="115" t="n">
        <x:v>3</x:v>
      </x:c>
      <x:c r="P557" s="115" t="n">
        <x:v>4</x:v>
      </x:c>
      <x:c r="Q557" s="115" t="n">
        <x:v>3</x:v>
      </x:c>
      <x:c r="R557" s="115" t="n">
        <x:v>4</x:v>
      </x:c>
      <x:c r="S557" s="115" t="n">
        <x:v>2</x:v>
      </x:c>
      <x:c r="T557" s="115" t="n">
        <x:v>4</x:v>
      </x:c>
      <x:c r="U557" s="115" t="n">
        <x:v>5</x:v>
      </x:c>
      <x:c r="V557" s="115" t="n">
        <x:v>4</x:v>
      </x:c>
      <x:c r="W557" s="115" t="n">
        <x:v>5</x:v>
      </x:c>
      <x:c r="X557" s="115" t="n">
        <x:v>3</x:v>
      </x:c>
      <x:c r="Y557" s="115" t="n">
        <x:v>5</x:v>
      </x:c>
      <x:c r="Z557" s="115" t="n">
        <x:v>3</x:v>
      </x:c>
      <x:c r="AA557" s="115" t="n">
        <x:v>4</x:v>
      </x:c>
      <x:c r="AB557" s="115" t="n">
        <x:v>3</x:v>
      </x:c>
      <x:c r="AC557" s="115" t="n">
        <x:v>4</x:v>
      </x:c>
      <x:c r="AD557" s="115" t="n">
        <x:v>2</x:v>
      </x:c>
      <x:c r="AE557" s="115" t="n">
        <x:v>4</x:v>
      </x:c>
      <x:c r="AF557" s="115" t="n">
        <x:v>5</x:v>
      </x:c>
      <x:c r="AG557" s="115" t="n">
        <x:v>4</x:v>
      </x:c>
      <x:c r="AH557" s="115" t="n">
        <x:v>5</x:v>
      </x:c>
      <x:c r="AI557" s="115" t="n">
        <x:v>3</x:v>
      </x:c>
      <x:c r="AJ557" s="115" t="n">
        <x:v>5</x:v>
      </x:c>
      <x:c r="AK557" s="115" t="n">
        <x:v>3</x:v>
      </x:c>
      <x:c r="AL557" s="115" t="n">
        <x:v>4</x:v>
      </x:c>
      <x:c r="AM557" s="115" t="n">
        <x:v>3</x:v>
      </x:c>
      <x:c r="AN557" s="115" t="n">
        <x:v>4</x:v>
      </x:c>
      <x:c r="AO557" s="115" t="n">
        <x:v>2</x:v>
      </x:c>
      <x:c r="AP557" s="115" t="n">
        <x:v>4</x:v>
      </x:c>
      <x:c r="AQ557" s="115" t="n">
        <x:v>5</x:v>
      </x:c>
      <x:c r="AR557" s="115" t="n">
        <x:v>4</x:v>
      </x:c>
      <x:c r="AS557" s="115" t="n">
        <x:v>5</x:v>
      </x:c>
      <x:c r="AT557" s="115" t="n">
        <x:v>3</x:v>
      </x:c>
      <x:c r="AU557" s="115" t="n">
        <x:v>5</x:v>
      </x:c>
      <x:c r="AV557" s="115" t="n">
        <x:v>3</x:v>
      </x:c>
      <x:c r="AW557" s="115" t="n">
        <x:v>4</x:v>
      </x:c>
      <x:c r="AX557" s="115" t="n">
        <x:v>3</x:v>
      </x:c>
      <x:c r="AY557" s="115" t="n">
        <x:v>4</x:v>
      </x:c>
      <x:c r="AZ557" s="115" t="n">
        <x:v>2</x:v>
      </x:c>
      <x:c r="BA557" s="115" t="n">
        <x:v>4</x:v>
      </x:c>
      <x:c r="BB557" s="115" t="n">
        <x:v>5</x:v>
      </x:c>
      <x:c r="BC557" s="115" t="n">
        <x:v>4</x:v>
      </x:c>
      <x:c r="BD557" s="115" t="n">
        <x:v>5</x:v>
      </x:c>
      <x:c r="BE557" s="115" t="n">
        <x:v>3</x:v>
      </x:c>
      <x:c r="BF557" s="115" t="n">
        <x:v>5</x:v>
      </x:c>
      <x:c r="BG557" s="115" t="n">
        <x:v>3</x:v>
      </x:c>
      <x:c r="BH557" s="115" t="n">
        <x:v>4</x:v>
      </x:c>
      <x:c r="BI557" s="115" t="n">
        <x:v>3</x:v>
      </x:c>
      <x:c r="BJ557" s="115" t="n">
        <x:v>4</x:v>
      </x:c>
      <x:c r="BK557" s="115" t="n">
        <x:v>2</x:v>
      </x:c>
      <x:c r="BL557" s="115" t="n">
        <x:v>4</x:v>
      </x:c>
      <x:c r="BM557" s="115" t="n">
        <x:v>5</x:v>
      </x:c>
      <x:c r="BN557" s="115" t="n">
        <x:v>4</x:v>
      </x:c>
      <x:c r="BO557" s="115" t="n">
        <x:v>5</x:v>
      </x:c>
      <x:c r="BP557" s="115" t="n">
        <x:v>3</x:v>
      </x:c>
      <x:c r="BQ557" s="115" t="n">
        <x:v>5</x:v>
      </x:c>
      <x:c r="BR557" s="115" t="n">
        <x:v>3</x:v>
      </x:c>
      <x:c r="BS557" s="115" t="n">
        <x:v>4</x:v>
      </x:c>
      <x:c r="BT557" s="115" t="n">
        <x:v>3</x:v>
      </x:c>
      <x:c r="BU557" s="115" t="n">
        <x:v>4</x:v>
      </x:c>
      <x:c r="BV557" s="115" t="n">
        <x:v>2</x:v>
      </x:c>
      <x:c r="BW557" s="115" t="n">
        <x:v>4</x:v>
      </x:c>
      <x:c r="BX557" s="115" t="n">
        <x:v>5</x:v>
      </x:c>
      <x:c r="BY557" s="115" t="n">
        <x:v>4</x:v>
      </x:c>
      <x:c r="BZ557" s="115" t="n">
        <x:v>5</x:v>
      </x:c>
      <x:c r="CA557" s="115" t="n">
        <x:v>3</x:v>
      </x:c>
      <x:c r="CB557" s="116" t="n">
        <x:v>5</x:v>
      </x:c>
      <x:c r="CC557" s="141" t="n">
        <x:f>IF(COUNT(G557:P557)=0,"",AVERAGE(G557:P557)*4)</x:f>
        <x:v>15.6</x:v>
      </x:c>
      <x:c r="CD557" s="178" t="n">
        <x:f>IF(COUNT(Q557:Z557)=0,"",AVERAGE(Q557:Z557)*4)</x:f>
        <x:v>15.2</x:v>
      </x:c>
      <x:c r="CE557" s="178" t="n">
        <x:f>IF(COUNT(AA557:AJ557)=0,"",AVERAGE(AA557:AJ557)*4)</x:f>
        <x:v>15.6</x:v>
      </x:c>
      <x:c r="CF557" s="178" t="n">
        <x:f>IF(COUNT(AK557:AR557)=0,"",AVERAGE(AK557:AR557)*4)</x:f>
        <x:v>14.5</x:v>
      </x:c>
      <x:c r="CG557" s="178" t="n">
        <x:f>IF(COUNT(AS557:AY557)=0,"",AVERAGE(AS557:AY557)*4)</x:f>
        <x:v>15.428571428571429</x:v>
      </x:c>
      <x:c r="CH557" s="178" t="n">
        <x:f>IF(COUNT(AZ557:BG557)=0,"",AVERAGE(AZ557:BG557)*4)</x:f>
        <x:v>15.5</x:v>
      </x:c>
      <x:c r="CI557" s="178" t="n">
        <x:f>IF(COUNT(BH557:BN557)=0,"",AVERAGE(BH557:BN557)*4)</x:f>
        <x:v>14.857142857142858</x:v>
      </x:c>
      <x:c r="CJ557" s="178" t="n">
        <x:f>IF(COUNT(BO557:BU557)=0,"",AVERAGE(BO557:BU557)*4)</x:f>
        <x:v>15.428571428571429</x:v>
      </x:c>
      <x:c r="CK557" s="178" t="n">
        <x:f>IF(COUNT(BV557:CB557)=0,"",AVERAGE(BV557:CB557)*4)</x:f>
        <x:v>16</x:v>
      </x:c>
      <x:c r="CL557" s="178" t="n">
        <x:f>IF(C557="","",IF(COUNT(G557:CB557)&lt;74,"",(CC557*'تنظیمات وزن‌دهی'!$C$5+CD557*'تنظیمات وزن‌دهی'!$C$6+CE557*'تنظیمات وزن‌دهی'!$C$7+CF557*'تنظیمات وزن‌دهی'!$C$8+CG557*'تنظیمات وزن‌دهی'!$C$9+CH557*'تنظیمات وزن‌دهی'!$C$10+CI557*'تنظیمات وزن‌دهی'!$C$11+CJ557*'تنظیمات وزن‌دهی'!$C$12+CK557*'تنظیمات وزن‌دهی'!$C$13)/100))</x:f>
        <x:v>15.320714285714287</x:v>
      </x:c>
      <x:c r="CM557" s="178" t="str">
        <x:f>IF(C557="","",IF(COUNT(G557:CB557)=0,"",IF(COUNT(G557:CB557)&lt;74,"موقت - اطلاعات ناقص",IF(CL557&gt;=17,"عالی",IF(CL557&gt;=14,"خوب",IF(CL557&gt;=10,"متوسط","ضعیف"))))))</x:f>
        <x:v>خوب</x:v>
      </x:c>
      <x:c r="CN557" s="178" t="n">
        <x:v>1</x:v>
      </x:c>
      <x:c r="CO557" s="142" t="n">
        <x:f>IF(C557="","",COUNT(G557:CB557)/74)</x:f>
        <x:v>1</x:v>
      </x:c>
      <x:c r="CP557" s="245" t="str">
        <x:v>داده نمونه کامل برای ماه تیر - دانش‌آموز شماره 47</x:v>
      </x:c>
    </x:row>
    <x:row r="558">
      <x:c r="A558" s="165" t="n">
        <x:v>554</x:v>
      </x:c>
      <x:c r="B558" s="233" t="str">
        <x:v>مرداد</x:v>
      </x:c>
      <x:c r="C558" s="233" t="n">
        <x:f>IF('دانش‌آموزان'!E51="","",'دانش‌آموزان'!B51)</x:f>
        <x:v>47</x:v>
      </x:c>
      <x:c r="D558" s="233" t="str">
        <x:f>IF('دانش‌آموزان'!C51="","",'دانش‌آموزان'!C51)</x:f>
        <x:v>4000000470</x:v>
      </x:c>
      <x:c r="E558" s="233" t="str">
        <x:f>IF('دانش‌آموزان'!E51="","",'دانش‌آموزان'!E51&amp;" "&amp;'دانش‌آموزان'!F51)</x:f>
        <x:v>آراد حسینی</x:v>
      </x:c>
      <x:c r="F558" s="166" t="str">
        <x:f>IF('دانش‌آموزان'!I51="","",'دانش‌آموزان'!I51)</x:f>
        <x:v>sample-7-b</x:v>
      </x:c>
      <x:c r="G558" s="114"/>
      <x:c r="H558" s="115"/>
      <x:c r="I558" s="115"/>
      <x:c r="J558" s="115"/>
      <x:c r="K558" s="115"/>
      <x:c r="L558" s="115"/>
      <x:c r="M558" s="115"/>
      <x:c r="N558" s="115"/>
      <x:c r="O558" s="115"/>
      <x:c r="P558" s="115"/>
      <x:c r="Q558" s="115"/>
      <x:c r="R558" s="115"/>
      <x:c r="S558" s="115"/>
      <x:c r="T558" s="115"/>
      <x:c r="U558" s="115"/>
      <x:c r="V558" s="115"/>
      <x:c r="W558" s="115"/>
      <x:c r="X558" s="115"/>
      <x:c r="Y558" s="115"/>
      <x:c r="Z558" s="115"/>
      <x:c r="AA558" s="115"/>
      <x:c r="AB558" s="115"/>
      <x:c r="AC558" s="115"/>
      <x:c r="AD558" s="115"/>
      <x:c r="AE558" s="115"/>
      <x:c r="AF558" s="115"/>
      <x:c r="AG558" s="115"/>
      <x:c r="AH558" s="115"/>
      <x:c r="AI558" s="115"/>
      <x:c r="AJ558" s="115"/>
      <x:c r="AK558" s="115"/>
      <x:c r="AL558" s="115"/>
      <x:c r="AM558" s="115"/>
      <x:c r="AN558" s="115"/>
      <x:c r="AO558" s="115"/>
      <x:c r="AP558" s="115"/>
      <x:c r="AQ558" s="115"/>
      <x:c r="AR558" s="115"/>
      <x:c r="AS558" s="115"/>
      <x:c r="AT558" s="115"/>
      <x:c r="AU558" s="115"/>
      <x:c r="AV558" s="115"/>
      <x:c r="AW558" s="115"/>
      <x:c r="AX558" s="115"/>
      <x:c r="AY558" s="115"/>
      <x:c r="AZ558" s="115"/>
      <x:c r="BA558" s="115"/>
      <x:c r="BB558" s="115"/>
      <x:c r="BC558" s="115"/>
      <x:c r="BD558" s="115"/>
      <x:c r="BE558" s="115"/>
      <x:c r="BF558" s="115"/>
      <x:c r="BG558" s="115"/>
      <x:c r="BH558" s="115"/>
      <x:c r="BI558" s="115"/>
      <x:c r="BJ558" s="115"/>
      <x:c r="BK558" s="115"/>
      <x:c r="BL558" s="115"/>
      <x:c r="BM558" s="115"/>
      <x:c r="BN558" s="115"/>
      <x:c r="BO558" s="115"/>
      <x:c r="BP558" s="115"/>
      <x:c r="BQ558" s="115"/>
      <x:c r="BR558" s="115"/>
      <x:c r="BS558" s="115"/>
      <x:c r="BT558" s="115"/>
      <x:c r="BU558" s="115"/>
      <x:c r="BV558" s="115"/>
      <x:c r="BW558" s="115"/>
      <x:c r="BX558" s="115"/>
      <x:c r="BY558" s="115"/>
      <x:c r="BZ558" s="115"/>
      <x:c r="CA558" s="115"/>
      <x:c r="CB558" s="116"/>
      <x:c r="CC558" s="141" t="str">
        <x:f>IF(COUNT(G558:P558)=0,"",AVERAGE(G558:P558)*4)</x:f>
      </x:c>
      <x:c r="CD558" s="178" t="str">
        <x:f>IF(COUNT(Q558:Z558)=0,"",AVERAGE(Q558:Z558)*4)</x:f>
      </x:c>
      <x:c r="CE558" s="178" t="str">
        <x:f>IF(COUNT(AA558:AJ558)=0,"",AVERAGE(AA558:AJ558)*4)</x:f>
      </x:c>
      <x:c r="CF558" s="178" t="str">
        <x:f>IF(COUNT(AK558:AR558)=0,"",AVERAGE(AK558:AR558)*4)</x:f>
      </x:c>
      <x:c r="CG558" s="178" t="str">
        <x:f>IF(COUNT(AS558:AY558)=0,"",AVERAGE(AS558:AY558)*4)</x:f>
      </x:c>
      <x:c r="CH558" s="178" t="str">
        <x:f>IF(COUNT(AZ558:BG558)=0,"",AVERAGE(AZ558:BG558)*4)</x:f>
      </x:c>
      <x:c r="CI558" s="178" t="str">
        <x:f>IF(COUNT(BH558:BN558)=0,"",AVERAGE(BH558:BN558)*4)</x:f>
      </x:c>
      <x:c r="CJ558" s="178" t="str">
        <x:f>IF(COUNT(BO558:BU558)=0,"",AVERAGE(BO558:BU558)*4)</x:f>
      </x:c>
      <x:c r="CK558" s="178" t="str">
        <x:f>IF(COUNT(BV558:CB558)=0,"",AVERAGE(BV558:CB558)*4)</x:f>
      </x:c>
      <x:c r="CL558" s="178" t="str">
        <x:f>IF(C558="","",IF(COUNT(G558:CB558)&lt;74,"",(CC558*'تنظیمات وزن‌دهی'!$C$5+CD558*'تنظیمات وزن‌دهی'!$C$6+CE558*'تنظیمات وزن‌دهی'!$C$7+CF558*'تنظیمات وزن‌دهی'!$C$8+CG558*'تنظیمات وزن‌دهی'!$C$9+CH558*'تنظیمات وزن‌دهی'!$C$10+CI558*'تنظیمات وزن‌دهی'!$C$11+CJ558*'تنظیمات وزن‌دهی'!$C$12+CK558*'تنظیمات وزن‌دهی'!$C$13)/100))</x:f>
      </x:c>
      <x:c r="CM558" s="178" t="str">
        <x:f>IF(C558="","",IF(COUNT(G558:CB558)=0,"",IF(COUNT(G558:CB558)&lt;74,"موقت - اطلاعات ناقص",IF(CL558&gt;=17,"عالی",IF(CL558&gt;=14,"خوب",IF(CL558&gt;=10,"متوسط","ضعیف"))))))</x:f>
      </x:c>
      <x:c r="CN558" s="178" t="n">
        <x:v>2</x:v>
      </x:c>
      <x:c r="CO558" s="142" t="n">
        <x:f>IF(C558="","",COUNT(G558:CB558)/74)</x:f>
        <x:v>0</x:v>
      </x:c>
      <x:c r="CP558" s="245"/>
    </x:row>
    <x:row r="559">
      <x:c r="A559" s="165" t="n">
        <x:v>555</x:v>
      </x:c>
      <x:c r="B559" s="233" t="str">
        <x:v>شهریور</x:v>
      </x:c>
      <x:c r="C559" s="233" t="n">
        <x:f>IF('دانش‌آموزان'!E51="","",'دانش‌آموزان'!B51)</x:f>
        <x:v>47</x:v>
      </x:c>
      <x:c r="D559" s="233" t="str">
        <x:f>IF('دانش‌آموزان'!C51="","",'دانش‌آموزان'!C51)</x:f>
        <x:v>4000000470</x:v>
      </x:c>
      <x:c r="E559" s="233" t="str">
        <x:f>IF('دانش‌آموزان'!E51="","",'دانش‌آموزان'!E51&amp;" "&amp;'دانش‌آموزان'!F51)</x:f>
        <x:v>آراد حسینی</x:v>
      </x:c>
      <x:c r="F559" s="166" t="str">
        <x:f>IF('دانش‌آموزان'!I51="","",'دانش‌آموزان'!I51)</x:f>
        <x:v>sample-7-b</x:v>
      </x:c>
      <x:c r="G559" s="114"/>
      <x:c r="H559" s="115"/>
      <x:c r="I559" s="115"/>
      <x:c r="J559" s="115"/>
      <x:c r="K559" s="115"/>
      <x:c r="L559" s="115"/>
      <x:c r="M559" s="115"/>
      <x:c r="N559" s="115"/>
      <x:c r="O559" s="115"/>
      <x:c r="P559" s="115"/>
      <x:c r="Q559" s="115"/>
      <x:c r="R559" s="115"/>
      <x:c r="S559" s="115"/>
      <x:c r="T559" s="115"/>
      <x:c r="U559" s="115"/>
      <x:c r="V559" s="115"/>
      <x:c r="W559" s="115"/>
      <x:c r="X559" s="115"/>
      <x:c r="Y559" s="115"/>
      <x:c r="Z559" s="115"/>
      <x:c r="AA559" s="115"/>
      <x:c r="AB559" s="115"/>
      <x:c r="AC559" s="115"/>
      <x:c r="AD559" s="115"/>
      <x:c r="AE559" s="115"/>
      <x:c r="AF559" s="115"/>
      <x:c r="AG559" s="115"/>
      <x:c r="AH559" s="115"/>
      <x:c r="AI559" s="115"/>
      <x:c r="AJ559" s="115"/>
      <x:c r="AK559" s="115"/>
      <x:c r="AL559" s="115"/>
      <x:c r="AM559" s="115"/>
      <x:c r="AN559" s="115"/>
      <x:c r="AO559" s="115"/>
      <x:c r="AP559" s="115"/>
      <x:c r="AQ559" s="115"/>
      <x:c r="AR559" s="115"/>
      <x:c r="AS559" s="115"/>
      <x:c r="AT559" s="115"/>
      <x:c r="AU559" s="115"/>
      <x:c r="AV559" s="115"/>
      <x:c r="AW559" s="115"/>
      <x:c r="AX559" s="115"/>
      <x:c r="AY559" s="115"/>
      <x:c r="AZ559" s="115"/>
      <x:c r="BA559" s="115"/>
      <x:c r="BB559" s="115"/>
      <x:c r="BC559" s="115"/>
      <x:c r="BD559" s="115"/>
      <x:c r="BE559" s="115"/>
      <x:c r="BF559" s="115"/>
      <x:c r="BG559" s="115"/>
      <x:c r="BH559" s="115"/>
      <x:c r="BI559" s="115"/>
      <x:c r="BJ559" s="115"/>
      <x:c r="BK559" s="115"/>
      <x:c r="BL559" s="115"/>
      <x:c r="BM559" s="115"/>
      <x:c r="BN559" s="115"/>
      <x:c r="BO559" s="115"/>
      <x:c r="BP559" s="115"/>
      <x:c r="BQ559" s="115"/>
      <x:c r="BR559" s="115"/>
      <x:c r="BS559" s="115"/>
      <x:c r="BT559" s="115"/>
      <x:c r="BU559" s="115"/>
      <x:c r="BV559" s="115"/>
      <x:c r="BW559" s="115"/>
      <x:c r="BX559" s="115"/>
      <x:c r="BY559" s="115"/>
      <x:c r="BZ559" s="115"/>
      <x:c r="CA559" s="115"/>
      <x:c r="CB559" s="116"/>
      <x:c r="CC559" s="141" t="str">
        <x:f>IF(COUNT(G559:P559)=0,"",AVERAGE(G559:P559)*4)</x:f>
      </x:c>
      <x:c r="CD559" s="178" t="str">
        <x:f>IF(COUNT(Q559:Z559)=0,"",AVERAGE(Q559:Z559)*4)</x:f>
      </x:c>
      <x:c r="CE559" s="178" t="str">
        <x:f>IF(COUNT(AA559:AJ559)=0,"",AVERAGE(AA559:AJ559)*4)</x:f>
      </x:c>
      <x:c r="CF559" s="178" t="str">
        <x:f>IF(COUNT(AK559:AR559)=0,"",AVERAGE(AK559:AR559)*4)</x:f>
      </x:c>
      <x:c r="CG559" s="178" t="str">
        <x:f>IF(COUNT(AS559:AY559)=0,"",AVERAGE(AS559:AY559)*4)</x:f>
      </x:c>
      <x:c r="CH559" s="178" t="str">
        <x:f>IF(COUNT(AZ559:BG559)=0,"",AVERAGE(AZ559:BG559)*4)</x:f>
      </x:c>
      <x:c r="CI559" s="178" t="str">
        <x:f>IF(COUNT(BH559:BN559)=0,"",AVERAGE(BH559:BN559)*4)</x:f>
      </x:c>
      <x:c r="CJ559" s="178" t="str">
        <x:f>IF(COUNT(BO559:BU559)=0,"",AVERAGE(BO559:BU559)*4)</x:f>
      </x:c>
      <x:c r="CK559" s="178" t="str">
        <x:f>IF(COUNT(BV559:CB559)=0,"",AVERAGE(BV559:CB559)*4)</x:f>
      </x:c>
      <x:c r="CL559" s="178" t="str">
        <x:f>IF(C559="","",IF(COUNT(G559:CB559)&lt;74,"",(CC559*'تنظیمات وزن‌دهی'!$C$5+CD559*'تنظیمات وزن‌دهی'!$C$6+CE559*'تنظیمات وزن‌دهی'!$C$7+CF559*'تنظیمات وزن‌دهی'!$C$8+CG559*'تنظیمات وزن‌دهی'!$C$9+CH559*'تنظیمات وزن‌دهی'!$C$10+CI559*'تنظیمات وزن‌دهی'!$C$11+CJ559*'تنظیمات وزن‌دهی'!$C$12+CK559*'تنظیمات وزن‌دهی'!$C$13)/100))</x:f>
      </x:c>
      <x:c r="CM559" s="178" t="str">
        <x:f>IF(C559="","",IF(COUNT(G559:CB559)=0,"",IF(COUNT(G559:CB559)&lt;74,"موقت - اطلاعات ناقص",IF(CL559&gt;=17,"عالی",IF(CL559&gt;=14,"خوب",IF(CL559&gt;=10,"متوسط","ضعیف"))))))</x:f>
      </x:c>
      <x:c r="CN559" s="178" t="n">
        <x:v>3</x:v>
      </x:c>
      <x:c r="CO559" s="142" t="n">
        <x:f>IF(C559="","",COUNT(G559:CB559)/74)</x:f>
        <x:v>0</x:v>
      </x:c>
      <x:c r="CP559" s="245"/>
    </x:row>
    <x:row r="560">
      <x:c r="A560" s="165" t="n">
        <x:v>556</x:v>
      </x:c>
      <x:c r="B560" s="233" t="str">
        <x:v>مهر</x:v>
      </x:c>
      <x:c r="C560" s="233" t="n">
        <x:f>IF('دانش‌آموزان'!E51="","",'دانش‌آموزان'!B51)</x:f>
        <x:v>47</x:v>
      </x:c>
      <x:c r="D560" s="233" t="str">
        <x:f>IF('دانش‌آموزان'!C51="","",'دانش‌آموزان'!C51)</x:f>
        <x:v>4000000470</x:v>
      </x:c>
      <x:c r="E560" s="233" t="str">
        <x:f>IF('دانش‌آموزان'!E51="","",'دانش‌آموزان'!E51&amp;" "&amp;'دانش‌آموزان'!F51)</x:f>
        <x:v>آراد حسینی</x:v>
      </x:c>
      <x:c r="F560" s="166" t="str">
        <x:f>IF('دانش‌آموزان'!I51="","",'دانش‌آموزان'!I51)</x:f>
        <x:v>sample-7-b</x:v>
      </x:c>
      <x:c r="G560" s="114"/>
      <x:c r="H560" s="115"/>
      <x:c r="I560" s="115"/>
      <x:c r="J560" s="115"/>
      <x:c r="K560" s="115"/>
      <x:c r="L560" s="115"/>
      <x:c r="M560" s="115"/>
      <x:c r="N560" s="115"/>
      <x:c r="O560" s="115"/>
      <x:c r="P560" s="115"/>
      <x:c r="Q560" s="115"/>
      <x:c r="R560" s="115"/>
      <x:c r="S560" s="115"/>
      <x:c r="T560" s="115"/>
      <x:c r="U560" s="115"/>
      <x:c r="V560" s="115"/>
      <x:c r="W560" s="115"/>
      <x:c r="X560" s="115"/>
      <x:c r="Y560" s="115"/>
      <x:c r="Z560" s="115"/>
      <x:c r="AA560" s="115"/>
      <x:c r="AB560" s="115"/>
      <x:c r="AC560" s="115"/>
      <x:c r="AD560" s="115"/>
      <x:c r="AE560" s="115"/>
      <x:c r="AF560" s="115"/>
      <x:c r="AG560" s="115"/>
      <x:c r="AH560" s="115"/>
      <x:c r="AI560" s="115"/>
      <x:c r="AJ560" s="115"/>
      <x:c r="AK560" s="115"/>
      <x:c r="AL560" s="115"/>
      <x:c r="AM560" s="115"/>
      <x:c r="AN560" s="115"/>
      <x:c r="AO560" s="115"/>
      <x:c r="AP560" s="115"/>
      <x:c r="AQ560" s="115"/>
      <x:c r="AR560" s="115"/>
      <x:c r="AS560" s="115"/>
      <x:c r="AT560" s="115"/>
      <x:c r="AU560" s="115"/>
      <x:c r="AV560" s="115"/>
      <x:c r="AW560" s="115"/>
      <x:c r="AX560" s="115"/>
      <x:c r="AY560" s="115"/>
      <x:c r="AZ560" s="115"/>
      <x:c r="BA560" s="115"/>
      <x:c r="BB560" s="115"/>
      <x:c r="BC560" s="115"/>
      <x:c r="BD560" s="115"/>
      <x:c r="BE560" s="115"/>
      <x:c r="BF560" s="115"/>
      <x:c r="BG560" s="115"/>
      <x:c r="BH560" s="115"/>
      <x:c r="BI560" s="115"/>
      <x:c r="BJ560" s="115"/>
      <x:c r="BK560" s="115"/>
      <x:c r="BL560" s="115"/>
      <x:c r="BM560" s="115"/>
      <x:c r="BN560" s="115"/>
      <x:c r="BO560" s="115"/>
      <x:c r="BP560" s="115"/>
      <x:c r="BQ560" s="115"/>
      <x:c r="BR560" s="115"/>
      <x:c r="BS560" s="115"/>
      <x:c r="BT560" s="115"/>
      <x:c r="BU560" s="115"/>
      <x:c r="BV560" s="115"/>
      <x:c r="BW560" s="115"/>
      <x:c r="BX560" s="115"/>
      <x:c r="BY560" s="115"/>
      <x:c r="BZ560" s="115"/>
      <x:c r="CA560" s="115"/>
      <x:c r="CB560" s="116"/>
      <x:c r="CC560" s="141" t="str">
        <x:f>IF(COUNT(G560:P560)=0,"",AVERAGE(G560:P560)*4)</x:f>
      </x:c>
      <x:c r="CD560" s="178" t="str">
        <x:f>IF(COUNT(Q560:Z560)=0,"",AVERAGE(Q560:Z560)*4)</x:f>
      </x:c>
      <x:c r="CE560" s="178" t="str">
        <x:f>IF(COUNT(AA560:AJ560)=0,"",AVERAGE(AA560:AJ560)*4)</x:f>
      </x:c>
      <x:c r="CF560" s="178" t="str">
        <x:f>IF(COUNT(AK560:AR560)=0,"",AVERAGE(AK560:AR560)*4)</x:f>
      </x:c>
      <x:c r="CG560" s="178" t="str">
        <x:f>IF(COUNT(AS560:AY560)=0,"",AVERAGE(AS560:AY560)*4)</x:f>
      </x:c>
      <x:c r="CH560" s="178" t="str">
        <x:f>IF(COUNT(AZ560:BG560)=0,"",AVERAGE(AZ560:BG560)*4)</x:f>
      </x:c>
      <x:c r="CI560" s="178" t="str">
        <x:f>IF(COUNT(BH560:BN560)=0,"",AVERAGE(BH560:BN560)*4)</x:f>
      </x:c>
      <x:c r="CJ560" s="178" t="str">
        <x:f>IF(COUNT(BO560:BU560)=0,"",AVERAGE(BO560:BU560)*4)</x:f>
      </x:c>
      <x:c r="CK560" s="178" t="str">
        <x:f>IF(COUNT(BV560:CB560)=0,"",AVERAGE(BV560:CB560)*4)</x:f>
      </x:c>
      <x:c r="CL560" s="178" t="str">
        <x:f>IF(C560="","",IF(COUNT(G560:CB560)&lt;74,"",(CC560*'تنظیمات وزن‌دهی'!$C$5+CD560*'تنظیمات وزن‌دهی'!$C$6+CE560*'تنظیمات وزن‌دهی'!$C$7+CF560*'تنظیمات وزن‌دهی'!$C$8+CG560*'تنظیمات وزن‌دهی'!$C$9+CH560*'تنظیمات وزن‌دهی'!$C$10+CI560*'تنظیمات وزن‌دهی'!$C$11+CJ560*'تنظیمات وزن‌دهی'!$C$12+CK560*'تنظیمات وزن‌دهی'!$C$13)/100))</x:f>
      </x:c>
      <x:c r="CM560" s="178" t="str">
        <x:f>IF(C560="","",IF(COUNT(G560:CB560)=0,"",IF(COUNT(G560:CB560)&lt;74,"موقت - اطلاعات ناقص",IF(CL560&gt;=17,"عالی",IF(CL560&gt;=14,"خوب",IF(CL560&gt;=10,"متوسط","ضعیف"))))))</x:f>
      </x:c>
      <x:c r="CN560" s="178" t="n">
        <x:v>4</x:v>
      </x:c>
      <x:c r="CO560" s="142" t="n">
        <x:f>IF(C560="","",COUNT(G560:CB560)/74)</x:f>
        <x:v>0</x:v>
      </x:c>
      <x:c r="CP560" s="245"/>
    </x:row>
    <x:row r="561">
      <x:c r="A561" s="165" t="n">
        <x:v>557</x:v>
      </x:c>
      <x:c r="B561" s="233" t="str">
        <x:v>آبان</x:v>
      </x:c>
      <x:c r="C561" s="233" t="n">
        <x:f>IF('دانش‌آموزان'!E51="","",'دانش‌آموزان'!B51)</x:f>
        <x:v>47</x:v>
      </x:c>
      <x:c r="D561" s="233" t="str">
        <x:f>IF('دانش‌آموزان'!C51="","",'دانش‌آموزان'!C51)</x:f>
        <x:v>4000000470</x:v>
      </x:c>
      <x:c r="E561" s="233" t="str">
        <x:f>IF('دانش‌آموزان'!E51="","",'دانش‌آموزان'!E51&amp;" "&amp;'دانش‌آموزان'!F51)</x:f>
        <x:v>آراد حسینی</x:v>
      </x:c>
      <x:c r="F561" s="166" t="str">
        <x:f>IF('دانش‌آموزان'!I51="","",'دانش‌آموزان'!I51)</x:f>
        <x:v>sample-7-b</x:v>
      </x:c>
      <x:c r="G561" s="114"/>
      <x:c r="H561" s="115"/>
      <x:c r="I561" s="115"/>
      <x:c r="J561" s="115"/>
      <x:c r="K561" s="115"/>
      <x:c r="L561" s="115"/>
      <x:c r="M561" s="115"/>
      <x:c r="N561" s="115"/>
      <x:c r="O561" s="115"/>
      <x:c r="P561" s="115"/>
      <x:c r="Q561" s="115"/>
      <x:c r="R561" s="115"/>
      <x:c r="S561" s="115"/>
      <x:c r="T561" s="115"/>
      <x:c r="U561" s="115"/>
      <x:c r="V561" s="115"/>
      <x:c r="W561" s="115"/>
      <x:c r="X561" s="115"/>
      <x:c r="Y561" s="115"/>
      <x:c r="Z561" s="115"/>
      <x:c r="AA561" s="115"/>
      <x:c r="AB561" s="115"/>
      <x:c r="AC561" s="115"/>
      <x:c r="AD561" s="115"/>
      <x:c r="AE561" s="115"/>
      <x:c r="AF561" s="115"/>
      <x:c r="AG561" s="115"/>
      <x:c r="AH561" s="115"/>
      <x:c r="AI561" s="115"/>
      <x:c r="AJ561" s="115"/>
      <x:c r="AK561" s="115"/>
      <x:c r="AL561" s="115"/>
      <x:c r="AM561" s="115"/>
      <x:c r="AN561" s="115"/>
      <x:c r="AO561" s="115"/>
      <x:c r="AP561" s="115"/>
      <x:c r="AQ561" s="115"/>
      <x:c r="AR561" s="115"/>
      <x:c r="AS561" s="115"/>
      <x:c r="AT561" s="115"/>
      <x:c r="AU561" s="115"/>
      <x:c r="AV561" s="115"/>
      <x:c r="AW561" s="115"/>
      <x:c r="AX561" s="115"/>
      <x:c r="AY561" s="115"/>
      <x:c r="AZ561" s="115"/>
      <x:c r="BA561" s="115"/>
      <x:c r="BB561" s="115"/>
      <x:c r="BC561" s="115"/>
      <x:c r="BD561" s="115"/>
      <x:c r="BE561" s="115"/>
      <x:c r="BF561" s="115"/>
      <x:c r="BG561" s="115"/>
      <x:c r="BH561" s="115"/>
      <x:c r="BI561" s="115"/>
      <x:c r="BJ561" s="115"/>
      <x:c r="BK561" s="115"/>
      <x:c r="BL561" s="115"/>
      <x:c r="BM561" s="115"/>
      <x:c r="BN561" s="115"/>
      <x:c r="BO561" s="115"/>
      <x:c r="BP561" s="115"/>
      <x:c r="BQ561" s="115"/>
      <x:c r="BR561" s="115"/>
      <x:c r="BS561" s="115"/>
      <x:c r="BT561" s="115"/>
      <x:c r="BU561" s="115"/>
      <x:c r="BV561" s="115"/>
      <x:c r="BW561" s="115"/>
      <x:c r="BX561" s="115"/>
      <x:c r="BY561" s="115"/>
      <x:c r="BZ561" s="115"/>
      <x:c r="CA561" s="115"/>
      <x:c r="CB561" s="116"/>
      <x:c r="CC561" s="141" t="str">
        <x:f>IF(COUNT(G561:P561)=0,"",AVERAGE(G561:P561)*4)</x:f>
      </x:c>
      <x:c r="CD561" s="178" t="str">
        <x:f>IF(COUNT(Q561:Z561)=0,"",AVERAGE(Q561:Z561)*4)</x:f>
      </x:c>
      <x:c r="CE561" s="178" t="str">
        <x:f>IF(COUNT(AA561:AJ561)=0,"",AVERAGE(AA561:AJ561)*4)</x:f>
      </x:c>
      <x:c r="CF561" s="178" t="str">
        <x:f>IF(COUNT(AK561:AR561)=0,"",AVERAGE(AK561:AR561)*4)</x:f>
      </x:c>
      <x:c r="CG561" s="178" t="str">
        <x:f>IF(COUNT(AS561:AY561)=0,"",AVERAGE(AS561:AY561)*4)</x:f>
      </x:c>
      <x:c r="CH561" s="178" t="str">
        <x:f>IF(COUNT(AZ561:BG561)=0,"",AVERAGE(AZ561:BG561)*4)</x:f>
      </x:c>
      <x:c r="CI561" s="178" t="str">
        <x:f>IF(COUNT(BH561:BN561)=0,"",AVERAGE(BH561:BN561)*4)</x:f>
      </x:c>
      <x:c r="CJ561" s="178" t="str">
        <x:f>IF(COUNT(BO561:BU561)=0,"",AVERAGE(BO561:BU561)*4)</x:f>
      </x:c>
      <x:c r="CK561" s="178" t="str">
        <x:f>IF(COUNT(BV561:CB561)=0,"",AVERAGE(BV561:CB561)*4)</x:f>
      </x:c>
      <x:c r="CL561" s="178" t="str">
        <x:f>IF(C561="","",IF(COUNT(G561:CB561)&lt;74,"",(CC561*'تنظیمات وزن‌دهی'!$C$5+CD561*'تنظیمات وزن‌دهی'!$C$6+CE561*'تنظیمات وزن‌دهی'!$C$7+CF561*'تنظیمات وزن‌دهی'!$C$8+CG561*'تنظیمات وزن‌دهی'!$C$9+CH561*'تنظیمات وزن‌دهی'!$C$10+CI561*'تنظیمات وزن‌دهی'!$C$11+CJ561*'تنظیمات وزن‌دهی'!$C$12+CK561*'تنظیمات وزن‌دهی'!$C$13)/100))</x:f>
      </x:c>
      <x:c r="CM561" s="178" t="str">
        <x:f>IF(C561="","",IF(COUNT(G561:CB561)=0,"",IF(COUNT(G561:CB561)&lt;74,"موقت - اطلاعات ناقص",IF(CL561&gt;=17,"عالی",IF(CL561&gt;=14,"خوب",IF(CL561&gt;=10,"متوسط","ضعیف"))))))</x:f>
      </x:c>
      <x:c r="CN561" s="178" t="n">
        <x:v>5</x:v>
      </x:c>
      <x:c r="CO561" s="142" t="n">
        <x:f>IF(C561="","",COUNT(G561:CB561)/74)</x:f>
        <x:v>0</x:v>
      </x:c>
      <x:c r="CP561" s="245"/>
    </x:row>
    <x:row r="562">
      <x:c r="A562" s="165" t="n">
        <x:v>558</x:v>
      </x:c>
      <x:c r="B562" s="233" t="str">
        <x:v>آذر</x:v>
      </x:c>
      <x:c r="C562" s="233" t="n">
        <x:f>IF('دانش‌آموزان'!E51="","",'دانش‌آموزان'!B51)</x:f>
        <x:v>47</x:v>
      </x:c>
      <x:c r="D562" s="233" t="str">
        <x:f>IF('دانش‌آموزان'!C51="","",'دانش‌آموزان'!C51)</x:f>
        <x:v>4000000470</x:v>
      </x:c>
      <x:c r="E562" s="233" t="str">
        <x:f>IF('دانش‌آموزان'!E51="","",'دانش‌آموزان'!E51&amp;" "&amp;'دانش‌آموزان'!F51)</x:f>
        <x:v>آراد حسینی</x:v>
      </x:c>
      <x:c r="F562" s="166" t="str">
        <x:f>IF('دانش‌آموزان'!I51="","",'دانش‌آموزان'!I51)</x:f>
        <x:v>sample-7-b</x:v>
      </x:c>
      <x:c r="G562" s="114"/>
      <x:c r="H562" s="115"/>
      <x:c r="I562" s="115"/>
      <x:c r="J562" s="115"/>
      <x:c r="K562" s="115"/>
      <x:c r="L562" s="115"/>
      <x:c r="M562" s="115"/>
      <x:c r="N562" s="115"/>
      <x:c r="O562" s="115"/>
      <x:c r="P562" s="115"/>
      <x:c r="Q562" s="115"/>
      <x:c r="R562" s="115"/>
      <x:c r="S562" s="115"/>
      <x:c r="T562" s="115"/>
      <x:c r="U562" s="115"/>
      <x:c r="V562" s="115"/>
      <x:c r="W562" s="115"/>
      <x:c r="X562" s="115"/>
      <x:c r="Y562" s="115"/>
      <x:c r="Z562" s="115"/>
      <x:c r="AA562" s="115"/>
      <x:c r="AB562" s="115"/>
      <x:c r="AC562" s="115"/>
      <x:c r="AD562" s="115"/>
      <x:c r="AE562" s="115"/>
      <x:c r="AF562" s="115"/>
      <x:c r="AG562" s="115"/>
      <x:c r="AH562" s="115"/>
      <x:c r="AI562" s="115"/>
      <x:c r="AJ562" s="115"/>
      <x:c r="AK562" s="115"/>
      <x:c r="AL562" s="115"/>
      <x:c r="AM562" s="115"/>
      <x:c r="AN562" s="115"/>
      <x:c r="AO562" s="115"/>
      <x:c r="AP562" s="115"/>
      <x:c r="AQ562" s="115"/>
      <x:c r="AR562" s="115"/>
      <x:c r="AS562" s="115"/>
      <x:c r="AT562" s="115"/>
      <x:c r="AU562" s="115"/>
      <x:c r="AV562" s="115"/>
      <x:c r="AW562" s="115"/>
      <x:c r="AX562" s="115"/>
      <x:c r="AY562" s="115"/>
      <x:c r="AZ562" s="115"/>
      <x:c r="BA562" s="115"/>
      <x:c r="BB562" s="115"/>
      <x:c r="BC562" s="115"/>
      <x:c r="BD562" s="115"/>
      <x:c r="BE562" s="115"/>
      <x:c r="BF562" s="115"/>
      <x:c r="BG562" s="115"/>
      <x:c r="BH562" s="115"/>
      <x:c r="BI562" s="115"/>
      <x:c r="BJ562" s="115"/>
      <x:c r="BK562" s="115"/>
      <x:c r="BL562" s="115"/>
      <x:c r="BM562" s="115"/>
      <x:c r="BN562" s="115"/>
      <x:c r="BO562" s="115"/>
      <x:c r="BP562" s="115"/>
      <x:c r="BQ562" s="115"/>
      <x:c r="BR562" s="115"/>
      <x:c r="BS562" s="115"/>
      <x:c r="BT562" s="115"/>
      <x:c r="BU562" s="115"/>
      <x:c r="BV562" s="115"/>
      <x:c r="BW562" s="115"/>
      <x:c r="BX562" s="115"/>
      <x:c r="BY562" s="115"/>
      <x:c r="BZ562" s="115"/>
      <x:c r="CA562" s="115"/>
      <x:c r="CB562" s="116"/>
      <x:c r="CC562" s="141" t="str">
        <x:f>IF(COUNT(G562:P562)=0,"",AVERAGE(G562:P562)*4)</x:f>
      </x:c>
      <x:c r="CD562" s="178" t="str">
        <x:f>IF(COUNT(Q562:Z562)=0,"",AVERAGE(Q562:Z562)*4)</x:f>
      </x:c>
      <x:c r="CE562" s="178" t="str">
        <x:f>IF(COUNT(AA562:AJ562)=0,"",AVERAGE(AA562:AJ562)*4)</x:f>
      </x:c>
      <x:c r="CF562" s="178" t="str">
        <x:f>IF(COUNT(AK562:AR562)=0,"",AVERAGE(AK562:AR562)*4)</x:f>
      </x:c>
      <x:c r="CG562" s="178" t="str">
        <x:f>IF(COUNT(AS562:AY562)=0,"",AVERAGE(AS562:AY562)*4)</x:f>
      </x:c>
      <x:c r="CH562" s="178" t="str">
        <x:f>IF(COUNT(AZ562:BG562)=0,"",AVERAGE(AZ562:BG562)*4)</x:f>
      </x:c>
      <x:c r="CI562" s="178" t="str">
        <x:f>IF(COUNT(BH562:BN562)=0,"",AVERAGE(BH562:BN562)*4)</x:f>
      </x:c>
      <x:c r="CJ562" s="178" t="str">
        <x:f>IF(COUNT(BO562:BU562)=0,"",AVERAGE(BO562:BU562)*4)</x:f>
      </x:c>
      <x:c r="CK562" s="178" t="str">
        <x:f>IF(COUNT(BV562:CB562)=0,"",AVERAGE(BV562:CB562)*4)</x:f>
      </x:c>
      <x:c r="CL562" s="178" t="str">
        <x:f>IF(C562="","",IF(COUNT(G562:CB562)&lt;74,"",(CC562*'تنظیمات وزن‌دهی'!$C$5+CD562*'تنظیمات وزن‌دهی'!$C$6+CE562*'تنظیمات وزن‌دهی'!$C$7+CF562*'تنظیمات وزن‌دهی'!$C$8+CG562*'تنظیمات وزن‌دهی'!$C$9+CH562*'تنظیمات وزن‌دهی'!$C$10+CI562*'تنظیمات وزن‌دهی'!$C$11+CJ562*'تنظیمات وزن‌دهی'!$C$12+CK562*'تنظیمات وزن‌دهی'!$C$13)/100))</x:f>
      </x:c>
      <x:c r="CM562" s="178" t="str">
        <x:f>IF(C562="","",IF(COUNT(G562:CB562)=0,"",IF(COUNT(G562:CB562)&lt;74,"موقت - اطلاعات ناقص",IF(CL562&gt;=17,"عالی",IF(CL562&gt;=14,"خوب",IF(CL562&gt;=10,"متوسط","ضعیف"))))))</x:f>
      </x:c>
      <x:c r="CN562" s="178" t="n">
        <x:v>6</x:v>
      </x:c>
      <x:c r="CO562" s="142" t="n">
        <x:f>IF(C562="","",COUNT(G562:CB562)/74)</x:f>
        <x:v>0</x:v>
      </x:c>
      <x:c r="CP562" s="245"/>
    </x:row>
    <x:row r="563">
      <x:c r="A563" s="165" t="n">
        <x:v>559</x:v>
      </x:c>
      <x:c r="B563" s="233" t="str">
        <x:v>دی</x:v>
      </x:c>
      <x:c r="C563" s="233" t="n">
        <x:f>IF('دانش‌آموزان'!E51="","",'دانش‌آموزان'!B51)</x:f>
        <x:v>47</x:v>
      </x:c>
      <x:c r="D563" s="233" t="str">
        <x:f>IF('دانش‌آموزان'!C51="","",'دانش‌آموزان'!C51)</x:f>
        <x:v>4000000470</x:v>
      </x:c>
      <x:c r="E563" s="233" t="str">
        <x:f>IF('دانش‌آموزان'!E51="","",'دانش‌آموزان'!E51&amp;" "&amp;'دانش‌آموزان'!F51)</x:f>
        <x:v>آراد حسینی</x:v>
      </x:c>
      <x:c r="F563" s="166" t="str">
        <x:f>IF('دانش‌آموزان'!I51="","",'دانش‌آموزان'!I51)</x:f>
        <x:v>sample-7-b</x:v>
      </x:c>
      <x:c r="G563" s="114"/>
      <x:c r="H563" s="115"/>
      <x:c r="I563" s="115"/>
      <x:c r="J563" s="115"/>
      <x:c r="K563" s="115"/>
      <x:c r="L563" s="115"/>
      <x:c r="M563" s="115"/>
      <x:c r="N563" s="115"/>
      <x:c r="O563" s="115"/>
      <x:c r="P563" s="115"/>
      <x:c r="Q563" s="115"/>
      <x:c r="R563" s="115"/>
      <x:c r="S563" s="115"/>
      <x:c r="T563" s="115"/>
      <x:c r="U563" s="115"/>
      <x:c r="V563" s="115"/>
      <x:c r="W563" s="115"/>
      <x:c r="X563" s="115"/>
      <x:c r="Y563" s="115"/>
      <x:c r="Z563" s="115"/>
      <x:c r="AA563" s="115"/>
      <x:c r="AB563" s="115"/>
      <x:c r="AC563" s="115"/>
      <x:c r="AD563" s="115"/>
      <x:c r="AE563" s="115"/>
      <x:c r="AF563" s="115"/>
      <x:c r="AG563" s="115"/>
      <x:c r="AH563" s="115"/>
      <x:c r="AI563" s="115"/>
      <x:c r="AJ563" s="115"/>
      <x:c r="AK563" s="115"/>
      <x:c r="AL563" s="115"/>
      <x:c r="AM563" s="115"/>
      <x:c r="AN563" s="115"/>
      <x:c r="AO563" s="115"/>
      <x:c r="AP563" s="115"/>
      <x:c r="AQ563" s="115"/>
      <x:c r="AR563" s="115"/>
      <x:c r="AS563" s="115"/>
      <x:c r="AT563" s="115"/>
      <x:c r="AU563" s="115"/>
      <x:c r="AV563" s="115"/>
      <x:c r="AW563" s="115"/>
      <x:c r="AX563" s="115"/>
      <x:c r="AY563" s="115"/>
      <x:c r="AZ563" s="115"/>
      <x:c r="BA563" s="115"/>
      <x:c r="BB563" s="115"/>
      <x:c r="BC563" s="115"/>
      <x:c r="BD563" s="115"/>
      <x:c r="BE563" s="115"/>
      <x:c r="BF563" s="115"/>
      <x:c r="BG563" s="115"/>
      <x:c r="BH563" s="115"/>
      <x:c r="BI563" s="115"/>
      <x:c r="BJ563" s="115"/>
      <x:c r="BK563" s="115"/>
      <x:c r="BL563" s="115"/>
      <x:c r="BM563" s="115"/>
      <x:c r="BN563" s="115"/>
      <x:c r="BO563" s="115"/>
      <x:c r="BP563" s="115"/>
      <x:c r="BQ563" s="115"/>
      <x:c r="BR563" s="115"/>
      <x:c r="BS563" s="115"/>
      <x:c r="BT563" s="115"/>
      <x:c r="BU563" s="115"/>
      <x:c r="BV563" s="115"/>
      <x:c r="BW563" s="115"/>
      <x:c r="BX563" s="115"/>
      <x:c r="BY563" s="115"/>
      <x:c r="BZ563" s="115"/>
      <x:c r="CA563" s="115"/>
      <x:c r="CB563" s="116"/>
      <x:c r="CC563" s="141" t="str">
        <x:f>IF(COUNT(G563:P563)=0,"",AVERAGE(G563:P563)*4)</x:f>
      </x:c>
      <x:c r="CD563" s="178" t="str">
        <x:f>IF(COUNT(Q563:Z563)=0,"",AVERAGE(Q563:Z563)*4)</x:f>
      </x:c>
      <x:c r="CE563" s="178" t="str">
        <x:f>IF(COUNT(AA563:AJ563)=0,"",AVERAGE(AA563:AJ563)*4)</x:f>
      </x:c>
      <x:c r="CF563" s="178" t="str">
        <x:f>IF(COUNT(AK563:AR563)=0,"",AVERAGE(AK563:AR563)*4)</x:f>
      </x:c>
      <x:c r="CG563" s="178" t="str">
        <x:f>IF(COUNT(AS563:AY563)=0,"",AVERAGE(AS563:AY563)*4)</x:f>
      </x:c>
      <x:c r="CH563" s="178" t="str">
        <x:f>IF(COUNT(AZ563:BG563)=0,"",AVERAGE(AZ563:BG563)*4)</x:f>
      </x:c>
      <x:c r="CI563" s="178" t="str">
        <x:f>IF(COUNT(BH563:BN563)=0,"",AVERAGE(BH563:BN563)*4)</x:f>
      </x:c>
      <x:c r="CJ563" s="178" t="str">
        <x:f>IF(COUNT(BO563:BU563)=0,"",AVERAGE(BO563:BU563)*4)</x:f>
      </x:c>
      <x:c r="CK563" s="178" t="str">
        <x:f>IF(COUNT(BV563:CB563)=0,"",AVERAGE(BV563:CB563)*4)</x:f>
      </x:c>
      <x:c r="CL563" s="178" t="str">
        <x:f>IF(C563="","",IF(COUNT(G563:CB563)&lt;74,"",(CC563*'تنظیمات وزن‌دهی'!$C$5+CD563*'تنظیمات وزن‌دهی'!$C$6+CE563*'تنظیمات وزن‌دهی'!$C$7+CF563*'تنظیمات وزن‌دهی'!$C$8+CG563*'تنظیمات وزن‌دهی'!$C$9+CH563*'تنظیمات وزن‌دهی'!$C$10+CI563*'تنظیمات وزن‌دهی'!$C$11+CJ563*'تنظیمات وزن‌دهی'!$C$12+CK563*'تنظیمات وزن‌دهی'!$C$13)/100))</x:f>
      </x:c>
      <x:c r="CM563" s="178" t="str">
        <x:f>IF(C563="","",IF(COUNT(G563:CB563)=0,"",IF(COUNT(G563:CB563)&lt;74,"موقت - اطلاعات ناقص",IF(CL563&gt;=17,"عالی",IF(CL563&gt;=14,"خوب",IF(CL563&gt;=10,"متوسط","ضعیف"))))))</x:f>
      </x:c>
      <x:c r="CN563" s="178" t="n">
        <x:v>7</x:v>
      </x:c>
      <x:c r="CO563" s="142" t="n">
        <x:f>IF(C563="","",COUNT(G563:CB563)/74)</x:f>
        <x:v>0</x:v>
      </x:c>
      <x:c r="CP563" s="245"/>
    </x:row>
    <x:row r="564">
      <x:c r="A564" s="165" t="n">
        <x:v>560</x:v>
      </x:c>
      <x:c r="B564" s="233" t="str">
        <x:v>بهمن</x:v>
      </x:c>
      <x:c r="C564" s="233" t="n">
        <x:f>IF('دانش‌آموزان'!E51="","",'دانش‌آموزان'!B51)</x:f>
        <x:v>47</x:v>
      </x:c>
      <x:c r="D564" s="233" t="str">
        <x:f>IF('دانش‌آموزان'!C51="","",'دانش‌آموزان'!C51)</x:f>
        <x:v>4000000470</x:v>
      </x:c>
      <x:c r="E564" s="233" t="str">
        <x:f>IF('دانش‌آموزان'!E51="","",'دانش‌آموزان'!E51&amp;" "&amp;'دانش‌آموزان'!F51)</x:f>
        <x:v>آراد حسینی</x:v>
      </x:c>
      <x:c r="F564" s="166" t="str">
        <x:f>IF('دانش‌آموزان'!I51="","",'دانش‌آموزان'!I51)</x:f>
        <x:v>sample-7-b</x:v>
      </x:c>
      <x:c r="G564" s="114"/>
      <x:c r="H564" s="115"/>
      <x:c r="I564" s="115"/>
      <x:c r="J564" s="115"/>
      <x:c r="K564" s="115"/>
      <x:c r="L564" s="115"/>
      <x:c r="M564" s="115"/>
      <x:c r="N564" s="115"/>
      <x:c r="O564" s="115"/>
      <x:c r="P564" s="115"/>
      <x:c r="Q564" s="115"/>
      <x:c r="R564" s="115"/>
      <x:c r="S564" s="115"/>
      <x:c r="T564" s="115"/>
      <x:c r="U564" s="115"/>
      <x:c r="V564" s="115"/>
      <x:c r="W564" s="115"/>
      <x:c r="X564" s="115"/>
      <x:c r="Y564" s="115"/>
      <x:c r="Z564" s="115"/>
      <x:c r="AA564" s="115"/>
      <x:c r="AB564" s="115"/>
      <x:c r="AC564" s="115"/>
      <x:c r="AD564" s="115"/>
      <x:c r="AE564" s="115"/>
      <x:c r="AF564" s="115"/>
      <x:c r="AG564" s="115"/>
      <x:c r="AH564" s="115"/>
      <x:c r="AI564" s="115"/>
      <x:c r="AJ564" s="115"/>
      <x:c r="AK564" s="115"/>
      <x:c r="AL564" s="115"/>
      <x:c r="AM564" s="115"/>
      <x:c r="AN564" s="115"/>
      <x:c r="AO564" s="115"/>
      <x:c r="AP564" s="115"/>
      <x:c r="AQ564" s="115"/>
      <x:c r="AR564" s="115"/>
      <x:c r="AS564" s="115"/>
      <x:c r="AT564" s="115"/>
      <x:c r="AU564" s="115"/>
      <x:c r="AV564" s="115"/>
      <x:c r="AW564" s="115"/>
      <x:c r="AX564" s="115"/>
      <x:c r="AY564" s="115"/>
      <x:c r="AZ564" s="115"/>
      <x:c r="BA564" s="115"/>
      <x:c r="BB564" s="115"/>
      <x:c r="BC564" s="115"/>
      <x:c r="BD564" s="115"/>
      <x:c r="BE564" s="115"/>
      <x:c r="BF564" s="115"/>
      <x:c r="BG564" s="115"/>
      <x:c r="BH564" s="115"/>
      <x:c r="BI564" s="115"/>
      <x:c r="BJ564" s="115"/>
      <x:c r="BK564" s="115"/>
      <x:c r="BL564" s="115"/>
      <x:c r="BM564" s="115"/>
      <x:c r="BN564" s="115"/>
      <x:c r="BO564" s="115"/>
      <x:c r="BP564" s="115"/>
      <x:c r="BQ564" s="115"/>
      <x:c r="BR564" s="115"/>
      <x:c r="BS564" s="115"/>
      <x:c r="BT564" s="115"/>
      <x:c r="BU564" s="115"/>
      <x:c r="BV564" s="115"/>
      <x:c r="BW564" s="115"/>
      <x:c r="BX564" s="115"/>
      <x:c r="BY564" s="115"/>
      <x:c r="BZ564" s="115"/>
      <x:c r="CA564" s="115"/>
      <x:c r="CB564" s="116"/>
      <x:c r="CC564" s="141" t="str">
        <x:f>IF(COUNT(G564:P564)=0,"",AVERAGE(G564:P564)*4)</x:f>
      </x:c>
      <x:c r="CD564" s="178" t="str">
        <x:f>IF(COUNT(Q564:Z564)=0,"",AVERAGE(Q564:Z564)*4)</x:f>
      </x:c>
      <x:c r="CE564" s="178" t="str">
        <x:f>IF(COUNT(AA564:AJ564)=0,"",AVERAGE(AA564:AJ564)*4)</x:f>
      </x:c>
      <x:c r="CF564" s="178" t="str">
        <x:f>IF(COUNT(AK564:AR564)=0,"",AVERAGE(AK564:AR564)*4)</x:f>
      </x:c>
      <x:c r="CG564" s="178" t="str">
        <x:f>IF(COUNT(AS564:AY564)=0,"",AVERAGE(AS564:AY564)*4)</x:f>
      </x:c>
      <x:c r="CH564" s="178" t="str">
        <x:f>IF(COUNT(AZ564:BG564)=0,"",AVERAGE(AZ564:BG564)*4)</x:f>
      </x:c>
      <x:c r="CI564" s="178" t="str">
        <x:f>IF(COUNT(BH564:BN564)=0,"",AVERAGE(BH564:BN564)*4)</x:f>
      </x:c>
      <x:c r="CJ564" s="178" t="str">
        <x:f>IF(COUNT(BO564:BU564)=0,"",AVERAGE(BO564:BU564)*4)</x:f>
      </x:c>
      <x:c r="CK564" s="178" t="str">
        <x:f>IF(COUNT(BV564:CB564)=0,"",AVERAGE(BV564:CB564)*4)</x:f>
      </x:c>
      <x:c r="CL564" s="178" t="str">
        <x:f>IF(C564="","",IF(COUNT(G564:CB564)&lt;74,"",(CC564*'تنظیمات وزن‌دهی'!$C$5+CD564*'تنظیمات وزن‌دهی'!$C$6+CE564*'تنظیمات وزن‌دهی'!$C$7+CF564*'تنظیمات وزن‌دهی'!$C$8+CG564*'تنظیمات وزن‌دهی'!$C$9+CH564*'تنظیمات وزن‌دهی'!$C$10+CI564*'تنظیمات وزن‌دهی'!$C$11+CJ564*'تنظیمات وزن‌دهی'!$C$12+CK564*'تنظیمات وزن‌دهی'!$C$13)/100))</x:f>
      </x:c>
      <x:c r="CM564" s="178" t="str">
        <x:f>IF(C564="","",IF(COUNT(G564:CB564)=0,"",IF(COUNT(G564:CB564)&lt;74,"موقت - اطلاعات ناقص",IF(CL564&gt;=17,"عالی",IF(CL564&gt;=14,"خوب",IF(CL564&gt;=10,"متوسط","ضعیف"))))))</x:f>
      </x:c>
      <x:c r="CN564" s="178" t="n">
        <x:v>8</x:v>
      </x:c>
      <x:c r="CO564" s="142" t="n">
        <x:f>IF(C564="","",COUNT(G564:CB564)/74)</x:f>
        <x:v>0</x:v>
      </x:c>
      <x:c r="CP564" s="245"/>
    </x:row>
    <x:row r="565">
      <x:c r="A565" s="165" t="n">
        <x:v>561</x:v>
      </x:c>
      <x:c r="B565" s="233" t="str">
        <x:v>اسفند</x:v>
      </x:c>
      <x:c r="C565" s="233" t="n">
        <x:f>IF('دانش‌آموزان'!E51="","",'دانش‌آموزان'!B51)</x:f>
        <x:v>47</x:v>
      </x:c>
      <x:c r="D565" s="233" t="str">
        <x:f>IF('دانش‌آموزان'!C51="","",'دانش‌آموزان'!C51)</x:f>
        <x:v>4000000470</x:v>
      </x:c>
      <x:c r="E565" s="233" t="str">
        <x:f>IF('دانش‌آموزان'!E51="","",'دانش‌آموزان'!E51&amp;" "&amp;'دانش‌آموزان'!F51)</x:f>
        <x:v>آراد حسینی</x:v>
      </x:c>
      <x:c r="F565" s="166" t="str">
        <x:f>IF('دانش‌آموزان'!I51="","",'دانش‌آموزان'!I51)</x:f>
        <x:v>sample-7-b</x:v>
      </x:c>
      <x:c r="G565" s="114"/>
      <x:c r="H565" s="115"/>
      <x:c r="I565" s="115"/>
      <x:c r="J565" s="115"/>
      <x:c r="K565" s="115"/>
      <x:c r="L565" s="115"/>
      <x:c r="M565" s="115"/>
      <x:c r="N565" s="115"/>
      <x:c r="O565" s="115"/>
      <x:c r="P565" s="115"/>
      <x:c r="Q565" s="115"/>
      <x:c r="R565" s="115"/>
      <x:c r="S565" s="115"/>
      <x:c r="T565" s="115"/>
      <x:c r="U565" s="115"/>
      <x:c r="V565" s="115"/>
      <x:c r="W565" s="115"/>
      <x:c r="X565" s="115"/>
      <x:c r="Y565" s="115"/>
      <x:c r="Z565" s="115"/>
      <x:c r="AA565" s="115"/>
      <x:c r="AB565" s="115"/>
      <x:c r="AC565" s="115"/>
      <x:c r="AD565" s="115"/>
      <x:c r="AE565" s="115"/>
      <x:c r="AF565" s="115"/>
      <x:c r="AG565" s="115"/>
      <x:c r="AH565" s="115"/>
      <x:c r="AI565" s="115"/>
      <x:c r="AJ565" s="115"/>
      <x:c r="AK565" s="115"/>
      <x:c r="AL565" s="115"/>
      <x:c r="AM565" s="115"/>
      <x:c r="AN565" s="115"/>
      <x:c r="AO565" s="115"/>
      <x:c r="AP565" s="115"/>
      <x:c r="AQ565" s="115"/>
      <x:c r="AR565" s="115"/>
      <x:c r="AS565" s="115"/>
      <x:c r="AT565" s="115"/>
      <x:c r="AU565" s="115"/>
      <x:c r="AV565" s="115"/>
      <x:c r="AW565" s="115"/>
      <x:c r="AX565" s="115"/>
      <x:c r="AY565" s="115"/>
      <x:c r="AZ565" s="115"/>
      <x:c r="BA565" s="115"/>
      <x:c r="BB565" s="115"/>
      <x:c r="BC565" s="115"/>
      <x:c r="BD565" s="115"/>
      <x:c r="BE565" s="115"/>
      <x:c r="BF565" s="115"/>
      <x:c r="BG565" s="115"/>
      <x:c r="BH565" s="115"/>
      <x:c r="BI565" s="115"/>
      <x:c r="BJ565" s="115"/>
      <x:c r="BK565" s="115"/>
      <x:c r="BL565" s="115"/>
      <x:c r="BM565" s="115"/>
      <x:c r="BN565" s="115"/>
      <x:c r="BO565" s="115"/>
      <x:c r="BP565" s="115"/>
      <x:c r="BQ565" s="115"/>
      <x:c r="BR565" s="115"/>
      <x:c r="BS565" s="115"/>
      <x:c r="BT565" s="115"/>
      <x:c r="BU565" s="115"/>
      <x:c r="BV565" s="115"/>
      <x:c r="BW565" s="115"/>
      <x:c r="BX565" s="115"/>
      <x:c r="BY565" s="115"/>
      <x:c r="BZ565" s="115"/>
      <x:c r="CA565" s="115"/>
      <x:c r="CB565" s="116"/>
      <x:c r="CC565" s="141" t="str">
        <x:f>IF(COUNT(G565:P565)=0,"",AVERAGE(G565:P565)*4)</x:f>
      </x:c>
      <x:c r="CD565" s="178" t="str">
        <x:f>IF(COUNT(Q565:Z565)=0,"",AVERAGE(Q565:Z565)*4)</x:f>
      </x:c>
      <x:c r="CE565" s="178" t="str">
        <x:f>IF(COUNT(AA565:AJ565)=0,"",AVERAGE(AA565:AJ565)*4)</x:f>
      </x:c>
      <x:c r="CF565" s="178" t="str">
        <x:f>IF(COUNT(AK565:AR565)=0,"",AVERAGE(AK565:AR565)*4)</x:f>
      </x:c>
      <x:c r="CG565" s="178" t="str">
        <x:f>IF(COUNT(AS565:AY565)=0,"",AVERAGE(AS565:AY565)*4)</x:f>
      </x:c>
      <x:c r="CH565" s="178" t="str">
        <x:f>IF(COUNT(AZ565:BG565)=0,"",AVERAGE(AZ565:BG565)*4)</x:f>
      </x:c>
      <x:c r="CI565" s="178" t="str">
        <x:f>IF(COUNT(BH565:BN565)=0,"",AVERAGE(BH565:BN565)*4)</x:f>
      </x:c>
      <x:c r="CJ565" s="178" t="str">
        <x:f>IF(COUNT(BO565:BU565)=0,"",AVERAGE(BO565:BU565)*4)</x:f>
      </x:c>
      <x:c r="CK565" s="178" t="str">
        <x:f>IF(COUNT(BV565:CB565)=0,"",AVERAGE(BV565:CB565)*4)</x:f>
      </x:c>
      <x:c r="CL565" s="178" t="str">
        <x:f>IF(C565="","",IF(COUNT(G565:CB565)&lt;74,"",(CC565*'تنظیمات وزن‌دهی'!$C$5+CD565*'تنظیمات وزن‌دهی'!$C$6+CE565*'تنظیمات وزن‌دهی'!$C$7+CF565*'تنظیمات وزن‌دهی'!$C$8+CG565*'تنظیمات وزن‌دهی'!$C$9+CH565*'تنظیمات وزن‌دهی'!$C$10+CI565*'تنظیمات وزن‌دهی'!$C$11+CJ565*'تنظیمات وزن‌دهی'!$C$12+CK565*'تنظیمات وزن‌دهی'!$C$13)/100))</x:f>
      </x:c>
      <x:c r="CM565" s="178" t="str">
        <x:f>IF(C565="","",IF(COUNT(G565:CB565)=0,"",IF(COUNT(G565:CB565)&lt;74,"موقت - اطلاعات ناقص",IF(CL565&gt;=17,"عالی",IF(CL565&gt;=14,"خوب",IF(CL565&gt;=10,"متوسط","ضعیف"))))))</x:f>
      </x:c>
      <x:c r="CN565" s="178" t="n">
        <x:v>9</x:v>
      </x:c>
      <x:c r="CO565" s="142" t="n">
        <x:f>IF(C565="","",COUNT(G565:CB565)/74)</x:f>
        <x:v>0</x:v>
      </x:c>
      <x:c r="CP565" s="245"/>
    </x:row>
    <x:row r="566">
      <x:c r="A566" s="165" t="n">
        <x:v>562</x:v>
      </x:c>
      <x:c r="B566" s="233" t="str">
        <x:v>فروردین</x:v>
      </x:c>
      <x:c r="C566" s="233" t="n">
        <x:f>IF('دانش‌آموزان'!E51="","",'دانش‌آموزان'!B51)</x:f>
        <x:v>47</x:v>
      </x:c>
      <x:c r="D566" s="233" t="str">
        <x:f>IF('دانش‌آموزان'!C51="","",'دانش‌آموزان'!C51)</x:f>
        <x:v>4000000470</x:v>
      </x:c>
      <x:c r="E566" s="233" t="str">
        <x:f>IF('دانش‌آموزان'!E51="","",'دانش‌آموزان'!E51&amp;" "&amp;'دانش‌آموزان'!F51)</x:f>
        <x:v>آراد حسینی</x:v>
      </x:c>
      <x:c r="F566" s="166" t="str">
        <x:f>IF('دانش‌آموزان'!I51="","",'دانش‌آموزان'!I51)</x:f>
        <x:v>sample-7-b</x:v>
      </x:c>
      <x:c r="G566" s="114"/>
      <x:c r="H566" s="115"/>
      <x:c r="I566" s="115"/>
      <x:c r="J566" s="115"/>
      <x:c r="K566" s="115"/>
      <x:c r="L566" s="115"/>
      <x:c r="M566" s="115"/>
      <x:c r="N566" s="115"/>
      <x:c r="O566" s="115"/>
      <x:c r="P566" s="115"/>
      <x:c r="Q566" s="115"/>
      <x:c r="R566" s="115"/>
      <x:c r="S566" s="115"/>
      <x:c r="T566" s="115"/>
      <x:c r="U566" s="115"/>
      <x:c r="V566" s="115"/>
      <x:c r="W566" s="115"/>
      <x:c r="X566" s="115"/>
      <x:c r="Y566" s="115"/>
      <x:c r="Z566" s="115"/>
      <x:c r="AA566" s="115"/>
      <x:c r="AB566" s="115"/>
      <x:c r="AC566" s="115"/>
      <x:c r="AD566" s="115"/>
      <x:c r="AE566" s="115"/>
      <x:c r="AF566" s="115"/>
      <x:c r="AG566" s="115"/>
      <x:c r="AH566" s="115"/>
      <x:c r="AI566" s="115"/>
      <x:c r="AJ566" s="115"/>
      <x:c r="AK566" s="115"/>
      <x:c r="AL566" s="115"/>
      <x:c r="AM566" s="115"/>
      <x:c r="AN566" s="115"/>
      <x:c r="AO566" s="115"/>
      <x:c r="AP566" s="115"/>
      <x:c r="AQ566" s="115"/>
      <x:c r="AR566" s="115"/>
      <x:c r="AS566" s="115"/>
      <x:c r="AT566" s="115"/>
      <x:c r="AU566" s="115"/>
      <x:c r="AV566" s="115"/>
      <x:c r="AW566" s="115"/>
      <x:c r="AX566" s="115"/>
      <x:c r="AY566" s="115"/>
      <x:c r="AZ566" s="115"/>
      <x:c r="BA566" s="115"/>
      <x:c r="BB566" s="115"/>
      <x:c r="BC566" s="115"/>
      <x:c r="BD566" s="115"/>
      <x:c r="BE566" s="115"/>
      <x:c r="BF566" s="115"/>
      <x:c r="BG566" s="115"/>
      <x:c r="BH566" s="115"/>
      <x:c r="BI566" s="115"/>
      <x:c r="BJ566" s="115"/>
      <x:c r="BK566" s="115"/>
      <x:c r="BL566" s="115"/>
      <x:c r="BM566" s="115"/>
      <x:c r="BN566" s="115"/>
      <x:c r="BO566" s="115"/>
      <x:c r="BP566" s="115"/>
      <x:c r="BQ566" s="115"/>
      <x:c r="BR566" s="115"/>
      <x:c r="BS566" s="115"/>
      <x:c r="BT566" s="115"/>
      <x:c r="BU566" s="115"/>
      <x:c r="BV566" s="115"/>
      <x:c r="BW566" s="115"/>
      <x:c r="BX566" s="115"/>
      <x:c r="BY566" s="115"/>
      <x:c r="BZ566" s="115"/>
      <x:c r="CA566" s="115"/>
      <x:c r="CB566" s="116"/>
      <x:c r="CC566" s="141" t="str">
        <x:f>IF(COUNT(G566:P566)=0,"",AVERAGE(G566:P566)*4)</x:f>
      </x:c>
      <x:c r="CD566" s="178" t="str">
        <x:f>IF(COUNT(Q566:Z566)=0,"",AVERAGE(Q566:Z566)*4)</x:f>
      </x:c>
      <x:c r="CE566" s="178" t="str">
        <x:f>IF(COUNT(AA566:AJ566)=0,"",AVERAGE(AA566:AJ566)*4)</x:f>
      </x:c>
      <x:c r="CF566" s="178" t="str">
        <x:f>IF(COUNT(AK566:AR566)=0,"",AVERAGE(AK566:AR566)*4)</x:f>
      </x:c>
      <x:c r="CG566" s="178" t="str">
        <x:f>IF(COUNT(AS566:AY566)=0,"",AVERAGE(AS566:AY566)*4)</x:f>
      </x:c>
      <x:c r="CH566" s="178" t="str">
        <x:f>IF(COUNT(AZ566:BG566)=0,"",AVERAGE(AZ566:BG566)*4)</x:f>
      </x:c>
      <x:c r="CI566" s="178" t="str">
        <x:f>IF(COUNT(BH566:BN566)=0,"",AVERAGE(BH566:BN566)*4)</x:f>
      </x:c>
      <x:c r="CJ566" s="178" t="str">
        <x:f>IF(COUNT(BO566:BU566)=0,"",AVERAGE(BO566:BU566)*4)</x:f>
      </x:c>
      <x:c r="CK566" s="178" t="str">
        <x:f>IF(COUNT(BV566:CB566)=0,"",AVERAGE(BV566:CB566)*4)</x:f>
      </x:c>
      <x:c r="CL566" s="178" t="str">
        <x:f>IF(C566="","",IF(COUNT(G566:CB566)&lt;74,"",(CC566*'تنظیمات وزن‌دهی'!$C$5+CD566*'تنظیمات وزن‌دهی'!$C$6+CE566*'تنظیمات وزن‌دهی'!$C$7+CF566*'تنظیمات وزن‌دهی'!$C$8+CG566*'تنظیمات وزن‌دهی'!$C$9+CH566*'تنظیمات وزن‌دهی'!$C$10+CI566*'تنظیمات وزن‌دهی'!$C$11+CJ566*'تنظیمات وزن‌دهی'!$C$12+CK566*'تنظیمات وزن‌دهی'!$C$13)/100))</x:f>
      </x:c>
      <x:c r="CM566" s="178" t="str">
        <x:f>IF(C566="","",IF(COUNT(G566:CB566)=0,"",IF(COUNT(G566:CB566)&lt;74,"موقت - اطلاعات ناقص",IF(CL566&gt;=17,"عالی",IF(CL566&gt;=14,"خوب",IF(CL566&gt;=10,"متوسط","ضعیف"))))))</x:f>
      </x:c>
      <x:c r="CN566" s="178" t="n">
        <x:v>10</x:v>
      </x:c>
      <x:c r="CO566" s="142" t="n">
        <x:f>IF(C566="","",COUNT(G566:CB566)/74)</x:f>
        <x:v>0</x:v>
      </x:c>
      <x:c r="CP566" s="245"/>
    </x:row>
    <x:row r="567">
      <x:c r="A567" s="165" t="n">
        <x:v>563</x:v>
      </x:c>
      <x:c r="B567" s="233" t="str">
        <x:v>اردیبهشت</x:v>
      </x:c>
      <x:c r="C567" s="233" t="n">
        <x:f>IF('دانش‌آموزان'!E51="","",'دانش‌آموزان'!B51)</x:f>
        <x:v>47</x:v>
      </x:c>
      <x:c r="D567" s="233" t="str">
        <x:f>IF('دانش‌آموزان'!C51="","",'دانش‌آموزان'!C51)</x:f>
        <x:v>4000000470</x:v>
      </x:c>
      <x:c r="E567" s="233" t="str">
        <x:f>IF('دانش‌آموزان'!E51="","",'دانش‌آموزان'!E51&amp;" "&amp;'دانش‌آموزان'!F51)</x:f>
        <x:v>آراد حسینی</x:v>
      </x:c>
      <x:c r="F567" s="166" t="str">
        <x:f>IF('دانش‌آموزان'!I51="","",'دانش‌آموزان'!I51)</x:f>
        <x:v>sample-7-b</x:v>
      </x:c>
      <x:c r="G567" s="114"/>
      <x:c r="H567" s="115"/>
      <x:c r="I567" s="115"/>
      <x:c r="J567" s="115"/>
      <x:c r="K567" s="115"/>
      <x:c r="L567" s="115"/>
      <x:c r="M567" s="115"/>
      <x:c r="N567" s="115"/>
      <x:c r="O567" s="115"/>
      <x:c r="P567" s="115"/>
      <x:c r="Q567" s="115"/>
      <x:c r="R567" s="115"/>
      <x:c r="S567" s="115"/>
      <x:c r="T567" s="115"/>
      <x:c r="U567" s="115"/>
      <x:c r="V567" s="115"/>
      <x:c r="W567" s="115"/>
      <x:c r="X567" s="115"/>
      <x:c r="Y567" s="115"/>
      <x:c r="Z567" s="115"/>
      <x:c r="AA567" s="115"/>
      <x:c r="AB567" s="115"/>
      <x:c r="AC567" s="115"/>
      <x:c r="AD567" s="115"/>
      <x:c r="AE567" s="115"/>
      <x:c r="AF567" s="115"/>
      <x:c r="AG567" s="115"/>
      <x:c r="AH567" s="115"/>
      <x:c r="AI567" s="115"/>
      <x:c r="AJ567" s="115"/>
      <x:c r="AK567" s="115"/>
      <x:c r="AL567" s="115"/>
      <x:c r="AM567" s="115"/>
      <x:c r="AN567" s="115"/>
      <x:c r="AO567" s="115"/>
      <x:c r="AP567" s="115"/>
      <x:c r="AQ567" s="115"/>
      <x:c r="AR567" s="115"/>
      <x:c r="AS567" s="115"/>
      <x:c r="AT567" s="115"/>
      <x:c r="AU567" s="115"/>
      <x:c r="AV567" s="115"/>
      <x:c r="AW567" s="115"/>
      <x:c r="AX567" s="115"/>
      <x:c r="AY567" s="115"/>
      <x:c r="AZ567" s="115"/>
      <x:c r="BA567" s="115"/>
      <x:c r="BB567" s="115"/>
      <x:c r="BC567" s="115"/>
      <x:c r="BD567" s="115"/>
      <x:c r="BE567" s="115"/>
      <x:c r="BF567" s="115"/>
      <x:c r="BG567" s="115"/>
      <x:c r="BH567" s="115"/>
      <x:c r="BI567" s="115"/>
      <x:c r="BJ567" s="115"/>
      <x:c r="BK567" s="115"/>
      <x:c r="BL567" s="115"/>
      <x:c r="BM567" s="115"/>
      <x:c r="BN567" s="115"/>
      <x:c r="BO567" s="115"/>
      <x:c r="BP567" s="115"/>
      <x:c r="BQ567" s="115"/>
      <x:c r="BR567" s="115"/>
      <x:c r="BS567" s="115"/>
      <x:c r="BT567" s="115"/>
      <x:c r="BU567" s="115"/>
      <x:c r="BV567" s="115"/>
      <x:c r="BW567" s="115"/>
      <x:c r="BX567" s="115"/>
      <x:c r="BY567" s="115"/>
      <x:c r="BZ567" s="115"/>
      <x:c r="CA567" s="115"/>
      <x:c r="CB567" s="116"/>
      <x:c r="CC567" s="141" t="str">
        <x:f>IF(COUNT(G567:P567)=0,"",AVERAGE(G567:P567)*4)</x:f>
      </x:c>
      <x:c r="CD567" s="178" t="str">
        <x:f>IF(COUNT(Q567:Z567)=0,"",AVERAGE(Q567:Z567)*4)</x:f>
      </x:c>
      <x:c r="CE567" s="178" t="str">
        <x:f>IF(COUNT(AA567:AJ567)=0,"",AVERAGE(AA567:AJ567)*4)</x:f>
      </x:c>
      <x:c r="CF567" s="178" t="str">
        <x:f>IF(COUNT(AK567:AR567)=0,"",AVERAGE(AK567:AR567)*4)</x:f>
      </x:c>
      <x:c r="CG567" s="178" t="str">
        <x:f>IF(COUNT(AS567:AY567)=0,"",AVERAGE(AS567:AY567)*4)</x:f>
      </x:c>
      <x:c r="CH567" s="178" t="str">
        <x:f>IF(COUNT(AZ567:BG567)=0,"",AVERAGE(AZ567:BG567)*4)</x:f>
      </x:c>
      <x:c r="CI567" s="178" t="str">
        <x:f>IF(COUNT(BH567:BN567)=0,"",AVERAGE(BH567:BN567)*4)</x:f>
      </x:c>
      <x:c r="CJ567" s="178" t="str">
        <x:f>IF(COUNT(BO567:BU567)=0,"",AVERAGE(BO567:BU567)*4)</x:f>
      </x:c>
      <x:c r="CK567" s="178" t="str">
        <x:f>IF(COUNT(BV567:CB567)=0,"",AVERAGE(BV567:CB567)*4)</x:f>
      </x:c>
      <x:c r="CL567" s="178" t="str">
        <x:f>IF(C567="","",IF(COUNT(G567:CB567)&lt;74,"",(CC567*'تنظیمات وزن‌دهی'!$C$5+CD567*'تنظیمات وزن‌دهی'!$C$6+CE567*'تنظیمات وزن‌دهی'!$C$7+CF567*'تنظیمات وزن‌دهی'!$C$8+CG567*'تنظیمات وزن‌دهی'!$C$9+CH567*'تنظیمات وزن‌دهی'!$C$10+CI567*'تنظیمات وزن‌دهی'!$C$11+CJ567*'تنظیمات وزن‌دهی'!$C$12+CK567*'تنظیمات وزن‌دهی'!$C$13)/100))</x:f>
      </x:c>
      <x:c r="CM567" s="178" t="str">
        <x:f>IF(C567="","",IF(COUNT(G567:CB567)=0,"",IF(COUNT(G567:CB567)&lt;74,"موقت - اطلاعات ناقص",IF(CL567&gt;=17,"عالی",IF(CL567&gt;=14,"خوب",IF(CL567&gt;=10,"متوسط","ضعیف"))))))</x:f>
      </x:c>
      <x:c r="CN567" s="178" t="n">
        <x:v>11</x:v>
      </x:c>
      <x:c r="CO567" s="142" t="n">
        <x:f>IF(C567="","",COUNT(G567:CB567)/74)</x:f>
        <x:v>0</x:v>
      </x:c>
      <x:c r="CP567" s="245"/>
    </x:row>
    <x:row r="568">
      <x:c r="A568" s="165" t="n">
        <x:v>564</x:v>
      </x:c>
      <x:c r="B568" s="233" t="str">
        <x:v>خرداد</x:v>
      </x:c>
      <x:c r="C568" s="233" t="n">
        <x:f>IF('دانش‌آموزان'!E51="","",'دانش‌آموزان'!B51)</x:f>
        <x:v>47</x:v>
      </x:c>
      <x:c r="D568" s="233" t="str">
        <x:f>IF('دانش‌آموزان'!C51="","",'دانش‌آموزان'!C51)</x:f>
        <x:v>4000000470</x:v>
      </x:c>
      <x:c r="E568" s="233" t="str">
        <x:f>IF('دانش‌آموزان'!E51="","",'دانش‌آموزان'!E51&amp;" "&amp;'دانش‌آموزان'!F51)</x:f>
        <x:v>آراد حسینی</x:v>
      </x:c>
      <x:c r="F568" s="166" t="str">
        <x:f>IF('دانش‌آموزان'!I51="","",'دانش‌آموزان'!I51)</x:f>
        <x:v>sample-7-b</x:v>
      </x:c>
      <x:c r="G568" s="114"/>
      <x:c r="H568" s="115"/>
      <x:c r="I568" s="115"/>
      <x:c r="J568" s="115"/>
      <x:c r="K568" s="115"/>
      <x:c r="L568" s="115"/>
      <x:c r="M568" s="115"/>
      <x:c r="N568" s="115"/>
      <x:c r="O568" s="115"/>
      <x:c r="P568" s="115"/>
      <x:c r="Q568" s="115"/>
      <x:c r="R568" s="115"/>
      <x:c r="S568" s="115"/>
      <x:c r="T568" s="115"/>
      <x:c r="U568" s="115"/>
      <x:c r="V568" s="115"/>
      <x:c r="W568" s="115"/>
      <x:c r="X568" s="115"/>
      <x:c r="Y568" s="115"/>
      <x:c r="Z568" s="115"/>
      <x:c r="AA568" s="115"/>
      <x:c r="AB568" s="115"/>
      <x:c r="AC568" s="115"/>
      <x:c r="AD568" s="115"/>
      <x:c r="AE568" s="115"/>
      <x:c r="AF568" s="115"/>
      <x:c r="AG568" s="115"/>
      <x:c r="AH568" s="115"/>
      <x:c r="AI568" s="115"/>
      <x:c r="AJ568" s="115"/>
      <x:c r="AK568" s="115"/>
      <x:c r="AL568" s="115"/>
      <x:c r="AM568" s="115"/>
      <x:c r="AN568" s="115"/>
      <x:c r="AO568" s="115"/>
      <x:c r="AP568" s="115"/>
      <x:c r="AQ568" s="115"/>
      <x:c r="AR568" s="115"/>
      <x:c r="AS568" s="115"/>
      <x:c r="AT568" s="115"/>
      <x:c r="AU568" s="115"/>
      <x:c r="AV568" s="115"/>
      <x:c r="AW568" s="115"/>
      <x:c r="AX568" s="115"/>
      <x:c r="AY568" s="115"/>
      <x:c r="AZ568" s="115"/>
      <x:c r="BA568" s="115"/>
      <x:c r="BB568" s="115"/>
      <x:c r="BC568" s="115"/>
      <x:c r="BD568" s="115"/>
      <x:c r="BE568" s="115"/>
      <x:c r="BF568" s="115"/>
      <x:c r="BG568" s="115"/>
      <x:c r="BH568" s="115"/>
      <x:c r="BI568" s="115"/>
      <x:c r="BJ568" s="115"/>
      <x:c r="BK568" s="115"/>
      <x:c r="BL568" s="115"/>
      <x:c r="BM568" s="115"/>
      <x:c r="BN568" s="115"/>
      <x:c r="BO568" s="115"/>
      <x:c r="BP568" s="115"/>
      <x:c r="BQ568" s="115"/>
      <x:c r="BR568" s="115"/>
      <x:c r="BS568" s="115"/>
      <x:c r="BT568" s="115"/>
      <x:c r="BU568" s="115"/>
      <x:c r="BV568" s="115"/>
      <x:c r="BW568" s="115"/>
      <x:c r="BX568" s="115"/>
      <x:c r="BY568" s="115"/>
      <x:c r="BZ568" s="115"/>
      <x:c r="CA568" s="115"/>
      <x:c r="CB568" s="116"/>
      <x:c r="CC568" s="141" t="str">
        <x:f>IF(COUNT(G568:P568)=0,"",AVERAGE(G568:P568)*4)</x:f>
      </x:c>
      <x:c r="CD568" s="178" t="str">
        <x:f>IF(COUNT(Q568:Z568)=0,"",AVERAGE(Q568:Z568)*4)</x:f>
      </x:c>
      <x:c r="CE568" s="178" t="str">
        <x:f>IF(COUNT(AA568:AJ568)=0,"",AVERAGE(AA568:AJ568)*4)</x:f>
      </x:c>
      <x:c r="CF568" s="178" t="str">
        <x:f>IF(COUNT(AK568:AR568)=0,"",AVERAGE(AK568:AR568)*4)</x:f>
      </x:c>
      <x:c r="CG568" s="178" t="str">
        <x:f>IF(COUNT(AS568:AY568)=0,"",AVERAGE(AS568:AY568)*4)</x:f>
      </x:c>
      <x:c r="CH568" s="178" t="str">
        <x:f>IF(COUNT(AZ568:BG568)=0,"",AVERAGE(AZ568:BG568)*4)</x:f>
      </x:c>
      <x:c r="CI568" s="178" t="str">
        <x:f>IF(COUNT(BH568:BN568)=0,"",AVERAGE(BH568:BN568)*4)</x:f>
      </x:c>
      <x:c r="CJ568" s="178" t="str">
        <x:f>IF(COUNT(BO568:BU568)=0,"",AVERAGE(BO568:BU568)*4)</x:f>
      </x:c>
      <x:c r="CK568" s="178" t="str">
        <x:f>IF(COUNT(BV568:CB568)=0,"",AVERAGE(BV568:CB568)*4)</x:f>
      </x:c>
      <x:c r="CL568" s="178" t="str">
        <x:f>IF(C568="","",IF(COUNT(G568:CB568)&lt;74,"",(CC568*'تنظیمات وزن‌دهی'!$C$5+CD568*'تنظیمات وزن‌دهی'!$C$6+CE568*'تنظیمات وزن‌دهی'!$C$7+CF568*'تنظیمات وزن‌دهی'!$C$8+CG568*'تنظیمات وزن‌دهی'!$C$9+CH568*'تنظیمات وزن‌دهی'!$C$10+CI568*'تنظیمات وزن‌دهی'!$C$11+CJ568*'تنظیمات وزن‌دهی'!$C$12+CK568*'تنظیمات وزن‌دهی'!$C$13)/100))</x:f>
      </x:c>
      <x:c r="CM568" s="178" t="str">
        <x:f>IF(C568="","",IF(COUNT(G568:CB568)=0,"",IF(COUNT(G568:CB568)&lt;74,"موقت - اطلاعات ناقص",IF(CL568&gt;=17,"عالی",IF(CL568&gt;=14,"خوب",IF(CL568&gt;=10,"متوسط","ضعیف"))))))</x:f>
      </x:c>
      <x:c r="CN568" s="178" t="n">
        <x:v>12</x:v>
      </x:c>
      <x:c r="CO568" s="142" t="n">
        <x:f>IF(C568="","",COUNT(G568:CB568)/74)</x:f>
        <x:v>0</x:v>
      </x:c>
      <x:c r="CP568" s="245"/>
    </x:row>
    <x:row r="569">
      <x:c r="A569" s="165" t="n">
        <x:v>565</x:v>
      </x:c>
      <x:c r="B569" s="233" t="str">
        <x:v>تیر</x:v>
      </x:c>
      <x:c r="C569" s="233" t="n">
        <x:f>IF('دانش‌آموزان'!E52="","",'دانش‌آموزان'!B52)</x:f>
        <x:v>48</x:v>
      </x:c>
      <x:c r="D569" s="233" t="str">
        <x:f>IF('دانش‌آموزان'!C52="","",'دانش‌آموزان'!C52)</x:f>
        <x:v>4000000489</x:v>
      </x:c>
      <x:c r="E569" s="233" t="str">
        <x:f>IF('دانش‌آموزان'!E52="","",'دانش‌آموزان'!E52&amp;" "&amp;'دانش‌آموزان'!F52)</x:f>
        <x:v>نگار جعفری</x:v>
      </x:c>
      <x:c r="F569" s="166" t="str">
        <x:f>IF('دانش‌آموزان'!I52="","",'دانش‌آموزان'!I52)</x:f>
        <x:v>sample-7-b</x:v>
      </x:c>
      <x:c r="G569" s="114" t="n">
        <x:v>5</x:v>
      </x:c>
      <x:c r="H569" s="115" t="n">
        <x:v>3</x:v>
      </x:c>
      <x:c r="I569" s="115" t="n">
        <x:v>5</x:v>
      </x:c>
      <x:c r="J569" s="115" t="n">
        <x:v>3</x:v>
      </x:c>
      <x:c r="K569" s="115" t="n">
        <x:v>4</x:v>
      </x:c>
      <x:c r="L569" s="115" t="n">
        <x:v>3</x:v>
      </x:c>
      <x:c r="M569" s="115" t="n">
        <x:v>4</x:v>
      </x:c>
      <x:c r="N569" s="115" t="n">
        <x:v>2</x:v>
      </x:c>
      <x:c r="O569" s="115" t="n">
        <x:v>4</x:v>
      </x:c>
      <x:c r="P569" s="115" t="n">
        <x:v>5</x:v>
      </x:c>
      <x:c r="Q569" s="115" t="n">
        <x:v>4</x:v>
      </x:c>
      <x:c r="R569" s="115" t="n">
        <x:v>5</x:v>
      </x:c>
      <x:c r="S569" s="115" t="n">
        <x:v>3</x:v>
      </x:c>
      <x:c r="T569" s="115" t="n">
        <x:v>5</x:v>
      </x:c>
      <x:c r="U569" s="115" t="n">
        <x:v>3</x:v>
      </x:c>
      <x:c r="V569" s="115" t="n">
        <x:v>4</x:v>
      </x:c>
      <x:c r="W569" s="115" t="n">
        <x:v>3</x:v>
      </x:c>
      <x:c r="X569" s="115" t="n">
        <x:v>4</x:v>
      </x:c>
      <x:c r="Y569" s="115" t="n">
        <x:v>2</x:v>
      </x:c>
      <x:c r="Z569" s="115" t="n">
        <x:v>4</x:v>
      </x:c>
      <x:c r="AA569" s="115" t="n">
        <x:v>5</x:v>
      </x:c>
      <x:c r="AB569" s="115" t="n">
        <x:v>4</x:v>
      </x:c>
      <x:c r="AC569" s="115" t="n">
        <x:v>5</x:v>
      </x:c>
      <x:c r="AD569" s="115" t="n">
        <x:v>3</x:v>
      </x:c>
      <x:c r="AE569" s="115" t="n">
        <x:v>5</x:v>
      </x:c>
      <x:c r="AF569" s="115" t="n">
        <x:v>3</x:v>
      </x:c>
      <x:c r="AG569" s="115" t="n">
        <x:v>4</x:v>
      </x:c>
      <x:c r="AH569" s="115" t="n">
        <x:v>3</x:v>
      </x:c>
      <x:c r="AI569" s="115" t="n">
        <x:v>4</x:v>
      </x:c>
      <x:c r="AJ569" s="115" t="n">
        <x:v>2</x:v>
      </x:c>
      <x:c r="AK569" s="115" t="n">
        <x:v>4</x:v>
      </x:c>
      <x:c r="AL569" s="115" t="n">
        <x:v>5</x:v>
      </x:c>
      <x:c r="AM569" s="115" t="n">
        <x:v>4</x:v>
      </x:c>
      <x:c r="AN569" s="115" t="n">
        <x:v>5</x:v>
      </x:c>
      <x:c r="AO569" s="115" t="n">
        <x:v>3</x:v>
      </x:c>
      <x:c r="AP569" s="115" t="n">
        <x:v>5</x:v>
      </x:c>
      <x:c r="AQ569" s="115" t="n">
        <x:v>3</x:v>
      </x:c>
      <x:c r="AR569" s="115" t="n">
        <x:v>4</x:v>
      </x:c>
      <x:c r="AS569" s="115" t="n">
        <x:v>3</x:v>
      </x:c>
      <x:c r="AT569" s="115" t="n">
        <x:v>4</x:v>
      </x:c>
      <x:c r="AU569" s="115" t="n">
        <x:v>2</x:v>
      </x:c>
      <x:c r="AV569" s="115" t="n">
        <x:v>4</x:v>
      </x:c>
      <x:c r="AW569" s="115" t="n">
        <x:v>5</x:v>
      </x:c>
      <x:c r="AX569" s="115" t="n">
        <x:v>4</x:v>
      </x:c>
      <x:c r="AY569" s="115" t="n">
        <x:v>5</x:v>
      </x:c>
      <x:c r="AZ569" s="115" t="n">
        <x:v>3</x:v>
      </x:c>
      <x:c r="BA569" s="115" t="n">
        <x:v>5</x:v>
      </x:c>
      <x:c r="BB569" s="115" t="n">
        <x:v>3</x:v>
      </x:c>
      <x:c r="BC569" s="115" t="n">
        <x:v>4</x:v>
      </x:c>
      <x:c r="BD569" s="115" t="n">
        <x:v>3</x:v>
      </x:c>
      <x:c r="BE569" s="115" t="n">
        <x:v>4</x:v>
      </x:c>
      <x:c r="BF569" s="115" t="n">
        <x:v>2</x:v>
      </x:c>
      <x:c r="BG569" s="115" t="n">
        <x:v>4</x:v>
      </x:c>
      <x:c r="BH569" s="115" t="n">
        <x:v>5</x:v>
      </x:c>
      <x:c r="BI569" s="115" t="n">
        <x:v>4</x:v>
      </x:c>
      <x:c r="BJ569" s="115" t="n">
        <x:v>5</x:v>
      </x:c>
      <x:c r="BK569" s="115" t="n">
        <x:v>3</x:v>
      </x:c>
      <x:c r="BL569" s="115" t="n">
        <x:v>5</x:v>
      </x:c>
      <x:c r="BM569" s="115" t="n">
        <x:v>3</x:v>
      </x:c>
      <x:c r="BN569" s="115" t="n">
        <x:v>4</x:v>
      </x:c>
      <x:c r="BO569" s="115" t="n">
        <x:v>3</x:v>
      </x:c>
      <x:c r="BP569" s="115" t="n">
        <x:v>4</x:v>
      </x:c>
      <x:c r="BQ569" s="115" t="n">
        <x:v>2</x:v>
      </x:c>
      <x:c r="BR569" s="115" t="n">
        <x:v>4</x:v>
      </x:c>
      <x:c r="BS569" s="115" t="n">
        <x:v>5</x:v>
      </x:c>
      <x:c r="BT569" s="115" t="n">
        <x:v>4</x:v>
      </x:c>
      <x:c r="BU569" s="115" t="n">
        <x:v>5</x:v>
      </x:c>
      <x:c r="BV569" s="115" t="n">
        <x:v>3</x:v>
      </x:c>
      <x:c r="BW569" s="115" t="n">
        <x:v>5</x:v>
      </x:c>
      <x:c r="BX569" s="115" t="n">
        <x:v>3</x:v>
      </x:c>
      <x:c r="BY569" s="115" t="n">
        <x:v>4</x:v>
      </x:c>
      <x:c r="BZ569" s="115" t="n">
        <x:v>3</x:v>
      </x:c>
      <x:c r="CA569" s="115" t="n">
        <x:v>4</x:v>
      </x:c>
      <x:c r="CB569" s="116" t="n">
        <x:v>2</x:v>
      </x:c>
      <x:c r="CC569" s="141" t="n">
        <x:f>IF(COUNT(G569:P569)=0,"",AVERAGE(G569:P569)*4)</x:f>
        <x:v>15.2</x:v>
      </x:c>
      <x:c r="CD569" s="178" t="n">
        <x:f>IF(COUNT(Q569:Z569)=0,"",AVERAGE(Q569:Z569)*4)</x:f>
        <x:v>14.8</x:v>
      </x:c>
      <x:c r="CE569" s="178" t="n">
        <x:f>IF(COUNT(AA569:AJ569)=0,"",AVERAGE(AA569:AJ569)*4)</x:f>
        <x:v>15.2</x:v>
      </x:c>
      <x:c r="CF569" s="178" t="n">
        <x:f>IF(COUNT(AK569:AR569)=0,"",AVERAGE(AK569:AR569)*4)</x:f>
        <x:v>16.5</x:v>
      </x:c>
      <x:c r="CG569" s="178" t="n">
        <x:f>IF(COUNT(AS569:AY569)=0,"",AVERAGE(AS569:AY569)*4)</x:f>
        <x:v>15.428571428571429</x:v>
      </x:c>
      <x:c r="CH569" s="178" t="n">
        <x:f>IF(COUNT(AZ569:BG569)=0,"",AVERAGE(AZ569:BG569)*4)</x:f>
        <x:v>14</x:v>
      </x:c>
      <x:c r="CI569" s="178" t="n">
        <x:f>IF(COUNT(BH569:BN569)=0,"",AVERAGE(BH569:BN569)*4)</x:f>
        <x:v>16.571428571428573</x:v>
      </x:c>
      <x:c r="CJ569" s="178" t="n">
        <x:f>IF(COUNT(BO569:BU569)=0,"",AVERAGE(BO569:BU569)*4)</x:f>
        <x:v>15.428571428571429</x:v>
      </x:c>
      <x:c r="CK569" s="178" t="n">
        <x:f>IF(COUNT(BV569:CB569)=0,"",AVERAGE(BV569:CB569)*4)</x:f>
        <x:v>13.714285714285714</x:v>
      </x:c>
      <x:c r="CL569" s="178" t="n">
        <x:f>IF(C569="","",IF(COUNT(G569:CB569)&lt;74,"",(CC569*'تنظیمات وزن‌دهی'!$C$5+CD569*'تنظیمات وزن‌دهی'!$C$6+CE569*'تنظیمات وزن‌دهی'!$C$7+CF569*'تنظیمات وزن‌دهی'!$C$8+CG569*'تنظیمات وزن‌دهی'!$C$9+CH569*'تنظیمات وزن‌دهی'!$C$10+CI569*'تنظیمات وزن‌دهی'!$C$11+CJ569*'تنظیمات وزن‌دهی'!$C$12+CK569*'تنظیمات وزن‌دهی'!$C$13)/100))</x:f>
        <x:v>15.260714285714286</x:v>
      </x:c>
      <x:c r="CM569" s="178" t="str">
        <x:f>IF(C569="","",IF(COUNT(G569:CB569)=0,"",IF(COUNT(G569:CB569)&lt;74,"موقت - اطلاعات ناقص",IF(CL569&gt;=17,"عالی",IF(CL569&gt;=14,"خوب",IF(CL569&gt;=10,"متوسط","ضعیف"))))))</x:f>
        <x:v>خوب</x:v>
      </x:c>
      <x:c r="CN569" s="178" t="n">
        <x:v>1</x:v>
      </x:c>
      <x:c r="CO569" s="142" t="n">
        <x:f>IF(C569="","",COUNT(G569:CB569)/74)</x:f>
        <x:v>1</x:v>
      </x:c>
      <x:c r="CP569" s="245" t="str">
        <x:v>داده نمونه کامل برای ماه تیر - دانش‌آموز شماره 48</x:v>
      </x:c>
    </x:row>
    <x:row r="570">
      <x:c r="A570" s="165" t="n">
        <x:v>566</x:v>
      </x:c>
      <x:c r="B570" s="233" t="str">
        <x:v>مرداد</x:v>
      </x:c>
      <x:c r="C570" s="233" t="n">
        <x:f>IF('دانش‌آموزان'!E52="","",'دانش‌آموزان'!B52)</x:f>
        <x:v>48</x:v>
      </x:c>
      <x:c r="D570" s="233" t="str">
        <x:f>IF('دانش‌آموزان'!C52="","",'دانش‌آموزان'!C52)</x:f>
        <x:v>4000000489</x:v>
      </x:c>
      <x:c r="E570" s="233" t="str">
        <x:f>IF('دانش‌آموزان'!E52="","",'دانش‌آموزان'!E52&amp;" "&amp;'دانش‌آموزان'!F52)</x:f>
        <x:v>نگار جعفری</x:v>
      </x:c>
      <x:c r="F570" s="166" t="str">
        <x:f>IF('دانش‌آموزان'!I52="","",'دانش‌آموزان'!I52)</x:f>
        <x:v>sample-7-b</x:v>
      </x:c>
      <x:c r="G570" s="114"/>
      <x:c r="H570" s="115"/>
      <x:c r="I570" s="115"/>
      <x:c r="J570" s="115"/>
      <x:c r="K570" s="115"/>
      <x:c r="L570" s="115"/>
      <x:c r="M570" s="115"/>
      <x:c r="N570" s="115"/>
      <x:c r="O570" s="115"/>
      <x:c r="P570" s="115"/>
      <x:c r="Q570" s="115"/>
      <x:c r="R570" s="115"/>
      <x:c r="S570" s="115"/>
      <x:c r="T570" s="115"/>
      <x:c r="U570" s="115"/>
      <x:c r="V570" s="115"/>
      <x:c r="W570" s="115"/>
      <x:c r="X570" s="115"/>
      <x:c r="Y570" s="115"/>
      <x:c r="Z570" s="115"/>
      <x:c r="AA570" s="115"/>
      <x:c r="AB570" s="115"/>
      <x:c r="AC570" s="115"/>
      <x:c r="AD570" s="115"/>
      <x:c r="AE570" s="115"/>
      <x:c r="AF570" s="115"/>
      <x:c r="AG570" s="115"/>
      <x:c r="AH570" s="115"/>
      <x:c r="AI570" s="115"/>
      <x:c r="AJ570" s="115"/>
      <x:c r="AK570" s="115"/>
      <x:c r="AL570" s="115"/>
      <x:c r="AM570" s="115"/>
      <x:c r="AN570" s="115"/>
      <x:c r="AO570" s="115"/>
      <x:c r="AP570" s="115"/>
      <x:c r="AQ570" s="115"/>
      <x:c r="AR570" s="115"/>
      <x:c r="AS570" s="115"/>
      <x:c r="AT570" s="115"/>
      <x:c r="AU570" s="115"/>
      <x:c r="AV570" s="115"/>
      <x:c r="AW570" s="115"/>
      <x:c r="AX570" s="115"/>
      <x:c r="AY570" s="115"/>
      <x:c r="AZ570" s="115"/>
      <x:c r="BA570" s="115"/>
      <x:c r="BB570" s="115"/>
      <x:c r="BC570" s="115"/>
      <x:c r="BD570" s="115"/>
      <x:c r="BE570" s="115"/>
      <x:c r="BF570" s="115"/>
      <x:c r="BG570" s="115"/>
      <x:c r="BH570" s="115"/>
      <x:c r="BI570" s="115"/>
      <x:c r="BJ570" s="115"/>
      <x:c r="BK570" s="115"/>
      <x:c r="BL570" s="115"/>
      <x:c r="BM570" s="115"/>
      <x:c r="BN570" s="115"/>
      <x:c r="BO570" s="115"/>
      <x:c r="BP570" s="115"/>
      <x:c r="BQ570" s="115"/>
      <x:c r="BR570" s="115"/>
      <x:c r="BS570" s="115"/>
      <x:c r="BT570" s="115"/>
      <x:c r="BU570" s="115"/>
      <x:c r="BV570" s="115"/>
      <x:c r="BW570" s="115"/>
      <x:c r="BX570" s="115"/>
      <x:c r="BY570" s="115"/>
      <x:c r="BZ570" s="115"/>
      <x:c r="CA570" s="115"/>
      <x:c r="CB570" s="116"/>
      <x:c r="CC570" s="141" t="str">
        <x:f>IF(COUNT(G570:P570)=0,"",AVERAGE(G570:P570)*4)</x:f>
      </x:c>
      <x:c r="CD570" s="178" t="str">
        <x:f>IF(COUNT(Q570:Z570)=0,"",AVERAGE(Q570:Z570)*4)</x:f>
      </x:c>
      <x:c r="CE570" s="178" t="str">
        <x:f>IF(COUNT(AA570:AJ570)=0,"",AVERAGE(AA570:AJ570)*4)</x:f>
      </x:c>
      <x:c r="CF570" s="178" t="str">
        <x:f>IF(COUNT(AK570:AR570)=0,"",AVERAGE(AK570:AR570)*4)</x:f>
      </x:c>
      <x:c r="CG570" s="178" t="str">
        <x:f>IF(COUNT(AS570:AY570)=0,"",AVERAGE(AS570:AY570)*4)</x:f>
      </x:c>
      <x:c r="CH570" s="178" t="str">
        <x:f>IF(COUNT(AZ570:BG570)=0,"",AVERAGE(AZ570:BG570)*4)</x:f>
      </x:c>
      <x:c r="CI570" s="178" t="str">
        <x:f>IF(COUNT(BH570:BN570)=0,"",AVERAGE(BH570:BN570)*4)</x:f>
      </x:c>
      <x:c r="CJ570" s="178" t="str">
        <x:f>IF(COUNT(BO570:BU570)=0,"",AVERAGE(BO570:BU570)*4)</x:f>
      </x:c>
      <x:c r="CK570" s="178" t="str">
        <x:f>IF(COUNT(BV570:CB570)=0,"",AVERAGE(BV570:CB570)*4)</x:f>
      </x:c>
      <x:c r="CL570" s="178" t="str">
        <x:f>IF(C570="","",IF(COUNT(G570:CB570)&lt;74,"",(CC570*'تنظیمات وزن‌دهی'!$C$5+CD570*'تنظیمات وزن‌دهی'!$C$6+CE570*'تنظیمات وزن‌دهی'!$C$7+CF570*'تنظیمات وزن‌دهی'!$C$8+CG570*'تنظیمات وزن‌دهی'!$C$9+CH570*'تنظیمات وزن‌دهی'!$C$10+CI570*'تنظیمات وزن‌دهی'!$C$11+CJ570*'تنظیمات وزن‌دهی'!$C$12+CK570*'تنظیمات وزن‌دهی'!$C$13)/100))</x:f>
      </x:c>
      <x:c r="CM570" s="178" t="str">
        <x:f>IF(C570="","",IF(COUNT(G570:CB570)=0,"",IF(COUNT(G570:CB570)&lt;74,"موقت - اطلاعات ناقص",IF(CL570&gt;=17,"عالی",IF(CL570&gt;=14,"خوب",IF(CL570&gt;=10,"متوسط","ضعیف"))))))</x:f>
      </x:c>
      <x:c r="CN570" s="178" t="n">
        <x:v>2</x:v>
      </x:c>
      <x:c r="CO570" s="142" t="n">
        <x:f>IF(C570="","",COUNT(G570:CB570)/74)</x:f>
        <x:v>0</x:v>
      </x:c>
      <x:c r="CP570" s="245"/>
    </x:row>
    <x:row r="571">
      <x:c r="A571" s="165" t="n">
        <x:v>567</x:v>
      </x:c>
      <x:c r="B571" s="233" t="str">
        <x:v>شهریور</x:v>
      </x:c>
      <x:c r="C571" s="233" t="n">
        <x:f>IF('دانش‌آموزان'!E52="","",'دانش‌آموزان'!B52)</x:f>
        <x:v>48</x:v>
      </x:c>
      <x:c r="D571" s="233" t="str">
        <x:f>IF('دانش‌آموزان'!C52="","",'دانش‌آموزان'!C52)</x:f>
        <x:v>4000000489</x:v>
      </x:c>
      <x:c r="E571" s="233" t="str">
        <x:f>IF('دانش‌آموزان'!E52="","",'دانش‌آموزان'!E52&amp;" "&amp;'دانش‌آموزان'!F52)</x:f>
        <x:v>نگار جعفری</x:v>
      </x:c>
      <x:c r="F571" s="166" t="str">
        <x:f>IF('دانش‌آموزان'!I52="","",'دانش‌آموزان'!I52)</x:f>
        <x:v>sample-7-b</x:v>
      </x:c>
      <x:c r="G571" s="114"/>
      <x:c r="H571" s="115"/>
      <x:c r="I571" s="115"/>
      <x:c r="J571" s="115"/>
      <x:c r="K571" s="115"/>
      <x:c r="L571" s="115"/>
      <x:c r="M571" s="115"/>
      <x:c r="N571" s="115"/>
      <x:c r="O571" s="115"/>
      <x:c r="P571" s="115"/>
      <x:c r="Q571" s="115"/>
      <x:c r="R571" s="115"/>
      <x:c r="S571" s="115"/>
      <x:c r="T571" s="115"/>
      <x:c r="U571" s="115"/>
      <x:c r="V571" s="115"/>
      <x:c r="W571" s="115"/>
      <x:c r="X571" s="115"/>
      <x:c r="Y571" s="115"/>
      <x:c r="Z571" s="115"/>
      <x:c r="AA571" s="115"/>
      <x:c r="AB571" s="115"/>
      <x:c r="AC571" s="115"/>
      <x:c r="AD571" s="115"/>
      <x:c r="AE571" s="115"/>
      <x:c r="AF571" s="115"/>
      <x:c r="AG571" s="115"/>
      <x:c r="AH571" s="115"/>
      <x:c r="AI571" s="115"/>
      <x:c r="AJ571" s="115"/>
      <x:c r="AK571" s="115"/>
      <x:c r="AL571" s="115"/>
      <x:c r="AM571" s="115"/>
      <x:c r="AN571" s="115"/>
      <x:c r="AO571" s="115"/>
      <x:c r="AP571" s="115"/>
      <x:c r="AQ571" s="115"/>
      <x:c r="AR571" s="115"/>
      <x:c r="AS571" s="115"/>
      <x:c r="AT571" s="115"/>
      <x:c r="AU571" s="115"/>
      <x:c r="AV571" s="115"/>
      <x:c r="AW571" s="115"/>
      <x:c r="AX571" s="115"/>
      <x:c r="AY571" s="115"/>
      <x:c r="AZ571" s="115"/>
      <x:c r="BA571" s="115"/>
      <x:c r="BB571" s="115"/>
      <x:c r="BC571" s="115"/>
      <x:c r="BD571" s="115"/>
      <x:c r="BE571" s="115"/>
      <x:c r="BF571" s="115"/>
      <x:c r="BG571" s="115"/>
      <x:c r="BH571" s="115"/>
      <x:c r="BI571" s="115"/>
      <x:c r="BJ571" s="115"/>
      <x:c r="BK571" s="115"/>
      <x:c r="BL571" s="115"/>
      <x:c r="BM571" s="115"/>
      <x:c r="BN571" s="115"/>
      <x:c r="BO571" s="115"/>
      <x:c r="BP571" s="115"/>
      <x:c r="BQ571" s="115"/>
      <x:c r="BR571" s="115"/>
      <x:c r="BS571" s="115"/>
      <x:c r="BT571" s="115"/>
      <x:c r="BU571" s="115"/>
      <x:c r="BV571" s="115"/>
      <x:c r="BW571" s="115"/>
      <x:c r="BX571" s="115"/>
      <x:c r="BY571" s="115"/>
      <x:c r="BZ571" s="115"/>
      <x:c r="CA571" s="115"/>
      <x:c r="CB571" s="116"/>
      <x:c r="CC571" s="141" t="str">
        <x:f>IF(COUNT(G571:P571)=0,"",AVERAGE(G571:P571)*4)</x:f>
      </x:c>
      <x:c r="CD571" s="178" t="str">
        <x:f>IF(COUNT(Q571:Z571)=0,"",AVERAGE(Q571:Z571)*4)</x:f>
      </x:c>
      <x:c r="CE571" s="178" t="str">
        <x:f>IF(COUNT(AA571:AJ571)=0,"",AVERAGE(AA571:AJ571)*4)</x:f>
      </x:c>
      <x:c r="CF571" s="178" t="str">
        <x:f>IF(COUNT(AK571:AR571)=0,"",AVERAGE(AK571:AR571)*4)</x:f>
      </x:c>
      <x:c r="CG571" s="178" t="str">
        <x:f>IF(COUNT(AS571:AY571)=0,"",AVERAGE(AS571:AY571)*4)</x:f>
      </x:c>
      <x:c r="CH571" s="178" t="str">
        <x:f>IF(COUNT(AZ571:BG571)=0,"",AVERAGE(AZ571:BG571)*4)</x:f>
      </x:c>
      <x:c r="CI571" s="178" t="str">
        <x:f>IF(COUNT(BH571:BN571)=0,"",AVERAGE(BH571:BN571)*4)</x:f>
      </x:c>
      <x:c r="CJ571" s="178" t="str">
        <x:f>IF(COUNT(BO571:BU571)=0,"",AVERAGE(BO571:BU571)*4)</x:f>
      </x:c>
      <x:c r="CK571" s="178" t="str">
        <x:f>IF(COUNT(BV571:CB571)=0,"",AVERAGE(BV571:CB571)*4)</x:f>
      </x:c>
      <x:c r="CL571" s="178" t="str">
        <x:f>IF(C571="","",IF(COUNT(G571:CB571)&lt;74,"",(CC571*'تنظیمات وزن‌دهی'!$C$5+CD571*'تنظیمات وزن‌دهی'!$C$6+CE571*'تنظیمات وزن‌دهی'!$C$7+CF571*'تنظیمات وزن‌دهی'!$C$8+CG571*'تنظیمات وزن‌دهی'!$C$9+CH571*'تنظیمات وزن‌دهی'!$C$10+CI571*'تنظیمات وزن‌دهی'!$C$11+CJ571*'تنظیمات وزن‌دهی'!$C$12+CK571*'تنظیمات وزن‌دهی'!$C$13)/100))</x:f>
      </x:c>
      <x:c r="CM571" s="178" t="str">
        <x:f>IF(C571="","",IF(COUNT(G571:CB571)=0,"",IF(COUNT(G571:CB571)&lt;74,"موقت - اطلاعات ناقص",IF(CL571&gt;=17,"عالی",IF(CL571&gt;=14,"خوب",IF(CL571&gt;=10,"متوسط","ضعیف"))))))</x:f>
      </x:c>
      <x:c r="CN571" s="178" t="n">
        <x:v>3</x:v>
      </x:c>
      <x:c r="CO571" s="142" t="n">
        <x:f>IF(C571="","",COUNT(G571:CB571)/74)</x:f>
        <x:v>0</x:v>
      </x:c>
      <x:c r="CP571" s="245"/>
    </x:row>
    <x:row r="572">
      <x:c r="A572" s="165" t="n">
        <x:v>568</x:v>
      </x:c>
      <x:c r="B572" s="233" t="str">
        <x:v>مهر</x:v>
      </x:c>
      <x:c r="C572" s="233" t="n">
        <x:f>IF('دانش‌آموزان'!E52="","",'دانش‌آموزان'!B52)</x:f>
        <x:v>48</x:v>
      </x:c>
      <x:c r="D572" s="233" t="str">
        <x:f>IF('دانش‌آموزان'!C52="","",'دانش‌آموزان'!C52)</x:f>
        <x:v>4000000489</x:v>
      </x:c>
      <x:c r="E572" s="233" t="str">
        <x:f>IF('دانش‌آموزان'!E52="","",'دانش‌آموزان'!E52&amp;" "&amp;'دانش‌آموزان'!F52)</x:f>
        <x:v>نگار جعفری</x:v>
      </x:c>
      <x:c r="F572" s="166" t="str">
        <x:f>IF('دانش‌آموزان'!I52="","",'دانش‌آموزان'!I52)</x:f>
        <x:v>sample-7-b</x:v>
      </x:c>
      <x:c r="G572" s="114"/>
      <x:c r="H572" s="115"/>
      <x:c r="I572" s="115"/>
      <x:c r="J572" s="115"/>
      <x:c r="K572" s="115"/>
      <x:c r="L572" s="115"/>
      <x:c r="M572" s="115"/>
      <x:c r="N572" s="115"/>
      <x:c r="O572" s="115"/>
      <x:c r="P572" s="115"/>
      <x:c r="Q572" s="115"/>
      <x:c r="R572" s="115"/>
      <x:c r="S572" s="115"/>
      <x:c r="T572" s="115"/>
      <x:c r="U572" s="115"/>
      <x:c r="V572" s="115"/>
      <x:c r="W572" s="115"/>
      <x:c r="X572" s="115"/>
      <x:c r="Y572" s="115"/>
      <x:c r="Z572" s="115"/>
      <x:c r="AA572" s="115"/>
      <x:c r="AB572" s="115"/>
      <x:c r="AC572" s="115"/>
      <x:c r="AD572" s="115"/>
      <x:c r="AE572" s="115"/>
      <x:c r="AF572" s="115"/>
      <x:c r="AG572" s="115"/>
      <x:c r="AH572" s="115"/>
      <x:c r="AI572" s="115"/>
      <x:c r="AJ572" s="115"/>
      <x:c r="AK572" s="115"/>
      <x:c r="AL572" s="115"/>
      <x:c r="AM572" s="115"/>
      <x:c r="AN572" s="115"/>
      <x:c r="AO572" s="115"/>
      <x:c r="AP572" s="115"/>
      <x:c r="AQ572" s="115"/>
      <x:c r="AR572" s="115"/>
      <x:c r="AS572" s="115"/>
      <x:c r="AT572" s="115"/>
      <x:c r="AU572" s="115"/>
      <x:c r="AV572" s="115"/>
      <x:c r="AW572" s="115"/>
      <x:c r="AX572" s="115"/>
      <x:c r="AY572" s="115"/>
      <x:c r="AZ572" s="115"/>
      <x:c r="BA572" s="115"/>
      <x:c r="BB572" s="115"/>
      <x:c r="BC572" s="115"/>
      <x:c r="BD572" s="115"/>
      <x:c r="BE572" s="115"/>
      <x:c r="BF572" s="115"/>
      <x:c r="BG572" s="115"/>
      <x:c r="BH572" s="115"/>
      <x:c r="BI572" s="115"/>
      <x:c r="BJ572" s="115"/>
      <x:c r="BK572" s="115"/>
      <x:c r="BL572" s="115"/>
      <x:c r="BM572" s="115"/>
      <x:c r="BN572" s="115"/>
      <x:c r="BO572" s="115"/>
      <x:c r="BP572" s="115"/>
      <x:c r="BQ572" s="115"/>
      <x:c r="BR572" s="115"/>
      <x:c r="BS572" s="115"/>
      <x:c r="BT572" s="115"/>
      <x:c r="BU572" s="115"/>
      <x:c r="BV572" s="115"/>
      <x:c r="BW572" s="115"/>
      <x:c r="BX572" s="115"/>
      <x:c r="BY572" s="115"/>
      <x:c r="BZ572" s="115"/>
      <x:c r="CA572" s="115"/>
      <x:c r="CB572" s="116"/>
      <x:c r="CC572" s="141" t="str">
        <x:f>IF(COUNT(G572:P572)=0,"",AVERAGE(G572:P572)*4)</x:f>
      </x:c>
      <x:c r="CD572" s="178" t="str">
        <x:f>IF(COUNT(Q572:Z572)=0,"",AVERAGE(Q572:Z572)*4)</x:f>
      </x:c>
      <x:c r="CE572" s="178" t="str">
        <x:f>IF(COUNT(AA572:AJ572)=0,"",AVERAGE(AA572:AJ572)*4)</x:f>
      </x:c>
      <x:c r="CF572" s="178" t="str">
        <x:f>IF(COUNT(AK572:AR572)=0,"",AVERAGE(AK572:AR572)*4)</x:f>
      </x:c>
      <x:c r="CG572" s="178" t="str">
        <x:f>IF(COUNT(AS572:AY572)=0,"",AVERAGE(AS572:AY572)*4)</x:f>
      </x:c>
      <x:c r="CH572" s="178" t="str">
        <x:f>IF(COUNT(AZ572:BG572)=0,"",AVERAGE(AZ572:BG572)*4)</x:f>
      </x:c>
      <x:c r="CI572" s="178" t="str">
        <x:f>IF(COUNT(BH572:BN572)=0,"",AVERAGE(BH572:BN572)*4)</x:f>
      </x:c>
      <x:c r="CJ572" s="178" t="str">
        <x:f>IF(COUNT(BO572:BU572)=0,"",AVERAGE(BO572:BU572)*4)</x:f>
      </x:c>
      <x:c r="CK572" s="178" t="str">
        <x:f>IF(COUNT(BV572:CB572)=0,"",AVERAGE(BV572:CB572)*4)</x:f>
      </x:c>
      <x:c r="CL572" s="178" t="str">
        <x:f>IF(C572="","",IF(COUNT(G572:CB572)&lt;74,"",(CC572*'تنظیمات وزن‌دهی'!$C$5+CD572*'تنظیمات وزن‌دهی'!$C$6+CE572*'تنظیمات وزن‌دهی'!$C$7+CF572*'تنظیمات وزن‌دهی'!$C$8+CG572*'تنظیمات وزن‌دهی'!$C$9+CH572*'تنظیمات وزن‌دهی'!$C$10+CI572*'تنظیمات وزن‌دهی'!$C$11+CJ572*'تنظیمات وزن‌دهی'!$C$12+CK572*'تنظیمات وزن‌دهی'!$C$13)/100))</x:f>
      </x:c>
      <x:c r="CM572" s="178" t="str">
        <x:f>IF(C572="","",IF(COUNT(G572:CB572)=0,"",IF(COUNT(G572:CB572)&lt;74,"موقت - اطلاعات ناقص",IF(CL572&gt;=17,"عالی",IF(CL572&gt;=14,"خوب",IF(CL572&gt;=10,"متوسط","ضعیف"))))))</x:f>
      </x:c>
      <x:c r="CN572" s="178" t="n">
        <x:v>4</x:v>
      </x:c>
      <x:c r="CO572" s="142" t="n">
        <x:f>IF(C572="","",COUNT(G572:CB572)/74)</x:f>
        <x:v>0</x:v>
      </x:c>
      <x:c r="CP572" s="245"/>
    </x:row>
    <x:row r="573">
      <x:c r="A573" s="165" t="n">
        <x:v>569</x:v>
      </x:c>
      <x:c r="B573" s="233" t="str">
        <x:v>آبان</x:v>
      </x:c>
      <x:c r="C573" s="233" t="n">
        <x:f>IF('دانش‌آموزان'!E52="","",'دانش‌آموزان'!B52)</x:f>
        <x:v>48</x:v>
      </x:c>
      <x:c r="D573" s="233" t="str">
        <x:f>IF('دانش‌آموزان'!C52="","",'دانش‌آموزان'!C52)</x:f>
        <x:v>4000000489</x:v>
      </x:c>
      <x:c r="E573" s="233" t="str">
        <x:f>IF('دانش‌آموزان'!E52="","",'دانش‌آموزان'!E52&amp;" "&amp;'دانش‌آموزان'!F52)</x:f>
        <x:v>نگار جعفری</x:v>
      </x:c>
      <x:c r="F573" s="166" t="str">
        <x:f>IF('دانش‌آموزان'!I52="","",'دانش‌آموزان'!I52)</x:f>
        <x:v>sample-7-b</x:v>
      </x:c>
      <x:c r="G573" s="114"/>
      <x:c r="H573" s="115"/>
      <x:c r="I573" s="115"/>
      <x:c r="J573" s="115"/>
      <x:c r="K573" s="115"/>
      <x:c r="L573" s="115"/>
      <x:c r="M573" s="115"/>
      <x:c r="N573" s="115"/>
      <x:c r="O573" s="115"/>
      <x:c r="P573" s="115"/>
      <x:c r="Q573" s="115"/>
      <x:c r="R573" s="115"/>
      <x:c r="S573" s="115"/>
      <x:c r="T573" s="115"/>
      <x:c r="U573" s="115"/>
      <x:c r="V573" s="115"/>
      <x:c r="W573" s="115"/>
      <x:c r="X573" s="115"/>
      <x:c r="Y573" s="115"/>
      <x:c r="Z573" s="115"/>
      <x:c r="AA573" s="115"/>
      <x:c r="AB573" s="115"/>
      <x:c r="AC573" s="115"/>
      <x:c r="AD573" s="115"/>
      <x:c r="AE573" s="115"/>
      <x:c r="AF573" s="115"/>
      <x:c r="AG573" s="115"/>
      <x:c r="AH573" s="115"/>
      <x:c r="AI573" s="115"/>
      <x:c r="AJ573" s="115"/>
      <x:c r="AK573" s="115"/>
      <x:c r="AL573" s="115"/>
      <x:c r="AM573" s="115"/>
      <x:c r="AN573" s="115"/>
      <x:c r="AO573" s="115"/>
      <x:c r="AP573" s="115"/>
      <x:c r="AQ573" s="115"/>
      <x:c r="AR573" s="115"/>
      <x:c r="AS573" s="115"/>
      <x:c r="AT573" s="115"/>
      <x:c r="AU573" s="115"/>
      <x:c r="AV573" s="115"/>
      <x:c r="AW573" s="115"/>
      <x:c r="AX573" s="115"/>
      <x:c r="AY573" s="115"/>
      <x:c r="AZ573" s="115"/>
      <x:c r="BA573" s="115"/>
      <x:c r="BB573" s="115"/>
      <x:c r="BC573" s="115"/>
      <x:c r="BD573" s="115"/>
      <x:c r="BE573" s="115"/>
      <x:c r="BF573" s="115"/>
      <x:c r="BG573" s="115"/>
      <x:c r="BH573" s="115"/>
      <x:c r="BI573" s="115"/>
      <x:c r="BJ573" s="115"/>
      <x:c r="BK573" s="115"/>
      <x:c r="BL573" s="115"/>
      <x:c r="BM573" s="115"/>
      <x:c r="BN573" s="115"/>
      <x:c r="BO573" s="115"/>
      <x:c r="BP573" s="115"/>
      <x:c r="BQ573" s="115"/>
      <x:c r="BR573" s="115"/>
      <x:c r="BS573" s="115"/>
      <x:c r="BT573" s="115"/>
      <x:c r="BU573" s="115"/>
      <x:c r="BV573" s="115"/>
      <x:c r="BW573" s="115"/>
      <x:c r="BX573" s="115"/>
      <x:c r="BY573" s="115"/>
      <x:c r="BZ573" s="115"/>
      <x:c r="CA573" s="115"/>
      <x:c r="CB573" s="116"/>
      <x:c r="CC573" s="141" t="str">
        <x:f>IF(COUNT(G573:P573)=0,"",AVERAGE(G573:P573)*4)</x:f>
      </x:c>
      <x:c r="CD573" s="178" t="str">
        <x:f>IF(COUNT(Q573:Z573)=0,"",AVERAGE(Q573:Z573)*4)</x:f>
      </x:c>
      <x:c r="CE573" s="178" t="str">
        <x:f>IF(COUNT(AA573:AJ573)=0,"",AVERAGE(AA573:AJ573)*4)</x:f>
      </x:c>
      <x:c r="CF573" s="178" t="str">
        <x:f>IF(COUNT(AK573:AR573)=0,"",AVERAGE(AK573:AR573)*4)</x:f>
      </x:c>
      <x:c r="CG573" s="178" t="str">
        <x:f>IF(COUNT(AS573:AY573)=0,"",AVERAGE(AS573:AY573)*4)</x:f>
      </x:c>
      <x:c r="CH573" s="178" t="str">
        <x:f>IF(COUNT(AZ573:BG573)=0,"",AVERAGE(AZ573:BG573)*4)</x:f>
      </x:c>
      <x:c r="CI573" s="178" t="str">
        <x:f>IF(COUNT(BH573:BN573)=0,"",AVERAGE(BH573:BN573)*4)</x:f>
      </x:c>
      <x:c r="CJ573" s="178" t="str">
        <x:f>IF(COUNT(BO573:BU573)=0,"",AVERAGE(BO573:BU573)*4)</x:f>
      </x:c>
      <x:c r="CK573" s="178" t="str">
        <x:f>IF(COUNT(BV573:CB573)=0,"",AVERAGE(BV573:CB573)*4)</x:f>
      </x:c>
      <x:c r="CL573" s="178" t="str">
        <x:f>IF(C573="","",IF(COUNT(G573:CB573)&lt;74,"",(CC573*'تنظیمات وزن‌دهی'!$C$5+CD573*'تنظیمات وزن‌دهی'!$C$6+CE573*'تنظیمات وزن‌دهی'!$C$7+CF573*'تنظیمات وزن‌دهی'!$C$8+CG573*'تنظیمات وزن‌دهی'!$C$9+CH573*'تنظیمات وزن‌دهی'!$C$10+CI573*'تنظیمات وزن‌دهی'!$C$11+CJ573*'تنظیمات وزن‌دهی'!$C$12+CK573*'تنظیمات وزن‌دهی'!$C$13)/100))</x:f>
      </x:c>
      <x:c r="CM573" s="178" t="str">
        <x:f>IF(C573="","",IF(COUNT(G573:CB573)=0,"",IF(COUNT(G573:CB573)&lt;74,"موقت - اطلاعات ناقص",IF(CL573&gt;=17,"عالی",IF(CL573&gt;=14,"خوب",IF(CL573&gt;=10,"متوسط","ضعیف"))))))</x:f>
      </x:c>
      <x:c r="CN573" s="178" t="n">
        <x:v>5</x:v>
      </x:c>
      <x:c r="CO573" s="142" t="n">
        <x:f>IF(C573="","",COUNT(G573:CB573)/74)</x:f>
        <x:v>0</x:v>
      </x:c>
      <x:c r="CP573" s="245"/>
    </x:row>
    <x:row r="574">
      <x:c r="A574" s="165" t="n">
        <x:v>570</x:v>
      </x:c>
      <x:c r="B574" s="233" t="str">
        <x:v>آذر</x:v>
      </x:c>
      <x:c r="C574" s="233" t="n">
        <x:f>IF('دانش‌آموزان'!E52="","",'دانش‌آموزان'!B52)</x:f>
        <x:v>48</x:v>
      </x:c>
      <x:c r="D574" s="233" t="str">
        <x:f>IF('دانش‌آموزان'!C52="","",'دانش‌آموزان'!C52)</x:f>
        <x:v>4000000489</x:v>
      </x:c>
      <x:c r="E574" s="233" t="str">
        <x:f>IF('دانش‌آموزان'!E52="","",'دانش‌آموزان'!E52&amp;" "&amp;'دانش‌آموزان'!F52)</x:f>
        <x:v>نگار جعفری</x:v>
      </x:c>
      <x:c r="F574" s="166" t="str">
        <x:f>IF('دانش‌آموزان'!I52="","",'دانش‌آموزان'!I52)</x:f>
        <x:v>sample-7-b</x:v>
      </x:c>
      <x:c r="G574" s="114"/>
      <x:c r="H574" s="115"/>
      <x:c r="I574" s="115"/>
      <x:c r="J574" s="115"/>
      <x:c r="K574" s="115"/>
      <x:c r="L574" s="115"/>
      <x:c r="M574" s="115"/>
      <x:c r="N574" s="115"/>
      <x:c r="O574" s="115"/>
      <x:c r="P574" s="115"/>
      <x:c r="Q574" s="115"/>
      <x:c r="R574" s="115"/>
      <x:c r="S574" s="115"/>
      <x:c r="T574" s="115"/>
      <x:c r="U574" s="115"/>
      <x:c r="V574" s="115"/>
      <x:c r="W574" s="115"/>
      <x:c r="X574" s="115"/>
      <x:c r="Y574" s="115"/>
      <x:c r="Z574" s="115"/>
      <x:c r="AA574" s="115"/>
      <x:c r="AB574" s="115"/>
      <x:c r="AC574" s="115"/>
      <x:c r="AD574" s="115"/>
      <x:c r="AE574" s="115"/>
      <x:c r="AF574" s="115"/>
      <x:c r="AG574" s="115"/>
      <x:c r="AH574" s="115"/>
      <x:c r="AI574" s="115"/>
      <x:c r="AJ574" s="115"/>
      <x:c r="AK574" s="115"/>
      <x:c r="AL574" s="115"/>
      <x:c r="AM574" s="115"/>
      <x:c r="AN574" s="115"/>
      <x:c r="AO574" s="115"/>
      <x:c r="AP574" s="115"/>
      <x:c r="AQ574" s="115"/>
      <x:c r="AR574" s="115"/>
      <x:c r="AS574" s="115"/>
      <x:c r="AT574" s="115"/>
      <x:c r="AU574" s="115"/>
      <x:c r="AV574" s="115"/>
      <x:c r="AW574" s="115"/>
      <x:c r="AX574" s="115"/>
      <x:c r="AY574" s="115"/>
      <x:c r="AZ574" s="115"/>
      <x:c r="BA574" s="115"/>
      <x:c r="BB574" s="115"/>
      <x:c r="BC574" s="115"/>
      <x:c r="BD574" s="115"/>
      <x:c r="BE574" s="115"/>
      <x:c r="BF574" s="115"/>
      <x:c r="BG574" s="115"/>
      <x:c r="BH574" s="115"/>
      <x:c r="BI574" s="115"/>
      <x:c r="BJ574" s="115"/>
      <x:c r="BK574" s="115"/>
      <x:c r="BL574" s="115"/>
      <x:c r="BM574" s="115"/>
      <x:c r="BN574" s="115"/>
      <x:c r="BO574" s="115"/>
      <x:c r="BP574" s="115"/>
      <x:c r="BQ574" s="115"/>
      <x:c r="BR574" s="115"/>
      <x:c r="BS574" s="115"/>
      <x:c r="BT574" s="115"/>
      <x:c r="BU574" s="115"/>
      <x:c r="BV574" s="115"/>
      <x:c r="BW574" s="115"/>
      <x:c r="BX574" s="115"/>
      <x:c r="BY574" s="115"/>
      <x:c r="BZ574" s="115"/>
      <x:c r="CA574" s="115"/>
      <x:c r="CB574" s="116"/>
      <x:c r="CC574" s="141" t="str">
        <x:f>IF(COUNT(G574:P574)=0,"",AVERAGE(G574:P574)*4)</x:f>
      </x:c>
      <x:c r="CD574" s="178" t="str">
        <x:f>IF(COUNT(Q574:Z574)=0,"",AVERAGE(Q574:Z574)*4)</x:f>
      </x:c>
      <x:c r="CE574" s="178" t="str">
        <x:f>IF(COUNT(AA574:AJ574)=0,"",AVERAGE(AA574:AJ574)*4)</x:f>
      </x:c>
      <x:c r="CF574" s="178" t="str">
        <x:f>IF(COUNT(AK574:AR574)=0,"",AVERAGE(AK574:AR574)*4)</x:f>
      </x:c>
      <x:c r="CG574" s="178" t="str">
        <x:f>IF(COUNT(AS574:AY574)=0,"",AVERAGE(AS574:AY574)*4)</x:f>
      </x:c>
      <x:c r="CH574" s="178" t="str">
        <x:f>IF(COUNT(AZ574:BG574)=0,"",AVERAGE(AZ574:BG574)*4)</x:f>
      </x:c>
      <x:c r="CI574" s="178" t="str">
        <x:f>IF(COUNT(BH574:BN574)=0,"",AVERAGE(BH574:BN574)*4)</x:f>
      </x:c>
      <x:c r="CJ574" s="178" t="str">
        <x:f>IF(COUNT(BO574:BU574)=0,"",AVERAGE(BO574:BU574)*4)</x:f>
      </x:c>
      <x:c r="CK574" s="178" t="str">
        <x:f>IF(COUNT(BV574:CB574)=0,"",AVERAGE(BV574:CB574)*4)</x:f>
      </x:c>
      <x:c r="CL574" s="178" t="str">
        <x:f>IF(C574="","",IF(COUNT(G574:CB574)&lt;74,"",(CC574*'تنظیمات وزن‌دهی'!$C$5+CD574*'تنظیمات وزن‌دهی'!$C$6+CE574*'تنظیمات وزن‌دهی'!$C$7+CF574*'تنظیمات وزن‌دهی'!$C$8+CG574*'تنظیمات وزن‌دهی'!$C$9+CH574*'تنظیمات وزن‌دهی'!$C$10+CI574*'تنظیمات وزن‌دهی'!$C$11+CJ574*'تنظیمات وزن‌دهی'!$C$12+CK574*'تنظیمات وزن‌دهی'!$C$13)/100))</x:f>
      </x:c>
      <x:c r="CM574" s="178" t="str">
        <x:f>IF(C574="","",IF(COUNT(G574:CB574)=0,"",IF(COUNT(G574:CB574)&lt;74,"موقت - اطلاعات ناقص",IF(CL574&gt;=17,"عالی",IF(CL574&gt;=14,"خوب",IF(CL574&gt;=10,"متوسط","ضعیف"))))))</x:f>
      </x:c>
      <x:c r="CN574" s="178" t="n">
        <x:v>6</x:v>
      </x:c>
      <x:c r="CO574" s="142" t="n">
        <x:f>IF(C574="","",COUNT(G574:CB574)/74)</x:f>
        <x:v>0</x:v>
      </x:c>
      <x:c r="CP574" s="245"/>
    </x:row>
    <x:row r="575">
      <x:c r="A575" s="165" t="n">
        <x:v>571</x:v>
      </x:c>
      <x:c r="B575" s="233" t="str">
        <x:v>دی</x:v>
      </x:c>
      <x:c r="C575" s="233" t="n">
        <x:f>IF('دانش‌آموزان'!E52="","",'دانش‌آموزان'!B52)</x:f>
        <x:v>48</x:v>
      </x:c>
      <x:c r="D575" s="233" t="str">
        <x:f>IF('دانش‌آموزان'!C52="","",'دانش‌آموزان'!C52)</x:f>
        <x:v>4000000489</x:v>
      </x:c>
      <x:c r="E575" s="233" t="str">
        <x:f>IF('دانش‌آموزان'!E52="","",'دانش‌آموزان'!E52&amp;" "&amp;'دانش‌آموزان'!F52)</x:f>
        <x:v>نگار جعفری</x:v>
      </x:c>
      <x:c r="F575" s="166" t="str">
        <x:f>IF('دانش‌آموزان'!I52="","",'دانش‌آموزان'!I52)</x:f>
        <x:v>sample-7-b</x:v>
      </x:c>
      <x:c r="G575" s="114"/>
      <x:c r="H575" s="115"/>
      <x:c r="I575" s="115"/>
      <x:c r="J575" s="115"/>
      <x:c r="K575" s="115"/>
      <x:c r="L575" s="115"/>
      <x:c r="M575" s="115"/>
      <x:c r="N575" s="115"/>
      <x:c r="O575" s="115"/>
      <x:c r="P575" s="115"/>
      <x:c r="Q575" s="115"/>
      <x:c r="R575" s="115"/>
      <x:c r="S575" s="115"/>
      <x:c r="T575" s="115"/>
      <x:c r="U575" s="115"/>
      <x:c r="V575" s="115"/>
      <x:c r="W575" s="115"/>
      <x:c r="X575" s="115"/>
      <x:c r="Y575" s="115"/>
      <x:c r="Z575" s="115"/>
      <x:c r="AA575" s="115"/>
      <x:c r="AB575" s="115"/>
      <x:c r="AC575" s="115"/>
      <x:c r="AD575" s="115"/>
      <x:c r="AE575" s="115"/>
      <x:c r="AF575" s="115"/>
      <x:c r="AG575" s="115"/>
      <x:c r="AH575" s="115"/>
      <x:c r="AI575" s="115"/>
      <x:c r="AJ575" s="115"/>
      <x:c r="AK575" s="115"/>
      <x:c r="AL575" s="115"/>
      <x:c r="AM575" s="115"/>
      <x:c r="AN575" s="115"/>
      <x:c r="AO575" s="115"/>
      <x:c r="AP575" s="115"/>
      <x:c r="AQ575" s="115"/>
      <x:c r="AR575" s="115"/>
      <x:c r="AS575" s="115"/>
      <x:c r="AT575" s="115"/>
      <x:c r="AU575" s="115"/>
      <x:c r="AV575" s="115"/>
      <x:c r="AW575" s="115"/>
      <x:c r="AX575" s="115"/>
      <x:c r="AY575" s="115"/>
      <x:c r="AZ575" s="115"/>
      <x:c r="BA575" s="115"/>
      <x:c r="BB575" s="115"/>
      <x:c r="BC575" s="115"/>
      <x:c r="BD575" s="115"/>
      <x:c r="BE575" s="115"/>
      <x:c r="BF575" s="115"/>
      <x:c r="BG575" s="115"/>
      <x:c r="BH575" s="115"/>
      <x:c r="BI575" s="115"/>
      <x:c r="BJ575" s="115"/>
      <x:c r="BK575" s="115"/>
      <x:c r="BL575" s="115"/>
      <x:c r="BM575" s="115"/>
      <x:c r="BN575" s="115"/>
      <x:c r="BO575" s="115"/>
      <x:c r="BP575" s="115"/>
      <x:c r="BQ575" s="115"/>
      <x:c r="BR575" s="115"/>
      <x:c r="BS575" s="115"/>
      <x:c r="BT575" s="115"/>
      <x:c r="BU575" s="115"/>
      <x:c r="BV575" s="115"/>
      <x:c r="BW575" s="115"/>
      <x:c r="BX575" s="115"/>
      <x:c r="BY575" s="115"/>
      <x:c r="BZ575" s="115"/>
      <x:c r="CA575" s="115"/>
      <x:c r="CB575" s="116"/>
      <x:c r="CC575" s="141" t="str">
        <x:f>IF(COUNT(G575:P575)=0,"",AVERAGE(G575:P575)*4)</x:f>
      </x:c>
      <x:c r="CD575" s="178" t="str">
        <x:f>IF(COUNT(Q575:Z575)=0,"",AVERAGE(Q575:Z575)*4)</x:f>
      </x:c>
      <x:c r="CE575" s="178" t="str">
        <x:f>IF(COUNT(AA575:AJ575)=0,"",AVERAGE(AA575:AJ575)*4)</x:f>
      </x:c>
      <x:c r="CF575" s="178" t="str">
        <x:f>IF(COUNT(AK575:AR575)=0,"",AVERAGE(AK575:AR575)*4)</x:f>
      </x:c>
      <x:c r="CG575" s="178" t="str">
        <x:f>IF(COUNT(AS575:AY575)=0,"",AVERAGE(AS575:AY575)*4)</x:f>
      </x:c>
      <x:c r="CH575" s="178" t="str">
        <x:f>IF(COUNT(AZ575:BG575)=0,"",AVERAGE(AZ575:BG575)*4)</x:f>
      </x:c>
      <x:c r="CI575" s="178" t="str">
        <x:f>IF(COUNT(BH575:BN575)=0,"",AVERAGE(BH575:BN575)*4)</x:f>
      </x:c>
      <x:c r="CJ575" s="178" t="str">
        <x:f>IF(COUNT(BO575:BU575)=0,"",AVERAGE(BO575:BU575)*4)</x:f>
      </x:c>
      <x:c r="CK575" s="178" t="str">
        <x:f>IF(COUNT(BV575:CB575)=0,"",AVERAGE(BV575:CB575)*4)</x:f>
      </x:c>
      <x:c r="CL575" s="178" t="str">
        <x:f>IF(C575="","",IF(COUNT(G575:CB575)&lt;74,"",(CC575*'تنظیمات وزن‌دهی'!$C$5+CD575*'تنظیمات وزن‌دهی'!$C$6+CE575*'تنظیمات وزن‌دهی'!$C$7+CF575*'تنظیمات وزن‌دهی'!$C$8+CG575*'تنظیمات وزن‌دهی'!$C$9+CH575*'تنظیمات وزن‌دهی'!$C$10+CI575*'تنظیمات وزن‌دهی'!$C$11+CJ575*'تنظیمات وزن‌دهی'!$C$12+CK575*'تنظیمات وزن‌دهی'!$C$13)/100))</x:f>
      </x:c>
      <x:c r="CM575" s="178" t="str">
        <x:f>IF(C575="","",IF(COUNT(G575:CB575)=0,"",IF(COUNT(G575:CB575)&lt;74,"موقت - اطلاعات ناقص",IF(CL575&gt;=17,"عالی",IF(CL575&gt;=14,"خوب",IF(CL575&gt;=10,"متوسط","ضعیف"))))))</x:f>
      </x:c>
      <x:c r="CN575" s="178" t="n">
        <x:v>7</x:v>
      </x:c>
      <x:c r="CO575" s="142" t="n">
        <x:f>IF(C575="","",COUNT(G575:CB575)/74)</x:f>
        <x:v>0</x:v>
      </x:c>
      <x:c r="CP575" s="245"/>
    </x:row>
    <x:row r="576">
      <x:c r="A576" s="165" t="n">
        <x:v>572</x:v>
      </x:c>
      <x:c r="B576" s="233" t="str">
        <x:v>بهمن</x:v>
      </x:c>
      <x:c r="C576" s="233" t="n">
        <x:f>IF('دانش‌آموزان'!E52="","",'دانش‌آموزان'!B52)</x:f>
        <x:v>48</x:v>
      </x:c>
      <x:c r="D576" s="233" t="str">
        <x:f>IF('دانش‌آموزان'!C52="","",'دانش‌آموزان'!C52)</x:f>
        <x:v>4000000489</x:v>
      </x:c>
      <x:c r="E576" s="233" t="str">
        <x:f>IF('دانش‌آموزان'!E52="","",'دانش‌آموزان'!E52&amp;" "&amp;'دانش‌آموزان'!F52)</x:f>
        <x:v>نگار جعفری</x:v>
      </x:c>
      <x:c r="F576" s="166" t="str">
        <x:f>IF('دانش‌آموزان'!I52="","",'دانش‌آموزان'!I52)</x:f>
        <x:v>sample-7-b</x:v>
      </x:c>
      <x:c r="G576" s="114"/>
      <x:c r="H576" s="115"/>
      <x:c r="I576" s="115"/>
      <x:c r="J576" s="115"/>
      <x:c r="K576" s="115"/>
      <x:c r="L576" s="115"/>
      <x:c r="M576" s="115"/>
      <x:c r="N576" s="115"/>
      <x:c r="O576" s="115"/>
      <x:c r="P576" s="115"/>
      <x:c r="Q576" s="115"/>
      <x:c r="R576" s="115"/>
      <x:c r="S576" s="115"/>
      <x:c r="T576" s="115"/>
      <x:c r="U576" s="115"/>
      <x:c r="V576" s="115"/>
      <x:c r="W576" s="115"/>
      <x:c r="X576" s="115"/>
      <x:c r="Y576" s="115"/>
      <x:c r="Z576" s="115"/>
      <x:c r="AA576" s="115"/>
      <x:c r="AB576" s="115"/>
      <x:c r="AC576" s="115"/>
      <x:c r="AD576" s="115"/>
      <x:c r="AE576" s="115"/>
      <x:c r="AF576" s="115"/>
      <x:c r="AG576" s="115"/>
      <x:c r="AH576" s="115"/>
      <x:c r="AI576" s="115"/>
      <x:c r="AJ576" s="115"/>
      <x:c r="AK576" s="115"/>
      <x:c r="AL576" s="115"/>
      <x:c r="AM576" s="115"/>
      <x:c r="AN576" s="115"/>
      <x:c r="AO576" s="115"/>
      <x:c r="AP576" s="115"/>
      <x:c r="AQ576" s="115"/>
      <x:c r="AR576" s="115"/>
      <x:c r="AS576" s="115"/>
      <x:c r="AT576" s="115"/>
      <x:c r="AU576" s="115"/>
      <x:c r="AV576" s="115"/>
      <x:c r="AW576" s="115"/>
      <x:c r="AX576" s="115"/>
      <x:c r="AY576" s="115"/>
      <x:c r="AZ576" s="115"/>
      <x:c r="BA576" s="115"/>
      <x:c r="BB576" s="115"/>
      <x:c r="BC576" s="115"/>
      <x:c r="BD576" s="115"/>
      <x:c r="BE576" s="115"/>
      <x:c r="BF576" s="115"/>
      <x:c r="BG576" s="115"/>
      <x:c r="BH576" s="115"/>
      <x:c r="BI576" s="115"/>
      <x:c r="BJ576" s="115"/>
      <x:c r="BK576" s="115"/>
      <x:c r="BL576" s="115"/>
      <x:c r="BM576" s="115"/>
      <x:c r="BN576" s="115"/>
      <x:c r="BO576" s="115"/>
      <x:c r="BP576" s="115"/>
      <x:c r="BQ576" s="115"/>
      <x:c r="BR576" s="115"/>
      <x:c r="BS576" s="115"/>
      <x:c r="BT576" s="115"/>
      <x:c r="BU576" s="115"/>
      <x:c r="BV576" s="115"/>
      <x:c r="BW576" s="115"/>
      <x:c r="BX576" s="115"/>
      <x:c r="BY576" s="115"/>
      <x:c r="BZ576" s="115"/>
      <x:c r="CA576" s="115"/>
      <x:c r="CB576" s="116"/>
      <x:c r="CC576" s="141" t="str">
        <x:f>IF(COUNT(G576:P576)=0,"",AVERAGE(G576:P576)*4)</x:f>
      </x:c>
      <x:c r="CD576" s="178" t="str">
        <x:f>IF(COUNT(Q576:Z576)=0,"",AVERAGE(Q576:Z576)*4)</x:f>
      </x:c>
      <x:c r="CE576" s="178" t="str">
        <x:f>IF(COUNT(AA576:AJ576)=0,"",AVERAGE(AA576:AJ576)*4)</x:f>
      </x:c>
      <x:c r="CF576" s="178" t="str">
        <x:f>IF(COUNT(AK576:AR576)=0,"",AVERAGE(AK576:AR576)*4)</x:f>
      </x:c>
      <x:c r="CG576" s="178" t="str">
        <x:f>IF(COUNT(AS576:AY576)=0,"",AVERAGE(AS576:AY576)*4)</x:f>
      </x:c>
      <x:c r="CH576" s="178" t="str">
        <x:f>IF(COUNT(AZ576:BG576)=0,"",AVERAGE(AZ576:BG576)*4)</x:f>
      </x:c>
      <x:c r="CI576" s="178" t="str">
        <x:f>IF(COUNT(BH576:BN576)=0,"",AVERAGE(BH576:BN576)*4)</x:f>
      </x:c>
      <x:c r="CJ576" s="178" t="str">
        <x:f>IF(COUNT(BO576:BU576)=0,"",AVERAGE(BO576:BU576)*4)</x:f>
      </x:c>
      <x:c r="CK576" s="178" t="str">
        <x:f>IF(COUNT(BV576:CB576)=0,"",AVERAGE(BV576:CB576)*4)</x:f>
      </x:c>
      <x:c r="CL576" s="178" t="str">
        <x:f>IF(C576="","",IF(COUNT(G576:CB576)&lt;74,"",(CC576*'تنظیمات وزن‌دهی'!$C$5+CD576*'تنظیمات وزن‌دهی'!$C$6+CE576*'تنظیمات وزن‌دهی'!$C$7+CF576*'تنظیمات وزن‌دهی'!$C$8+CG576*'تنظیمات وزن‌دهی'!$C$9+CH576*'تنظیمات وزن‌دهی'!$C$10+CI576*'تنظیمات وزن‌دهی'!$C$11+CJ576*'تنظیمات وزن‌دهی'!$C$12+CK576*'تنظیمات وزن‌دهی'!$C$13)/100))</x:f>
      </x:c>
      <x:c r="CM576" s="178" t="str">
        <x:f>IF(C576="","",IF(COUNT(G576:CB576)=0,"",IF(COUNT(G576:CB576)&lt;74,"موقت - اطلاعات ناقص",IF(CL576&gt;=17,"عالی",IF(CL576&gt;=14,"خوب",IF(CL576&gt;=10,"متوسط","ضعیف"))))))</x:f>
      </x:c>
      <x:c r="CN576" s="178" t="n">
        <x:v>8</x:v>
      </x:c>
      <x:c r="CO576" s="142" t="n">
        <x:f>IF(C576="","",COUNT(G576:CB576)/74)</x:f>
        <x:v>0</x:v>
      </x:c>
      <x:c r="CP576" s="245"/>
    </x:row>
    <x:row r="577">
      <x:c r="A577" s="165" t="n">
        <x:v>573</x:v>
      </x:c>
      <x:c r="B577" s="233" t="str">
        <x:v>اسفند</x:v>
      </x:c>
      <x:c r="C577" s="233" t="n">
        <x:f>IF('دانش‌آموزان'!E52="","",'دانش‌آموزان'!B52)</x:f>
        <x:v>48</x:v>
      </x:c>
      <x:c r="D577" s="233" t="str">
        <x:f>IF('دانش‌آموزان'!C52="","",'دانش‌آموزان'!C52)</x:f>
        <x:v>4000000489</x:v>
      </x:c>
      <x:c r="E577" s="233" t="str">
        <x:f>IF('دانش‌آموزان'!E52="","",'دانش‌آموزان'!E52&amp;" "&amp;'دانش‌آموزان'!F52)</x:f>
        <x:v>نگار جعفری</x:v>
      </x:c>
      <x:c r="F577" s="166" t="str">
        <x:f>IF('دانش‌آموزان'!I52="","",'دانش‌آموزان'!I52)</x:f>
        <x:v>sample-7-b</x:v>
      </x:c>
      <x:c r="G577" s="114"/>
      <x:c r="H577" s="115"/>
      <x:c r="I577" s="115"/>
      <x:c r="J577" s="115"/>
      <x:c r="K577" s="115"/>
      <x:c r="L577" s="115"/>
      <x:c r="M577" s="115"/>
      <x:c r="N577" s="115"/>
      <x:c r="O577" s="115"/>
      <x:c r="P577" s="115"/>
      <x:c r="Q577" s="115"/>
      <x:c r="R577" s="115"/>
      <x:c r="S577" s="115"/>
      <x:c r="T577" s="115"/>
      <x:c r="U577" s="115"/>
      <x:c r="V577" s="115"/>
      <x:c r="W577" s="115"/>
      <x:c r="X577" s="115"/>
      <x:c r="Y577" s="115"/>
      <x:c r="Z577" s="115"/>
      <x:c r="AA577" s="115"/>
      <x:c r="AB577" s="115"/>
      <x:c r="AC577" s="115"/>
      <x:c r="AD577" s="115"/>
      <x:c r="AE577" s="115"/>
      <x:c r="AF577" s="115"/>
      <x:c r="AG577" s="115"/>
      <x:c r="AH577" s="115"/>
      <x:c r="AI577" s="115"/>
      <x:c r="AJ577" s="115"/>
      <x:c r="AK577" s="115"/>
      <x:c r="AL577" s="115"/>
      <x:c r="AM577" s="115"/>
      <x:c r="AN577" s="115"/>
      <x:c r="AO577" s="115"/>
      <x:c r="AP577" s="115"/>
      <x:c r="AQ577" s="115"/>
      <x:c r="AR577" s="115"/>
      <x:c r="AS577" s="115"/>
      <x:c r="AT577" s="115"/>
      <x:c r="AU577" s="115"/>
      <x:c r="AV577" s="115"/>
      <x:c r="AW577" s="115"/>
      <x:c r="AX577" s="115"/>
      <x:c r="AY577" s="115"/>
      <x:c r="AZ577" s="115"/>
      <x:c r="BA577" s="115"/>
      <x:c r="BB577" s="115"/>
      <x:c r="BC577" s="115"/>
      <x:c r="BD577" s="115"/>
      <x:c r="BE577" s="115"/>
      <x:c r="BF577" s="115"/>
      <x:c r="BG577" s="115"/>
      <x:c r="BH577" s="115"/>
      <x:c r="BI577" s="115"/>
      <x:c r="BJ577" s="115"/>
      <x:c r="BK577" s="115"/>
      <x:c r="BL577" s="115"/>
      <x:c r="BM577" s="115"/>
      <x:c r="BN577" s="115"/>
      <x:c r="BO577" s="115"/>
      <x:c r="BP577" s="115"/>
      <x:c r="BQ577" s="115"/>
      <x:c r="BR577" s="115"/>
      <x:c r="BS577" s="115"/>
      <x:c r="BT577" s="115"/>
      <x:c r="BU577" s="115"/>
      <x:c r="BV577" s="115"/>
      <x:c r="BW577" s="115"/>
      <x:c r="BX577" s="115"/>
      <x:c r="BY577" s="115"/>
      <x:c r="BZ577" s="115"/>
      <x:c r="CA577" s="115"/>
      <x:c r="CB577" s="116"/>
      <x:c r="CC577" s="141" t="str">
        <x:f>IF(COUNT(G577:P577)=0,"",AVERAGE(G577:P577)*4)</x:f>
      </x:c>
      <x:c r="CD577" s="178" t="str">
        <x:f>IF(COUNT(Q577:Z577)=0,"",AVERAGE(Q577:Z577)*4)</x:f>
      </x:c>
      <x:c r="CE577" s="178" t="str">
        <x:f>IF(COUNT(AA577:AJ577)=0,"",AVERAGE(AA577:AJ577)*4)</x:f>
      </x:c>
      <x:c r="CF577" s="178" t="str">
        <x:f>IF(COUNT(AK577:AR577)=0,"",AVERAGE(AK577:AR577)*4)</x:f>
      </x:c>
      <x:c r="CG577" s="178" t="str">
        <x:f>IF(COUNT(AS577:AY577)=0,"",AVERAGE(AS577:AY577)*4)</x:f>
      </x:c>
      <x:c r="CH577" s="178" t="str">
        <x:f>IF(COUNT(AZ577:BG577)=0,"",AVERAGE(AZ577:BG577)*4)</x:f>
      </x:c>
      <x:c r="CI577" s="178" t="str">
        <x:f>IF(COUNT(BH577:BN577)=0,"",AVERAGE(BH577:BN577)*4)</x:f>
      </x:c>
      <x:c r="CJ577" s="178" t="str">
        <x:f>IF(COUNT(BO577:BU577)=0,"",AVERAGE(BO577:BU577)*4)</x:f>
      </x:c>
      <x:c r="CK577" s="178" t="str">
        <x:f>IF(COUNT(BV577:CB577)=0,"",AVERAGE(BV577:CB577)*4)</x:f>
      </x:c>
      <x:c r="CL577" s="178" t="str">
        <x:f>IF(C577="","",IF(COUNT(G577:CB577)&lt;74,"",(CC577*'تنظیمات وزن‌دهی'!$C$5+CD577*'تنظیمات وزن‌دهی'!$C$6+CE577*'تنظیمات وزن‌دهی'!$C$7+CF577*'تنظیمات وزن‌دهی'!$C$8+CG577*'تنظیمات وزن‌دهی'!$C$9+CH577*'تنظیمات وزن‌دهی'!$C$10+CI577*'تنظیمات وزن‌دهی'!$C$11+CJ577*'تنظیمات وزن‌دهی'!$C$12+CK577*'تنظیمات وزن‌دهی'!$C$13)/100))</x:f>
      </x:c>
      <x:c r="CM577" s="178" t="str">
        <x:f>IF(C577="","",IF(COUNT(G577:CB577)=0,"",IF(COUNT(G577:CB577)&lt;74,"موقت - اطلاعات ناقص",IF(CL577&gt;=17,"عالی",IF(CL577&gt;=14,"خوب",IF(CL577&gt;=10,"متوسط","ضعیف"))))))</x:f>
      </x:c>
      <x:c r="CN577" s="178" t="n">
        <x:v>9</x:v>
      </x:c>
      <x:c r="CO577" s="142" t="n">
        <x:f>IF(C577="","",COUNT(G577:CB577)/74)</x:f>
        <x:v>0</x:v>
      </x:c>
      <x:c r="CP577" s="245"/>
    </x:row>
    <x:row r="578">
      <x:c r="A578" s="165" t="n">
        <x:v>574</x:v>
      </x:c>
      <x:c r="B578" s="233" t="str">
        <x:v>فروردین</x:v>
      </x:c>
      <x:c r="C578" s="233" t="n">
        <x:f>IF('دانش‌آموزان'!E52="","",'دانش‌آموزان'!B52)</x:f>
        <x:v>48</x:v>
      </x:c>
      <x:c r="D578" s="233" t="str">
        <x:f>IF('دانش‌آموزان'!C52="","",'دانش‌آموزان'!C52)</x:f>
        <x:v>4000000489</x:v>
      </x:c>
      <x:c r="E578" s="233" t="str">
        <x:f>IF('دانش‌آموزان'!E52="","",'دانش‌آموزان'!E52&amp;" "&amp;'دانش‌آموزان'!F52)</x:f>
        <x:v>نگار جعفری</x:v>
      </x:c>
      <x:c r="F578" s="166" t="str">
        <x:f>IF('دانش‌آموزان'!I52="","",'دانش‌آموزان'!I52)</x:f>
        <x:v>sample-7-b</x:v>
      </x:c>
      <x:c r="G578" s="114"/>
      <x:c r="H578" s="115"/>
      <x:c r="I578" s="115"/>
      <x:c r="J578" s="115"/>
      <x:c r="K578" s="115"/>
      <x:c r="L578" s="115"/>
      <x:c r="M578" s="115"/>
      <x:c r="N578" s="115"/>
      <x:c r="O578" s="115"/>
      <x:c r="P578" s="115"/>
      <x:c r="Q578" s="115"/>
      <x:c r="R578" s="115"/>
      <x:c r="S578" s="115"/>
      <x:c r="T578" s="115"/>
      <x:c r="U578" s="115"/>
      <x:c r="V578" s="115"/>
      <x:c r="W578" s="115"/>
      <x:c r="X578" s="115"/>
      <x:c r="Y578" s="115"/>
      <x:c r="Z578" s="115"/>
      <x:c r="AA578" s="115"/>
      <x:c r="AB578" s="115"/>
      <x:c r="AC578" s="115"/>
      <x:c r="AD578" s="115"/>
      <x:c r="AE578" s="115"/>
      <x:c r="AF578" s="115"/>
      <x:c r="AG578" s="115"/>
      <x:c r="AH578" s="115"/>
      <x:c r="AI578" s="115"/>
      <x:c r="AJ578" s="115"/>
      <x:c r="AK578" s="115"/>
      <x:c r="AL578" s="115"/>
      <x:c r="AM578" s="115"/>
      <x:c r="AN578" s="115"/>
      <x:c r="AO578" s="115"/>
      <x:c r="AP578" s="115"/>
      <x:c r="AQ578" s="115"/>
      <x:c r="AR578" s="115"/>
      <x:c r="AS578" s="115"/>
      <x:c r="AT578" s="115"/>
      <x:c r="AU578" s="115"/>
      <x:c r="AV578" s="115"/>
      <x:c r="AW578" s="115"/>
      <x:c r="AX578" s="115"/>
      <x:c r="AY578" s="115"/>
      <x:c r="AZ578" s="115"/>
      <x:c r="BA578" s="115"/>
      <x:c r="BB578" s="115"/>
      <x:c r="BC578" s="115"/>
      <x:c r="BD578" s="115"/>
      <x:c r="BE578" s="115"/>
      <x:c r="BF578" s="115"/>
      <x:c r="BG578" s="115"/>
      <x:c r="BH578" s="115"/>
      <x:c r="BI578" s="115"/>
      <x:c r="BJ578" s="115"/>
      <x:c r="BK578" s="115"/>
      <x:c r="BL578" s="115"/>
      <x:c r="BM578" s="115"/>
      <x:c r="BN578" s="115"/>
      <x:c r="BO578" s="115"/>
      <x:c r="BP578" s="115"/>
      <x:c r="BQ578" s="115"/>
      <x:c r="BR578" s="115"/>
      <x:c r="BS578" s="115"/>
      <x:c r="BT578" s="115"/>
      <x:c r="BU578" s="115"/>
      <x:c r="BV578" s="115"/>
      <x:c r="BW578" s="115"/>
      <x:c r="BX578" s="115"/>
      <x:c r="BY578" s="115"/>
      <x:c r="BZ578" s="115"/>
      <x:c r="CA578" s="115"/>
      <x:c r="CB578" s="116"/>
      <x:c r="CC578" s="141" t="str">
        <x:f>IF(COUNT(G578:P578)=0,"",AVERAGE(G578:P578)*4)</x:f>
      </x:c>
      <x:c r="CD578" s="178" t="str">
        <x:f>IF(COUNT(Q578:Z578)=0,"",AVERAGE(Q578:Z578)*4)</x:f>
      </x:c>
      <x:c r="CE578" s="178" t="str">
        <x:f>IF(COUNT(AA578:AJ578)=0,"",AVERAGE(AA578:AJ578)*4)</x:f>
      </x:c>
      <x:c r="CF578" s="178" t="str">
        <x:f>IF(COUNT(AK578:AR578)=0,"",AVERAGE(AK578:AR578)*4)</x:f>
      </x:c>
      <x:c r="CG578" s="178" t="str">
        <x:f>IF(COUNT(AS578:AY578)=0,"",AVERAGE(AS578:AY578)*4)</x:f>
      </x:c>
      <x:c r="CH578" s="178" t="str">
        <x:f>IF(COUNT(AZ578:BG578)=0,"",AVERAGE(AZ578:BG578)*4)</x:f>
      </x:c>
      <x:c r="CI578" s="178" t="str">
        <x:f>IF(COUNT(BH578:BN578)=0,"",AVERAGE(BH578:BN578)*4)</x:f>
      </x:c>
      <x:c r="CJ578" s="178" t="str">
        <x:f>IF(COUNT(BO578:BU578)=0,"",AVERAGE(BO578:BU578)*4)</x:f>
      </x:c>
      <x:c r="CK578" s="178" t="str">
        <x:f>IF(COUNT(BV578:CB578)=0,"",AVERAGE(BV578:CB578)*4)</x:f>
      </x:c>
      <x:c r="CL578" s="178" t="str">
        <x:f>IF(C578="","",IF(COUNT(G578:CB578)&lt;74,"",(CC578*'تنظیمات وزن‌دهی'!$C$5+CD578*'تنظیمات وزن‌دهی'!$C$6+CE578*'تنظیمات وزن‌دهی'!$C$7+CF578*'تنظیمات وزن‌دهی'!$C$8+CG578*'تنظیمات وزن‌دهی'!$C$9+CH578*'تنظیمات وزن‌دهی'!$C$10+CI578*'تنظیمات وزن‌دهی'!$C$11+CJ578*'تنظیمات وزن‌دهی'!$C$12+CK578*'تنظیمات وزن‌دهی'!$C$13)/100))</x:f>
      </x:c>
      <x:c r="CM578" s="178" t="str">
        <x:f>IF(C578="","",IF(COUNT(G578:CB578)=0,"",IF(COUNT(G578:CB578)&lt;74,"موقت - اطلاعات ناقص",IF(CL578&gt;=17,"عالی",IF(CL578&gt;=14,"خوب",IF(CL578&gt;=10,"متوسط","ضعیف"))))))</x:f>
      </x:c>
      <x:c r="CN578" s="178" t="n">
        <x:v>10</x:v>
      </x:c>
      <x:c r="CO578" s="142" t="n">
        <x:f>IF(C578="","",COUNT(G578:CB578)/74)</x:f>
        <x:v>0</x:v>
      </x:c>
      <x:c r="CP578" s="245"/>
    </x:row>
    <x:row r="579">
      <x:c r="A579" s="165" t="n">
        <x:v>575</x:v>
      </x:c>
      <x:c r="B579" s="233" t="str">
        <x:v>اردیبهشت</x:v>
      </x:c>
      <x:c r="C579" s="233" t="n">
        <x:f>IF('دانش‌آموزان'!E52="","",'دانش‌آموزان'!B52)</x:f>
        <x:v>48</x:v>
      </x:c>
      <x:c r="D579" s="233" t="str">
        <x:f>IF('دانش‌آموزان'!C52="","",'دانش‌آموزان'!C52)</x:f>
        <x:v>4000000489</x:v>
      </x:c>
      <x:c r="E579" s="233" t="str">
        <x:f>IF('دانش‌آموزان'!E52="","",'دانش‌آموزان'!E52&amp;" "&amp;'دانش‌آموزان'!F52)</x:f>
        <x:v>نگار جعفری</x:v>
      </x:c>
      <x:c r="F579" s="166" t="str">
        <x:f>IF('دانش‌آموزان'!I52="","",'دانش‌آموزان'!I52)</x:f>
        <x:v>sample-7-b</x:v>
      </x:c>
      <x:c r="G579" s="114"/>
      <x:c r="H579" s="115"/>
      <x:c r="I579" s="115"/>
      <x:c r="J579" s="115"/>
      <x:c r="K579" s="115"/>
      <x:c r="L579" s="115"/>
      <x:c r="M579" s="115"/>
      <x:c r="N579" s="115"/>
      <x:c r="O579" s="115"/>
      <x:c r="P579" s="115"/>
      <x:c r="Q579" s="115"/>
      <x:c r="R579" s="115"/>
      <x:c r="S579" s="115"/>
      <x:c r="T579" s="115"/>
      <x:c r="U579" s="115"/>
      <x:c r="V579" s="115"/>
      <x:c r="W579" s="115"/>
      <x:c r="X579" s="115"/>
      <x:c r="Y579" s="115"/>
      <x:c r="Z579" s="115"/>
      <x:c r="AA579" s="115"/>
      <x:c r="AB579" s="115"/>
      <x:c r="AC579" s="115"/>
      <x:c r="AD579" s="115"/>
      <x:c r="AE579" s="115"/>
      <x:c r="AF579" s="115"/>
      <x:c r="AG579" s="115"/>
      <x:c r="AH579" s="115"/>
      <x:c r="AI579" s="115"/>
      <x:c r="AJ579" s="115"/>
      <x:c r="AK579" s="115"/>
      <x:c r="AL579" s="115"/>
      <x:c r="AM579" s="115"/>
      <x:c r="AN579" s="115"/>
      <x:c r="AO579" s="115"/>
      <x:c r="AP579" s="115"/>
      <x:c r="AQ579" s="115"/>
      <x:c r="AR579" s="115"/>
      <x:c r="AS579" s="115"/>
      <x:c r="AT579" s="115"/>
      <x:c r="AU579" s="115"/>
      <x:c r="AV579" s="115"/>
      <x:c r="AW579" s="115"/>
      <x:c r="AX579" s="115"/>
      <x:c r="AY579" s="115"/>
      <x:c r="AZ579" s="115"/>
      <x:c r="BA579" s="115"/>
      <x:c r="BB579" s="115"/>
      <x:c r="BC579" s="115"/>
      <x:c r="BD579" s="115"/>
      <x:c r="BE579" s="115"/>
      <x:c r="BF579" s="115"/>
      <x:c r="BG579" s="115"/>
      <x:c r="BH579" s="115"/>
      <x:c r="BI579" s="115"/>
      <x:c r="BJ579" s="115"/>
      <x:c r="BK579" s="115"/>
      <x:c r="BL579" s="115"/>
      <x:c r="BM579" s="115"/>
      <x:c r="BN579" s="115"/>
      <x:c r="BO579" s="115"/>
      <x:c r="BP579" s="115"/>
      <x:c r="BQ579" s="115"/>
      <x:c r="BR579" s="115"/>
      <x:c r="BS579" s="115"/>
      <x:c r="BT579" s="115"/>
      <x:c r="BU579" s="115"/>
      <x:c r="BV579" s="115"/>
      <x:c r="BW579" s="115"/>
      <x:c r="BX579" s="115"/>
      <x:c r="BY579" s="115"/>
      <x:c r="BZ579" s="115"/>
      <x:c r="CA579" s="115"/>
      <x:c r="CB579" s="116"/>
      <x:c r="CC579" s="141" t="str">
        <x:f>IF(COUNT(G579:P579)=0,"",AVERAGE(G579:P579)*4)</x:f>
      </x:c>
      <x:c r="CD579" s="178" t="str">
        <x:f>IF(COUNT(Q579:Z579)=0,"",AVERAGE(Q579:Z579)*4)</x:f>
      </x:c>
      <x:c r="CE579" s="178" t="str">
        <x:f>IF(COUNT(AA579:AJ579)=0,"",AVERAGE(AA579:AJ579)*4)</x:f>
      </x:c>
      <x:c r="CF579" s="178" t="str">
        <x:f>IF(COUNT(AK579:AR579)=0,"",AVERAGE(AK579:AR579)*4)</x:f>
      </x:c>
      <x:c r="CG579" s="178" t="str">
        <x:f>IF(COUNT(AS579:AY579)=0,"",AVERAGE(AS579:AY579)*4)</x:f>
      </x:c>
      <x:c r="CH579" s="178" t="str">
        <x:f>IF(COUNT(AZ579:BG579)=0,"",AVERAGE(AZ579:BG579)*4)</x:f>
      </x:c>
      <x:c r="CI579" s="178" t="str">
        <x:f>IF(COUNT(BH579:BN579)=0,"",AVERAGE(BH579:BN579)*4)</x:f>
      </x:c>
      <x:c r="CJ579" s="178" t="str">
        <x:f>IF(COUNT(BO579:BU579)=0,"",AVERAGE(BO579:BU579)*4)</x:f>
      </x:c>
      <x:c r="CK579" s="178" t="str">
        <x:f>IF(COUNT(BV579:CB579)=0,"",AVERAGE(BV579:CB579)*4)</x:f>
      </x:c>
      <x:c r="CL579" s="178" t="str">
        <x:f>IF(C579="","",IF(COUNT(G579:CB579)&lt;74,"",(CC579*'تنظیمات وزن‌دهی'!$C$5+CD579*'تنظیمات وزن‌دهی'!$C$6+CE579*'تنظیمات وزن‌دهی'!$C$7+CF579*'تنظیمات وزن‌دهی'!$C$8+CG579*'تنظیمات وزن‌دهی'!$C$9+CH579*'تنظیمات وزن‌دهی'!$C$10+CI579*'تنظیمات وزن‌دهی'!$C$11+CJ579*'تنظیمات وزن‌دهی'!$C$12+CK579*'تنظیمات وزن‌دهی'!$C$13)/100))</x:f>
      </x:c>
      <x:c r="CM579" s="178" t="str">
        <x:f>IF(C579="","",IF(COUNT(G579:CB579)=0,"",IF(COUNT(G579:CB579)&lt;74,"موقت - اطلاعات ناقص",IF(CL579&gt;=17,"عالی",IF(CL579&gt;=14,"خوب",IF(CL579&gt;=10,"متوسط","ضعیف"))))))</x:f>
      </x:c>
      <x:c r="CN579" s="178" t="n">
        <x:v>11</x:v>
      </x:c>
      <x:c r="CO579" s="142" t="n">
        <x:f>IF(C579="","",COUNT(G579:CB579)/74)</x:f>
        <x:v>0</x:v>
      </x:c>
      <x:c r="CP579" s="245"/>
    </x:row>
    <x:row r="580">
      <x:c r="A580" s="165" t="n">
        <x:v>576</x:v>
      </x:c>
      <x:c r="B580" s="233" t="str">
        <x:v>خرداد</x:v>
      </x:c>
      <x:c r="C580" s="233" t="n">
        <x:f>IF('دانش‌آموزان'!E52="","",'دانش‌آموزان'!B52)</x:f>
        <x:v>48</x:v>
      </x:c>
      <x:c r="D580" s="233" t="str">
        <x:f>IF('دانش‌آموزان'!C52="","",'دانش‌آموزان'!C52)</x:f>
        <x:v>4000000489</x:v>
      </x:c>
      <x:c r="E580" s="233" t="str">
        <x:f>IF('دانش‌آموزان'!E52="","",'دانش‌آموزان'!E52&amp;" "&amp;'دانش‌آموزان'!F52)</x:f>
        <x:v>نگار جعفری</x:v>
      </x:c>
      <x:c r="F580" s="166" t="str">
        <x:f>IF('دانش‌آموزان'!I52="","",'دانش‌آموزان'!I52)</x:f>
        <x:v>sample-7-b</x:v>
      </x:c>
      <x:c r="G580" s="114"/>
      <x:c r="H580" s="115"/>
      <x:c r="I580" s="115"/>
      <x:c r="J580" s="115"/>
      <x:c r="K580" s="115"/>
      <x:c r="L580" s="115"/>
      <x:c r="M580" s="115"/>
      <x:c r="N580" s="115"/>
      <x:c r="O580" s="115"/>
      <x:c r="P580" s="115"/>
      <x:c r="Q580" s="115"/>
      <x:c r="R580" s="115"/>
      <x:c r="S580" s="115"/>
      <x:c r="T580" s="115"/>
      <x:c r="U580" s="115"/>
      <x:c r="V580" s="115"/>
      <x:c r="W580" s="115"/>
      <x:c r="X580" s="115"/>
      <x:c r="Y580" s="115"/>
      <x:c r="Z580" s="115"/>
      <x:c r="AA580" s="115"/>
      <x:c r="AB580" s="115"/>
      <x:c r="AC580" s="115"/>
      <x:c r="AD580" s="115"/>
      <x:c r="AE580" s="115"/>
      <x:c r="AF580" s="115"/>
      <x:c r="AG580" s="115"/>
      <x:c r="AH580" s="115"/>
      <x:c r="AI580" s="115"/>
      <x:c r="AJ580" s="115"/>
      <x:c r="AK580" s="115"/>
      <x:c r="AL580" s="115"/>
      <x:c r="AM580" s="115"/>
      <x:c r="AN580" s="115"/>
      <x:c r="AO580" s="115"/>
      <x:c r="AP580" s="115"/>
      <x:c r="AQ580" s="115"/>
      <x:c r="AR580" s="115"/>
      <x:c r="AS580" s="115"/>
      <x:c r="AT580" s="115"/>
      <x:c r="AU580" s="115"/>
      <x:c r="AV580" s="115"/>
      <x:c r="AW580" s="115"/>
      <x:c r="AX580" s="115"/>
      <x:c r="AY580" s="115"/>
      <x:c r="AZ580" s="115"/>
      <x:c r="BA580" s="115"/>
      <x:c r="BB580" s="115"/>
      <x:c r="BC580" s="115"/>
      <x:c r="BD580" s="115"/>
      <x:c r="BE580" s="115"/>
      <x:c r="BF580" s="115"/>
      <x:c r="BG580" s="115"/>
      <x:c r="BH580" s="115"/>
      <x:c r="BI580" s="115"/>
      <x:c r="BJ580" s="115"/>
      <x:c r="BK580" s="115"/>
      <x:c r="BL580" s="115"/>
      <x:c r="BM580" s="115"/>
      <x:c r="BN580" s="115"/>
      <x:c r="BO580" s="115"/>
      <x:c r="BP580" s="115"/>
      <x:c r="BQ580" s="115"/>
      <x:c r="BR580" s="115"/>
      <x:c r="BS580" s="115"/>
      <x:c r="BT580" s="115"/>
      <x:c r="BU580" s="115"/>
      <x:c r="BV580" s="115"/>
      <x:c r="BW580" s="115"/>
      <x:c r="BX580" s="115"/>
      <x:c r="BY580" s="115"/>
      <x:c r="BZ580" s="115"/>
      <x:c r="CA580" s="115"/>
      <x:c r="CB580" s="116"/>
      <x:c r="CC580" s="141" t="str">
        <x:f>IF(COUNT(G580:P580)=0,"",AVERAGE(G580:P580)*4)</x:f>
      </x:c>
      <x:c r="CD580" s="178" t="str">
        <x:f>IF(COUNT(Q580:Z580)=0,"",AVERAGE(Q580:Z580)*4)</x:f>
      </x:c>
      <x:c r="CE580" s="178" t="str">
        <x:f>IF(COUNT(AA580:AJ580)=0,"",AVERAGE(AA580:AJ580)*4)</x:f>
      </x:c>
      <x:c r="CF580" s="178" t="str">
        <x:f>IF(COUNT(AK580:AR580)=0,"",AVERAGE(AK580:AR580)*4)</x:f>
      </x:c>
      <x:c r="CG580" s="178" t="str">
        <x:f>IF(COUNT(AS580:AY580)=0,"",AVERAGE(AS580:AY580)*4)</x:f>
      </x:c>
      <x:c r="CH580" s="178" t="str">
        <x:f>IF(COUNT(AZ580:BG580)=0,"",AVERAGE(AZ580:BG580)*4)</x:f>
      </x:c>
      <x:c r="CI580" s="178" t="str">
        <x:f>IF(COUNT(BH580:BN580)=0,"",AVERAGE(BH580:BN580)*4)</x:f>
      </x:c>
      <x:c r="CJ580" s="178" t="str">
        <x:f>IF(COUNT(BO580:BU580)=0,"",AVERAGE(BO580:BU580)*4)</x:f>
      </x:c>
      <x:c r="CK580" s="178" t="str">
        <x:f>IF(COUNT(BV580:CB580)=0,"",AVERAGE(BV580:CB580)*4)</x:f>
      </x:c>
      <x:c r="CL580" s="178" t="str">
        <x:f>IF(C580="","",IF(COUNT(G580:CB580)&lt;74,"",(CC580*'تنظیمات وزن‌دهی'!$C$5+CD580*'تنظیمات وزن‌دهی'!$C$6+CE580*'تنظیمات وزن‌دهی'!$C$7+CF580*'تنظیمات وزن‌دهی'!$C$8+CG580*'تنظیمات وزن‌دهی'!$C$9+CH580*'تنظیمات وزن‌دهی'!$C$10+CI580*'تنظیمات وزن‌دهی'!$C$11+CJ580*'تنظیمات وزن‌دهی'!$C$12+CK580*'تنظیمات وزن‌دهی'!$C$13)/100))</x:f>
      </x:c>
      <x:c r="CM580" s="178" t="str">
        <x:f>IF(C580="","",IF(COUNT(G580:CB580)=0,"",IF(COUNT(G580:CB580)&lt;74,"موقت - اطلاعات ناقص",IF(CL580&gt;=17,"عالی",IF(CL580&gt;=14,"خوب",IF(CL580&gt;=10,"متوسط","ضعیف"))))))</x:f>
      </x:c>
      <x:c r="CN580" s="178" t="n">
        <x:v>12</x:v>
      </x:c>
      <x:c r="CO580" s="142" t="n">
        <x:f>IF(C580="","",COUNT(G580:CB580)/74)</x:f>
        <x:v>0</x:v>
      </x:c>
      <x:c r="CP580" s="245"/>
    </x:row>
    <x:row r="581">
      <x:c r="A581" s="165" t="n">
        <x:v>577</x:v>
      </x:c>
      <x:c r="B581" s="233" t="str">
        <x:v>تیر</x:v>
      </x:c>
      <x:c r="C581" s="233" t="n">
        <x:f>IF('دانش‌آموزان'!E53="","",'دانش‌آموزان'!B53)</x:f>
        <x:v>49</x:v>
      </x:c>
      <x:c r="D581" s="233" t="str">
        <x:f>IF('دانش‌آموزان'!C53="","",'دانش‌آموزان'!C53)</x:f>
        <x:v>4000000497</x:v>
      </x:c>
      <x:c r="E581" s="233" t="str">
        <x:f>IF('دانش‌آموزان'!E53="","",'دانش‌آموزان'!E53&amp;" "&amp;'دانش‌آموزان'!F53)</x:f>
        <x:v>سام امینی</x:v>
      </x:c>
      <x:c r="F581" s="166" t="str">
        <x:f>IF('دانش‌آموزان'!I53="","",'دانش‌آموزان'!I53)</x:f>
        <x:v>sample-7-b</x:v>
      </x:c>
      <x:c r="G581" s="114" t="n">
        <x:v>3</x:v>
      </x:c>
      <x:c r="H581" s="115" t="n">
        <x:v>4</x:v>
      </x:c>
      <x:c r="I581" s="115" t="n">
        <x:v>2</x:v>
      </x:c>
      <x:c r="J581" s="115" t="n">
        <x:v>4</x:v>
      </x:c>
      <x:c r="K581" s="115" t="n">
        <x:v>5</x:v>
      </x:c>
      <x:c r="L581" s="115" t="n">
        <x:v>4</x:v>
      </x:c>
      <x:c r="M581" s="115" t="n">
        <x:v>5</x:v>
      </x:c>
      <x:c r="N581" s="115" t="n">
        <x:v>3</x:v>
      </x:c>
      <x:c r="O581" s="115" t="n">
        <x:v>5</x:v>
      </x:c>
      <x:c r="P581" s="115" t="n">
        <x:v>3</x:v>
      </x:c>
      <x:c r="Q581" s="115" t="n">
        <x:v>4</x:v>
      </x:c>
      <x:c r="R581" s="115" t="n">
        <x:v>3</x:v>
      </x:c>
      <x:c r="S581" s="115" t="n">
        <x:v>4</x:v>
      </x:c>
      <x:c r="T581" s="115" t="n">
        <x:v>2</x:v>
      </x:c>
      <x:c r="U581" s="115" t="n">
        <x:v>4</x:v>
      </x:c>
      <x:c r="V581" s="115" t="n">
        <x:v>5</x:v>
      </x:c>
      <x:c r="W581" s="115" t="n">
        <x:v>4</x:v>
      </x:c>
      <x:c r="X581" s="115" t="n">
        <x:v>5</x:v>
      </x:c>
      <x:c r="Y581" s="115" t="n">
        <x:v>3</x:v>
      </x:c>
      <x:c r="Z581" s="115" t="n">
        <x:v>5</x:v>
      </x:c>
      <x:c r="AA581" s="115" t="n">
        <x:v>3</x:v>
      </x:c>
      <x:c r="AB581" s="115" t="n">
        <x:v>4</x:v>
      </x:c>
      <x:c r="AC581" s="115" t="n">
        <x:v>3</x:v>
      </x:c>
      <x:c r="AD581" s="115" t="n">
        <x:v>4</x:v>
      </x:c>
      <x:c r="AE581" s="115" t="n">
        <x:v>2</x:v>
      </x:c>
      <x:c r="AF581" s="115" t="n">
        <x:v>4</x:v>
      </x:c>
      <x:c r="AG581" s="115" t="n">
        <x:v>5</x:v>
      </x:c>
      <x:c r="AH581" s="115" t="n">
        <x:v>4</x:v>
      </x:c>
      <x:c r="AI581" s="115" t="n">
        <x:v>5</x:v>
      </x:c>
      <x:c r="AJ581" s="115" t="n">
        <x:v>3</x:v>
      </x:c>
      <x:c r="AK581" s="115" t="n">
        <x:v>5</x:v>
      </x:c>
      <x:c r="AL581" s="115" t="n">
        <x:v>3</x:v>
      </x:c>
      <x:c r="AM581" s="115" t="n">
        <x:v>4</x:v>
      </x:c>
      <x:c r="AN581" s="115" t="n">
        <x:v>3</x:v>
      </x:c>
      <x:c r="AO581" s="115" t="n">
        <x:v>4</x:v>
      </x:c>
      <x:c r="AP581" s="115" t="n">
        <x:v>2</x:v>
      </x:c>
      <x:c r="AQ581" s="115" t="n">
        <x:v>4</x:v>
      </x:c>
      <x:c r="AR581" s="115" t="n">
        <x:v>5</x:v>
      </x:c>
      <x:c r="AS581" s="115" t="n">
        <x:v>4</x:v>
      </x:c>
      <x:c r="AT581" s="115" t="n">
        <x:v>5</x:v>
      </x:c>
      <x:c r="AU581" s="115" t="n">
        <x:v>3</x:v>
      </x:c>
      <x:c r="AV581" s="115" t="n">
        <x:v>5</x:v>
      </x:c>
      <x:c r="AW581" s="115" t="n">
        <x:v>3</x:v>
      </x:c>
      <x:c r="AX581" s="115" t="n">
        <x:v>4</x:v>
      </x:c>
      <x:c r="AY581" s="115" t="n">
        <x:v>3</x:v>
      </x:c>
      <x:c r="AZ581" s="115" t="n">
        <x:v>4</x:v>
      </x:c>
      <x:c r="BA581" s="115" t="n">
        <x:v>2</x:v>
      </x:c>
      <x:c r="BB581" s="115" t="n">
        <x:v>4</x:v>
      </x:c>
      <x:c r="BC581" s="115" t="n">
        <x:v>5</x:v>
      </x:c>
      <x:c r="BD581" s="115" t="n">
        <x:v>4</x:v>
      </x:c>
      <x:c r="BE581" s="115" t="n">
        <x:v>5</x:v>
      </x:c>
      <x:c r="BF581" s="115" t="n">
        <x:v>3</x:v>
      </x:c>
      <x:c r="BG581" s="115" t="n">
        <x:v>5</x:v>
      </x:c>
      <x:c r="BH581" s="115" t="n">
        <x:v>3</x:v>
      </x:c>
      <x:c r="BI581" s="115" t="n">
        <x:v>4</x:v>
      </x:c>
      <x:c r="BJ581" s="115" t="n">
        <x:v>3</x:v>
      </x:c>
      <x:c r="BK581" s="115" t="n">
        <x:v>4</x:v>
      </x:c>
      <x:c r="BL581" s="115" t="n">
        <x:v>2</x:v>
      </x:c>
      <x:c r="BM581" s="115" t="n">
        <x:v>4</x:v>
      </x:c>
      <x:c r="BN581" s="115" t="n">
        <x:v>5</x:v>
      </x:c>
      <x:c r="BO581" s="115" t="n">
        <x:v>4</x:v>
      </x:c>
      <x:c r="BP581" s="115" t="n">
        <x:v>5</x:v>
      </x:c>
      <x:c r="BQ581" s="115" t="n">
        <x:v>3</x:v>
      </x:c>
      <x:c r="BR581" s="115" t="n">
        <x:v>5</x:v>
      </x:c>
      <x:c r="BS581" s="115" t="n">
        <x:v>3</x:v>
      </x:c>
      <x:c r="BT581" s="115" t="n">
        <x:v>4</x:v>
      </x:c>
      <x:c r="BU581" s="115" t="n">
        <x:v>3</x:v>
      </x:c>
      <x:c r="BV581" s="115" t="n">
        <x:v>4</x:v>
      </x:c>
      <x:c r="BW581" s="115" t="n">
        <x:v>2</x:v>
      </x:c>
      <x:c r="BX581" s="115" t="n">
        <x:v>4</x:v>
      </x:c>
      <x:c r="BY581" s="115" t="n">
        <x:v>5</x:v>
      </x:c>
      <x:c r="BZ581" s="115" t="n">
        <x:v>4</x:v>
      </x:c>
      <x:c r="CA581" s="115" t="n">
        <x:v>5</x:v>
      </x:c>
      <x:c r="CB581" s="116" t="n">
        <x:v>3</x:v>
      </x:c>
      <x:c r="CC581" s="141" t="n">
        <x:f>IF(COUNT(G581:P581)=0,"",AVERAGE(G581:P581)*4)</x:f>
        <x:v>15.2</x:v>
      </x:c>
      <x:c r="CD581" s="178" t="n">
        <x:f>IF(COUNT(Q581:Z581)=0,"",AVERAGE(Q581:Z581)*4)</x:f>
        <x:v>15.6</x:v>
      </x:c>
      <x:c r="CE581" s="178" t="n">
        <x:f>IF(COUNT(AA581:AJ581)=0,"",AVERAGE(AA581:AJ581)*4)</x:f>
        <x:v>14.8</x:v>
      </x:c>
      <x:c r="CF581" s="178" t="n">
        <x:f>IF(COUNT(AK581:AR581)=0,"",AVERAGE(AK581:AR581)*4)</x:f>
        <x:v>15</x:v>
      </x:c>
      <x:c r="CG581" s="178" t="n">
        <x:f>IF(COUNT(AS581:AY581)=0,"",AVERAGE(AS581:AY581)*4)</x:f>
        <x:v>15.428571428571429</x:v>
      </x:c>
      <x:c r="CH581" s="178" t="n">
        <x:f>IF(COUNT(AZ581:BG581)=0,"",AVERAGE(AZ581:BG581)*4)</x:f>
        <x:v>16</x:v>
      </x:c>
      <x:c r="CI581" s="178" t="n">
        <x:f>IF(COUNT(BH581:BN581)=0,"",AVERAGE(BH581:BN581)*4)</x:f>
        <x:v>14.285714285714286</x:v>
      </x:c>
      <x:c r="CJ581" s="178" t="n">
        <x:f>IF(COUNT(BO581:BU581)=0,"",AVERAGE(BO581:BU581)*4)</x:f>
        <x:v>15.428571428571429</x:v>
      </x:c>
      <x:c r="CK581" s="178" t="n">
        <x:f>IF(COUNT(BV581:CB581)=0,"",AVERAGE(BV581:CB581)*4)</x:f>
        <x:v>15.428571428571429</x:v>
      </x:c>
      <x:c r="CL581" s="178" t="n">
        <x:f>IF(C581="","",IF(COUNT(G581:CB581)&lt;74,"",(CC581*'تنظیمات وزن‌دهی'!$C$5+CD581*'تنظیمات وزن‌دهی'!$C$6+CE581*'تنظیمات وزن‌دهی'!$C$7+CF581*'تنظیمات وزن‌دهی'!$C$8+CG581*'تنظیمات وزن‌دهی'!$C$9+CH581*'تنظیمات وزن‌دهی'!$C$10+CI581*'تنظیمات وزن‌دهی'!$C$11+CJ581*'تنظیمات وزن‌دهی'!$C$12+CK581*'تنظیمات وزن‌دهی'!$C$13)/100))</x:f>
        <x:v>15.215714285714286</x:v>
      </x:c>
      <x:c r="CM581" s="178" t="str">
        <x:f>IF(C581="","",IF(COUNT(G581:CB581)=0,"",IF(COUNT(G581:CB581)&lt;74,"موقت - اطلاعات ناقص",IF(CL581&gt;=17,"عالی",IF(CL581&gt;=14,"خوب",IF(CL581&gt;=10,"متوسط","ضعیف"))))))</x:f>
        <x:v>خوب</x:v>
      </x:c>
      <x:c r="CN581" s="178" t="n">
        <x:v>1</x:v>
      </x:c>
      <x:c r="CO581" s="142" t="n">
        <x:f>IF(C581="","",COUNT(G581:CB581)/74)</x:f>
        <x:v>1</x:v>
      </x:c>
      <x:c r="CP581" s="245" t="str">
        <x:v>داده نمونه کامل برای ماه تیر - دانش‌آموز شماره 49</x:v>
      </x:c>
    </x:row>
    <x:row r="582">
      <x:c r="A582" s="165" t="n">
        <x:v>578</x:v>
      </x:c>
      <x:c r="B582" s="233" t="str">
        <x:v>مرداد</x:v>
      </x:c>
      <x:c r="C582" s="233" t="n">
        <x:f>IF('دانش‌آموزان'!E53="","",'دانش‌آموزان'!B53)</x:f>
        <x:v>49</x:v>
      </x:c>
      <x:c r="D582" s="233" t="str">
        <x:f>IF('دانش‌آموزان'!C53="","",'دانش‌آموزان'!C53)</x:f>
        <x:v>4000000497</x:v>
      </x:c>
      <x:c r="E582" s="233" t="str">
        <x:f>IF('دانش‌آموزان'!E53="","",'دانش‌آموزان'!E53&amp;" "&amp;'دانش‌آموزان'!F53)</x:f>
        <x:v>سام امینی</x:v>
      </x:c>
      <x:c r="F582" s="166" t="str">
        <x:f>IF('دانش‌آموزان'!I53="","",'دانش‌آموزان'!I53)</x:f>
        <x:v>sample-7-b</x:v>
      </x:c>
      <x:c r="G582" s="114"/>
      <x:c r="H582" s="115"/>
      <x:c r="I582" s="115"/>
      <x:c r="J582" s="115"/>
      <x:c r="K582" s="115"/>
      <x:c r="L582" s="115"/>
      <x:c r="M582" s="115"/>
      <x:c r="N582" s="115"/>
      <x:c r="O582" s="115"/>
      <x:c r="P582" s="115"/>
      <x:c r="Q582" s="115"/>
      <x:c r="R582" s="115"/>
      <x:c r="S582" s="115"/>
      <x:c r="T582" s="115"/>
      <x:c r="U582" s="115"/>
      <x:c r="V582" s="115"/>
      <x:c r="W582" s="115"/>
      <x:c r="X582" s="115"/>
      <x:c r="Y582" s="115"/>
      <x:c r="Z582" s="115"/>
      <x:c r="AA582" s="115"/>
      <x:c r="AB582" s="115"/>
      <x:c r="AC582" s="115"/>
      <x:c r="AD582" s="115"/>
      <x:c r="AE582" s="115"/>
      <x:c r="AF582" s="115"/>
      <x:c r="AG582" s="115"/>
      <x:c r="AH582" s="115"/>
      <x:c r="AI582" s="115"/>
      <x:c r="AJ582" s="115"/>
      <x:c r="AK582" s="115"/>
      <x:c r="AL582" s="115"/>
      <x:c r="AM582" s="115"/>
      <x:c r="AN582" s="115"/>
      <x:c r="AO582" s="115"/>
      <x:c r="AP582" s="115"/>
      <x:c r="AQ582" s="115"/>
      <x:c r="AR582" s="115"/>
      <x:c r="AS582" s="115"/>
      <x:c r="AT582" s="115"/>
      <x:c r="AU582" s="115"/>
      <x:c r="AV582" s="115"/>
      <x:c r="AW582" s="115"/>
      <x:c r="AX582" s="115"/>
      <x:c r="AY582" s="115"/>
      <x:c r="AZ582" s="115"/>
      <x:c r="BA582" s="115"/>
      <x:c r="BB582" s="115"/>
      <x:c r="BC582" s="115"/>
      <x:c r="BD582" s="115"/>
      <x:c r="BE582" s="115"/>
      <x:c r="BF582" s="115"/>
      <x:c r="BG582" s="115"/>
      <x:c r="BH582" s="115"/>
      <x:c r="BI582" s="115"/>
      <x:c r="BJ582" s="115"/>
      <x:c r="BK582" s="115"/>
      <x:c r="BL582" s="115"/>
      <x:c r="BM582" s="115"/>
      <x:c r="BN582" s="115"/>
      <x:c r="BO582" s="115"/>
      <x:c r="BP582" s="115"/>
      <x:c r="BQ582" s="115"/>
      <x:c r="BR582" s="115"/>
      <x:c r="BS582" s="115"/>
      <x:c r="BT582" s="115"/>
      <x:c r="BU582" s="115"/>
      <x:c r="BV582" s="115"/>
      <x:c r="BW582" s="115"/>
      <x:c r="BX582" s="115"/>
      <x:c r="BY582" s="115"/>
      <x:c r="BZ582" s="115"/>
      <x:c r="CA582" s="115"/>
      <x:c r="CB582" s="116"/>
      <x:c r="CC582" s="141" t="str">
        <x:f>IF(COUNT(G582:P582)=0,"",AVERAGE(G582:P582)*4)</x:f>
      </x:c>
      <x:c r="CD582" s="178" t="str">
        <x:f>IF(COUNT(Q582:Z582)=0,"",AVERAGE(Q582:Z582)*4)</x:f>
      </x:c>
      <x:c r="CE582" s="178" t="str">
        <x:f>IF(COUNT(AA582:AJ582)=0,"",AVERAGE(AA582:AJ582)*4)</x:f>
      </x:c>
      <x:c r="CF582" s="178" t="str">
        <x:f>IF(COUNT(AK582:AR582)=0,"",AVERAGE(AK582:AR582)*4)</x:f>
      </x:c>
      <x:c r="CG582" s="178" t="str">
        <x:f>IF(COUNT(AS582:AY582)=0,"",AVERAGE(AS582:AY582)*4)</x:f>
      </x:c>
      <x:c r="CH582" s="178" t="str">
        <x:f>IF(COUNT(AZ582:BG582)=0,"",AVERAGE(AZ582:BG582)*4)</x:f>
      </x:c>
      <x:c r="CI582" s="178" t="str">
        <x:f>IF(COUNT(BH582:BN582)=0,"",AVERAGE(BH582:BN582)*4)</x:f>
      </x:c>
      <x:c r="CJ582" s="178" t="str">
        <x:f>IF(COUNT(BO582:BU582)=0,"",AVERAGE(BO582:BU582)*4)</x:f>
      </x:c>
      <x:c r="CK582" s="178" t="str">
        <x:f>IF(COUNT(BV582:CB582)=0,"",AVERAGE(BV582:CB582)*4)</x:f>
      </x:c>
      <x:c r="CL582" s="178" t="str">
        <x:f>IF(C582="","",IF(COUNT(G582:CB582)&lt;74,"",(CC582*'تنظیمات وزن‌دهی'!$C$5+CD582*'تنظیمات وزن‌دهی'!$C$6+CE582*'تنظیمات وزن‌دهی'!$C$7+CF582*'تنظیمات وزن‌دهی'!$C$8+CG582*'تنظیمات وزن‌دهی'!$C$9+CH582*'تنظیمات وزن‌دهی'!$C$10+CI582*'تنظیمات وزن‌دهی'!$C$11+CJ582*'تنظیمات وزن‌دهی'!$C$12+CK582*'تنظیمات وزن‌دهی'!$C$13)/100))</x:f>
      </x:c>
      <x:c r="CM582" s="178" t="str">
        <x:f>IF(C582="","",IF(COUNT(G582:CB582)=0,"",IF(COUNT(G582:CB582)&lt;74,"موقت - اطلاعات ناقص",IF(CL582&gt;=17,"عالی",IF(CL582&gt;=14,"خوب",IF(CL582&gt;=10,"متوسط","ضعیف"))))))</x:f>
      </x:c>
      <x:c r="CN582" s="178" t="n">
        <x:v>2</x:v>
      </x:c>
      <x:c r="CO582" s="142" t="n">
        <x:f>IF(C582="","",COUNT(G582:CB582)/74)</x:f>
        <x:v>0</x:v>
      </x:c>
      <x:c r="CP582" s="245"/>
    </x:row>
    <x:row r="583">
      <x:c r="A583" s="165" t="n">
        <x:v>579</x:v>
      </x:c>
      <x:c r="B583" s="233" t="str">
        <x:v>شهریور</x:v>
      </x:c>
      <x:c r="C583" s="233" t="n">
        <x:f>IF('دانش‌آموزان'!E53="","",'دانش‌آموزان'!B53)</x:f>
        <x:v>49</x:v>
      </x:c>
      <x:c r="D583" s="233" t="str">
        <x:f>IF('دانش‌آموزان'!C53="","",'دانش‌آموزان'!C53)</x:f>
        <x:v>4000000497</x:v>
      </x:c>
      <x:c r="E583" s="233" t="str">
        <x:f>IF('دانش‌آموزان'!E53="","",'دانش‌آموزان'!E53&amp;" "&amp;'دانش‌آموزان'!F53)</x:f>
        <x:v>سام امینی</x:v>
      </x:c>
      <x:c r="F583" s="166" t="str">
        <x:f>IF('دانش‌آموزان'!I53="","",'دانش‌آموزان'!I53)</x:f>
        <x:v>sample-7-b</x:v>
      </x:c>
      <x:c r="G583" s="114"/>
      <x:c r="H583" s="115"/>
      <x:c r="I583" s="115"/>
      <x:c r="J583" s="115"/>
      <x:c r="K583" s="115"/>
      <x:c r="L583" s="115"/>
      <x:c r="M583" s="115"/>
      <x:c r="N583" s="115"/>
      <x:c r="O583" s="115"/>
      <x:c r="P583" s="115"/>
      <x:c r="Q583" s="115"/>
      <x:c r="R583" s="115"/>
      <x:c r="S583" s="115"/>
      <x:c r="T583" s="115"/>
      <x:c r="U583" s="115"/>
      <x:c r="V583" s="115"/>
      <x:c r="W583" s="115"/>
      <x:c r="X583" s="115"/>
      <x:c r="Y583" s="115"/>
      <x:c r="Z583" s="115"/>
      <x:c r="AA583" s="115"/>
      <x:c r="AB583" s="115"/>
      <x:c r="AC583" s="115"/>
      <x:c r="AD583" s="115"/>
      <x:c r="AE583" s="115"/>
      <x:c r="AF583" s="115"/>
      <x:c r="AG583" s="115"/>
      <x:c r="AH583" s="115"/>
      <x:c r="AI583" s="115"/>
      <x:c r="AJ583" s="115"/>
      <x:c r="AK583" s="115"/>
      <x:c r="AL583" s="115"/>
      <x:c r="AM583" s="115"/>
      <x:c r="AN583" s="115"/>
      <x:c r="AO583" s="115"/>
      <x:c r="AP583" s="115"/>
      <x:c r="AQ583" s="115"/>
      <x:c r="AR583" s="115"/>
      <x:c r="AS583" s="115"/>
      <x:c r="AT583" s="115"/>
      <x:c r="AU583" s="115"/>
      <x:c r="AV583" s="115"/>
      <x:c r="AW583" s="115"/>
      <x:c r="AX583" s="115"/>
      <x:c r="AY583" s="115"/>
      <x:c r="AZ583" s="115"/>
      <x:c r="BA583" s="115"/>
      <x:c r="BB583" s="115"/>
      <x:c r="BC583" s="115"/>
      <x:c r="BD583" s="115"/>
      <x:c r="BE583" s="115"/>
      <x:c r="BF583" s="115"/>
      <x:c r="BG583" s="115"/>
      <x:c r="BH583" s="115"/>
      <x:c r="BI583" s="115"/>
      <x:c r="BJ583" s="115"/>
      <x:c r="BK583" s="115"/>
      <x:c r="BL583" s="115"/>
      <x:c r="BM583" s="115"/>
      <x:c r="BN583" s="115"/>
      <x:c r="BO583" s="115"/>
      <x:c r="BP583" s="115"/>
      <x:c r="BQ583" s="115"/>
      <x:c r="BR583" s="115"/>
      <x:c r="BS583" s="115"/>
      <x:c r="BT583" s="115"/>
      <x:c r="BU583" s="115"/>
      <x:c r="BV583" s="115"/>
      <x:c r="BW583" s="115"/>
      <x:c r="BX583" s="115"/>
      <x:c r="BY583" s="115"/>
      <x:c r="BZ583" s="115"/>
      <x:c r="CA583" s="115"/>
      <x:c r="CB583" s="116"/>
      <x:c r="CC583" s="141" t="str">
        <x:f>IF(COUNT(G583:P583)=0,"",AVERAGE(G583:P583)*4)</x:f>
      </x:c>
      <x:c r="CD583" s="178" t="str">
        <x:f>IF(COUNT(Q583:Z583)=0,"",AVERAGE(Q583:Z583)*4)</x:f>
      </x:c>
      <x:c r="CE583" s="178" t="str">
        <x:f>IF(COUNT(AA583:AJ583)=0,"",AVERAGE(AA583:AJ583)*4)</x:f>
      </x:c>
      <x:c r="CF583" s="178" t="str">
        <x:f>IF(COUNT(AK583:AR583)=0,"",AVERAGE(AK583:AR583)*4)</x:f>
      </x:c>
      <x:c r="CG583" s="178" t="str">
        <x:f>IF(COUNT(AS583:AY583)=0,"",AVERAGE(AS583:AY583)*4)</x:f>
      </x:c>
      <x:c r="CH583" s="178" t="str">
        <x:f>IF(COUNT(AZ583:BG583)=0,"",AVERAGE(AZ583:BG583)*4)</x:f>
      </x:c>
      <x:c r="CI583" s="178" t="str">
        <x:f>IF(COUNT(BH583:BN583)=0,"",AVERAGE(BH583:BN583)*4)</x:f>
      </x:c>
      <x:c r="CJ583" s="178" t="str">
        <x:f>IF(COUNT(BO583:BU583)=0,"",AVERAGE(BO583:BU583)*4)</x:f>
      </x:c>
      <x:c r="CK583" s="178" t="str">
        <x:f>IF(COUNT(BV583:CB583)=0,"",AVERAGE(BV583:CB583)*4)</x:f>
      </x:c>
      <x:c r="CL583" s="178" t="str">
        <x:f>IF(C583="","",IF(COUNT(G583:CB583)&lt;74,"",(CC583*'تنظیمات وزن‌دهی'!$C$5+CD583*'تنظیمات وزن‌دهی'!$C$6+CE583*'تنظیمات وزن‌دهی'!$C$7+CF583*'تنظیمات وزن‌دهی'!$C$8+CG583*'تنظیمات وزن‌دهی'!$C$9+CH583*'تنظیمات وزن‌دهی'!$C$10+CI583*'تنظیمات وزن‌دهی'!$C$11+CJ583*'تنظیمات وزن‌دهی'!$C$12+CK583*'تنظیمات وزن‌دهی'!$C$13)/100))</x:f>
      </x:c>
      <x:c r="CM583" s="178" t="str">
        <x:f>IF(C583="","",IF(COUNT(G583:CB583)=0,"",IF(COUNT(G583:CB583)&lt;74,"موقت - اطلاعات ناقص",IF(CL583&gt;=17,"عالی",IF(CL583&gt;=14,"خوب",IF(CL583&gt;=10,"متوسط","ضعیف"))))))</x:f>
      </x:c>
      <x:c r="CN583" s="178" t="n">
        <x:v>3</x:v>
      </x:c>
      <x:c r="CO583" s="142" t="n">
        <x:f>IF(C583="","",COUNT(G583:CB583)/74)</x:f>
        <x:v>0</x:v>
      </x:c>
      <x:c r="CP583" s="245"/>
    </x:row>
    <x:row r="584">
      <x:c r="A584" s="165" t="n">
        <x:v>580</x:v>
      </x:c>
      <x:c r="B584" s="233" t="str">
        <x:v>مهر</x:v>
      </x:c>
      <x:c r="C584" s="233" t="n">
        <x:f>IF('دانش‌آموزان'!E53="","",'دانش‌آموزان'!B53)</x:f>
        <x:v>49</x:v>
      </x:c>
      <x:c r="D584" s="233" t="str">
        <x:f>IF('دانش‌آموزان'!C53="","",'دانش‌آموزان'!C53)</x:f>
        <x:v>4000000497</x:v>
      </x:c>
      <x:c r="E584" s="233" t="str">
        <x:f>IF('دانش‌آموزان'!E53="","",'دانش‌آموزان'!E53&amp;" "&amp;'دانش‌آموزان'!F53)</x:f>
        <x:v>سام امینی</x:v>
      </x:c>
      <x:c r="F584" s="166" t="str">
        <x:f>IF('دانش‌آموزان'!I53="","",'دانش‌آموزان'!I53)</x:f>
        <x:v>sample-7-b</x:v>
      </x:c>
      <x:c r="G584" s="114"/>
      <x:c r="H584" s="115"/>
      <x:c r="I584" s="115"/>
      <x:c r="J584" s="115"/>
      <x:c r="K584" s="115"/>
      <x:c r="L584" s="115"/>
      <x:c r="M584" s="115"/>
      <x:c r="N584" s="115"/>
      <x:c r="O584" s="115"/>
      <x:c r="P584" s="115"/>
      <x:c r="Q584" s="115"/>
      <x:c r="R584" s="115"/>
      <x:c r="S584" s="115"/>
      <x:c r="T584" s="115"/>
      <x:c r="U584" s="115"/>
      <x:c r="V584" s="115"/>
      <x:c r="W584" s="115"/>
      <x:c r="X584" s="115"/>
      <x:c r="Y584" s="115"/>
      <x:c r="Z584" s="115"/>
      <x:c r="AA584" s="115"/>
      <x:c r="AB584" s="115"/>
      <x:c r="AC584" s="115"/>
      <x:c r="AD584" s="115"/>
      <x:c r="AE584" s="115"/>
      <x:c r="AF584" s="115"/>
      <x:c r="AG584" s="115"/>
      <x:c r="AH584" s="115"/>
      <x:c r="AI584" s="115"/>
      <x:c r="AJ584" s="115"/>
      <x:c r="AK584" s="115"/>
      <x:c r="AL584" s="115"/>
      <x:c r="AM584" s="115"/>
      <x:c r="AN584" s="115"/>
      <x:c r="AO584" s="115"/>
      <x:c r="AP584" s="115"/>
      <x:c r="AQ584" s="115"/>
      <x:c r="AR584" s="115"/>
      <x:c r="AS584" s="115"/>
      <x:c r="AT584" s="115"/>
      <x:c r="AU584" s="115"/>
      <x:c r="AV584" s="115"/>
      <x:c r="AW584" s="115"/>
      <x:c r="AX584" s="115"/>
      <x:c r="AY584" s="115"/>
      <x:c r="AZ584" s="115"/>
      <x:c r="BA584" s="115"/>
      <x:c r="BB584" s="115"/>
      <x:c r="BC584" s="115"/>
      <x:c r="BD584" s="115"/>
      <x:c r="BE584" s="115"/>
      <x:c r="BF584" s="115"/>
      <x:c r="BG584" s="115"/>
      <x:c r="BH584" s="115"/>
      <x:c r="BI584" s="115"/>
      <x:c r="BJ584" s="115"/>
      <x:c r="BK584" s="115"/>
      <x:c r="BL584" s="115"/>
      <x:c r="BM584" s="115"/>
      <x:c r="BN584" s="115"/>
      <x:c r="BO584" s="115"/>
      <x:c r="BP584" s="115"/>
      <x:c r="BQ584" s="115"/>
      <x:c r="BR584" s="115"/>
      <x:c r="BS584" s="115"/>
      <x:c r="BT584" s="115"/>
      <x:c r="BU584" s="115"/>
      <x:c r="BV584" s="115"/>
      <x:c r="BW584" s="115"/>
      <x:c r="BX584" s="115"/>
      <x:c r="BY584" s="115"/>
      <x:c r="BZ584" s="115"/>
      <x:c r="CA584" s="115"/>
      <x:c r="CB584" s="116"/>
      <x:c r="CC584" s="141" t="str">
        <x:f>IF(COUNT(G584:P584)=0,"",AVERAGE(G584:P584)*4)</x:f>
      </x:c>
      <x:c r="CD584" s="178" t="str">
        <x:f>IF(COUNT(Q584:Z584)=0,"",AVERAGE(Q584:Z584)*4)</x:f>
      </x:c>
      <x:c r="CE584" s="178" t="str">
        <x:f>IF(COUNT(AA584:AJ584)=0,"",AVERAGE(AA584:AJ584)*4)</x:f>
      </x:c>
      <x:c r="CF584" s="178" t="str">
        <x:f>IF(COUNT(AK584:AR584)=0,"",AVERAGE(AK584:AR584)*4)</x:f>
      </x:c>
      <x:c r="CG584" s="178" t="str">
        <x:f>IF(COUNT(AS584:AY584)=0,"",AVERAGE(AS584:AY584)*4)</x:f>
      </x:c>
      <x:c r="CH584" s="178" t="str">
        <x:f>IF(COUNT(AZ584:BG584)=0,"",AVERAGE(AZ584:BG584)*4)</x:f>
      </x:c>
      <x:c r="CI584" s="178" t="str">
        <x:f>IF(COUNT(BH584:BN584)=0,"",AVERAGE(BH584:BN584)*4)</x:f>
      </x:c>
      <x:c r="CJ584" s="178" t="str">
        <x:f>IF(COUNT(BO584:BU584)=0,"",AVERAGE(BO584:BU584)*4)</x:f>
      </x:c>
      <x:c r="CK584" s="178" t="str">
        <x:f>IF(COUNT(BV584:CB584)=0,"",AVERAGE(BV584:CB584)*4)</x:f>
      </x:c>
      <x:c r="CL584" s="178" t="str">
        <x:f>IF(C584="","",IF(COUNT(G584:CB584)&lt;74,"",(CC584*'تنظیمات وزن‌دهی'!$C$5+CD584*'تنظیمات وزن‌دهی'!$C$6+CE584*'تنظیمات وزن‌دهی'!$C$7+CF584*'تنظیمات وزن‌دهی'!$C$8+CG584*'تنظیمات وزن‌دهی'!$C$9+CH584*'تنظیمات وزن‌دهی'!$C$10+CI584*'تنظیمات وزن‌دهی'!$C$11+CJ584*'تنظیمات وزن‌دهی'!$C$12+CK584*'تنظیمات وزن‌دهی'!$C$13)/100))</x:f>
      </x:c>
      <x:c r="CM584" s="178" t="str">
        <x:f>IF(C584="","",IF(COUNT(G584:CB584)=0,"",IF(COUNT(G584:CB584)&lt;74,"موقت - اطلاعات ناقص",IF(CL584&gt;=17,"عالی",IF(CL584&gt;=14,"خوب",IF(CL584&gt;=10,"متوسط","ضعیف"))))))</x:f>
      </x:c>
      <x:c r="CN584" s="178" t="n">
        <x:v>4</x:v>
      </x:c>
      <x:c r="CO584" s="142" t="n">
        <x:f>IF(C584="","",COUNT(G584:CB584)/74)</x:f>
        <x:v>0</x:v>
      </x:c>
      <x:c r="CP584" s="245"/>
    </x:row>
    <x:row r="585">
      <x:c r="A585" s="165" t="n">
        <x:v>581</x:v>
      </x:c>
      <x:c r="B585" s="233" t="str">
        <x:v>آبان</x:v>
      </x:c>
      <x:c r="C585" s="233" t="n">
        <x:f>IF('دانش‌آموزان'!E53="","",'دانش‌آموزان'!B53)</x:f>
        <x:v>49</x:v>
      </x:c>
      <x:c r="D585" s="233" t="str">
        <x:f>IF('دانش‌آموزان'!C53="","",'دانش‌آموزان'!C53)</x:f>
        <x:v>4000000497</x:v>
      </x:c>
      <x:c r="E585" s="233" t="str">
        <x:f>IF('دانش‌آموزان'!E53="","",'دانش‌آموزان'!E53&amp;" "&amp;'دانش‌آموزان'!F53)</x:f>
        <x:v>سام امینی</x:v>
      </x:c>
      <x:c r="F585" s="166" t="str">
        <x:f>IF('دانش‌آموزان'!I53="","",'دانش‌آموزان'!I53)</x:f>
        <x:v>sample-7-b</x:v>
      </x:c>
      <x:c r="G585" s="114"/>
      <x:c r="H585" s="115"/>
      <x:c r="I585" s="115"/>
      <x:c r="J585" s="115"/>
      <x:c r="K585" s="115"/>
      <x:c r="L585" s="115"/>
      <x:c r="M585" s="115"/>
      <x:c r="N585" s="115"/>
      <x:c r="O585" s="115"/>
      <x:c r="P585" s="115"/>
      <x:c r="Q585" s="115"/>
      <x:c r="R585" s="115"/>
      <x:c r="S585" s="115"/>
      <x:c r="T585" s="115"/>
      <x:c r="U585" s="115"/>
      <x:c r="V585" s="115"/>
      <x:c r="W585" s="115"/>
      <x:c r="X585" s="115"/>
      <x:c r="Y585" s="115"/>
      <x:c r="Z585" s="115"/>
      <x:c r="AA585" s="115"/>
      <x:c r="AB585" s="115"/>
      <x:c r="AC585" s="115"/>
      <x:c r="AD585" s="115"/>
      <x:c r="AE585" s="115"/>
      <x:c r="AF585" s="115"/>
      <x:c r="AG585" s="115"/>
      <x:c r="AH585" s="115"/>
      <x:c r="AI585" s="115"/>
      <x:c r="AJ585" s="115"/>
      <x:c r="AK585" s="115"/>
      <x:c r="AL585" s="115"/>
      <x:c r="AM585" s="115"/>
      <x:c r="AN585" s="115"/>
      <x:c r="AO585" s="115"/>
      <x:c r="AP585" s="115"/>
      <x:c r="AQ585" s="115"/>
      <x:c r="AR585" s="115"/>
      <x:c r="AS585" s="115"/>
      <x:c r="AT585" s="115"/>
      <x:c r="AU585" s="115"/>
      <x:c r="AV585" s="115"/>
      <x:c r="AW585" s="115"/>
      <x:c r="AX585" s="115"/>
      <x:c r="AY585" s="115"/>
      <x:c r="AZ585" s="115"/>
      <x:c r="BA585" s="115"/>
      <x:c r="BB585" s="115"/>
      <x:c r="BC585" s="115"/>
      <x:c r="BD585" s="115"/>
      <x:c r="BE585" s="115"/>
      <x:c r="BF585" s="115"/>
      <x:c r="BG585" s="115"/>
      <x:c r="BH585" s="115"/>
      <x:c r="BI585" s="115"/>
      <x:c r="BJ585" s="115"/>
      <x:c r="BK585" s="115"/>
      <x:c r="BL585" s="115"/>
      <x:c r="BM585" s="115"/>
      <x:c r="BN585" s="115"/>
      <x:c r="BO585" s="115"/>
      <x:c r="BP585" s="115"/>
      <x:c r="BQ585" s="115"/>
      <x:c r="BR585" s="115"/>
      <x:c r="BS585" s="115"/>
      <x:c r="BT585" s="115"/>
      <x:c r="BU585" s="115"/>
      <x:c r="BV585" s="115"/>
      <x:c r="BW585" s="115"/>
      <x:c r="BX585" s="115"/>
      <x:c r="BY585" s="115"/>
      <x:c r="BZ585" s="115"/>
      <x:c r="CA585" s="115"/>
      <x:c r="CB585" s="116"/>
      <x:c r="CC585" s="141" t="str">
        <x:f>IF(COUNT(G585:P585)=0,"",AVERAGE(G585:P585)*4)</x:f>
      </x:c>
      <x:c r="CD585" s="178" t="str">
        <x:f>IF(COUNT(Q585:Z585)=0,"",AVERAGE(Q585:Z585)*4)</x:f>
      </x:c>
      <x:c r="CE585" s="178" t="str">
        <x:f>IF(COUNT(AA585:AJ585)=0,"",AVERAGE(AA585:AJ585)*4)</x:f>
      </x:c>
      <x:c r="CF585" s="178" t="str">
        <x:f>IF(COUNT(AK585:AR585)=0,"",AVERAGE(AK585:AR585)*4)</x:f>
      </x:c>
      <x:c r="CG585" s="178" t="str">
        <x:f>IF(COUNT(AS585:AY585)=0,"",AVERAGE(AS585:AY585)*4)</x:f>
      </x:c>
      <x:c r="CH585" s="178" t="str">
        <x:f>IF(COUNT(AZ585:BG585)=0,"",AVERAGE(AZ585:BG585)*4)</x:f>
      </x:c>
      <x:c r="CI585" s="178" t="str">
        <x:f>IF(COUNT(BH585:BN585)=0,"",AVERAGE(BH585:BN585)*4)</x:f>
      </x:c>
      <x:c r="CJ585" s="178" t="str">
        <x:f>IF(COUNT(BO585:BU585)=0,"",AVERAGE(BO585:BU585)*4)</x:f>
      </x:c>
      <x:c r="CK585" s="178" t="str">
        <x:f>IF(COUNT(BV585:CB585)=0,"",AVERAGE(BV585:CB585)*4)</x:f>
      </x:c>
      <x:c r="CL585" s="178" t="str">
        <x:f>IF(C585="","",IF(COUNT(G585:CB585)&lt;74,"",(CC585*'تنظیمات وزن‌دهی'!$C$5+CD585*'تنظیمات وزن‌دهی'!$C$6+CE585*'تنظیمات وزن‌دهی'!$C$7+CF585*'تنظیمات وزن‌دهی'!$C$8+CG585*'تنظیمات وزن‌دهی'!$C$9+CH585*'تنظیمات وزن‌دهی'!$C$10+CI585*'تنظیمات وزن‌دهی'!$C$11+CJ585*'تنظیمات وزن‌دهی'!$C$12+CK585*'تنظیمات وزن‌دهی'!$C$13)/100))</x:f>
      </x:c>
      <x:c r="CM585" s="178" t="str">
        <x:f>IF(C585="","",IF(COUNT(G585:CB585)=0,"",IF(COUNT(G585:CB585)&lt;74,"موقت - اطلاعات ناقص",IF(CL585&gt;=17,"عالی",IF(CL585&gt;=14,"خوب",IF(CL585&gt;=10,"متوسط","ضعیف"))))))</x:f>
      </x:c>
      <x:c r="CN585" s="178" t="n">
        <x:v>5</x:v>
      </x:c>
      <x:c r="CO585" s="142" t="n">
        <x:f>IF(C585="","",COUNT(G585:CB585)/74)</x:f>
        <x:v>0</x:v>
      </x:c>
      <x:c r="CP585" s="245"/>
    </x:row>
    <x:row r="586">
      <x:c r="A586" s="165" t="n">
        <x:v>582</x:v>
      </x:c>
      <x:c r="B586" s="233" t="str">
        <x:v>آذر</x:v>
      </x:c>
      <x:c r="C586" s="233" t="n">
        <x:f>IF('دانش‌آموزان'!E53="","",'دانش‌آموزان'!B53)</x:f>
        <x:v>49</x:v>
      </x:c>
      <x:c r="D586" s="233" t="str">
        <x:f>IF('دانش‌آموزان'!C53="","",'دانش‌آموزان'!C53)</x:f>
        <x:v>4000000497</x:v>
      </x:c>
      <x:c r="E586" s="233" t="str">
        <x:f>IF('دانش‌آموزان'!E53="","",'دانش‌آموزان'!E53&amp;" "&amp;'دانش‌آموزان'!F53)</x:f>
        <x:v>سام امینی</x:v>
      </x:c>
      <x:c r="F586" s="166" t="str">
        <x:f>IF('دانش‌آموزان'!I53="","",'دانش‌آموزان'!I53)</x:f>
        <x:v>sample-7-b</x:v>
      </x:c>
      <x:c r="G586" s="114"/>
      <x:c r="H586" s="115"/>
      <x:c r="I586" s="115"/>
      <x:c r="J586" s="115"/>
      <x:c r="K586" s="115"/>
      <x:c r="L586" s="115"/>
      <x:c r="M586" s="115"/>
      <x:c r="N586" s="115"/>
      <x:c r="O586" s="115"/>
      <x:c r="P586" s="115"/>
      <x:c r="Q586" s="115"/>
      <x:c r="R586" s="115"/>
      <x:c r="S586" s="115"/>
      <x:c r="T586" s="115"/>
      <x:c r="U586" s="115"/>
      <x:c r="V586" s="115"/>
      <x:c r="W586" s="115"/>
      <x:c r="X586" s="115"/>
      <x:c r="Y586" s="115"/>
      <x:c r="Z586" s="115"/>
      <x:c r="AA586" s="115"/>
      <x:c r="AB586" s="115"/>
      <x:c r="AC586" s="115"/>
      <x:c r="AD586" s="115"/>
      <x:c r="AE586" s="115"/>
      <x:c r="AF586" s="115"/>
      <x:c r="AG586" s="115"/>
      <x:c r="AH586" s="115"/>
      <x:c r="AI586" s="115"/>
      <x:c r="AJ586" s="115"/>
      <x:c r="AK586" s="115"/>
      <x:c r="AL586" s="115"/>
      <x:c r="AM586" s="115"/>
      <x:c r="AN586" s="115"/>
      <x:c r="AO586" s="115"/>
      <x:c r="AP586" s="115"/>
      <x:c r="AQ586" s="115"/>
      <x:c r="AR586" s="115"/>
      <x:c r="AS586" s="115"/>
      <x:c r="AT586" s="115"/>
      <x:c r="AU586" s="115"/>
      <x:c r="AV586" s="115"/>
      <x:c r="AW586" s="115"/>
      <x:c r="AX586" s="115"/>
      <x:c r="AY586" s="115"/>
      <x:c r="AZ586" s="115"/>
      <x:c r="BA586" s="115"/>
      <x:c r="BB586" s="115"/>
      <x:c r="BC586" s="115"/>
      <x:c r="BD586" s="115"/>
      <x:c r="BE586" s="115"/>
      <x:c r="BF586" s="115"/>
      <x:c r="BG586" s="115"/>
      <x:c r="BH586" s="115"/>
      <x:c r="BI586" s="115"/>
      <x:c r="BJ586" s="115"/>
      <x:c r="BK586" s="115"/>
      <x:c r="BL586" s="115"/>
      <x:c r="BM586" s="115"/>
      <x:c r="BN586" s="115"/>
      <x:c r="BO586" s="115"/>
      <x:c r="BP586" s="115"/>
      <x:c r="BQ586" s="115"/>
      <x:c r="BR586" s="115"/>
      <x:c r="BS586" s="115"/>
      <x:c r="BT586" s="115"/>
      <x:c r="BU586" s="115"/>
      <x:c r="BV586" s="115"/>
      <x:c r="BW586" s="115"/>
      <x:c r="BX586" s="115"/>
      <x:c r="BY586" s="115"/>
      <x:c r="BZ586" s="115"/>
      <x:c r="CA586" s="115"/>
      <x:c r="CB586" s="116"/>
      <x:c r="CC586" s="141" t="str">
        <x:f>IF(COUNT(G586:P586)=0,"",AVERAGE(G586:P586)*4)</x:f>
      </x:c>
      <x:c r="CD586" s="178" t="str">
        <x:f>IF(COUNT(Q586:Z586)=0,"",AVERAGE(Q586:Z586)*4)</x:f>
      </x:c>
      <x:c r="CE586" s="178" t="str">
        <x:f>IF(COUNT(AA586:AJ586)=0,"",AVERAGE(AA586:AJ586)*4)</x:f>
      </x:c>
      <x:c r="CF586" s="178" t="str">
        <x:f>IF(COUNT(AK586:AR586)=0,"",AVERAGE(AK586:AR586)*4)</x:f>
      </x:c>
      <x:c r="CG586" s="178" t="str">
        <x:f>IF(COUNT(AS586:AY586)=0,"",AVERAGE(AS586:AY586)*4)</x:f>
      </x:c>
      <x:c r="CH586" s="178" t="str">
        <x:f>IF(COUNT(AZ586:BG586)=0,"",AVERAGE(AZ586:BG586)*4)</x:f>
      </x:c>
      <x:c r="CI586" s="178" t="str">
        <x:f>IF(COUNT(BH586:BN586)=0,"",AVERAGE(BH586:BN586)*4)</x:f>
      </x:c>
      <x:c r="CJ586" s="178" t="str">
        <x:f>IF(COUNT(BO586:BU586)=0,"",AVERAGE(BO586:BU586)*4)</x:f>
      </x:c>
      <x:c r="CK586" s="178" t="str">
        <x:f>IF(COUNT(BV586:CB586)=0,"",AVERAGE(BV586:CB586)*4)</x:f>
      </x:c>
      <x:c r="CL586" s="178" t="str">
        <x:f>IF(C586="","",IF(COUNT(G586:CB586)&lt;74,"",(CC586*'تنظیمات وزن‌دهی'!$C$5+CD586*'تنظیمات وزن‌دهی'!$C$6+CE586*'تنظیمات وزن‌دهی'!$C$7+CF586*'تنظیمات وزن‌دهی'!$C$8+CG586*'تنظیمات وزن‌دهی'!$C$9+CH586*'تنظیمات وزن‌دهی'!$C$10+CI586*'تنظیمات وزن‌دهی'!$C$11+CJ586*'تنظیمات وزن‌دهی'!$C$12+CK586*'تنظیمات وزن‌دهی'!$C$13)/100))</x:f>
      </x:c>
      <x:c r="CM586" s="178" t="str">
        <x:f>IF(C586="","",IF(COUNT(G586:CB586)=0,"",IF(COUNT(G586:CB586)&lt;74,"موقت - اطلاعات ناقص",IF(CL586&gt;=17,"عالی",IF(CL586&gt;=14,"خوب",IF(CL586&gt;=10,"متوسط","ضعیف"))))))</x:f>
      </x:c>
      <x:c r="CN586" s="178" t="n">
        <x:v>6</x:v>
      </x:c>
      <x:c r="CO586" s="142" t="n">
        <x:f>IF(C586="","",COUNT(G586:CB586)/74)</x:f>
        <x:v>0</x:v>
      </x:c>
      <x:c r="CP586" s="245"/>
    </x:row>
    <x:row r="587">
      <x:c r="A587" s="165" t="n">
        <x:v>583</x:v>
      </x:c>
      <x:c r="B587" s="233" t="str">
        <x:v>دی</x:v>
      </x:c>
      <x:c r="C587" s="233" t="n">
        <x:f>IF('دانش‌آموزان'!E53="","",'دانش‌آموزان'!B53)</x:f>
        <x:v>49</x:v>
      </x:c>
      <x:c r="D587" s="233" t="str">
        <x:f>IF('دانش‌آموزان'!C53="","",'دانش‌آموزان'!C53)</x:f>
        <x:v>4000000497</x:v>
      </x:c>
      <x:c r="E587" s="233" t="str">
        <x:f>IF('دانش‌آموزان'!E53="","",'دانش‌آموزان'!E53&amp;" "&amp;'دانش‌آموزان'!F53)</x:f>
        <x:v>سام امینی</x:v>
      </x:c>
      <x:c r="F587" s="166" t="str">
        <x:f>IF('دانش‌آموزان'!I53="","",'دانش‌آموزان'!I53)</x:f>
        <x:v>sample-7-b</x:v>
      </x:c>
      <x:c r="G587" s="114"/>
      <x:c r="H587" s="115"/>
      <x:c r="I587" s="115"/>
      <x:c r="J587" s="115"/>
      <x:c r="K587" s="115"/>
      <x:c r="L587" s="115"/>
      <x:c r="M587" s="115"/>
      <x:c r="N587" s="115"/>
      <x:c r="O587" s="115"/>
      <x:c r="P587" s="115"/>
      <x:c r="Q587" s="115"/>
      <x:c r="R587" s="115"/>
      <x:c r="S587" s="115"/>
      <x:c r="T587" s="115"/>
      <x:c r="U587" s="115"/>
      <x:c r="V587" s="115"/>
      <x:c r="W587" s="115"/>
      <x:c r="X587" s="115"/>
      <x:c r="Y587" s="115"/>
      <x:c r="Z587" s="115"/>
      <x:c r="AA587" s="115"/>
      <x:c r="AB587" s="115"/>
      <x:c r="AC587" s="115"/>
      <x:c r="AD587" s="115"/>
      <x:c r="AE587" s="115"/>
      <x:c r="AF587" s="115"/>
      <x:c r="AG587" s="115"/>
      <x:c r="AH587" s="115"/>
      <x:c r="AI587" s="115"/>
      <x:c r="AJ587" s="115"/>
      <x:c r="AK587" s="115"/>
      <x:c r="AL587" s="115"/>
      <x:c r="AM587" s="115"/>
      <x:c r="AN587" s="115"/>
      <x:c r="AO587" s="115"/>
      <x:c r="AP587" s="115"/>
      <x:c r="AQ587" s="115"/>
      <x:c r="AR587" s="115"/>
      <x:c r="AS587" s="115"/>
      <x:c r="AT587" s="115"/>
      <x:c r="AU587" s="115"/>
      <x:c r="AV587" s="115"/>
      <x:c r="AW587" s="115"/>
      <x:c r="AX587" s="115"/>
      <x:c r="AY587" s="115"/>
      <x:c r="AZ587" s="115"/>
      <x:c r="BA587" s="115"/>
      <x:c r="BB587" s="115"/>
      <x:c r="BC587" s="115"/>
      <x:c r="BD587" s="115"/>
      <x:c r="BE587" s="115"/>
      <x:c r="BF587" s="115"/>
      <x:c r="BG587" s="115"/>
      <x:c r="BH587" s="115"/>
      <x:c r="BI587" s="115"/>
      <x:c r="BJ587" s="115"/>
      <x:c r="BK587" s="115"/>
      <x:c r="BL587" s="115"/>
      <x:c r="BM587" s="115"/>
      <x:c r="BN587" s="115"/>
      <x:c r="BO587" s="115"/>
      <x:c r="BP587" s="115"/>
      <x:c r="BQ587" s="115"/>
      <x:c r="BR587" s="115"/>
      <x:c r="BS587" s="115"/>
      <x:c r="BT587" s="115"/>
      <x:c r="BU587" s="115"/>
      <x:c r="BV587" s="115"/>
      <x:c r="BW587" s="115"/>
      <x:c r="BX587" s="115"/>
      <x:c r="BY587" s="115"/>
      <x:c r="BZ587" s="115"/>
      <x:c r="CA587" s="115"/>
      <x:c r="CB587" s="116"/>
      <x:c r="CC587" s="141" t="str">
        <x:f>IF(COUNT(G587:P587)=0,"",AVERAGE(G587:P587)*4)</x:f>
      </x:c>
      <x:c r="CD587" s="178" t="str">
        <x:f>IF(COUNT(Q587:Z587)=0,"",AVERAGE(Q587:Z587)*4)</x:f>
      </x:c>
      <x:c r="CE587" s="178" t="str">
        <x:f>IF(COUNT(AA587:AJ587)=0,"",AVERAGE(AA587:AJ587)*4)</x:f>
      </x:c>
      <x:c r="CF587" s="178" t="str">
        <x:f>IF(COUNT(AK587:AR587)=0,"",AVERAGE(AK587:AR587)*4)</x:f>
      </x:c>
      <x:c r="CG587" s="178" t="str">
        <x:f>IF(COUNT(AS587:AY587)=0,"",AVERAGE(AS587:AY587)*4)</x:f>
      </x:c>
      <x:c r="CH587" s="178" t="str">
        <x:f>IF(COUNT(AZ587:BG587)=0,"",AVERAGE(AZ587:BG587)*4)</x:f>
      </x:c>
      <x:c r="CI587" s="178" t="str">
        <x:f>IF(COUNT(BH587:BN587)=0,"",AVERAGE(BH587:BN587)*4)</x:f>
      </x:c>
      <x:c r="CJ587" s="178" t="str">
        <x:f>IF(COUNT(BO587:BU587)=0,"",AVERAGE(BO587:BU587)*4)</x:f>
      </x:c>
      <x:c r="CK587" s="178" t="str">
        <x:f>IF(COUNT(BV587:CB587)=0,"",AVERAGE(BV587:CB587)*4)</x:f>
      </x:c>
      <x:c r="CL587" s="178" t="str">
        <x:f>IF(C587="","",IF(COUNT(G587:CB587)&lt;74,"",(CC587*'تنظیمات وزن‌دهی'!$C$5+CD587*'تنظیمات وزن‌دهی'!$C$6+CE587*'تنظیمات وزن‌دهی'!$C$7+CF587*'تنظیمات وزن‌دهی'!$C$8+CG587*'تنظیمات وزن‌دهی'!$C$9+CH587*'تنظیمات وزن‌دهی'!$C$10+CI587*'تنظیمات وزن‌دهی'!$C$11+CJ587*'تنظیمات وزن‌دهی'!$C$12+CK587*'تنظیمات وزن‌دهی'!$C$13)/100))</x:f>
      </x:c>
      <x:c r="CM587" s="178" t="str">
        <x:f>IF(C587="","",IF(COUNT(G587:CB587)=0,"",IF(COUNT(G587:CB587)&lt;74,"موقت - اطلاعات ناقص",IF(CL587&gt;=17,"عالی",IF(CL587&gt;=14,"خوب",IF(CL587&gt;=10,"متوسط","ضعیف"))))))</x:f>
      </x:c>
      <x:c r="CN587" s="178" t="n">
        <x:v>7</x:v>
      </x:c>
      <x:c r="CO587" s="142" t="n">
        <x:f>IF(C587="","",COUNT(G587:CB587)/74)</x:f>
        <x:v>0</x:v>
      </x:c>
      <x:c r="CP587" s="245"/>
    </x:row>
    <x:row r="588">
      <x:c r="A588" s="165" t="n">
        <x:v>584</x:v>
      </x:c>
      <x:c r="B588" s="233" t="str">
        <x:v>بهمن</x:v>
      </x:c>
      <x:c r="C588" s="233" t="n">
        <x:f>IF('دانش‌آموزان'!E53="","",'دانش‌آموزان'!B53)</x:f>
        <x:v>49</x:v>
      </x:c>
      <x:c r="D588" s="233" t="str">
        <x:f>IF('دانش‌آموزان'!C53="","",'دانش‌آموزان'!C53)</x:f>
        <x:v>4000000497</x:v>
      </x:c>
      <x:c r="E588" s="233" t="str">
        <x:f>IF('دانش‌آموزان'!E53="","",'دانش‌آموزان'!E53&amp;" "&amp;'دانش‌آموزان'!F53)</x:f>
        <x:v>سام امینی</x:v>
      </x:c>
      <x:c r="F588" s="166" t="str">
        <x:f>IF('دانش‌آموزان'!I53="","",'دانش‌آموزان'!I53)</x:f>
        <x:v>sample-7-b</x:v>
      </x:c>
      <x:c r="G588" s="114"/>
      <x:c r="H588" s="115"/>
      <x:c r="I588" s="115"/>
      <x:c r="J588" s="115"/>
      <x:c r="K588" s="115"/>
      <x:c r="L588" s="115"/>
      <x:c r="M588" s="115"/>
      <x:c r="N588" s="115"/>
      <x:c r="O588" s="115"/>
      <x:c r="P588" s="115"/>
      <x:c r="Q588" s="115"/>
      <x:c r="R588" s="115"/>
      <x:c r="S588" s="115"/>
      <x:c r="T588" s="115"/>
      <x:c r="U588" s="115"/>
      <x:c r="V588" s="115"/>
      <x:c r="W588" s="115"/>
      <x:c r="X588" s="115"/>
      <x:c r="Y588" s="115"/>
      <x:c r="Z588" s="115"/>
      <x:c r="AA588" s="115"/>
      <x:c r="AB588" s="115"/>
      <x:c r="AC588" s="115"/>
      <x:c r="AD588" s="115"/>
      <x:c r="AE588" s="115"/>
      <x:c r="AF588" s="115"/>
      <x:c r="AG588" s="115"/>
      <x:c r="AH588" s="115"/>
      <x:c r="AI588" s="115"/>
      <x:c r="AJ588" s="115"/>
      <x:c r="AK588" s="115"/>
      <x:c r="AL588" s="115"/>
      <x:c r="AM588" s="115"/>
      <x:c r="AN588" s="115"/>
      <x:c r="AO588" s="115"/>
      <x:c r="AP588" s="115"/>
      <x:c r="AQ588" s="115"/>
      <x:c r="AR588" s="115"/>
      <x:c r="AS588" s="115"/>
      <x:c r="AT588" s="115"/>
      <x:c r="AU588" s="115"/>
      <x:c r="AV588" s="115"/>
      <x:c r="AW588" s="115"/>
      <x:c r="AX588" s="115"/>
      <x:c r="AY588" s="115"/>
      <x:c r="AZ588" s="115"/>
      <x:c r="BA588" s="115"/>
      <x:c r="BB588" s="115"/>
      <x:c r="BC588" s="115"/>
      <x:c r="BD588" s="115"/>
      <x:c r="BE588" s="115"/>
      <x:c r="BF588" s="115"/>
      <x:c r="BG588" s="115"/>
      <x:c r="BH588" s="115"/>
      <x:c r="BI588" s="115"/>
      <x:c r="BJ588" s="115"/>
      <x:c r="BK588" s="115"/>
      <x:c r="BL588" s="115"/>
      <x:c r="BM588" s="115"/>
      <x:c r="BN588" s="115"/>
      <x:c r="BO588" s="115"/>
      <x:c r="BP588" s="115"/>
      <x:c r="BQ588" s="115"/>
      <x:c r="BR588" s="115"/>
      <x:c r="BS588" s="115"/>
      <x:c r="BT588" s="115"/>
      <x:c r="BU588" s="115"/>
      <x:c r="BV588" s="115"/>
      <x:c r="BW588" s="115"/>
      <x:c r="BX588" s="115"/>
      <x:c r="BY588" s="115"/>
      <x:c r="BZ588" s="115"/>
      <x:c r="CA588" s="115"/>
      <x:c r="CB588" s="116"/>
      <x:c r="CC588" s="141" t="str">
        <x:f>IF(COUNT(G588:P588)=0,"",AVERAGE(G588:P588)*4)</x:f>
      </x:c>
      <x:c r="CD588" s="178" t="str">
        <x:f>IF(COUNT(Q588:Z588)=0,"",AVERAGE(Q588:Z588)*4)</x:f>
      </x:c>
      <x:c r="CE588" s="178" t="str">
        <x:f>IF(COUNT(AA588:AJ588)=0,"",AVERAGE(AA588:AJ588)*4)</x:f>
      </x:c>
      <x:c r="CF588" s="178" t="str">
        <x:f>IF(COUNT(AK588:AR588)=0,"",AVERAGE(AK588:AR588)*4)</x:f>
      </x:c>
      <x:c r="CG588" s="178" t="str">
        <x:f>IF(COUNT(AS588:AY588)=0,"",AVERAGE(AS588:AY588)*4)</x:f>
      </x:c>
      <x:c r="CH588" s="178" t="str">
        <x:f>IF(COUNT(AZ588:BG588)=0,"",AVERAGE(AZ588:BG588)*4)</x:f>
      </x:c>
      <x:c r="CI588" s="178" t="str">
        <x:f>IF(COUNT(BH588:BN588)=0,"",AVERAGE(BH588:BN588)*4)</x:f>
      </x:c>
      <x:c r="CJ588" s="178" t="str">
        <x:f>IF(COUNT(BO588:BU588)=0,"",AVERAGE(BO588:BU588)*4)</x:f>
      </x:c>
      <x:c r="CK588" s="178" t="str">
        <x:f>IF(COUNT(BV588:CB588)=0,"",AVERAGE(BV588:CB588)*4)</x:f>
      </x:c>
      <x:c r="CL588" s="178" t="str">
        <x:f>IF(C588="","",IF(COUNT(G588:CB588)&lt;74,"",(CC588*'تنظیمات وزن‌دهی'!$C$5+CD588*'تنظیمات وزن‌دهی'!$C$6+CE588*'تنظیمات وزن‌دهی'!$C$7+CF588*'تنظیمات وزن‌دهی'!$C$8+CG588*'تنظیمات وزن‌دهی'!$C$9+CH588*'تنظیمات وزن‌دهی'!$C$10+CI588*'تنظیمات وزن‌دهی'!$C$11+CJ588*'تنظیمات وزن‌دهی'!$C$12+CK588*'تنظیمات وزن‌دهی'!$C$13)/100))</x:f>
      </x:c>
      <x:c r="CM588" s="178" t="str">
        <x:f>IF(C588="","",IF(COUNT(G588:CB588)=0,"",IF(COUNT(G588:CB588)&lt;74,"موقت - اطلاعات ناقص",IF(CL588&gt;=17,"عالی",IF(CL588&gt;=14,"خوب",IF(CL588&gt;=10,"متوسط","ضعیف"))))))</x:f>
      </x:c>
      <x:c r="CN588" s="178" t="n">
        <x:v>8</x:v>
      </x:c>
      <x:c r="CO588" s="142" t="n">
        <x:f>IF(C588="","",COUNT(G588:CB588)/74)</x:f>
        <x:v>0</x:v>
      </x:c>
      <x:c r="CP588" s="245"/>
    </x:row>
    <x:row r="589">
      <x:c r="A589" s="165" t="n">
        <x:v>585</x:v>
      </x:c>
      <x:c r="B589" s="233" t="str">
        <x:v>اسفند</x:v>
      </x:c>
      <x:c r="C589" s="233" t="n">
        <x:f>IF('دانش‌آموزان'!E53="","",'دانش‌آموزان'!B53)</x:f>
        <x:v>49</x:v>
      </x:c>
      <x:c r="D589" s="233" t="str">
        <x:f>IF('دانش‌آموزان'!C53="","",'دانش‌آموزان'!C53)</x:f>
        <x:v>4000000497</x:v>
      </x:c>
      <x:c r="E589" s="233" t="str">
        <x:f>IF('دانش‌آموزان'!E53="","",'دانش‌آموزان'!E53&amp;" "&amp;'دانش‌آموزان'!F53)</x:f>
        <x:v>سام امینی</x:v>
      </x:c>
      <x:c r="F589" s="166" t="str">
        <x:f>IF('دانش‌آموزان'!I53="","",'دانش‌آموزان'!I53)</x:f>
        <x:v>sample-7-b</x:v>
      </x:c>
      <x:c r="G589" s="114"/>
      <x:c r="H589" s="115"/>
      <x:c r="I589" s="115"/>
      <x:c r="J589" s="115"/>
      <x:c r="K589" s="115"/>
      <x:c r="L589" s="115"/>
      <x:c r="M589" s="115"/>
      <x:c r="N589" s="115"/>
      <x:c r="O589" s="115"/>
      <x:c r="P589" s="115"/>
      <x:c r="Q589" s="115"/>
      <x:c r="R589" s="115"/>
      <x:c r="S589" s="115"/>
      <x:c r="T589" s="115"/>
      <x:c r="U589" s="115"/>
      <x:c r="V589" s="115"/>
      <x:c r="W589" s="115"/>
      <x:c r="X589" s="115"/>
      <x:c r="Y589" s="115"/>
      <x:c r="Z589" s="115"/>
      <x:c r="AA589" s="115"/>
      <x:c r="AB589" s="115"/>
      <x:c r="AC589" s="115"/>
      <x:c r="AD589" s="115"/>
      <x:c r="AE589" s="115"/>
      <x:c r="AF589" s="115"/>
      <x:c r="AG589" s="115"/>
      <x:c r="AH589" s="115"/>
      <x:c r="AI589" s="115"/>
      <x:c r="AJ589" s="115"/>
      <x:c r="AK589" s="115"/>
      <x:c r="AL589" s="115"/>
      <x:c r="AM589" s="115"/>
      <x:c r="AN589" s="115"/>
      <x:c r="AO589" s="115"/>
      <x:c r="AP589" s="115"/>
      <x:c r="AQ589" s="115"/>
      <x:c r="AR589" s="115"/>
      <x:c r="AS589" s="115"/>
      <x:c r="AT589" s="115"/>
      <x:c r="AU589" s="115"/>
      <x:c r="AV589" s="115"/>
      <x:c r="AW589" s="115"/>
      <x:c r="AX589" s="115"/>
      <x:c r="AY589" s="115"/>
      <x:c r="AZ589" s="115"/>
      <x:c r="BA589" s="115"/>
      <x:c r="BB589" s="115"/>
      <x:c r="BC589" s="115"/>
      <x:c r="BD589" s="115"/>
      <x:c r="BE589" s="115"/>
      <x:c r="BF589" s="115"/>
      <x:c r="BG589" s="115"/>
      <x:c r="BH589" s="115"/>
      <x:c r="BI589" s="115"/>
      <x:c r="BJ589" s="115"/>
      <x:c r="BK589" s="115"/>
      <x:c r="BL589" s="115"/>
      <x:c r="BM589" s="115"/>
      <x:c r="BN589" s="115"/>
      <x:c r="BO589" s="115"/>
      <x:c r="BP589" s="115"/>
      <x:c r="BQ589" s="115"/>
      <x:c r="BR589" s="115"/>
      <x:c r="BS589" s="115"/>
      <x:c r="BT589" s="115"/>
      <x:c r="BU589" s="115"/>
      <x:c r="BV589" s="115"/>
      <x:c r="BW589" s="115"/>
      <x:c r="BX589" s="115"/>
      <x:c r="BY589" s="115"/>
      <x:c r="BZ589" s="115"/>
      <x:c r="CA589" s="115"/>
      <x:c r="CB589" s="116"/>
      <x:c r="CC589" s="141" t="str">
        <x:f>IF(COUNT(G589:P589)=0,"",AVERAGE(G589:P589)*4)</x:f>
      </x:c>
      <x:c r="CD589" s="178" t="str">
        <x:f>IF(COUNT(Q589:Z589)=0,"",AVERAGE(Q589:Z589)*4)</x:f>
      </x:c>
      <x:c r="CE589" s="178" t="str">
        <x:f>IF(COUNT(AA589:AJ589)=0,"",AVERAGE(AA589:AJ589)*4)</x:f>
      </x:c>
      <x:c r="CF589" s="178" t="str">
        <x:f>IF(COUNT(AK589:AR589)=0,"",AVERAGE(AK589:AR589)*4)</x:f>
      </x:c>
      <x:c r="CG589" s="178" t="str">
        <x:f>IF(COUNT(AS589:AY589)=0,"",AVERAGE(AS589:AY589)*4)</x:f>
      </x:c>
      <x:c r="CH589" s="178" t="str">
        <x:f>IF(COUNT(AZ589:BG589)=0,"",AVERAGE(AZ589:BG589)*4)</x:f>
      </x:c>
      <x:c r="CI589" s="178" t="str">
        <x:f>IF(COUNT(BH589:BN589)=0,"",AVERAGE(BH589:BN589)*4)</x:f>
      </x:c>
      <x:c r="CJ589" s="178" t="str">
        <x:f>IF(COUNT(BO589:BU589)=0,"",AVERAGE(BO589:BU589)*4)</x:f>
      </x:c>
      <x:c r="CK589" s="178" t="str">
        <x:f>IF(COUNT(BV589:CB589)=0,"",AVERAGE(BV589:CB589)*4)</x:f>
      </x:c>
      <x:c r="CL589" s="178" t="str">
        <x:f>IF(C589="","",IF(COUNT(G589:CB589)&lt;74,"",(CC589*'تنظیمات وزن‌دهی'!$C$5+CD589*'تنظیمات وزن‌دهی'!$C$6+CE589*'تنظیمات وزن‌دهی'!$C$7+CF589*'تنظیمات وزن‌دهی'!$C$8+CG589*'تنظیمات وزن‌دهی'!$C$9+CH589*'تنظیمات وزن‌دهی'!$C$10+CI589*'تنظیمات وزن‌دهی'!$C$11+CJ589*'تنظیمات وزن‌دهی'!$C$12+CK589*'تنظیمات وزن‌دهی'!$C$13)/100))</x:f>
      </x:c>
      <x:c r="CM589" s="178" t="str">
        <x:f>IF(C589="","",IF(COUNT(G589:CB589)=0,"",IF(COUNT(G589:CB589)&lt;74,"موقت - اطلاعات ناقص",IF(CL589&gt;=17,"عالی",IF(CL589&gt;=14,"خوب",IF(CL589&gt;=10,"متوسط","ضعیف"))))))</x:f>
      </x:c>
      <x:c r="CN589" s="178" t="n">
        <x:v>9</x:v>
      </x:c>
      <x:c r="CO589" s="142" t="n">
        <x:f>IF(C589="","",COUNT(G589:CB589)/74)</x:f>
        <x:v>0</x:v>
      </x:c>
      <x:c r="CP589" s="245"/>
    </x:row>
    <x:row r="590">
      <x:c r="A590" s="165" t="n">
        <x:v>586</x:v>
      </x:c>
      <x:c r="B590" s="233" t="str">
        <x:v>فروردین</x:v>
      </x:c>
      <x:c r="C590" s="233" t="n">
        <x:f>IF('دانش‌آموزان'!E53="","",'دانش‌آموزان'!B53)</x:f>
        <x:v>49</x:v>
      </x:c>
      <x:c r="D590" s="233" t="str">
        <x:f>IF('دانش‌آموزان'!C53="","",'دانش‌آموزان'!C53)</x:f>
        <x:v>4000000497</x:v>
      </x:c>
      <x:c r="E590" s="233" t="str">
        <x:f>IF('دانش‌آموزان'!E53="","",'دانش‌آموزان'!E53&amp;" "&amp;'دانش‌آموزان'!F53)</x:f>
        <x:v>سام امینی</x:v>
      </x:c>
      <x:c r="F590" s="166" t="str">
        <x:f>IF('دانش‌آموزان'!I53="","",'دانش‌آموزان'!I53)</x:f>
        <x:v>sample-7-b</x:v>
      </x:c>
      <x:c r="G590" s="114"/>
      <x:c r="H590" s="115"/>
      <x:c r="I590" s="115"/>
      <x:c r="J590" s="115"/>
      <x:c r="K590" s="115"/>
      <x:c r="L590" s="115"/>
      <x:c r="M590" s="115"/>
      <x:c r="N590" s="115"/>
      <x:c r="O590" s="115"/>
      <x:c r="P590" s="115"/>
      <x:c r="Q590" s="115"/>
      <x:c r="R590" s="115"/>
      <x:c r="S590" s="115"/>
      <x:c r="T590" s="115"/>
      <x:c r="U590" s="115"/>
      <x:c r="V590" s="115"/>
      <x:c r="W590" s="115"/>
      <x:c r="X590" s="115"/>
      <x:c r="Y590" s="115"/>
      <x:c r="Z590" s="115"/>
      <x:c r="AA590" s="115"/>
      <x:c r="AB590" s="115"/>
      <x:c r="AC590" s="115"/>
      <x:c r="AD590" s="115"/>
      <x:c r="AE590" s="115"/>
      <x:c r="AF590" s="115"/>
      <x:c r="AG590" s="115"/>
      <x:c r="AH590" s="115"/>
      <x:c r="AI590" s="115"/>
      <x:c r="AJ590" s="115"/>
      <x:c r="AK590" s="115"/>
      <x:c r="AL590" s="115"/>
      <x:c r="AM590" s="115"/>
      <x:c r="AN590" s="115"/>
      <x:c r="AO590" s="115"/>
      <x:c r="AP590" s="115"/>
      <x:c r="AQ590" s="115"/>
      <x:c r="AR590" s="115"/>
      <x:c r="AS590" s="115"/>
      <x:c r="AT590" s="115"/>
      <x:c r="AU590" s="115"/>
      <x:c r="AV590" s="115"/>
      <x:c r="AW590" s="115"/>
      <x:c r="AX590" s="115"/>
      <x:c r="AY590" s="115"/>
      <x:c r="AZ590" s="115"/>
      <x:c r="BA590" s="115"/>
      <x:c r="BB590" s="115"/>
      <x:c r="BC590" s="115"/>
      <x:c r="BD590" s="115"/>
      <x:c r="BE590" s="115"/>
      <x:c r="BF590" s="115"/>
      <x:c r="BG590" s="115"/>
      <x:c r="BH590" s="115"/>
      <x:c r="BI590" s="115"/>
      <x:c r="BJ590" s="115"/>
      <x:c r="BK590" s="115"/>
      <x:c r="BL590" s="115"/>
      <x:c r="BM590" s="115"/>
      <x:c r="BN590" s="115"/>
      <x:c r="BO590" s="115"/>
      <x:c r="BP590" s="115"/>
      <x:c r="BQ590" s="115"/>
      <x:c r="BR590" s="115"/>
      <x:c r="BS590" s="115"/>
      <x:c r="BT590" s="115"/>
      <x:c r="BU590" s="115"/>
      <x:c r="BV590" s="115"/>
      <x:c r="BW590" s="115"/>
      <x:c r="BX590" s="115"/>
      <x:c r="BY590" s="115"/>
      <x:c r="BZ590" s="115"/>
      <x:c r="CA590" s="115"/>
      <x:c r="CB590" s="116"/>
      <x:c r="CC590" s="141" t="str">
        <x:f>IF(COUNT(G590:P590)=0,"",AVERAGE(G590:P590)*4)</x:f>
      </x:c>
      <x:c r="CD590" s="178" t="str">
        <x:f>IF(COUNT(Q590:Z590)=0,"",AVERAGE(Q590:Z590)*4)</x:f>
      </x:c>
      <x:c r="CE590" s="178" t="str">
        <x:f>IF(COUNT(AA590:AJ590)=0,"",AVERAGE(AA590:AJ590)*4)</x:f>
      </x:c>
      <x:c r="CF590" s="178" t="str">
        <x:f>IF(COUNT(AK590:AR590)=0,"",AVERAGE(AK590:AR590)*4)</x:f>
      </x:c>
      <x:c r="CG590" s="178" t="str">
        <x:f>IF(COUNT(AS590:AY590)=0,"",AVERAGE(AS590:AY590)*4)</x:f>
      </x:c>
      <x:c r="CH590" s="178" t="str">
        <x:f>IF(COUNT(AZ590:BG590)=0,"",AVERAGE(AZ590:BG590)*4)</x:f>
      </x:c>
      <x:c r="CI590" s="178" t="str">
        <x:f>IF(COUNT(BH590:BN590)=0,"",AVERAGE(BH590:BN590)*4)</x:f>
      </x:c>
      <x:c r="CJ590" s="178" t="str">
        <x:f>IF(COUNT(BO590:BU590)=0,"",AVERAGE(BO590:BU590)*4)</x:f>
      </x:c>
      <x:c r="CK590" s="178" t="str">
        <x:f>IF(COUNT(BV590:CB590)=0,"",AVERAGE(BV590:CB590)*4)</x:f>
      </x:c>
      <x:c r="CL590" s="178" t="str">
        <x:f>IF(C590="","",IF(COUNT(G590:CB590)&lt;74,"",(CC590*'تنظیمات وزن‌دهی'!$C$5+CD590*'تنظیمات وزن‌دهی'!$C$6+CE590*'تنظیمات وزن‌دهی'!$C$7+CF590*'تنظیمات وزن‌دهی'!$C$8+CG590*'تنظیمات وزن‌دهی'!$C$9+CH590*'تنظیمات وزن‌دهی'!$C$10+CI590*'تنظیمات وزن‌دهی'!$C$11+CJ590*'تنظیمات وزن‌دهی'!$C$12+CK590*'تنظیمات وزن‌دهی'!$C$13)/100))</x:f>
      </x:c>
      <x:c r="CM590" s="178" t="str">
        <x:f>IF(C590="","",IF(COUNT(G590:CB590)=0,"",IF(COUNT(G590:CB590)&lt;74,"موقت - اطلاعات ناقص",IF(CL590&gt;=17,"عالی",IF(CL590&gt;=14,"خوب",IF(CL590&gt;=10,"متوسط","ضعیف"))))))</x:f>
      </x:c>
      <x:c r="CN590" s="178" t="n">
        <x:v>10</x:v>
      </x:c>
      <x:c r="CO590" s="142" t="n">
        <x:f>IF(C590="","",COUNT(G590:CB590)/74)</x:f>
        <x:v>0</x:v>
      </x:c>
      <x:c r="CP590" s="245"/>
    </x:row>
    <x:row r="591">
      <x:c r="A591" s="165" t="n">
        <x:v>587</x:v>
      </x:c>
      <x:c r="B591" s="233" t="str">
        <x:v>اردیبهشت</x:v>
      </x:c>
      <x:c r="C591" s="233" t="n">
        <x:f>IF('دانش‌آموزان'!E53="","",'دانش‌آموزان'!B53)</x:f>
        <x:v>49</x:v>
      </x:c>
      <x:c r="D591" s="233" t="str">
        <x:f>IF('دانش‌آموزان'!C53="","",'دانش‌آموزان'!C53)</x:f>
        <x:v>4000000497</x:v>
      </x:c>
      <x:c r="E591" s="233" t="str">
        <x:f>IF('دانش‌آموزان'!E53="","",'دانش‌آموزان'!E53&amp;" "&amp;'دانش‌آموزان'!F53)</x:f>
        <x:v>سام امینی</x:v>
      </x:c>
      <x:c r="F591" s="166" t="str">
        <x:f>IF('دانش‌آموزان'!I53="","",'دانش‌آموزان'!I53)</x:f>
        <x:v>sample-7-b</x:v>
      </x:c>
      <x:c r="G591" s="114"/>
      <x:c r="H591" s="115"/>
      <x:c r="I591" s="115"/>
      <x:c r="J591" s="115"/>
      <x:c r="K591" s="115"/>
      <x:c r="L591" s="115"/>
      <x:c r="M591" s="115"/>
      <x:c r="N591" s="115"/>
      <x:c r="O591" s="115"/>
      <x:c r="P591" s="115"/>
      <x:c r="Q591" s="115"/>
      <x:c r="R591" s="115"/>
      <x:c r="S591" s="115"/>
      <x:c r="T591" s="115"/>
      <x:c r="U591" s="115"/>
      <x:c r="V591" s="115"/>
      <x:c r="W591" s="115"/>
      <x:c r="X591" s="115"/>
      <x:c r="Y591" s="115"/>
      <x:c r="Z591" s="115"/>
      <x:c r="AA591" s="115"/>
      <x:c r="AB591" s="115"/>
      <x:c r="AC591" s="115"/>
      <x:c r="AD591" s="115"/>
      <x:c r="AE591" s="115"/>
      <x:c r="AF591" s="115"/>
      <x:c r="AG591" s="115"/>
      <x:c r="AH591" s="115"/>
      <x:c r="AI591" s="115"/>
      <x:c r="AJ591" s="115"/>
      <x:c r="AK591" s="115"/>
      <x:c r="AL591" s="115"/>
      <x:c r="AM591" s="115"/>
      <x:c r="AN591" s="115"/>
      <x:c r="AO591" s="115"/>
      <x:c r="AP591" s="115"/>
      <x:c r="AQ591" s="115"/>
      <x:c r="AR591" s="115"/>
      <x:c r="AS591" s="115"/>
      <x:c r="AT591" s="115"/>
      <x:c r="AU591" s="115"/>
      <x:c r="AV591" s="115"/>
      <x:c r="AW591" s="115"/>
      <x:c r="AX591" s="115"/>
      <x:c r="AY591" s="115"/>
      <x:c r="AZ591" s="115"/>
      <x:c r="BA591" s="115"/>
      <x:c r="BB591" s="115"/>
      <x:c r="BC591" s="115"/>
      <x:c r="BD591" s="115"/>
      <x:c r="BE591" s="115"/>
      <x:c r="BF591" s="115"/>
      <x:c r="BG591" s="115"/>
      <x:c r="BH591" s="115"/>
      <x:c r="BI591" s="115"/>
      <x:c r="BJ591" s="115"/>
      <x:c r="BK591" s="115"/>
      <x:c r="BL591" s="115"/>
      <x:c r="BM591" s="115"/>
      <x:c r="BN591" s="115"/>
      <x:c r="BO591" s="115"/>
      <x:c r="BP591" s="115"/>
      <x:c r="BQ591" s="115"/>
      <x:c r="BR591" s="115"/>
      <x:c r="BS591" s="115"/>
      <x:c r="BT591" s="115"/>
      <x:c r="BU591" s="115"/>
      <x:c r="BV591" s="115"/>
      <x:c r="BW591" s="115"/>
      <x:c r="BX591" s="115"/>
      <x:c r="BY591" s="115"/>
      <x:c r="BZ591" s="115"/>
      <x:c r="CA591" s="115"/>
      <x:c r="CB591" s="116"/>
      <x:c r="CC591" s="141" t="str">
        <x:f>IF(COUNT(G591:P591)=0,"",AVERAGE(G591:P591)*4)</x:f>
      </x:c>
      <x:c r="CD591" s="178" t="str">
        <x:f>IF(COUNT(Q591:Z591)=0,"",AVERAGE(Q591:Z591)*4)</x:f>
      </x:c>
      <x:c r="CE591" s="178" t="str">
        <x:f>IF(COUNT(AA591:AJ591)=0,"",AVERAGE(AA591:AJ591)*4)</x:f>
      </x:c>
      <x:c r="CF591" s="178" t="str">
        <x:f>IF(COUNT(AK591:AR591)=0,"",AVERAGE(AK591:AR591)*4)</x:f>
      </x:c>
      <x:c r="CG591" s="178" t="str">
        <x:f>IF(COUNT(AS591:AY591)=0,"",AVERAGE(AS591:AY591)*4)</x:f>
      </x:c>
      <x:c r="CH591" s="178" t="str">
        <x:f>IF(COUNT(AZ591:BG591)=0,"",AVERAGE(AZ591:BG591)*4)</x:f>
      </x:c>
      <x:c r="CI591" s="178" t="str">
        <x:f>IF(COUNT(BH591:BN591)=0,"",AVERAGE(BH591:BN591)*4)</x:f>
      </x:c>
      <x:c r="CJ591" s="178" t="str">
        <x:f>IF(COUNT(BO591:BU591)=0,"",AVERAGE(BO591:BU591)*4)</x:f>
      </x:c>
      <x:c r="CK591" s="178" t="str">
        <x:f>IF(COUNT(BV591:CB591)=0,"",AVERAGE(BV591:CB591)*4)</x:f>
      </x:c>
      <x:c r="CL591" s="178" t="str">
        <x:f>IF(C591="","",IF(COUNT(G591:CB591)&lt;74,"",(CC591*'تنظیمات وزن‌دهی'!$C$5+CD591*'تنظیمات وزن‌دهی'!$C$6+CE591*'تنظیمات وزن‌دهی'!$C$7+CF591*'تنظیمات وزن‌دهی'!$C$8+CG591*'تنظیمات وزن‌دهی'!$C$9+CH591*'تنظیمات وزن‌دهی'!$C$10+CI591*'تنظیمات وزن‌دهی'!$C$11+CJ591*'تنظیمات وزن‌دهی'!$C$12+CK591*'تنظیمات وزن‌دهی'!$C$13)/100))</x:f>
      </x:c>
      <x:c r="CM591" s="178" t="str">
        <x:f>IF(C591="","",IF(COUNT(G591:CB591)=0,"",IF(COUNT(G591:CB591)&lt;74,"موقت - اطلاعات ناقص",IF(CL591&gt;=17,"عالی",IF(CL591&gt;=14,"خوب",IF(CL591&gt;=10,"متوسط","ضعیف"))))))</x:f>
      </x:c>
      <x:c r="CN591" s="178" t="n">
        <x:v>11</x:v>
      </x:c>
      <x:c r="CO591" s="142" t="n">
        <x:f>IF(C591="","",COUNT(G591:CB591)/74)</x:f>
        <x:v>0</x:v>
      </x:c>
      <x:c r="CP591" s="245"/>
    </x:row>
    <x:row r="592">
      <x:c r="A592" s="165" t="n">
        <x:v>588</x:v>
      </x:c>
      <x:c r="B592" s="233" t="str">
        <x:v>خرداد</x:v>
      </x:c>
      <x:c r="C592" s="233" t="n">
        <x:f>IF('دانش‌آموزان'!E53="","",'دانش‌آموزان'!B53)</x:f>
        <x:v>49</x:v>
      </x:c>
      <x:c r="D592" s="233" t="str">
        <x:f>IF('دانش‌آموزان'!C53="","",'دانش‌آموزان'!C53)</x:f>
        <x:v>4000000497</x:v>
      </x:c>
      <x:c r="E592" s="233" t="str">
        <x:f>IF('دانش‌آموزان'!E53="","",'دانش‌آموزان'!E53&amp;" "&amp;'دانش‌آموزان'!F53)</x:f>
        <x:v>سام امینی</x:v>
      </x:c>
      <x:c r="F592" s="166" t="str">
        <x:f>IF('دانش‌آموزان'!I53="","",'دانش‌آموزان'!I53)</x:f>
        <x:v>sample-7-b</x:v>
      </x:c>
      <x:c r="G592" s="114"/>
      <x:c r="H592" s="115"/>
      <x:c r="I592" s="115"/>
      <x:c r="J592" s="115"/>
      <x:c r="K592" s="115"/>
      <x:c r="L592" s="115"/>
      <x:c r="M592" s="115"/>
      <x:c r="N592" s="115"/>
      <x:c r="O592" s="115"/>
      <x:c r="P592" s="115"/>
      <x:c r="Q592" s="115"/>
      <x:c r="R592" s="115"/>
      <x:c r="S592" s="115"/>
      <x:c r="T592" s="115"/>
      <x:c r="U592" s="115"/>
      <x:c r="V592" s="115"/>
      <x:c r="W592" s="115"/>
      <x:c r="X592" s="115"/>
      <x:c r="Y592" s="115"/>
      <x:c r="Z592" s="115"/>
      <x:c r="AA592" s="115"/>
      <x:c r="AB592" s="115"/>
      <x:c r="AC592" s="115"/>
      <x:c r="AD592" s="115"/>
      <x:c r="AE592" s="115"/>
      <x:c r="AF592" s="115"/>
      <x:c r="AG592" s="115"/>
      <x:c r="AH592" s="115"/>
      <x:c r="AI592" s="115"/>
      <x:c r="AJ592" s="115"/>
      <x:c r="AK592" s="115"/>
      <x:c r="AL592" s="115"/>
      <x:c r="AM592" s="115"/>
      <x:c r="AN592" s="115"/>
      <x:c r="AO592" s="115"/>
      <x:c r="AP592" s="115"/>
      <x:c r="AQ592" s="115"/>
      <x:c r="AR592" s="115"/>
      <x:c r="AS592" s="115"/>
      <x:c r="AT592" s="115"/>
      <x:c r="AU592" s="115"/>
      <x:c r="AV592" s="115"/>
      <x:c r="AW592" s="115"/>
      <x:c r="AX592" s="115"/>
      <x:c r="AY592" s="115"/>
      <x:c r="AZ592" s="115"/>
      <x:c r="BA592" s="115"/>
      <x:c r="BB592" s="115"/>
      <x:c r="BC592" s="115"/>
      <x:c r="BD592" s="115"/>
      <x:c r="BE592" s="115"/>
      <x:c r="BF592" s="115"/>
      <x:c r="BG592" s="115"/>
      <x:c r="BH592" s="115"/>
      <x:c r="BI592" s="115"/>
      <x:c r="BJ592" s="115"/>
      <x:c r="BK592" s="115"/>
      <x:c r="BL592" s="115"/>
      <x:c r="BM592" s="115"/>
      <x:c r="BN592" s="115"/>
      <x:c r="BO592" s="115"/>
      <x:c r="BP592" s="115"/>
      <x:c r="BQ592" s="115"/>
      <x:c r="BR592" s="115"/>
      <x:c r="BS592" s="115"/>
      <x:c r="BT592" s="115"/>
      <x:c r="BU592" s="115"/>
      <x:c r="BV592" s="115"/>
      <x:c r="BW592" s="115"/>
      <x:c r="BX592" s="115"/>
      <x:c r="BY592" s="115"/>
      <x:c r="BZ592" s="115"/>
      <x:c r="CA592" s="115"/>
      <x:c r="CB592" s="116"/>
      <x:c r="CC592" s="141" t="str">
        <x:f>IF(COUNT(G592:P592)=0,"",AVERAGE(G592:P592)*4)</x:f>
      </x:c>
      <x:c r="CD592" s="178" t="str">
        <x:f>IF(COUNT(Q592:Z592)=0,"",AVERAGE(Q592:Z592)*4)</x:f>
      </x:c>
      <x:c r="CE592" s="178" t="str">
        <x:f>IF(COUNT(AA592:AJ592)=0,"",AVERAGE(AA592:AJ592)*4)</x:f>
      </x:c>
      <x:c r="CF592" s="178" t="str">
        <x:f>IF(COUNT(AK592:AR592)=0,"",AVERAGE(AK592:AR592)*4)</x:f>
      </x:c>
      <x:c r="CG592" s="178" t="str">
        <x:f>IF(COUNT(AS592:AY592)=0,"",AVERAGE(AS592:AY592)*4)</x:f>
      </x:c>
      <x:c r="CH592" s="178" t="str">
        <x:f>IF(COUNT(AZ592:BG592)=0,"",AVERAGE(AZ592:BG592)*4)</x:f>
      </x:c>
      <x:c r="CI592" s="178" t="str">
        <x:f>IF(COUNT(BH592:BN592)=0,"",AVERAGE(BH592:BN592)*4)</x:f>
      </x:c>
      <x:c r="CJ592" s="178" t="str">
        <x:f>IF(COUNT(BO592:BU592)=0,"",AVERAGE(BO592:BU592)*4)</x:f>
      </x:c>
      <x:c r="CK592" s="178" t="str">
        <x:f>IF(COUNT(BV592:CB592)=0,"",AVERAGE(BV592:CB592)*4)</x:f>
      </x:c>
      <x:c r="CL592" s="178" t="str">
        <x:f>IF(C592="","",IF(COUNT(G592:CB592)&lt;74,"",(CC592*'تنظیمات وزن‌دهی'!$C$5+CD592*'تنظیمات وزن‌دهی'!$C$6+CE592*'تنظیمات وزن‌دهی'!$C$7+CF592*'تنظیمات وزن‌دهی'!$C$8+CG592*'تنظیمات وزن‌دهی'!$C$9+CH592*'تنظیمات وزن‌دهی'!$C$10+CI592*'تنظیمات وزن‌دهی'!$C$11+CJ592*'تنظیمات وزن‌دهی'!$C$12+CK592*'تنظیمات وزن‌دهی'!$C$13)/100))</x:f>
      </x:c>
      <x:c r="CM592" s="178" t="str">
        <x:f>IF(C592="","",IF(COUNT(G592:CB592)=0,"",IF(COUNT(G592:CB592)&lt;74,"موقت - اطلاعات ناقص",IF(CL592&gt;=17,"عالی",IF(CL592&gt;=14,"خوب",IF(CL592&gt;=10,"متوسط","ضعیف"))))))</x:f>
      </x:c>
      <x:c r="CN592" s="178" t="n">
        <x:v>12</x:v>
      </x:c>
      <x:c r="CO592" s="142" t="n">
        <x:f>IF(C592="","",COUNT(G592:CB592)/74)</x:f>
        <x:v>0</x:v>
      </x:c>
      <x:c r="CP592" s="245"/>
    </x:row>
    <x:row r="593">
      <x:c r="A593" s="165" t="n">
        <x:v>589</x:v>
      </x:c>
      <x:c r="B593" s="233" t="str">
        <x:v>تیر</x:v>
      </x:c>
      <x:c r="C593" s="233" t="n">
        <x:f>IF('دانش‌آموزان'!E54="","",'دانش‌آموزان'!B54)</x:f>
        <x:v>50</x:v>
      </x:c>
      <x:c r="D593" s="233" t="str">
        <x:f>IF('دانش‌آموزان'!C54="","",'دانش‌آموزان'!C54)</x:f>
        <x:v>4000000500</x:v>
      </x:c>
      <x:c r="E593" s="233" t="str">
        <x:f>IF('دانش‌آموزان'!E54="","",'دانش‌آموزان'!E54&amp;" "&amp;'دانش‌آموزان'!F54)</x:f>
        <x:v>هلیا کریمی</x:v>
      </x:c>
      <x:c r="F593" s="166" t="str">
        <x:f>IF('دانش‌آموزان'!I54="","",'دانش‌آموزان'!I54)</x:f>
        <x:v>sample-7-b</x:v>
      </x:c>
      <x:c r="G593" s="114" t="n">
        <x:v>4</x:v>
      </x:c>
      <x:c r="H593" s="115" t="n">
        <x:v>5</x:v>
      </x:c>
      <x:c r="I593" s="115" t="n">
        <x:v>3</x:v>
      </x:c>
      <x:c r="J593" s="115" t="n">
        <x:v>5</x:v>
      </x:c>
      <x:c r="K593" s="115" t="n">
        <x:v>3</x:v>
      </x:c>
      <x:c r="L593" s="115" t="n">
        <x:v>4</x:v>
      </x:c>
      <x:c r="M593" s="115" t="n">
        <x:v>3</x:v>
      </x:c>
      <x:c r="N593" s="115" t="n">
        <x:v>4</x:v>
      </x:c>
      <x:c r="O593" s="115" t="n">
        <x:v>2</x:v>
      </x:c>
      <x:c r="P593" s="115" t="n">
        <x:v>4</x:v>
      </x:c>
      <x:c r="Q593" s="115" t="n">
        <x:v>5</x:v>
      </x:c>
      <x:c r="R593" s="115" t="n">
        <x:v>4</x:v>
      </x:c>
      <x:c r="S593" s="115" t="n">
        <x:v>5</x:v>
      </x:c>
      <x:c r="T593" s="115" t="n">
        <x:v>3</x:v>
      </x:c>
      <x:c r="U593" s="115" t="n">
        <x:v>5</x:v>
      </x:c>
      <x:c r="V593" s="115" t="n">
        <x:v>3</x:v>
      </x:c>
      <x:c r="W593" s="115" t="n">
        <x:v>4</x:v>
      </x:c>
      <x:c r="X593" s="115" t="n">
        <x:v>3</x:v>
      </x:c>
      <x:c r="Y593" s="115" t="n">
        <x:v>4</x:v>
      </x:c>
      <x:c r="Z593" s="115" t="n">
        <x:v>2</x:v>
      </x:c>
      <x:c r="AA593" s="115" t="n">
        <x:v>4</x:v>
      </x:c>
      <x:c r="AB593" s="115" t="n">
        <x:v>5</x:v>
      </x:c>
      <x:c r="AC593" s="115" t="n">
        <x:v>4</x:v>
      </x:c>
      <x:c r="AD593" s="115" t="n">
        <x:v>5</x:v>
      </x:c>
      <x:c r="AE593" s="115" t="n">
        <x:v>3</x:v>
      </x:c>
      <x:c r="AF593" s="115" t="n">
        <x:v>5</x:v>
      </x:c>
      <x:c r="AG593" s="115" t="n">
        <x:v>3</x:v>
      </x:c>
      <x:c r="AH593" s="115" t="n">
        <x:v>4</x:v>
      </x:c>
      <x:c r="AI593" s="115" t="n">
        <x:v>3</x:v>
      </x:c>
      <x:c r="AJ593" s="115" t="n">
        <x:v>4</x:v>
      </x:c>
      <x:c r="AK593" s="115" t="n">
        <x:v>2</x:v>
      </x:c>
      <x:c r="AL593" s="115" t="n">
        <x:v>4</x:v>
      </x:c>
      <x:c r="AM593" s="115" t="n">
        <x:v>5</x:v>
      </x:c>
      <x:c r="AN593" s="115" t="n">
        <x:v>4</x:v>
      </x:c>
      <x:c r="AO593" s="115" t="n">
        <x:v>5</x:v>
      </x:c>
      <x:c r="AP593" s="115" t="n">
        <x:v>3</x:v>
      </x:c>
      <x:c r="AQ593" s="115" t="n">
        <x:v>5</x:v>
      </x:c>
      <x:c r="AR593" s="115" t="n">
        <x:v>3</x:v>
      </x:c>
      <x:c r="AS593" s="115" t="n">
        <x:v>4</x:v>
      </x:c>
      <x:c r="AT593" s="115" t="n">
        <x:v>3</x:v>
      </x:c>
      <x:c r="AU593" s="115" t="n">
        <x:v>4</x:v>
      </x:c>
      <x:c r="AV593" s="115" t="n">
        <x:v>2</x:v>
      </x:c>
      <x:c r="AW593" s="115" t="n">
        <x:v>4</x:v>
      </x:c>
      <x:c r="AX593" s="115" t="n">
        <x:v>5</x:v>
      </x:c>
      <x:c r="AY593" s="115" t="n">
        <x:v>4</x:v>
      </x:c>
      <x:c r="AZ593" s="115" t="n">
        <x:v>5</x:v>
      </x:c>
      <x:c r="BA593" s="115" t="n">
        <x:v>3</x:v>
      </x:c>
      <x:c r="BB593" s="115" t="n">
        <x:v>5</x:v>
      </x:c>
      <x:c r="BC593" s="115" t="n">
        <x:v>3</x:v>
      </x:c>
      <x:c r="BD593" s="115" t="n">
        <x:v>4</x:v>
      </x:c>
      <x:c r="BE593" s="115" t="n">
        <x:v>3</x:v>
      </x:c>
      <x:c r="BF593" s="115" t="n">
        <x:v>4</x:v>
      </x:c>
      <x:c r="BG593" s="115" t="n">
        <x:v>2</x:v>
      </x:c>
      <x:c r="BH593" s="115" t="n">
        <x:v>4</x:v>
      </x:c>
      <x:c r="BI593" s="115" t="n">
        <x:v>5</x:v>
      </x:c>
      <x:c r="BJ593" s="115" t="n">
        <x:v>4</x:v>
      </x:c>
      <x:c r="BK593" s="115" t="n">
        <x:v>5</x:v>
      </x:c>
      <x:c r="BL593" s="115" t="n">
        <x:v>3</x:v>
      </x:c>
      <x:c r="BM593" s="115" t="n">
        <x:v>5</x:v>
      </x:c>
      <x:c r="BN593" s="115" t="n">
        <x:v>3</x:v>
      </x:c>
      <x:c r="BO593" s="115" t="n">
        <x:v>4</x:v>
      </x:c>
      <x:c r="BP593" s="115" t="n">
        <x:v>3</x:v>
      </x:c>
      <x:c r="BQ593" s="115" t="n">
        <x:v>4</x:v>
      </x:c>
      <x:c r="BR593" s="115" t="n">
        <x:v>2</x:v>
      </x:c>
      <x:c r="BS593" s="115" t="n">
        <x:v>4</x:v>
      </x:c>
      <x:c r="BT593" s="115" t="n">
        <x:v>5</x:v>
      </x:c>
      <x:c r="BU593" s="115" t="n">
        <x:v>4</x:v>
      </x:c>
      <x:c r="BV593" s="115" t="n">
        <x:v>5</x:v>
      </x:c>
      <x:c r="BW593" s="115" t="n">
        <x:v>3</x:v>
      </x:c>
      <x:c r="BX593" s="115" t="n">
        <x:v>5</x:v>
      </x:c>
      <x:c r="BY593" s="115" t="n">
        <x:v>3</x:v>
      </x:c>
      <x:c r="BZ593" s="115" t="n">
        <x:v>4</x:v>
      </x:c>
      <x:c r="CA593" s="115" t="n">
        <x:v>3</x:v>
      </x:c>
      <x:c r="CB593" s="116" t="n">
        <x:v>4</x:v>
      </x:c>
      <x:c r="CC593" s="141" t="n">
        <x:f>IF(COUNT(G593:P593)=0,"",AVERAGE(G593:P593)*4)</x:f>
        <x:v>14.8</x:v>
      </x:c>
      <x:c r="CD593" s="178" t="n">
        <x:f>IF(COUNT(Q593:Z593)=0,"",AVERAGE(Q593:Z593)*4)</x:f>
        <x:v>15.2</x:v>
      </x:c>
      <x:c r="CE593" s="178" t="n">
        <x:f>IF(COUNT(AA593:AJ593)=0,"",AVERAGE(AA593:AJ593)*4)</x:f>
        <x:v>16</x:v>
      </x:c>
      <x:c r="CF593" s="178" t="n">
        <x:f>IF(COUNT(AK593:AR593)=0,"",AVERAGE(AK593:AR593)*4)</x:f>
        <x:v>15.5</x:v>
      </x:c>
      <x:c r="CG593" s="178" t="n">
        <x:f>IF(COUNT(AS593:AY593)=0,"",AVERAGE(AS593:AY593)*4)</x:f>
        <x:v>14.857142857142858</x:v>
      </x:c>
      <x:c r="CH593" s="178" t="n">
        <x:f>IF(COUNT(AZ593:BG593)=0,"",AVERAGE(AZ593:BG593)*4)</x:f>
        <x:v>14.5</x:v>
      </x:c>
      <x:c r="CI593" s="178" t="n">
        <x:f>IF(COUNT(BH593:BN593)=0,"",AVERAGE(BH593:BN593)*4)</x:f>
        <x:v>16.571428571428573</x:v>
      </x:c>
      <x:c r="CJ593" s="178" t="n">
        <x:f>IF(COUNT(BO593:BU593)=0,"",AVERAGE(BO593:BU593)*4)</x:f>
        <x:v>14.857142857142858</x:v>
      </x:c>
      <x:c r="CK593" s="178" t="n">
        <x:f>IF(COUNT(BV593:CB593)=0,"",AVERAGE(BV593:CB593)*4)</x:f>
        <x:v>15.428571428571429</x:v>
      </x:c>
      <x:c r="CL593" s="178" t="n">
        <x:f>IF(C593="","",IF(COUNT(G593:CB593)&lt;74,"",(CC593*'تنظیمات وزن‌دهی'!$C$5+CD593*'تنظیمات وزن‌دهی'!$C$6+CE593*'تنظیمات وزن‌دهی'!$C$7+CF593*'تنظیمات وزن‌دهی'!$C$8+CG593*'تنظیمات وزن‌دهی'!$C$9+CH593*'تنظیمات وزن‌دهی'!$C$10+CI593*'تنظیمات وزن‌دهی'!$C$11+CJ593*'تنظیمات وزن‌دهی'!$C$12+CK593*'تنظیمات وزن‌دهی'!$C$13)/100))</x:f>
        <x:v>15.29642857142857</x:v>
      </x:c>
      <x:c r="CM593" s="178" t="str">
        <x:f>IF(C593="","",IF(COUNT(G593:CB593)=0,"",IF(COUNT(G593:CB593)&lt;74,"موقت - اطلاعات ناقص",IF(CL593&gt;=17,"عالی",IF(CL593&gt;=14,"خوب",IF(CL593&gt;=10,"متوسط","ضعیف"))))))</x:f>
        <x:v>خوب</x:v>
      </x:c>
      <x:c r="CN593" s="178" t="n">
        <x:v>1</x:v>
      </x:c>
      <x:c r="CO593" s="142" t="n">
        <x:f>IF(C593="","",COUNT(G593:CB593)/74)</x:f>
        <x:v>1</x:v>
      </x:c>
      <x:c r="CP593" s="245" t="str">
        <x:v>داده نمونه کامل برای ماه تیر - دانش‌آموز شماره 50</x:v>
      </x:c>
    </x:row>
    <x:row r="594">
      <x:c r="A594" s="165" t="n">
        <x:v>590</x:v>
      </x:c>
      <x:c r="B594" s="233" t="str">
        <x:v>مرداد</x:v>
      </x:c>
      <x:c r="C594" s="233" t="n">
        <x:f>IF('دانش‌آموزان'!E54="","",'دانش‌آموزان'!B54)</x:f>
        <x:v>50</x:v>
      </x:c>
      <x:c r="D594" s="233" t="str">
        <x:f>IF('دانش‌آموزان'!C54="","",'دانش‌آموزان'!C54)</x:f>
        <x:v>4000000500</x:v>
      </x:c>
      <x:c r="E594" s="233" t="str">
        <x:f>IF('دانش‌آموزان'!E54="","",'دانش‌آموزان'!E54&amp;" "&amp;'دانش‌آموزان'!F54)</x:f>
        <x:v>هلیا کریمی</x:v>
      </x:c>
      <x:c r="F594" s="166" t="str">
        <x:f>IF('دانش‌آموزان'!I54="","",'دانش‌آموزان'!I54)</x:f>
        <x:v>sample-7-b</x:v>
      </x:c>
      <x:c r="G594" s="114"/>
      <x:c r="H594" s="115"/>
      <x:c r="I594" s="115"/>
      <x:c r="J594" s="115"/>
      <x:c r="K594" s="115"/>
      <x:c r="L594" s="115"/>
      <x:c r="M594" s="115"/>
      <x:c r="N594" s="115"/>
      <x:c r="O594" s="115"/>
      <x:c r="P594" s="115"/>
      <x:c r="Q594" s="115"/>
      <x:c r="R594" s="115"/>
      <x:c r="S594" s="115"/>
      <x:c r="T594" s="115"/>
      <x:c r="U594" s="115"/>
      <x:c r="V594" s="115"/>
      <x:c r="W594" s="115"/>
      <x:c r="X594" s="115"/>
      <x:c r="Y594" s="115"/>
      <x:c r="Z594" s="115"/>
      <x:c r="AA594" s="115"/>
      <x:c r="AB594" s="115"/>
      <x:c r="AC594" s="115"/>
      <x:c r="AD594" s="115"/>
      <x:c r="AE594" s="115"/>
      <x:c r="AF594" s="115"/>
      <x:c r="AG594" s="115"/>
      <x:c r="AH594" s="115"/>
      <x:c r="AI594" s="115"/>
      <x:c r="AJ594" s="115"/>
      <x:c r="AK594" s="115"/>
      <x:c r="AL594" s="115"/>
      <x:c r="AM594" s="115"/>
      <x:c r="AN594" s="115"/>
      <x:c r="AO594" s="115"/>
      <x:c r="AP594" s="115"/>
      <x:c r="AQ594" s="115"/>
      <x:c r="AR594" s="115"/>
      <x:c r="AS594" s="115"/>
      <x:c r="AT594" s="115"/>
      <x:c r="AU594" s="115"/>
      <x:c r="AV594" s="115"/>
      <x:c r="AW594" s="115"/>
      <x:c r="AX594" s="115"/>
      <x:c r="AY594" s="115"/>
      <x:c r="AZ594" s="115"/>
      <x:c r="BA594" s="115"/>
      <x:c r="BB594" s="115"/>
      <x:c r="BC594" s="115"/>
      <x:c r="BD594" s="115"/>
      <x:c r="BE594" s="115"/>
      <x:c r="BF594" s="115"/>
      <x:c r="BG594" s="115"/>
      <x:c r="BH594" s="115"/>
      <x:c r="BI594" s="115"/>
      <x:c r="BJ594" s="115"/>
      <x:c r="BK594" s="115"/>
      <x:c r="BL594" s="115"/>
      <x:c r="BM594" s="115"/>
      <x:c r="BN594" s="115"/>
      <x:c r="BO594" s="115"/>
      <x:c r="BP594" s="115"/>
      <x:c r="BQ594" s="115"/>
      <x:c r="BR594" s="115"/>
      <x:c r="BS594" s="115"/>
      <x:c r="BT594" s="115"/>
      <x:c r="BU594" s="115"/>
      <x:c r="BV594" s="115"/>
      <x:c r="BW594" s="115"/>
      <x:c r="BX594" s="115"/>
      <x:c r="BY594" s="115"/>
      <x:c r="BZ594" s="115"/>
      <x:c r="CA594" s="115"/>
      <x:c r="CB594" s="116"/>
      <x:c r="CC594" s="141" t="str">
        <x:f>IF(COUNT(G594:P594)=0,"",AVERAGE(G594:P594)*4)</x:f>
      </x:c>
      <x:c r="CD594" s="178" t="str">
        <x:f>IF(COUNT(Q594:Z594)=0,"",AVERAGE(Q594:Z594)*4)</x:f>
      </x:c>
      <x:c r="CE594" s="178" t="str">
        <x:f>IF(COUNT(AA594:AJ594)=0,"",AVERAGE(AA594:AJ594)*4)</x:f>
      </x:c>
      <x:c r="CF594" s="178" t="str">
        <x:f>IF(COUNT(AK594:AR594)=0,"",AVERAGE(AK594:AR594)*4)</x:f>
      </x:c>
      <x:c r="CG594" s="178" t="str">
        <x:f>IF(COUNT(AS594:AY594)=0,"",AVERAGE(AS594:AY594)*4)</x:f>
      </x:c>
      <x:c r="CH594" s="178" t="str">
        <x:f>IF(COUNT(AZ594:BG594)=0,"",AVERAGE(AZ594:BG594)*4)</x:f>
      </x:c>
      <x:c r="CI594" s="178" t="str">
        <x:f>IF(COUNT(BH594:BN594)=0,"",AVERAGE(BH594:BN594)*4)</x:f>
      </x:c>
      <x:c r="CJ594" s="178" t="str">
        <x:f>IF(COUNT(BO594:BU594)=0,"",AVERAGE(BO594:BU594)*4)</x:f>
      </x:c>
      <x:c r="CK594" s="178" t="str">
        <x:f>IF(COUNT(BV594:CB594)=0,"",AVERAGE(BV594:CB594)*4)</x:f>
      </x:c>
      <x:c r="CL594" s="178" t="str">
        <x:f>IF(C594="","",IF(COUNT(G594:CB594)&lt;74,"",(CC594*'تنظیمات وزن‌دهی'!$C$5+CD594*'تنظیمات وزن‌دهی'!$C$6+CE594*'تنظیمات وزن‌دهی'!$C$7+CF594*'تنظیمات وزن‌دهی'!$C$8+CG594*'تنظیمات وزن‌دهی'!$C$9+CH594*'تنظیمات وزن‌دهی'!$C$10+CI594*'تنظیمات وزن‌دهی'!$C$11+CJ594*'تنظیمات وزن‌دهی'!$C$12+CK594*'تنظیمات وزن‌دهی'!$C$13)/100))</x:f>
      </x:c>
      <x:c r="CM594" s="178" t="str">
        <x:f>IF(C594="","",IF(COUNT(G594:CB594)=0,"",IF(COUNT(G594:CB594)&lt;74,"موقت - اطلاعات ناقص",IF(CL594&gt;=17,"عالی",IF(CL594&gt;=14,"خوب",IF(CL594&gt;=10,"متوسط","ضعیف"))))))</x:f>
      </x:c>
      <x:c r="CN594" s="178" t="n">
        <x:v>2</x:v>
      </x:c>
      <x:c r="CO594" s="142" t="n">
        <x:f>IF(C594="","",COUNT(G594:CB594)/74)</x:f>
        <x:v>0</x:v>
      </x:c>
      <x:c r="CP594" s="245"/>
    </x:row>
    <x:row r="595">
      <x:c r="A595" s="165" t="n">
        <x:v>591</x:v>
      </x:c>
      <x:c r="B595" s="233" t="str">
        <x:v>شهریور</x:v>
      </x:c>
      <x:c r="C595" s="233" t="n">
        <x:f>IF('دانش‌آموزان'!E54="","",'دانش‌آموزان'!B54)</x:f>
        <x:v>50</x:v>
      </x:c>
      <x:c r="D595" s="233" t="str">
        <x:f>IF('دانش‌آموزان'!C54="","",'دانش‌آموزان'!C54)</x:f>
        <x:v>4000000500</x:v>
      </x:c>
      <x:c r="E595" s="233" t="str">
        <x:f>IF('دانش‌آموزان'!E54="","",'دانش‌آموزان'!E54&amp;" "&amp;'دانش‌آموزان'!F54)</x:f>
        <x:v>هلیا کریمی</x:v>
      </x:c>
      <x:c r="F595" s="166" t="str">
        <x:f>IF('دانش‌آموزان'!I54="","",'دانش‌آموزان'!I54)</x:f>
        <x:v>sample-7-b</x:v>
      </x:c>
      <x:c r="G595" s="114"/>
      <x:c r="H595" s="115"/>
      <x:c r="I595" s="115"/>
      <x:c r="J595" s="115"/>
      <x:c r="K595" s="115"/>
      <x:c r="L595" s="115"/>
      <x:c r="M595" s="115"/>
      <x:c r="N595" s="115"/>
      <x:c r="O595" s="115"/>
      <x:c r="P595" s="115"/>
      <x:c r="Q595" s="115"/>
      <x:c r="R595" s="115"/>
      <x:c r="S595" s="115"/>
      <x:c r="T595" s="115"/>
      <x:c r="U595" s="115"/>
      <x:c r="V595" s="115"/>
      <x:c r="W595" s="115"/>
      <x:c r="X595" s="115"/>
      <x:c r="Y595" s="115"/>
      <x:c r="Z595" s="115"/>
      <x:c r="AA595" s="115"/>
      <x:c r="AB595" s="115"/>
      <x:c r="AC595" s="115"/>
      <x:c r="AD595" s="115"/>
      <x:c r="AE595" s="115"/>
      <x:c r="AF595" s="115"/>
      <x:c r="AG595" s="115"/>
      <x:c r="AH595" s="115"/>
      <x:c r="AI595" s="115"/>
      <x:c r="AJ595" s="115"/>
      <x:c r="AK595" s="115"/>
      <x:c r="AL595" s="115"/>
      <x:c r="AM595" s="115"/>
      <x:c r="AN595" s="115"/>
      <x:c r="AO595" s="115"/>
      <x:c r="AP595" s="115"/>
      <x:c r="AQ595" s="115"/>
      <x:c r="AR595" s="115"/>
      <x:c r="AS595" s="115"/>
      <x:c r="AT595" s="115"/>
      <x:c r="AU595" s="115"/>
      <x:c r="AV595" s="115"/>
      <x:c r="AW595" s="115"/>
      <x:c r="AX595" s="115"/>
      <x:c r="AY595" s="115"/>
      <x:c r="AZ595" s="115"/>
      <x:c r="BA595" s="115"/>
      <x:c r="BB595" s="115"/>
      <x:c r="BC595" s="115"/>
      <x:c r="BD595" s="115"/>
      <x:c r="BE595" s="115"/>
      <x:c r="BF595" s="115"/>
      <x:c r="BG595" s="115"/>
      <x:c r="BH595" s="115"/>
      <x:c r="BI595" s="115"/>
      <x:c r="BJ595" s="115"/>
      <x:c r="BK595" s="115"/>
      <x:c r="BL595" s="115"/>
      <x:c r="BM595" s="115"/>
      <x:c r="BN595" s="115"/>
      <x:c r="BO595" s="115"/>
      <x:c r="BP595" s="115"/>
      <x:c r="BQ595" s="115"/>
      <x:c r="BR595" s="115"/>
      <x:c r="BS595" s="115"/>
      <x:c r="BT595" s="115"/>
      <x:c r="BU595" s="115"/>
      <x:c r="BV595" s="115"/>
      <x:c r="BW595" s="115"/>
      <x:c r="BX595" s="115"/>
      <x:c r="BY595" s="115"/>
      <x:c r="BZ595" s="115"/>
      <x:c r="CA595" s="115"/>
      <x:c r="CB595" s="116"/>
      <x:c r="CC595" s="141" t="str">
        <x:f>IF(COUNT(G595:P595)=0,"",AVERAGE(G595:P595)*4)</x:f>
      </x:c>
      <x:c r="CD595" s="178" t="str">
        <x:f>IF(COUNT(Q595:Z595)=0,"",AVERAGE(Q595:Z595)*4)</x:f>
      </x:c>
      <x:c r="CE595" s="178" t="str">
        <x:f>IF(COUNT(AA595:AJ595)=0,"",AVERAGE(AA595:AJ595)*4)</x:f>
      </x:c>
      <x:c r="CF595" s="178" t="str">
        <x:f>IF(COUNT(AK595:AR595)=0,"",AVERAGE(AK595:AR595)*4)</x:f>
      </x:c>
      <x:c r="CG595" s="178" t="str">
        <x:f>IF(COUNT(AS595:AY595)=0,"",AVERAGE(AS595:AY595)*4)</x:f>
      </x:c>
      <x:c r="CH595" s="178" t="str">
        <x:f>IF(COUNT(AZ595:BG595)=0,"",AVERAGE(AZ595:BG595)*4)</x:f>
      </x:c>
      <x:c r="CI595" s="178" t="str">
        <x:f>IF(COUNT(BH595:BN595)=0,"",AVERAGE(BH595:BN595)*4)</x:f>
      </x:c>
      <x:c r="CJ595" s="178" t="str">
        <x:f>IF(COUNT(BO595:BU595)=0,"",AVERAGE(BO595:BU595)*4)</x:f>
      </x:c>
      <x:c r="CK595" s="178" t="str">
        <x:f>IF(COUNT(BV595:CB595)=0,"",AVERAGE(BV595:CB595)*4)</x:f>
      </x:c>
      <x:c r="CL595" s="178" t="str">
        <x:f>IF(C595="","",IF(COUNT(G595:CB595)&lt;74,"",(CC595*'تنظیمات وزن‌دهی'!$C$5+CD595*'تنظیمات وزن‌دهی'!$C$6+CE595*'تنظیمات وزن‌دهی'!$C$7+CF595*'تنظیمات وزن‌دهی'!$C$8+CG595*'تنظیمات وزن‌دهی'!$C$9+CH595*'تنظیمات وزن‌دهی'!$C$10+CI595*'تنظیمات وزن‌دهی'!$C$11+CJ595*'تنظیمات وزن‌دهی'!$C$12+CK595*'تنظیمات وزن‌دهی'!$C$13)/100))</x:f>
      </x:c>
      <x:c r="CM595" s="178" t="str">
        <x:f>IF(C595="","",IF(COUNT(G595:CB595)=0,"",IF(COUNT(G595:CB595)&lt;74,"موقت - اطلاعات ناقص",IF(CL595&gt;=17,"عالی",IF(CL595&gt;=14,"خوب",IF(CL595&gt;=10,"متوسط","ضعیف"))))))</x:f>
      </x:c>
      <x:c r="CN595" s="178" t="n">
        <x:v>3</x:v>
      </x:c>
      <x:c r="CO595" s="142" t="n">
        <x:f>IF(C595="","",COUNT(G595:CB595)/74)</x:f>
        <x:v>0</x:v>
      </x:c>
      <x:c r="CP595" s="245"/>
    </x:row>
    <x:row r="596">
      <x:c r="A596" s="165" t="n">
        <x:v>592</x:v>
      </x:c>
      <x:c r="B596" s="233" t="str">
        <x:v>مهر</x:v>
      </x:c>
      <x:c r="C596" s="233" t="n">
        <x:f>IF('دانش‌آموزان'!E54="","",'دانش‌آموزان'!B54)</x:f>
        <x:v>50</x:v>
      </x:c>
      <x:c r="D596" s="233" t="str">
        <x:f>IF('دانش‌آموزان'!C54="","",'دانش‌آموزان'!C54)</x:f>
        <x:v>4000000500</x:v>
      </x:c>
      <x:c r="E596" s="233" t="str">
        <x:f>IF('دانش‌آموزان'!E54="","",'دانش‌آموزان'!E54&amp;" "&amp;'دانش‌آموزان'!F54)</x:f>
        <x:v>هلیا کریمی</x:v>
      </x:c>
      <x:c r="F596" s="166" t="str">
        <x:f>IF('دانش‌آموزان'!I54="","",'دانش‌آموزان'!I54)</x:f>
        <x:v>sample-7-b</x:v>
      </x:c>
      <x:c r="G596" s="114"/>
      <x:c r="H596" s="115"/>
      <x:c r="I596" s="115"/>
      <x:c r="J596" s="115"/>
      <x:c r="K596" s="115"/>
      <x:c r="L596" s="115"/>
      <x:c r="M596" s="115"/>
      <x:c r="N596" s="115"/>
      <x:c r="O596" s="115"/>
      <x:c r="P596" s="115"/>
      <x:c r="Q596" s="115"/>
      <x:c r="R596" s="115"/>
      <x:c r="S596" s="115"/>
      <x:c r="T596" s="115"/>
      <x:c r="U596" s="115"/>
      <x:c r="V596" s="115"/>
      <x:c r="W596" s="115"/>
      <x:c r="X596" s="115"/>
      <x:c r="Y596" s="115"/>
      <x:c r="Z596" s="115"/>
      <x:c r="AA596" s="115"/>
      <x:c r="AB596" s="115"/>
      <x:c r="AC596" s="115"/>
      <x:c r="AD596" s="115"/>
      <x:c r="AE596" s="115"/>
      <x:c r="AF596" s="115"/>
      <x:c r="AG596" s="115"/>
      <x:c r="AH596" s="115"/>
      <x:c r="AI596" s="115"/>
      <x:c r="AJ596" s="115"/>
      <x:c r="AK596" s="115"/>
      <x:c r="AL596" s="115"/>
      <x:c r="AM596" s="115"/>
      <x:c r="AN596" s="115"/>
      <x:c r="AO596" s="115"/>
      <x:c r="AP596" s="115"/>
      <x:c r="AQ596" s="115"/>
      <x:c r="AR596" s="115"/>
      <x:c r="AS596" s="115"/>
      <x:c r="AT596" s="115"/>
      <x:c r="AU596" s="115"/>
      <x:c r="AV596" s="115"/>
      <x:c r="AW596" s="115"/>
      <x:c r="AX596" s="115"/>
      <x:c r="AY596" s="115"/>
      <x:c r="AZ596" s="115"/>
      <x:c r="BA596" s="115"/>
      <x:c r="BB596" s="115"/>
      <x:c r="BC596" s="115"/>
      <x:c r="BD596" s="115"/>
      <x:c r="BE596" s="115"/>
      <x:c r="BF596" s="115"/>
      <x:c r="BG596" s="115"/>
      <x:c r="BH596" s="115"/>
      <x:c r="BI596" s="115"/>
      <x:c r="BJ596" s="115"/>
      <x:c r="BK596" s="115"/>
      <x:c r="BL596" s="115"/>
      <x:c r="BM596" s="115"/>
      <x:c r="BN596" s="115"/>
      <x:c r="BO596" s="115"/>
      <x:c r="BP596" s="115"/>
      <x:c r="BQ596" s="115"/>
      <x:c r="BR596" s="115"/>
      <x:c r="BS596" s="115"/>
      <x:c r="BT596" s="115"/>
      <x:c r="BU596" s="115"/>
      <x:c r="BV596" s="115"/>
      <x:c r="BW596" s="115"/>
      <x:c r="BX596" s="115"/>
      <x:c r="BY596" s="115"/>
      <x:c r="BZ596" s="115"/>
      <x:c r="CA596" s="115"/>
      <x:c r="CB596" s="116"/>
      <x:c r="CC596" s="141" t="str">
        <x:f>IF(COUNT(G596:P596)=0,"",AVERAGE(G596:P596)*4)</x:f>
      </x:c>
      <x:c r="CD596" s="178" t="str">
        <x:f>IF(COUNT(Q596:Z596)=0,"",AVERAGE(Q596:Z596)*4)</x:f>
      </x:c>
      <x:c r="CE596" s="178" t="str">
        <x:f>IF(COUNT(AA596:AJ596)=0,"",AVERAGE(AA596:AJ596)*4)</x:f>
      </x:c>
      <x:c r="CF596" s="178" t="str">
        <x:f>IF(COUNT(AK596:AR596)=0,"",AVERAGE(AK596:AR596)*4)</x:f>
      </x:c>
      <x:c r="CG596" s="178" t="str">
        <x:f>IF(COUNT(AS596:AY596)=0,"",AVERAGE(AS596:AY596)*4)</x:f>
      </x:c>
      <x:c r="CH596" s="178" t="str">
        <x:f>IF(COUNT(AZ596:BG596)=0,"",AVERAGE(AZ596:BG596)*4)</x:f>
      </x:c>
      <x:c r="CI596" s="178" t="str">
        <x:f>IF(COUNT(BH596:BN596)=0,"",AVERAGE(BH596:BN596)*4)</x:f>
      </x:c>
      <x:c r="CJ596" s="178" t="str">
        <x:f>IF(COUNT(BO596:BU596)=0,"",AVERAGE(BO596:BU596)*4)</x:f>
      </x:c>
      <x:c r="CK596" s="178" t="str">
        <x:f>IF(COUNT(BV596:CB596)=0,"",AVERAGE(BV596:CB596)*4)</x:f>
      </x:c>
      <x:c r="CL596" s="178" t="str">
        <x:f>IF(C596="","",IF(COUNT(G596:CB596)&lt;74,"",(CC596*'تنظیمات وزن‌دهی'!$C$5+CD596*'تنظیمات وزن‌دهی'!$C$6+CE596*'تنظیمات وزن‌دهی'!$C$7+CF596*'تنظیمات وزن‌دهی'!$C$8+CG596*'تنظیمات وزن‌دهی'!$C$9+CH596*'تنظیمات وزن‌دهی'!$C$10+CI596*'تنظیمات وزن‌دهی'!$C$11+CJ596*'تنظیمات وزن‌دهی'!$C$12+CK596*'تنظیمات وزن‌دهی'!$C$13)/100))</x:f>
      </x:c>
      <x:c r="CM596" s="178" t="str">
        <x:f>IF(C596="","",IF(COUNT(G596:CB596)=0,"",IF(COUNT(G596:CB596)&lt;74,"موقت - اطلاعات ناقص",IF(CL596&gt;=17,"عالی",IF(CL596&gt;=14,"خوب",IF(CL596&gt;=10,"متوسط","ضعیف"))))))</x:f>
      </x:c>
      <x:c r="CN596" s="178" t="n">
        <x:v>4</x:v>
      </x:c>
      <x:c r="CO596" s="142" t="n">
        <x:f>IF(C596="","",COUNT(G596:CB596)/74)</x:f>
        <x:v>0</x:v>
      </x:c>
      <x:c r="CP596" s="245"/>
    </x:row>
    <x:row r="597">
      <x:c r="A597" s="165" t="n">
        <x:v>593</x:v>
      </x:c>
      <x:c r="B597" s="233" t="str">
        <x:v>آبان</x:v>
      </x:c>
      <x:c r="C597" s="233" t="n">
        <x:f>IF('دانش‌آموزان'!E54="","",'دانش‌آموزان'!B54)</x:f>
        <x:v>50</x:v>
      </x:c>
      <x:c r="D597" s="233" t="str">
        <x:f>IF('دانش‌آموزان'!C54="","",'دانش‌آموزان'!C54)</x:f>
        <x:v>4000000500</x:v>
      </x:c>
      <x:c r="E597" s="233" t="str">
        <x:f>IF('دانش‌آموزان'!E54="","",'دانش‌آموزان'!E54&amp;" "&amp;'دانش‌آموزان'!F54)</x:f>
        <x:v>هلیا کریمی</x:v>
      </x:c>
      <x:c r="F597" s="166" t="str">
        <x:f>IF('دانش‌آموزان'!I54="","",'دانش‌آموزان'!I54)</x:f>
        <x:v>sample-7-b</x:v>
      </x:c>
      <x:c r="G597" s="114"/>
      <x:c r="H597" s="115"/>
      <x:c r="I597" s="115"/>
      <x:c r="J597" s="115"/>
      <x:c r="K597" s="115"/>
      <x:c r="L597" s="115"/>
      <x:c r="M597" s="115"/>
      <x:c r="N597" s="115"/>
      <x:c r="O597" s="115"/>
      <x:c r="P597" s="115"/>
      <x:c r="Q597" s="115"/>
      <x:c r="R597" s="115"/>
      <x:c r="S597" s="115"/>
      <x:c r="T597" s="115"/>
      <x:c r="U597" s="115"/>
      <x:c r="V597" s="115"/>
      <x:c r="W597" s="115"/>
      <x:c r="X597" s="115"/>
      <x:c r="Y597" s="115"/>
      <x:c r="Z597" s="115"/>
      <x:c r="AA597" s="115"/>
      <x:c r="AB597" s="115"/>
      <x:c r="AC597" s="115"/>
      <x:c r="AD597" s="115"/>
      <x:c r="AE597" s="115"/>
      <x:c r="AF597" s="115"/>
      <x:c r="AG597" s="115"/>
      <x:c r="AH597" s="115"/>
      <x:c r="AI597" s="115"/>
      <x:c r="AJ597" s="115"/>
      <x:c r="AK597" s="115"/>
      <x:c r="AL597" s="115"/>
      <x:c r="AM597" s="115"/>
      <x:c r="AN597" s="115"/>
      <x:c r="AO597" s="115"/>
      <x:c r="AP597" s="115"/>
      <x:c r="AQ597" s="115"/>
      <x:c r="AR597" s="115"/>
      <x:c r="AS597" s="115"/>
      <x:c r="AT597" s="115"/>
      <x:c r="AU597" s="115"/>
      <x:c r="AV597" s="115"/>
      <x:c r="AW597" s="115"/>
      <x:c r="AX597" s="115"/>
      <x:c r="AY597" s="115"/>
      <x:c r="AZ597" s="115"/>
      <x:c r="BA597" s="115"/>
      <x:c r="BB597" s="115"/>
      <x:c r="BC597" s="115"/>
      <x:c r="BD597" s="115"/>
      <x:c r="BE597" s="115"/>
      <x:c r="BF597" s="115"/>
      <x:c r="BG597" s="115"/>
      <x:c r="BH597" s="115"/>
      <x:c r="BI597" s="115"/>
      <x:c r="BJ597" s="115"/>
      <x:c r="BK597" s="115"/>
      <x:c r="BL597" s="115"/>
      <x:c r="BM597" s="115"/>
      <x:c r="BN597" s="115"/>
      <x:c r="BO597" s="115"/>
      <x:c r="BP597" s="115"/>
      <x:c r="BQ597" s="115"/>
      <x:c r="BR597" s="115"/>
      <x:c r="BS597" s="115"/>
      <x:c r="BT597" s="115"/>
      <x:c r="BU597" s="115"/>
      <x:c r="BV597" s="115"/>
      <x:c r="BW597" s="115"/>
      <x:c r="BX597" s="115"/>
      <x:c r="BY597" s="115"/>
      <x:c r="BZ597" s="115"/>
      <x:c r="CA597" s="115"/>
      <x:c r="CB597" s="116"/>
      <x:c r="CC597" s="141" t="str">
        <x:f>IF(COUNT(G597:P597)=0,"",AVERAGE(G597:P597)*4)</x:f>
      </x:c>
      <x:c r="CD597" s="178" t="str">
        <x:f>IF(COUNT(Q597:Z597)=0,"",AVERAGE(Q597:Z597)*4)</x:f>
      </x:c>
      <x:c r="CE597" s="178" t="str">
        <x:f>IF(COUNT(AA597:AJ597)=0,"",AVERAGE(AA597:AJ597)*4)</x:f>
      </x:c>
      <x:c r="CF597" s="178" t="str">
        <x:f>IF(COUNT(AK597:AR597)=0,"",AVERAGE(AK597:AR597)*4)</x:f>
      </x:c>
      <x:c r="CG597" s="178" t="str">
        <x:f>IF(COUNT(AS597:AY597)=0,"",AVERAGE(AS597:AY597)*4)</x:f>
      </x:c>
      <x:c r="CH597" s="178" t="str">
        <x:f>IF(COUNT(AZ597:BG597)=0,"",AVERAGE(AZ597:BG597)*4)</x:f>
      </x:c>
      <x:c r="CI597" s="178" t="str">
        <x:f>IF(COUNT(BH597:BN597)=0,"",AVERAGE(BH597:BN597)*4)</x:f>
      </x:c>
      <x:c r="CJ597" s="178" t="str">
        <x:f>IF(COUNT(BO597:BU597)=0,"",AVERAGE(BO597:BU597)*4)</x:f>
      </x:c>
      <x:c r="CK597" s="178" t="str">
        <x:f>IF(COUNT(BV597:CB597)=0,"",AVERAGE(BV597:CB597)*4)</x:f>
      </x:c>
      <x:c r="CL597" s="178" t="str">
        <x:f>IF(C597="","",IF(COUNT(G597:CB597)&lt;74,"",(CC597*'تنظیمات وزن‌دهی'!$C$5+CD597*'تنظیمات وزن‌دهی'!$C$6+CE597*'تنظیمات وزن‌دهی'!$C$7+CF597*'تنظیمات وزن‌دهی'!$C$8+CG597*'تنظیمات وزن‌دهی'!$C$9+CH597*'تنظیمات وزن‌دهی'!$C$10+CI597*'تنظیمات وزن‌دهی'!$C$11+CJ597*'تنظیمات وزن‌دهی'!$C$12+CK597*'تنظیمات وزن‌دهی'!$C$13)/100))</x:f>
      </x:c>
      <x:c r="CM597" s="178" t="str">
        <x:f>IF(C597="","",IF(COUNT(G597:CB597)=0,"",IF(COUNT(G597:CB597)&lt;74,"موقت - اطلاعات ناقص",IF(CL597&gt;=17,"عالی",IF(CL597&gt;=14,"خوب",IF(CL597&gt;=10,"متوسط","ضعیف"))))))</x:f>
      </x:c>
      <x:c r="CN597" s="178" t="n">
        <x:v>5</x:v>
      </x:c>
      <x:c r="CO597" s="142" t="n">
        <x:f>IF(C597="","",COUNT(G597:CB597)/74)</x:f>
        <x:v>0</x:v>
      </x:c>
      <x:c r="CP597" s="245"/>
    </x:row>
    <x:row r="598">
      <x:c r="A598" s="165" t="n">
        <x:v>594</x:v>
      </x:c>
      <x:c r="B598" s="233" t="str">
        <x:v>آذر</x:v>
      </x:c>
      <x:c r="C598" s="233" t="n">
        <x:f>IF('دانش‌آموزان'!E54="","",'دانش‌آموزان'!B54)</x:f>
        <x:v>50</x:v>
      </x:c>
      <x:c r="D598" s="233" t="str">
        <x:f>IF('دانش‌آموزان'!C54="","",'دانش‌آموزان'!C54)</x:f>
        <x:v>4000000500</x:v>
      </x:c>
      <x:c r="E598" s="233" t="str">
        <x:f>IF('دانش‌آموزان'!E54="","",'دانش‌آموزان'!E54&amp;" "&amp;'دانش‌آموزان'!F54)</x:f>
        <x:v>هلیا کریمی</x:v>
      </x:c>
      <x:c r="F598" s="166" t="str">
        <x:f>IF('دانش‌آموزان'!I54="","",'دانش‌آموزان'!I54)</x:f>
        <x:v>sample-7-b</x:v>
      </x:c>
      <x:c r="G598" s="114"/>
      <x:c r="H598" s="115"/>
      <x:c r="I598" s="115"/>
      <x:c r="J598" s="115"/>
      <x:c r="K598" s="115"/>
      <x:c r="L598" s="115"/>
      <x:c r="M598" s="115"/>
      <x:c r="N598" s="115"/>
      <x:c r="O598" s="115"/>
      <x:c r="P598" s="115"/>
      <x:c r="Q598" s="115"/>
      <x:c r="R598" s="115"/>
      <x:c r="S598" s="115"/>
      <x:c r="T598" s="115"/>
      <x:c r="U598" s="115"/>
      <x:c r="V598" s="115"/>
      <x:c r="W598" s="115"/>
      <x:c r="X598" s="115"/>
      <x:c r="Y598" s="115"/>
      <x:c r="Z598" s="115"/>
      <x:c r="AA598" s="115"/>
      <x:c r="AB598" s="115"/>
      <x:c r="AC598" s="115"/>
      <x:c r="AD598" s="115"/>
      <x:c r="AE598" s="115"/>
      <x:c r="AF598" s="115"/>
      <x:c r="AG598" s="115"/>
      <x:c r="AH598" s="115"/>
      <x:c r="AI598" s="115"/>
      <x:c r="AJ598" s="115"/>
      <x:c r="AK598" s="115"/>
      <x:c r="AL598" s="115"/>
      <x:c r="AM598" s="115"/>
      <x:c r="AN598" s="115"/>
      <x:c r="AO598" s="115"/>
      <x:c r="AP598" s="115"/>
      <x:c r="AQ598" s="115"/>
      <x:c r="AR598" s="115"/>
      <x:c r="AS598" s="115"/>
      <x:c r="AT598" s="115"/>
      <x:c r="AU598" s="115"/>
      <x:c r="AV598" s="115"/>
      <x:c r="AW598" s="115"/>
      <x:c r="AX598" s="115"/>
      <x:c r="AY598" s="115"/>
      <x:c r="AZ598" s="115"/>
      <x:c r="BA598" s="115"/>
      <x:c r="BB598" s="115"/>
      <x:c r="BC598" s="115"/>
      <x:c r="BD598" s="115"/>
      <x:c r="BE598" s="115"/>
      <x:c r="BF598" s="115"/>
      <x:c r="BG598" s="115"/>
      <x:c r="BH598" s="115"/>
      <x:c r="BI598" s="115"/>
      <x:c r="BJ598" s="115"/>
      <x:c r="BK598" s="115"/>
      <x:c r="BL598" s="115"/>
      <x:c r="BM598" s="115"/>
      <x:c r="BN598" s="115"/>
      <x:c r="BO598" s="115"/>
      <x:c r="BP598" s="115"/>
      <x:c r="BQ598" s="115"/>
      <x:c r="BR598" s="115"/>
      <x:c r="BS598" s="115"/>
      <x:c r="BT598" s="115"/>
      <x:c r="BU598" s="115"/>
      <x:c r="BV598" s="115"/>
      <x:c r="BW598" s="115"/>
      <x:c r="BX598" s="115"/>
      <x:c r="BY598" s="115"/>
      <x:c r="BZ598" s="115"/>
      <x:c r="CA598" s="115"/>
      <x:c r="CB598" s="116"/>
      <x:c r="CC598" s="141" t="str">
        <x:f>IF(COUNT(G598:P598)=0,"",AVERAGE(G598:P598)*4)</x:f>
      </x:c>
      <x:c r="CD598" s="178" t="str">
        <x:f>IF(COUNT(Q598:Z598)=0,"",AVERAGE(Q598:Z598)*4)</x:f>
      </x:c>
      <x:c r="CE598" s="178" t="str">
        <x:f>IF(COUNT(AA598:AJ598)=0,"",AVERAGE(AA598:AJ598)*4)</x:f>
      </x:c>
      <x:c r="CF598" s="178" t="str">
        <x:f>IF(COUNT(AK598:AR598)=0,"",AVERAGE(AK598:AR598)*4)</x:f>
      </x:c>
      <x:c r="CG598" s="178" t="str">
        <x:f>IF(COUNT(AS598:AY598)=0,"",AVERAGE(AS598:AY598)*4)</x:f>
      </x:c>
      <x:c r="CH598" s="178" t="str">
        <x:f>IF(COUNT(AZ598:BG598)=0,"",AVERAGE(AZ598:BG598)*4)</x:f>
      </x:c>
      <x:c r="CI598" s="178" t="str">
        <x:f>IF(COUNT(BH598:BN598)=0,"",AVERAGE(BH598:BN598)*4)</x:f>
      </x:c>
      <x:c r="CJ598" s="178" t="str">
        <x:f>IF(COUNT(BO598:BU598)=0,"",AVERAGE(BO598:BU598)*4)</x:f>
      </x:c>
      <x:c r="CK598" s="178" t="str">
        <x:f>IF(COUNT(BV598:CB598)=0,"",AVERAGE(BV598:CB598)*4)</x:f>
      </x:c>
      <x:c r="CL598" s="178" t="str">
        <x:f>IF(C598="","",IF(COUNT(G598:CB598)&lt;74,"",(CC598*'تنظیمات وزن‌دهی'!$C$5+CD598*'تنظیمات وزن‌دهی'!$C$6+CE598*'تنظیمات وزن‌دهی'!$C$7+CF598*'تنظیمات وزن‌دهی'!$C$8+CG598*'تنظیمات وزن‌دهی'!$C$9+CH598*'تنظیمات وزن‌دهی'!$C$10+CI598*'تنظیمات وزن‌دهی'!$C$11+CJ598*'تنظیمات وزن‌دهی'!$C$12+CK598*'تنظیمات وزن‌دهی'!$C$13)/100))</x:f>
      </x:c>
      <x:c r="CM598" s="178" t="str">
        <x:f>IF(C598="","",IF(COUNT(G598:CB598)=0,"",IF(COUNT(G598:CB598)&lt;74,"موقت - اطلاعات ناقص",IF(CL598&gt;=17,"عالی",IF(CL598&gt;=14,"خوب",IF(CL598&gt;=10,"متوسط","ضعیف"))))))</x:f>
      </x:c>
      <x:c r="CN598" s="178" t="n">
        <x:v>6</x:v>
      </x:c>
      <x:c r="CO598" s="142" t="n">
        <x:f>IF(C598="","",COUNT(G598:CB598)/74)</x:f>
        <x:v>0</x:v>
      </x:c>
      <x:c r="CP598" s="245"/>
    </x:row>
    <x:row r="599">
      <x:c r="A599" s="165" t="n">
        <x:v>595</x:v>
      </x:c>
      <x:c r="B599" s="233" t="str">
        <x:v>دی</x:v>
      </x:c>
      <x:c r="C599" s="233" t="n">
        <x:f>IF('دانش‌آموزان'!E54="","",'دانش‌آموزان'!B54)</x:f>
        <x:v>50</x:v>
      </x:c>
      <x:c r="D599" s="233" t="str">
        <x:f>IF('دانش‌آموزان'!C54="","",'دانش‌آموزان'!C54)</x:f>
        <x:v>4000000500</x:v>
      </x:c>
      <x:c r="E599" s="233" t="str">
        <x:f>IF('دانش‌آموزان'!E54="","",'دانش‌آموزان'!E54&amp;" "&amp;'دانش‌آموزان'!F54)</x:f>
        <x:v>هلیا کریمی</x:v>
      </x:c>
      <x:c r="F599" s="166" t="str">
        <x:f>IF('دانش‌آموزان'!I54="","",'دانش‌آموزان'!I54)</x:f>
        <x:v>sample-7-b</x:v>
      </x:c>
      <x:c r="G599" s="114"/>
      <x:c r="H599" s="115"/>
      <x:c r="I599" s="115"/>
      <x:c r="J599" s="115"/>
      <x:c r="K599" s="115"/>
      <x:c r="L599" s="115"/>
      <x:c r="M599" s="115"/>
      <x:c r="N599" s="115"/>
      <x:c r="O599" s="115"/>
      <x:c r="P599" s="115"/>
      <x:c r="Q599" s="115"/>
      <x:c r="R599" s="115"/>
      <x:c r="S599" s="115"/>
      <x:c r="T599" s="115"/>
      <x:c r="U599" s="115"/>
      <x:c r="V599" s="115"/>
      <x:c r="W599" s="115"/>
      <x:c r="X599" s="115"/>
      <x:c r="Y599" s="115"/>
      <x:c r="Z599" s="115"/>
      <x:c r="AA599" s="115"/>
      <x:c r="AB599" s="115"/>
      <x:c r="AC599" s="115"/>
      <x:c r="AD599" s="115"/>
      <x:c r="AE599" s="115"/>
      <x:c r="AF599" s="115"/>
      <x:c r="AG599" s="115"/>
      <x:c r="AH599" s="115"/>
      <x:c r="AI599" s="115"/>
      <x:c r="AJ599" s="115"/>
      <x:c r="AK599" s="115"/>
      <x:c r="AL599" s="115"/>
      <x:c r="AM599" s="115"/>
      <x:c r="AN599" s="115"/>
      <x:c r="AO599" s="115"/>
      <x:c r="AP599" s="115"/>
      <x:c r="AQ599" s="115"/>
      <x:c r="AR599" s="115"/>
      <x:c r="AS599" s="115"/>
      <x:c r="AT599" s="115"/>
      <x:c r="AU599" s="115"/>
      <x:c r="AV599" s="115"/>
      <x:c r="AW599" s="115"/>
      <x:c r="AX599" s="115"/>
      <x:c r="AY599" s="115"/>
      <x:c r="AZ599" s="115"/>
      <x:c r="BA599" s="115"/>
      <x:c r="BB599" s="115"/>
      <x:c r="BC599" s="115"/>
      <x:c r="BD599" s="115"/>
      <x:c r="BE599" s="115"/>
      <x:c r="BF599" s="115"/>
      <x:c r="BG599" s="115"/>
      <x:c r="BH599" s="115"/>
      <x:c r="BI599" s="115"/>
      <x:c r="BJ599" s="115"/>
      <x:c r="BK599" s="115"/>
      <x:c r="BL599" s="115"/>
      <x:c r="BM599" s="115"/>
      <x:c r="BN599" s="115"/>
      <x:c r="BO599" s="115"/>
      <x:c r="BP599" s="115"/>
      <x:c r="BQ599" s="115"/>
      <x:c r="BR599" s="115"/>
      <x:c r="BS599" s="115"/>
      <x:c r="BT599" s="115"/>
      <x:c r="BU599" s="115"/>
      <x:c r="BV599" s="115"/>
      <x:c r="BW599" s="115"/>
      <x:c r="BX599" s="115"/>
      <x:c r="BY599" s="115"/>
      <x:c r="BZ599" s="115"/>
      <x:c r="CA599" s="115"/>
      <x:c r="CB599" s="116"/>
      <x:c r="CC599" s="141" t="str">
        <x:f>IF(COUNT(G599:P599)=0,"",AVERAGE(G599:P599)*4)</x:f>
      </x:c>
      <x:c r="CD599" s="178" t="str">
        <x:f>IF(COUNT(Q599:Z599)=0,"",AVERAGE(Q599:Z599)*4)</x:f>
      </x:c>
      <x:c r="CE599" s="178" t="str">
        <x:f>IF(COUNT(AA599:AJ599)=0,"",AVERAGE(AA599:AJ599)*4)</x:f>
      </x:c>
      <x:c r="CF599" s="178" t="str">
        <x:f>IF(COUNT(AK599:AR599)=0,"",AVERAGE(AK599:AR599)*4)</x:f>
      </x:c>
      <x:c r="CG599" s="178" t="str">
        <x:f>IF(COUNT(AS599:AY599)=0,"",AVERAGE(AS599:AY599)*4)</x:f>
      </x:c>
      <x:c r="CH599" s="178" t="str">
        <x:f>IF(COUNT(AZ599:BG599)=0,"",AVERAGE(AZ599:BG599)*4)</x:f>
      </x:c>
      <x:c r="CI599" s="178" t="str">
        <x:f>IF(COUNT(BH599:BN599)=0,"",AVERAGE(BH599:BN599)*4)</x:f>
      </x:c>
      <x:c r="CJ599" s="178" t="str">
        <x:f>IF(COUNT(BO599:BU599)=0,"",AVERAGE(BO599:BU599)*4)</x:f>
      </x:c>
      <x:c r="CK599" s="178" t="str">
        <x:f>IF(COUNT(BV599:CB599)=0,"",AVERAGE(BV599:CB599)*4)</x:f>
      </x:c>
      <x:c r="CL599" s="178" t="str">
        <x:f>IF(C599="","",IF(COUNT(G599:CB599)&lt;74,"",(CC599*'تنظیمات وزن‌دهی'!$C$5+CD599*'تنظیمات وزن‌دهی'!$C$6+CE599*'تنظیمات وزن‌دهی'!$C$7+CF599*'تنظیمات وزن‌دهی'!$C$8+CG599*'تنظیمات وزن‌دهی'!$C$9+CH599*'تنظیمات وزن‌دهی'!$C$10+CI599*'تنظیمات وزن‌دهی'!$C$11+CJ599*'تنظیمات وزن‌دهی'!$C$12+CK599*'تنظیمات وزن‌دهی'!$C$13)/100))</x:f>
      </x:c>
      <x:c r="CM599" s="178" t="str">
        <x:f>IF(C599="","",IF(COUNT(G599:CB599)=0,"",IF(COUNT(G599:CB599)&lt;74,"موقت - اطلاعات ناقص",IF(CL599&gt;=17,"عالی",IF(CL599&gt;=14,"خوب",IF(CL599&gt;=10,"متوسط","ضعیف"))))))</x:f>
      </x:c>
      <x:c r="CN599" s="178" t="n">
        <x:v>7</x:v>
      </x:c>
      <x:c r="CO599" s="142" t="n">
        <x:f>IF(C599="","",COUNT(G599:CB599)/74)</x:f>
        <x:v>0</x:v>
      </x:c>
      <x:c r="CP599" s="245"/>
    </x:row>
    <x:row r="600">
      <x:c r="A600" s="165" t="n">
        <x:v>596</x:v>
      </x:c>
      <x:c r="B600" s="233" t="str">
        <x:v>بهمن</x:v>
      </x:c>
      <x:c r="C600" s="233" t="n">
        <x:f>IF('دانش‌آموزان'!E54="","",'دانش‌آموزان'!B54)</x:f>
        <x:v>50</x:v>
      </x:c>
      <x:c r="D600" s="233" t="str">
        <x:f>IF('دانش‌آموزان'!C54="","",'دانش‌آموزان'!C54)</x:f>
        <x:v>4000000500</x:v>
      </x:c>
      <x:c r="E600" s="233" t="str">
        <x:f>IF('دانش‌آموزان'!E54="","",'دانش‌آموزان'!E54&amp;" "&amp;'دانش‌آموزان'!F54)</x:f>
        <x:v>هلیا کریمی</x:v>
      </x:c>
      <x:c r="F600" s="166" t="str">
        <x:f>IF('دانش‌آموزان'!I54="","",'دانش‌آموزان'!I54)</x:f>
        <x:v>sample-7-b</x:v>
      </x:c>
      <x:c r="G600" s="114"/>
      <x:c r="H600" s="115"/>
      <x:c r="I600" s="115"/>
      <x:c r="J600" s="115"/>
      <x:c r="K600" s="115"/>
      <x:c r="L600" s="115"/>
      <x:c r="M600" s="115"/>
      <x:c r="N600" s="115"/>
      <x:c r="O600" s="115"/>
      <x:c r="P600" s="115"/>
      <x:c r="Q600" s="115"/>
      <x:c r="R600" s="115"/>
      <x:c r="S600" s="115"/>
      <x:c r="T600" s="115"/>
      <x:c r="U600" s="115"/>
      <x:c r="V600" s="115"/>
      <x:c r="W600" s="115"/>
      <x:c r="X600" s="115"/>
      <x:c r="Y600" s="115"/>
      <x:c r="Z600" s="115"/>
      <x:c r="AA600" s="115"/>
      <x:c r="AB600" s="115"/>
      <x:c r="AC600" s="115"/>
      <x:c r="AD600" s="115"/>
      <x:c r="AE600" s="115"/>
      <x:c r="AF600" s="115"/>
      <x:c r="AG600" s="115"/>
      <x:c r="AH600" s="115"/>
      <x:c r="AI600" s="115"/>
      <x:c r="AJ600" s="115"/>
      <x:c r="AK600" s="115"/>
      <x:c r="AL600" s="115"/>
      <x:c r="AM600" s="115"/>
      <x:c r="AN600" s="115"/>
      <x:c r="AO600" s="115"/>
      <x:c r="AP600" s="115"/>
      <x:c r="AQ600" s="115"/>
      <x:c r="AR600" s="115"/>
      <x:c r="AS600" s="115"/>
      <x:c r="AT600" s="115"/>
      <x:c r="AU600" s="115"/>
      <x:c r="AV600" s="115"/>
      <x:c r="AW600" s="115"/>
      <x:c r="AX600" s="115"/>
      <x:c r="AY600" s="115"/>
      <x:c r="AZ600" s="115"/>
      <x:c r="BA600" s="115"/>
      <x:c r="BB600" s="115"/>
      <x:c r="BC600" s="115"/>
      <x:c r="BD600" s="115"/>
      <x:c r="BE600" s="115"/>
      <x:c r="BF600" s="115"/>
      <x:c r="BG600" s="115"/>
      <x:c r="BH600" s="115"/>
      <x:c r="BI600" s="115"/>
      <x:c r="BJ600" s="115"/>
      <x:c r="BK600" s="115"/>
      <x:c r="BL600" s="115"/>
      <x:c r="BM600" s="115"/>
      <x:c r="BN600" s="115"/>
      <x:c r="BO600" s="115"/>
      <x:c r="BP600" s="115"/>
      <x:c r="BQ600" s="115"/>
      <x:c r="BR600" s="115"/>
      <x:c r="BS600" s="115"/>
      <x:c r="BT600" s="115"/>
      <x:c r="BU600" s="115"/>
      <x:c r="BV600" s="115"/>
      <x:c r="BW600" s="115"/>
      <x:c r="BX600" s="115"/>
      <x:c r="BY600" s="115"/>
      <x:c r="BZ600" s="115"/>
      <x:c r="CA600" s="115"/>
      <x:c r="CB600" s="116"/>
      <x:c r="CC600" s="141" t="str">
        <x:f>IF(COUNT(G600:P600)=0,"",AVERAGE(G600:P600)*4)</x:f>
      </x:c>
      <x:c r="CD600" s="178" t="str">
        <x:f>IF(COUNT(Q600:Z600)=0,"",AVERAGE(Q600:Z600)*4)</x:f>
      </x:c>
      <x:c r="CE600" s="178" t="str">
        <x:f>IF(COUNT(AA600:AJ600)=0,"",AVERAGE(AA600:AJ600)*4)</x:f>
      </x:c>
      <x:c r="CF600" s="178" t="str">
        <x:f>IF(COUNT(AK600:AR600)=0,"",AVERAGE(AK600:AR600)*4)</x:f>
      </x:c>
      <x:c r="CG600" s="178" t="str">
        <x:f>IF(COUNT(AS600:AY600)=0,"",AVERAGE(AS600:AY600)*4)</x:f>
      </x:c>
      <x:c r="CH600" s="178" t="str">
        <x:f>IF(COUNT(AZ600:BG600)=0,"",AVERAGE(AZ600:BG600)*4)</x:f>
      </x:c>
      <x:c r="CI600" s="178" t="str">
        <x:f>IF(COUNT(BH600:BN600)=0,"",AVERAGE(BH600:BN600)*4)</x:f>
      </x:c>
      <x:c r="CJ600" s="178" t="str">
        <x:f>IF(COUNT(BO600:BU600)=0,"",AVERAGE(BO600:BU600)*4)</x:f>
      </x:c>
      <x:c r="CK600" s="178" t="str">
        <x:f>IF(COUNT(BV600:CB600)=0,"",AVERAGE(BV600:CB600)*4)</x:f>
      </x:c>
      <x:c r="CL600" s="178" t="str">
        <x:f>IF(C600="","",IF(COUNT(G600:CB600)&lt;74,"",(CC600*'تنظیمات وزن‌دهی'!$C$5+CD600*'تنظیمات وزن‌دهی'!$C$6+CE600*'تنظیمات وزن‌دهی'!$C$7+CF600*'تنظیمات وزن‌دهی'!$C$8+CG600*'تنظیمات وزن‌دهی'!$C$9+CH600*'تنظیمات وزن‌دهی'!$C$10+CI600*'تنظیمات وزن‌دهی'!$C$11+CJ600*'تنظیمات وزن‌دهی'!$C$12+CK600*'تنظیمات وزن‌دهی'!$C$13)/100))</x:f>
      </x:c>
      <x:c r="CM600" s="178" t="str">
        <x:f>IF(C600="","",IF(COUNT(G600:CB600)=0,"",IF(COUNT(G600:CB600)&lt;74,"موقت - اطلاعات ناقص",IF(CL600&gt;=17,"عالی",IF(CL600&gt;=14,"خوب",IF(CL600&gt;=10,"متوسط","ضعیف"))))))</x:f>
      </x:c>
      <x:c r="CN600" s="178" t="n">
        <x:v>8</x:v>
      </x:c>
      <x:c r="CO600" s="142" t="n">
        <x:f>IF(C600="","",COUNT(G600:CB600)/74)</x:f>
        <x:v>0</x:v>
      </x:c>
      <x:c r="CP600" s="245"/>
    </x:row>
    <x:row r="601">
      <x:c r="A601" s="165" t="n">
        <x:v>597</x:v>
      </x:c>
      <x:c r="B601" s="233" t="str">
        <x:v>اسفند</x:v>
      </x:c>
      <x:c r="C601" s="233" t="n">
        <x:f>IF('دانش‌آموزان'!E54="","",'دانش‌آموزان'!B54)</x:f>
        <x:v>50</x:v>
      </x:c>
      <x:c r="D601" s="233" t="str">
        <x:f>IF('دانش‌آموزان'!C54="","",'دانش‌آموزان'!C54)</x:f>
        <x:v>4000000500</x:v>
      </x:c>
      <x:c r="E601" s="233" t="str">
        <x:f>IF('دانش‌آموزان'!E54="","",'دانش‌آموزان'!E54&amp;" "&amp;'دانش‌آموزان'!F54)</x:f>
        <x:v>هلیا کریمی</x:v>
      </x:c>
      <x:c r="F601" s="166" t="str">
        <x:f>IF('دانش‌آموزان'!I54="","",'دانش‌آموزان'!I54)</x:f>
        <x:v>sample-7-b</x:v>
      </x:c>
      <x:c r="G601" s="114"/>
      <x:c r="H601" s="115"/>
      <x:c r="I601" s="115"/>
      <x:c r="J601" s="115"/>
      <x:c r="K601" s="115"/>
      <x:c r="L601" s="115"/>
      <x:c r="M601" s="115"/>
      <x:c r="N601" s="115"/>
      <x:c r="O601" s="115"/>
      <x:c r="P601" s="115"/>
      <x:c r="Q601" s="115"/>
      <x:c r="R601" s="115"/>
      <x:c r="S601" s="115"/>
      <x:c r="T601" s="115"/>
      <x:c r="U601" s="115"/>
      <x:c r="V601" s="115"/>
      <x:c r="W601" s="115"/>
      <x:c r="X601" s="115"/>
      <x:c r="Y601" s="115"/>
      <x:c r="Z601" s="115"/>
      <x:c r="AA601" s="115"/>
      <x:c r="AB601" s="115"/>
      <x:c r="AC601" s="115"/>
      <x:c r="AD601" s="115"/>
      <x:c r="AE601" s="115"/>
      <x:c r="AF601" s="115"/>
      <x:c r="AG601" s="115"/>
      <x:c r="AH601" s="115"/>
      <x:c r="AI601" s="115"/>
      <x:c r="AJ601" s="115"/>
      <x:c r="AK601" s="115"/>
      <x:c r="AL601" s="115"/>
      <x:c r="AM601" s="115"/>
      <x:c r="AN601" s="115"/>
      <x:c r="AO601" s="115"/>
      <x:c r="AP601" s="115"/>
      <x:c r="AQ601" s="115"/>
      <x:c r="AR601" s="115"/>
      <x:c r="AS601" s="115"/>
      <x:c r="AT601" s="115"/>
      <x:c r="AU601" s="115"/>
      <x:c r="AV601" s="115"/>
      <x:c r="AW601" s="115"/>
      <x:c r="AX601" s="115"/>
      <x:c r="AY601" s="115"/>
      <x:c r="AZ601" s="115"/>
      <x:c r="BA601" s="115"/>
      <x:c r="BB601" s="115"/>
      <x:c r="BC601" s="115"/>
      <x:c r="BD601" s="115"/>
      <x:c r="BE601" s="115"/>
      <x:c r="BF601" s="115"/>
      <x:c r="BG601" s="115"/>
      <x:c r="BH601" s="115"/>
      <x:c r="BI601" s="115"/>
      <x:c r="BJ601" s="115"/>
      <x:c r="BK601" s="115"/>
      <x:c r="BL601" s="115"/>
      <x:c r="BM601" s="115"/>
      <x:c r="BN601" s="115"/>
      <x:c r="BO601" s="115"/>
      <x:c r="BP601" s="115"/>
      <x:c r="BQ601" s="115"/>
      <x:c r="BR601" s="115"/>
      <x:c r="BS601" s="115"/>
      <x:c r="BT601" s="115"/>
      <x:c r="BU601" s="115"/>
      <x:c r="BV601" s="115"/>
      <x:c r="BW601" s="115"/>
      <x:c r="BX601" s="115"/>
      <x:c r="BY601" s="115"/>
      <x:c r="BZ601" s="115"/>
      <x:c r="CA601" s="115"/>
      <x:c r="CB601" s="116"/>
      <x:c r="CC601" s="141" t="str">
        <x:f>IF(COUNT(G601:P601)=0,"",AVERAGE(G601:P601)*4)</x:f>
      </x:c>
      <x:c r="CD601" s="178" t="str">
        <x:f>IF(COUNT(Q601:Z601)=0,"",AVERAGE(Q601:Z601)*4)</x:f>
      </x:c>
      <x:c r="CE601" s="178" t="str">
        <x:f>IF(COUNT(AA601:AJ601)=0,"",AVERAGE(AA601:AJ601)*4)</x:f>
      </x:c>
      <x:c r="CF601" s="178" t="str">
        <x:f>IF(COUNT(AK601:AR601)=0,"",AVERAGE(AK601:AR601)*4)</x:f>
      </x:c>
      <x:c r="CG601" s="178" t="str">
        <x:f>IF(COUNT(AS601:AY601)=0,"",AVERAGE(AS601:AY601)*4)</x:f>
      </x:c>
      <x:c r="CH601" s="178" t="str">
        <x:f>IF(COUNT(AZ601:BG601)=0,"",AVERAGE(AZ601:BG601)*4)</x:f>
      </x:c>
      <x:c r="CI601" s="178" t="str">
        <x:f>IF(COUNT(BH601:BN601)=0,"",AVERAGE(BH601:BN601)*4)</x:f>
      </x:c>
      <x:c r="CJ601" s="178" t="str">
        <x:f>IF(COUNT(BO601:BU601)=0,"",AVERAGE(BO601:BU601)*4)</x:f>
      </x:c>
      <x:c r="CK601" s="178" t="str">
        <x:f>IF(COUNT(BV601:CB601)=0,"",AVERAGE(BV601:CB601)*4)</x:f>
      </x:c>
      <x:c r="CL601" s="178" t="str">
        <x:f>IF(C601="","",IF(COUNT(G601:CB601)&lt;74,"",(CC601*'تنظیمات وزن‌دهی'!$C$5+CD601*'تنظیمات وزن‌دهی'!$C$6+CE601*'تنظیمات وزن‌دهی'!$C$7+CF601*'تنظیمات وزن‌دهی'!$C$8+CG601*'تنظیمات وزن‌دهی'!$C$9+CH601*'تنظیمات وزن‌دهی'!$C$10+CI601*'تنظیمات وزن‌دهی'!$C$11+CJ601*'تنظیمات وزن‌دهی'!$C$12+CK601*'تنظیمات وزن‌دهی'!$C$13)/100))</x:f>
      </x:c>
      <x:c r="CM601" s="178" t="str">
        <x:f>IF(C601="","",IF(COUNT(G601:CB601)=0,"",IF(COUNT(G601:CB601)&lt;74,"موقت - اطلاعات ناقص",IF(CL601&gt;=17,"عالی",IF(CL601&gt;=14,"خوب",IF(CL601&gt;=10,"متوسط","ضعیف"))))))</x:f>
      </x:c>
      <x:c r="CN601" s="178" t="n">
        <x:v>9</x:v>
      </x:c>
      <x:c r="CO601" s="142" t="n">
        <x:f>IF(C601="","",COUNT(G601:CB601)/74)</x:f>
        <x:v>0</x:v>
      </x:c>
      <x:c r="CP601" s="245"/>
    </x:row>
    <x:row r="602">
      <x:c r="A602" s="165" t="n">
        <x:v>598</x:v>
      </x:c>
      <x:c r="B602" s="233" t="str">
        <x:v>فروردین</x:v>
      </x:c>
      <x:c r="C602" s="233" t="n">
        <x:f>IF('دانش‌آموزان'!E54="","",'دانش‌آموزان'!B54)</x:f>
        <x:v>50</x:v>
      </x:c>
      <x:c r="D602" s="233" t="str">
        <x:f>IF('دانش‌آموزان'!C54="","",'دانش‌آموزان'!C54)</x:f>
        <x:v>4000000500</x:v>
      </x:c>
      <x:c r="E602" s="233" t="str">
        <x:f>IF('دانش‌آموزان'!E54="","",'دانش‌آموزان'!E54&amp;" "&amp;'دانش‌آموزان'!F54)</x:f>
        <x:v>هلیا کریمی</x:v>
      </x:c>
      <x:c r="F602" s="166" t="str">
        <x:f>IF('دانش‌آموزان'!I54="","",'دانش‌آموزان'!I54)</x:f>
        <x:v>sample-7-b</x:v>
      </x:c>
      <x:c r="G602" s="114"/>
      <x:c r="H602" s="115"/>
      <x:c r="I602" s="115"/>
      <x:c r="J602" s="115"/>
      <x:c r="K602" s="115"/>
      <x:c r="L602" s="115"/>
      <x:c r="M602" s="115"/>
      <x:c r="N602" s="115"/>
      <x:c r="O602" s="115"/>
      <x:c r="P602" s="115"/>
      <x:c r="Q602" s="115"/>
      <x:c r="R602" s="115"/>
      <x:c r="S602" s="115"/>
      <x:c r="T602" s="115"/>
      <x:c r="U602" s="115"/>
      <x:c r="V602" s="115"/>
      <x:c r="W602" s="115"/>
      <x:c r="X602" s="115"/>
      <x:c r="Y602" s="115"/>
      <x:c r="Z602" s="115"/>
      <x:c r="AA602" s="115"/>
      <x:c r="AB602" s="115"/>
      <x:c r="AC602" s="115"/>
      <x:c r="AD602" s="115"/>
      <x:c r="AE602" s="115"/>
      <x:c r="AF602" s="115"/>
      <x:c r="AG602" s="115"/>
      <x:c r="AH602" s="115"/>
      <x:c r="AI602" s="115"/>
      <x:c r="AJ602" s="115"/>
      <x:c r="AK602" s="115"/>
      <x:c r="AL602" s="115"/>
      <x:c r="AM602" s="115"/>
      <x:c r="AN602" s="115"/>
      <x:c r="AO602" s="115"/>
      <x:c r="AP602" s="115"/>
      <x:c r="AQ602" s="115"/>
      <x:c r="AR602" s="115"/>
      <x:c r="AS602" s="115"/>
      <x:c r="AT602" s="115"/>
      <x:c r="AU602" s="115"/>
      <x:c r="AV602" s="115"/>
      <x:c r="AW602" s="115"/>
      <x:c r="AX602" s="115"/>
      <x:c r="AY602" s="115"/>
      <x:c r="AZ602" s="115"/>
      <x:c r="BA602" s="115"/>
      <x:c r="BB602" s="115"/>
      <x:c r="BC602" s="115"/>
      <x:c r="BD602" s="115"/>
      <x:c r="BE602" s="115"/>
      <x:c r="BF602" s="115"/>
      <x:c r="BG602" s="115"/>
      <x:c r="BH602" s="115"/>
      <x:c r="BI602" s="115"/>
      <x:c r="BJ602" s="115"/>
      <x:c r="BK602" s="115"/>
      <x:c r="BL602" s="115"/>
      <x:c r="BM602" s="115"/>
      <x:c r="BN602" s="115"/>
      <x:c r="BO602" s="115"/>
      <x:c r="BP602" s="115"/>
      <x:c r="BQ602" s="115"/>
      <x:c r="BR602" s="115"/>
      <x:c r="BS602" s="115"/>
      <x:c r="BT602" s="115"/>
      <x:c r="BU602" s="115"/>
      <x:c r="BV602" s="115"/>
      <x:c r="BW602" s="115"/>
      <x:c r="BX602" s="115"/>
      <x:c r="BY602" s="115"/>
      <x:c r="BZ602" s="115"/>
      <x:c r="CA602" s="115"/>
      <x:c r="CB602" s="116"/>
      <x:c r="CC602" s="141" t="str">
        <x:f>IF(COUNT(G602:P602)=0,"",AVERAGE(G602:P602)*4)</x:f>
      </x:c>
      <x:c r="CD602" s="178" t="str">
        <x:f>IF(COUNT(Q602:Z602)=0,"",AVERAGE(Q602:Z602)*4)</x:f>
      </x:c>
      <x:c r="CE602" s="178" t="str">
        <x:f>IF(COUNT(AA602:AJ602)=0,"",AVERAGE(AA602:AJ602)*4)</x:f>
      </x:c>
      <x:c r="CF602" s="178" t="str">
        <x:f>IF(COUNT(AK602:AR602)=0,"",AVERAGE(AK602:AR602)*4)</x:f>
      </x:c>
      <x:c r="CG602" s="178" t="str">
        <x:f>IF(COUNT(AS602:AY602)=0,"",AVERAGE(AS602:AY602)*4)</x:f>
      </x:c>
      <x:c r="CH602" s="178" t="str">
        <x:f>IF(COUNT(AZ602:BG602)=0,"",AVERAGE(AZ602:BG602)*4)</x:f>
      </x:c>
      <x:c r="CI602" s="178" t="str">
        <x:f>IF(COUNT(BH602:BN602)=0,"",AVERAGE(BH602:BN602)*4)</x:f>
      </x:c>
      <x:c r="CJ602" s="178" t="str">
        <x:f>IF(COUNT(BO602:BU602)=0,"",AVERAGE(BO602:BU602)*4)</x:f>
      </x:c>
      <x:c r="CK602" s="178" t="str">
        <x:f>IF(COUNT(BV602:CB602)=0,"",AVERAGE(BV602:CB602)*4)</x:f>
      </x:c>
      <x:c r="CL602" s="178" t="str">
        <x:f>IF(C602="","",IF(COUNT(G602:CB602)&lt;74,"",(CC602*'تنظیمات وزن‌دهی'!$C$5+CD602*'تنظیمات وزن‌دهی'!$C$6+CE602*'تنظیمات وزن‌دهی'!$C$7+CF602*'تنظیمات وزن‌دهی'!$C$8+CG602*'تنظیمات وزن‌دهی'!$C$9+CH602*'تنظیمات وزن‌دهی'!$C$10+CI602*'تنظیمات وزن‌دهی'!$C$11+CJ602*'تنظیمات وزن‌دهی'!$C$12+CK602*'تنظیمات وزن‌دهی'!$C$13)/100))</x:f>
      </x:c>
      <x:c r="CM602" s="178" t="str">
        <x:f>IF(C602="","",IF(COUNT(G602:CB602)=0,"",IF(COUNT(G602:CB602)&lt;74,"موقت - اطلاعات ناقص",IF(CL602&gt;=17,"عالی",IF(CL602&gt;=14,"خوب",IF(CL602&gt;=10,"متوسط","ضعیف"))))))</x:f>
      </x:c>
      <x:c r="CN602" s="178" t="n">
        <x:v>10</x:v>
      </x:c>
      <x:c r="CO602" s="142" t="n">
        <x:f>IF(C602="","",COUNT(G602:CB602)/74)</x:f>
        <x:v>0</x:v>
      </x:c>
      <x:c r="CP602" s="245"/>
    </x:row>
    <x:row r="603">
      <x:c r="A603" s="165" t="n">
        <x:v>599</x:v>
      </x:c>
      <x:c r="B603" s="233" t="str">
        <x:v>اردیبهشت</x:v>
      </x:c>
      <x:c r="C603" s="233" t="n">
        <x:f>IF('دانش‌آموزان'!E54="","",'دانش‌آموزان'!B54)</x:f>
        <x:v>50</x:v>
      </x:c>
      <x:c r="D603" s="233" t="str">
        <x:f>IF('دانش‌آموزان'!C54="","",'دانش‌آموزان'!C54)</x:f>
        <x:v>4000000500</x:v>
      </x:c>
      <x:c r="E603" s="233" t="str">
        <x:f>IF('دانش‌آموزان'!E54="","",'دانش‌آموزان'!E54&amp;" "&amp;'دانش‌آموزان'!F54)</x:f>
        <x:v>هلیا کریمی</x:v>
      </x:c>
      <x:c r="F603" s="166" t="str">
        <x:f>IF('دانش‌آموزان'!I54="","",'دانش‌آموزان'!I54)</x:f>
        <x:v>sample-7-b</x:v>
      </x:c>
      <x:c r="G603" s="114"/>
      <x:c r="H603" s="115"/>
      <x:c r="I603" s="115"/>
      <x:c r="J603" s="115"/>
      <x:c r="K603" s="115"/>
      <x:c r="L603" s="115"/>
      <x:c r="M603" s="115"/>
      <x:c r="N603" s="115"/>
      <x:c r="O603" s="115"/>
      <x:c r="P603" s="115"/>
      <x:c r="Q603" s="115"/>
      <x:c r="R603" s="115"/>
      <x:c r="S603" s="115"/>
      <x:c r="T603" s="115"/>
      <x:c r="U603" s="115"/>
      <x:c r="V603" s="115"/>
      <x:c r="W603" s="115"/>
      <x:c r="X603" s="115"/>
      <x:c r="Y603" s="115"/>
      <x:c r="Z603" s="115"/>
      <x:c r="AA603" s="115"/>
      <x:c r="AB603" s="115"/>
      <x:c r="AC603" s="115"/>
      <x:c r="AD603" s="115"/>
      <x:c r="AE603" s="115"/>
      <x:c r="AF603" s="115"/>
      <x:c r="AG603" s="115"/>
      <x:c r="AH603" s="115"/>
      <x:c r="AI603" s="115"/>
      <x:c r="AJ603" s="115"/>
      <x:c r="AK603" s="115"/>
      <x:c r="AL603" s="115"/>
      <x:c r="AM603" s="115"/>
      <x:c r="AN603" s="115"/>
      <x:c r="AO603" s="115"/>
      <x:c r="AP603" s="115"/>
      <x:c r="AQ603" s="115"/>
      <x:c r="AR603" s="115"/>
      <x:c r="AS603" s="115"/>
      <x:c r="AT603" s="115"/>
      <x:c r="AU603" s="115"/>
      <x:c r="AV603" s="115"/>
      <x:c r="AW603" s="115"/>
      <x:c r="AX603" s="115"/>
      <x:c r="AY603" s="115"/>
      <x:c r="AZ603" s="115"/>
      <x:c r="BA603" s="115"/>
      <x:c r="BB603" s="115"/>
      <x:c r="BC603" s="115"/>
      <x:c r="BD603" s="115"/>
      <x:c r="BE603" s="115"/>
      <x:c r="BF603" s="115"/>
      <x:c r="BG603" s="115"/>
      <x:c r="BH603" s="115"/>
      <x:c r="BI603" s="115"/>
      <x:c r="BJ603" s="115"/>
      <x:c r="BK603" s="115"/>
      <x:c r="BL603" s="115"/>
      <x:c r="BM603" s="115"/>
      <x:c r="BN603" s="115"/>
      <x:c r="BO603" s="115"/>
      <x:c r="BP603" s="115"/>
      <x:c r="BQ603" s="115"/>
      <x:c r="BR603" s="115"/>
      <x:c r="BS603" s="115"/>
      <x:c r="BT603" s="115"/>
      <x:c r="BU603" s="115"/>
      <x:c r="BV603" s="115"/>
      <x:c r="BW603" s="115"/>
      <x:c r="BX603" s="115"/>
      <x:c r="BY603" s="115"/>
      <x:c r="BZ603" s="115"/>
      <x:c r="CA603" s="115"/>
      <x:c r="CB603" s="116"/>
      <x:c r="CC603" s="141" t="str">
        <x:f>IF(COUNT(G603:P603)=0,"",AVERAGE(G603:P603)*4)</x:f>
      </x:c>
      <x:c r="CD603" s="178" t="str">
        <x:f>IF(COUNT(Q603:Z603)=0,"",AVERAGE(Q603:Z603)*4)</x:f>
      </x:c>
      <x:c r="CE603" s="178" t="str">
        <x:f>IF(COUNT(AA603:AJ603)=0,"",AVERAGE(AA603:AJ603)*4)</x:f>
      </x:c>
      <x:c r="CF603" s="178" t="str">
        <x:f>IF(COUNT(AK603:AR603)=0,"",AVERAGE(AK603:AR603)*4)</x:f>
      </x:c>
      <x:c r="CG603" s="178" t="str">
        <x:f>IF(COUNT(AS603:AY603)=0,"",AVERAGE(AS603:AY603)*4)</x:f>
      </x:c>
      <x:c r="CH603" s="178" t="str">
        <x:f>IF(COUNT(AZ603:BG603)=0,"",AVERAGE(AZ603:BG603)*4)</x:f>
      </x:c>
      <x:c r="CI603" s="178" t="str">
        <x:f>IF(COUNT(BH603:BN603)=0,"",AVERAGE(BH603:BN603)*4)</x:f>
      </x:c>
      <x:c r="CJ603" s="178" t="str">
        <x:f>IF(COUNT(BO603:BU603)=0,"",AVERAGE(BO603:BU603)*4)</x:f>
      </x:c>
      <x:c r="CK603" s="178" t="str">
        <x:f>IF(COUNT(BV603:CB603)=0,"",AVERAGE(BV603:CB603)*4)</x:f>
      </x:c>
      <x:c r="CL603" s="178" t="str">
        <x:f>IF(C603="","",IF(COUNT(G603:CB603)&lt;74,"",(CC603*'تنظیمات وزن‌دهی'!$C$5+CD603*'تنظیمات وزن‌دهی'!$C$6+CE603*'تنظیمات وزن‌دهی'!$C$7+CF603*'تنظیمات وزن‌دهی'!$C$8+CG603*'تنظیمات وزن‌دهی'!$C$9+CH603*'تنظیمات وزن‌دهی'!$C$10+CI603*'تنظیمات وزن‌دهی'!$C$11+CJ603*'تنظیمات وزن‌دهی'!$C$12+CK603*'تنظیمات وزن‌دهی'!$C$13)/100))</x:f>
      </x:c>
      <x:c r="CM603" s="178" t="str">
        <x:f>IF(C603="","",IF(COUNT(G603:CB603)=0,"",IF(COUNT(G603:CB603)&lt;74,"موقت - اطلاعات ناقص",IF(CL603&gt;=17,"عالی",IF(CL603&gt;=14,"خوب",IF(CL603&gt;=10,"متوسط","ضعیف"))))))</x:f>
      </x:c>
      <x:c r="CN603" s="178" t="n">
        <x:v>11</x:v>
      </x:c>
      <x:c r="CO603" s="142" t="n">
        <x:f>IF(C603="","",COUNT(G603:CB603)/74)</x:f>
        <x:v>0</x:v>
      </x:c>
      <x:c r="CP603" s="245"/>
    </x:row>
    <x:row r="604">
      <x:c r="A604" s="165" t="n">
        <x:v>600</x:v>
      </x:c>
      <x:c r="B604" s="233" t="str">
        <x:v>خرداد</x:v>
      </x:c>
      <x:c r="C604" s="233" t="n">
        <x:f>IF('دانش‌آموزان'!E54="","",'دانش‌آموزان'!B54)</x:f>
        <x:v>50</x:v>
      </x:c>
      <x:c r="D604" s="233" t="str">
        <x:f>IF('دانش‌آموزان'!C54="","",'دانش‌آموزان'!C54)</x:f>
        <x:v>4000000500</x:v>
      </x:c>
      <x:c r="E604" s="233" t="str">
        <x:f>IF('دانش‌آموزان'!E54="","",'دانش‌آموزان'!E54&amp;" "&amp;'دانش‌آموزان'!F54)</x:f>
        <x:v>هلیا کریمی</x:v>
      </x:c>
      <x:c r="F604" s="166" t="str">
        <x:f>IF('دانش‌آموزان'!I54="","",'دانش‌آموزان'!I54)</x:f>
        <x:v>sample-7-b</x:v>
      </x:c>
      <x:c r="G604" s="114"/>
      <x:c r="H604" s="115"/>
      <x:c r="I604" s="115"/>
      <x:c r="J604" s="115"/>
      <x:c r="K604" s="115"/>
      <x:c r="L604" s="115"/>
      <x:c r="M604" s="115"/>
      <x:c r="N604" s="115"/>
      <x:c r="O604" s="115"/>
      <x:c r="P604" s="115"/>
      <x:c r="Q604" s="115"/>
      <x:c r="R604" s="115"/>
      <x:c r="S604" s="115"/>
      <x:c r="T604" s="115"/>
      <x:c r="U604" s="115"/>
      <x:c r="V604" s="115"/>
      <x:c r="W604" s="115"/>
      <x:c r="X604" s="115"/>
      <x:c r="Y604" s="115"/>
      <x:c r="Z604" s="115"/>
      <x:c r="AA604" s="115"/>
      <x:c r="AB604" s="115"/>
      <x:c r="AC604" s="115"/>
      <x:c r="AD604" s="115"/>
      <x:c r="AE604" s="115"/>
      <x:c r="AF604" s="115"/>
      <x:c r="AG604" s="115"/>
      <x:c r="AH604" s="115"/>
      <x:c r="AI604" s="115"/>
      <x:c r="AJ604" s="115"/>
      <x:c r="AK604" s="115"/>
      <x:c r="AL604" s="115"/>
      <x:c r="AM604" s="115"/>
      <x:c r="AN604" s="115"/>
      <x:c r="AO604" s="115"/>
      <x:c r="AP604" s="115"/>
      <x:c r="AQ604" s="115"/>
      <x:c r="AR604" s="115"/>
      <x:c r="AS604" s="115"/>
      <x:c r="AT604" s="115"/>
      <x:c r="AU604" s="115"/>
      <x:c r="AV604" s="115"/>
      <x:c r="AW604" s="115"/>
      <x:c r="AX604" s="115"/>
      <x:c r="AY604" s="115"/>
      <x:c r="AZ604" s="115"/>
      <x:c r="BA604" s="115"/>
      <x:c r="BB604" s="115"/>
      <x:c r="BC604" s="115"/>
      <x:c r="BD604" s="115"/>
      <x:c r="BE604" s="115"/>
      <x:c r="BF604" s="115"/>
      <x:c r="BG604" s="115"/>
      <x:c r="BH604" s="115"/>
      <x:c r="BI604" s="115"/>
      <x:c r="BJ604" s="115"/>
      <x:c r="BK604" s="115"/>
      <x:c r="BL604" s="115"/>
      <x:c r="BM604" s="115"/>
      <x:c r="BN604" s="115"/>
      <x:c r="BO604" s="115"/>
      <x:c r="BP604" s="115"/>
      <x:c r="BQ604" s="115"/>
      <x:c r="BR604" s="115"/>
      <x:c r="BS604" s="115"/>
      <x:c r="BT604" s="115"/>
      <x:c r="BU604" s="115"/>
      <x:c r="BV604" s="115"/>
      <x:c r="BW604" s="115"/>
      <x:c r="BX604" s="115"/>
      <x:c r="BY604" s="115"/>
      <x:c r="BZ604" s="115"/>
      <x:c r="CA604" s="115"/>
      <x:c r="CB604" s="116"/>
      <x:c r="CC604" s="141" t="str">
        <x:f>IF(COUNT(G604:P604)=0,"",AVERAGE(G604:P604)*4)</x:f>
      </x:c>
      <x:c r="CD604" s="178" t="str">
        <x:f>IF(COUNT(Q604:Z604)=0,"",AVERAGE(Q604:Z604)*4)</x:f>
      </x:c>
      <x:c r="CE604" s="178" t="str">
        <x:f>IF(COUNT(AA604:AJ604)=0,"",AVERAGE(AA604:AJ604)*4)</x:f>
      </x:c>
      <x:c r="CF604" s="178" t="str">
        <x:f>IF(COUNT(AK604:AR604)=0,"",AVERAGE(AK604:AR604)*4)</x:f>
      </x:c>
      <x:c r="CG604" s="178" t="str">
        <x:f>IF(COUNT(AS604:AY604)=0,"",AVERAGE(AS604:AY604)*4)</x:f>
      </x:c>
      <x:c r="CH604" s="178" t="str">
        <x:f>IF(COUNT(AZ604:BG604)=0,"",AVERAGE(AZ604:BG604)*4)</x:f>
      </x:c>
      <x:c r="CI604" s="178" t="str">
        <x:f>IF(COUNT(BH604:BN604)=0,"",AVERAGE(BH604:BN604)*4)</x:f>
      </x:c>
      <x:c r="CJ604" s="178" t="str">
        <x:f>IF(COUNT(BO604:BU604)=0,"",AVERAGE(BO604:BU604)*4)</x:f>
      </x:c>
      <x:c r="CK604" s="178" t="str">
        <x:f>IF(COUNT(BV604:CB604)=0,"",AVERAGE(BV604:CB604)*4)</x:f>
      </x:c>
      <x:c r="CL604" s="178" t="str">
        <x:f>IF(C604="","",IF(COUNT(G604:CB604)&lt;74,"",(CC604*'تنظیمات وزن‌دهی'!$C$5+CD604*'تنظیمات وزن‌دهی'!$C$6+CE604*'تنظیمات وزن‌دهی'!$C$7+CF604*'تنظیمات وزن‌دهی'!$C$8+CG604*'تنظیمات وزن‌دهی'!$C$9+CH604*'تنظیمات وزن‌دهی'!$C$10+CI604*'تنظیمات وزن‌دهی'!$C$11+CJ604*'تنظیمات وزن‌دهی'!$C$12+CK604*'تنظیمات وزن‌دهی'!$C$13)/100))</x:f>
      </x:c>
      <x:c r="CM604" s="178" t="str">
        <x:f>IF(C604="","",IF(COUNT(G604:CB604)=0,"",IF(COUNT(G604:CB604)&lt;74,"موقت - اطلاعات ناقص",IF(CL604&gt;=17,"عالی",IF(CL604&gt;=14,"خوب",IF(CL604&gt;=10,"متوسط","ضعیف"))))))</x:f>
      </x:c>
      <x:c r="CN604" s="178" t="n">
        <x:v>12</x:v>
      </x:c>
      <x:c r="CO604" s="142" t="n">
        <x:f>IF(C604="","",COUNT(G604:CB604)/74)</x:f>
        <x:v>0</x:v>
      </x:c>
      <x:c r="CP604" s="245"/>
    </x:row>
    <x:row r="605">
      <x:c r="A605" s="165" t="n">
        <x:v>601</x:v>
      </x:c>
      <x:c r="B605" s="233" t="str">
        <x:v>تیر</x:v>
      </x:c>
      <x:c r="C605" s="233" t="n">
        <x:f>IF('دانش‌آموزان'!E55="","",'دانش‌آموزان'!B55)</x:f>
        <x:v>51</x:v>
      </x:c>
      <x:c r="D605" s="233" t="str">
        <x:f>IF('دانش‌آموزان'!C55="","",'دانش‌آموزان'!C55)</x:f>
        <x:v>4000000519</x:v>
      </x:c>
      <x:c r="E605" s="233" t="str">
        <x:f>IF('دانش‌آموزان'!E55="","",'دانش‌آموزان'!E55&amp;" "&amp;'دانش‌آموزان'!F55)</x:f>
        <x:v>پارسا موسوی</x:v>
      </x:c>
      <x:c r="F605" s="166" t="str">
        <x:f>IF('دانش‌آموزان'!I55="","",'دانش‌آموزان'!I55)</x:f>
        <x:v>sample-7-c</x:v>
      </x:c>
      <x:c r="G605" s="114" t="n">
        <x:v>4</x:v>
      </x:c>
      <x:c r="H605" s="115" t="n">
        <x:v>3</x:v>
      </x:c>
      <x:c r="I605" s="115" t="n">
        <x:v>4</x:v>
      </x:c>
      <x:c r="J605" s="115" t="n">
        <x:v>2</x:v>
      </x:c>
      <x:c r="K605" s="115" t="n">
        <x:v>4</x:v>
      </x:c>
      <x:c r="L605" s="115" t="n">
        <x:v>5</x:v>
      </x:c>
      <x:c r="M605" s="115" t="n">
        <x:v>4</x:v>
      </x:c>
      <x:c r="N605" s="115" t="n">
        <x:v>5</x:v>
      </x:c>
      <x:c r="O605" s="115" t="n">
        <x:v>3</x:v>
      </x:c>
      <x:c r="P605" s="115" t="n">
        <x:v>5</x:v>
      </x:c>
      <x:c r="Q605" s="115" t="n">
        <x:v>3</x:v>
      </x:c>
      <x:c r="R605" s="115" t="n">
        <x:v>4</x:v>
      </x:c>
      <x:c r="S605" s="115" t="n">
        <x:v>3</x:v>
      </x:c>
      <x:c r="T605" s="115" t="n">
        <x:v>4</x:v>
      </x:c>
      <x:c r="U605" s="115" t="n">
        <x:v>2</x:v>
      </x:c>
      <x:c r="V605" s="115" t="n">
        <x:v>4</x:v>
      </x:c>
      <x:c r="W605" s="115" t="n">
        <x:v>5</x:v>
      </x:c>
      <x:c r="X605" s="115" t="n">
        <x:v>4</x:v>
      </x:c>
      <x:c r="Y605" s="115" t="n">
        <x:v>5</x:v>
      </x:c>
      <x:c r="Z605" s="115" t="n">
        <x:v>3</x:v>
      </x:c>
      <x:c r="AA605" s="115" t="n">
        <x:v>5</x:v>
      </x:c>
      <x:c r="AB605" s="115" t="n">
        <x:v>3</x:v>
      </x:c>
      <x:c r="AC605" s="115" t="n">
        <x:v>4</x:v>
      </x:c>
      <x:c r="AD605" s="115" t="n">
        <x:v>3</x:v>
      </x:c>
      <x:c r="AE605" s="115" t="n">
        <x:v>4</x:v>
      </x:c>
      <x:c r="AF605" s="115" t="n">
        <x:v>2</x:v>
      </x:c>
      <x:c r="AG605" s="115" t="n">
        <x:v>4</x:v>
      </x:c>
      <x:c r="AH605" s="115" t="n">
        <x:v>5</x:v>
      </x:c>
      <x:c r="AI605" s="115" t="n">
        <x:v>4</x:v>
      </x:c>
      <x:c r="AJ605" s="115" t="n">
        <x:v>5</x:v>
      </x:c>
      <x:c r="AK605" s="115" t="n">
        <x:v>3</x:v>
      </x:c>
      <x:c r="AL605" s="115" t="n">
        <x:v>5</x:v>
      </x:c>
      <x:c r="AM605" s="115" t="n">
        <x:v>3</x:v>
      </x:c>
      <x:c r="AN605" s="115" t="n">
        <x:v>4</x:v>
      </x:c>
      <x:c r="AO605" s="115" t="n">
        <x:v>3</x:v>
      </x:c>
      <x:c r="AP605" s="115" t="n">
        <x:v>4</x:v>
      </x:c>
      <x:c r="AQ605" s="115" t="n">
        <x:v>2</x:v>
      </x:c>
      <x:c r="AR605" s="115" t="n">
        <x:v>4</x:v>
      </x:c>
      <x:c r="AS605" s="115" t="n">
        <x:v>5</x:v>
      </x:c>
      <x:c r="AT605" s="115" t="n">
        <x:v>4</x:v>
      </x:c>
      <x:c r="AU605" s="115" t="n">
        <x:v>5</x:v>
      </x:c>
      <x:c r="AV605" s="115" t="n">
        <x:v>3</x:v>
      </x:c>
      <x:c r="AW605" s="115" t="n">
        <x:v>5</x:v>
      </x:c>
      <x:c r="AX605" s="115" t="n">
        <x:v>3</x:v>
      </x:c>
      <x:c r="AY605" s="115" t="n">
        <x:v>4</x:v>
      </x:c>
      <x:c r="AZ605" s="115" t="n">
        <x:v>3</x:v>
      </x:c>
      <x:c r="BA605" s="115" t="n">
        <x:v>4</x:v>
      </x:c>
      <x:c r="BB605" s="115" t="n">
        <x:v>2</x:v>
      </x:c>
      <x:c r="BC605" s="115" t="n">
        <x:v>4</x:v>
      </x:c>
      <x:c r="BD605" s="115" t="n">
        <x:v>5</x:v>
      </x:c>
      <x:c r="BE605" s="115" t="n">
        <x:v>4</x:v>
      </x:c>
      <x:c r="BF605" s="115" t="n">
        <x:v>5</x:v>
      </x:c>
      <x:c r="BG605" s="115" t="n">
        <x:v>3</x:v>
      </x:c>
      <x:c r="BH605" s="115" t="n">
        <x:v>5</x:v>
      </x:c>
      <x:c r="BI605" s="115" t="n">
        <x:v>3</x:v>
      </x:c>
      <x:c r="BJ605" s="115" t="n">
        <x:v>4</x:v>
      </x:c>
      <x:c r="BK605" s="115" t="n">
        <x:v>3</x:v>
      </x:c>
      <x:c r="BL605" s="115" t="n">
        <x:v>4</x:v>
      </x:c>
      <x:c r="BM605" s="115" t="n">
        <x:v>2</x:v>
      </x:c>
      <x:c r="BN605" s="115" t="n">
        <x:v>4</x:v>
      </x:c>
      <x:c r="BO605" s="115" t="n">
        <x:v>5</x:v>
      </x:c>
      <x:c r="BP605" s="115" t="n">
        <x:v>4</x:v>
      </x:c>
      <x:c r="BQ605" s="115" t="n">
        <x:v>5</x:v>
      </x:c>
      <x:c r="BR605" s="115" t="n">
        <x:v>3</x:v>
      </x:c>
      <x:c r="BS605" s="115" t="n">
        <x:v>5</x:v>
      </x:c>
      <x:c r="BT605" s="115" t="n">
        <x:v>3</x:v>
      </x:c>
      <x:c r="BU605" s="115" t="n">
        <x:v>4</x:v>
      </x:c>
      <x:c r="BV605" s="115" t="n">
        <x:v>3</x:v>
      </x:c>
      <x:c r="BW605" s="115" t="n">
        <x:v>4</x:v>
      </x:c>
      <x:c r="BX605" s="115" t="n">
        <x:v>2</x:v>
      </x:c>
      <x:c r="BY605" s="115" t="n">
        <x:v>4</x:v>
      </x:c>
      <x:c r="BZ605" s="115" t="n">
        <x:v>5</x:v>
      </x:c>
      <x:c r="CA605" s="115" t="n">
        <x:v>4</x:v>
      </x:c>
      <x:c r="CB605" s="116" t="n">
        <x:v>5</x:v>
      </x:c>
      <x:c r="CC605" s="141" t="n">
        <x:f>IF(COUNT(G605:P605)=0,"",AVERAGE(G605:P605)*4)</x:f>
        <x:v>15.6</x:v>
      </x:c>
      <x:c r="CD605" s="178" t="n">
        <x:f>IF(COUNT(Q605:Z605)=0,"",AVERAGE(Q605:Z605)*4)</x:f>
        <x:v>14.8</x:v>
      </x:c>
      <x:c r="CE605" s="178" t="n">
        <x:f>IF(COUNT(AA605:AJ605)=0,"",AVERAGE(AA605:AJ605)*4)</x:f>
        <x:v>15.6</x:v>
      </x:c>
      <x:c r="CF605" s="178" t="n">
        <x:f>IF(COUNT(AK605:AR605)=0,"",AVERAGE(AK605:AR605)*4)</x:f>
        <x:v>14</x:v>
      </x:c>
      <x:c r="CG605" s="178" t="n">
        <x:f>IF(COUNT(AS605:AY605)=0,"",AVERAGE(AS605:AY605)*4)</x:f>
        <x:v>16.571428571428573</x:v>
      </x:c>
      <x:c r="CH605" s="178" t="n">
        <x:f>IF(COUNT(AZ605:BG605)=0,"",AVERAGE(AZ605:BG605)*4)</x:f>
        <x:v>15</x:v>
      </x:c>
      <x:c r="CI605" s="178" t="n">
        <x:f>IF(COUNT(BH605:BN605)=0,"",AVERAGE(BH605:BN605)*4)</x:f>
        <x:v>14.285714285714286</x:v>
      </x:c>
      <x:c r="CJ605" s="178" t="n">
        <x:f>IF(COUNT(BO605:BU605)=0,"",AVERAGE(BO605:BU605)*4)</x:f>
        <x:v>16.571428571428573</x:v>
      </x:c>
      <x:c r="CK605" s="178" t="n">
        <x:f>IF(COUNT(BV605:CB605)=0,"",AVERAGE(BV605:CB605)*4)</x:f>
        <x:v>15.428571428571429</x:v>
      </x:c>
      <x:c r="CL605" s="178" t="n">
        <x:f>IF(C605="","",IF(COUNT(G605:CB605)&lt;74,"",(CC605*'تنظیمات وزن‌دهی'!$C$5+CD605*'تنظیمات وزن‌دهی'!$C$6+CE605*'تنظیمات وزن‌دهی'!$C$7+CF605*'تنظیمات وزن‌دهی'!$C$8+CG605*'تنظیمات وزن‌دهی'!$C$9+CH605*'تنظیمات وزن‌دهی'!$C$10+CI605*'تنظیمات وزن‌دهی'!$C$11+CJ605*'تنظیمات وزن‌دهی'!$C$12+CK605*'تنظیمات وزن‌دهی'!$C$13)/100))</x:f>
        <x:v>15.214285714285715</x:v>
      </x:c>
      <x:c r="CM605" s="178" t="str">
        <x:f>IF(C605="","",IF(COUNT(G605:CB605)=0,"",IF(COUNT(G605:CB605)&lt;74,"موقت - اطلاعات ناقص",IF(CL605&gt;=17,"عالی",IF(CL605&gt;=14,"خوب",IF(CL605&gt;=10,"متوسط","ضعیف"))))))</x:f>
        <x:v>خوب</x:v>
      </x:c>
      <x:c r="CN605" s="178" t="n">
        <x:v>1</x:v>
      </x:c>
      <x:c r="CO605" s="142" t="n">
        <x:f>IF(C605="","",COUNT(G605:CB605)/74)</x:f>
        <x:v>1</x:v>
      </x:c>
      <x:c r="CP605" s="245" t="str">
        <x:v>داده نمونه کامل برای ماه تیر - دانش‌آموز شماره 51</x:v>
      </x:c>
    </x:row>
    <x:row r="606">
      <x:c r="A606" s="165" t="n">
        <x:v>602</x:v>
      </x:c>
      <x:c r="B606" s="233" t="str">
        <x:v>مرداد</x:v>
      </x:c>
      <x:c r="C606" s="233" t="n">
        <x:f>IF('دانش‌آموزان'!E55="","",'دانش‌آموزان'!B55)</x:f>
        <x:v>51</x:v>
      </x:c>
      <x:c r="D606" s="233" t="str">
        <x:f>IF('دانش‌آموزان'!C55="","",'دانش‌آموزان'!C55)</x:f>
        <x:v>4000000519</x:v>
      </x:c>
      <x:c r="E606" s="233" t="str">
        <x:f>IF('دانش‌آموزان'!E55="","",'دانش‌آموزان'!E55&amp;" "&amp;'دانش‌آموزان'!F55)</x:f>
        <x:v>پارسا موسوی</x:v>
      </x:c>
      <x:c r="F606" s="166" t="str">
        <x:f>IF('دانش‌آموزان'!I55="","",'دانش‌آموزان'!I55)</x:f>
        <x:v>sample-7-c</x:v>
      </x:c>
      <x:c r="G606" s="114"/>
      <x:c r="H606" s="115"/>
      <x:c r="I606" s="115"/>
      <x:c r="J606" s="115"/>
      <x:c r="K606" s="115"/>
      <x:c r="L606" s="115"/>
      <x:c r="M606" s="115"/>
      <x:c r="N606" s="115"/>
      <x:c r="O606" s="115"/>
      <x:c r="P606" s="115"/>
      <x:c r="Q606" s="115"/>
      <x:c r="R606" s="115"/>
      <x:c r="S606" s="115"/>
      <x:c r="T606" s="115"/>
      <x:c r="U606" s="115"/>
      <x:c r="V606" s="115"/>
      <x:c r="W606" s="115"/>
      <x:c r="X606" s="115"/>
      <x:c r="Y606" s="115"/>
      <x:c r="Z606" s="115"/>
      <x:c r="AA606" s="115"/>
      <x:c r="AB606" s="115"/>
      <x:c r="AC606" s="115"/>
      <x:c r="AD606" s="115"/>
      <x:c r="AE606" s="115"/>
      <x:c r="AF606" s="115"/>
      <x:c r="AG606" s="115"/>
      <x:c r="AH606" s="115"/>
      <x:c r="AI606" s="115"/>
      <x:c r="AJ606" s="115"/>
      <x:c r="AK606" s="115"/>
      <x:c r="AL606" s="115"/>
      <x:c r="AM606" s="115"/>
      <x:c r="AN606" s="115"/>
      <x:c r="AO606" s="115"/>
      <x:c r="AP606" s="115"/>
      <x:c r="AQ606" s="115"/>
      <x:c r="AR606" s="115"/>
      <x:c r="AS606" s="115"/>
      <x:c r="AT606" s="115"/>
      <x:c r="AU606" s="115"/>
      <x:c r="AV606" s="115"/>
      <x:c r="AW606" s="115"/>
      <x:c r="AX606" s="115"/>
      <x:c r="AY606" s="115"/>
      <x:c r="AZ606" s="115"/>
      <x:c r="BA606" s="115"/>
      <x:c r="BB606" s="115"/>
      <x:c r="BC606" s="115"/>
      <x:c r="BD606" s="115"/>
      <x:c r="BE606" s="115"/>
      <x:c r="BF606" s="115"/>
      <x:c r="BG606" s="115"/>
      <x:c r="BH606" s="115"/>
      <x:c r="BI606" s="115"/>
      <x:c r="BJ606" s="115"/>
      <x:c r="BK606" s="115"/>
      <x:c r="BL606" s="115"/>
      <x:c r="BM606" s="115"/>
      <x:c r="BN606" s="115"/>
      <x:c r="BO606" s="115"/>
      <x:c r="BP606" s="115"/>
      <x:c r="BQ606" s="115"/>
      <x:c r="BR606" s="115"/>
      <x:c r="BS606" s="115"/>
      <x:c r="BT606" s="115"/>
      <x:c r="BU606" s="115"/>
      <x:c r="BV606" s="115"/>
      <x:c r="BW606" s="115"/>
      <x:c r="BX606" s="115"/>
      <x:c r="BY606" s="115"/>
      <x:c r="BZ606" s="115"/>
      <x:c r="CA606" s="115"/>
      <x:c r="CB606" s="116"/>
      <x:c r="CC606" s="141" t="str">
        <x:f>IF(COUNT(G606:P606)=0,"",AVERAGE(G606:P606)*4)</x:f>
      </x:c>
      <x:c r="CD606" s="178" t="str">
        <x:f>IF(COUNT(Q606:Z606)=0,"",AVERAGE(Q606:Z606)*4)</x:f>
      </x:c>
      <x:c r="CE606" s="178" t="str">
        <x:f>IF(COUNT(AA606:AJ606)=0,"",AVERAGE(AA606:AJ606)*4)</x:f>
      </x:c>
      <x:c r="CF606" s="178" t="str">
        <x:f>IF(COUNT(AK606:AR606)=0,"",AVERAGE(AK606:AR606)*4)</x:f>
      </x:c>
      <x:c r="CG606" s="178" t="str">
        <x:f>IF(COUNT(AS606:AY606)=0,"",AVERAGE(AS606:AY606)*4)</x:f>
      </x:c>
      <x:c r="CH606" s="178" t="str">
        <x:f>IF(COUNT(AZ606:BG606)=0,"",AVERAGE(AZ606:BG606)*4)</x:f>
      </x:c>
      <x:c r="CI606" s="178" t="str">
        <x:f>IF(COUNT(BH606:BN606)=0,"",AVERAGE(BH606:BN606)*4)</x:f>
      </x:c>
      <x:c r="CJ606" s="178" t="str">
        <x:f>IF(COUNT(BO606:BU606)=0,"",AVERAGE(BO606:BU606)*4)</x:f>
      </x:c>
      <x:c r="CK606" s="178" t="str">
        <x:f>IF(COUNT(BV606:CB606)=0,"",AVERAGE(BV606:CB606)*4)</x:f>
      </x:c>
      <x:c r="CL606" s="178" t="str">
        <x:f>IF(C606="","",IF(COUNT(G606:CB606)&lt;74,"",(CC606*'تنظیمات وزن‌دهی'!$C$5+CD606*'تنظیمات وزن‌دهی'!$C$6+CE606*'تنظیمات وزن‌دهی'!$C$7+CF606*'تنظیمات وزن‌دهی'!$C$8+CG606*'تنظیمات وزن‌دهی'!$C$9+CH606*'تنظیمات وزن‌دهی'!$C$10+CI606*'تنظیمات وزن‌دهی'!$C$11+CJ606*'تنظیمات وزن‌دهی'!$C$12+CK606*'تنظیمات وزن‌دهی'!$C$13)/100))</x:f>
      </x:c>
      <x:c r="CM606" s="178" t="str">
        <x:f>IF(C606="","",IF(COUNT(G606:CB606)=0,"",IF(COUNT(G606:CB606)&lt;74,"موقت - اطلاعات ناقص",IF(CL606&gt;=17,"عالی",IF(CL606&gt;=14,"خوب",IF(CL606&gt;=10,"متوسط","ضعیف"))))))</x:f>
      </x:c>
      <x:c r="CN606" s="178" t="n">
        <x:v>2</x:v>
      </x:c>
      <x:c r="CO606" s="142" t="n">
        <x:f>IF(C606="","",COUNT(G606:CB606)/74)</x:f>
        <x:v>0</x:v>
      </x:c>
      <x:c r="CP606" s="245"/>
    </x:row>
    <x:row r="607">
      <x:c r="A607" s="165" t="n">
        <x:v>603</x:v>
      </x:c>
      <x:c r="B607" s="233" t="str">
        <x:v>شهریور</x:v>
      </x:c>
      <x:c r="C607" s="233" t="n">
        <x:f>IF('دانش‌آموزان'!E55="","",'دانش‌آموزان'!B55)</x:f>
        <x:v>51</x:v>
      </x:c>
      <x:c r="D607" s="233" t="str">
        <x:f>IF('دانش‌آموزان'!C55="","",'دانش‌آموزان'!C55)</x:f>
        <x:v>4000000519</x:v>
      </x:c>
      <x:c r="E607" s="233" t="str">
        <x:f>IF('دانش‌آموزان'!E55="","",'دانش‌آموزان'!E55&amp;" "&amp;'دانش‌آموزان'!F55)</x:f>
        <x:v>پارسا موسوی</x:v>
      </x:c>
      <x:c r="F607" s="166" t="str">
        <x:f>IF('دانش‌آموزان'!I55="","",'دانش‌آموزان'!I55)</x:f>
        <x:v>sample-7-c</x:v>
      </x:c>
      <x:c r="G607" s="114"/>
      <x:c r="H607" s="115"/>
      <x:c r="I607" s="115"/>
      <x:c r="J607" s="115"/>
      <x:c r="K607" s="115"/>
      <x:c r="L607" s="115"/>
      <x:c r="M607" s="115"/>
      <x:c r="N607" s="115"/>
      <x:c r="O607" s="115"/>
      <x:c r="P607" s="115"/>
      <x:c r="Q607" s="115"/>
      <x:c r="R607" s="115"/>
      <x:c r="S607" s="115"/>
      <x:c r="T607" s="115"/>
      <x:c r="U607" s="115"/>
      <x:c r="V607" s="115"/>
      <x:c r="W607" s="115"/>
      <x:c r="X607" s="115"/>
      <x:c r="Y607" s="115"/>
      <x:c r="Z607" s="115"/>
      <x:c r="AA607" s="115"/>
      <x:c r="AB607" s="115"/>
      <x:c r="AC607" s="115"/>
      <x:c r="AD607" s="115"/>
      <x:c r="AE607" s="115"/>
      <x:c r="AF607" s="115"/>
      <x:c r="AG607" s="115"/>
      <x:c r="AH607" s="115"/>
      <x:c r="AI607" s="115"/>
      <x:c r="AJ607" s="115"/>
      <x:c r="AK607" s="115"/>
      <x:c r="AL607" s="115"/>
      <x:c r="AM607" s="115"/>
      <x:c r="AN607" s="115"/>
      <x:c r="AO607" s="115"/>
      <x:c r="AP607" s="115"/>
      <x:c r="AQ607" s="115"/>
      <x:c r="AR607" s="115"/>
      <x:c r="AS607" s="115"/>
      <x:c r="AT607" s="115"/>
      <x:c r="AU607" s="115"/>
      <x:c r="AV607" s="115"/>
      <x:c r="AW607" s="115"/>
      <x:c r="AX607" s="115"/>
      <x:c r="AY607" s="115"/>
      <x:c r="AZ607" s="115"/>
      <x:c r="BA607" s="115"/>
      <x:c r="BB607" s="115"/>
      <x:c r="BC607" s="115"/>
      <x:c r="BD607" s="115"/>
      <x:c r="BE607" s="115"/>
      <x:c r="BF607" s="115"/>
      <x:c r="BG607" s="115"/>
      <x:c r="BH607" s="115"/>
      <x:c r="BI607" s="115"/>
      <x:c r="BJ607" s="115"/>
      <x:c r="BK607" s="115"/>
      <x:c r="BL607" s="115"/>
      <x:c r="BM607" s="115"/>
      <x:c r="BN607" s="115"/>
      <x:c r="BO607" s="115"/>
      <x:c r="BP607" s="115"/>
      <x:c r="BQ607" s="115"/>
      <x:c r="BR607" s="115"/>
      <x:c r="BS607" s="115"/>
      <x:c r="BT607" s="115"/>
      <x:c r="BU607" s="115"/>
      <x:c r="BV607" s="115"/>
      <x:c r="BW607" s="115"/>
      <x:c r="BX607" s="115"/>
      <x:c r="BY607" s="115"/>
      <x:c r="BZ607" s="115"/>
      <x:c r="CA607" s="115"/>
      <x:c r="CB607" s="116"/>
      <x:c r="CC607" s="141" t="str">
        <x:f>IF(COUNT(G607:P607)=0,"",AVERAGE(G607:P607)*4)</x:f>
      </x:c>
      <x:c r="CD607" s="178" t="str">
        <x:f>IF(COUNT(Q607:Z607)=0,"",AVERAGE(Q607:Z607)*4)</x:f>
      </x:c>
      <x:c r="CE607" s="178" t="str">
        <x:f>IF(COUNT(AA607:AJ607)=0,"",AVERAGE(AA607:AJ607)*4)</x:f>
      </x:c>
      <x:c r="CF607" s="178" t="str">
        <x:f>IF(COUNT(AK607:AR607)=0,"",AVERAGE(AK607:AR607)*4)</x:f>
      </x:c>
      <x:c r="CG607" s="178" t="str">
        <x:f>IF(COUNT(AS607:AY607)=0,"",AVERAGE(AS607:AY607)*4)</x:f>
      </x:c>
      <x:c r="CH607" s="178" t="str">
        <x:f>IF(COUNT(AZ607:BG607)=0,"",AVERAGE(AZ607:BG607)*4)</x:f>
      </x:c>
      <x:c r="CI607" s="178" t="str">
        <x:f>IF(COUNT(BH607:BN607)=0,"",AVERAGE(BH607:BN607)*4)</x:f>
      </x:c>
      <x:c r="CJ607" s="178" t="str">
        <x:f>IF(COUNT(BO607:BU607)=0,"",AVERAGE(BO607:BU607)*4)</x:f>
      </x:c>
      <x:c r="CK607" s="178" t="str">
        <x:f>IF(COUNT(BV607:CB607)=0,"",AVERAGE(BV607:CB607)*4)</x:f>
      </x:c>
      <x:c r="CL607" s="178" t="str">
        <x:f>IF(C607="","",IF(COUNT(G607:CB607)&lt;74,"",(CC607*'تنظیمات وزن‌دهی'!$C$5+CD607*'تنظیمات وزن‌دهی'!$C$6+CE607*'تنظیمات وزن‌دهی'!$C$7+CF607*'تنظیمات وزن‌دهی'!$C$8+CG607*'تنظیمات وزن‌دهی'!$C$9+CH607*'تنظیمات وزن‌دهی'!$C$10+CI607*'تنظیمات وزن‌دهی'!$C$11+CJ607*'تنظیمات وزن‌دهی'!$C$12+CK607*'تنظیمات وزن‌دهی'!$C$13)/100))</x:f>
      </x:c>
      <x:c r="CM607" s="178" t="str">
        <x:f>IF(C607="","",IF(COUNT(G607:CB607)=0,"",IF(COUNT(G607:CB607)&lt;74,"موقت - اطلاعات ناقص",IF(CL607&gt;=17,"عالی",IF(CL607&gt;=14,"خوب",IF(CL607&gt;=10,"متوسط","ضعیف"))))))</x:f>
      </x:c>
      <x:c r="CN607" s="178" t="n">
        <x:v>3</x:v>
      </x:c>
      <x:c r="CO607" s="142" t="n">
        <x:f>IF(C607="","",COUNT(G607:CB607)/74)</x:f>
        <x:v>0</x:v>
      </x:c>
      <x:c r="CP607" s="245"/>
    </x:row>
    <x:row r="608">
      <x:c r="A608" s="165" t="n">
        <x:v>604</x:v>
      </x:c>
      <x:c r="B608" s="233" t="str">
        <x:v>مهر</x:v>
      </x:c>
      <x:c r="C608" s="233" t="n">
        <x:f>IF('دانش‌آموزان'!E55="","",'دانش‌آموزان'!B55)</x:f>
        <x:v>51</x:v>
      </x:c>
      <x:c r="D608" s="233" t="str">
        <x:f>IF('دانش‌آموزان'!C55="","",'دانش‌آموزان'!C55)</x:f>
        <x:v>4000000519</x:v>
      </x:c>
      <x:c r="E608" s="233" t="str">
        <x:f>IF('دانش‌آموزان'!E55="","",'دانش‌آموزان'!E55&amp;" "&amp;'دانش‌آموزان'!F55)</x:f>
        <x:v>پارسا موسوی</x:v>
      </x:c>
      <x:c r="F608" s="166" t="str">
        <x:f>IF('دانش‌آموزان'!I55="","",'دانش‌آموزان'!I55)</x:f>
        <x:v>sample-7-c</x:v>
      </x:c>
      <x:c r="G608" s="114"/>
      <x:c r="H608" s="115"/>
      <x:c r="I608" s="115"/>
      <x:c r="J608" s="115"/>
      <x:c r="K608" s="115"/>
      <x:c r="L608" s="115"/>
      <x:c r="M608" s="115"/>
      <x:c r="N608" s="115"/>
      <x:c r="O608" s="115"/>
      <x:c r="P608" s="115"/>
      <x:c r="Q608" s="115"/>
      <x:c r="R608" s="115"/>
      <x:c r="S608" s="115"/>
      <x:c r="T608" s="115"/>
      <x:c r="U608" s="115"/>
      <x:c r="V608" s="115"/>
      <x:c r="W608" s="115"/>
      <x:c r="X608" s="115"/>
      <x:c r="Y608" s="115"/>
      <x:c r="Z608" s="115"/>
      <x:c r="AA608" s="115"/>
      <x:c r="AB608" s="115"/>
      <x:c r="AC608" s="115"/>
      <x:c r="AD608" s="115"/>
      <x:c r="AE608" s="115"/>
      <x:c r="AF608" s="115"/>
      <x:c r="AG608" s="115"/>
      <x:c r="AH608" s="115"/>
      <x:c r="AI608" s="115"/>
      <x:c r="AJ608" s="115"/>
      <x:c r="AK608" s="115"/>
      <x:c r="AL608" s="115"/>
      <x:c r="AM608" s="115"/>
      <x:c r="AN608" s="115"/>
      <x:c r="AO608" s="115"/>
      <x:c r="AP608" s="115"/>
      <x:c r="AQ608" s="115"/>
      <x:c r="AR608" s="115"/>
      <x:c r="AS608" s="115"/>
      <x:c r="AT608" s="115"/>
      <x:c r="AU608" s="115"/>
      <x:c r="AV608" s="115"/>
      <x:c r="AW608" s="115"/>
      <x:c r="AX608" s="115"/>
      <x:c r="AY608" s="115"/>
      <x:c r="AZ608" s="115"/>
      <x:c r="BA608" s="115"/>
      <x:c r="BB608" s="115"/>
      <x:c r="BC608" s="115"/>
      <x:c r="BD608" s="115"/>
      <x:c r="BE608" s="115"/>
      <x:c r="BF608" s="115"/>
      <x:c r="BG608" s="115"/>
      <x:c r="BH608" s="115"/>
      <x:c r="BI608" s="115"/>
      <x:c r="BJ608" s="115"/>
      <x:c r="BK608" s="115"/>
      <x:c r="BL608" s="115"/>
      <x:c r="BM608" s="115"/>
      <x:c r="BN608" s="115"/>
      <x:c r="BO608" s="115"/>
      <x:c r="BP608" s="115"/>
      <x:c r="BQ608" s="115"/>
      <x:c r="BR608" s="115"/>
      <x:c r="BS608" s="115"/>
      <x:c r="BT608" s="115"/>
      <x:c r="BU608" s="115"/>
      <x:c r="BV608" s="115"/>
      <x:c r="BW608" s="115"/>
      <x:c r="BX608" s="115"/>
      <x:c r="BY608" s="115"/>
      <x:c r="BZ608" s="115"/>
      <x:c r="CA608" s="115"/>
      <x:c r="CB608" s="116"/>
      <x:c r="CC608" s="141" t="str">
        <x:f>IF(COUNT(G608:P608)=0,"",AVERAGE(G608:P608)*4)</x:f>
      </x:c>
      <x:c r="CD608" s="178" t="str">
        <x:f>IF(COUNT(Q608:Z608)=0,"",AVERAGE(Q608:Z608)*4)</x:f>
      </x:c>
      <x:c r="CE608" s="178" t="str">
        <x:f>IF(COUNT(AA608:AJ608)=0,"",AVERAGE(AA608:AJ608)*4)</x:f>
      </x:c>
      <x:c r="CF608" s="178" t="str">
        <x:f>IF(COUNT(AK608:AR608)=0,"",AVERAGE(AK608:AR608)*4)</x:f>
      </x:c>
      <x:c r="CG608" s="178" t="str">
        <x:f>IF(COUNT(AS608:AY608)=0,"",AVERAGE(AS608:AY608)*4)</x:f>
      </x:c>
      <x:c r="CH608" s="178" t="str">
        <x:f>IF(COUNT(AZ608:BG608)=0,"",AVERAGE(AZ608:BG608)*4)</x:f>
      </x:c>
      <x:c r="CI608" s="178" t="str">
        <x:f>IF(COUNT(BH608:BN608)=0,"",AVERAGE(BH608:BN608)*4)</x:f>
      </x:c>
      <x:c r="CJ608" s="178" t="str">
        <x:f>IF(COUNT(BO608:BU608)=0,"",AVERAGE(BO608:BU608)*4)</x:f>
      </x:c>
      <x:c r="CK608" s="178" t="str">
        <x:f>IF(COUNT(BV608:CB608)=0,"",AVERAGE(BV608:CB608)*4)</x:f>
      </x:c>
      <x:c r="CL608" s="178" t="str">
        <x:f>IF(C608="","",IF(COUNT(G608:CB608)&lt;74,"",(CC608*'تنظیمات وزن‌دهی'!$C$5+CD608*'تنظیمات وزن‌دهی'!$C$6+CE608*'تنظیمات وزن‌دهی'!$C$7+CF608*'تنظیمات وزن‌دهی'!$C$8+CG608*'تنظیمات وزن‌دهی'!$C$9+CH608*'تنظیمات وزن‌دهی'!$C$10+CI608*'تنظیمات وزن‌دهی'!$C$11+CJ608*'تنظیمات وزن‌دهی'!$C$12+CK608*'تنظیمات وزن‌دهی'!$C$13)/100))</x:f>
      </x:c>
      <x:c r="CM608" s="178" t="str">
        <x:f>IF(C608="","",IF(COUNT(G608:CB608)=0,"",IF(COUNT(G608:CB608)&lt;74,"موقت - اطلاعات ناقص",IF(CL608&gt;=17,"عالی",IF(CL608&gt;=14,"خوب",IF(CL608&gt;=10,"متوسط","ضعیف"))))))</x:f>
      </x:c>
      <x:c r="CN608" s="178" t="n">
        <x:v>4</x:v>
      </x:c>
      <x:c r="CO608" s="142" t="n">
        <x:f>IF(C608="","",COUNT(G608:CB608)/74)</x:f>
        <x:v>0</x:v>
      </x:c>
      <x:c r="CP608" s="245"/>
    </x:row>
    <x:row r="609">
      <x:c r="A609" s="165" t="n">
        <x:v>605</x:v>
      </x:c>
      <x:c r="B609" s="233" t="str">
        <x:v>آبان</x:v>
      </x:c>
      <x:c r="C609" s="233" t="n">
        <x:f>IF('دانش‌آموزان'!E55="","",'دانش‌آموزان'!B55)</x:f>
        <x:v>51</x:v>
      </x:c>
      <x:c r="D609" s="233" t="str">
        <x:f>IF('دانش‌آموزان'!C55="","",'دانش‌آموزان'!C55)</x:f>
        <x:v>4000000519</x:v>
      </x:c>
      <x:c r="E609" s="233" t="str">
        <x:f>IF('دانش‌آموزان'!E55="","",'دانش‌آموزان'!E55&amp;" "&amp;'دانش‌آموزان'!F55)</x:f>
        <x:v>پارسا موسوی</x:v>
      </x:c>
      <x:c r="F609" s="166" t="str">
        <x:f>IF('دانش‌آموزان'!I55="","",'دانش‌آموزان'!I55)</x:f>
        <x:v>sample-7-c</x:v>
      </x:c>
      <x:c r="G609" s="114"/>
      <x:c r="H609" s="115"/>
      <x:c r="I609" s="115"/>
      <x:c r="J609" s="115"/>
      <x:c r="K609" s="115"/>
      <x:c r="L609" s="115"/>
      <x:c r="M609" s="115"/>
      <x:c r="N609" s="115"/>
      <x:c r="O609" s="115"/>
      <x:c r="P609" s="115"/>
      <x:c r="Q609" s="115"/>
      <x:c r="R609" s="115"/>
      <x:c r="S609" s="115"/>
      <x:c r="T609" s="115"/>
      <x:c r="U609" s="115"/>
      <x:c r="V609" s="115"/>
      <x:c r="W609" s="115"/>
      <x:c r="X609" s="115"/>
      <x:c r="Y609" s="115"/>
      <x:c r="Z609" s="115"/>
      <x:c r="AA609" s="115"/>
      <x:c r="AB609" s="115"/>
      <x:c r="AC609" s="115"/>
      <x:c r="AD609" s="115"/>
      <x:c r="AE609" s="115"/>
      <x:c r="AF609" s="115"/>
      <x:c r="AG609" s="115"/>
      <x:c r="AH609" s="115"/>
      <x:c r="AI609" s="115"/>
      <x:c r="AJ609" s="115"/>
      <x:c r="AK609" s="115"/>
      <x:c r="AL609" s="115"/>
      <x:c r="AM609" s="115"/>
      <x:c r="AN609" s="115"/>
      <x:c r="AO609" s="115"/>
      <x:c r="AP609" s="115"/>
      <x:c r="AQ609" s="115"/>
      <x:c r="AR609" s="115"/>
      <x:c r="AS609" s="115"/>
      <x:c r="AT609" s="115"/>
      <x:c r="AU609" s="115"/>
      <x:c r="AV609" s="115"/>
      <x:c r="AW609" s="115"/>
      <x:c r="AX609" s="115"/>
      <x:c r="AY609" s="115"/>
      <x:c r="AZ609" s="115"/>
      <x:c r="BA609" s="115"/>
      <x:c r="BB609" s="115"/>
      <x:c r="BC609" s="115"/>
      <x:c r="BD609" s="115"/>
      <x:c r="BE609" s="115"/>
      <x:c r="BF609" s="115"/>
      <x:c r="BG609" s="115"/>
      <x:c r="BH609" s="115"/>
      <x:c r="BI609" s="115"/>
      <x:c r="BJ609" s="115"/>
      <x:c r="BK609" s="115"/>
      <x:c r="BL609" s="115"/>
      <x:c r="BM609" s="115"/>
      <x:c r="BN609" s="115"/>
      <x:c r="BO609" s="115"/>
      <x:c r="BP609" s="115"/>
      <x:c r="BQ609" s="115"/>
      <x:c r="BR609" s="115"/>
      <x:c r="BS609" s="115"/>
      <x:c r="BT609" s="115"/>
      <x:c r="BU609" s="115"/>
      <x:c r="BV609" s="115"/>
      <x:c r="BW609" s="115"/>
      <x:c r="BX609" s="115"/>
      <x:c r="BY609" s="115"/>
      <x:c r="BZ609" s="115"/>
      <x:c r="CA609" s="115"/>
      <x:c r="CB609" s="116"/>
      <x:c r="CC609" s="141" t="str">
        <x:f>IF(COUNT(G609:P609)=0,"",AVERAGE(G609:P609)*4)</x:f>
      </x:c>
      <x:c r="CD609" s="178" t="str">
        <x:f>IF(COUNT(Q609:Z609)=0,"",AVERAGE(Q609:Z609)*4)</x:f>
      </x:c>
      <x:c r="CE609" s="178" t="str">
        <x:f>IF(COUNT(AA609:AJ609)=0,"",AVERAGE(AA609:AJ609)*4)</x:f>
      </x:c>
      <x:c r="CF609" s="178" t="str">
        <x:f>IF(COUNT(AK609:AR609)=0,"",AVERAGE(AK609:AR609)*4)</x:f>
      </x:c>
      <x:c r="CG609" s="178" t="str">
        <x:f>IF(COUNT(AS609:AY609)=0,"",AVERAGE(AS609:AY609)*4)</x:f>
      </x:c>
      <x:c r="CH609" s="178" t="str">
        <x:f>IF(COUNT(AZ609:BG609)=0,"",AVERAGE(AZ609:BG609)*4)</x:f>
      </x:c>
      <x:c r="CI609" s="178" t="str">
        <x:f>IF(COUNT(BH609:BN609)=0,"",AVERAGE(BH609:BN609)*4)</x:f>
      </x:c>
      <x:c r="CJ609" s="178" t="str">
        <x:f>IF(COUNT(BO609:BU609)=0,"",AVERAGE(BO609:BU609)*4)</x:f>
      </x:c>
      <x:c r="CK609" s="178" t="str">
        <x:f>IF(COUNT(BV609:CB609)=0,"",AVERAGE(BV609:CB609)*4)</x:f>
      </x:c>
      <x:c r="CL609" s="178" t="str">
        <x:f>IF(C609="","",IF(COUNT(G609:CB609)&lt;74,"",(CC609*'تنظیمات وزن‌دهی'!$C$5+CD609*'تنظیمات وزن‌دهی'!$C$6+CE609*'تنظیمات وزن‌دهی'!$C$7+CF609*'تنظیمات وزن‌دهی'!$C$8+CG609*'تنظیمات وزن‌دهی'!$C$9+CH609*'تنظیمات وزن‌دهی'!$C$10+CI609*'تنظیمات وزن‌دهی'!$C$11+CJ609*'تنظیمات وزن‌دهی'!$C$12+CK609*'تنظیمات وزن‌دهی'!$C$13)/100))</x:f>
      </x:c>
      <x:c r="CM609" s="178" t="str">
        <x:f>IF(C609="","",IF(COUNT(G609:CB609)=0,"",IF(COUNT(G609:CB609)&lt;74,"موقت - اطلاعات ناقص",IF(CL609&gt;=17,"عالی",IF(CL609&gt;=14,"خوب",IF(CL609&gt;=10,"متوسط","ضعیف"))))))</x:f>
      </x:c>
      <x:c r="CN609" s="178" t="n">
        <x:v>5</x:v>
      </x:c>
      <x:c r="CO609" s="142" t="n">
        <x:f>IF(C609="","",COUNT(G609:CB609)/74)</x:f>
        <x:v>0</x:v>
      </x:c>
      <x:c r="CP609" s="245"/>
    </x:row>
    <x:row r="610">
      <x:c r="A610" s="165" t="n">
        <x:v>606</x:v>
      </x:c>
      <x:c r="B610" s="233" t="str">
        <x:v>آذر</x:v>
      </x:c>
      <x:c r="C610" s="233" t="n">
        <x:f>IF('دانش‌آموزان'!E55="","",'دانش‌آموزان'!B55)</x:f>
        <x:v>51</x:v>
      </x:c>
      <x:c r="D610" s="233" t="str">
        <x:f>IF('دانش‌آموزان'!C55="","",'دانش‌آموزان'!C55)</x:f>
        <x:v>4000000519</x:v>
      </x:c>
      <x:c r="E610" s="233" t="str">
        <x:f>IF('دانش‌آموزان'!E55="","",'دانش‌آموزان'!E55&amp;" "&amp;'دانش‌آموزان'!F55)</x:f>
        <x:v>پارسا موسوی</x:v>
      </x:c>
      <x:c r="F610" s="166" t="str">
        <x:f>IF('دانش‌آموزان'!I55="","",'دانش‌آموزان'!I55)</x:f>
        <x:v>sample-7-c</x:v>
      </x:c>
      <x:c r="G610" s="114"/>
      <x:c r="H610" s="115"/>
      <x:c r="I610" s="115"/>
      <x:c r="J610" s="115"/>
      <x:c r="K610" s="115"/>
      <x:c r="L610" s="115"/>
      <x:c r="M610" s="115"/>
      <x:c r="N610" s="115"/>
      <x:c r="O610" s="115"/>
      <x:c r="P610" s="115"/>
      <x:c r="Q610" s="115"/>
      <x:c r="R610" s="115"/>
      <x:c r="S610" s="115"/>
      <x:c r="T610" s="115"/>
      <x:c r="U610" s="115"/>
      <x:c r="V610" s="115"/>
      <x:c r="W610" s="115"/>
      <x:c r="X610" s="115"/>
      <x:c r="Y610" s="115"/>
      <x:c r="Z610" s="115"/>
      <x:c r="AA610" s="115"/>
      <x:c r="AB610" s="115"/>
      <x:c r="AC610" s="115"/>
      <x:c r="AD610" s="115"/>
      <x:c r="AE610" s="115"/>
      <x:c r="AF610" s="115"/>
      <x:c r="AG610" s="115"/>
      <x:c r="AH610" s="115"/>
      <x:c r="AI610" s="115"/>
      <x:c r="AJ610" s="115"/>
      <x:c r="AK610" s="115"/>
      <x:c r="AL610" s="115"/>
      <x:c r="AM610" s="115"/>
      <x:c r="AN610" s="115"/>
      <x:c r="AO610" s="115"/>
      <x:c r="AP610" s="115"/>
      <x:c r="AQ610" s="115"/>
      <x:c r="AR610" s="115"/>
      <x:c r="AS610" s="115"/>
      <x:c r="AT610" s="115"/>
      <x:c r="AU610" s="115"/>
      <x:c r="AV610" s="115"/>
      <x:c r="AW610" s="115"/>
      <x:c r="AX610" s="115"/>
      <x:c r="AY610" s="115"/>
      <x:c r="AZ610" s="115"/>
      <x:c r="BA610" s="115"/>
      <x:c r="BB610" s="115"/>
      <x:c r="BC610" s="115"/>
      <x:c r="BD610" s="115"/>
      <x:c r="BE610" s="115"/>
      <x:c r="BF610" s="115"/>
      <x:c r="BG610" s="115"/>
      <x:c r="BH610" s="115"/>
      <x:c r="BI610" s="115"/>
      <x:c r="BJ610" s="115"/>
      <x:c r="BK610" s="115"/>
      <x:c r="BL610" s="115"/>
      <x:c r="BM610" s="115"/>
      <x:c r="BN610" s="115"/>
      <x:c r="BO610" s="115"/>
      <x:c r="BP610" s="115"/>
      <x:c r="BQ610" s="115"/>
      <x:c r="BR610" s="115"/>
      <x:c r="BS610" s="115"/>
      <x:c r="BT610" s="115"/>
      <x:c r="BU610" s="115"/>
      <x:c r="BV610" s="115"/>
      <x:c r="BW610" s="115"/>
      <x:c r="BX610" s="115"/>
      <x:c r="BY610" s="115"/>
      <x:c r="BZ610" s="115"/>
      <x:c r="CA610" s="115"/>
      <x:c r="CB610" s="116"/>
      <x:c r="CC610" s="141" t="str">
        <x:f>IF(COUNT(G610:P610)=0,"",AVERAGE(G610:P610)*4)</x:f>
      </x:c>
      <x:c r="CD610" s="178" t="str">
        <x:f>IF(COUNT(Q610:Z610)=0,"",AVERAGE(Q610:Z610)*4)</x:f>
      </x:c>
      <x:c r="CE610" s="178" t="str">
        <x:f>IF(COUNT(AA610:AJ610)=0,"",AVERAGE(AA610:AJ610)*4)</x:f>
      </x:c>
      <x:c r="CF610" s="178" t="str">
        <x:f>IF(COUNT(AK610:AR610)=0,"",AVERAGE(AK610:AR610)*4)</x:f>
      </x:c>
      <x:c r="CG610" s="178" t="str">
        <x:f>IF(COUNT(AS610:AY610)=0,"",AVERAGE(AS610:AY610)*4)</x:f>
      </x:c>
      <x:c r="CH610" s="178" t="str">
        <x:f>IF(COUNT(AZ610:BG610)=0,"",AVERAGE(AZ610:BG610)*4)</x:f>
      </x:c>
      <x:c r="CI610" s="178" t="str">
        <x:f>IF(COUNT(BH610:BN610)=0,"",AVERAGE(BH610:BN610)*4)</x:f>
      </x:c>
      <x:c r="CJ610" s="178" t="str">
        <x:f>IF(COUNT(BO610:BU610)=0,"",AVERAGE(BO610:BU610)*4)</x:f>
      </x:c>
      <x:c r="CK610" s="178" t="str">
        <x:f>IF(COUNT(BV610:CB610)=0,"",AVERAGE(BV610:CB610)*4)</x:f>
      </x:c>
      <x:c r="CL610" s="178" t="str">
        <x:f>IF(C610="","",IF(COUNT(G610:CB610)&lt;74,"",(CC610*'تنظیمات وزن‌دهی'!$C$5+CD610*'تنظیمات وزن‌دهی'!$C$6+CE610*'تنظیمات وزن‌دهی'!$C$7+CF610*'تنظیمات وزن‌دهی'!$C$8+CG610*'تنظیمات وزن‌دهی'!$C$9+CH610*'تنظیمات وزن‌دهی'!$C$10+CI610*'تنظیمات وزن‌دهی'!$C$11+CJ610*'تنظیمات وزن‌دهی'!$C$12+CK610*'تنظیمات وزن‌دهی'!$C$13)/100))</x:f>
      </x:c>
      <x:c r="CM610" s="178" t="str">
        <x:f>IF(C610="","",IF(COUNT(G610:CB610)=0,"",IF(COUNT(G610:CB610)&lt;74,"موقت - اطلاعات ناقص",IF(CL610&gt;=17,"عالی",IF(CL610&gt;=14,"خوب",IF(CL610&gt;=10,"متوسط","ضعیف"))))))</x:f>
      </x:c>
      <x:c r="CN610" s="178" t="n">
        <x:v>6</x:v>
      </x:c>
      <x:c r="CO610" s="142" t="n">
        <x:f>IF(C610="","",COUNT(G610:CB610)/74)</x:f>
        <x:v>0</x:v>
      </x:c>
      <x:c r="CP610" s="245"/>
    </x:row>
    <x:row r="611">
      <x:c r="A611" s="165" t="n">
        <x:v>607</x:v>
      </x:c>
      <x:c r="B611" s="233" t="str">
        <x:v>دی</x:v>
      </x:c>
      <x:c r="C611" s="233" t="n">
        <x:f>IF('دانش‌آموزان'!E55="","",'دانش‌آموزان'!B55)</x:f>
        <x:v>51</x:v>
      </x:c>
      <x:c r="D611" s="233" t="str">
        <x:f>IF('دانش‌آموزان'!C55="","",'دانش‌آموزان'!C55)</x:f>
        <x:v>4000000519</x:v>
      </x:c>
      <x:c r="E611" s="233" t="str">
        <x:f>IF('دانش‌آموزان'!E55="","",'دانش‌آموزان'!E55&amp;" "&amp;'دانش‌آموزان'!F55)</x:f>
        <x:v>پارسا موسوی</x:v>
      </x:c>
      <x:c r="F611" s="166" t="str">
        <x:f>IF('دانش‌آموزان'!I55="","",'دانش‌آموزان'!I55)</x:f>
        <x:v>sample-7-c</x:v>
      </x:c>
      <x:c r="G611" s="114"/>
      <x:c r="H611" s="115"/>
      <x:c r="I611" s="115"/>
      <x:c r="J611" s="115"/>
      <x:c r="K611" s="115"/>
      <x:c r="L611" s="115"/>
      <x:c r="M611" s="115"/>
      <x:c r="N611" s="115"/>
      <x:c r="O611" s="115"/>
      <x:c r="P611" s="115"/>
      <x:c r="Q611" s="115"/>
      <x:c r="R611" s="115"/>
      <x:c r="S611" s="115"/>
      <x:c r="T611" s="115"/>
      <x:c r="U611" s="115"/>
      <x:c r="V611" s="115"/>
      <x:c r="W611" s="115"/>
      <x:c r="X611" s="115"/>
      <x:c r="Y611" s="115"/>
      <x:c r="Z611" s="115"/>
      <x:c r="AA611" s="115"/>
      <x:c r="AB611" s="115"/>
      <x:c r="AC611" s="115"/>
      <x:c r="AD611" s="115"/>
      <x:c r="AE611" s="115"/>
      <x:c r="AF611" s="115"/>
      <x:c r="AG611" s="115"/>
      <x:c r="AH611" s="115"/>
      <x:c r="AI611" s="115"/>
      <x:c r="AJ611" s="115"/>
      <x:c r="AK611" s="115"/>
      <x:c r="AL611" s="115"/>
      <x:c r="AM611" s="115"/>
      <x:c r="AN611" s="115"/>
      <x:c r="AO611" s="115"/>
      <x:c r="AP611" s="115"/>
      <x:c r="AQ611" s="115"/>
      <x:c r="AR611" s="115"/>
      <x:c r="AS611" s="115"/>
      <x:c r="AT611" s="115"/>
      <x:c r="AU611" s="115"/>
      <x:c r="AV611" s="115"/>
      <x:c r="AW611" s="115"/>
      <x:c r="AX611" s="115"/>
      <x:c r="AY611" s="115"/>
      <x:c r="AZ611" s="115"/>
      <x:c r="BA611" s="115"/>
      <x:c r="BB611" s="115"/>
      <x:c r="BC611" s="115"/>
      <x:c r="BD611" s="115"/>
      <x:c r="BE611" s="115"/>
      <x:c r="BF611" s="115"/>
      <x:c r="BG611" s="115"/>
      <x:c r="BH611" s="115"/>
      <x:c r="BI611" s="115"/>
      <x:c r="BJ611" s="115"/>
      <x:c r="BK611" s="115"/>
      <x:c r="BL611" s="115"/>
      <x:c r="BM611" s="115"/>
      <x:c r="BN611" s="115"/>
      <x:c r="BO611" s="115"/>
      <x:c r="BP611" s="115"/>
      <x:c r="BQ611" s="115"/>
      <x:c r="BR611" s="115"/>
      <x:c r="BS611" s="115"/>
      <x:c r="BT611" s="115"/>
      <x:c r="BU611" s="115"/>
      <x:c r="BV611" s="115"/>
      <x:c r="BW611" s="115"/>
      <x:c r="BX611" s="115"/>
      <x:c r="BY611" s="115"/>
      <x:c r="BZ611" s="115"/>
      <x:c r="CA611" s="115"/>
      <x:c r="CB611" s="116"/>
      <x:c r="CC611" s="141" t="str">
        <x:f>IF(COUNT(G611:P611)=0,"",AVERAGE(G611:P611)*4)</x:f>
      </x:c>
      <x:c r="CD611" s="178" t="str">
        <x:f>IF(COUNT(Q611:Z611)=0,"",AVERAGE(Q611:Z611)*4)</x:f>
      </x:c>
      <x:c r="CE611" s="178" t="str">
        <x:f>IF(COUNT(AA611:AJ611)=0,"",AVERAGE(AA611:AJ611)*4)</x:f>
      </x:c>
      <x:c r="CF611" s="178" t="str">
        <x:f>IF(COUNT(AK611:AR611)=0,"",AVERAGE(AK611:AR611)*4)</x:f>
      </x:c>
      <x:c r="CG611" s="178" t="str">
        <x:f>IF(COUNT(AS611:AY611)=0,"",AVERAGE(AS611:AY611)*4)</x:f>
      </x:c>
      <x:c r="CH611" s="178" t="str">
        <x:f>IF(COUNT(AZ611:BG611)=0,"",AVERAGE(AZ611:BG611)*4)</x:f>
      </x:c>
      <x:c r="CI611" s="178" t="str">
        <x:f>IF(COUNT(BH611:BN611)=0,"",AVERAGE(BH611:BN611)*4)</x:f>
      </x:c>
      <x:c r="CJ611" s="178" t="str">
        <x:f>IF(COUNT(BO611:BU611)=0,"",AVERAGE(BO611:BU611)*4)</x:f>
      </x:c>
      <x:c r="CK611" s="178" t="str">
        <x:f>IF(COUNT(BV611:CB611)=0,"",AVERAGE(BV611:CB611)*4)</x:f>
      </x:c>
      <x:c r="CL611" s="178" t="str">
        <x:f>IF(C611="","",IF(COUNT(G611:CB611)&lt;74,"",(CC611*'تنظیمات وزن‌دهی'!$C$5+CD611*'تنظیمات وزن‌دهی'!$C$6+CE611*'تنظیمات وزن‌دهی'!$C$7+CF611*'تنظیمات وزن‌دهی'!$C$8+CG611*'تنظیمات وزن‌دهی'!$C$9+CH611*'تنظیمات وزن‌دهی'!$C$10+CI611*'تنظیمات وزن‌دهی'!$C$11+CJ611*'تنظیمات وزن‌دهی'!$C$12+CK611*'تنظیمات وزن‌دهی'!$C$13)/100))</x:f>
      </x:c>
      <x:c r="CM611" s="178" t="str">
        <x:f>IF(C611="","",IF(COUNT(G611:CB611)=0,"",IF(COUNT(G611:CB611)&lt;74,"موقت - اطلاعات ناقص",IF(CL611&gt;=17,"عالی",IF(CL611&gt;=14,"خوب",IF(CL611&gt;=10,"متوسط","ضعیف"))))))</x:f>
      </x:c>
      <x:c r="CN611" s="178" t="n">
        <x:v>7</x:v>
      </x:c>
      <x:c r="CO611" s="142" t="n">
        <x:f>IF(C611="","",COUNT(G611:CB611)/74)</x:f>
        <x:v>0</x:v>
      </x:c>
      <x:c r="CP611" s="245"/>
    </x:row>
    <x:row r="612">
      <x:c r="A612" s="165" t="n">
        <x:v>608</x:v>
      </x:c>
      <x:c r="B612" s="233" t="str">
        <x:v>بهمن</x:v>
      </x:c>
      <x:c r="C612" s="233" t="n">
        <x:f>IF('دانش‌آموزان'!E55="","",'دانش‌آموزان'!B55)</x:f>
        <x:v>51</x:v>
      </x:c>
      <x:c r="D612" s="233" t="str">
        <x:f>IF('دانش‌آموزان'!C55="","",'دانش‌آموزان'!C55)</x:f>
        <x:v>4000000519</x:v>
      </x:c>
      <x:c r="E612" s="233" t="str">
        <x:f>IF('دانش‌آموزان'!E55="","",'دانش‌آموزان'!E55&amp;" "&amp;'دانش‌آموزان'!F55)</x:f>
        <x:v>پارسا موسوی</x:v>
      </x:c>
      <x:c r="F612" s="166" t="str">
        <x:f>IF('دانش‌آموزان'!I55="","",'دانش‌آموزان'!I55)</x:f>
        <x:v>sample-7-c</x:v>
      </x:c>
      <x:c r="G612" s="114"/>
      <x:c r="H612" s="115"/>
      <x:c r="I612" s="115"/>
      <x:c r="J612" s="115"/>
      <x:c r="K612" s="115"/>
      <x:c r="L612" s="115"/>
      <x:c r="M612" s="115"/>
      <x:c r="N612" s="115"/>
      <x:c r="O612" s="115"/>
      <x:c r="P612" s="115"/>
      <x:c r="Q612" s="115"/>
      <x:c r="R612" s="115"/>
      <x:c r="S612" s="115"/>
      <x:c r="T612" s="115"/>
      <x:c r="U612" s="115"/>
      <x:c r="V612" s="115"/>
      <x:c r="W612" s="115"/>
      <x:c r="X612" s="115"/>
      <x:c r="Y612" s="115"/>
      <x:c r="Z612" s="115"/>
      <x:c r="AA612" s="115"/>
      <x:c r="AB612" s="115"/>
      <x:c r="AC612" s="115"/>
      <x:c r="AD612" s="115"/>
      <x:c r="AE612" s="115"/>
      <x:c r="AF612" s="115"/>
      <x:c r="AG612" s="115"/>
      <x:c r="AH612" s="115"/>
      <x:c r="AI612" s="115"/>
      <x:c r="AJ612" s="115"/>
      <x:c r="AK612" s="115"/>
      <x:c r="AL612" s="115"/>
      <x:c r="AM612" s="115"/>
      <x:c r="AN612" s="115"/>
      <x:c r="AO612" s="115"/>
      <x:c r="AP612" s="115"/>
      <x:c r="AQ612" s="115"/>
      <x:c r="AR612" s="115"/>
      <x:c r="AS612" s="115"/>
      <x:c r="AT612" s="115"/>
      <x:c r="AU612" s="115"/>
      <x:c r="AV612" s="115"/>
      <x:c r="AW612" s="115"/>
      <x:c r="AX612" s="115"/>
      <x:c r="AY612" s="115"/>
      <x:c r="AZ612" s="115"/>
      <x:c r="BA612" s="115"/>
      <x:c r="BB612" s="115"/>
      <x:c r="BC612" s="115"/>
      <x:c r="BD612" s="115"/>
      <x:c r="BE612" s="115"/>
      <x:c r="BF612" s="115"/>
      <x:c r="BG612" s="115"/>
      <x:c r="BH612" s="115"/>
      <x:c r="BI612" s="115"/>
      <x:c r="BJ612" s="115"/>
      <x:c r="BK612" s="115"/>
      <x:c r="BL612" s="115"/>
      <x:c r="BM612" s="115"/>
      <x:c r="BN612" s="115"/>
      <x:c r="BO612" s="115"/>
      <x:c r="BP612" s="115"/>
      <x:c r="BQ612" s="115"/>
      <x:c r="BR612" s="115"/>
      <x:c r="BS612" s="115"/>
      <x:c r="BT612" s="115"/>
      <x:c r="BU612" s="115"/>
      <x:c r="BV612" s="115"/>
      <x:c r="BW612" s="115"/>
      <x:c r="BX612" s="115"/>
      <x:c r="BY612" s="115"/>
      <x:c r="BZ612" s="115"/>
      <x:c r="CA612" s="115"/>
      <x:c r="CB612" s="116"/>
      <x:c r="CC612" s="141" t="str">
        <x:f>IF(COUNT(G612:P612)=0,"",AVERAGE(G612:P612)*4)</x:f>
      </x:c>
      <x:c r="CD612" s="178" t="str">
        <x:f>IF(COUNT(Q612:Z612)=0,"",AVERAGE(Q612:Z612)*4)</x:f>
      </x:c>
      <x:c r="CE612" s="178" t="str">
        <x:f>IF(COUNT(AA612:AJ612)=0,"",AVERAGE(AA612:AJ612)*4)</x:f>
      </x:c>
      <x:c r="CF612" s="178" t="str">
        <x:f>IF(COUNT(AK612:AR612)=0,"",AVERAGE(AK612:AR612)*4)</x:f>
      </x:c>
      <x:c r="CG612" s="178" t="str">
        <x:f>IF(COUNT(AS612:AY612)=0,"",AVERAGE(AS612:AY612)*4)</x:f>
      </x:c>
      <x:c r="CH612" s="178" t="str">
        <x:f>IF(COUNT(AZ612:BG612)=0,"",AVERAGE(AZ612:BG612)*4)</x:f>
      </x:c>
      <x:c r="CI612" s="178" t="str">
        <x:f>IF(COUNT(BH612:BN612)=0,"",AVERAGE(BH612:BN612)*4)</x:f>
      </x:c>
      <x:c r="CJ612" s="178" t="str">
        <x:f>IF(COUNT(BO612:BU612)=0,"",AVERAGE(BO612:BU612)*4)</x:f>
      </x:c>
      <x:c r="CK612" s="178" t="str">
        <x:f>IF(COUNT(BV612:CB612)=0,"",AVERAGE(BV612:CB612)*4)</x:f>
      </x:c>
      <x:c r="CL612" s="178" t="str">
        <x:f>IF(C612="","",IF(COUNT(G612:CB612)&lt;74,"",(CC612*'تنظیمات وزن‌دهی'!$C$5+CD612*'تنظیمات وزن‌دهی'!$C$6+CE612*'تنظیمات وزن‌دهی'!$C$7+CF612*'تنظیمات وزن‌دهی'!$C$8+CG612*'تنظیمات وزن‌دهی'!$C$9+CH612*'تنظیمات وزن‌دهی'!$C$10+CI612*'تنظیمات وزن‌دهی'!$C$11+CJ612*'تنظیمات وزن‌دهی'!$C$12+CK612*'تنظیمات وزن‌دهی'!$C$13)/100))</x:f>
      </x:c>
      <x:c r="CM612" s="178" t="str">
        <x:f>IF(C612="","",IF(COUNT(G612:CB612)=0,"",IF(COUNT(G612:CB612)&lt;74,"موقت - اطلاعات ناقص",IF(CL612&gt;=17,"عالی",IF(CL612&gt;=14,"خوب",IF(CL612&gt;=10,"متوسط","ضعیف"))))))</x:f>
      </x:c>
      <x:c r="CN612" s="178" t="n">
        <x:v>8</x:v>
      </x:c>
      <x:c r="CO612" s="142" t="n">
        <x:f>IF(C612="","",COUNT(G612:CB612)/74)</x:f>
        <x:v>0</x:v>
      </x:c>
      <x:c r="CP612" s="245"/>
    </x:row>
    <x:row r="613">
      <x:c r="A613" s="165" t="n">
        <x:v>609</x:v>
      </x:c>
      <x:c r="B613" s="233" t="str">
        <x:v>اسفند</x:v>
      </x:c>
      <x:c r="C613" s="233" t="n">
        <x:f>IF('دانش‌آموزان'!E55="","",'دانش‌آموزان'!B55)</x:f>
        <x:v>51</x:v>
      </x:c>
      <x:c r="D613" s="233" t="str">
        <x:f>IF('دانش‌آموزان'!C55="","",'دانش‌آموزان'!C55)</x:f>
        <x:v>4000000519</x:v>
      </x:c>
      <x:c r="E613" s="233" t="str">
        <x:f>IF('دانش‌آموزان'!E55="","",'دانش‌آموزان'!E55&amp;" "&amp;'دانش‌آموزان'!F55)</x:f>
        <x:v>پارسا موسوی</x:v>
      </x:c>
      <x:c r="F613" s="166" t="str">
        <x:f>IF('دانش‌آموزان'!I55="","",'دانش‌آموزان'!I55)</x:f>
        <x:v>sample-7-c</x:v>
      </x:c>
      <x:c r="G613" s="114"/>
      <x:c r="H613" s="115"/>
      <x:c r="I613" s="115"/>
      <x:c r="J613" s="115"/>
      <x:c r="K613" s="115"/>
      <x:c r="L613" s="115"/>
      <x:c r="M613" s="115"/>
      <x:c r="N613" s="115"/>
      <x:c r="O613" s="115"/>
      <x:c r="P613" s="115"/>
      <x:c r="Q613" s="115"/>
      <x:c r="R613" s="115"/>
      <x:c r="S613" s="115"/>
      <x:c r="T613" s="115"/>
      <x:c r="U613" s="115"/>
      <x:c r="V613" s="115"/>
      <x:c r="W613" s="115"/>
      <x:c r="X613" s="115"/>
      <x:c r="Y613" s="115"/>
      <x:c r="Z613" s="115"/>
      <x:c r="AA613" s="115"/>
      <x:c r="AB613" s="115"/>
      <x:c r="AC613" s="115"/>
      <x:c r="AD613" s="115"/>
      <x:c r="AE613" s="115"/>
      <x:c r="AF613" s="115"/>
      <x:c r="AG613" s="115"/>
      <x:c r="AH613" s="115"/>
      <x:c r="AI613" s="115"/>
      <x:c r="AJ613" s="115"/>
      <x:c r="AK613" s="115"/>
      <x:c r="AL613" s="115"/>
      <x:c r="AM613" s="115"/>
      <x:c r="AN613" s="115"/>
      <x:c r="AO613" s="115"/>
      <x:c r="AP613" s="115"/>
      <x:c r="AQ613" s="115"/>
      <x:c r="AR613" s="115"/>
      <x:c r="AS613" s="115"/>
      <x:c r="AT613" s="115"/>
      <x:c r="AU613" s="115"/>
      <x:c r="AV613" s="115"/>
      <x:c r="AW613" s="115"/>
      <x:c r="AX613" s="115"/>
      <x:c r="AY613" s="115"/>
      <x:c r="AZ613" s="115"/>
      <x:c r="BA613" s="115"/>
      <x:c r="BB613" s="115"/>
      <x:c r="BC613" s="115"/>
      <x:c r="BD613" s="115"/>
      <x:c r="BE613" s="115"/>
      <x:c r="BF613" s="115"/>
      <x:c r="BG613" s="115"/>
      <x:c r="BH613" s="115"/>
      <x:c r="BI613" s="115"/>
      <x:c r="BJ613" s="115"/>
      <x:c r="BK613" s="115"/>
      <x:c r="BL613" s="115"/>
      <x:c r="BM613" s="115"/>
      <x:c r="BN613" s="115"/>
      <x:c r="BO613" s="115"/>
      <x:c r="BP613" s="115"/>
      <x:c r="BQ613" s="115"/>
      <x:c r="BR613" s="115"/>
      <x:c r="BS613" s="115"/>
      <x:c r="BT613" s="115"/>
      <x:c r="BU613" s="115"/>
      <x:c r="BV613" s="115"/>
      <x:c r="BW613" s="115"/>
      <x:c r="BX613" s="115"/>
      <x:c r="BY613" s="115"/>
      <x:c r="BZ613" s="115"/>
      <x:c r="CA613" s="115"/>
      <x:c r="CB613" s="116"/>
      <x:c r="CC613" s="141" t="str">
        <x:f>IF(COUNT(G613:P613)=0,"",AVERAGE(G613:P613)*4)</x:f>
      </x:c>
      <x:c r="CD613" s="178" t="str">
        <x:f>IF(COUNT(Q613:Z613)=0,"",AVERAGE(Q613:Z613)*4)</x:f>
      </x:c>
      <x:c r="CE613" s="178" t="str">
        <x:f>IF(COUNT(AA613:AJ613)=0,"",AVERAGE(AA613:AJ613)*4)</x:f>
      </x:c>
      <x:c r="CF613" s="178" t="str">
        <x:f>IF(COUNT(AK613:AR613)=0,"",AVERAGE(AK613:AR613)*4)</x:f>
      </x:c>
      <x:c r="CG613" s="178" t="str">
        <x:f>IF(COUNT(AS613:AY613)=0,"",AVERAGE(AS613:AY613)*4)</x:f>
      </x:c>
      <x:c r="CH613" s="178" t="str">
        <x:f>IF(COUNT(AZ613:BG613)=0,"",AVERAGE(AZ613:BG613)*4)</x:f>
      </x:c>
      <x:c r="CI613" s="178" t="str">
        <x:f>IF(COUNT(BH613:BN613)=0,"",AVERAGE(BH613:BN613)*4)</x:f>
      </x:c>
      <x:c r="CJ613" s="178" t="str">
        <x:f>IF(COUNT(BO613:BU613)=0,"",AVERAGE(BO613:BU613)*4)</x:f>
      </x:c>
      <x:c r="CK613" s="178" t="str">
        <x:f>IF(COUNT(BV613:CB613)=0,"",AVERAGE(BV613:CB613)*4)</x:f>
      </x:c>
      <x:c r="CL613" s="178" t="str">
        <x:f>IF(C613="","",IF(COUNT(G613:CB613)&lt;74,"",(CC613*'تنظیمات وزن‌دهی'!$C$5+CD613*'تنظیمات وزن‌دهی'!$C$6+CE613*'تنظیمات وزن‌دهی'!$C$7+CF613*'تنظیمات وزن‌دهی'!$C$8+CG613*'تنظیمات وزن‌دهی'!$C$9+CH613*'تنظیمات وزن‌دهی'!$C$10+CI613*'تنظیمات وزن‌دهی'!$C$11+CJ613*'تنظیمات وزن‌دهی'!$C$12+CK613*'تنظیمات وزن‌دهی'!$C$13)/100))</x:f>
      </x:c>
      <x:c r="CM613" s="178" t="str">
        <x:f>IF(C613="","",IF(COUNT(G613:CB613)=0,"",IF(COUNT(G613:CB613)&lt;74,"موقت - اطلاعات ناقص",IF(CL613&gt;=17,"عالی",IF(CL613&gt;=14,"خوب",IF(CL613&gt;=10,"متوسط","ضعیف"))))))</x:f>
      </x:c>
      <x:c r="CN613" s="178" t="n">
        <x:v>9</x:v>
      </x:c>
      <x:c r="CO613" s="142" t="n">
        <x:f>IF(C613="","",COUNT(G613:CB613)/74)</x:f>
        <x:v>0</x:v>
      </x:c>
      <x:c r="CP613" s="245"/>
    </x:row>
    <x:row r="614">
      <x:c r="A614" s="165" t="n">
        <x:v>610</x:v>
      </x:c>
      <x:c r="B614" s="233" t="str">
        <x:v>فروردین</x:v>
      </x:c>
      <x:c r="C614" s="233" t="n">
        <x:f>IF('دانش‌آموزان'!E55="","",'دانش‌آموزان'!B55)</x:f>
        <x:v>51</x:v>
      </x:c>
      <x:c r="D614" s="233" t="str">
        <x:f>IF('دانش‌آموزان'!C55="","",'دانش‌آموزان'!C55)</x:f>
        <x:v>4000000519</x:v>
      </x:c>
      <x:c r="E614" s="233" t="str">
        <x:f>IF('دانش‌آموزان'!E55="","",'دانش‌آموزان'!E55&amp;" "&amp;'دانش‌آموزان'!F55)</x:f>
        <x:v>پارسا موسوی</x:v>
      </x:c>
      <x:c r="F614" s="166" t="str">
        <x:f>IF('دانش‌آموزان'!I55="","",'دانش‌آموزان'!I55)</x:f>
        <x:v>sample-7-c</x:v>
      </x:c>
      <x:c r="G614" s="114"/>
      <x:c r="H614" s="115"/>
      <x:c r="I614" s="115"/>
      <x:c r="J614" s="115"/>
      <x:c r="K614" s="115"/>
      <x:c r="L614" s="115"/>
      <x:c r="M614" s="115"/>
      <x:c r="N614" s="115"/>
      <x:c r="O614" s="115"/>
      <x:c r="P614" s="115"/>
      <x:c r="Q614" s="115"/>
      <x:c r="R614" s="115"/>
      <x:c r="S614" s="115"/>
      <x:c r="T614" s="115"/>
      <x:c r="U614" s="115"/>
      <x:c r="V614" s="115"/>
      <x:c r="W614" s="115"/>
      <x:c r="X614" s="115"/>
      <x:c r="Y614" s="115"/>
      <x:c r="Z614" s="115"/>
      <x:c r="AA614" s="115"/>
      <x:c r="AB614" s="115"/>
      <x:c r="AC614" s="115"/>
      <x:c r="AD614" s="115"/>
      <x:c r="AE614" s="115"/>
      <x:c r="AF614" s="115"/>
      <x:c r="AG614" s="115"/>
      <x:c r="AH614" s="115"/>
      <x:c r="AI614" s="115"/>
      <x:c r="AJ614" s="115"/>
      <x:c r="AK614" s="115"/>
      <x:c r="AL614" s="115"/>
      <x:c r="AM614" s="115"/>
      <x:c r="AN614" s="115"/>
      <x:c r="AO614" s="115"/>
      <x:c r="AP614" s="115"/>
      <x:c r="AQ614" s="115"/>
      <x:c r="AR614" s="115"/>
      <x:c r="AS614" s="115"/>
      <x:c r="AT614" s="115"/>
      <x:c r="AU614" s="115"/>
      <x:c r="AV614" s="115"/>
      <x:c r="AW614" s="115"/>
      <x:c r="AX614" s="115"/>
      <x:c r="AY614" s="115"/>
      <x:c r="AZ614" s="115"/>
      <x:c r="BA614" s="115"/>
      <x:c r="BB614" s="115"/>
      <x:c r="BC614" s="115"/>
      <x:c r="BD614" s="115"/>
      <x:c r="BE614" s="115"/>
      <x:c r="BF614" s="115"/>
      <x:c r="BG614" s="115"/>
      <x:c r="BH614" s="115"/>
      <x:c r="BI614" s="115"/>
      <x:c r="BJ614" s="115"/>
      <x:c r="BK614" s="115"/>
      <x:c r="BL614" s="115"/>
      <x:c r="BM614" s="115"/>
      <x:c r="BN614" s="115"/>
      <x:c r="BO614" s="115"/>
      <x:c r="BP614" s="115"/>
      <x:c r="BQ614" s="115"/>
      <x:c r="BR614" s="115"/>
      <x:c r="BS614" s="115"/>
      <x:c r="BT614" s="115"/>
      <x:c r="BU614" s="115"/>
      <x:c r="BV614" s="115"/>
      <x:c r="BW614" s="115"/>
      <x:c r="BX614" s="115"/>
      <x:c r="BY614" s="115"/>
      <x:c r="BZ614" s="115"/>
      <x:c r="CA614" s="115"/>
      <x:c r="CB614" s="116"/>
      <x:c r="CC614" s="141" t="str">
        <x:f>IF(COUNT(G614:P614)=0,"",AVERAGE(G614:P614)*4)</x:f>
      </x:c>
      <x:c r="CD614" s="178" t="str">
        <x:f>IF(COUNT(Q614:Z614)=0,"",AVERAGE(Q614:Z614)*4)</x:f>
      </x:c>
      <x:c r="CE614" s="178" t="str">
        <x:f>IF(COUNT(AA614:AJ614)=0,"",AVERAGE(AA614:AJ614)*4)</x:f>
      </x:c>
      <x:c r="CF614" s="178" t="str">
        <x:f>IF(COUNT(AK614:AR614)=0,"",AVERAGE(AK614:AR614)*4)</x:f>
      </x:c>
      <x:c r="CG614" s="178" t="str">
        <x:f>IF(COUNT(AS614:AY614)=0,"",AVERAGE(AS614:AY614)*4)</x:f>
      </x:c>
      <x:c r="CH614" s="178" t="str">
        <x:f>IF(COUNT(AZ614:BG614)=0,"",AVERAGE(AZ614:BG614)*4)</x:f>
      </x:c>
      <x:c r="CI614" s="178" t="str">
        <x:f>IF(COUNT(BH614:BN614)=0,"",AVERAGE(BH614:BN614)*4)</x:f>
      </x:c>
      <x:c r="CJ614" s="178" t="str">
        <x:f>IF(COUNT(BO614:BU614)=0,"",AVERAGE(BO614:BU614)*4)</x:f>
      </x:c>
      <x:c r="CK614" s="178" t="str">
        <x:f>IF(COUNT(BV614:CB614)=0,"",AVERAGE(BV614:CB614)*4)</x:f>
      </x:c>
      <x:c r="CL614" s="178" t="str">
        <x:f>IF(C614="","",IF(COUNT(G614:CB614)&lt;74,"",(CC614*'تنظیمات وزن‌دهی'!$C$5+CD614*'تنظیمات وزن‌دهی'!$C$6+CE614*'تنظیمات وزن‌دهی'!$C$7+CF614*'تنظیمات وزن‌دهی'!$C$8+CG614*'تنظیمات وزن‌دهی'!$C$9+CH614*'تنظیمات وزن‌دهی'!$C$10+CI614*'تنظیمات وزن‌دهی'!$C$11+CJ614*'تنظیمات وزن‌دهی'!$C$12+CK614*'تنظیمات وزن‌دهی'!$C$13)/100))</x:f>
      </x:c>
      <x:c r="CM614" s="178" t="str">
        <x:f>IF(C614="","",IF(COUNT(G614:CB614)=0,"",IF(COUNT(G614:CB614)&lt;74,"موقت - اطلاعات ناقص",IF(CL614&gt;=17,"عالی",IF(CL614&gt;=14,"خوب",IF(CL614&gt;=10,"متوسط","ضعیف"))))))</x:f>
      </x:c>
      <x:c r="CN614" s="178" t="n">
        <x:v>10</x:v>
      </x:c>
      <x:c r="CO614" s="142" t="n">
        <x:f>IF(C614="","",COUNT(G614:CB614)/74)</x:f>
        <x:v>0</x:v>
      </x:c>
      <x:c r="CP614" s="245"/>
    </x:row>
    <x:row r="615">
      <x:c r="A615" s="165" t="n">
        <x:v>611</x:v>
      </x:c>
      <x:c r="B615" s="233" t="str">
        <x:v>اردیبهشت</x:v>
      </x:c>
      <x:c r="C615" s="233" t="n">
        <x:f>IF('دانش‌آموزان'!E55="","",'دانش‌آموزان'!B55)</x:f>
        <x:v>51</x:v>
      </x:c>
      <x:c r="D615" s="233" t="str">
        <x:f>IF('دانش‌آموزان'!C55="","",'دانش‌آموزان'!C55)</x:f>
        <x:v>4000000519</x:v>
      </x:c>
      <x:c r="E615" s="233" t="str">
        <x:f>IF('دانش‌آموزان'!E55="","",'دانش‌آموزان'!E55&amp;" "&amp;'دانش‌آموزان'!F55)</x:f>
        <x:v>پارسا موسوی</x:v>
      </x:c>
      <x:c r="F615" s="166" t="str">
        <x:f>IF('دانش‌آموزان'!I55="","",'دانش‌آموزان'!I55)</x:f>
        <x:v>sample-7-c</x:v>
      </x:c>
      <x:c r="G615" s="114"/>
      <x:c r="H615" s="115"/>
      <x:c r="I615" s="115"/>
      <x:c r="J615" s="115"/>
      <x:c r="K615" s="115"/>
      <x:c r="L615" s="115"/>
      <x:c r="M615" s="115"/>
      <x:c r="N615" s="115"/>
      <x:c r="O615" s="115"/>
      <x:c r="P615" s="115"/>
      <x:c r="Q615" s="115"/>
      <x:c r="R615" s="115"/>
      <x:c r="S615" s="115"/>
      <x:c r="T615" s="115"/>
      <x:c r="U615" s="115"/>
      <x:c r="V615" s="115"/>
      <x:c r="W615" s="115"/>
      <x:c r="X615" s="115"/>
      <x:c r="Y615" s="115"/>
      <x:c r="Z615" s="115"/>
      <x:c r="AA615" s="115"/>
      <x:c r="AB615" s="115"/>
      <x:c r="AC615" s="115"/>
      <x:c r="AD615" s="115"/>
      <x:c r="AE615" s="115"/>
      <x:c r="AF615" s="115"/>
      <x:c r="AG615" s="115"/>
      <x:c r="AH615" s="115"/>
      <x:c r="AI615" s="115"/>
      <x:c r="AJ615" s="115"/>
      <x:c r="AK615" s="115"/>
      <x:c r="AL615" s="115"/>
      <x:c r="AM615" s="115"/>
      <x:c r="AN615" s="115"/>
      <x:c r="AO615" s="115"/>
      <x:c r="AP615" s="115"/>
      <x:c r="AQ615" s="115"/>
      <x:c r="AR615" s="115"/>
      <x:c r="AS615" s="115"/>
      <x:c r="AT615" s="115"/>
      <x:c r="AU615" s="115"/>
      <x:c r="AV615" s="115"/>
      <x:c r="AW615" s="115"/>
      <x:c r="AX615" s="115"/>
      <x:c r="AY615" s="115"/>
      <x:c r="AZ615" s="115"/>
      <x:c r="BA615" s="115"/>
      <x:c r="BB615" s="115"/>
      <x:c r="BC615" s="115"/>
      <x:c r="BD615" s="115"/>
      <x:c r="BE615" s="115"/>
      <x:c r="BF615" s="115"/>
      <x:c r="BG615" s="115"/>
      <x:c r="BH615" s="115"/>
      <x:c r="BI615" s="115"/>
      <x:c r="BJ615" s="115"/>
      <x:c r="BK615" s="115"/>
      <x:c r="BL615" s="115"/>
      <x:c r="BM615" s="115"/>
      <x:c r="BN615" s="115"/>
      <x:c r="BO615" s="115"/>
      <x:c r="BP615" s="115"/>
      <x:c r="BQ615" s="115"/>
      <x:c r="BR615" s="115"/>
      <x:c r="BS615" s="115"/>
      <x:c r="BT615" s="115"/>
      <x:c r="BU615" s="115"/>
      <x:c r="BV615" s="115"/>
      <x:c r="BW615" s="115"/>
      <x:c r="BX615" s="115"/>
      <x:c r="BY615" s="115"/>
      <x:c r="BZ615" s="115"/>
      <x:c r="CA615" s="115"/>
      <x:c r="CB615" s="116"/>
      <x:c r="CC615" s="141" t="str">
        <x:f>IF(COUNT(G615:P615)=0,"",AVERAGE(G615:P615)*4)</x:f>
      </x:c>
      <x:c r="CD615" s="178" t="str">
        <x:f>IF(COUNT(Q615:Z615)=0,"",AVERAGE(Q615:Z615)*4)</x:f>
      </x:c>
      <x:c r="CE615" s="178" t="str">
        <x:f>IF(COUNT(AA615:AJ615)=0,"",AVERAGE(AA615:AJ615)*4)</x:f>
      </x:c>
      <x:c r="CF615" s="178" t="str">
        <x:f>IF(COUNT(AK615:AR615)=0,"",AVERAGE(AK615:AR615)*4)</x:f>
      </x:c>
      <x:c r="CG615" s="178" t="str">
        <x:f>IF(COUNT(AS615:AY615)=0,"",AVERAGE(AS615:AY615)*4)</x:f>
      </x:c>
      <x:c r="CH615" s="178" t="str">
        <x:f>IF(COUNT(AZ615:BG615)=0,"",AVERAGE(AZ615:BG615)*4)</x:f>
      </x:c>
      <x:c r="CI615" s="178" t="str">
        <x:f>IF(COUNT(BH615:BN615)=0,"",AVERAGE(BH615:BN615)*4)</x:f>
      </x:c>
      <x:c r="CJ615" s="178" t="str">
        <x:f>IF(COUNT(BO615:BU615)=0,"",AVERAGE(BO615:BU615)*4)</x:f>
      </x:c>
      <x:c r="CK615" s="178" t="str">
        <x:f>IF(COUNT(BV615:CB615)=0,"",AVERAGE(BV615:CB615)*4)</x:f>
      </x:c>
      <x:c r="CL615" s="178" t="str">
        <x:f>IF(C615="","",IF(COUNT(G615:CB615)&lt;74,"",(CC615*'تنظیمات وزن‌دهی'!$C$5+CD615*'تنظیمات وزن‌دهی'!$C$6+CE615*'تنظیمات وزن‌دهی'!$C$7+CF615*'تنظیمات وزن‌دهی'!$C$8+CG615*'تنظیمات وزن‌دهی'!$C$9+CH615*'تنظیمات وزن‌دهی'!$C$10+CI615*'تنظیمات وزن‌دهی'!$C$11+CJ615*'تنظیمات وزن‌دهی'!$C$12+CK615*'تنظیمات وزن‌دهی'!$C$13)/100))</x:f>
      </x:c>
      <x:c r="CM615" s="178" t="str">
        <x:f>IF(C615="","",IF(COUNT(G615:CB615)=0,"",IF(COUNT(G615:CB615)&lt;74,"موقت - اطلاعات ناقص",IF(CL615&gt;=17,"عالی",IF(CL615&gt;=14,"خوب",IF(CL615&gt;=10,"متوسط","ضعیف"))))))</x:f>
      </x:c>
      <x:c r="CN615" s="178" t="n">
        <x:v>11</x:v>
      </x:c>
      <x:c r="CO615" s="142" t="n">
        <x:f>IF(C615="","",COUNT(G615:CB615)/74)</x:f>
        <x:v>0</x:v>
      </x:c>
      <x:c r="CP615" s="245"/>
    </x:row>
    <x:row r="616">
      <x:c r="A616" s="165" t="n">
        <x:v>612</x:v>
      </x:c>
      <x:c r="B616" s="233" t="str">
        <x:v>خرداد</x:v>
      </x:c>
      <x:c r="C616" s="233" t="n">
        <x:f>IF('دانش‌آموزان'!E55="","",'دانش‌آموزان'!B55)</x:f>
        <x:v>51</x:v>
      </x:c>
      <x:c r="D616" s="233" t="str">
        <x:f>IF('دانش‌آموزان'!C55="","",'دانش‌آموزان'!C55)</x:f>
        <x:v>4000000519</x:v>
      </x:c>
      <x:c r="E616" s="233" t="str">
        <x:f>IF('دانش‌آموزان'!E55="","",'دانش‌آموزان'!E55&amp;" "&amp;'دانش‌آموزان'!F55)</x:f>
        <x:v>پارسا موسوی</x:v>
      </x:c>
      <x:c r="F616" s="166" t="str">
        <x:f>IF('دانش‌آموزان'!I55="","",'دانش‌آموزان'!I55)</x:f>
        <x:v>sample-7-c</x:v>
      </x:c>
      <x:c r="G616" s="114"/>
      <x:c r="H616" s="115"/>
      <x:c r="I616" s="115"/>
      <x:c r="J616" s="115"/>
      <x:c r="K616" s="115"/>
      <x:c r="L616" s="115"/>
      <x:c r="M616" s="115"/>
      <x:c r="N616" s="115"/>
      <x:c r="O616" s="115"/>
      <x:c r="P616" s="115"/>
      <x:c r="Q616" s="115"/>
      <x:c r="R616" s="115"/>
      <x:c r="S616" s="115"/>
      <x:c r="T616" s="115"/>
      <x:c r="U616" s="115"/>
      <x:c r="V616" s="115"/>
      <x:c r="W616" s="115"/>
      <x:c r="X616" s="115"/>
      <x:c r="Y616" s="115"/>
      <x:c r="Z616" s="115"/>
      <x:c r="AA616" s="115"/>
      <x:c r="AB616" s="115"/>
      <x:c r="AC616" s="115"/>
      <x:c r="AD616" s="115"/>
      <x:c r="AE616" s="115"/>
      <x:c r="AF616" s="115"/>
      <x:c r="AG616" s="115"/>
      <x:c r="AH616" s="115"/>
      <x:c r="AI616" s="115"/>
      <x:c r="AJ616" s="115"/>
      <x:c r="AK616" s="115"/>
      <x:c r="AL616" s="115"/>
      <x:c r="AM616" s="115"/>
      <x:c r="AN616" s="115"/>
      <x:c r="AO616" s="115"/>
      <x:c r="AP616" s="115"/>
      <x:c r="AQ616" s="115"/>
      <x:c r="AR616" s="115"/>
      <x:c r="AS616" s="115"/>
      <x:c r="AT616" s="115"/>
      <x:c r="AU616" s="115"/>
      <x:c r="AV616" s="115"/>
      <x:c r="AW616" s="115"/>
      <x:c r="AX616" s="115"/>
      <x:c r="AY616" s="115"/>
      <x:c r="AZ616" s="115"/>
      <x:c r="BA616" s="115"/>
      <x:c r="BB616" s="115"/>
      <x:c r="BC616" s="115"/>
      <x:c r="BD616" s="115"/>
      <x:c r="BE616" s="115"/>
      <x:c r="BF616" s="115"/>
      <x:c r="BG616" s="115"/>
      <x:c r="BH616" s="115"/>
      <x:c r="BI616" s="115"/>
      <x:c r="BJ616" s="115"/>
      <x:c r="BK616" s="115"/>
      <x:c r="BL616" s="115"/>
      <x:c r="BM616" s="115"/>
      <x:c r="BN616" s="115"/>
      <x:c r="BO616" s="115"/>
      <x:c r="BP616" s="115"/>
      <x:c r="BQ616" s="115"/>
      <x:c r="BR616" s="115"/>
      <x:c r="BS616" s="115"/>
      <x:c r="BT616" s="115"/>
      <x:c r="BU616" s="115"/>
      <x:c r="BV616" s="115"/>
      <x:c r="BW616" s="115"/>
      <x:c r="BX616" s="115"/>
      <x:c r="BY616" s="115"/>
      <x:c r="BZ616" s="115"/>
      <x:c r="CA616" s="115"/>
      <x:c r="CB616" s="116"/>
      <x:c r="CC616" s="141" t="str">
        <x:f>IF(COUNT(G616:P616)=0,"",AVERAGE(G616:P616)*4)</x:f>
      </x:c>
      <x:c r="CD616" s="178" t="str">
        <x:f>IF(COUNT(Q616:Z616)=0,"",AVERAGE(Q616:Z616)*4)</x:f>
      </x:c>
      <x:c r="CE616" s="178" t="str">
        <x:f>IF(COUNT(AA616:AJ616)=0,"",AVERAGE(AA616:AJ616)*4)</x:f>
      </x:c>
      <x:c r="CF616" s="178" t="str">
        <x:f>IF(COUNT(AK616:AR616)=0,"",AVERAGE(AK616:AR616)*4)</x:f>
      </x:c>
      <x:c r="CG616" s="178" t="str">
        <x:f>IF(COUNT(AS616:AY616)=0,"",AVERAGE(AS616:AY616)*4)</x:f>
      </x:c>
      <x:c r="CH616" s="178" t="str">
        <x:f>IF(COUNT(AZ616:BG616)=0,"",AVERAGE(AZ616:BG616)*4)</x:f>
      </x:c>
      <x:c r="CI616" s="178" t="str">
        <x:f>IF(COUNT(BH616:BN616)=0,"",AVERAGE(BH616:BN616)*4)</x:f>
      </x:c>
      <x:c r="CJ616" s="178" t="str">
        <x:f>IF(COUNT(BO616:BU616)=0,"",AVERAGE(BO616:BU616)*4)</x:f>
      </x:c>
      <x:c r="CK616" s="178" t="str">
        <x:f>IF(COUNT(BV616:CB616)=0,"",AVERAGE(BV616:CB616)*4)</x:f>
      </x:c>
      <x:c r="CL616" s="178" t="str">
        <x:f>IF(C616="","",IF(COUNT(G616:CB616)&lt;74,"",(CC616*'تنظیمات وزن‌دهی'!$C$5+CD616*'تنظیمات وزن‌دهی'!$C$6+CE616*'تنظیمات وزن‌دهی'!$C$7+CF616*'تنظیمات وزن‌دهی'!$C$8+CG616*'تنظیمات وزن‌دهی'!$C$9+CH616*'تنظیمات وزن‌دهی'!$C$10+CI616*'تنظیمات وزن‌دهی'!$C$11+CJ616*'تنظیمات وزن‌دهی'!$C$12+CK616*'تنظیمات وزن‌دهی'!$C$13)/100))</x:f>
      </x:c>
      <x:c r="CM616" s="178" t="str">
        <x:f>IF(C616="","",IF(COUNT(G616:CB616)=0,"",IF(COUNT(G616:CB616)&lt;74,"موقت - اطلاعات ناقص",IF(CL616&gt;=17,"عالی",IF(CL616&gt;=14,"خوب",IF(CL616&gt;=10,"متوسط","ضعیف"))))))</x:f>
      </x:c>
      <x:c r="CN616" s="178" t="n">
        <x:v>12</x:v>
      </x:c>
      <x:c r="CO616" s="142" t="n">
        <x:f>IF(C616="","",COUNT(G616:CB616)/74)</x:f>
        <x:v>0</x:v>
      </x:c>
      <x:c r="CP616" s="245"/>
    </x:row>
    <x:row r="617">
      <x:c r="A617" s="165" t="n">
        <x:v>613</x:v>
      </x:c>
      <x:c r="B617" s="233" t="str">
        <x:v>تیر</x:v>
      </x:c>
      <x:c r="C617" s="233" t="n">
        <x:f>IF('دانش‌آموزان'!E56="","",'دانش‌آموزان'!B56)</x:f>
        <x:v>52</x:v>
      </x:c>
      <x:c r="D617" s="233" t="str">
        <x:f>IF('دانش‌آموزان'!C56="","",'دانش‌آموزان'!C56)</x:f>
        <x:v>4000000527</x:v>
      </x:c>
      <x:c r="E617" s="233" t="str">
        <x:f>IF('دانش‌آموزان'!E56="","",'دانش‌آموزان'!E56&amp;" "&amp;'دانش‌آموزان'!F56)</x:f>
        <x:v>رها یوسفی</x:v>
      </x:c>
      <x:c r="F617" s="166" t="str">
        <x:f>IF('دانش‌آموزان'!I56="","",'دانش‌آموزان'!I56)</x:f>
        <x:v>sample-7-c</x:v>
      </x:c>
      <x:c r="G617" s="114" t="n">
        <x:v>5</x:v>
      </x:c>
      <x:c r="H617" s="115" t="n">
        <x:v>4</x:v>
      </x:c>
      <x:c r="I617" s="115" t="n">
        <x:v>5</x:v>
      </x:c>
      <x:c r="J617" s="115" t="n">
        <x:v>3</x:v>
      </x:c>
      <x:c r="K617" s="115" t="n">
        <x:v>5</x:v>
      </x:c>
      <x:c r="L617" s="115" t="n">
        <x:v>3</x:v>
      </x:c>
      <x:c r="M617" s="115" t="n">
        <x:v>4</x:v>
      </x:c>
      <x:c r="N617" s="115" t="n">
        <x:v>3</x:v>
      </x:c>
      <x:c r="O617" s="115" t="n">
        <x:v>4</x:v>
      </x:c>
      <x:c r="P617" s="115" t="n">
        <x:v>2</x:v>
      </x:c>
      <x:c r="Q617" s="115" t="n">
        <x:v>4</x:v>
      </x:c>
      <x:c r="R617" s="115" t="n">
        <x:v>5</x:v>
      </x:c>
      <x:c r="S617" s="115" t="n">
        <x:v>4</x:v>
      </x:c>
      <x:c r="T617" s="115" t="n">
        <x:v>5</x:v>
      </x:c>
      <x:c r="U617" s="115" t="n">
        <x:v>3</x:v>
      </x:c>
      <x:c r="V617" s="115" t="n">
        <x:v>5</x:v>
      </x:c>
      <x:c r="W617" s="115" t="n">
        <x:v>3</x:v>
      </x:c>
      <x:c r="X617" s="115" t="n">
        <x:v>4</x:v>
      </x:c>
      <x:c r="Y617" s="115" t="n">
        <x:v>3</x:v>
      </x:c>
      <x:c r="Z617" s="115" t="n">
        <x:v>4</x:v>
      </x:c>
      <x:c r="AA617" s="115" t="n">
        <x:v>2</x:v>
      </x:c>
      <x:c r="AB617" s="115" t="n">
        <x:v>4</x:v>
      </x:c>
      <x:c r="AC617" s="115" t="n">
        <x:v>5</x:v>
      </x:c>
      <x:c r="AD617" s="115" t="n">
        <x:v>4</x:v>
      </x:c>
      <x:c r="AE617" s="115" t="n">
        <x:v>5</x:v>
      </x:c>
      <x:c r="AF617" s="115" t="n">
        <x:v>3</x:v>
      </x:c>
      <x:c r="AG617" s="115" t="n">
        <x:v>5</x:v>
      </x:c>
      <x:c r="AH617" s="115" t="n">
        <x:v>3</x:v>
      </x:c>
      <x:c r="AI617" s="115" t="n">
        <x:v>4</x:v>
      </x:c>
      <x:c r="AJ617" s="115" t="n">
        <x:v>3</x:v>
      </x:c>
      <x:c r="AK617" s="115" t="n">
        <x:v>4</x:v>
      </x:c>
      <x:c r="AL617" s="115" t="n">
        <x:v>2</x:v>
      </x:c>
      <x:c r="AM617" s="115" t="n">
        <x:v>4</x:v>
      </x:c>
      <x:c r="AN617" s="115" t="n">
        <x:v>5</x:v>
      </x:c>
      <x:c r="AO617" s="115" t="n">
        <x:v>4</x:v>
      </x:c>
      <x:c r="AP617" s="115" t="n">
        <x:v>5</x:v>
      </x:c>
      <x:c r="AQ617" s="115" t="n">
        <x:v>3</x:v>
      </x:c>
      <x:c r="AR617" s="115" t="n">
        <x:v>5</x:v>
      </x:c>
      <x:c r="AS617" s="115" t="n">
        <x:v>3</x:v>
      </x:c>
      <x:c r="AT617" s="115" t="n">
        <x:v>4</x:v>
      </x:c>
      <x:c r="AU617" s="115" t="n">
        <x:v>3</x:v>
      </x:c>
      <x:c r="AV617" s="115" t="n">
        <x:v>4</x:v>
      </x:c>
      <x:c r="AW617" s="115" t="n">
        <x:v>2</x:v>
      </x:c>
      <x:c r="AX617" s="115" t="n">
        <x:v>4</x:v>
      </x:c>
      <x:c r="AY617" s="115" t="n">
        <x:v>5</x:v>
      </x:c>
      <x:c r="AZ617" s="115" t="n">
        <x:v>4</x:v>
      </x:c>
      <x:c r="BA617" s="115" t="n">
        <x:v>5</x:v>
      </x:c>
      <x:c r="BB617" s="115" t="n">
        <x:v>3</x:v>
      </x:c>
      <x:c r="BC617" s="115" t="n">
        <x:v>5</x:v>
      </x:c>
      <x:c r="BD617" s="115" t="n">
        <x:v>3</x:v>
      </x:c>
      <x:c r="BE617" s="115" t="n">
        <x:v>4</x:v>
      </x:c>
      <x:c r="BF617" s="115" t="n">
        <x:v>3</x:v>
      </x:c>
      <x:c r="BG617" s="115" t="n">
        <x:v>4</x:v>
      </x:c>
      <x:c r="BH617" s="115" t="n">
        <x:v>2</x:v>
      </x:c>
      <x:c r="BI617" s="115" t="n">
        <x:v>4</x:v>
      </x:c>
      <x:c r="BJ617" s="115" t="n">
        <x:v>5</x:v>
      </x:c>
      <x:c r="BK617" s="115" t="n">
        <x:v>4</x:v>
      </x:c>
      <x:c r="BL617" s="115" t="n">
        <x:v>5</x:v>
      </x:c>
      <x:c r="BM617" s="115" t="n">
        <x:v>3</x:v>
      </x:c>
      <x:c r="BN617" s="115" t="n">
        <x:v>5</x:v>
      </x:c>
      <x:c r="BO617" s="115" t="n">
        <x:v>3</x:v>
      </x:c>
      <x:c r="BP617" s="115" t="n">
        <x:v>4</x:v>
      </x:c>
      <x:c r="BQ617" s="115" t="n">
        <x:v>3</x:v>
      </x:c>
      <x:c r="BR617" s="115" t="n">
        <x:v>4</x:v>
      </x:c>
      <x:c r="BS617" s="115" t="n">
        <x:v>2</x:v>
      </x:c>
      <x:c r="BT617" s="115" t="n">
        <x:v>4</x:v>
      </x:c>
      <x:c r="BU617" s="115" t="n">
        <x:v>5</x:v>
      </x:c>
      <x:c r="BV617" s="115" t="n">
        <x:v>4</x:v>
      </x:c>
      <x:c r="BW617" s="115" t="n">
        <x:v>5</x:v>
      </x:c>
      <x:c r="BX617" s="115" t="n">
        <x:v>3</x:v>
      </x:c>
      <x:c r="BY617" s="115" t="n">
        <x:v>5</x:v>
      </x:c>
      <x:c r="BZ617" s="115" t="n">
        <x:v>3</x:v>
      </x:c>
      <x:c r="CA617" s="115" t="n">
        <x:v>4</x:v>
      </x:c>
      <x:c r="CB617" s="116" t="n">
        <x:v>3</x:v>
      </x:c>
      <x:c r="CC617" s="141" t="n">
        <x:f>IF(COUNT(G617:P617)=0,"",AVERAGE(G617:P617)*4)</x:f>
        <x:v>15.2</x:v>
      </x:c>
      <x:c r="CD617" s="178" t="n">
        <x:f>IF(COUNT(Q617:Z617)=0,"",AVERAGE(Q617:Z617)*4)</x:f>
        <x:v>16</x:v>
      </x:c>
      <x:c r="CE617" s="178" t="n">
        <x:f>IF(COUNT(AA617:AJ617)=0,"",AVERAGE(AA617:AJ617)*4)</x:f>
        <x:v>15.2</x:v>
      </x:c>
      <x:c r="CF617" s="178" t="n">
        <x:f>IF(COUNT(AK617:AR617)=0,"",AVERAGE(AK617:AR617)*4)</x:f>
        <x:v>16</x:v>
      </x:c>
      <x:c r="CG617" s="178" t="n">
        <x:f>IF(COUNT(AS617:AY617)=0,"",AVERAGE(AS617:AY617)*4)</x:f>
        <x:v>14.285714285714286</x:v>
      </x:c>
      <x:c r="CH617" s="178" t="n">
        <x:f>IF(COUNT(AZ617:BG617)=0,"",AVERAGE(AZ617:BG617)*4)</x:f>
        <x:v>15.5</x:v>
      </x:c>
      <x:c r="CI617" s="178" t="n">
        <x:f>IF(COUNT(BH617:BN617)=0,"",AVERAGE(BH617:BN617)*4)</x:f>
        <x:v>16</x:v>
      </x:c>
      <x:c r="CJ617" s="178" t="n">
        <x:f>IF(COUNT(BO617:BU617)=0,"",AVERAGE(BO617:BU617)*4)</x:f>
        <x:v>14.285714285714286</x:v>
      </x:c>
      <x:c r="CK617" s="178" t="n">
        <x:f>IF(COUNT(BV617:CB617)=0,"",AVERAGE(BV617:CB617)*4)</x:f>
        <x:v>15.428571428571429</x:v>
      </x:c>
      <x:c r="CL617" s="178" t="n">
        <x:f>IF(C617="","",IF(COUNT(G617:CB617)&lt;74,"",(CC617*'تنظیمات وزن‌دهی'!$C$5+CD617*'تنظیمات وزن‌دهی'!$C$6+CE617*'تنظیمات وزن‌دهی'!$C$7+CF617*'تنظیمات وزن‌دهی'!$C$8+CG617*'تنظیمات وزن‌دهی'!$C$9+CH617*'تنظیمات وزن‌دهی'!$C$10+CI617*'تنظیمات وزن‌دهی'!$C$11+CJ617*'تنظیمات وزن‌دهی'!$C$12+CK617*'تنظیمات وزن‌دهی'!$C$13)/100))</x:f>
        <x:v>15.417142857142858</x:v>
      </x:c>
      <x:c r="CM617" s="178" t="str">
        <x:f>IF(C617="","",IF(COUNT(G617:CB617)=0,"",IF(COUNT(G617:CB617)&lt;74,"موقت - اطلاعات ناقص",IF(CL617&gt;=17,"عالی",IF(CL617&gt;=14,"خوب",IF(CL617&gt;=10,"متوسط","ضعیف"))))))</x:f>
        <x:v>خوب</x:v>
      </x:c>
      <x:c r="CN617" s="178" t="n">
        <x:v>1</x:v>
      </x:c>
      <x:c r="CO617" s="142" t="n">
        <x:f>IF(C617="","",COUNT(G617:CB617)/74)</x:f>
        <x:v>1</x:v>
      </x:c>
      <x:c r="CP617" s="245" t="str">
        <x:v>داده نمونه کامل برای ماه تیر - دانش‌آموز شماره 52</x:v>
      </x:c>
    </x:row>
    <x:row r="618">
      <x:c r="A618" s="165" t="n">
        <x:v>614</x:v>
      </x:c>
      <x:c r="B618" s="233" t="str">
        <x:v>مرداد</x:v>
      </x:c>
      <x:c r="C618" s="233" t="n">
        <x:f>IF('دانش‌آموزان'!E56="","",'دانش‌آموزان'!B56)</x:f>
        <x:v>52</x:v>
      </x:c>
      <x:c r="D618" s="233" t="str">
        <x:f>IF('دانش‌آموزان'!C56="","",'دانش‌آموزان'!C56)</x:f>
        <x:v>4000000527</x:v>
      </x:c>
      <x:c r="E618" s="233" t="str">
        <x:f>IF('دانش‌آموزان'!E56="","",'دانش‌آموزان'!E56&amp;" "&amp;'دانش‌آموزان'!F56)</x:f>
        <x:v>رها یوسفی</x:v>
      </x:c>
      <x:c r="F618" s="166" t="str">
        <x:f>IF('دانش‌آموزان'!I56="","",'دانش‌آموزان'!I56)</x:f>
        <x:v>sample-7-c</x:v>
      </x:c>
      <x:c r="G618" s="114"/>
      <x:c r="H618" s="115"/>
      <x:c r="I618" s="115"/>
      <x:c r="J618" s="115"/>
      <x:c r="K618" s="115"/>
      <x:c r="L618" s="115"/>
      <x:c r="M618" s="115"/>
      <x:c r="N618" s="115"/>
      <x:c r="O618" s="115"/>
      <x:c r="P618" s="115"/>
      <x:c r="Q618" s="115"/>
      <x:c r="R618" s="115"/>
      <x:c r="S618" s="115"/>
      <x:c r="T618" s="115"/>
      <x:c r="U618" s="115"/>
      <x:c r="V618" s="115"/>
      <x:c r="W618" s="115"/>
      <x:c r="X618" s="115"/>
      <x:c r="Y618" s="115"/>
      <x:c r="Z618" s="115"/>
      <x:c r="AA618" s="115"/>
      <x:c r="AB618" s="115"/>
      <x:c r="AC618" s="115"/>
      <x:c r="AD618" s="115"/>
      <x:c r="AE618" s="115"/>
      <x:c r="AF618" s="115"/>
      <x:c r="AG618" s="115"/>
      <x:c r="AH618" s="115"/>
      <x:c r="AI618" s="115"/>
      <x:c r="AJ618" s="115"/>
      <x:c r="AK618" s="115"/>
      <x:c r="AL618" s="115"/>
      <x:c r="AM618" s="115"/>
      <x:c r="AN618" s="115"/>
      <x:c r="AO618" s="115"/>
      <x:c r="AP618" s="115"/>
      <x:c r="AQ618" s="115"/>
      <x:c r="AR618" s="115"/>
      <x:c r="AS618" s="115"/>
      <x:c r="AT618" s="115"/>
      <x:c r="AU618" s="115"/>
      <x:c r="AV618" s="115"/>
      <x:c r="AW618" s="115"/>
      <x:c r="AX618" s="115"/>
      <x:c r="AY618" s="115"/>
      <x:c r="AZ618" s="115"/>
      <x:c r="BA618" s="115"/>
      <x:c r="BB618" s="115"/>
      <x:c r="BC618" s="115"/>
      <x:c r="BD618" s="115"/>
      <x:c r="BE618" s="115"/>
      <x:c r="BF618" s="115"/>
      <x:c r="BG618" s="115"/>
      <x:c r="BH618" s="115"/>
      <x:c r="BI618" s="115"/>
      <x:c r="BJ618" s="115"/>
      <x:c r="BK618" s="115"/>
      <x:c r="BL618" s="115"/>
      <x:c r="BM618" s="115"/>
      <x:c r="BN618" s="115"/>
      <x:c r="BO618" s="115"/>
      <x:c r="BP618" s="115"/>
      <x:c r="BQ618" s="115"/>
      <x:c r="BR618" s="115"/>
      <x:c r="BS618" s="115"/>
      <x:c r="BT618" s="115"/>
      <x:c r="BU618" s="115"/>
      <x:c r="BV618" s="115"/>
      <x:c r="BW618" s="115"/>
      <x:c r="BX618" s="115"/>
      <x:c r="BY618" s="115"/>
      <x:c r="BZ618" s="115"/>
      <x:c r="CA618" s="115"/>
      <x:c r="CB618" s="116"/>
      <x:c r="CC618" s="141" t="str">
        <x:f>IF(COUNT(G618:P618)=0,"",AVERAGE(G618:P618)*4)</x:f>
      </x:c>
      <x:c r="CD618" s="178" t="str">
        <x:f>IF(COUNT(Q618:Z618)=0,"",AVERAGE(Q618:Z618)*4)</x:f>
      </x:c>
      <x:c r="CE618" s="178" t="str">
        <x:f>IF(COUNT(AA618:AJ618)=0,"",AVERAGE(AA618:AJ618)*4)</x:f>
      </x:c>
      <x:c r="CF618" s="178" t="str">
        <x:f>IF(COUNT(AK618:AR618)=0,"",AVERAGE(AK618:AR618)*4)</x:f>
      </x:c>
      <x:c r="CG618" s="178" t="str">
        <x:f>IF(COUNT(AS618:AY618)=0,"",AVERAGE(AS618:AY618)*4)</x:f>
      </x:c>
      <x:c r="CH618" s="178" t="str">
        <x:f>IF(COUNT(AZ618:BG618)=0,"",AVERAGE(AZ618:BG618)*4)</x:f>
      </x:c>
      <x:c r="CI618" s="178" t="str">
        <x:f>IF(COUNT(BH618:BN618)=0,"",AVERAGE(BH618:BN618)*4)</x:f>
      </x:c>
      <x:c r="CJ618" s="178" t="str">
        <x:f>IF(COUNT(BO618:BU618)=0,"",AVERAGE(BO618:BU618)*4)</x:f>
      </x:c>
      <x:c r="CK618" s="178" t="str">
        <x:f>IF(COUNT(BV618:CB618)=0,"",AVERAGE(BV618:CB618)*4)</x:f>
      </x:c>
      <x:c r="CL618" s="178" t="str">
        <x:f>IF(C618="","",IF(COUNT(G618:CB618)&lt;74,"",(CC618*'تنظیمات وزن‌دهی'!$C$5+CD618*'تنظیمات وزن‌دهی'!$C$6+CE618*'تنظیمات وزن‌دهی'!$C$7+CF618*'تنظیمات وزن‌دهی'!$C$8+CG618*'تنظیمات وزن‌دهی'!$C$9+CH618*'تنظیمات وزن‌دهی'!$C$10+CI618*'تنظیمات وزن‌دهی'!$C$11+CJ618*'تنظیمات وزن‌دهی'!$C$12+CK618*'تنظیمات وزن‌دهی'!$C$13)/100))</x:f>
      </x:c>
      <x:c r="CM618" s="178" t="str">
        <x:f>IF(C618="","",IF(COUNT(G618:CB618)=0,"",IF(COUNT(G618:CB618)&lt;74,"موقت - اطلاعات ناقص",IF(CL618&gt;=17,"عالی",IF(CL618&gt;=14,"خوب",IF(CL618&gt;=10,"متوسط","ضعیف"))))))</x:f>
      </x:c>
      <x:c r="CN618" s="178" t="n">
        <x:v>2</x:v>
      </x:c>
      <x:c r="CO618" s="142" t="n">
        <x:f>IF(C618="","",COUNT(G618:CB618)/74)</x:f>
        <x:v>0</x:v>
      </x:c>
      <x:c r="CP618" s="245"/>
    </x:row>
    <x:row r="619">
      <x:c r="A619" s="165" t="n">
        <x:v>615</x:v>
      </x:c>
      <x:c r="B619" s="233" t="str">
        <x:v>شهریور</x:v>
      </x:c>
      <x:c r="C619" s="233" t="n">
        <x:f>IF('دانش‌آموزان'!E56="","",'دانش‌آموزان'!B56)</x:f>
        <x:v>52</x:v>
      </x:c>
      <x:c r="D619" s="233" t="str">
        <x:f>IF('دانش‌آموزان'!C56="","",'دانش‌آموزان'!C56)</x:f>
        <x:v>4000000527</x:v>
      </x:c>
      <x:c r="E619" s="233" t="str">
        <x:f>IF('دانش‌آموزان'!E56="","",'دانش‌آموزان'!E56&amp;" "&amp;'دانش‌آموزان'!F56)</x:f>
        <x:v>رها یوسفی</x:v>
      </x:c>
      <x:c r="F619" s="166" t="str">
        <x:f>IF('دانش‌آموزان'!I56="","",'دانش‌آموزان'!I56)</x:f>
        <x:v>sample-7-c</x:v>
      </x:c>
      <x:c r="G619" s="114"/>
      <x:c r="H619" s="115"/>
      <x:c r="I619" s="115"/>
      <x:c r="J619" s="115"/>
      <x:c r="K619" s="115"/>
      <x:c r="L619" s="115"/>
      <x:c r="M619" s="115"/>
      <x:c r="N619" s="115"/>
      <x:c r="O619" s="115"/>
      <x:c r="P619" s="115"/>
      <x:c r="Q619" s="115"/>
      <x:c r="R619" s="115"/>
      <x:c r="S619" s="115"/>
      <x:c r="T619" s="115"/>
      <x:c r="U619" s="115"/>
      <x:c r="V619" s="115"/>
      <x:c r="W619" s="115"/>
      <x:c r="X619" s="115"/>
      <x:c r="Y619" s="115"/>
      <x:c r="Z619" s="115"/>
      <x:c r="AA619" s="115"/>
      <x:c r="AB619" s="115"/>
      <x:c r="AC619" s="115"/>
      <x:c r="AD619" s="115"/>
      <x:c r="AE619" s="115"/>
      <x:c r="AF619" s="115"/>
      <x:c r="AG619" s="115"/>
      <x:c r="AH619" s="115"/>
      <x:c r="AI619" s="115"/>
      <x:c r="AJ619" s="115"/>
      <x:c r="AK619" s="115"/>
      <x:c r="AL619" s="115"/>
      <x:c r="AM619" s="115"/>
      <x:c r="AN619" s="115"/>
      <x:c r="AO619" s="115"/>
      <x:c r="AP619" s="115"/>
      <x:c r="AQ619" s="115"/>
      <x:c r="AR619" s="115"/>
      <x:c r="AS619" s="115"/>
      <x:c r="AT619" s="115"/>
      <x:c r="AU619" s="115"/>
      <x:c r="AV619" s="115"/>
      <x:c r="AW619" s="115"/>
      <x:c r="AX619" s="115"/>
      <x:c r="AY619" s="115"/>
      <x:c r="AZ619" s="115"/>
      <x:c r="BA619" s="115"/>
      <x:c r="BB619" s="115"/>
      <x:c r="BC619" s="115"/>
      <x:c r="BD619" s="115"/>
      <x:c r="BE619" s="115"/>
      <x:c r="BF619" s="115"/>
      <x:c r="BG619" s="115"/>
      <x:c r="BH619" s="115"/>
      <x:c r="BI619" s="115"/>
      <x:c r="BJ619" s="115"/>
      <x:c r="BK619" s="115"/>
      <x:c r="BL619" s="115"/>
      <x:c r="BM619" s="115"/>
      <x:c r="BN619" s="115"/>
      <x:c r="BO619" s="115"/>
      <x:c r="BP619" s="115"/>
      <x:c r="BQ619" s="115"/>
      <x:c r="BR619" s="115"/>
      <x:c r="BS619" s="115"/>
      <x:c r="BT619" s="115"/>
      <x:c r="BU619" s="115"/>
      <x:c r="BV619" s="115"/>
      <x:c r="BW619" s="115"/>
      <x:c r="BX619" s="115"/>
      <x:c r="BY619" s="115"/>
      <x:c r="BZ619" s="115"/>
      <x:c r="CA619" s="115"/>
      <x:c r="CB619" s="116"/>
      <x:c r="CC619" s="141" t="str">
        <x:f>IF(COUNT(G619:P619)=0,"",AVERAGE(G619:P619)*4)</x:f>
      </x:c>
      <x:c r="CD619" s="178" t="str">
        <x:f>IF(COUNT(Q619:Z619)=0,"",AVERAGE(Q619:Z619)*4)</x:f>
      </x:c>
      <x:c r="CE619" s="178" t="str">
        <x:f>IF(COUNT(AA619:AJ619)=0,"",AVERAGE(AA619:AJ619)*4)</x:f>
      </x:c>
      <x:c r="CF619" s="178" t="str">
        <x:f>IF(COUNT(AK619:AR619)=0,"",AVERAGE(AK619:AR619)*4)</x:f>
      </x:c>
      <x:c r="CG619" s="178" t="str">
        <x:f>IF(COUNT(AS619:AY619)=0,"",AVERAGE(AS619:AY619)*4)</x:f>
      </x:c>
      <x:c r="CH619" s="178" t="str">
        <x:f>IF(COUNT(AZ619:BG619)=0,"",AVERAGE(AZ619:BG619)*4)</x:f>
      </x:c>
      <x:c r="CI619" s="178" t="str">
        <x:f>IF(COUNT(BH619:BN619)=0,"",AVERAGE(BH619:BN619)*4)</x:f>
      </x:c>
      <x:c r="CJ619" s="178" t="str">
        <x:f>IF(COUNT(BO619:BU619)=0,"",AVERAGE(BO619:BU619)*4)</x:f>
      </x:c>
      <x:c r="CK619" s="178" t="str">
        <x:f>IF(COUNT(BV619:CB619)=0,"",AVERAGE(BV619:CB619)*4)</x:f>
      </x:c>
      <x:c r="CL619" s="178" t="str">
        <x:f>IF(C619="","",IF(COUNT(G619:CB619)&lt;74,"",(CC619*'تنظیمات وزن‌دهی'!$C$5+CD619*'تنظیمات وزن‌دهی'!$C$6+CE619*'تنظیمات وزن‌دهی'!$C$7+CF619*'تنظیمات وزن‌دهی'!$C$8+CG619*'تنظیمات وزن‌دهی'!$C$9+CH619*'تنظیمات وزن‌دهی'!$C$10+CI619*'تنظیمات وزن‌دهی'!$C$11+CJ619*'تنظیمات وزن‌دهی'!$C$12+CK619*'تنظیمات وزن‌دهی'!$C$13)/100))</x:f>
      </x:c>
      <x:c r="CM619" s="178" t="str">
        <x:f>IF(C619="","",IF(COUNT(G619:CB619)=0,"",IF(COUNT(G619:CB619)&lt;74,"موقت - اطلاعات ناقص",IF(CL619&gt;=17,"عالی",IF(CL619&gt;=14,"خوب",IF(CL619&gt;=10,"متوسط","ضعیف"))))))</x:f>
      </x:c>
      <x:c r="CN619" s="178" t="n">
        <x:v>3</x:v>
      </x:c>
      <x:c r="CO619" s="142" t="n">
        <x:f>IF(C619="","",COUNT(G619:CB619)/74)</x:f>
        <x:v>0</x:v>
      </x:c>
      <x:c r="CP619" s="245"/>
    </x:row>
    <x:row r="620">
      <x:c r="A620" s="165" t="n">
        <x:v>616</x:v>
      </x:c>
      <x:c r="B620" s="233" t="str">
        <x:v>مهر</x:v>
      </x:c>
      <x:c r="C620" s="233" t="n">
        <x:f>IF('دانش‌آموزان'!E56="","",'دانش‌آموزان'!B56)</x:f>
        <x:v>52</x:v>
      </x:c>
      <x:c r="D620" s="233" t="str">
        <x:f>IF('دانش‌آموزان'!C56="","",'دانش‌آموزان'!C56)</x:f>
        <x:v>4000000527</x:v>
      </x:c>
      <x:c r="E620" s="233" t="str">
        <x:f>IF('دانش‌آموزان'!E56="","",'دانش‌آموزان'!E56&amp;" "&amp;'دانش‌آموزان'!F56)</x:f>
        <x:v>رها یوسفی</x:v>
      </x:c>
      <x:c r="F620" s="166" t="str">
        <x:f>IF('دانش‌آموزان'!I56="","",'دانش‌آموزان'!I56)</x:f>
        <x:v>sample-7-c</x:v>
      </x:c>
      <x:c r="G620" s="114"/>
      <x:c r="H620" s="115"/>
      <x:c r="I620" s="115"/>
      <x:c r="J620" s="115"/>
      <x:c r="K620" s="115"/>
      <x:c r="L620" s="115"/>
      <x:c r="M620" s="115"/>
      <x:c r="N620" s="115"/>
      <x:c r="O620" s="115"/>
      <x:c r="P620" s="115"/>
      <x:c r="Q620" s="115"/>
      <x:c r="R620" s="115"/>
      <x:c r="S620" s="115"/>
      <x:c r="T620" s="115"/>
      <x:c r="U620" s="115"/>
      <x:c r="V620" s="115"/>
      <x:c r="W620" s="115"/>
      <x:c r="X620" s="115"/>
      <x:c r="Y620" s="115"/>
      <x:c r="Z620" s="115"/>
      <x:c r="AA620" s="115"/>
      <x:c r="AB620" s="115"/>
      <x:c r="AC620" s="115"/>
      <x:c r="AD620" s="115"/>
      <x:c r="AE620" s="115"/>
      <x:c r="AF620" s="115"/>
      <x:c r="AG620" s="115"/>
      <x:c r="AH620" s="115"/>
      <x:c r="AI620" s="115"/>
      <x:c r="AJ620" s="115"/>
      <x:c r="AK620" s="115"/>
      <x:c r="AL620" s="115"/>
      <x:c r="AM620" s="115"/>
      <x:c r="AN620" s="115"/>
      <x:c r="AO620" s="115"/>
      <x:c r="AP620" s="115"/>
      <x:c r="AQ620" s="115"/>
      <x:c r="AR620" s="115"/>
      <x:c r="AS620" s="115"/>
      <x:c r="AT620" s="115"/>
      <x:c r="AU620" s="115"/>
      <x:c r="AV620" s="115"/>
      <x:c r="AW620" s="115"/>
      <x:c r="AX620" s="115"/>
      <x:c r="AY620" s="115"/>
      <x:c r="AZ620" s="115"/>
      <x:c r="BA620" s="115"/>
      <x:c r="BB620" s="115"/>
      <x:c r="BC620" s="115"/>
      <x:c r="BD620" s="115"/>
      <x:c r="BE620" s="115"/>
      <x:c r="BF620" s="115"/>
      <x:c r="BG620" s="115"/>
      <x:c r="BH620" s="115"/>
      <x:c r="BI620" s="115"/>
      <x:c r="BJ620" s="115"/>
      <x:c r="BK620" s="115"/>
      <x:c r="BL620" s="115"/>
      <x:c r="BM620" s="115"/>
      <x:c r="BN620" s="115"/>
      <x:c r="BO620" s="115"/>
      <x:c r="BP620" s="115"/>
      <x:c r="BQ620" s="115"/>
      <x:c r="BR620" s="115"/>
      <x:c r="BS620" s="115"/>
      <x:c r="BT620" s="115"/>
      <x:c r="BU620" s="115"/>
      <x:c r="BV620" s="115"/>
      <x:c r="BW620" s="115"/>
      <x:c r="BX620" s="115"/>
      <x:c r="BY620" s="115"/>
      <x:c r="BZ620" s="115"/>
      <x:c r="CA620" s="115"/>
      <x:c r="CB620" s="116"/>
      <x:c r="CC620" s="141" t="str">
        <x:f>IF(COUNT(G620:P620)=0,"",AVERAGE(G620:P620)*4)</x:f>
      </x:c>
      <x:c r="CD620" s="178" t="str">
        <x:f>IF(COUNT(Q620:Z620)=0,"",AVERAGE(Q620:Z620)*4)</x:f>
      </x:c>
      <x:c r="CE620" s="178" t="str">
        <x:f>IF(COUNT(AA620:AJ620)=0,"",AVERAGE(AA620:AJ620)*4)</x:f>
      </x:c>
      <x:c r="CF620" s="178" t="str">
        <x:f>IF(COUNT(AK620:AR620)=0,"",AVERAGE(AK620:AR620)*4)</x:f>
      </x:c>
      <x:c r="CG620" s="178" t="str">
        <x:f>IF(COUNT(AS620:AY620)=0,"",AVERAGE(AS620:AY620)*4)</x:f>
      </x:c>
      <x:c r="CH620" s="178" t="str">
        <x:f>IF(COUNT(AZ620:BG620)=0,"",AVERAGE(AZ620:BG620)*4)</x:f>
      </x:c>
      <x:c r="CI620" s="178" t="str">
        <x:f>IF(COUNT(BH620:BN620)=0,"",AVERAGE(BH620:BN620)*4)</x:f>
      </x:c>
      <x:c r="CJ620" s="178" t="str">
        <x:f>IF(COUNT(BO620:BU620)=0,"",AVERAGE(BO620:BU620)*4)</x:f>
      </x:c>
      <x:c r="CK620" s="178" t="str">
        <x:f>IF(COUNT(BV620:CB620)=0,"",AVERAGE(BV620:CB620)*4)</x:f>
      </x:c>
      <x:c r="CL620" s="178" t="str">
        <x:f>IF(C620="","",IF(COUNT(G620:CB620)&lt;74,"",(CC620*'تنظیمات وزن‌دهی'!$C$5+CD620*'تنظیمات وزن‌دهی'!$C$6+CE620*'تنظیمات وزن‌دهی'!$C$7+CF620*'تنظیمات وزن‌دهی'!$C$8+CG620*'تنظیمات وزن‌دهی'!$C$9+CH620*'تنظیمات وزن‌دهی'!$C$10+CI620*'تنظیمات وزن‌دهی'!$C$11+CJ620*'تنظیمات وزن‌دهی'!$C$12+CK620*'تنظیمات وزن‌دهی'!$C$13)/100))</x:f>
      </x:c>
      <x:c r="CM620" s="178" t="str">
        <x:f>IF(C620="","",IF(COUNT(G620:CB620)=0,"",IF(COUNT(G620:CB620)&lt;74,"موقت - اطلاعات ناقص",IF(CL620&gt;=17,"عالی",IF(CL620&gt;=14,"خوب",IF(CL620&gt;=10,"متوسط","ضعیف"))))))</x:f>
      </x:c>
      <x:c r="CN620" s="178" t="n">
        <x:v>4</x:v>
      </x:c>
      <x:c r="CO620" s="142" t="n">
        <x:f>IF(C620="","",COUNT(G620:CB620)/74)</x:f>
        <x:v>0</x:v>
      </x:c>
      <x:c r="CP620" s="245"/>
    </x:row>
    <x:row r="621">
      <x:c r="A621" s="165" t="n">
        <x:v>617</x:v>
      </x:c>
      <x:c r="B621" s="233" t="str">
        <x:v>آبان</x:v>
      </x:c>
      <x:c r="C621" s="233" t="n">
        <x:f>IF('دانش‌آموزان'!E56="","",'دانش‌آموزان'!B56)</x:f>
        <x:v>52</x:v>
      </x:c>
      <x:c r="D621" s="233" t="str">
        <x:f>IF('دانش‌آموزان'!C56="","",'دانش‌آموزان'!C56)</x:f>
        <x:v>4000000527</x:v>
      </x:c>
      <x:c r="E621" s="233" t="str">
        <x:f>IF('دانش‌آموزان'!E56="","",'دانش‌آموزان'!E56&amp;" "&amp;'دانش‌آموزان'!F56)</x:f>
        <x:v>رها یوسفی</x:v>
      </x:c>
      <x:c r="F621" s="166" t="str">
        <x:f>IF('دانش‌آموزان'!I56="","",'دانش‌آموزان'!I56)</x:f>
        <x:v>sample-7-c</x:v>
      </x:c>
      <x:c r="G621" s="114"/>
      <x:c r="H621" s="115"/>
      <x:c r="I621" s="115"/>
      <x:c r="J621" s="115"/>
      <x:c r="K621" s="115"/>
      <x:c r="L621" s="115"/>
      <x:c r="M621" s="115"/>
      <x:c r="N621" s="115"/>
      <x:c r="O621" s="115"/>
      <x:c r="P621" s="115"/>
      <x:c r="Q621" s="115"/>
      <x:c r="R621" s="115"/>
      <x:c r="S621" s="115"/>
      <x:c r="T621" s="115"/>
      <x:c r="U621" s="115"/>
      <x:c r="V621" s="115"/>
      <x:c r="W621" s="115"/>
      <x:c r="X621" s="115"/>
      <x:c r="Y621" s="115"/>
      <x:c r="Z621" s="115"/>
      <x:c r="AA621" s="115"/>
      <x:c r="AB621" s="115"/>
      <x:c r="AC621" s="115"/>
      <x:c r="AD621" s="115"/>
      <x:c r="AE621" s="115"/>
      <x:c r="AF621" s="115"/>
      <x:c r="AG621" s="115"/>
      <x:c r="AH621" s="115"/>
      <x:c r="AI621" s="115"/>
      <x:c r="AJ621" s="115"/>
      <x:c r="AK621" s="115"/>
      <x:c r="AL621" s="115"/>
      <x:c r="AM621" s="115"/>
      <x:c r="AN621" s="115"/>
      <x:c r="AO621" s="115"/>
      <x:c r="AP621" s="115"/>
      <x:c r="AQ621" s="115"/>
      <x:c r="AR621" s="115"/>
      <x:c r="AS621" s="115"/>
      <x:c r="AT621" s="115"/>
      <x:c r="AU621" s="115"/>
      <x:c r="AV621" s="115"/>
      <x:c r="AW621" s="115"/>
      <x:c r="AX621" s="115"/>
      <x:c r="AY621" s="115"/>
      <x:c r="AZ621" s="115"/>
      <x:c r="BA621" s="115"/>
      <x:c r="BB621" s="115"/>
      <x:c r="BC621" s="115"/>
      <x:c r="BD621" s="115"/>
      <x:c r="BE621" s="115"/>
      <x:c r="BF621" s="115"/>
      <x:c r="BG621" s="115"/>
      <x:c r="BH621" s="115"/>
      <x:c r="BI621" s="115"/>
      <x:c r="BJ621" s="115"/>
      <x:c r="BK621" s="115"/>
      <x:c r="BL621" s="115"/>
      <x:c r="BM621" s="115"/>
      <x:c r="BN621" s="115"/>
      <x:c r="BO621" s="115"/>
      <x:c r="BP621" s="115"/>
      <x:c r="BQ621" s="115"/>
      <x:c r="BR621" s="115"/>
      <x:c r="BS621" s="115"/>
      <x:c r="BT621" s="115"/>
      <x:c r="BU621" s="115"/>
      <x:c r="BV621" s="115"/>
      <x:c r="BW621" s="115"/>
      <x:c r="BX621" s="115"/>
      <x:c r="BY621" s="115"/>
      <x:c r="BZ621" s="115"/>
      <x:c r="CA621" s="115"/>
      <x:c r="CB621" s="116"/>
      <x:c r="CC621" s="141" t="str">
        <x:f>IF(COUNT(G621:P621)=0,"",AVERAGE(G621:P621)*4)</x:f>
      </x:c>
      <x:c r="CD621" s="178" t="str">
        <x:f>IF(COUNT(Q621:Z621)=0,"",AVERAGE(Q621:Z621)*4)</x:f>
      </x:c>
      <x:c r="CE621" s="178" t="str">
        <x:f>IF(COUNT(AA621:AJ621)=0,"",AVERAGE(AA621:AJ621)*4)</x:f>
      </x:c>
      <x:c r="CF621" s="178" t="str">
        <x:f>IF(COUNT(AK621:AR621)=0,"",AVERAGE(AK621:AR621)*4)</x:f>
      </x:c>
      <x:c r="CG621" s="178" t="str">
        <x:f>IF(COUNT(AS621:AY621)=0,"",AVERAGE(AS621:AY621)*4)</x:f>
      </x:c>
      <x:c r="CH621" s="178" t="str">
        <x:f>IF(COUNT(AZ621:BG621)=0,"",AVERAGE(AZ621:BG621)*4)</x:f>
      </x:c>
      <x:c r="CI621" s="178" t="str">
        <x:f>IF(COUNT(BH621:BN621)=0,"",AVERAGE(BH621:BN621)*4)</x:f>
      </x:c>
      <x:c r="CJ621" s="178" t="str">
        <x:f>IF(COUNT(BO621:BU621)=0,"",AVERAGE(BO621:BU621)*4)</x:f>
      </x:c>
      <x:c r="CK621" s="178" t="str">
        <x:f>IF(COUNT(BV621:CB621)=0,"",AVERAGE(BV621:CB621)*4)</x:f>
      </x:c>
      <x:c r="CL621" s="178" t="str">
        <x:f>IF(C621="","",IF(COUNT(G621:CB621)&lt;74,"",(CC621*'تنظیمات وزن‌دهی'!$C$5+CD621*'تنظیمات وزن‌دهی'!$C$6+CE621*'تنظیمات وزن‌دهی'!$C$7+CF621*'تنظیمات وزن‌دهی'!$C$8+CG621*'تنظیمات وزن‌دهی'!$C$9+CH621*'تنظیمات وزن‌دهی'!$C$10+CI621*'تنظیمات وزن‌دهی'!$C$11+CJ621*'تنظیمات وزن‌دهی'!$C$12+CK621*'تنظیمات وزن‌دهی'!$C$13)/100))</x:f>
      </x:c>
      <x:c r="CM621" s="178" t="str">
        <x:f>IF(C621="","",IF(COUNT(G621:CB621)=0,"",IF(COUNT(G621:CB621)&lt;74,"موقت - اطلاعات ناقص",IF(CL621&gt;=17,"عالی",IF(CL621&gt;=14,"خوب",IF(CL621&gt;=10,"متوسط","ضعیف"))))))</x:f>
      </x:c>
      <x:c r="CN621" s="178" t="n">
        <x:v>5</x:v>
      </x:c>
      <x:c r="CO621" s="142" t="n">
        <x:f>IF(C621="","",COUNT(G621:CB621)/74)</x:f>
        <x:v>0</x:v>
      </x:c>
      <x:c r="CP621" s="245"/>
    </x:row>
    <x:row r="622">
      <x:c r="A622" s="165" t="n">
        <x:v>618</x:v>
      </x:c>
      <x:c r="B622" s="233" t="str">
        <x:v>آذر</x:v>
      </x:c>
      <x:c r="C622" s="233" t="n">
        <x:f>IF('دانش‌آموزان'!E56="","",'دانش‌آموزان'!B56)</x:f>
        <x:v>52</x:v>
      </x:c>
      <x:c r="D622" s="233" t="str">
        <x:f>IF('دانش‌آموزان'!C56="","",'دانش‌آموزان'!C56)</x:f>
        <x:v>4000000527</x:v>
      </x:c>
      <x:c r="E622" s="233" t="str">
        <x:f>IF('دانش‌آموزان'!E56="","",'دانش‌آموزان'!E56&amp;" "&amp;'دانش‌آموزان'!F56)</x:f>
        <x:v>رها یوسفی</x:v>
      </x:c>
      <x:c r="F622" s="166" t="str">
        <x:f>IF('دانش‌آموزان'!I56="","",'دانش‌آموزان'!I56)</x:f>
        <x:v>sample-7-c</x:v>
      </x:c>
      <x:c r="G622" s="114"/>
      <x:c r="H622" s="115"/>
      <x:c r="I622" s="115"/>
      <x:c r="J622" s="115"/>
      <x:c r="K622" s="115"/>
      <x:c r="L622" s="115"/>
      <x:c r="M622" s="115"/>
      <x:c r="N622" s="115"/>
      <x:c r="O622" s="115"/>
      <x:c r="P622" s="115"/>
      <x:c r="Q622" s="115"/>
      <x:c r="R622" s="115"/>
      <x:c r="S622" s="115"/>
      <x:c r="T622" s="115"/>
      <x:c r="U622" s="115"/>
      <x:c r="V622" s="115"/>
      <x:c r="W622" s="115"/>
      <x:c r="X622" s="115"/>
      <x:c r="Y622" s="115"/>
      <x:c r="Z622" s="115"/>
      <x:c r="AA622" s="115"/>
      <x:c r="AB622" s="115"/>
      <x:c r="AC622" s="115"/>
      <x:c r="AD622" s="115"/>
      <x:c r="AE622" s="115"/>
      <x:c r="AF622" s="115"/>
      <x:c r="AG622" s="115"/>
      <x:c r="AH622" s="115"/>
      <x:c r="AI622" s="115"/>
      <x:c r="AJ622" s="115"/>
      <x:c r="AK622" s="115"/>
      <x:c r="AL622" s="115"/>
      <x:c r="AM622" s="115"/>
      <x:c r="AN622" s="115"/>
      <x:c r="AO622" s="115"/>
      <x:c r="AP622" s="115"/>
      <x:c r="AQ622" s="115"/>
      <x:c r="AR622" s="115"/>
      <x:c r="AS622" s="115"/>
      <x:c r="AT622" s="115"/>
      <x:c r="AU622" s="115"/>
      <x:c r="AV622" s="115"/>
      <x:c r="AW622" s="115"/>
      <x:c r="AX622" s="115"/>
      <x:c r="AY622" s="115"/>
      <x:c r="AZ622" s="115"/>
      <x:c r="BA622" s="115"/>
      <x:c r="BB622" s="115"/>
      <x:c r="BC622" s="115"/>
      <x:c r="BD622" s="115"/>
      <x:c r="BE622" s="115"/>
      <x:c r="BF622" s="115"/>
      <x:c r="BG622" s="115"/>
      <x:c r="BH622" s="115"/>
      <x:c r="BI622" s="115"/>
      <x:c r="BJ622" s="115"/>
      <x:c r="BK622" s="115"/>
      <x:c r="BL622" s="115"/>
      <x:c r="BM622" s="115"/>
      <x:c r="BN622" s="115"/>
      <x:c r="BO622" s="115"/>
      <x:c r="BP622" s="115"/>
      <x:c r="BQ622" s="115"/>
      <x:c r="BR622" s="115"/>
      <x:c r="BS622" s="115"/>
      <x:c r="BT622" s="115"/>
      <x:c r="BU622" s="115"/>
      <x:c r="BV622" s="115"/>
      <x:c r="BW622" s="115"/>
      <x:c r="BX622" s="115"/>
      <x:c r="BY622" s="115"/>
      <x:c r="BZ622" s="115"/>
      <x:c r="CA622" s="115"/>
      <x:c r="CB622" s="116"/>
      <x:c r="CC622" s="141" t="str">
        <x:f>IF(COUNT(G622:P622)=0,"",AVERAGE(G622:P622)*4)</x:f>
      </x:c>
      <x:c r="CD622" s="178" t="str">
        <x:f>IF(COUNT(Q622:Z622)=0,"",AVERAGE(Q622:Z622)*4)</x:f>
      </x:c>
      <x:c r="CE622" s="178" t="str">
        <x:f>IF(COUNT(AA622:AJ622)=0,"",AVERAGE(AA622:AJ622)*4)</x:f>
      </x:c>
      <x:c r="CF622" s="178" t="str">
        <x:f>IF(COUNT(AK622:AR622)=0,"",AVERAGE(AK622:AR622)*4)</x:f>
      </x:c>
      <x:c r="CG622" s="178" t="str">
        <x:f>IF(COUNT(AS622:AY622)=0,"",AVERAGE(AS622:AY622)*4)</x:f>
      </x:c>
      <x:c r="CH622" s="178" t="str">
        <x:f>IF(COUNT(AZ622:BG622)=0,"",AVERAGE(AZ622:BG622)*4)</x:f>
      </x:c>
      <x:c r="CI622" s="178" t="str">
        <x:f>IF(COUNT(BH622:BN622)=0,"",AVERAGE(BH622:BN622)*4)</x:f>
      </x:c>
      <x:c r="CJ622" s="178" t="str">
        <x:f>IF(COUNT(BO622:BU622)=0,"",AVERAGE(BO622:BU622)*4)</x:f>
      </x:c>
      <x:c r="CK622" s="178" t="str">
        <x:f>IF(COUNT(BV622:CB622)=0,"",AVERAGE(BV622:CB622)*4)</x:f>
      </x:c>
      <x:c r="CL622" s="178" t="str">
        <x:f>IF(C622="","",IF(COUNT(G622:CB622)&lt;74,"",(CC622*'تنظیمات وزن‌دهی'!$C$5+CD622*'تنظیمات وزن‌دهی'!$C$6+CE622*'تنظیمات وزن‌دهی'!$C$7+CF622*'تنظیمات وزن‌دهی'!$C$8+CG622*'تنظیمات وزن‌دهی'!$C$9+CH622*'تنظیمات وزن‌دهی'!$C$10+CI622*'تنظیمات وزن‌دهی'!$C$11+CJ622*'تنظیمات وزن‌دهی'!$C$12+CK622*'تنظیمات وزن‌دهی'!$C$13)/100))</x:f>
      </x:c>
      <x:c r="CM622" s="178" t="str">
        <x:f>IF(C622="","",IF(COUNT(G622:CB622)=0,"",IF(COUNT(G622:CB622)&lt;74,"موقت - اطلاعات ناقص",IF(CL622&gt;=17,"عالی",IF(CL622&gt;=14,"خوب",IF(CL622&gt;=10,"متوسط","ضعیف"))))))</x:f>
      </x:c>
      <x:c r="CN622" s="178" t="n">
        <x:v>6</x:v>
      </x:c>
      <x:c r="CO622" s="142" t="n">
        <x:f>IF(C622="","",COUNT(G622:CB622)/74)</x:f>
        <x:v>0</x:v>
      </x:c>
      <x:c r="CP622" s="245"/>
    </x:row>
    <x:row r="623">
      <x:c r="A623" s="165" t="n">
        <x:v>619</x:v>
      </x:c>
      <x:c r="B623" s="233" t="str">
        <x:v>دی</x:v>
      </x:c>
      <x:c r="C623" s="233" t="n">
        <x:f>IF('دانش‌آموزان'!E56="","",'دانش‌آموزان'!B56)</x:f>
        <x:v>52</x:v>
      </x:c>
      <x:c r="D623" s="233" t="str">
        <x:f>IF('دانش‌آموزان'!C56="","",'دانش‌آموزان'!C56)</x:f>
        <x:v>4000000527</x:v>
      </x:c>
      <x:c r="E623" s="233" t="str">
        <x:f>IF('دانش‌آموزان'!E56="","",'دانش‌آموزان'!E56&amp;" "&amp;'دانش‌آموزان'!F56)</x:f>
        <x:v>رها یوسفی</x:v>
      </x:c>
      <x:c r="F623" s="166" t="str">
        <x:f>IF('دانش‌آموزان'!I56="","",'دانش‌آموزان'!I56)</x:f>
        <x:v>sample-7-c</x:v>
      </x:c>
      <x:c r="G623" s="114"/>
      <x:c r="H623" s="115"/>
      <x:c r="I623" s="115"/>
      <x:c r="J623" s="115"/>
      <x:c r="K623" s="115"/>
      <x:c r="L623" s="115"/>
      <x:c r="M623" s="115"/>
      <x:c r="N623" s="115"/>
      <x:c r="O623" s="115"/>
      <x:c r="P623" s="115"/>
      <x:c r="Q623" s="115"/>
      <x:c r="R623" s="115"/>
      <x:c r="S623" s="115"/>
      <x:c r="T623" s="115"/>
      <x:c r="U623" s="115"/>
      <x:c r="V623" s="115"/>
      <x:c r="W623" s="115"/>
      <x:c r="X623" s="115"/>
      <x:c r="Y623" s="115"/>
      <x:c r="Z623" s="115"/>
      <x:c r="AA623" s="115"/>
      <x:c r="AB623" s="115"/>
      <x:c r="AC623" s="115"/>
      <x:c r="AD623" s="115"/>
      <x:c r="AE623" s="115"/>
      <x:c r="AF623" s="115"/>
      <x:c r="AG623" s="115"/>
      <x:c r="AH623" s="115"/>
      <x:c r="AI623" s="115"/>
      <x:c r="AJ623" s="115"/>
      <x:c r="AK623" s="115"/>
      <x:c r="AL623" s="115"/>
      <x:c r="AM623" s="115"/>
      <x:c r="AN623" s="115"/>
      <x:c r="AO623" s="115"/>
      <x:c r="AP623" s="115"/>
      <x:c r="AQ623" s="115"/>
      <x:c r="AR623" s="115"/>
      <x:c r="AS623" s="115"/>
      <x:c r="AT623" s="115"/>
      <x:c r="AU623" s="115"/>
      <x:c r="AV623" s="115"/>
      <x:c r="AW623" s="115"/>
      <x:c r="AX623" s="115"/>
      <x:c r="AY623" s="115"/>
      <x:c r="AZ623" s="115"/>
      <x:c r="BA623" s="115"/>
      <x:c r="BB623" s="115"/>
      <x:c r="BC623" s="115"/>
      <x:c r="BD623" s="115"/>
      <x:c r="BE623" s="115"/>
      <x:c r="BF623" s="115"/>
      <x:c r="BG623" s="115"/>
      <x:c r="BH623" s="115"/>
      <x:c r="BI623" s="115"/>
      <x:c r="BJ623" s="115"/>
      <x:c r="BK623" s="115"/>
      <x:c r="BL623" s="115"/>
      <x:c r="BM623" s="115"/>
      <x:c r="BN623" s="115"/>
      <x:c r="BO623" s="115"/>
      <x:c r="BP623" s="115"/>
      <x:c r="BQ623" s="115"/>
      <x:c r="BR623" s="115"/>
      <x:c r="BS623" s="115"/>
      <x:c r="BT623" s="115"/>
      <x:c r="BU623" s="115"/>
      <x:c r="BV623" s="115"/>
      <x:c r="BW623" s="115"/>
      <x:c r="BX623" s="115"/>
      <x:c r="BY623" s="115"/>
      <x:c r="BZ623" s="115"/>
      <x:c r="CA623" s="115"/>
      <x:c r="CB623" s="116"/>
      <x:c r="CC623" s="141" t="str">
        <x:f>IF(COUNT(G623:P623)=0,"",AVERAGE(G623:P623)*4)</x:f>
      </x:c>
      <x:c r="CD623" s="178" t="str">
        <x:f>IF(COUNT(Q623:Z623)=0,"",AVERAGE(Q623:Z623)*4)</x:f>
      </x:c>
      <x:c r="CE623" s="178" t="str">
        <x:f>IF(COUNT(AA623:AJ623)=0,"",AVERAGE(AA623:AJ623)*4)</x:f>
      </x:c>
      <x:c r="CF623" s="178" t="str">
        <x:f>IF(COUNT(AK623:AR623)=0,"",AVERAGE(AK623:AR623)*4)</x:f>
      </x:c>
      <x:c r="CG623" s="178" t="str">
        <x:f>IF(COUNT(AS623:AY623)=0,"",AVERAGE(AS623:AY623)*4)</x:f>
      </x:c>
      <x:c r="CH623" s="178" t="str">
        <x:f>IF(COUNT(AZ623:BG623)=0,"",AVERAGE(AZ623:BG623)*4)</x:f>
      </x:c>
      <x:c r="CI623" s="178" t="str">
        <x:f>IF(COUNT(BH623:BN623)=0,"",AVERAGE(BH623:BN623)*4)</x:f>
      </x:c>
      <x:c r="CJ623" s="178" t="str">
        <x:f>IF(COUNT(BO623:BU623)=0,"",AVERAGE(BO623:BU623)*4)</x:f>
      </x:c>
      <x:c r="CK623" s="178" t="str">
        <x:f>IF(COUNT(BV623:CB623)=0,"",AVERAGE(BV623:CB623)*4)</x:f>
      </x:c>
      <x:c r="CL623" s="178" t="str">
        <x:f>IF(C623="","",IF(COUNT(G623:CB623)&lt;74,"",(CC623*'تنظیمات وزن‌دهی'!$C$5+CD623*'تنظیمات وزن‌دهی'!$C$6+CE623*'تنظیمات وزن‌دهی'!$C$7+CF623*'تنظیمات وزن‌دهی'!$C$8+CG623*'تنظیمات وزن‌دهی'!$C$9+CH623*'تنظیمات وزن‌دهی'!$C$10+CI623*'تنظیمات وزن‌دهی'!$C$11+CJ623*'تنظیمات وزن‌دهی'!$C$12+CK623*'تنظیمات وزن‌دهی'!$C$13)/100))</x:f>
      </x:c>
      <x:c r="CM623" s="178" t="str">
        <x:f>IF(C623="","",IF(COUNT(G623:CB623)=0,"",IF(COUNT(G623:CB623)&lt;74,"موقت - اطلاعات ناقص",IF(CL623&gt;=17,"عالی",IF(CL623&gt;=14,"خوب",IF(CL623&gt;=10,"متوسط","ضعیف"))))))</x:f>
      </x:c>
      <x:c r="CN623" s="178" t="n">
        <x:v>7</x:v>
      </x:c>
      <x:c r="CO623" s="142" t="n">
        <x:f>IF(C623="","",COUNT(G623:CB623)/74)</x:f>
        <x:v>0</x:v>
      </x:c>
      <x:c r="CP623" s="245"/>
    </x:row>
    <x:row r="624">
      <x:c r="A624" s="165" t="n">
        <x:v>620</x:v>
      </x:c>
      <x:c r="B624" s="233" t="str">
        <x:v>بهمن</x:v>
      </x:c>
      <x:c r="C624" s="233" t="n">
        <x:f>IF('دانش‌آموزان'!E56="","",'دانش‌آموزان'!B56)</x:f>
        <x:v>52</x:v>
      </x:c>
      <x:c r="D624" s="233" t="str">
        <x:f>IF('دانش‌آموزان'!C56="","",'دانش‌آموزان'!C56)</x:f>
        <x:v>4000000527</x:v>
      </x:c>
      <x:c r="E624" s="233" t="str">
        <x:f>IF('دانش‌آموزان'!E56="","",'دانش‌آموزان'!E56&amp;" "&amp;'دانش‌آموزان'!F56)</x:f>
        <x:v>رها یوسفی</x:v>
      </x:c>
      <x:c r="F624" s="166" t="str">
        <x:f>IF('دانش‌آموزان'!I56="","",'دانش‌آموزان'!I56)</x:f>
        <x:v>sample-7-c</x:v>
      </x:c>
      <x:c r="G624" s="114"/>
      <x:c r="H624" s="115"/>
      <x:c r="I624" s="115"/>
      <x:c r="J624" s="115"/>
      <x:c r="K624" s="115"/>
      <x:c r="L624" s="115"/>
      <x:c r="M624" s="115"/>
      <x:c r="N624" s="115"/>
      <x:c r="O624" s="115"/>
      <x:c r="P624" s="115"/>
      <x:c r="Q624" s="115"/>
      <x:c r="R624" s="115"/>
      <x:c r="S624" s="115"/>
      <x:c r="T624" s="115"/>
      <x:c r="U624" s="115"/>
      <x:c r="V624" s="115"/>
      <x:c r="W624" s="115"/>
      <x:c r="X624" s="115"/>
      <x:c r="Y624" s="115"/>
      <x:c r="Z624" s="115"/>
      <x:c r="AA624" s="115"/>
      <x:c r="AB624" s="115"/>
      <x:c r="AC624" s="115"/>
      <x:c r="AD624" s="115"/>
      <x:c r="AE624" s="115"/>
      <x:c r="AF624" s="115"/>
      <x:c r="AG624" s="115"/>
      <x:c r="AH624" s="115"/>
      <x:c r="AI624" s="115"/>
      <x:c r="AJ624" s="115"/>
      <x:c r="AK624" s="115"/>
      <x:c r="AL624" s="115"/>
      <x:c r="AM624" s="115"/>
      <x:c r="AN624" s="115"/>
      <x:c r="AO624" s="115"/>
      <x:c r="AP624" s="115"/>
      <x:c r="AQ624" s="115"/>
      <x:c r="AR624" s="115"/>
      <x:c r="AS624" s="115"/>
      <x:c r="AT624" s="115"/>
      <x:c r="AU624" s="115"/>
      <x:c r="AV624" s="115"/>
      <x:c r="AW624" s="115"/>
      <x:c r="AX624" s="115"/>
      <x:c r="AY624" s="115"/>
      <x:c r="AZ624" s="115"/>
      <x:c r="BA624" s="115"/>
      <x:c r="BB624" s="115"/>
      <x:c r="BC624" s="115"/>
      <x:c r="BD624" s="115"/>
      <x:c r="BE624" s="115"/>
      <x:c r="BF624" s="115"/>
      <x:c r="BG624" s="115"/>
      <x:c r="BH624" s="115"/>
      <x:c r="BI624" s="115"/>
      <x:c r="BJ624" s="115"/>
      <x:c r="BK624" s="115"/>
      <x:c r="BL624" s="115"/>
      <x:c r="BM624" s="115"/>
      <x:c r="BN624" s="115"/>
      <x:c r="BO624" s="115"/>
      <x:c r="BP624" s="115"/>
      <x:c r="BQ624" s="115"/>
      <x:c r="BR624" s="115"/>
      <x:c r="BS624" s="115"/>
      <x:c r="BT624" s="115"/>
      <x:c r="BU624" s="115"/>
      <x:c r="BV624" s="115"/>
      <x:c r="BW624" s="115"/>
      <x:c r="BX624" s="115"/>
      <x:c r="BY624" s="115"/>
      <x:c r="BZ624" s="115"/>
      <x:c r="CA624" s="115"/>
      <x:c r="CB624" s="116"/>
      <x:c r="CC624" s="141" t="str">
        <x:f>IF(COUNT(G624:P624)=0,"",AVERAGE(G624:P624)*4)</x:f>
      </x:c>
      <x:c r="CD624" s="178" t="str">
        <x:f>IF(COUNT(Q624:Z624)=0,"",AVERAGE(Q624:Z624)*4)</x:f>
      </x:c>
      <x:c r="CE624" s="178" t="str">
        <x:f>IF(COUNT(AA624:AJ624)=0,"",AVERAGE(AA624:AJ624)*4)</x:f>
      </x:c>
      <x:c r="CF624" s="178" t="str">
        <x:f>IF(COUNT(AK624:AR624)=0,"",AVERAGE(AK624:AR624)*4)</x:f>
      </x:c>
      <x:c r="CG624" s="178" t="str">
        <x:f>IF(COUNT(AS624:AY624)=0,"",AVERAGE(AS624:AY624)*4)</x:f>
      </x:c>
      <x:c r="CH624" s="178" t="str">
        <x:f>IF(COUNT(AZ624:BG624)=0,"",AVERAGE(AZ624:BG624)*4)</x:f>
      </x:c>
      <x:c r="CI624" s="178" t="str">
        <x:f>IF(COUNT(BH624:BN624)=0,"",AVERAGE(BH624:BN624)*4)</x:f>
      </x:c>
      <x:c r="CJ624" s="178" t="str">
        <x:f>IF(COUNT(BO624:BU624)=0,"",AVERAGE(BO624:BU624)*4)</x:f>
      </x:c>
      <x:c r="CK624" s="178" t="str">
        <x:f>IF(COUNT(BV624:CB624)=0,"",AVERAGE(BV624:CB624)*4)</x:f>
      </x:c>
      <x:c r="CL624" s="178" t="str">
        <x:f>IF(C624="","",IF(COUNT(G624:CB624)&lt;74,"",(CC624*'تنظیمات وزن‌دهی'!$C$5+CD624*'تنظیمات وزن‌دهی'!$C$6+CE624*'تنظیمات وزن‌دهی'!$C$7+CF624*'تنظیمات وزن‌دهی'!$C$8+CG624*'تنظیمات وزن‌دهی'!$C$9+CH624*'تنظیمات وزن‌دهی'!$C$10+CI624*'تنظیمات وزن‌دهی'!$C$11+CJ624*'تنظیمات وزن‌دهی'!$C$12+CK624*'تنظیمات وزن‌دهی'!$C$13)/100))</x:f>
      </x:c>
      <x:c r="CM624" s="178" t="str">
        <x:f>IF(C624="","",IF(COUNT(G624:CB624)=0,"",IF(COUNT(G624:CB624)&lt;74,"موقت - اطلاعات ناقص",IF(CL624&gt;=17,"عالی",IF(CL624&gt;=14,"خوب",IF(CL624&gt;=10,"متوسط","ضعیف"))))))</x:f>
      </x:c>
      <x:c r="CN624" s="178" t="n">
        <x:v>8</x:v>
      </x:c>
      <x:c r="CO624" s="142" t="n">
        <x:f>IF(C624="","",COUNT(G624:CB624)/74)</x:f>
        <x:v>0</x:v>
      </x:c>
      <x:c r="CP624" s="245"/>
    </x:row>
    <x:row r="625">
      <x:c r="A625" s="165" t="n">
        <x:v>621</x:v>
      </x:c>
      <x:c r="B625" s="233" t="str">
        <x:v>اسفند</x:v>
      </x:c>
      <x:c r="C625" s="233" t="n">
        <x:f>IF('دانش‌آموزان'!E56="","",'دانش‌آموزان'!B56)</x:f>
        <x:v>52</x:v>
      </x:c>
      <x:c r="D625" s="233" t="str">
        <x:f>IF('دانش‌آموزان'!C56="","",'دانش‌آموزان'!C56)</x:f>
        <x:v>4000000527</x:v>
      </x:c>
      <x:c r="E625" s="233" t="str">
        <x:f>IF('دانش‌آموزان'!E56="","",'دانش‌آموزان'!E56&amp;" "&amp;'دانش‌آموزان'!F56)</x:f>
        <x:v>رها یوسفی</x:v>
      </x:c>
      <x:c r="F625" s="166" t="str">
        <x:f>IF('دانش‌آموزان'!I56="","",'دانش‌آموزان'!I56)</x:f>
        <x:v>sample-7-c</x:v>
      </x:c>
      <x:c r="G625" s="114"/>
      <x:c r="H625" s="115"/>
      <x:c r="I625" s="115"/>
      <x:c r="J625" s="115"/>
      <x:c r="K625" s="115"/>
      <x:c r="L625" s="115"/>
      <x:c r="M625" s="115"/>
      <x:c r="N625" s="115"/>
      <x:c r="O625" s="115"/>
      <x:c r="P625" s="115"/>
      <x:c r="Q625" s="115"/>
      <x:c r="R625" s="115"/>
      <x:c r="S625" s="115"/>
      <x:c r="T625" s="115"/>
      <x:c r="U625" s="115"/>
      <x:c r="V625" s="115"/>
      <x:c r="W625" s="115"/>
      <x:c r="X625" s="115"/>
      <x:c r="Y625" s="115"/>
      <x:c r="Z625" s="115"/>
      <x:c r="AA625" s="115"/>
      <x:c r="AB625" s="115"/>
      <x:c r="AC625" s="115"/>
      <x:c r="AD625" s="115"/>
      <x:c r="AE625" s="115"/>
      <x:c r="AF625" s="115"/>
      <x:c r="AG625" s="115"/>
      <x:c r="AH625" s="115"/>
      <x:c r="AI625" s="115"/>
      <x:c r="AJ625" s="115"/>
      <x:c r="AK625" s="115"/>
      <x:c r="AL625" s="115"/>
      <x:c r="AM625" s="115"/>
      <x:c r="AN625" s="115"/>
      <x:c r="AO625" s="115"/>
      <x:c r="AP625" s="115"/>
      <x:c r="AQ625" s="115"/>
      <x:c r="AR625" s="115"/>
      <x:c r="AS625" s="115"/>
      <x:c r="AT625" s="115"/>
      <x:c r="AU625" s="115"/>
      <x:c r="AV625" s="115"/>
      <x:c r="AW625" s="115"/>
      <x:c r="AX625" s="115"/>
      <x:c r="AY625" s="115"/>
      <x:c r="AZ625" s="115"/>
      <x:c r="BA625" s="115"/>
      <x:c r="BB625" s="115"/>
      <x:c r="BC625" s="115"/>
      <x:c r="BD625" s="115"/>
      <x:c r="BE625" s="115"/>
      <x:c r="BF625" s="115"/>
      <x:c r="BG625" s="115"/>
      <x:c r="BH625" s="115"/>
      <x:c r="BI625" s="115"/>
      <x:c r="BJ625" s="115"/>
      <x:c r="BK625" s="115"/>
      <x:c r="BL625" s="115"/>
      <x:c r="BM625" s="115"/>
      <x:c r="BN625" s="115"/>
      <x:c r="BO625" s="115"/>
      <x:c r="BP625" s="115"/>
      <x:c r="BQ625" s="115"/>
      <x:c r="BR625" s="115"/>
      <x:c r="BS625" s="115"/>
      <x:c r="BT625" s="115"/>
      <x:c r="BU625" s="115"/>
      <x:c r="BV625" s="115"/>
      <x:c r="BW625" s="115"/>
      <x:c r="BX625" s="115"/>
      <x:c r="BY625" s="115"/>
      <x:c r="BZ625" s="115"/>
      <x:c r="CA625" s="115"/>
      <x:c r="CB625" s="116"/>
      <x:c r="CC625" s="141" t="str">
        <x:f>IF(COUNT(G625:P625)=0,"",AVERAGE(G625:P625)*4)</x:f>
      </x:c>
      <x:c r="CD625" s="178" t="str">
        <x:f>IF(COUNT(Q625:Z625)=0,"",AVERAGE(Q625:Z625)*4)</x:f>
      </x:c>
      <x:c r="CE625" s="178" t="str">
        <x:f>IF(COUNT(AA625:AJ625)=0,"",AVERAGE(AA625:AJ625)*4)</x:f>
      </x:c>
      <x:c r="CF625" s="178" t="str">
        <x:f>IF(COUNT(AK625:AR625)=0,"",AVERAGE(AK625:AR625)*4)</x:f>
      </x:c>
      <x:c r="CG625" s="178" t="str">
        <x:f>IF(COUNT(AS625:AY625)=0,"",AVERAGE(AS625:AY625)*4)</x:f>
      </x:c>
      <x:c r="CH625" s="178" t="str">
        <x:f>IF(COUNT(AZ625:BG625)=0,"",AVERAGE(AZ625:BG625)*4)</x:f>
      </x:c>
      <x:c r="CI625" s="178" t="str">
        <x:f>IF(COUNT(BH625:BN625)=0,"",AVERAGE(BH625:BN625)*4)</x:f>
      </x:c>
      <x:c r="CJ625" s="178" t="str">
        <x:f>IF(COUNT(BO625:BU625)=0,"",AVERAGE(BO625:BU625)*4)</x:f>
      </x:c>
      <x:c r="CK625" s="178" t="str">
        <x:f>IF(COUNT(BV625:CB625)=0,"",AVERAGE(BV625:CB625)*4)</x:f>
      </x:c>
      <x:c r="CL625" s="178" t="str">
        <x:f>IF(C625="","",IF(COUNT(G625:CB625)&lt;74,"",(CC625*'تنظیمات وزن‌دهی'!$C$5+CD625*'تنظیمات وزن‌دهی'!$C$6+CE625*'تنظیمات وزن‌دهی'!$C$7+CF625*'تنظیمات وزن‌دهی'!$C$8+CG625*'تنظیمات وزن‌دهی'!$C$9+CH625*'تنظیمات وزن‌دهی'!$C$10+CI625*'تنظیمات وزن‌دهی'!$C$11+CJ625*'تنظیمات وزن‌دهی'!$C$12+CK625*'تنظیمات وزن‌دهی'!$C$13)/100))</x:f>
      </x:c>
      <x:c r="CM625" s="178" t="str">
        <x:f>IF(C625="","",IF(COUNT(G625:CB625)=0,"",IF(COUNT(G625:CB625)&lt;74,"موقت - اطلاعات ناقص",IF(CL625&gt;=17,"عالی",IF(CL625&gt;=14,"خوب",IF(CL625&gt;=10,"متوسط","ضعیف"))))))</x:f>
      </x:c>
      <x:c r="CN625" s="178" t="n">
        <x:v>9</x:v>
      </x:c>
      <x:c r="CO625" s="142" t="n">
        <x:f>IF(C625="","",COUNT(G625:CB625)/74)</x:f>
        <x:v>0</x:v>
      </x:c>
      <x:c r="CP625" s="245"/>
    </x:row>
    <x:row r="626">
      <x:c r="A626" s="165" t="n">
        <x:v>622</x:v>
      </x:c>
      <x:c r="B626" s="233" t="str">
        <x:v>فروردین</x:v>
      </x:c>
      <x:c r="C626" s="233" t="n">
        <x:f>IF('دانش‌آموزان'!E56="","",'دانش‌آموزان'!B56)</x:f>
        <x:v>52</x:v>
      </x:c>
      <x:c r="D626" s="233" t="str">
        <x:f>IF('دانش‌آموزان'!C56="","",'دانش‌آموزان'!C56)</x:f>
        <x:v>4000000527</x:v>
      </x:c>
      <x:c r="E626" s="233" t="str">
        <x:f>IF('دانش‌آموزان'!E56="","",'دانش‌آموزان'!E56&amp;" "&amp;'دانش‌آموزان'!F56)</x:f>
        <x:v>رها یوسفی</x:v>
      </x:c>
      <x:c r="F626" s="166" t="str">
        <x:f>IF('دانش‌آموزان'!I56="","",'دانش‌آموزان'!I56)</x:f>
        <x:v>sample-7-c</x:v>
      </x:c>
      <x:c r="G626" s="114"/>
      <x:c r="H626" s="115"/>
      <x:c r="I626" s="115"/>
      <x:c r="J626" s="115"/>
      <x:c r="K626" s="115"/>
      <x:c r="L626" s="115"/>
      <x:c r="M626" s="115"/>
      <x:c r="N626" s="115"/>
      <x:c r="O626" s="115"/>
      <x:c r="P626" s="115"/>
      <x:c r="Q626" s="115"/>
      <x:c r="R626" s="115"/>
      <x:c r="S626" s="115"/>
      <x:c r="T626" s="115"/>
      <x:c r="U626" s="115"/>
      <x:c r="V626" s="115"/>
      <x:c r="W626" s="115"/>
      <x:c r="X626" s="115"/>
      <x:c r="Y626" s="115"/>
      <x:c r="Z626" s="115"/>
      <x:c r="AA626" s="115"/>
      <x:c r="AB626" s="115"/>
      <x:c r="AC626" s="115"/>
      <x:c r="AD626" s="115"/>
      <x:c r="AE626" s="115"/>
      <x:c r="AF626" s="115"/>
      <x:c r="AG626" s="115"/>
      <x:c r="AH626" s="115"/>
      <x:c r="AI626" s="115"/>
      <x:c r="AJ626" s="115"/>
      <x:c r="AK626" s="115"/>
      <x:c r="AL626" s="115"/>
      <x:c r="AM626" s="115"/>
      <x:c r="AN626" s="115"/>
      <x:c r="AO626" s="115"/>
      <x:c r="AP626" s="115"/>
      <x:c r="AQ626" s="115"/>
      <x:c r="AR626" s="115"/>
      <x:c r="AS626" s="115"/>
      <x:c r="AT626" s="115"/>
      <x:c r="AU626" s="115"/>
      <x:c r="AV626" s="115"/>
      <x:c r="AW626" s="115"/>
      <x:c r="AX626" s="115"/>
      <x:c r="AY626" s="115"/>
      <x:c r="AZ626" s="115"/>
      <x:c r="BA626" s="115"/>
      <x:c r="BB626" s="115"/>
      <x:c r="BC626" s="115"/>
      <x:c r="BD626" s="115"/>
      <x:c r="BE626" s="115"/>
      <x:c r="BF626" s="115"/>
      <x:c r="BG626" s="115"/>
      <x:c r="BH626" s="115"/>
      <x:c r="BI626" s="115"/>
      <x:c r="BJ626" s="115"/>
      <x:c r="BK626" s="115"/>
      <x:c r="BL626" s="115"/>
      <x:c r="BM626" s="115"/>
      <x:c r="BN626" s="115"/>
      <x:c r="BO626" s="115"/>
      <x:c r="BP626" s="115"/>
      <x:c r="BQ626" s="115"/>
      <x:c r="BR626" s="115"/>
      <x:c r="BS626" s="115"/>
      <x:c r="BT626" s="115"/>
      <x:c r="BU626" s="115"/>
      <x:c r="BV626" s="115"/>
      <x:c r="BW626" s="115"/>
      <x:c r="BX626" s="115"/>
      <x:c r="BY626" s="115"/>
      <x:c r="BZ626" s="115"/>
      <x:c r="CA626" s="115"/>
      <x:c r="CB626" s="116"/>
      <x:c r="CC626" s="141" t="str">
        <x:f>IF(COUNT(G626:P626)=0,"",AVERAGE(G626:P626)*4)</x:f>
      </x:c>
      <x:c r="CD626" s="178" t="str">
        <x:f>IF(COUNT(Q626:Z626)=0,"",AVERAGE(Q626:Z626)*4)</x:f>
      </x:c>
      <x:c r="CE626" s="178" t="str">
        <x:f>IF(COUNT(AA626:AJ626)=0,"",AVERAGE(AA626:AJ626)*4)</x:f>
      </x:c>
      <x:c r="CF626" s="178" t="str">
        <x:f>IF(COUNT(AK626:AR626)=0,"",AVERAGE(AK626:AR626)*4)</x:f>
      </x:c>
      <x:c r="CG626" s="178" t="str">
        <x:f>IF(COUNT(AS626:AY626)=0,"",AVERAGE(AS626:AY626)*4)</x:f>
      </x:c>
      <x:c r="CH626" s="178" t="str">
        <x:f>IF(COUNT(AZ626:BG626)=0,"",AVERAGE(AZ626:BG626)*4)</x:f>
      </x:c>
      <x:c r="CI626" s="178" t="str">
        <x:f>IF(COUNT(BH626:BN626)=0,"",AVERAGE(BH626:BN626)*4)</x:f>
      </x:c>
      <x:c r="CJ626" s="178" t="str">
        <x:f>IF(COUNT(BO626:BU626)=0,"",AVERAGE(BO626:BU626)*4)</x:f>
      </x:c>
      <x:c r="CK626" s="178" t="str">
        <x:f>IF(COUNT(BV626:CB626)=0,"",AVERAGE(BV626:CB626)*4)</x:f>
      </x:c>
      <x:c r="CL626" s="178" t="str">
        <x:f>IF(C626="","",IF(COUNT(G626:CB626)&lt;74,"",(CC626*'تنظیمات وزن‌دهی'!$C$5+CD626*'تنظیمات وزن‌دهی'!$C$6+CE626*'تنظیمات وزن‌دهی'!$C$7+CF626*'تنظیمات وزن‌دهی'!$C$8+CG626*'تنظیمات وزن‌دهی'!$C$9+CH626*'تنظیمات وزن‌دهی'!$C$10+CI626*'تنظیمات وزن‌دهی'!$C$11+CJ626*'تنظیمات وزن‌دهی'!$C$12+CK626*'تنظیمات وزن‌دهی'!$C$13)/100))</x:f>
      </x:c>
      <x:c r="CM626" s="178" t="str">
        <x:f>IF(C626="","",IF(COUNT(G626:CB626)=0,"",IF(COUNT(G626:CB626)&lt;74,"موقت - اطلاعات ناقص",IF(CL626&gt;=17,"عالی",IF(CL626&gt;=14,"خوب",IF(CL626&gt;=10,"متوسط","ضعیف"))))))</x:f>
      </x:c>
      <x:c r="CN626" s="178" t="n">
        <x:v>10</x:v>
      </x:c>
      <x:c r="CO626" s="142" t="n">
        <x:f>IF(C626="","",COUNT(G626:CB626)/74)</x:f>
        <x:v>0</x:v>
      </x:c>
      <x:c r="CP626" s="245"/>
    </x:row>
    <x:row r="627">
      <x:c r="A627" s="165" t="n">
        <x:v>623</x:v>
      </x:c>
      <x:c r="B627" s="233" t="str">
        <x:v>اردیبهشت</x:v>
      </x:c>
      <x:c r="C627" s="233" t="n">
        <x:f>IF('دانش‌آموزان'!E56="","",'دانش‌آموزان'!B56)</x:f>
        <x:v>52</x:v>
      </x:c>
      <x:c r="D627" s="233" t="str">
        <x:f>IF('دانش‌آموزان'!C56="","",'دانش‌آموزان'!C56)</x:f>
        <x:v>4000000527</x:v>
      </x:c>
      <x:c r="E627" s="233" t="str">
        <x:f>IF('دانش‌آموزان'!E56="","",'دانش‌آموزان'!E56&amp;" "&amp;'دانش‌آموزان'!F56)</x:f>
        <x:v>رها یوسفی</x:v>
      </x:c>
      <x:c r="F627" s="166" t="str">
        <x:f>IF('دانش‌آموزان'!I56="","",'دانش‌آموزان'!I56)</x:f>
        <x:v>sample-7-c</x:v>
      </x:c>
      <x:c r="G627" s="114"/>
      <x:c r="H627" s="115"/>
      <x:c r="I627" s="115"/>
      <x:c r="J627" s="115"/>
      <x:c r="K627" s="115"/>
      <x:c r="L627" s="115"/>
      <x:c r="M627" s="115"/>
      <x:c r="N627" s="115"/>
      <x:c r="O627" s="115"/>
      <x:c r="P627" s="115"/>
      <x:c r="Q627" s="115"/>
      <x:c r="R627" s="115"/>
      <x:c r="S627" s="115"/>
      <x:c r="T627" s="115"/>
      <x:c r="U627" s="115"/>
      <x:c r="V627" s="115"/>
      <x:c r="W627" s="115"/>
      <x:c r="X627" s="115"/>
      <x:c r="Y627" s="115"/>
      <x:c r="Z627" s="115"/>
      <x:c r="AA627" s="115"/>
      <x:c r="AB627" s="115"/>
      <x:c r="AC627" s="115"/>
      <x:c r="AD627" s="115"/>
      <x:c r="AE627" s="115"/>
      <x:c r="AF627" s="115"/>
      <x:c r="AG627" s="115"/>
      <x:c r="AH627" s="115"/>
      <x:c r="AI627" s="115"/>
      <x:c r="AJ627" s="115"/>
      <x:c r="AK627" s="115"/>
      <x:c r="AL627" s="115"/>
      <x:c r="AM627" s="115"/>
      <x:c r="AN627" s="115"/>
      <x:c r="AO627" s="115"/>
      <x:c r="AP627" s="115"/>
      <x:c r="AQ627" s="115"/>
      <x:c r="AR627" s="115"/>
      <x:c r="AS627" s="115"/>
      <x:c r="AT627" s="115"/>
      <x:c r="AU627" s="115"/>
      <x:c r="AV627" s="115"/>
      <x:c r="AW627" s="115"/>
      <x:c r="AX627" s="115"/>
      <x:c r="AY627" s="115"/>
      <x:c r="AZ627" s="115"/>
      <x:c r="BA627" s="115"/>
      <x:c r="BB627" s="115"/>
      <x:c r="BC627" s="115"/>
      <x:c r="BD627" s="115"/>
      <x:c r="BE627" s="115"/>
      <x:c r="BF627" s="115"/>
      <x:c r="BG627" s="115"/>
      <x:c r="BH627" s="115"/>
      <x:c r="BI627" s="115"/>
      <x:c r="BJ627" s="115"/>
      <x:c r="BK627" s="115"/>
      <x:c r="BL627" s="115"/>
      <x:c r="BM627" s="115"/>
      <x:c r="BN627" s="115"/>
      <x:c r="BO627" s="115"/>
      <x:c r="BP627" s="115"/>
      <x:c r="BQ627" s="115"/>
      <x:c r="BR627" s="115"/>
      <x:c r="BS627" s="115"/>
      <x:c r="BT627" s="115"/>
      <x:c r="BU627" s="115"/>
      <x:c r="BV627" s="115"/>
      <x:c r="BW627" s="115"/>
      <x:c r="BX627" s="115"/>
      <x:c r="BY627" s="115"/>
      <x:c r="BZ627" s="115"/>
      <x:c r="CA627" s="115"/>
      <x:c r="CB627" s="116"/>
      <x:c r="CC627" s="141" t="str">
        <x:f>IF(COUNT(G627:P627)=0,"",AVERAGE(G627:P627)*4)</x:f>
      </x:c>
      <x:c r="CD627" s="178" t="str">
        <x:f>IF(COUNT(Q627:Z627)=0,"",AVERAGE(Q627:Z627)*4)</x:f>
      </x:c>
      <x:c r="CE627" s="178" t="str">
        <x:f>IF(COUNT(AA627:AJ627)=0,"",AVERAGE(AA627:AJ627)*4)</x:f>
      </x:c>
      <x:c r="CF627" s="178" t="str">
        <x:f>IF(COUNT(AK627:AR627)=0,"",AVERAGE(AK627:AR627)*4)</x:f>
      </x:c>
      <x:c r="CG627" s="178" t="str">
        <x:f>IF(COUNT(AS627:AY627)=0,"",AVERAGE(AS627:AY627)*4)</x:f>
      </x:c>
      <x:c r="CH627" s="178" t="str">
        <x:f>IF(COUNT(AZ627:BG627)=0,"",AVERAGE(AZ627:BG627)*4)</x:f>
      </x:c>
      <x:c r="CI627" s="178" t="str">
        <x:f>IF(COUNT(BH627:BN627)=0,"",AVERAGE(BH627:BN627)*4)</x:f>
      </x:c>
      <x:c r="CJ627" s="178" t="str">
        <x:f>IF(COUNT(BO627:BU627)=0,"",AVERAGE(BO627:BU627)*4)</x:f>
      </x:c>
      <x:c r="CK627" s="178" t="str">
        <x:f>IF(COUNT(BV627:CB627)=0,"",AVERAGE(BV627:CB627)*4)</x:f>
      </x:c>
      <x:c r="CL627" s="178" t="str">
        <x:f>IF(C627="","",IF(COUNT(G627:CB627)&lt;74,"",(CC627*'تنظیمات وزن‌دهی'!$C$5+CD627*'تنظیمات وزن‌دهی'!$C$6+CE627*'تنظیمات وزن‌دهی'!$C$7+CF627*'تنظیمات وزن‌دهی'!$C$8+CG627*'تنظیمات وزن‌دهی'!$C$9+CH627*'تنظیمات وزن‌دهی'!$C$10+CI627*'تنظیمات وزن‌دهی'!$C$11+CJ627*'تنظیمات وزن‌دهی'!$C$12+CK627*'تنظیمات وزن‌دهی'!$C$13)/100))</x:f>
      </x:c>
      <x:c r="CM627" s="178" t="str">
        <x:f>IF(C627="","",IF(COUNT(G627:CB627)=0,"",IF(COUNT(G627:CB627)&lt;74,"موقت - اطلاعات ناقص",IF(CL627&gt;=17,"عالی",IF(CL627&gt;=14,"خوب",IF(CL627&gt;=10,"متوسط","ضعیف"))))))</x:f>
      </x:c>
      <x:c r="CN627" s="178" t="n">
        <x:v>11</x:v>
      </x:c>
      <x:c r="CO627" s="142" t="n">
        <x:f>IF(C627="","",COUNT(G627:CB627)/74)</x:f>
        <x:v>0</x:v>
      </x:c>
      <x:c r="CP627" s="245"/>
    </x:row>
    <x:row r="628">
      <x:c r="A628" s="165" t="n">
        <x:v>624</x:v>
      </x:c>
      <x:c r="B628" s="233" t="str">
        <x:v>خرداد</x:v>
      </x:c>
      <x:c r="C628" s="233" t="n">
        <x:f>IF('دانش‌آموزان'!E56="","",'دانش‌آموزان'!B56)</x:f>
        <x:v>52</x:v>
      </x:c>
      <x:c r="D628" s="233" t="str">
        <x:f>IF('دانش‌آموزان'!C56="","",'دانش‌آموزان'!C56)</x:f>
        <x:v>4000000527</x:v>
      </x:c>
      <x:c r="E628" s="233" t="str">
        <x:f>IF('دانش‌آموزان'!E56="","",'دانش‌آموزان'!E56&amp;" "&amp;'دانش‌آموزان'!F56)</x:f>
        <x:v>رها یوسفی</x:v>
      </x:c>
      <x:c r="F628" s="166" t="str">
        <x:f>IF('دانش‌آموزان'!I56="","",'دانش‌آموزان'!I56)</x:f>
        <x:v>sample-7-c</x:v>
      </x:c>
      <x:c r="G628" s="114"/>
      <x:c r="H628" s="115"/>
      <x:c r="I628" s="115"/>
      <x:c r="J628" s="115"/>
      <x:c r="K628" s="115"/>
      <x:c r="L628" s="115"/>
      <x:c r="M628" s="115"/>
      <x:c r="N628" s="115"/>
      <x:c r="O628" s="115"/>
      <x:c r="P628" s="115"/>
      <x:c r="Q628" s="115"/>
      <x:c r="R628" s="115"/>
      <x:c r="S628" s="115"/>
      <x:c r="T628" s="115"/>
      <x:c r="U628" s="115"/>
      <x:c r="V628" s="115"/>
      <x:c r="W628" s="115"/>
      <x:c r="X628" s="115"/>
      <x:c r="Y628" s="115"/>
      <x:c r="Z628" s="115"/>
      <x:c r="AA628" s="115"/>
      <x:c r="AB628" s="115"/>
      <x:c r="AC628" s="115"/>
      <x:c r="AD628" s="115"/>
      <x:c r="AE628" s="115"/>
      <x:c r="AF628" s="115"/>
      <x:c r="AG628" s="115"/>
      <x:c r="AH628" s="115"/>
      <x:c r="AI628" s="115"/>
      <x:c r="AJ628" s="115"/>
      <x:c r="AK628" s="115"/>
      <x:c r="AL628" s="115"/>
      <x:c r="AM628" s="115"/>
      <x:c r="AN628" s="115"/>
      <x:c r="AO628" s="115"/>
      <x:c r="AP628" s="115"/>
      <x:c r="AQ628" s="115"/>
      <x:c r="AR628" s="115"/>
      <x:c r="AS628" s="115"/>
      <x:c r="AT628" s="115"/>
      <x:c r="AU628" s="115"/>
      <x:c r="AV628" s="115"/>
      <x:c r="AW628" s="115"/>
      <x:c r="AX628" s="115"/>
      <x:c r="AY628" s="115"/>
      <x:c r="AZ628" s="115"/>
      <x:c r="BA628" s="115"/>
      <x:c r="BB628" s="115"/>
      <x:c r="BC628" s="115"/>
      <x:c r="BD628" s="115"/>
      <x:c r="BE628" s="115"/>
      <x:c r="BF628" s="115"/>
      <x:c r="BG628" s="115"/>
      <x:c r="BH628" s="115"/>
      <x:c r="BI628" s="115"/>
      <x:c r="BJ628" s="115"/>
      <x:c r="BK628" s="115"/>
      <x:c r="BL628" s="115"/>
      <x:c r="BM628" s="115"/>
      <x:c r="BN628" s="115"/>
      <x:c r="BO628" s="115"/>
      <x:c r="BP628" s="115"/>
      <x:c r="BQ628" s="115"/>
      <x:c r="BR628" s="115"/>
      <x:c r="BS628" s="115"/>
      <x:c r="BT628" s="115"/>
      <x:c r="BU628" s="115"/>
      <x:c r="BV628" s="115"/>
      <x:c r="BW628" s="115"/>
      <x:c r="BX628" s="115"/>
      <x:c r="BY628" s="115"/>
      <x:c r="BZ628" s="115"/>
      <x:c r="CA628" s="115"/>
      <x:c r="CB628" s="116"/>
      <x:c r="CC628" s="141" t="str">
        <x:f>IF(COUNT(G628:P628)=0,"",AVERAGE(G628:P628)*4)</x:f>
      </x:c>
      <x:c r="CD628" s="178" t="str">
        <x:f>IF(COUNT(Q628:Z628)=0,"",AVERAGE(Q628:Z628)*4)</x:f>
      </x:c>
      <x:c r="CE628" s="178" t="str">
        <x:f>IF(COUNT(AA628:AJ628)=0,"",AVERAGE(AA628:AJ628)*4)</x:f>
      </x:c>
      <x:c r="CF628" s="178" t="str">
        <x:f>IF(COUNT(AK628:AR628)=0,"",AVERAGE(AK628:AR628)*4)</x:f>
      </x:c>
      <x:c r="CG628" s="178" t="str">
        <x:f>IF(COUNT(AS628:AY628)=0,"",AVERAGE(AS628:AY628)*4)</x:f>
      </x:c>
      <x:c r="CH628" s="178" t="str">
        <x:f>IF(COUNT(AZ628:BG628)=0,"",AVERAGE(AZ628:BG628)*4)</x:f>
      </x:c>
      <x:c r="CI628" s="178" t="str">
        <x:f>IF(COUNT(BH628:BN628)=0,"",AVERAGE(BH628:BN628)*4)</x:f>
      </x:c>
      <x:c r="CJ628" s="178" t="str">
        <x:f>IF(COUNT(BO628:BU628)=0,"",AVERAGE(BO628:BU628)*4)</x:f>
      </x:c>
      <x:c r="CK628" s="178" t="str">
        <x:f>IF(COUNT(BV628:CB628)=0,"",AVERAGE(BV628:CB628)*4)</x:f>
      </x:c>
      <x:c r="CL628" s="178" t="str">
        <x:f>IF(C628="","",IF(COUNT(G628:CB628)&lt;74,"",(CC628*'تنظیمات وزن‌دهی'!$C$5+CD628*'تنظیمات وزن‌دهی'!$C$6+CE628*'تنظیمات وزن‌دهی'!$C$7+CF628*'تنظیمات وزن‌دهی'!$C$8+CG628*'تنظیمات وزن‌دهی'!$C$9+CH628*'تنظیمات وزن‌دهی'!$C$10+CI628*'تنظیمات وزن‌دهی'!$C$11+CJ628*'تنظیمات وزن‌دهی'!$C$12+CK628*'تنظیمات وزن‌دهی'!$C$13)/100))</x:f>
      </x:c>
      <x:c r="CM628" s="178" t="str">
        <x:f>IF(C628="","",IF(COUNT(G628:CB628)=0,"",IF(COUNT(G628:CB628)&lt;74,"موقت - اطلاعات ناقص",IF(CL628&gt;=17,"عالی",IF(CL628&gt;=14,"خوب",IF(CL628&gt;=10,"متوسط","ضعیف"))))))</x:f>
      </x:c>
      <x:c r="CN628" s="178" t="n">
        <x:v>12</x:v>
      </x:c>
      <x:c r="CO628" s="142" t="n">
        <x:f>IF(C628="","",COUNT(G628:CB628)/74)</x:f>
        <x:v>0</x:v>
      </x:c>
      <x:c r="CP628" s="245"/>
    </x:row>
    <x:row r="629">
      <x:c r="A629" s="165" t="n">
        <x:v>625</x:v>
      </x:c>
      <x:c r="B629" s="233" t="str">
        <x:v>تیر</x:v>
      </x:c>
      <x:c r="C629" s="233" t="n">
        <x:f>IF('دانش‌آموزان'!E57="","",'دانش‌آموزان'!B57)</x:f>
        <x:v>53</x:v>
      </x:c>
      <x:c r="D629" s="233" t="str">
        <x:f>IF('دانش‌آموزان'!C57="","",'دانش‌آموزان'!C57)</x:f>
        <x:v>4000000535</x:v>
      </x:c>
      <x:c r="E629" s="233" t="str">
        <x:f>IF('دانش‌آموزان'!E57="","",'دانش‌آموزان'!E57&amp;" "&amp;'دانش‌آموزان'!F57)</x:f>
        <x:v>طاها رضایی</x:v>
      </x:c>
      <x:c r="F629" s="166" t="str">
        <x:f>IF('دانش‌آموزان'!I57="","",'دانش‌آموزان'!I57)</x:f>
        <x:v>sample-7-c</x:v>
      </x:c>
      <x:c r="G629" s="114" t="n">
        <x:v>3</x:v>
      </x:c>
      <x:c r="H629" s="115" t="n">
        <x:v>4</x:v>
      </x:c>
      <x:c r="I629" s="115" t="n">
        <x:v>3</x:v>
      </x:c>
      <x:c r="J629" s="115" t="n">
        <x:v>4</x:v>
      </x:c>
      <x:c r="K629" s="115" t="n">
        <x:v>2</x:v>
      </x:c>
      <x:c r="L629" s="115" t="n">
        <x:v>4</x:v>
      </x:c>
      <x:c r="M629" s="115" t="n">
        <x:v>5</x:v>
      </x:c>
      <x:c r="N629" s="115" t="n">
        <x:v>4</x:v>
      </x:c>
      <x:c r="O629" s="115" t="n">
        <x:v>5</x:v>
      </x:c>
      <x:c r="P629" s="115" t="n">
        <x:v>3</x:v>
      </x:c>
      <x:c r="Q629" s="115" t="n">
        <x:v>5</x:v>
      </x:c>
      <x:c r="R629" s="115" t="n">
        <x:v>3</x:v>
      </x:c>
      <x:c r="S629" s="115" t="n">
        <x:v>4</x:v>
      </x:c>
      <x:c r="T629" s="115" t="n">
        <x:v>3</x:v>
      </x:c>
      <x:c r="U629" s="115" t="n">
        <x:v>4</x:v>
      </x:c>
      <x:c r="V629" s="115" t="n">
        <x:v>2</x:v>
      </x:c>
      <x:c r="W629" s="115" t="n">
        <x:v>4</x:v>
      </x:c>
      <x:c r="X629" s="115" t="n">
        <x:v>5</x:v>
      </x:c>
      <x:c r="Y629" s="115" t="n">
        <x:v>4</x:v>
      </x:c>
      <x:c r="Z629" s="115" t="n">
        <x:v>5</x:v>
      </x:c>
      <x:c r="AA629" s="115" t="n">
        <x:v>3</x:v>
      </x:c>
      <x:c r="AB629" s="115" t="n">
        <x:v>5</x:v>
      </x:c>
      <x:c r="AC629" s="115" t="n">
        <x:v>3</x:v>
      </x:c>
      <x:c r="AD629" s="115" t="n">
        <x:v>4</x:v>
      </x:c>
      <x:c r="AE629" s="115" t="n">
        <x:v>3</x:v>
      </x:c>
      <x:c r="AF629" s="115" t="n">
        <x:v>4</x:v>
      </x:c>
      <x:c r="AG629" s="115" t="n">
        <x:v>2</x:v>
      </x:c>
      <x:c r="AH629" s="115" t="n">
        <x:v>4</x:v>
      </x:c>
      <x:c r="AI629" s="115" t="n">
        <x:v>5</x:v>
      </x:c>
      <x:c r="AJ629" s="115" t="n">
        <x:v>4</x:v>
      </x:c>
      <x:c r="AK629" s="115" t="n">
        <x:v>5</x:v>
      </x:c>
      <x:c r="AL629" s="115" t="n">
        <x:v>3</x:v>
      </x:c>
      <x:c r="AM629" s="115" t="n">
        <x:v>5</x:v>
      </x:c>
      <x:c r="AN629" s="115" t="n">
        <x:v>3</x:v>
      </x:c>
      <x:c r="AO629" s="115" t="n">
        <x:v>4</x:v>
      </x:c>
      <x:c r="AP629" s="115" t="n">
        <x:v>3</x:v>
      </x:c>
      <x:c r="AQ629" s="115" t="n">
        <x:v>4</x:v>
      </x:c>
      <x:c r="AR629" s="115" t="n">
        <x:v>2</x:v>
      </x:c>
      <x:c r="AS629" s="115" t="n">
        <x:v>4</x:v>
      </x:c>
      <x:c r="AT629" s="115" t="n">
        <x:v>5</x:v>
      </x:c>
      <x:c r="AU629" s="115" t="n">
        <x:v>4</x:v>
      </x:c>
      <x:c r="AV629" s="115" t="n">
        <x:v>5</x:v>
      </x:c>
      <x:c r="AW629" s="115" t="n">
        <x:v>3</x:v>
      </x:c>
      <x:c r="AX629" s="115" t="n">
        <x:v>5</x:v>
      </x:c>
      <x:c r="AY629" s="115" t="n">
        <x:v>3</x:v>
      </x:c>
      <x:c r="AZ629" s="115" t="n">
        <x:v>4</x:v>
      </x:c>
      <x:c r="BA629" s="115" t="n">
        <x:v>3</x:v>
      </x:c>
      <x:c r="BB629" s="115" t="n">
        <x:v>4</x:v>
      </x:c>
      <x:c r="BC629" s="115" t="n">
        <x:v>2</x:v>
      </x:c>
      <x:c r="BD629" s="115" t="n">
        <x:v>4</x:v>
      </x:c>
      <x:c r="BE629" s="115" t="n">
        <x:v>5</x:v>
      </x:c>
      <x:c r="BF629" s="115" t="n">
        <x:v>4</x:v>
      </x:c>
      <x:c r="BG629" s="115" t="n">
        <x:v>5</x:v>
      </x:c>
      <x:c r="BH629" s="115" t="n">
        <x:v>3</x:v>
      </x:c>
      <x:c r="BI629" s="115" t="n">
        <x:v>5</x:v>
      </x:c>
      <x:c r="BJ629" s="115" t="n">
        <x:v>3</x:v>
      </x:c>
      <x:c r="BK629" s="115" t="n">
        <x:v>4</x:v>
      </x:c>
      <x:c r="BL629" s="115" t="n">
        <x:v>3</x:v>
      </x:c>
      <x:c r="BM629" s="115" t="n">
        <x:v>4</x:v>
      </x:c>
      <x:c r="BN629" s="115" t="n">
        <x:v>2</x:v>
      </x:c>
      <x:c r="BO629" s="115" t="n">
        <x:v>4</x:v>
      </x:c>
      <x:c r="BP629" s="115" t="n">
        <x:v>5</x:v>
      </x:c>
      <x:c r="BQ629" s="115" t="n">
        <x:v>4</x:v>
      </x:c>
      <x:c r="BR629" s="115" t="n">
        <x:v>5</x:v>
      </x:c>
      <x:c r="BS629" s="115" t="n">
        <x:v>3</x:v>
      </x:c>
      <x:c r="BT629" s="115" t="n">
        <x:v>5</x:v>
      </x:c>
      <x:c r="BU629" s="115" t="n">
        <x:v>3</x:v>
      </x:c>
      <x:c r="BV629" s="115" t="n">
        <x:v>4</x:v>
      </x:c>
      <x:c r="BW629" s="115" t="n">
        <x:v>3</x:v>
      </x:c>
      <x:c r="BX629" s="115" t="n">
        <x:v>4</x:v>
      </x:c>
      <x:c r="BY629" s="115" t="n">
        <x:v>2</x:v>
      </x:c>
      <x:c r="BZ629" s="115" t="n">
        <x:v>4</x:v>
      </x:c>
      <x:c r="CA629" s="115" t="n">
        <x:v>5</x:v>
      </x:c>
      <x:c r="CB629" s="116" t="n">
        <x:v>4</x:v>
      </x:c>
      <x:c r="CC629" s="141" t="n">
        <x:f>IF(COUNT(G629:P629)=0,"",AVERAGE(G629:P629)*4)</x:f>
        <x:v>14.8</x:v>
      </x:c>
      <x:c r="CD629" s="178" t="n">
        <x:f>IF(COUNT(Q629:Z629)=0,"",AVERAGE(Q629:Z629)*4)</x:f>
        <x:v>15.6</x:v>
      </x:c>
      <x:c r="CE629" s="178" t="n">
        <x:f>IF(COUNT(AA629:AJ629)=0,"",AVERAGE(AA629:AJ629)*4)</x:f>
        <x:v>14.8</x:v>
      </x:c>
      <x:c r="CF629" s="178" t="n">
        <x:f>IF(COUNT(AK629:AR629)=0,"",AVERAGE(AK629:AR629)*4)</x:f>
        <x:v>14.5</x:v>
      </x:c>
      <x:c r="CG629" s="178" t="n">
        <x:f>IF(COUNT(AS629:AY629)=0,"",AVERAGE(AS629:AY629)*4)</x:f>
        <x:v>16.571428571428573</x:v>
      </x:c>
      <x:c r="CH629" s="178" t="n">
        <x:f>IF(COUNT(AZ629:BG629)=0,"",AVERAGE(AZ629:BG629)*4)</x:f>
        <x:v>15.5</x:v>
      </x:c>
      <x:c r="CI629" s="178" t="n">
        <x:f>IF(COUNT(BH629:BN629)=0,"",AVERAGE(BH629:BN629)*4)</x:f>
        <x:v>13.714285714285714</x:v>
      </x:c>
      <x:c r="CJ629" s="178" t="n">
        <x:f>IF(COUNT(BO629:BU629)=0,"",AVERAGE(BO629:BU629)*4)</x:f>
        <x:v>16.571428571428573</x:v>
      </x:c>
      <x:c r="CK629" s="178" t="n">
        <x:f>IF(COUNT(BV629:CB629)=0,"",AVERAGE(BV629:CB629)*4)</x:f>
        <x:v>14.857142857142858</x:v>
      </x:c>
      <x:c r="CL629" s="178" t="n">
        <x:f>IF(C629="","",IF(COUNT(G629:CB629)&lt;74,"",(CC629*'تنظیمات وزن‌دهی'!$C$5+CD629*'تنظیمات وزن‌دهی'!$C$6+CE629*'تنظیمات وزن‌دهی'!$C$7+CF629*'تنظیمات وزن‌دهی'!$C$8+CG629*'تنظیمات وزن‌دهی'!$C$9+CH629*'تنظیمات وزن‌دهی'!$C$10+CI629*'تنظیمات وزن‌دهی'!$C$11+CJ629*'تنظیمات وزن‌دهی'!$C$12+CK629*'تنظیمات وزن‌دهی'!$C$13)/100))</x:f>
        <x:v>15.089285714285715</x:v>
      </x:c>
      <x:c r="CM629" s="178" t="str">
        <x:f>IF(C629="","",IF(COUNT(G629:CB629)=0,"",IF(COUNT(G629:CB629)&lt;74,"موقت - اطلاعات ناقص",IF(CL629&gt;=17,"عالی",IF(CL629&gt;=14,"خوب",IF(CL629&gt;=10,"متوسط","ضعیف"))))))</x:f>
        <x:v>خوب</x:v>
      </x:c>
      <x:c r="CN629" s="178" t="n">
        <x:v>1</x:v>
      </x:c>
      <x:c r="CO629" s="142" t="n">
        <x:f>IF(C629="","",COUNT(G629:CB629)/74)</x:f>
        <x:v>1</x:v>
      </x:c>
      <x:c r="CP629" s="245" t="str">
        <x:v>داده نمونه کامل برای ماه تیر - دانش‌آموز شماره 53</x:v>
      </x:c>
    </x:row>
    <x:row r="630">
      <x:c r="A630" s="165" t="n">
        <x:v>626</x:v>
      </x:c>
      <x:c r="B630" s="233" t="str">
        <x:v>مرداد</x:v>
      </x:c>
      <x:c r="C630" s="233" t="n">
        <x:f>IF('دانش‌آموزان'!E57="","",'دانش‌آموزان'!B57)</x:f>
        <x:v>53</x:v>
      </x:c>
      <x:c r="D630" s="233" t="str">
        <x:f>IF('دانش‌آموزان'!C57="","",'دانش‌آموزان'!C57)</x:f>
        <x:v>4000000535</x:v>
      </x:c>
      <x:c r="E630" s="233" t="str">
        <x:f>IF('دانش‌آموزان'!E57="","",'دانش‌آموزان'!E57&amp;" "&amp;'دانش‌آموزان'!F57)</x:f>
        <x:v>طاها رضایی</x:v>
      </x:c>
      <x:c r="F630" s="166" t="str">
        <x:f>IF('دانش‌آموزان'!I57="","",'دانش‌آموزان'!I57)</x:f>
        <x:v>sample-7-c</x:v>
      </x:c>
      <x:c r="G630" s="114"/>
      <x:c r="H630" s="115"/>
      <x:c r="I630" s="115"/>
      <x:c r="J630" s="115"/>
      <x:c r="K630" s="115"/>
      <x:c r="L630" s="115"/>
      <x:c r="M630" s="115"/>
      <x:c r="N630" s="115"/>
      <x:c r="O630" s="115"/>
      <x:c r="P630" s="115"/>
      <x:c r="Q630" s="115"/>
      <x:c r="R630" s="115"/>
      <x:c r="S630" s="115"/>
      <x:c r="T630" s="115"/>
      <x:c r="U630" s="115"/>
      <x:c r="V630" s="115"/>
      <x:c r="W630" s="115"/>
      <x:c r="X630" s="115"/>
      <x:c r="Y630" s="115"/>
      <x:c r="Z630" s="115"/>
      <x:c r="AA630" s="115"/>
      <x:c r="AB630" s="115"/>
      <x:c r="AC630" s="115"/>
      <x:c r="AD630" s="115"/>
      <x:c r="AE630" s="115"/>
      <x:c r="AF630" s="115"/>
      <x:c r="AG630" s="115"/>
      <x:c r="AH630" s="115"/>
      <x:c r="AI630" s="115"/>
      <x:c r="AJ630" s="115"/>
      <x:c r="AK630" s="115"/>
      <x:c r="AL630" s="115"/>
      <x:c r="AM630" s="115"/>
      <x:c r="AN630" s="115"/>
      <x:c r="AO630" s="115"/>
      <x:c r="AP630" s="115"/>
      <x:c r="AQ630" s="115"/>
      <x:c r="AR630" s="115"/>
      <x:c r="AS630" s="115"/>
      <x:c r="AT630" s="115"/>
      <x:c r="AU630" s="115"/>
      <x:c r="AV630" s="115"/>
      <x:c r="AW630" s="115"/>
      <x:c r="AX630" s="115"/>
      <x:c r="AY630" s="115"/>
      <x:c r="AZ630" s="115"/>
      <x:c r="BA630" s="115"/>
      <x:c r="BB630" s="115"/>
      <x:c r="BC630" s="115"/>
      <x:c r="BD630" s="115"/>
      <x:c r="BE630" s="115"/>
      <x:c r="BF630" s="115"/>
      <x:c r="BG630" s="115"/>
      <x:c r="BH630" s="115"/>
      <x:c r="BI630" s="115"/>
      <x:c r="BJ630" s="115"/>
      <x:c r="BK630" s="115"/>
      <x:c r="BL630" s="115"/>
      <x:c r="BM630" s="115"/>
      <x:c r="BN630" s="115"/>
      <x:c r="BO630" s="115"/>
      <x:c r="BP630" s="115"/>
      <x:c r="BQ630" s="115"/>
      <x:c r="BR630" s="115"/>
      <x:c r="BS630" s="115"/>
      <x:c r="BT630" s="115"/>
      <x:c r="BU630" s="115"/>
      <x:c r="BV630" s="115"/>
      <x:c r="BW630" s="115"/>
      <x:c r="BX630" s="115"/>
      <x:c r="BY630" s="115"/>
      <x:c r="BZ630" s="115"/>
      <x:c r="CA630" s="115"/>
      <x:c r="CB630" s="116"/>
      <x:c r="CC630" s="141" t="str">
        <x:f>IF(COUNT(G630:P630)=0,"",AVERAGE(G630:P630)*4)</x:f>
      </x:c>
      <x:c r="CD630" s="178" t="str">
        <x:f>IF(COUNT(Q630:Z630)=0,"",AVERAGE(Q630:Z630)*4)</x:f>
      </x:c>
      <x:c r="CE630" s="178" t="str">
        <x:f>IF(COUNT(AA630:AJ630)=0,"",AVERAGE(AA630:AJ630)*4)</x:f>
      </x:c>
      <x:c r="CF630" s="178" t="str">
        <x:f>IF(COUNT(AK630:AR630)=0,"",AVERAGE(AK630:AR630)*4)</x:f>
      </x:c>
      <x:c r="CG630" s="178" t="str">
        <x:f>IF(COUNT(AS630:AY630)=0,"",AVERAGE(AS630:AY630)*4)</x:f>
      </x:c>
      <x:c r="CH630" s="178" t="str">
        <x:f>IF(COUNT(AZ630:BG630)=0,"",AVERAGE(AZ630:BG630)*4)</x:f>
      </x:c>
      <x:c r="CI630" s="178" t="str">
        <x:f>IF(COUNT(BH630:BN630)=0,"",AVERAGE(BH630:BN630)*4)</x:f>
      </x:c>
      <x:c r="CJ630" s="178" t="str">
        <x:f>IF(COUNT(BO630:BU630)=0,"",AVERAGE(BO630:BU630)*4)</x:f>
      </x:c>
      <x:c r="CK630" s="178" t="str">
        <x:f>IF(COUNT(BV630:CB630)=0,"",AVERAGE(BV630:CB630)*4)</x:f>
      </x:c>
      <x:c r="CL630" s="178" t="str">
        <x:f>IF(C630="","",IF(COUNT(G630:CB630)&lt;74,"",(CC630*'تنظیمات وزن‌دهی'!$C$5+CD630*'تنظیمات وزن‌دهی'!$C$6+CE630*'تنظیمات وزن‌دهی'!$C$7+CF630*'تنظیمات وزن‌دهی'!$C$8+CG630*'تنظیمات وزن‌دهی'!$C$9+CH630*'تنظیمات وزن‌دهی'!$C$10+CI630*'تنظیمات وزن‌دهی'!$C$11+CJ630*'تنظیمات وزن‌دهی'!$C$12+CK630*'تنظیمات وزن‌دهی'!$C$13)/100))</x:f>
      </x:c>
      <x:c r="CM630" s="178" t="str">
        <x:f>IF(C630="","",IF(COUNT(G630:CB630)=0,"",IF(COUNT(G630:CB630)&lt;74,"موقت - اطلاعات ناقص",IF(CL630&gt;=17,"عالی",IF(CL630&gt;=14,"خوب",IF(CL630&gt;=10,"متوسط","ضعیف"))))))</x:f>
      </x:c>
      <x:c r="CN630" s="178" t="n">
        <x:v>2</x:v>
      </x:c>
      <x:c r="CO630" s="142" t="n">
        <x:f>IF(C630="","",COUNT(G630:CB630)/74)</x:f>
        <x:v>0</x:v>
      </x:c>
      <x:c r="CP630" s="245"/>
    </x:row>
    <x:row r="631">
      <x:c r="A631" s="165" t="n">
        <x:v>627</x:v>
      </x:c>
      <x:c r="B631" s="233" t="str">
        <x:v>شهریور</x:v>
      </x:c>
      <x:c r="C631" s="233" t="n">
        <x:f>IF('دانش‌آموزان'!E57="","",'دانش‌آموزان'!B57)</x:f>
        <x:v>53</x:v>
      </x:c>
      <x:c r="D631" s="233" t="str">
        <x:f>IF('دانش‌آموزان'!C57="","",'دانش‌آموزان'!C57)</x:f>
        <x:v>4000000535</x:v>
      </x:c>
      <x:c r="E631" s="233" t="str">
        <x:f>IF('دانش‌آموزان'!E57="","",'دانش‌آموزان'!E57&amp;" "&amp;'دانش‌آموزان'!F57)</x:f>
        <x:v>طاها رضایی</x:v>
      </x:c>
      <x:c r="F631" s="166" t="str">
        <x:f>IF('دانش‌آموزان'!I57="","",'دانش‌آموزان'!I57)</x:f>
        <x:v>sample-7-c</x:v>
      </x:c>
      <x:c r="G631" s="114"/>
      <x:c r="H631" s="115"/>
      <x:c r="I631" s="115"/>
      <x:c r="J631" s="115"/>
      <x:c r="K631" s="115"/>
      <x:c r="L631" s="115"/>
      <x:c r="M631" s="115"/>
      <x:c r="N631" s="115"/>
      <x:c r="O631" s="115"/>
      <x:c r="P631" s="115"/>
      <x:c r="Q631" s="115"/>
      <x:c r="R631" s="115"/>
      <x:c r="S631" s="115"/>
      <x:c r="T631" s="115"/>
      <x:c r="U631" s="115"/>
      <x:c r="V631" s="115"/>
      <x:c r="W631" s="115"/>
      <x:c r="X631" s="115"/>
      <x:c r="Y631" s="115"/>
      <x:c r="Z631" s="115"/>
      <x:c r="AA631" s="115"/>
      <x:c r="AB631" s="115"/>
      <x:c r="AC631" s="115"/>
      <x:c r="AD631" s="115"/>
      <x:c r="AE631" s="115"/>
      <x:c r="AF631" s="115"/>
      <x:c r="AG631" s="115"/>
      <x:c r="AH631" s="115"/>
      <x:c r="AI631" s="115"/>
      <x:c r="AJ631" s="115"/>
      <x:c r="AK631" s="115"/>
      <x:c r="AL631" s="115"/>
      <x:c r="AM631" s="115"/>
      <x:c r="AN631" s="115"/>
      <x:c r="AO631" s="115"/>
      <x:c r="AP631" s="115"/>
      <x:c r="AQ631" s="115"/>
      <x:c r="AR631" s="115"/>
      <x:c r="AS631" s="115"/>
      <x:c r="AT631" s="115"/>
      <x:c r="AU631" s="115"/>
      <x:c r="AV631" s="115"/>
      <x:c r="AW631" s="115"/>
      <x:c r="AX631" s="115"/>
      <x:c r="AY631" s="115"/>
      <x:c r="AZ631" s="115"/>
      <x:c r="BA631" s="115"/>
      <x:c r="BB631" s="115"/>
      <x:c r="BC631" s="115"/>
      <x:c r="BD631" s="115"/>
      <x:c r="BE631" s="115"/>
      <x:c r="BF631" s="115"/>
      <x:c r="BG631" s="115"/>
      <x:c r="BH631" s="115"/>
      <x:c r="BI631" s="115"/>
      <x:c r="BJ631" s="115"/>
      <x:c r="BK631" s="115"/>
      <x:c r="BL631" s="115"/>
      <x:c r="BM631" s="115"/>
      <x:c r="BN631" s="115"/>
      <x:c r="BO631" s="115"/>
      <x:c r="BP631" s="115"/>
      <x:c r="BQ631" s="115"/>
      <x:c r="BR631" s="115"/>
      <x:c r="BS631" s="115"/>
      <x:c r="BT631" s="115"/>
      <x:c r="BU631" s="115"/>
      <x:c r="BV631" s="115"/>
      <x:c r="BW631" s="115"/>
      <x:c r="BX631" s="115"/>
      <x:c r="BY631" s="115"/>
      <x:c r="BZ631" s="115"/>
      <x:c r="CA631" s="115"/>
      <x:c r="CB631" s="116"/>
      <x:c r="CC631" s="141" t="str">
        <x:f>IF(COUNT(G631:P631)=0,"",AVERAGE(G631:P631)*4)</x:f>
      </x:c>
      <x:c r="CD631" s="178" t="str">
        <x:f>IF(COUNT(Q631:Z631)=0,"",AVERAGE(Q631:Z631)*4)</x:f>
      </x:c>
      <x:c r="CE631" s="178" t="str">
        <x:f>IF(COUNT(AA631:AJ631)=0,"",AVERAGE(AA631:AJ631)*4)</x:f>
      </x:c>
      <x:c r="CF631" s="178" t="str">
        <x:f>IF(COUNT(AK631:AR631)=0,"",AVERAGE(AK631:AR631)*4)</x:f>
      </x:c>
      <x:c r="CG631" s="178" t="str">
        <x:f>IF(COUNT(AS631:AY631)=0,"",AVERAGE(AS631:AY631)*4)</x:f>
      </x:c>
      <x:c r="CH631" s="178" t="str">
        <x:f>IF(COUNT(AZ631:BG631)=0,"",AVERAGE(AZ631:BG631)*4)</x:f>
      </x:c>
      <x:c r="CI631" s="178" t="str">
        <x:f>IF(COUNT(BH631:BN631)=0,"",AVERAGE(BH631:BN631)*4)</x:f>
      </x:c>
      <x:c r="CJ631" s="178" t="str">
        <x:f>IF(COUNT(BO631:BU631)=0,"",AVERAGE(BO631:BU631)*4)</x:f>
      </x:c>
      <x:c r="CK631" s="178" t="str">
        <x:f>IF(COUNT(BV631:CB631)=0,"",AVERAGE(BV631:CB631)*4)</x:f>
      </x:c>
      <x:c r="CL631" s="178" t="str">
        <x:f>IF(C631="","",IF(COUNT(G631:CB631)&lt;74,"",(CC631*'تنظیمات وزن‌دهی'!$C$5+CD631*'تنظیمات وزن‌دهی'!$C$6+CE631*'تنظیمات وزن‌دهی'!$C$7+CF631*'تنظیمات وزن‌دهی'!$C$8+CG631*'تنظیمات وزن‌دهی'!$C$9+CH631*'تنظیمات وزن‌دهی'!$C$10+CI631*'تنظیمات وزن‌دهی'!$C$11+CJ631*'تنظیمات وزن‌دهی'!$C$12+CK631*'تنظیمات وزن‌دهی'!$C$13)/100))</x:f>
      </x:c>
      <x:c r="CM631" s="178" t="str">
        <x:f>IF(C631="","",IF(COUNT(G631:CB631)=0,"",IF(COUNT(G631:CB631)&lt;74,"موقت - اطلاعات ناقص",IF(CL631&gt;=17,"عالی",IF(CL631&gt;=14,"خوب",IF(CL631&gt;=10,"متوسط","ضعیف"))))))</x:f>
      </x:c>
      <x:c r="CN631" s="178" t="n">
        <x:v>3</x:v>
      </x:c>
      <x:c r="CO631" s="142" t="n">
        <x:f>IF(C631="","",COUNT(G631:CB631)/74)</x:f>
        <x:v>0</x:v>
      </x:c>
      <x:c r="CP631" s="245"/>
    </x:row>
    <x:row r="632">
      <x:c r="A632" s="165" t="n">
        <x:v>628</x:v>
      </x:c>
      <x:c r="B632" s="233" t="str">
        <x:v>مهر</x:v>
      </x:c>
      <x:c r="C632" s="233" t="n">
        <x:f>IF('دانش‌آموزان'!E57="","",'دانش‌آموزان'!B57)</x:f>
        <x:v>53</x:v>
      </x:c>
      <x:c r="D632" s="233" t="str">
        <x:f>IF('دانش‌آموزان'!C57="","",'دانش‌آموزان'!C57)</x:f>
        <x:v>4000000535</x:v>
      </x:c>
      <x:c r="E632" s="233" t="str">
        <x:f>IF('دانش‌آموزان'!E57="","",'دانش‌آموزان'!E57&amp;" "&amp;'دانش‌آموزان'!F57)</x:f>
        <x:v>طاها رضایی</x:v>
      </x:c>
      <x:c r="F632" s="166" t="str">
        <x:f>IF('دانش‌آموزان'!I57="","",'دانش‌آموزان'!I57)</x:f>
        <x:v>sample-7-c</x:v>
      </x:c>
      <x:c r="G632" s="114"/>
      <x:c r="H632" s="115"/>
      <x:c r="I632" s="115"/>
      <x:c r="J632" s="115"/>
      <x:c r="K632" s="115"/>
      <x:c r="L632" s="115"/>
      <x:c r="M632" s="115"/>
      <x:c r="N632" s="115"/>
      <x:c r="O632" s="115"/>
      <x:c r="P632" s="115"/>
      <x:c r="Q632" s="115"/>
      <x:c r="R632" s="115"/>
      <x:c r="S632" s="115"/>
      <x:c r="T632" s="115"/>
      <x:c r="U632" s="115"/>
      <x:c r="V632" s="115"/>
      <x:c r="W632" s="115"/>
      <x:c r="X632" s="115"/>
      <x:c r="Y632" s="115"/>
      <x:c r="Z632" s="115"/>
      <x:c r="AA632" s="115"/>
      <x:c r="AB632" s="115"/>
      <x:c r="AC632" s="115"/>
      <x:c r="AD632" s="115"/>
      <x:c r="AE632" s="115"/>
      <x:c r="AF632" s="115"/>
      <x:c r="AG632" s="115"/>
      <x:c r="AH632" s="115"/>
      <x:c r="AI632" s="115"/>
      <x:c r="AJ632" s="115"/>
      <x:c r="AK632" s="115"/>
      <x:c r="AL632" s="115"/>
      <x:c r="AM632" s="115"/>
      <x:c r="AN632" s="115"/>
      <x:c r="AO632" s="115"/>
      <x:c r="AP632" s="115"/>
      <x:c r="AQ632" s="115"/>
      <x:c r="AR632" s="115"/>
      <x:c r="AS632" s="115"/>
      <x:c r="AT632" s="115"/>
      <x:c r="AU632" s="115"/>
      <x:c r="AV632" s="115"/>
      <x:c r="AW632" s="115"/>
      <x:c r="AX632" s="115"/>
      <x:c r="AY632" s="115"/>
      <x:c r="AZ632" s="115"/>
      <x:c r="BA632" s="115"/>
      <x:c r="BB632" s="115"/>
      <x:c r="BC632" s="115"/>
      <x:c r="BD632" s="115"/>
      <x:c r="BE632" s="115"/>
      <x:c r="BF632" s="115"/>
      <x:c r="BG632" s="115"/>
      <x:c r="BH632" s="115"/>
      <x:c r="BI632" s="115"/>
      <x:c r="BJ632" s="115"/>
      <x:c r="BK632" s="115"/>
      <x:c r="BL632" s="115"/>
      <x:c r="BM632" s="115"/>
      <x:c r="BN632" s="115"/>
      <x:c r="BO632" s="115"/>
      <x:c r="BP632" s="115"/>
      <x:c r="BQ632" s="115"/>
      <x:c r="BR632" s="115"/>
      <x:c r="BS632" s="115"/>
      <x:c r="BT632" s="115"/>
      <x:c r="BU632" s="115"/>
      <x:c r="BV632" s="115"/>
      <x:c r="BW632" s="115"/>
      <x:c r="BX632" s="115"/>
      <x:c r="BY632" s="115"/>
      <x:c r="BZ632" s="115"/>
      <x:c r="CA632" s="115"/>
      <x:c r="CB632" s="116"/>
      <x:c r="CC632" s="141" t="str">
        <x:f>IF(COUNT(G632:P632)=0,"",AVERAGE(G632:P632)*4)</x:f>
      </x:c>
      <x:c r="CD632" s="178" t="str">
        <x:f>IF(COUNT(Q632:Z632)=0,"",AVERAGE(Q632:Z632)*4)</x:f>
      </x:c>
      <x:c r="CE632" s="178" t="str">
        <x:f>IF(COUNT(AA632:AJ632)=0,"",AVERAGE(AA632:AJ632)*4)</x:f>
      </x:c>
      <x:c r="CF632" s="178" t="str">
        <x:f>IF(COUNT(AK632:AR632)=0,"",AVERAGE(AK632:AR632)*4)</x:f>
      </x:c>
      <x:c r="CG632" s="178" t="str">
        <x:f>IF(COUNT(AS632:AY632)=0,"",AVERAGE(AS632:AY632)*4)</x:f>
      </x:c>
      <x:c r="CH632" s="178" t="str">
        <x:f>IF(COUNT(AZ632:BG632)=0,"",AVERAGE(AZ632:BG632)*4)</x:f>
      </x:c>
      <x:c r="CI632" s="178" t="str">
        <x:f>IF(COUNT(BH632:BN632)=0,"",AVERAGE(BH632:BN632)*4)</x:f>
      </x:c>
      <x:c r="CJ632" s="178" t="str">
        <x:f>IF(COUNT(BO632:BU632)=0,"",AVERAGE(BO632:BU632)*4)</x:f>
      </x:c>
      <x:c r="CK632" s="178" t="str">
        <x:f>IF(COUNT(BV632:CB632)=0,"",AVERAGE(BV632:CB632)*4)</x:f>
      </x:c>
      <x:c r="CL632" s="178" t="str">
        <x:f>IF(C632="","",IF(COUNT(G632:CB632)&lt;74,"",(CC632*'تنظیمات وزن‌دهی'!$C$5+CD632*'تنظیمات وزن‌دهی'!$C$6+CE632*'تنظیمات وزن‌دهی'!$C$7+CF632*'تنظیمات وزن‌دهی'!$C$8+CG632*'تنظیمات وزن‌دهی'!$C$9+CH632*'تنظیمات وزن‌دهی'!$C$10+CI632*'تنظیمات وزن‌دهی'!$C$11+CJ632*'تنظیمات وزن‌دهی'!$C$12+CK632*'تنظیمات وزن‌دهی'!$C$13)/100))</x:f>
      </x:c>
      <x:c r="CM632" s="178" t="str">
        <x:f>IF(C632="","",IF(COUNT(G632:CB632)=0,"",IF(COUNT(G632:CB632)&lt;74,"موقت - اطلاعات ناقص",IF(CL632&gt;=17,"عالی",IF(CL632&gt;=14,"خوب",IF(CL632&gt;=10,"متوسط","ضعیف"))))))</x:f>
      </x:c>
      <x:c r="CN632" s="178" t="n">
        <x:v>4</x:v>
      </x:c>
      <x:c r="CO632" s="142" t="n">
        <x:f>IF(C632="","",COUNT(G632:CB632)/74)</x:f>
        <x:v>0</x:v>
      </x:c>
      <x:c r="CP632" s="245"/>
    </x:row>
    <x:row r="633">
      <x:c r="A633" s="165" t="n">
        <x:v>629</x:v>
      </x:c>
      <x:c r="B633" s="233" t="str">
        <x:v>آبان</x:v>
      </x:c>
      <x:c r="C633" s="233" t="n">
        <x:f>IF('دانش‌آموزان'!E57="","",'دانش‌آموزان'!B57)</x:f>
        <x:v>53</x:v>
      </x:c>
      <x:c r="D633" s="233" t="str">
        <x:f>IF('دانش‌آموزان'!C57="","",'دانش‌آموزان'!C57)</x:f>
        <x:v>4000000535</x:v>
      </x:c>
      <x:c r="E633" s="233" t="str">
        <x:f>IF('دانش‌آموزان'!E57="","",'دانش‌آموزان'!E57&amp;" "&amp;'دانش‌آموزان'!F57)</x:f>
        <x:v>طاها رضایی</x:v>
      </x:c>
      <x:c r="F633" s="166" t="str">
        <x:f>IF('دانش‌آموزان'!I57="","",'دانش‌آموزان'!I57)</x:f>
        <x:v>sample-7-c</x:v>
      </x:c>
      <x:c r="G633" s="114"/>
      <x:c r="H633" s="115"/>
      <x:c r="I633" s="115"/>
      <x:c r="J633" s="115"/>
      <x:c r="K633" s="115"/>
      <x:c r="L633" s="115"/>
      <x:c r="M633" s="115"/>
      <x:c r="N633" s="115"/>
      <x:c r="O633" s="115"/>
      <x:c r="P633" s="115"/>
      <x:c r="Q633" s="115"/>
      <x:c r="R633" s="115"/>
      <x:c r="S633" s="115"/>
      <x:c r="T633" s="115"/>
      <x:c r="U633" s="115"/>
      <x:c r="V633" s="115"/>
      <x:c r="W633" s="115"/>
      <x:c r="X633" s="115"/>
      <x:c r="Y633" s="115"/>
      <x:c r="Z633" s="115"/>
      <x:c r="AA633" s="115"/>
      <x:c r="AB633" s="115"/>
      <x:c r="AC633" s="115"/>
      <x:c r="AD633" s="115"/>
      <x:c r="AE633" s="115"/>
      <x:c r="AF633" s="115"/>
      <x:c r="AG633" s="115"/>
      <x:c r="AH633" s="115"/>
      <x:c r="AI633" s="115"/>
      <x:c r="AJ633" s="115"/>
      <x:c r="AK633" s="115"/>
      <x:c r="AL633" s="115"/>
      <x:c r="AM633" s="115"/>
      <x:c r="AN633" s="115"/>
      <x:c r="AO633" s="115"/>
      <x:c r="AP633" s="115"/>
      <x:c r="AQ633" s="115"/>
      <x:c r="AR633" s="115"/>
      <x:c r="AS633" s="115"/>
      <x:c r="AT633" s="115"/>
      <x:c r="AU633" s="115"/>
      <x:c r="AV633" s="115"/>
      <x:c r="AW633" s="115"/>
      <x:c r="AX633" s="115"/>
      <x:c r="AY633" s="115"/>
      <x:c r="AZ633" s="115"/>
      <x:c r="BA633" s="115"/>
      <x:c r="BB633" s="115"/>
      <x:c r="BC633" s="115"/>
      <x:c r="BD633" s="115"/>
      <x:c r="BE633" s="115"/>
      <x:c r="BF633" s="115"/>
      <x:c r="BG633" s="115"/>
      <x:c r="BH633" s="115"/>
      <x:c r="BI633" s="115"/>
      <x:c r="BJ633" s="115"/>
      <x:c r="BK633" s="115"/>
      <x:c r="BL633" s="115"/>
      <x:c r="BM633" s="115"/>
      <x:c r="BN633" s="115"/>
      <x:c r="BO633" s="115"/>
      <x:c r="BP633" s="115"/>
      <x:c r="BQ633" s="115"/>
      <x:c r="BR633" s="115"/>
      <x:c r="BS633" s="115"/>
      <x:c r="BT633" s="115"/>
      <x:c r="BU633" s="115"/>
      <x:c r="BV633" s="115"/>
      <x:c r="BW633" s="115"/>
      <x:c r="BX633" s="115"/>
      <x:c r="BY633" s="115"/>
      <x:c r="BZ633" s="115"/>
      <x:c r="CA633" s="115"/>
      <x:c r="CB633" s="116"/>
      <x:c r="CC633" s="141" t="str">
        <x:f>IF(COUNT(G633:P633)=0,"",AVERAGE(G633:P633)*4)</x:f>
      </x:c>
      <x:c r="CD633" s="178" t="str">
        <x:f>IF(COUNT(Q633:Z633)=0,"",AVERAGE(Q633:Z633)*4)</x:f>
      </x:c>
      <x:c r="CE633" s="178" t="str">
        <x:f>IF(COUNT(AA633:AJ633)=0,"",AVERAGE(AA633:AJ633)*4)</x:f>
      </x:c>
      <x:c r="CF633" s="178" t="str">
        <x:f>IF(COUNT(AK633:AR633)=0,"",AVERAGE(AK633:AR633)*4)</x:f>
      </x:c>
      <x:c r="CG633" s="178" t="str">
        <x:f>IF(COUNT(AS633:AY633)=0,"",AVERAGE(AS633:AY633)*4)</x:f>
      </x:c>
      <x:c r="CH633" s="178" t="str">
        <x:f>IF(COUNT(AZ633:BG633)=0,"",AVERAGE(AZ633:BG633)*4)</x:f>
      </x:c>
      <x:c r="CI633" s="178" t="str">
        <x:f>IF(COUNT(BH633:BN633)=0,"",AVERAGE(BH633:BN633)*4)</x:f>
      </x:c>
      <x:c r="CJ633" s="178" t="str">
        <x:f>IF(COUNT(BO633:BU633)=0,"",AVERAGE(BO633:BU633)*4)</x:f>
      </x:c>
      <x:c r="CK633" s="178" t="str">
        <x:f>IF(COUNT(BV633:CB633)=0,"",AVERAGE(BV633:CB633)*4)</x:f>
      </x:c>
      <x:c r="CL633" s="178" t="str">
        <x:f>IF(C633="","",IF(COUNT(G633:CB633)&lt;74,"",(CC633*'تنظیمات وزن‌دهی'!$C$5+CD633*'تنظیمات وزن‌دهی'!$C$6+CE633*'تنظیمات وزن‌دهی'!$C$7+CF633*'تنظیمات وزن‌دهی'!$C$8+CG633*'تنظیمات وزن‌دهی'!$C$9+CH633*'تنظیمات وزن‌دهی'!$C$10+CI633*'تنظیمات وزن‌دهی'!$C$11+CJ633*'تنظیمات وزن‌دهی'!$C$12+CK633*'تنظیمات وزن‌دهی'!$C$13)/100))</x:f>
      </x:c>
      <x:c r="CM633" s="178" t="str">
        <x:f>IF(C633="","",IF(COUNT(G633:CB633)=0,"",IF(COUNT(G633:CB633)&lt;74,"موقت - اطلاعات ناقص",IF(CL633&gt;=17,"عالی",IF(CL633&gt;=14,"خوب",IF(CL633&gt;=10,"متوسط","ضعیف"))))))</x:f>
      </x:c>
      <x:c r="CN633" s="178" t="n">
        <x:v>5</x:v>
      </x:c>
      <x:c r="CO633" s="142" t="n">
        <x:f>IF(C633="","",COUNT(G633:CB633)/74)</x:f>
        <x:v>0</x:v>
      </x:c>
      <x:c r="CP633" s="245"/>
    </x:row>
    <x:row r="634">
      <x:c r="A634" s="165" t="n">
        <x:v>630</x:v>
      </x:c>
      <x:c r="B634" s="233" t="str">
        <x:v>آذر</x:v>
      </x:c>
      <x:c r="C634" s="233" t="n">
        <x:f>IF('دانش‌آموزان'!E57="","",'دانش‌آموزان'!B57)</x:f>
        <x:v>53</x:v>
      </x:c>
      <x:c r="D634" s="233" t="str">
        <x:f>IF('دانش‌آموزان'!C57="","",'دانش‌آموزان'!C57)</x:f>
        <x:v>4000000535</x:v>
      </x:c>
      <x:c r="E634" s="233" t="str">
        <x:f>IF('دانش‌آموزان'!E57="","",'دانش‌آموزان'!E57&amp;" "&amp;'دانش‌آموزان'!F57)</x:f>
        <x:v>طاها رضایی</x:v>
      </x:c>
      <x:c r="F634" s="166" t="str">
        <x:f>IF('دانش‌آموزان'!I57="","",'دانش‌آموزان'!I57)</x:f>
        <x:v>sample-7-c</x:v>
      </x:c>
      <x:c r="G634" s="114"/>
      <x:c r="H634" s="115"/>
      <x:c r="I634" s="115"/>
      <x:c r="J634" s="115"/>
      <x:c r="K634" s="115"/>
      <x:c r="L634" s="115"/>
      <x:c r="M634" s="115"/>
      <x:c r="N634" s="115"/>
      <x:c r="O634" s="115"/>
      <x:c r="P634" s="115"/>
      <x:c r="Q634" s="115"/>
      <x:c r="R634" s="115"/>
      <x:c r="S634" s="115"/>
      <x:c r="T634" s="115"/>
      <x:c r="U634" s="115"/>
      <x:c r="V634" s="115"/>
      <x:c r="W634" s="115"/>
      <x:c r="X634" s="115"/>
      <x:c r="Y634" s="115"/>
      <x:c r="Z634" s="115"/>
      <x:c r="AA634" s="115"/>
      <x:c r="AB634" s="115"/>
      <x:c r="AC634" s="115"/>
      <x:c r="AD634" s="115"/>
      <x:c r="AE634" s="115"/>
      <x:c r="AF634" s="115"/>
      <x:c r="AG634" s="115"/>
      <x:c r="AH634" s="115"/>
      <x:c r="AI634" s="115"/>
      <x:c r="AJ634" s="115"/>
      <x:c r="AK634" s="115"/>
      <x:c r="AL634" s="115"/>
      <x:c r="AM634" s="115"/>
      <x:c r="AN634" s="115"/>
      <x:c r="AO634" s="115"/>
      <x:c r="AP634" s="115"/>
      <x:c r="AQ634" s="115"/>
      <x:c r="AR634" s="115"/>
      <x:c r="AS634" s="115"/>
      <x:c r="AT634" s="115"/>
      <x:c r="AU634" s="115"/>
      <x:c r="AV634" s="115"/>
      <x:c r="AW634" s="115"/>
      <x:c r="AX634" s="115"/>
      <x:c r="AY634" s="115"/>
      <x:c r="AZ634" s="115"/>
      <x:c r="BA634" s="115"/>
      <x:c r="BB634" s="115"/>
      <x:c r="BC634" s="115"/>
      <x:c r="BD634" s="115"/>
      <x:c r="BE634" s="115"/>
      <x:c r="BF634" s="115"/>
      <x:c r="BG634" s="115"/>
      <x:c r="BH634" s="115"/>
      <x:c r="BI634" s="115"/>
      <x:c r="BJ634" s="115"/>
      <x:c r="BK634" s="115"/>
      <x:c r="BL634" s="115"/>
      <x:c r="BM634" s="115"/>
      <x:c r="BN634" s="115"/>
      <x:c r="BO634" s="115"/>
      <x:c r="BP634" s="115"/>
      <x:c r="BQ634" s="115"/>
      <x:c r="BR634" s="115"/>
      <x:c r="BS634" s="115"/>
      <x:c r="BT634" s="115"/>
      <x:c r="BU634" s="115"/>
      <x:c r="BV634" s="115"/>
      <x:c r="BW634" s="115"/>
      <x:c r="BX634" s="115"/>
      <x:c r="BY634" s="115"/>
      <x:c r="BZ634" s="115"/>
      <x:c r="CA634" s="115"/>
      <x:c r="CB634" s="116"/>
      <x:c r="CC634" s="141" t="str">
        <x:f>IF(COUNT(G634:P634)=0,"",AVERAGE(G634:P634)*4)</x:f>
      </x:c>
      <x:c r="CD634" s="178" t="str">
        <x:f>IF(COUNT(Q634:Z634)=0,"",AVERAGE(Q634:Z634)*4)</x:f>
      </x:c>
      <x:c r="CE634" s="178" t="str">
        <x:f>IF(COUNT(AA634:AJ634)=0,"",AVERAGE(AA634:AJ634)*4)</x:f>
      </x:c>
      <x:c r="CF634" s="178" t="str">
        <x:f>IF(COUNT(AK634:AR634)=0,"",AVERAGE(AK634:AR634)*4)</x:f>
      </x:c>
      <x:c r="CG634" s="178" t="str">
        <x:f>IF(COUNT(AS634:AY634)=0,"",AVERAGE(AS634:AY634)*4)</x:f>
      </x:c>
      <x:c r="CH634" s="178" t="str">
        <x:f>IF(COUNT(AZ634:BG634)=0,"",AVERAGE(AZ634:BG634)*4)</x:f>
      </x:c>
      <x:c r="CI634" s="178" t="str">
        <x:f>IF(COUNT(BH634:BN634)=0,"",AVERAGE(BH634:BN634)*4)</x:f>
      </x:c>
      <x:c r="CJ634" s="178" t="str">
        <x:f>IF(COUNT(BO634:BU634)=0,"",AVERAGE(BO634:BU634)*4)</x:f>
      </x:c>
      <x:c r="CK634" s="178" t="str">
        <x:f>IF(COUNT(BV634:CB634)=0,"",AVERAGE(BV634:CB634)*4)</x:f>
      </x:c>
      <x:c r="CL634" s="178" t="str">
        <x:f>IF(C634="","",IF(COUNT(G634:CB634)&lt;74,"",(CC634*'تنظیمات وزن‌دهی'!$C$5+CD634*'تنظیمات وزن‌دهی'!$C$6+CE634*'تنظیمات وزن‌دهی'!$C$7+CF634*'تنظیمات وزن‌دهی'!$C$8+CG634*'تنظیمات وزن‌دهی'!$C$9+CH634*'تنظیمات وزن‌دهی'!$C$10+CI634*'تنظیمات وزن‌دهی'!$C$11+CJ634*'تنظیمات وزن‌دهی'!$C$12+CK634*'تنظیمات وزن‌دهی'!$C$13)/100))</x:f>
      </x:c>
      <x:c r="CM634" s="178" t="str">
        <x:f>IF(C634="","",IF(COUNT(G634:CB634)=0,"",IF(COUNT(G634:CB634)&lt;74,"موقت - اطلاعات ناقص",IF(CL634&gt;=17,"عالی",IF(CL634&gt;=14,"خوب",IF(CL634&gt;=10,"متوسط","ضعیف"))))))</x:f>
      </x:c>
      <x:c r="CN634" s="178" t="n">
        <x:v>6</x:v>
      </x:c>
      <x:c r="CO634" s="142" t="n">
        <x:f>IF(C634="","",COUNT(G634:CB634)/74)</x:f>
        <x:v>0</x:v>
      </x:c>
      <x:c r="CP634" s="245"/>
    </x:row>
    <x:row r="635">
      <x:c r="A635" s="165" t="n">
        <x:v>631</x:v>
      </x:c>
      <x:c r="B635" s="233" t="str">
        <x:v>دی</x:v>
      </x:c>
      <x:c r="C635" s="233" t="n">
        <x:f>IF('دانش‌آموزان'!E57="","",'دانش‌آموزان'!B57)</x:f>
        <x:v>53</x:v>
      </x:c>
      <x:c r="D635" s="233" t="str">
        <x:f>IF('دانش‌آموزان'!C57="","",'دانش‌آموزان'!C57)</x:f>
        <x:v>4000000535</x:v>
      </x:c>
      <x:c r="E635" s="233" t="str">
        <x:f>IF('دانش‌آموزان'!E57="","",'دانش‌آموزان'!E57&amp;" "&amp;'دانش‌آموزان'!F57)</x:f>
        <x:v>طاها رضایی</x:v>
      </x:c>
      <x:c r="F635" s="166" t="str">
        <x:f>IF('دانش‌آموزان'!I57="","",'دانش‌آموزان'!I57)</x:f>
        <x:v>sample-7-c</x:v>
      </x:c>
      <x:c r="G635" s="114"/>
      <x:c r="H635" s="115"/>
      <x:c r="I635" s="115"/>
      <x:c r="J635" s="115"/>
      <x:c r="K635" s="115"/>
      <x:c r="L635" s="115"/>
      <x:c r="M635" s="115"/>
      <x:c r="N635" s="115"/>
      <x:c r="O635" s="115"/>
      <x:c r="P635" s="115"/>
      <x:c r="Q635" s="115"/>
      <x:c r="R635" s="115"/>
      <x:c r="S635" s="115"/>
      <x:c r="T635" s="115"/>
      <x:c r="U635" s="115"/>
      <x:c r="V635" s="115"/>
      <x:c r="W635" s="115"/>
      <x:c r="X635" s="115"/>
      <x:c r="Y635" s="115"/>
      <x:c r="Z635" s="115"/>
      <x:c r="AA635" s="115"/>
      <x:c r="AB635" s="115"/>
      <x:c r="AC635" s="115"/>
      <x:c r="AD635" s="115"/>
      <x:c r="AE635" s="115"/>
      <x:c r="AF635" s="115"/>
      <x:c r="AG635" s="115"/>
      <x:c r="AH635" s="115"/>
      <x:c r="AI635" s="115"/>
      <x:c r="AJ635" s="115"/>
      <x:c r="AK635" s="115"/>
      <x:c r="AL635" s="115"/>
      <x:c r="AM635" s="115"/>
      <x:c r="AN635" s="115"/>
      <x:c r="AO635" s="115"/>
      <x:c r="AP635" s="115"/>
      <x:c r="AQ635" s="115"/>
      <x:c r="AR635" s="115"/>
      <x:c r="AS635" s="115"/>
      <x:c r="AT635" s="115"/>
      <x:c r="AU635" s="115"/>
      <x:c r="AV635" s="115"/>
      <x:c r="AW635" s="115"/>
      <x:c r="AX635" s="115"/>
      <x:c r="AY635" s="115"/>
      <x:c r="AZ635" s="115"/>
      <x:c r="BA635" s="115"/>
      <x:c r="BB635" s="115"/>
      <x:c r="BC635" s="115"/>
      <x:c r="BD635" s="115"/>
      <x:c r="BE635" s="115"/>
      <x:c r="BF635" s="115"/>
      <x:c r="BG635" s="115"/>
      <x:c r="BH635" s="115"/>
      <x:c r="BI635" s="115"/>
      <x:c r="BJ635" s="115"/>
      <x:c r="BK635" s="115"/>
      <x:c r="BL635" s="115"/>
      <x:c r="BM635" s="115"/>
      <x:c r="BN635" s="115"/>
      <x:c r="BO635" s="115"/>
      <x:c r="BP635" s="115"/>
      <x:c r="BQ635" s="115"/>
      <x:c r="BR635" s="115"/>
      <x:c r="BS635" s="115"/>
      <x:c r="BT635" s="115"/>
      <x:c r="BU635" s="115"/>
      <x:c r="BV635" s="115"/>
      <x:c r="BW635" s="115"/>
      <x:c r="BX635" s="115"/>
      <x:c r="BY635" s="115"/>
      <x:c r="BZ635" s="115"/>
      <x:c r="CA635" s="115"/>
      <x:c r="CB635" s="116"/>
      <x:c r="CC635" s="141" t="str">
        <x:f>IF(COUNT(G635:P635)=0,"",AVERAGE(G635:P635)*4)</x:f>
      </x:c>
      <x:c r="CD635" s="178" t="str">
        <x:f>IF(COUNT(Q635:Z635)=0,"",AVERAGE(Q635:Z635)*4)</x:f>
      </x:c>
      <x:c r="CE635" s="178" t="str">
        <x:f>IF(COUNT(AA635:AJ635)=0,"",AVERAGE(AA635:AJ635)*4)</x:f>
      </x:c>
      <x:c r="CF635" s="178" t="str">
        <x:f>IF(COUNT(AK635:AR635)=0,"",AVERAGE(AK635:AR635)*4)</x:f>
      </x:c>
      <x:c r="CG635" s="178" t="str">
        <x:f>IF(COUNT(AS635:AY635)=0,"",AVERAGE(AS635:AY635)*4)</x:f>
      </x:c>
      <x:c r="CH635" s="178" t="str">
        <x:f>IF(COUNT(AZ635:BG635)=0,"",AVERAGE(AZ635:BG635)*4)</x:f>
      </x:c>
      <x:c r="CI635" s="178" t="str">
        <x:f>IF(COUNT(BH635:BN635)=0,"",AVERAGE(BH635:BN635)*4)</x:f>
      </x:c>
      <x:c r="CJ635" s="178" t="str">
        <x:f>IF(COUNT(BO635:BU635)=0,"",AVERAGE(BO635:BU635)*4)</x:f>
      </x:c>
      <x:c r="CK635" s="178" t="str">
        <x:f>IF(COUNT(BV635:CB635)=0,"",AVERAGE(BV635:CB635)*4)</x:f>
      </x:c>
      <x:c r="CL635" s="178" t="str">
        <x:f>IF(C635="","",IF(COUNT(G635:CB635)&lt;74,"",(CC635*'تنظیمات وزن‌دهی'!$C$5+CD635*'تنظیمات وزن‌دهی'!$C$6+CE635*'تنظیمات وزن‌دهی'!$C$7+CF635*'تنظیمات وزن‌دهی'!$C$8+CG635*'تنظیمات وزن‌دهی'!$C$9+CH635*'تنظیمات وزن‌دهی'!$C$10+CI635*'تنظیمات وزن‌دهی'!$C$11+CJ635*'تنظیمات وزن‌دهی'!$C$12+CK635*'تنظیمات وزن‌دهی'!$C$13)/100))</x:f>
      </x:c>
      <x:c r="CM635" s="178" t="str">
        <x:f>IF(C635="","",IF(COUNT(G635:CB635)=0,"",IF(COUNT(G635:CB635)&lt;74,"موقت - اطلاعات ناقص",IF(CL635&gt;=17,"عالی",IF(CL635&gt;=14,"خوب",IF(CL635&gt;=10,"متوسط","ضعیف"))))))</x:f>
      </x:c>
      <x:c r="CN635" s="178" t="n">
        <x:v>7</x:v>
      </x:c>
      <x:c r="CO635" s="142" t="n">
        <x:f>IF(C635="","",COUNT(G635:CB635)/74)</x:f>
        <x:v>0</x:v>
      </x:c>
      <x:c r="CP635" s="245"/>
    </x:row>
    <x:row r="636">
      <x:c r="A636" s="165" t="n">
        <x:v>632</x:v>
      </x:c>
      <x:c r="B636" s="233" t="str">
        <x:v>بهمن</x:v>
      </x:c>
      <x:c r="C636" s="233" t="n">
        <x:f>IF('دانش‌آموزان'!E57="","",'دانش‌آموزان'!B57)</x:f>
        <x:v>53</x:v>
      </x:c>
      <x:c r="D636" s="233" t="str">
        <x:f>IF('دانش‌آموزان'!C57="","",'دانش‌آموزان'!C57)</x:f>
        <x:v>4000000535</x:v>
      </x:c>
      <x:c r="E636" s="233" t="str">
        <x:f>IF('دانش‌آموزان'!E57="","",'دانش‌آموزان'!E57&amp;" "&amp;'دانش‌آموزان'!F57)</x:f>
        <x:v>طاها رضایی</x:v>
      </x:c>
      <x:c r="F636" s="166" t="str">
        <x:f>IF('دانش‌آموزان'!I57="","",'دانش‌آموزان'!I57)</x:f>
        <x:v>sample-7-c</x:v>
      </x:c>
      <x:c r="G636" s="114"/>
      <x:c r="H636" s="115"/>
      <x:c r="I636" s="115"/>
      <x:c r="J636" s="115"/>
      <x:c r="K636" s="115"/>
      <x:c r="L636" s="115"/>
      <x:c r="M636" s="115"/>
      <x:c r="N636" s="115"/>
      <x:c r="O636" s="115"/>
      <x:c r="P636" s="115"/>
      <x:c r="Q636" s="115"/>
      <x:c r="R636" s="115"/>
      <x:c r="S636" s="115"/>
      <x:c r="T636" s="115"/>
      <x:c r="U636" s="115"/>
      <x:c r="V636" s="115"/>
      <x:c r="W636" s="115"/>
      <x:c r="X636" s="115"/>
      <x:c r="Y636" s="115"/>
      <x:c r="Z636" s="115"/>
      <x:c r="AA636" s="115"/>
      <x:c r="AB636" s="115"/>
      <x:c r="AC636" s="115"/>
      <x:c r="AD636" s="115"/>
      <x:c r="AE636" s="115"/>
      <x:c r="AF636" s="115"/>
      <x:c r="AG636" s="115"/>
      <x:c r="AH636" s="115"/>
      <x:c r="AI636" s="115"/>
      <x:c r="AJ636" s="115"/>
      <x:c r="AK636" s="115"/>
      <x:c r="AL636" s="115"/>
      <x:c r="AM636" s="115"/>
      <x:c r="AN636" s="115"/>
      <x:c r="AO636" s="115"/>
      <x:c r="AP636" s="115"/>
      <x:c r="AQ636" s="115"/>
      <x:c r="AR636" s="115"/>
      <x:c r="AS636" s="115"/>
      <x:c r="AT636" s="115"/>
      <x:c r="AU636" s="115"/>
      <x:c r="AV636" s="115"/>
      <x:c r="AW636" s="115"/>
      <x:c r="AX636" s="115"/>
      <x:c r="AY636" s="115"/>
      <x:c r="AZ636" s="115"/>
      <x:c r="BA636" s="115"/>
      <x:c r="BB636" s="115"/>
      <x:c r="BC636" s="115"/>
      <x:c r="BD636" s="115"/>
      <x:c r="BE636" s="115"/>
      <x:c r="BF636" s="115"/>
      <x:c r="BG636" s="115"/>
      <x:c r="BH636" s="115"/>
      <x:c r="BI636" s="115"/>
      <x:c r="BJ636" s="115"/>
      <x:c r="BK636" s="115"/>
      <x:c r="BL636" s="115"/>
      <x:c r="BM636" s="115"/>
      <x:c r="BN636" s="115"/>
      <x:c r="BO636" s="115"/>
      <x:c r="BP636" s="115"/>
      <x:c r="BQ636" s="115"/>
      <x:c r="BR636" s="115"/>
      <x:c r="BS636" s="115"/>
      <x:c r="BT636" s="115"/>
      <x:c r="BU636" s="115"/>
      <x:c r="BV636" s="115"/>
      <x:c r="BW636" s="115"/>
      <x:c r="BX636" s="115"/>
      <x:c r="BY636" s="115"/>
      <x:c r="BZ636" s="115"/>
      <x:c r="CA636" s="115"/>
      <x:c r="CB636" s="116"/>
      <x:c r="CC636" s="141" t="str">
        <x:f>IF(COUNT(G636:P636)=0,"",AVERAGE(G636:P636)*4)</x:f>
      </x:c>
      <x:c r="CD636" s="178" t="str">
        <x:f>IF(COUNT(Q636:Z636)=0,"",AVERAGE(Q636:Z636)*4)</x:f>
      </x:c>
      <x:c r="CE636" s="178" t="str">
        <x:f>IF(COUNT(AA636:AJ636)=0,"",AVERAGE(AA636:AJ636)*4)</x:f>
      </x:c>
      <x:c r="CF636" s="178" t="str">
        <x:f>IF(COUNT(AK636:AR636)=0,"",AVERAGE(AK636:AR636)*4)</x:f>
      </x:c>
      <x:c r="CG636" s="178" t="str">
        <x:f>IF(COUNT(AS636:AY636)=0,"",AVERAGE(AS636:AY636)*4)</x:f>
      </x:c>
      <x:c r="CH636" s="178" t="str">
        <x:f>IF(COUNT(AZ636:BG636)=0,"",AVERAGE(AZ636:BG636)*4)</x:f>
      </x:c>
      <x:c r="CI636" s="178" t="str">
        <x:f>IF(COUNT(BH636:BN636)=0,"",AVERAGE(BH636:BN636)*4)</x:f>
      </x:c>
      <x:c r="CJ636" s="178" t="str">
        <x:f>IF(COUNT(BO636:BU636)=0,"",AVERAGE(BO636:BU636)*4)</x:f>
      </x:c>
      <x:c r="CK636" s="178" t="str">
        <x:f>IF(COUNT(BV636:CB636)=0,"",AVERAGE(BV636:CB636)*4)</x:f>
      </x:c>
      <x:c r="CL636" s="178" t="str">
        <x:f>IF(C636="","",IF(COUNT(G636:CB636)&lt;74,"",(CC636*'تنظیمات وزن‌دهی'!$C$5+CD636*'تنظیمات وزن‌دهی'!$C$6+CE636*'تنظیمات وزن‌دهی'!$C$7+CF636*'تنظیمات وزن‌دهی'!$C$8+CG636*'تنظیمات وزن‌دهی'!$C$9+CH636*'تنظیمات وزن‌دهی'!$C$10+CI636*'تنظیمات وزن‌دهی'!$C$11+CJ636*'تنظیمات وزن‌دهی'!$C$12+CK636*'تنظیمات وزن‌دهی'!$C$13)/100))</x:f>
      </x:c>
      <x:c r="CM636" s="178" t="str">
        <x:f>IF(C636="","",IF(COUNT(G636:CB636)=0,"",IF(COUNT(G636:CB636)&lt;74,"موقت - اطلاعات ناقص",IF(CL636&gt;=17,"عالی",IF(CL636&gt;=14,"خوب",IF(CL636&gt;=10,"متوسط","ضعیف"))))))</x:f>
      </x:c>
      <x:c r="CN636" s="178" t="n">
        <x:v>8</x:v>
      </x:c>
      <x:c r="CO636" s="142" t="n">
        <x:f>IF(C636="","",COUNT(G636:CB636)/74)</x:f>
        <x:v>0</x:v>
      </x:c>
      <x:c r="CP636" s="245"/>
    </x:row>
    <x:row r="637">
      <x:c r="A637" s="165" t="n">
        <x:v>633</x:v>
      </x:c>
      <x:c r="B637" s="233" t="str">
        <x:v>اسفند</x:v>
      </x:c>
      <x:c r="C637" s="233" t="n">
        <x:f>IF('دانش‌آموزان'!E57="","",'دانش‌آموزان'!B57)</x:f>
        <x:v>53</x:v>
      </x:c>
      <x:c r="D637" s="233" t="str">
        <x:f>IF('دانش‌آموزان'!C57="","",'دانش‌آموزان'!C57)</x:f>
        <x:v>4000000535</x:v>
      </x:c>
      <x:c r="E637" s="233" t="str">
        <x:f>IF('دانش‌آموزان'!E57="","",'دانش‌آموزان'!E57&amp;" "&amp;'دانش‌آموزان'!F57)</x:f>
        <x:v>طاها رضایی</x:v>
      </x:c>
      <x:c r="F637" s="166" t="str">
        <x:f>IF('دانش‌آموزان'!I57="","",'دانش‌آموزان'!I57)</x:f>
        <x:v>sample-7-c</x:v>
      </x:c>
      <x:c r="G637" s="114"/>
      <x:c r="H637" s="115"/>
      <x:c r="I637" s="115"/>
      <x:c r="J637" s="115"/>
      <x:c r="K637" s="115"/>
      <x:c r="L637" s="115"/>
      <x:c r="M637" s="115"/>
      <x:c r="N637" s="115"/>
      <x:c r="O637" s="115"/>
      <x:c r="P637" s="115"/>
      <x:c r="Q637" s="115"/>
      <x:c r="R637" s="115"/>
      <x:c r="S637" s="115"/>
      <x:c r="T637" s="115"/>
      <x:c r="U637" s="115"/>
      <x:c r="V637" s="115"/>
      <x:c r="W637" s="115"/>
      <x:c r="X637" s="115"/>
      <x:c r="Y637" s="115"/>
      <x:c r="Z637" s="115"/>
      <x:c r="AA637" s="115"/>
      <x:c r="AB637" s="115"/>
      <x:c r="AC637" s="115"/>
      <x:c r="AD637" s="115"/>
      <x:c r="AE637" s="115"/>
      <x:c r="AF637" s="115"/>
      <x:c r="AG637" s="115"/>
      <x:c r="AH637" s="115"/>
      <x:c r="AI637" s="115"/>
      <x:c r="AJ637" s="115"/>
      <x:c r="AK637" s="115"/>
      <x:c r="AL637" s="115"/>
      <x:c r="AM637" s="115"/>
      <x:c r="AN637" s="115"/>
      <x:c r="AO637" s="115"/>
      <x:c r="AP637" s="115"/>
      <x:c r="AQ637" s="115"/>
      <x:c r="AR637" s="115"/>
      <x:c r="AS637" s="115"/>
      <x:c r="AT637" s="115"/>
      <x:c r="AU637" s="115"/>
      <x:c r="AV637" s="115"/>
      <x:c r="AW637" s="115"/>
      <x:c r="AX637" s="115"/>
      <x:c r="AY637" s="115"/>
      <x:c r="AZ637" s="115"/>
      <x:c r="BA637" s="115"/>
      <x:c r="BB637" s="115"/>
      <x:c r="BC637" s="115"/>
      <x:c r="BD637" s="115"/>
      <x:c r="BE637" s="115"/>
      <x:c r="BF637" s="115"/>
      <x:c r="BG637" s="115"/>
      <x:c r="BH637" s="115"/>
      <x:c r="BI637" s="115"/>
      <x:c r="BJ637" s="115"/>
      <x:c r="BK637" s="115"/>
      <x:c r="BL637" s="115"/>
      <x:c r="BM637" s="115"/>
      <x:c r="BN637" s="115"/>
      <x:c r="BO637" s="115"/>
      <x:c r="BP637" s="115"/>
      <x:c r="BQ637" s="115"/>
      <x:c r="BR637" s="115"/>
      <x:c r="BS637" s="115"/>
      <x:c r="BT637" s="115"/>
      <x:c r="BU637" s="115"/>
      <x:c r="BV637" s="115"/>
      <x:c r="BW637" s="115"/>
      <x:c r="BX637" s="115"/>
      <x:c r="BY637" s="115"/>
      <x:c r="BZ637" s="115"/>
      <x:c r="CA637" s="115"/>
      <x:c r="CB637" s="116"/>
      <x:c r="CC637" s="141" t="str">
        <x:f>IF(COUNT(G637:P637)=0,"",AVERAGE(G637:P637)*4)</x:f>
      </x:c>
      <x:c r="CD637" s="178" t="str">
        <x:f>IF(COUNT(Q637:Z637)=0,"",AVERAGE(Q637:Z637)*4)</x:f>
      </x:c>
      <x:c r="CE637" s="178" t="str">
        <x:f>IF(COUNT(AA637:AJ637)=0,"",AVERAGE(AA637:AJ637)*4)</x:f>
      </x:c>
      <x:c r="CF637" s="178" t="str">
        <x:f>IF(COUNT(AK637:AR637)=0,"",AVERAGE(AK637:AR637)*4)</x:f>
      </x:c>
      <x:c r="CG637" s="178" t="str">
        <x:f>IF(COUNT(AS637:AY637)=0,"",AVERAGE(AS637:AY637)*4)</x:f>
      </x:c>
      <x:c r="CH637" s="178" t="str">
        <x:f>IF(COUNT(AZ637:BG637)=0,"",AVERAGE(AZ637:BG637)*4)</x:f>
      </x:c>
      <x:c r="CI637" s="178" t="str">
        <x:f>IF(COUNT(BH637:BN637)=0,"",AVERAGE(BH637:BN637)*4)</x:f>
      </x:c>
      <x:c r="CJ637" s="178" t="str">
        <x:f>IF(COUNT(BO637:BU637)=0,"",AVERAGE(BO637:BU637)*4)</x:f>
      </x:c>
      <x:c r="CK637" s="178" t="str">
        <x:f>IF(COUNT(BV637:CB637)=0,"",AVERAGE(BV637:CB637)*4)</x:f>
      </x:c>
      <x:c r="CL637" s="178" t="str">
        <x:f>IF(C637="","",IF(COUNT(G637:CB637)&lt;74,"",(CC637*'تنظیمات وزن‌دهی'!$C$5+CD637*'تنظیمات وزن‌دهی'!$C$6+CE637*'تنظیمات وزن‌دهی'!$C$7+CF637*'تنظیمات وزن‌دهی'!$C$8+CG637*'تنظیمات وزن‌دهی'!$C$9+CH637*'تنظیمات وزن‌دهی'!$C$10+CI637*'تنظیمات وزن‌دهی'!$C$11+CJ637*'تنظیمات وزن‌دهی'!$C$12+CK637*'تنظیمات وزن‌دهی'!$C$13)/100))</x:f>
      </x:c>
      <x:c r="CM637" s="178" t="str">
        <x:f>IF(C637="","",IF(COUNT(G637:CB637)=0,"",IF(COUNT(G637:CB637)&lt;74,"موقت - اطلاعات ناقص",IF(CL637&gt;=17,"عالی",IF(CL637&gt;=14,"خوب",IF(CL637&gt;=10,"متوسط","ضعیف"))))))</x:f>
      </x:c>
      <x:c r="CN637" s="178" t="n">
        <x:v>9</x:v>
      </x:c>
      <x:c r="CO637" s="142" t="n">
        <x:f>IF(C637="","",COUNT(G637:CB637)/74)</x:f>
        <x:v>0</x:v>
      </x:c>
      <x:c r="CP637" s="245"/>
    </x:row>
    <x:row r="638">
      <x:c r="A638" s="165" t="n">
        <x:v>634</x:v>
      </x:c>
      <x:c r="B638" s="233" t="str">
        <x:v>فروردین</x:v>
      </x:c>
      <x:c r="C638" s="233" t="n">
        <x:f>IF('دانش‌آموزان'!E57="","",'دانش‌آموزان'!B57)</x:f>
        <x:v>53</x:v>
      </x:c>
      <x:c r="D638" s="233" t="str">
        <x:f>IF('دانش‌آموزان'!C57="","",'دانش‌آموزان'!C57)</x:f>
        <x:v>4000000535</x:v>
      </x:c>
      <x:c r="E638" s="233" t="str">
        <x:f>IF('دانش‌آموزان'!E57="","",'دانش‌آموزان'!E57&amp;" "&amp;'دانش‌آموزان'!F57)</x:f>
        <x:v>طاها رضایی</x:v>
      </x:c>
      <x:c r="F638" s="166" t="str">
        <x:f>IF('دانش‌آموزان'!I57="","",'دانش‌آموزان'!I57)</x:f>
        <x:v>sample-7-c</x:v>
      </x:c>
      <x:c r="G638" s="114"/>
      <x:c r="H638" s="115"/>
      <x:c r="I638" s="115"/>
      <x:c r="J638" s="115"/>
      <x:c r="K638" s="115"/>
      <x:c r="L638" s="115"/>
      <x:c r="M638" s="115"/>
      <x:c r="N638" s="115"/>
      <x:c r="O638" s="115"/>
      <x:c r="P638" s="115"/>
      <x:c r="Q638" s="115"/>
      <x:c r="R638" s="115"/>
      <x:c r="S638" s="115"/>
      <x:c r="T638" s="115"/>
      <x:c r="U638" s="115"/>
      <x:c r="V638" s="115"/>
      <x:c r="W638" s="115"/>
      <x:c r="X638" s="115"/>
      <x:c r="Y638" s="115"/>
      <x:c r="Z638" s="115"/>
      <x:c r="AA638" s="115"/>
      <x:c r="AB638" s="115"/>
      <x:c r="AC638" s="115"/>
      <x:c r="AD638" s="115"/>
      <x:c r="AE638" s="115"/>
      <x:c r="AF638" s="115"/>
      <x:c r="AG638" s="115"/>
      <x:c r="AH638" s="115"/>
      <x:c r="AI638" s="115"/>
      <x:c r="AJ638" s="115"/>
      <x:c r="AK638" s="115"/>
      <x:c r="AL638" s="115"/>
      <x:c r="AM638" s="115"/>
      <x:c r="AN638" s="115"/>
      <x:c r="AO638" s="115"/>
      <x:c r="AP638" s="115"/>
      <x:c r="AQ638" s="115"/>
      <x:c r="AR638" s="115"/>
      <x:c r="AS638" s="115"/>
      <x:c r="AT638" s="115"/>
      <x:c r="AU638" s="115"/>
      <x:c r="AV638" s="115"/>
      <x:c r="AW638" s="115"/>
      <x:c r="AX638" s="115"/>
      <x:c r="AY638" s="115"/>
      <x:c r="AZ638" s="115"/>
      <x:c r="BA638" s="115"/>
      <x:c r="BB638" s="115"/>
      <x:c r="BC638" s="115"/>
      <x:c r="BD638" s="115"/>
      <x:c r="BE638" s="115"/>
      <x:c r="BF638" s="115"/>
      <x:c r="BG638" s="115"/>
      <x:c r="BH638" s="115"/>
      <x:c r="BI638" s="115"/>
      <x:c r="BJ638" s="115"/>
      <x:c r="BK638" s="115"/>
      <x:c r="BL638" s="115"/>
      <x:c r="BM638" s="115"/>
      <x:c r="BN638" s="115"/>
      <x:c r="BO638" s="115"/>
      <x:c r="BP638" s="115"/>
      <x:c r="BQ638" s="115"/>
      <x:c r="BR638" s="115"/>
      <x:c r="BS638" s="115"/>
      <x:c r="BT638" s="115"/>
      <x:c r="BU638" s="115"/>
      <x:c r="BV638" s="115"/>
      <x:c r="BW638" s="115"/>
      <x:c r="BX638" s="115"/>
      <x:c r="BY638" s="115"/>
      <x:c r="BZ638" s="115"/>
      <x:c r="CA638" s="115"/>
      <x:c r="CB638" s="116"/>
      <x:c r="CC638" s="141" t="str">
        <x:f>IF(COUNT(G638:P638)=0,"",AVERAGE(G638:P638)*4)</x:f>
      </x:c>
      <x:c r="CD638" s="178" t="str">
        <x:f>IF(COUNT(Q638:Z638)=0,"",AVERAGE(Q638:Z638)*4)</x:f>
      </x:c>
      <x:c r="CE638" s="178" t="str">
        <x:f>IF(COUNT(AA638:AJ638)=0,"",AVERAGE(AA638:AJ638)*4)</x:f>
      </x:c>
      <x:c r="CF638" s="178" t="str">
        <x:f>IF(COUNT(AK638:AR638)=0,"",AVERAGE(AK638:AR638)*4)</x:f>
      </x:c>
      <x:c r="CG638" s="178" t="str">
        <x:f>IF(COUNT(AS638:AY638)=0,"",AVERAGE(AS638:AY638)*4)</x:f>
      </x:c>
      <x:c r="CH638" s="178" t="str">
        <x:f>IF(COUNT(AZ638:BG638)=0,"",AVERAGE(AZ638:BG638)*4)</x:f>
      </x:c>
      <x:c r="CI638" s="178" t="str">
        <x:f>IF(COUNT(BH638:BN638)=0,"",AVERAGE(BH638:BN638)*4)</x:f>
      </x:c>
      <x:c r="CJ638" s="178" t="str">
        <x:f>IF(COUNT(BO638:BU638)=0,"",AVERAGE(BO638:BU638)*4)</x:f>
      </x:c>
      <x:c r="CK638" s="178" t="str">
        <x:f>IF(COUNT(BV638:CB638)=0,"",AVERAGE(BV638:CB638)*4)</x:f>
      </x:c>
      <x:c r="CL638" s="178" t="str">
        <x:f>IF(C638="","",IF(COUNT(G638:CB638)&lt;74,"",(CC638*'تنظیمات وزن‌دهی'!$C$5+CD638*'تنظیمات وزن‌دهی'!$C$6+CE638*'تنظیمات وزن‌دهی'!$C$7+CF638*'تنظیمات وزن‌دهی'!$C$8+CG638*'تنظیمات وزن‌دهی'!$C$9+CH638*'تنظیمات وزن‌دهی'!$C$10+CI638*'تنظیمات وزن‌دهی'!$C$11+CJ638*'تنظیمات وزن‌دهی'!$C$12+CK638*'تنظیمات وزن‌دهی'!$C$13)/100))</x:f>
      </x:c>
      <x:c r="CM638" s="178" t="str">
        <x:f>IF(C638="","",IF(COUNT(G638:CB638)=0,"",IF(COUNT(G638:CB638)&lt;74,"موقت - اطلاعات ناقص",IF(CL638&gt;=17,"عالی",IF(CL638&gt;=14,"خوب",IF(CL638&gt;=10,"متوسط","ضعیف"))))))</x:f>
      </x:c>
      <x:c r="CN638" s="178" t="n">
        <x:v>10</x:v>
      </x:c>
      <x:c r="CO638" s="142" t="n">
        <x:f>IF(C638="","",COUNT(G638:CB638)/74)</x:f>
        <x:v>0</x:v>
      </x:c>
      <x:c r="CP638" s="245"/>
    </x:row>
    <x:row r="639">
      <x:c r="A639" s="165" t="n">
        <x:v>635</x:v>
      </x:c>
      <x:c r="B639" s="233" t="str">
        <x:v>اردیبهشت</x:v>
      </x:c>
      <x:c r="C639" s="233" t="n">
        <x:f>IF('دانش‌آموزان'!E57="","",'دانش‌آموزان'!B57)</x:f>
        <x:v>53</x:v>
      </x:c>
      <x:c r="D639" s="233" t="str">
        <x:f>IF('دانش‌آموزان'!C57="","",'دانش‌آموزان'!C57)</x:f>
        <x:v>4000000535</x:v>
      </x:c>
      <x:c r="E639" s="233" t="str">
        <x:f>IF('دانش‌آموزان'!E57="","",'دانش‌آموزان'!E57&amp;" "&amp;'دانش‌آموزان'!F57)</x:f>
        <x:v>طاها رضایی</x:v>
      </x:c>
      <x:c r="F639" s="166" t="str">
        <x:f>IF('دانش‌آموزان'!I57="","",'دانش‌آموزان'!I57)</x:f>
        <x:v>sample-7-c</x:v>
      </x:c>
      <x:c r="G639" s="114"/>
      <x:c r="H639" s="115"/>
      <x:c r="I639" s="115"/>
      <x:c r="J639" s="115"/>
      <x:c r="K639" s="115"/>
      <x:c r="L639" s="115"/>
      <x:c r="M639" s="115"/>
      <x:c r="N639" s="115"/>
      <x:c r="O639" s="115"/>
      <x:c r="P639" s="115"/>
      <x:c r="Q639" s="115"/>
      <x:c r="R639" s="115"/>
      <x:c r="S639" s="115"/>
      <x:c r="T639" s="115"/>
      <x:c r="U639" s="115"/>
      <x:c r="V639" s="115"/>
      <x:c r="W639" s="115"/>
      <x:c r="X639" s="115"/>
      <x:c r="Y639" s="115"/>
      <x:c r="Z639" s="115"/>
      <x:c r="AA639" s="115"/>
      <x:c r="AB639" s="115"/>
      <x:c r="AC639" s="115"/>
      <x:c r="AD639" s="115"/>
      <x:c r="AE639" s="115"/>
      <x:c r="AF639" s="115"/>
      <x:c r="AG639" s="115"/>
      <x:c r="AH639" s="115"/>
      <x:c r="AI639" s="115"/>
      <x:c r="AJ639" s="115"/>
      <x:c r="AK639" s="115"/>
      <x:c r="AL639" s="115"/>
      <x:c r="AM639" s="115"/>
      <x:c r="AN639" s="115"/>
      <x:c r="AO639" s="115"/>
      <x:c r="AP639" s="115"/>
      <x:c r="AQ639" s="115"/>
      <x:c r="AR639" s="115"/>
      <x:c r="AS639" s="115"/>
      <x:c r="AT639" s="115"/>
      <x:c r="AU639" s="115"/>
      <x:c r="AV639" s="115"/>
      <x:c r="AW639" s="115"/>
      <x:c r="AX639" s="115"/>
      <x:c r="AY639" s="115"/>
      <x:c r="AZ639" s="115"/>
      <x:c r="BA639" s="115"/>
      <x:c r="BB639" s="115"/>
      <x:c r="BC639" s="115"/>
      <x:c r="BD639" s="115"/>
      <x:c r="BE639" s="115"/>
      <x:c r="BF639" s="115"/>
      <x:c r="BG639" s="115"/>
      <x:c r="BH639" s="115"/>
      <x:c r="BI639" s="115"/>
      <x:c r="BJ639" s="115"/>
      <x:c r="BK639" s="115"/>
      <x:c r="BL639" s="115"/>
      <x:c r="BM639" s="115"/>
      <x:c r="BN639" s="115"/>
      <x:c r="BO639" s="115"/>
      <x:c r="BP639" s="115"/>
      <x:c r="BQ639" s="115"/>
      <x:c r="BR639" s="115"/>
      <x:c r="BS639" s="115"/>
      <x:c r="BT639" s="115"/>
      <x:c r="BU639" s="115"/>
      <x:c r="BV639" s="115"/>
      <x:c r="BW639" s="115"/>
      <x:c r="BX639" s="115"/>
      <x:c r="BY639" s="115"/>
      <x:c r="BZ639" s="115"/>
      <x:c r="CA639" s="115"/>
      <x:c r="CB639" s="116"/>
      <x:c r="CC639" s="141" t="str">
        <x:f>IF(COUNT(G639:P639)=0,"",AVERAGE(G639:P639)*4)</x:f>
      </x:c>
      <x:c r="CD639" s="178" t="str">
        <x:f>IF(COUNT(Q639:Z639)=0,"",AVERAGE(Q639:Z639)*4)</x:f>
      </x:c>
      <x:c r="CE639" s="178" t="str">
        <x:f>IF(COUNT(AA639:AJ639)=0,"",AVERAGE(AA639:AJ639)*4)</x:f>
      </x:c>
      <x:c r="CF639" s="178" t="str">
        <x:f>IF(COUNT(AK639:AR639)=0,"",AVERAGE(AK639:AR639)*4)</x:f>
      </x:c>
      <x:c r="CG639" s="178" t="str">
        <x:f>IF(COUNT(AS639:AY639)=0,"",AVERAGE(AS639:AY639)*4)</x:f>
      </x:c>
      <x:c r="CH639" s="178" t="str">
        <x:f>IF(COUNT(AZ639:BG639)=0,"",AVERAGE(AZ639:BG639)*4)</x:f>
      </x:c>
      <x:c r="CI639" s="178" t="str">
        <x:f>IF(COUNT(BH639:BN639)=0,"",AVERAGE(BH639:BN639)*4)</x:f>
      </x:c>
      <x:c r="CJ639" s="178" t="str">
        <x:f>IF(COUNT(BO639:BU639)=0,"",AVERAGE(BO639:BU639)*4)</x:f>
      </x:c>
      <x:c r="CK639" s="178" t="str">
        <x:f>IF(COUNT(BV639:CB639)=0,"",AVERAGE(BV639:CB639)*4)</x:f>
      </x:c>
      <x:c r="CL639" s="178" t="str">
        <x:f>IF(C639="","",IF(COUNT(G639:CB639)&lt;74,"",(CC639*'تنظیمات وزن‌دهی'!$C$5+CD639*'تنظیمات وزن‌دهی'!$C$6+CE639*'تنظیمات وزن‌دهی'!$C$7+CF639*'تنظیمات وزن‌دهی'!$C$8+CG639*'تنظیمات وزن‌دهی'!$C$9+CH639*'تنظیمات وزن‌دهی'!$C$10+CI639*'تنظیمات وزن‌دهی'!$C$11+CJ639*'تنظیمات وزن‌دهی'!$C$12+CK639*'تنظیمات وزن‌دهی'!$C$13)/100))</x:f>
      </x:c>
      <x:c r="CM639" s="178" t="str">
        <x:f>IF(C639="","",IF(COUNT(G639:CB639)=0,"",IF(COUNT(G639:CB639)&lt;74,"موقت - اطلاعات ناقص",IF(CL639&gt;=17,"عالی",IF(CL639&gt;=14,"خوب",IF(CL639&gt;=10,"متوسط","ضعیف"))))))</x:f>
      </x:c>
      <x:c r="CN639" s="178" t="n">
        <x:v>11</x:v>
      </x:c>
      <x:c r="CO639" s="142" t="n">
        <x:f>IF(C639="","",COUNT(G639:CB639)/74)</x:f>
        <x:v>0</x:v>
      </x:c>
      <x:c r="CP639" s="245"/>
    </x:row>
    <x:row r="640">
      <x:c r="A640" s="165" t="n">
        <x:v>636</x:v>
      </x:c>
      <x:c r="B640" s="233" t="str">
        <x:v>خرداد</x:v>
      </x:c>
      <x:c r="C640" s="233" t="n">
        <x:f>IF('دانش‌آموزان'!E57="","",'دانش‌آموزان'!B57)</x:f>
        <x:v>53</x:v>
      </x:c>
      <x:c r="D640" s="233" t="str">
        <x:f>IF('دانش‌آموزان'!C57="","",'دانش‌آموزان'!C57)</x:f>
        <x:v>4000000535</x:v>
      </x:c>
      <x:c r="E640" s="233" t="str">
        <x:f>IF('دانش‌آموزان'!E57="","",'دانش‌آموزان'!E57&amp;" "&amp;'دانش‌آموزان'!F57)</x:f>
        <x:v>طاها رضایی</x:v>
      </x:c>
      <x:c r="F640" s="166" t="str">
        <x:f>IF('دانش‌آموزان'!I57="","",'دانش‌آموزان'!I57)</x:f>
        <x:v>sample-7-c</x:v>
      </x:c>
      <x:c r="G640" s="114"/>
      <x:c r="H640" s="115"/>
      <x:c r="I640" s="115"/>
      <x:c r="J640" s="115"/>
      <x:c r="K640" s="115"/>
      <x:c r="L640" s="115"/>
      <x:c r="M640" s="115"/>
      <x:c r="N640" s="115"/>
      <x:c r="O640" s="115"/>
      <x:c r="P640" s="115"/>
      <x:c r="Q640" s="115"/>
      <x:c r="R640" s="115"/>
      <x:c r="S640" s="115"/>
      <x:c r="T640" s="115"/>
      <x:c r="U640" s="115"/>
      <x:c r="V640" s="115"/>
      <x:c r="W640" s="115"/>
      <x:c r="X640" s="115"/>
      <x:c r="Y640" s="115"/>
      <x:c r="Z640" s="115"/>
      <x:c r="AA640" s="115"/>
      <x:c r="AB640" s="115"/>
      <x:c r="AC640" s="115"/>
      <x:c r="AD640" s="115"/>
      <x:c r="AE640" s="115"/>
      <x:c r="AF640" s="115"/>
      <x:c r="AG640" s="115"/>
      <x:c r="AH640" s="115"/>
      <x:c r="AI640" s="115"/>
      <x:c r="AJ640" s="115"/>
      <x:c r="AK640" s="115"/>
      <x:c r="AL640" s="115"/>
      <x:c r="AM640" s="115"/>
      <x:c r="AN640" s="115"/>
      <x:c r="AO640" s="115"/>
      <x:c r="AP640" s="115"/>
      <x:c r="AQ640" s="115"/>
      <x:c r="AR640" s="115"/>
      <x:c r="AS640" s="115"/>
      <x:c r="AT640" s="115"/>
      <x:c r="AU640" s="115"/>
      <x:c r="AV640" s="115"/>
      <x:c r="AW640" s="115"/>
      <x:c r="AX640" s="115"/>
      <x:c r="AY640" s="115"/>
      <x:c r="AZ640" s="115"/>
      <x:c r="BA640" s="115"/>
      <x:c r="BB640" s="115"/>
      <x:c r="BC640" s="115"/>
      <x:c r="BD640" s="115"/>
      <x:c r="BE640" s="115"/>
      <x:c r="BF640" s="115"/>
      <x:c r="BG640" s="115"/>
      <x:c r="BH640" s="115"/>
      <x:c r="BI640" s="115"/>
      <x:c r="BJ640" s="115"/>
      <x:c r="BK640" s="115"/>
      <x:c r="BL640" s="115"/>
      <x:c r="BM640" s="115"/>
      <x:c r="BN640" s="115"/>
      <x:c r="BO640" s="115"/>
      <x:c r="BP640" s="115"/>
      <x:c r="BQ640" s="115"/>
      <x:c r="BR640" s="115"/>
      <x:c r="BS640" s="115"/>
      <x:c r="BT640" s="115"/>
      <x:c r="BU640" s="115"/>
      <x:c r="BV640" s="115"/>
      <x:c r="BW640" s="115"/>
      <x:c r="BX640" s="115"/>
      <x:c r="BY640" s="115"/>
      <x:c r="BZ640" s="115"/>
      <x:c r="CA640" s="115"/>
      <x:c r="CB640" s="116"/>
      <x:c r="CC640" s="141" t="str">
        <x:f>IF(COUNT(G640:P640)=0,"",AVERAGE(G640:P640)*4)</x:f>
      </x:c>
      <x:c r="CD640" s="178" t="str">
        <x:f>IF(COUNT(Q640:Z640)=0,"",AVERAGE(Q640:Z640)*4)</x:f>
      </x:c>
      <x:c r="CE640" s="178" t="str">
        <x:f>IF(COUNT(AA640:AJ640)=0,"",AVERAGE(AA640:AJ640)*4)</x:f>
      </x:c>
      <x:c r="CF640" s="178" t="str">
        <x:f>IF(COUNT(AK640:AR640)=0,"",AVERAGE(AK640:AR640)*4)</x:f>
      </x:c>
      <x:c r="CG640" s="178" t="str">
        <x:f>IF(COUNT(AS640:AY640)=0,"",AVERAGE(AS640:AY640)*4)</x:f>
      </x:c>
      <x:c r="CH640" s="178" t="str">
        <x:f>IF(COUNT(AZ640:BG640)=0,"",AVERAGE(AZ640:BG640)*4)</x:f>
      </x:c>
      <x:c r="CI640" s="178" t="str">
        <x:f>IF(COUNT(BH640:BN640)=0,"",AVERAGE(BH640:BN640)*4)</x:f>
      </x:c>
      <x:c r="CJ640" s="178" t="str">
        <x:f>IF(COUNT(BO640:BU640)=0,"",AVERAGE(BO640:BU640)*4)</x:f>
      </x:c>
      <x:c r="CK640" s="178" t="str">
        <x:f>IF(COUNT(BV640:CB640)=0,"",AVERAGE(BV640:CB640)*4)</x:f>
      </x:c>
      <x:c r="CL640" s="178" t="str">
        <x:f>IF(C640="","",IF(COUNT(G640:CB640)&lt;74,"",(CC640*'تنظیمات وزن‌دهی'!$C$5+CD640*'تنظیمات وزن‌دهی'!$C$6+CE640*'تنظیمات وزن‌دهی'!$C$7+CF640*'تنظیمات وزن‌دهی'!$C$8+CG640*'تنظیمات وزن‌دهی'!$C$9+CH640*'تنظیمات وزن‌دهی'!$C$10+CI640*'تنظیمات وزن‌دهی'!$C$11+CJ640*'تنظیمات وزن‌دهی'!$C$12+CK640*'تنظیمات وزن‌دهی'!$C$13)/100))</x:f>
      </x:c>
      <x:c r="CM640" s="178" t="str">
        <x:f>IF(C640="","",IF(COUNT(G640:CB640)=0,"",IF(COUNT(G640:CB640)&lt;74,"موقت - اطلاعات ناقص",IF(CL640&gt;=17,"عالی",IF(CL640&gt;=14,"خوب",IF(CL640&gt;=10,"متوسط","ضعیف"))))))</x:f>
      </x:c>
      <x:c r="CN640" s="178" t="n">
        <x:v>12</x:v>
      </x:c>
      <x:c r="CO640" s="142" t="n">
        <x:f>IF(C640="","",COUNT(G640:CB640)/74)</x:f>
        <x:v>0</x:v>
      </x:c>
      <x:c r="CP640" s="245"/>
    </x:row>
    <x:row r="641">
      <x:c r="A641" s="165" t="n">
        <x:v>637</x:v>
      </x:c>
      <x:c r="B641" s="233" t="str">
        <x:v>تیر</x:v>
      </x:c>
      <x:c r="C641" s="233" t="n">
        <x:f>IF('دانش‌آموزان'!E58="","",'دانش‌آموزان'!B58)</x:f>
        <x:v>54</x:v>
      </x:c>
      <x:c r="D641" s="233" t="str">
        <x:f>IF('دانش‌آموزان'!C58="","",'دانش‌آموزان'!C58)</x:f>
        <x:v>4000000543</x:v>
      </x:c>
      <x:c r="E641" s="233" t="str">
        <x:f>IF('دانش‌آموزان'!E58="","",'دانش‌آموزان'!E58&amp;" "&amp;'دانش‌آموزان'!F58)</x:f>
        <x:v>باران نوری</x:v>
      </x:c>
      <x:c r="F641" s="166" t="str">
        <x:f>IF('دانش‌آموزان'!I58="","",'دانش‌آموزان'!I58)</x:f>
        <x:v>sample-7-c</x:v>
      </x:c>
      <x:c r="G641" s="114" t="n">
        <x:v>4</x:v>
      </x:c>
      <x:c r="H641" s="115" t="n">
        <x:v>5</x:v>
      </x:c>
      <x:c r="I641" s="115" t="n">
        <x:v>4</x:v>
      </x:c>
      <x:c r="J641" s="115" t="n">
        <x:v>5</x:v>
      </x:c>
      <x:c r="K641" s="115" t="n">
        <x:v>3</x:v>
      </x:c>
      <x:c r="L641" s="115" t="n">
        <x:v>5</x:v>
      </x:c>
      <x:c r="M641" s="115" t="n">
        <x:v>3</x:v>
      </x:c>
      <x:c r="N641" s="115" t="n">
        <x:v>4</x:v>
      </x:c>
      <x:c r="O641" s="115" t="n">
        <x:v>3</x:v>
      </x:c>
      <x:c r="P641" s="115" t="n">
        <x:v>4</x:v>
      </x:c>
      <x:c r="Q641" s="115" t="n">
        <x:v>2</x:v>
      </x:c>
      <x:c r="R641" s="115" t="n">
        <x:v>4</x:v>
      </x:c>
      <x:c r="S641" s="115" t="n">
        <x:v>5</x:v>
      </x:c>
      <x:c r="T641" s="115" t="n">
        <x:v>4</x:v>
      </x:c>
      <x:c r="U641" s="115" t="n">
        <x:v>5</x:v>
      </x:c>
      <x:c r="V641" s="115" t="n">
        <x:v>3</x:v>
      </x:c>
      <x:c r="W641" s="115" t="n">
        <x:v>5</x:v>
      </x:c>
      <x:c r="X641" s="115" t="n">
        <x:v>3</x:v>
      </x:c>
      <x:c r="Y641" s="115" t="n">
        <x:v>4</x:v>
      </x:c>
      <x:c r="Z641" s="115" t="n">
        <x:v>3</x:v>
      </x:c>
      <x:c r="AA641" s="115" t="n">
        <x:v>4</x:v>
      </x:c>
      <x:c r="AB641" s="115" t="n">
        <x:v>2</x:v>
      </x:c>
      <x:c r="AC641" s="115" t="n">
        <x:v>4</x:v>
      </x:c>
      <x:c r="AD641" s="115" t="n">
        <x:v>5</x:v>
      </x:c>
      <x:c r="AE641" s="115" t="n">
        <x:v>4</x:v>
      </x:c>
      <x:c r="AF641" s="115" t="n">
        <x:v>5</x:v>
      </x:c>
      <x:c r="AG641" s="115" t="n">
        <x:v>3</x:v>
      </x:c>
      <x:c r="AH641" s="115" t="n">
        <x:v>5</x:v>
      </x:c>
      <x:c r="AI641" s="115" t="n">
        <x:v>3</x:v>
      </x:c>
      <x:c r="AJ641" s="115" t="n">
        <x:v>4</x:v>
      </x:c>
      <x:c r="AK641" s="115" t="n">
        <x:v>3</x:v>
      </x:c>
      <x:c r="AL641" s="115" t="n">
        <x:v>4</x:v>
      </x:c>
      <x:c r="AM641" s="115" t="n">
        <x:v>2</x:v>
      </x:c>
      <x:c r="AN641" s="115" t="n">
        <x:v>4</x:v>
      </x:c>
      <x:c r="AO641" s="115" t="n">
        <x:v>5</x:v>
      </x:c>
      <x:c r="AP641" s="115" t="n">
        <x:v>4</x:v>
      </x:c>
      <x:c r="AQ641" s="115" t="n">
        <x:v>5</x:v>
      </x:c>
      <x:c r="AR641" s="115" t="n">
        <x:v>3</x:v>
      </x:c>
      <x:c r="AS641" s="115" t="n">
        <x:v>5</x:v>
      </x:c>
      <x:c r="AT641" s="115" t="n">
        <x:v>3</x:v>
      </x:c>
      <x:c r="AU641" s="115" t="n">
        <x:v>4</x:v>
      </x:c>
      <x:c r="AV641" s="115" t="n">
        <x:v>3</x:v>
      </x:c>
      <x:c r="AW641" s="115" t="n">
        <x:v>4</x:v>
      </x:c>
      <x:c r="AX641" s="115" t="n">
        <x:v>2</x:v>
      </x:c>
      <x:c r="AY641" s="115" t="n">
        <x:v>4</x:v>
      </x:c>
      <x:c r="AZ641" s="115" t="n">
        <x:v>5</x:v>
      </x:c>
      <x:c r="BA641" s="115" t="n">
        <x:v>4</x:v>
      </x:c>
      <x:c r="BB641" s="115" t="n">
        <x:v>5</x:v>
      </x:c>
      <x:c r="BC641" s="115" t="n">
        <x:v>3</x:v>
      </x:c>
      <x:c r="BD641" s="115" t="n">
        <x:v>5</x:v>
      </x:c>
      <x:c r="BE641" s="115" t="n">
        <x:v>3</x:v>
      </x:c>
      <x:c r="BF641" s="115" t="n">
        <x:v>4</x:v>
      </x:c>
      <x:c r="BG641" s="115" t="n">
        <x:v>3</x:v>
      </x:c>
      <x:c r="BH641" s="115" t="n">
        <x:v>4</x:v>
      </x:c>
      <x:c r="BI641" s="115" t="n">
        <x:v>2</x:v>
      </x:c>
      <x:c r="BJ641" s="115" t="n">
        <x:v>4</x:v>
      </x:c>
      <x:c r="BK641" s="115" t="n">
        <x:v>5</x:v>
      </x:c>
      <x:c r="BL641" s="115" t="n">
        <x:v>4</x:v>
      </x:c>
      <x:c r="BM641" s="115" t="n">
        <x:v>5</x:v>
      </x:c>
      <x:c r="BN641" s="115" t="n">
        <x:v>3</x:v>
      </x:c>
      <x:c r="BO641" s="115" t="n">
        <x:v>5</x:v>
      </x:c>
      <x:c r="BP641" s="115" t="n">
        <x:v>3</x:v>
      </x:c>
      <x:c r="BQ641" s="115" t="n">
        <x:v>4</x:v>
      </x:c>
      <x:c r="BR641" s="115" t="n">
        <x:v>3</x:v>
      </x:c>
      <x:c r="BS641" s="115" t="n">
        <x:v>4</x:v>
      </x:c>
      <x:c r="BT641" s="115" t="n">
        <x:v>2</x:v>
      </x:c>
      <x:c r="BU641" s="115" t="n">
        <x:v>4</x:v>
      </x:c>
      <x:c r="BV641" s="115" t="n">
        <x:v>5</x:v>
      </x:c>
      <x:c r="BW641" s="115" t="n">
        <x:v>4</x:v>
      </x:c>
      <x:c r="BX641" s="115" t="n">
        <x:v>5</x:v>
      </x:c>
      <x:c r="BY641" s="115" t="n">
        <x:v>3</x:v>
      </x:c>
      <x:c r="BZ641" s="115" t="n">
        <x:v>5</x:v>
      </x:c>
      <x:c r="CA641" s="115" t="n">
        <x:v>3</x:v>
      </x:c>
      <x:c r="CB641" s="116" t="n">
        <x:v>4</x:v>
      </x:c>
      <x:c r="CC641" s="141" t="n">
        <x:f>IF(COUNT(G641:P641)=0,"",AVERAGE(G641:P641)*4)</x:f>
        <x:v>16</x:v>
      </x:c>
      <x:c r="CD641" s="178" t="n">
        <x:f>IF(COUNT(Q641:Z641)=0,"",AVERAGE(Q641:Z641)*4)</x:f>
        <x:v>15.2</x:v>
      </x:c>
      <x:c r="CE641" s="178" t="n">
        <x:f>IF(COUNT(AA641:AJ641)=0,"",AVERAGE(AA641:AJ641)*4)</x:f>
        <x:v>15.6</x:v>
      </x:c>
      <x:c r="CF641" s="178" t="n">
        <x:f>IF(COUNT(AK641:AR641)=0,"",AVERAGE(AK641:AR641)*4)</x:f>
        <x:v>15</x:v>
      </x:c>
      <x:c r="CG641" s="178" t="n">
        <x:f>IF(COUNT(AS641:AY641)=0,"",AVERAGE(AS641:AY641)*4)</x:f>
        <x:v>14.285714285714286</x:v>
      </x:c>
      <x:c r="CH641" s="178" t="n">
        <x:f>IF(COUNT(AZ641:BG641)=0,"",AVERAGE(AZ641:BG641)*4)</x:f>
        <x:v>16</x:v>
      </x:c>
      <x:c r="CI641" s="178" t="n">
        <x:f>IF(COUNT(BH641:BN641)=0,"",AVERAGE(BH641:BN641)*4)</x:f>
        <x:v>15.428571428571429</x:v>
      </x:c>
      <x:c r="CJ641" s="178" t="n">
        <x:f>IF(COUNT(BO641:BU641)=0,"",AVERAGE(BO641:BU641)*4)</x:f>
        <x:v>14.285714285714286</x:v>
      </x:c>
      <x:c r="CK641" s="178" t="n">
        <x:f>IF(COUNT(BV641:CB641)=0,"",AVERAGE(BV641:CB641)*4)</x:f>
        <x:v>16.571428571428573</x:v>
      </x:c>
      <x:c r="CL641" s="178" t="n">
        <x:f>IF(C641="","",IF(COUNT(G641:CB641)&lt;74,"",(CC641*'تنظیمات وزن‌دهی'!$C$5+CD641*'تنظیمات وزن‌دهی'!$C$6+CE641*'تنظیمات وزن‌دهی'!$C$7+CF641*'تنظیمات وزن‌دهی'!$C$8+CG641*'تنظیمات وزن‌دهی'!$C$9+CH641*'تنظیمات وزن‌دهی'!$C$10+CI641*'تنظیمات وزن‌دهی'!$C$11+CJ641*'تنظیمات وزن‌دهی'!$C$12+CK641*'تنظیمات وزن‌دهی'!$C$13)/100))</x:f>
        <x:v>15.447142857142858</x:v>
      </x:c>
      <x:c r="CM641" s="178" t="str">
        <x:f>IF(C641="","",IF(COUNT(G641:CB641)=0,"",IF(COUNT(G641:CB641)&lt;74,"موقت - اطلاعات ناقص",IF(CL641&gt;=17,"عالی",IF(CL641&gt;=14,"خوب",IF(CL641&gt;=10,"متوسط","ضعیف"))))))</x:f>
        <x:v>خوب</x:v>
      </x:c>
      <x:c r="CN641" s="178" t="n">
        <x:v>1</x:v>
      </x:c>
      <x:c r="CO641" s="142" t="n">
        <x:f>IF(C641="","",COUNT(G641:CB641)/74)</x:f>
        <x:v>1</x:v>
      </x:c>
      <x:c r="CP641" s="245" t="str">
        <x:v>داده نمونه کامل برای ماه تیر - دانش‌آموز شماره 54</x:v>
      </x:c>
    </x:row>
    <x:row r="642">
      <x:c r="A642" s="165" t="n">
        <x:v>638</x:v>
      </x:c>
      <x:c r="B642" s="233" t="str">
        <x:v>مرداد</x:v>
      </x:c>
      <x:c r="C642" s="233" t="n">
        <x:f>IF('دانش‌آموزان'!E58="","",'دانش‌آموزان'!B58)</x:f>
        <x:v>54</x:v>
      </x:c>
      <x:c r="D642" s="233" t="str">
        <x:f>IF('دانش‌آموزان'!C58="","",'دانش‌آموزان'!C58)</x:f>
        <x:v>4000000543</x:v>
      </x:c>
      <x:c r="E642" s="233" t="str">
        <x:f>IF('دانش‌آموزان'!E58="","",'دانش‌آموزان'!E58&amp;" "&amp;'دانش‌آموزان'!F58)</x:f>
        <x:v>باران نوری</x:v>
      </x:c>
      <x:c r="F642" s="166" t="str">
        <x:f>IF('دانش‌آموزان'!I58="","",'دانش‌آموزان'!I58)</x:f>
        <x:v>sample-7-c</x:v>
      </x:c>
      <x:c r="G642" s="114"/>
      <x:c r="H642" s="115"/>
      <x:c r="I642" s="115"/>
      <x:c r="J642" s="115"/>
      <x:c r="K642" s="115"/>
      <x:c r="L642" s="115"/>
      <x:c r="M642" s="115"/>
      <x:c r="N642" s="115"/>
      <x:c r="O642" s="115"/>
      <x:c r="P642" s="115"/>
      <x:c r="Q642" s="115"/>
      <x:c r="R642" s="115"/>
      <x:c r="S642" s="115"/>
      <x:c r="T642" s="115"/>
      <x:c r="U642" s="115"/>
      <x:c r="V642" s="115"/>
      <x:c r="W642" s="115"/>
      <x:c r="X642" s="115"/>
      <x:c r="Y642" s="115"/>
      <x:c r="Z642" s="115"/>
      <x:c r="AA642" s="115"/>
      <x:c r="AB642" s="115"/>
      <x:c r="AC642" s="115"/>
      <x:c r="AD642" s="115"/>
      <x:c r="AE642" s="115"/>
      <x:c r="AF642" s="115"/>
      <x:c r="AG642" s="115"/>
      <x:c r="AH642" s="115"/>
      <x:c r="AI642" s="115"/>
      <x:c r="AJ642" s="115"/>
      <x:c r="AK642" s="115"/>
      <x:c r="AL642" s="115"/>
      <x:c r="AM642" s="115"/>
      <x:c r="AN642" s="115"/>
      <x:c r="AO642" s="115"/>
      <x:c r="AP642" s="115"/>
      <x:c r="AQ642" s="115"/>
      <x:c r="AR642" s="115"/>
      <x:c r="AS642" s="115"/>
      <x:c r="AT642" s="115"/>
      <x:c r="AU642" s="115"/>
      <x:c r="AV642" s="115"/>
      <x:c r="AW642" s="115"/>
      <x:c r="AX642" s="115"/>
      <x:c r="AY642" s="115"/>
      <x:c r="AZ642" s="115"/>
      <x:c r="BA642" s="115"/>
      <x:c r="BB642" s="115"/>
      <x:c r="BC642" s="115"/>
      <x:c r="BD642" s="115"/>
      <x:c r="BE642" s="115"/>
      <x:c r="BF642" s="115"/>
      <x:c r="BG642" s="115"/>
      <x:c r="BH642" s="115"/>
      <x:c r="BI642" s="115"/>
      <x:c r="BJ642" s="115"/>
      <x:c r="BK642" s="115"/>
      <x:c r="BL642" s="115"/>
      <x:c r="BM642" s="115"/>
      <x:c r="BN642" s="115"/>
      <x:c r="BO642" s="115"/>
      <x:c r="BP642" s="115"/>
      <x:c r="BQ642" s="115"/>
      <x:c r="BR642" s="115"/>
      <x:c r="BS642" s="115"/>
      <x:c r="BT642" s="115"/>
      <x:c r="BU642" s="115"/>
      <x:c r="BV642" s="115"/>
      <x:c r="BW642" s="115"/>
      <x:c r="BX642" s="115"/>
      <x:c r="BY642" s="115"/>
      <x:c r="BZ642" s="115"/>
      <x:c r="CA642" s="115"/>
      <x:c r="CB642" s="116"/>
      <x:c r="CC642" s="141" t="str">
        <x:f>IF(COUNT(G642:P642)=0,"",AVERAGE(G642:P642)*4)</x:f>
      </x:c>
      <x:c r="CD642" s="178" t="str">
        <x:f>IF(COUNT(Q642:Z642)=0,"",AVERAGE(Q642:Z642)*4)</x:f>
      </x:c>
      <x:c r="CE642" s="178" t="str">
        <x:f>IF(COUNT(AA642:AJ642)=0,"",AVERAGE(AA642:AJ642)*4)</x:f>
      </x:c>
      <x:c r="CF642" s="178" t="str">
        <x:f>IF(COUNT(AK642:AR642)=0,"",AVERAGE(AK642:AR642)*4)</x:f>
      </x:c>
      <x:c r="CG642" s="178" t="str">
        <x:f>IF(COUNT(AS642:AY642)=0,"",AVERAGE(AS642:AY642)*4)</x:f>
      </x:c>
      <x:c r="CH642" s="178" t="str">
        <x:f>IF(COUNT(AZ642:BG642)=0,"",AVERAGE(AZ642:BG642)*4)</x:f>
      </x:c>
      <x:c r="CI642" s="178" t="str">
        <x:f>IF(COUNT(BH642:BN642)=0,"",AVERAGE(BH642:BN642)*4)</x:f>
      </x:c>
      <x:c r="CJ642" s="178" t="str">
        <x:f>IF(COUNT(BO642:BU642)=0,"",AVERAGE(BO642:BU642)*4)</x:f>
      </x:c>
      <x:c r="CK642" s="178" t="str">
        <x:f>IF(COUNT(BV642:CB642)=0,"",AVERAGE(BV642:CB642)*4)</x:f>
      </x:c>
      <x:c r="CL642" s="178" t="str">
        <x:f>IF(C642="","",IF(COUNT(G642:CB642)&lt;74,"",(CC642*'تنظیمات وزن‌دهی'!$C$5+CD642*'تنظیمات وزن‌دهی'!$C$6+CE642*'تنظیمات وزن‌دهی'!$C$7+CF642*'تنظیمات وزن‌دهی'!$C$8+CG642*'تنظیمات وزن‌دهی'!$C$9+CH642*'تنظیمات وزن‌دهی'!$C$10+CI642*'تنظیمات وزن‌دهی'!$C$11+CJ642*'تنظیمات وزن‌دهی'!$C$12+CK642*'تنظیمات وزن‌دهی'!$C$13)/100))</x:f>
      </x:c>
      <x:c r="CM642" s="178" t="str">
        <x:f>IF(C642="","",IF(COUNT(G642:CB642)=0,"",IF(COUNT(G642:CB642)&lt;74,"موقت - اطلاعات ناقص",IF(CL642&gt;=17,"عالی",IF(CL642&gt;=14,"خوب",IF(CL642&gt;=10,"متوسط","ضعیف"))))))</x:f>
      </x:c>
      <x:c r="CN642" s="178" t="n">
        <x:v>2</x:v>
      </x:c>
      <x:c r="CO642" s="142" t="n">
        <x:f>IF(C642="","",COUNT(G642:CB642)/74)</x:f>
        <x:v>0</x:v>
      </x:c>
      <x:c r="CP642" s="245"/>
    </x:row>
    <x:row r="643">
      <x:c r="A643" s="165" t="n">
        <x:v>639</x:v>
      </x:c>
      <x:c r="B643" s="233" t="str">
        <x:v>شهریور</x:v>
      </x:c>
      <x:c r="C643" s="233" t="n">
        <x:f>IF('دانش‌آموزان'!E58="","",'دانش‌آموزان'!B58)</x:f>
        <x:v>54</x:v>
      </x:c>
      <x:c r="D643" s="233" t="str">
        <x:f>IF('دانش‌آموزان'!C58="","",'دانش‌آموزان'!C58)</x:f>
        <x:v>4000000543</x:v>
      </x:c>
      <x:c r="E643" s="233" t="str">
        <x:f>IF('دانش‌آموزان'!E58="","",'دانش‌آموزان'!E58&amp;" "&amp;'دانش‌آموزان'!F58)</x:f>
        <x:v>باران نوری</x:v>
      </x:c>
      <x:c r="F643" s="166" t="str">
        <x:f>IF('دانش‌آموزان'!I58="","",'دانش‌آموزان'!I58)</x:f>
        <x:v>sample-7-c</x:v>
      </x:c>
      <x:c r="G643" s="114"/>
      <x:c r="H643" s="115"/>
      <x:c r="I643" s="115"/>
      <x:c r="J643" s="115"/>
      <x:c r="K643" s="115"/>
      <x:c r="L643" s="115"/>
      <x:c r="M643" s="115"/>
      <x:c r="N643" s="115"/>
      <x:c r="O643" s="115"/>
      <x:c r="P643" s="115"/>
      <x:c r="Q643" s="115"/>
      <x:c r="R643" s="115"/>
      <x:c r="S643" s="115"/>
      <x:c r="T643" s="115"/>
      <x:c r="U643" s="115"/>
      <x:c r="V643" s="115"/>
      <x:c r="W643" s="115"/>
      <x:c r="X643" s="115"/>
      <x:c r="Y643" s="115"/>
      <x:c r="Z643" s="115"/>
      <x:c r="AA643" s="115"/>
      <x:c r="AB643" s="115"/>
      <x:c r="AC643" s="115"/>
      <x:c r="AD643" s="115"/>
      <x:c r="AE643" s="115"/>
      <x:c r="AF643" s="115"/>
      <x:c r="AG643" s="115"/>
      <x:c r="AH643" s="115"/>
      <x:c r="AI643" s="115"/>
      <x:c r="AJ643" s="115"/>
      <x:c r="AK643" s="115"/>
      <x:c r="AL643" s="115"/>
      <x:c r="AM643" s="115"/>
      <x:c r="AN643" s="115"/>
      <x:c r="AO643" s="115"/>
      <x:c r="AP643" s="115"/>
      <x:c r="AQ643" s="115"/>
      <x:c r="AR643" s="115"/>
      <x:c r="AS643" s="115"/>
      <x:c r="AT643" s="115"/>
      <x:c r="AU643" s="115"/>
      <x:c r="AV643" s="115"/>
      <x:c r="AW643" s="115"/>
      <x:c r="AX643" s="115"/>
      <x:c r="AY643" s="115"/>
      <x:c r="AZ643" s="115"/>
      <x:c r="BA643" s="115"/>
      <x:c r="BB643" s="115"/>
      <x:c r="BC643" s="115"/>
      <x:c r="BD643" s="115"/>
      <x:c r="BE643" s="115"/>
      <x:c r="BF643" s="115"/>
      <x:c r="BG643" s="115"/>
      <x:c r="BH643" s="115"/>
      <x:c r="BI643" s="115"/>
      <x:c r="BJ643" s="115"/>
      <x:c r="BK643" s="115"/>
      <x:c r="BL643" s="115"/>
      <x:c r="BM643" s="115"/>
      <x:c r="BN643" s="115"/>
      <x:c r="BO643" s="115"/>
      <x:c r="BP643" s="115"/>
      <x:c r="BQ643" s="115"/>
      <x:c r="BR643" s="115"/>
      <x:c r="BS643" s="115"/>
      <x:c r="BT643" s="115"/>
      <x:c r="BU643" s="115"/>
      <x:c r="BV643" s="115"/>
      <x:c r="BW643" s="115"/>
      <x:c r="BX643" s="115"/>
      <x:c r="BY643" s="115"/>
      <x:c r="BZ643" s="115"/>
      <x:c r="CA643" s="115"/>
      <x:c r="CB643" s="116"/>
      <x:c r="CC643" s="141" t="str">
        <x:f>IF(COUNT(G643:P643)=0,"",AVERAGE(G643:P643)*4)</x:f>
      </x:c>
      <x:c r="CD643" s="178" t="str">
        <x:f>IF(COUNT(Q643:Z643)=0,"",AVERAGE(Q643:Z643)*4)</x:f>
      </x:c>
      <x:c r="CE643" s="178" t="str">
        <x:f>IF(COUNT(AA643:AJ643)=0,"",AVERAGE(AA643:AJ643)*4)</x:f>
      </x:c>
      <x:c r="CF643" s="178" t="str">
        <x:f>IF(COUNT(AK643:AR643)=0,"",AVERAGE(AK643:AR643)*4)</x:f>
      </x:c>
      <x:c r="CG643" s="178" t="str">
        <x:f>IF(COUNT(AS643:AY643)=0,"",AVERAGE(AS643:AY643)*4)</x:f>
      </x:c>
      <x:c r="CH643" s="178" t="str">
        <x:f>IF(COUNT(AZ643:BG643)=0,"",AVERAGE(AZ643:BG643)*4)</x:f>
      </x:c>
      <x:c r="CI643" s="178" t="str">
        <x:f>IF(COUNT(BH643:BN643)=0,"",AVERAGE(BH643:BN643)*4)</x:f>
      </x:c>
      <x:c r="CJ643" s="178" t="str">
        <x:f>IF(COUNT(BO643:BU643)=0,"",AVERAGE(BO643:BU643)*4)</x:f>
      </x:c>
      <x:c r="CK643" s="178" t="str">
        <x:f>IF(COUNT(BV643:CB643)=0,"",AVERAGE(BV643:CB643)*4)</x:f>
      </x:c>
      <x:c r="CL643" s="178" t="str">
        <x:f>IF(C643="","",IF(COUNT(G643:CB643)&lt;74,"",(CC643*'تنظیمات وزن‌دهی'!$C$5+CD643*'تنظیمات وزن‌دهی'!$C$6+CE643*'تنظیمات وزن‌دهی'!$C$7+CF643*'تنظیمات وزن‌دهی'!$C$8+CG643*'تنظیمات وزن‌دهی'!$C$9+CH643*'تنظیمات وزن‌دهی'!$C$10+CI643*'تنظیمات وزن‌دهی'!$C$11+CJ643*'تنظیمات وزن‌دهی'!$C$12+CK643*'تنظیمات وزن‌دهی'!$C$13)/100))</x:f>
      </x:c>
      <x:c r="CM643" s="178" t="str">
        <x:f>IF(C643="","",IF(COUNT(G643:CB643)=0,"",IF(COUNT(G643:CB643)&lt;74,"موقت - اطلاعات ناقص",IF(CL643&gt;=17,"عالی",IF(CL643&gt;=14,"خوب",IF(CL643&gt;=10,"متوسط","ضعیف"))))))</x:f>
      </x:c>
      <x:c r="CN643" s="178" t="n">
        <x:v>3</x:v>
      </x:c>
      <x:c r="CO643" s="142" t="n">
        <x:f>IF(C643="","",COUNT(G643:CB643)/74)</x:f>
        <x:v>0</x:v>
      </x:c>
      <x:c r="CP643" s="245"/>
    </x:row>
    <x:row r="644">
      <x:c r="A644" s="165" t="n">
        <x:v>640</x:v>
      </x:c>
      <x:c r="B644" s="233" t="str">
        <x:v>مهر</x:v>
      </x:c>
      <x:c r="C644" s="233" t="n">
        <x:f>IF('دانش‌آموزان'!E58="","",'دانش‌آموزان'!B58)</x:f>
        <x:v>54</x:v>
      </x:c>
      <x:c r="D644" s="233" t="str">
        <x:f>IF('دانش‌آموزان'!C58="","",'دانش‌آموزان'!C58)</x:f>
        <x:v>4000000543</x:v>
      </x:c>
      <x:c r="E644" s="233" t="str">
        <x:f>IF('دانش‌آموزان'!E58="","",'دانش‌آموزان'!E58&amp;" "&amp;'دانش‌آموزان'!F58)</x:f>
        <x:v>باران نوری</x:v>
      </x:c>
      <x:c r="F644" s="166" t="str">
        <x:f>IF('دانش‌آموزان'!I58="","",'دانش‌آموزان'!I58)</x:f>
        <x:v>sample-7-c</x:v>
      </x:c>
      <x:c r="G644" s="114"/>
      <x:c r="H644" s="115"/>
      <x:c r="I644" s="115"/>
      <x:c r="J644" s="115"/>
      <x:c r="K644" s="115"/>
      <x:c r="L644" s="115"/>
      <x:c r="M644" s="115"/>
      <x:c r="N644" s="115"/>
      <x:c r="O644" s="115"/>
      <x:c r="P644" s="115"/>
      <x:c r="Q644" s="115"/>
      <x:c r="R644" s="115"/>
      <x:c r="S644" s="115"/>
      <x:c r="T644" s="115"/>
      <x:c r="U644" s="115"/>
      <x:c r="V644" s="115"/>
      <x:c r="W644" s="115"/>
      <x:c r="X644" s="115"/>
      <x:c r="Y644" s="115"/>
      <x:c r="Z644" s="115"/>
      <x:c r="AA644" s="115"/>
      <x:c r="AB644" s="115"/>
      <x:c r="AC644" s="115"/>
      <x:c r="AD644" s="115"/>
      <x:c r="AE644" s="115"/>
      <x:c r="AF644" s="115"/>
      <x:c r="AG644" s="115"/>
      <x:c r="AH644" s="115"/>
      <x:c r="AI644" s="115"/>
      <x:c r="AJ644" s="115"/>
      <x:c r="AK644" s="115"/>
      <x:c r="AL644" s="115"/>
      <x:c r="AM644" s="115"/>
      <x:c r="AN644" s="115"/>
      <x:c r="AO644" s="115"/>
      <x:c r="AP644" s="115"/>
      <x:c r="AQ644" s="115"/>
      <x:c r="AR644" s="115"/>
      <x:c r="AS644" s="115"/>
      <x:c r="AT644" s="115"/>
      <x:c r="AU644" s="115"/>
      <x:c r="AV644" s="115"/>
      <x:c r="AW644" s="115"/>
      <x:c r="AX644" s="115"/>
      <x:c r="AY644" s="115"/>
      <x:c r="AZ644" s="115"/>
      <x:c r="BA644" s="115"/>
      <x:c r="BB644" s="115"/>
      <x:c r="BC644" s="115"/>
      <x:c r="BD644" s="115"/>
      <x:c r="BE644" s="115"/>
      <x:c r="BF644" s="115"/>
      <x:c r="BG644" s="115"/>
      <x:c r="BH644" s="115"/>
      <x:c r="BI644" s="115"/>
      <x:c r="BJ644" s="115"/>
      <x:c r="BK644" s="115"/>
      <x:c r="BL644" s="115"/>
      <x:c r="BM644" s="115"/>
      <x:c r="BN644" s="115"/>
      <x:c r="BO644" s="115"/>
      <x:c r="BP644" s="115"/>
      <x:c r="BQ644" s="115"/>
      <x:c r="BR644" s="115"/>
      <x:c r="BS644" s="115"/>
      <x:c r="BT644" s="115"/>
      <x:c r="BU644" s="115"/>
      <x:c r="BV644" s="115"/>
      <x:c r="BW644" s="115"/>
      <x:c r="BX644" s="115"/>
      <x:c r="BY644" s="115"/>
      <x:c r="BZ644" s="115"/>
      <x:c r="CA644" s="115"/>
      <x:c r="CB644" s="116"/>
      <x:c r="CC644" s="141" t="str">
        <x:f>IF(COUNT(G644:P644)=0,"",AVERAGE(G644:P644)*4)</x:f>
      </x:c>
      <x:c r="CD644" s="178" t="str">
        <x:f>IF(COUNT(Q644:Z644)=0,"",AVERAGE(Q644:Z644)*4)</x:f>
      </x:c>
      <x:c r="CE644" s="178" t="str">
        <x:f>IF(COUNT(AA644:AJ644)=0,"",AVERAGE(AA644:AJ644)*4)</x:f>
      </x:c>
      <x:c r="CF644" s="178" t="str">
        <x:f>IF(COUNT(AK644:AR644)=0,"",AVERAGE(AK644:AR644)*4)</x:f>
      </x:c>
      <x:c r="CG644" s="178" t="str">
        <x:f>IF(COUNT(AS644:AY644)=0,"",AVERAGE(AS644:AY644)*4)</x:f>
      </x:c>
      <x:c r="CH644" s="178" t="str">
        <x:f>IF(COUNT(AZ644:BG644)=0,"",AVERAGE(AZ644:BG644)*4)</x:f>
      </x:c>
      <x:c r="CI644" s="178" t="str">
        <x:f>IF(COUNT(BH644:BN644)=0,"",AVERAGE(BH644:BN644)*4)</x:f>
      </x:c>
      <x:c r="CJ644" s="178" t="str">
        <x:f>IF(COUNT(BO644:BU644)=0,"",AVERAGE(BO644:BU644)*4)</x:f>
      </x:c>
      <x:c r="CK644" s="178" t="str">
        <x:f>IF(COUNT(BV644:CB644)=0,"",AVERAGE(BV644:CB644)*4)</x:f>
      </x:c>
      <x:c r="CL644" s="178" t="str">
        <x:f>IF(C644="","",IF(COUNT(G644:CB644)&lt;74,"",(CC644*'تنظیمات وزن‌دهی'!$C$5+CD644*'تنظیمات وزن‌دهی'!$C$6+CE644*'تنظیمات وزن‌دهی'!$C$7+CF644*'تنظیمات وزن‌دهی'!$C$8+CG644*'تنظیمات وزن‌دهی'!$C$9+CH644*'تنظیمات وزن‌دهی'!$C$10+CI644*'تنظیمات وزن‌دهی'!$C$11+CJ644*'تنظیمات وزن‌دهی'!$C$12+CK644*'تنظیمات وزن‌دهی'!$C$13)/100))</x:f>
      </x:c>
      <x:c r="CM644" s="178" t="str">
        <x:f>IF(C644="","",IF(COUNT(G644:CB644)=0,"",IF(COUNT(G644:CB644)&lt;74,"موقت - اطلاعات ناقص",IF(CL644&gt;=17,"عالی",IF(CL644&gt;=14,"خوب",IF(CL644&gt;=10,"متوسط","ضعیف"))))))</x:f>
      </x:c>
      <x:c r="CN644" s="178" t="n">
        <x:v>4</x:v>
      </x:c>
      <x:c r="CO644" s="142" t="n">
        <x:f>IF(C644="","",COUNT(G644:CB644)/74)</x:f>
        <x:v>0</x:v>
      </x:c>
      <x:c r="CP644" s="245"/>
    </x:row>
    <x:row r="645">
      <x:c r="A645" s="165" t="n">
        <x:v>641</x:v>
      </x:c>
      <x:c r="B645" s="233" t="str">
        <x:v>آبان</x:v>
      </x:c>
      <x:c r="C645" s="233" t="n">
        <x:f>IF('دانش‌آموزان'!E58="","",'دانش‌آموزان'!B58)</x:f>
        <x:v>54</x:v>
      </x:c>
      <x:c r="D645" s="233" t="str">
        <x:f>IF('دانش‌آموزان'!C58="","",'دانش‌آموزان'!C58)</x:f>
        <x:v>4000000543</x:v>
      </x:c>
      <x:c r="E645" s="233" t="str">
        <x:f>IF('دانش‌آموزان'!E58="","",'دانش‌آموزان'!E58&amp;" "&amp;'دانش‌آموزان'!F58)</x:f>
        <x:v>باران نوری</x:v>
      </x:c>
      <x:c r="F645" s="166" t="str">
        <x:f>IF('دانش‌آموزان'!I58="","",'دانش‌آموزان'!I58)</x:f>
        <x:v>sample-7-c</x:v>
      </x:c>
      <x:c r="G645" s="114"/>
      <x:c r="H645" s="115"/>
      <x:c r="I645" s="115"/>
      <x:c r="J645" s="115"/>
      <x:c r="K645" s="115"/>
      <x:c r="L645" s="115"/>
      <x:c r="M645" s="115"/>
      <x:c r="N645" s="115"/>
      <x:c r="O645" s="115"/>
      <x:c r="P645" s="115"/>
      <x:c r="Q645" s="115"/>
      <x:c r="R645" s="115"/>
      <x:c r="S645" s="115"/>
      <x:c r="T645" s="115"/>
      <x:c r="U645" s="115"/>
      <x:c r="V645" s="115"/>
      <x:c r="W645" s="115"/>
      <x:c r="X645" s="115"/>
      <x:c r="Y645" s="115"/>
      <x:c r="Z645" s="115"/>
      <x:c r="AA645" s="115"/>
      <x:c r="AB645" s="115"/>
      <x:c r="AC645" s="115"/>
      <x:c r="AD645" s="115"/>
      <x:c r="AE645" s="115"/>
      <x:c r="AF645" s="115"/>
      <x:c r="AG645" s="115"/>
      <x:c r="AH645" s="115"/>
      <x:c r="AI645" s="115"/>
      <x:c r="AJ645" s="115"/>
      <x:c r="AK645" s="115"/>
      <x:c r="AL645" s="115"/>
      <x:c r="AM645" s="115"/>
      <x:c r="AN645" s="115"/>
      <x:c r="AO645" s="115"/>
      <x:c r="AP645" s="115"/>
      <x:c r="AQ645" s="115"/>
      <x:c r="AR645" s="115"/>
      <x:c r="AS645" s="115"/>
      <x:c r="AT645" s="115"/>
      <x:c r="AU645" s="115"/>
      <x:c r="AV645" s="115"/>
      <x:c r="AW645" s="115"/>
      <x:c r="AX645" s="115"/>
      <x:c r="AY645" s="115"/>
      <x:c r="AZ645" s="115"/>
      <x:c r="BA645" s="115"/>
      <x:c r="BB645" s="115"/>
      <x:c r="BC645" s="115"/>
      <x:c r="BD645" s="115"/>
      <x:c r="BE645" s="115"/>
      <x:c r="BF645" s="115"/>
      <x:c r="BG645" s="115"/>
      <x:c r="BH645" s="115"/>
      <x:c r="BI645" s="115"/>
      <x:c r="BJ645" s="115"/>
      <x:c r="BK645" s="115"/>
      <x:c r="BL645" s="115"/>
      <x:c r="BM645" s="115"/>
      <x:c r="BN645" s="115"/>
      <x:c r="BO645" s="115"/>
      <x:c r="BP645" s="115"/>
      <x:c r="BQ645" s="115"/>
      <x:c r="BR645" s="115"/>
      <x:c r="BS645" s="115"/>
      <x:c r="BT645" s="115"/>
      <x:c r="BU645" s="115"/>
      <x:c r="BV645" s="115"/>
      <x:c r="BW645" s="115"/>
      <x:c r="BX645" s="115"/>
      <x:c r="BY645" s="115"/>
      <x:c r="BZ645" s="115"/>
      <x:c r="CA645" s="115"/>
      <x:c r="CB645" s="116"/>
      <x:c r="CC645" s="141" t="str">
        <x:f>IF(COUNT(G645:P645)=0,"",AVERAGE(G645:P645)*4)</x:f>
      </x:c>
      <x:c r="CD645" s="178" t="str">
        <x:f>IF(COUNT(Q645:Z645)=0,"",AVERAGE(Q645:Z645)*4)</x:f>
      </x:c>
      <x:c r="CE645" s="178" t="str">
        <x:f>IF(COUNT(AA645:AJ645)=0,"",AVERAGE(AA645:AJ645)*4)</x:f>
      </x:c>
      <x:c r="CF645" s="178" t="str">
        <x:f>IF(COUNT(AK645:AR645)=0,"",AVERAGE(AK645:AR645)*4)</x:f>
      </x:c>
      <x:c r="CG645" s="178" t="str">
        <x:f>IF(COUNT(AS645:AY645)=0,"",AVERAGE(AS645:AY645)*4)</x:f>
      </x:c>
      <x:c r="CH645" s="178" t="str">
        <x:f>IF(COUNT(AZ645:BG645)=0,"",AVERAGE(AZ645:BG645)*4)</x:f>
      </x:c>
      <x:c r="CI645" s="178" t="str">
        <x:f>IF(COUNT(BH645:BN645)=0,"",AVERAGE(BH645:BN645)*4)</x:f>
      </x:c>
      <x:c r="CJ645" s="178" t="str">
        <x:f>IF(COUNT(BO645:BU645)=0,"",AVERAGE(BO645:BU645)*4)</x:f>
      </x:c>
      <x:c r="CK645" s="178" t="str">
        <x:f>IF(COUNT(BV645:CB645)=0,"",AVERAGE(BV645:CB645)*4)</x:f>
      </x:c>
      <x:c r="CL645" s="178" t="str">
        <x:f>IF(C645="","",IF(COUNT(G645:CB645)&lt;74,"",(CC645*'تنظیمات وزن‌دهی'!$C$5+CD645*'تنظیمات وزن‌دهی'!$C$6+CE645*'تنظیمات وزن‌دهی'!$C$7+CF645*'تنظیمات وزن‌دهی'!$C$8+CG645*'تنظیمات وزن‌دهی'!$C$9+CH645*'تنظیمات وزن‌دهی'!$C$10+CI645*'تنظیمات وزن‌دهی'!$C$11+CJ645*'تنظیمات وزن‌دهی'!$C$12+CK645*'تنظیمات وزن‌دهی'!$C$13)/100))</x:f>
      </x:c>
      <x:c r="CM645" s="178" t="str">
        <x:f>IF(C645="","",IF(COUNT(G645:CB645)=0,"",IF(COUNT(G645:CB645)&lt;74,"موقت - اطلاعات ناقص",IF(CL645&gt;=17,"عالی",IF(CL645&gt;=14,"خوب",IF(CL645&gt;=10,"متوسط","ضعیف"))))))</x:f>
      </x:c>
      <x:c r="CN645" s="178" t="n">
        <x:v>5</x:v>
      </x:c>
      <x:c r="CO645" s="142" t="n">
        <x:f>IF(C645="","",COUNT(G645:CB645)/74)</x:f>
        <x:v>0</x:v>
      </x:c>
      <x:c r="CP645" s="245"/>
    </x:row>
    <x:row r="646">
      <x:c r="A646" s="165" t="n">
        <x:v>642</x:v>
      </x:c>
      <x:c r="B646" s="233" t="str">
        <x:v>آذر</x:v>
      </x:c>
      <x:c r="C646" s="233" t="n">
        <x:f>IF('دانش‌آموزان'!E58="","",'دانش‌آموزان'!B58)</x:f>
        <x:v>54</x:v>
      </x:c>
      <x:c r="D646" s="233" t="str">
        <x:f>IF('دانش‌آموزان'!C58="","",'دانش‌آموزان'!C58)</x:f>
        <x:v>4000000543</x:v>
      </x:c>
      <x:c r="E646" s="233" t="str">
        <x:f>IF('دانش‌آموزان'!E58="","",'دانش‌آموزان'!E58&amp;" "&amp;'دانش‌آموزان'!F58)</x:f>
        <x:v>باران نوری</x:v>
      </x:c>
      <x:c r="F646" s="166" t="str">
        <x:f>IF('دانش‌آموزان'!I58="","",'دانش‌آموزان'!I58)</x:f>
        <x:v>sample-7-c</x:v>
      </x:c>
      <x:c r="G646" s="114"/>
      <x:c r="H646" s="115"/>
      <x:c r="I646" s="115"/>
      <x:c r="J646" s="115"/>
      <x:c r="K646" s="115"/>
      <x:c r="L646" s="115"/>
      <x:c r="M646" s="115"/>
      <x:c r="N646" s="115"/>
      <x:c r="O646" s="115"/>
      <x:c r="P646" s="115"/>
      <x:c r="Q646" s="115"/>
      <x:c r="R646" s="115"/>
      <x:c r="S646" s="115"/>
      <x:c r="T646" s="115"/>
      <x:c r="U646" s="115"/>
      <x:c r="V646" s="115"/>
      <x:c r="W646" s="115"/>
      <x:c r="X646" s="115"/>
      <x:c r="Y646" s="115"/>
      <x:c r="Z646" s="115"/>
      <x:c r="AA646" s="115"/>
      <x:c r="AB646" s="115"/>
      <x:c r="AC646" s="115"/>
      <x:c r="AD646" s="115"/>
      <x:c r="AE646" s="115"/>
      <x:c r="AF646" s="115"/>
      <x:c r="AG646" s="115"/>
      <x:c r="AH646" s="115"/>
      <x:c r="AI646" s="115"/>
      <x:c r="AJ646" s="115"/>
      <x:c r="AK646" s="115"/>
      <x:c r="AL646" s="115"/>
      <x:c r="AM646" s="115"/>
      <x:c r="AN646" s="115"/>
      <x:c r="AO646" s="115"/>
      <x:c r="AP646" s="115"/>
      <x:c r="AQ646" s="115"/>
      <x:c r="AR646" s="115"/>
      <x:c r="AS646" s="115"/>
      <x:c r="AT646" s="115"/>
      <x:c r="AU646" s="115"/>
      <x:c r="AV646" s="115"/>
      <x:c r="AW646" s="115"/>
      <x:c r="AX646" s="115"/>
      <x:c r="AY646" s="115"/>
      <x:c r="AZ646" s="115"/>
      <x:c r="BA646" s="115"/>
      <x:c r="BB646" s="115"/>
      <x:c r="BC646" s="115"/>
      <x:c r="BD646" s="115"/>
      <x:c r="BE646" s="115"/>
      <x:c r="BF646" s="115"/>
      <x:c r="BG646" s="115"/>
      <x:c r="BH646" s="115"/>
      <x:c r="BI646" s="115"/>
      <x:c r="BJ646" s="115"/>
      <x:c r="BK646" s="115"/>
      <x:c r="BL646" s="115"/>
      <x:c r="BM646" s="115"/>
      <x:c r="BN646" s="115"/>
      <x:c r="BO646" s="115"/>
      <x:c r="BP646" s="115"/>
      <x:c r="BQ646" s="115"/>
      <x:c r="BR646" s="115"/>
      <x:c r="BS646" s="115"/>
      <x:c r="BT646" s="115"/>
      <x:c r="BU646" s="115"/>
      <x:c r="BV646" s="115"/>
      <x:c r="BW646" s="115"/>
      <x:c r="BX646" s="115"/>
      <x:c r="BY646" s="115"/>
      <x:c r="BZ646" s="115"/>
      <x:c r="CA646" s="115"/>
      <x:c r="CB646" s="116"/>
      <x:c r="CC646" s="141" t="str">
        <x:f>IF(COUNT(G646:P646)=0,"",AVERAGE(G646:P646)*4)</x:f>
      </x:c>
      <x:c r="CD646" s="178" t="str">
        <x:f>IF(COUNT(Q646:Z646)=0,"",AVERAGE(Q646:Z646)*4)</x:f>
      </x:c>
      <x:c r="CE646" s="178" t="str">
        <x:f>IF(COUNT(AA646:AJ646)=0,"",AVERAGE(AA646:AJ646)*4)</x:f>
      </x:c>
      <x:c r="CF646" s="178" t="str">
        <x:f>IF(COUNT(AK646:AR646)=0,"",AVERAGE(AK646:AR646)*4)</x:f>
      </x:c>
      <x:c r="CG646" s="178" t="str">
        <x:f>IF(COUNT(AS646:AY646)=0,"",AVERAGE(AS646:AY646)*4)</x:f>
      </x:c>
      <x:c r="CH646" s="178" t="str">
        <x:f>IF(COUNT(AZ646:BG646)=0,"",AVERAGE(AZ646:BG646)*4)</x:f>
      </x:c>
      <x:c r="CI646" s="178" t="str">
        <x:f>IF(COUNT(BH646:BN646)=0,"",AVERAGE(BH646:BN646)*4)</x:f>
      </x:c>
      <x:c r="CJ646" s="178" t="str">
        <x:f>IF(COUNT(BO646:BU646)=0,"",AVERAGE(BO646:BU646)*4)</x:f>
      </x:c>
      <x:c r="CK646" s="178" t="str">
        <x:f>IF(COUNT(BV646:CB646)=0,"",AVERAGE(BV646:CB646)*4)</x:f>
      </x:c>
      <x:c r="CL646" s="178" t="str">
        <x:f>IF(C646="","",IF(COUNT(G646:CB646)&lt;74,"",(CC646*'تنظیمات وزن‌دهی'!$C$5+CD646*'تنظیمات وزن‌دهی'!$C$6+CE646*'تنظیمات وزن‌دهی'!$C$7+CF646*'تنظیمات وزن‌دهی'!$C$8+CG646*'تنظیمات وزن‌دهی'!$C$9+CH646*'تنظیمات وزن‌دهی'!$C$10+CI646*'تنظیمات وزن‌دهی'!$C$11+CJ646*'تنظیمات وزن‌دهی'!$C$12+CK646*'تنظیمات وزن‌دهی'!$C$13)/100))</x:f>
      </x:c>
      <x:c r="CM646" s="178" t="str">
        <x:f>IF(C646="","",IF(COUNT(G646:CB646)=0,"",IF(COUNT(G646:CB646)&lt;74,"موقت - اطلاعات ناقص",IF(CL646&gt;=17,"عالی",IF(CL646&gt;=14,"خوب",IF(CL646&gt;=10,"متوسط","ضعیف"))))))</x:f>
      </x:c>
      <x:c r="CN646" s="178" t="n">
        <x:v>6</x:v>
      </x:c>
      <x:c r="CO646" s="142" t="n">
        <x:f>IF(C646="","",COUNT(G646:CB646)/74)</x:f>
        <x:v>0</x:v>
      </x:c>
      <x:c r="CP646" s="245"/>
    </x:row>
    <x:row r="647">
      <x:c r="A647" s="165" t="n">
        <x:v>643</x:v>
      </x:c>
      <x:c r="B647" s="233" t="str">
        <x:v>دی</x:v>
      </x:c>
      <x:c r="C647" s="233" t="n">
        <x:f>IF('دانش‌آموزان'!E58="","",'دانش‌آموزان'!B58)</x:f>
        <x:v>54</x:v>
      </x:c>
      <x:c r="D647" s="233" t="str">
        <x:f>IF('دانش‌آموزان'!C58="","",'دانش‌آموزان'!C58)</x:f>
        <x:v>4000000543</x:v>
      </x:c>
      <x:c r="E647" s="233" t="str">
        <x:f>IF('دانش‌آموزان'!E58="","",'دانش‌آموزان'!E58&amp;" "&amp;'دانش‌آموزان'!F58)</x:f>
        <x:v>باران نوری</x:v>
      </x:c>
      <x:c r="F647" s="166" t="str">
        <x:f>IF('دانش‌آموزان'!I58="","",'دانش‌آموزان'!I58)</x:f>
        <x:v>sample-7-c</x:v>
      </x:c>
      <x:c r="G647" s="114"/>
      <x:c r="H647" s="115"/>
      <x:c r="I647" s="115"/>
      <x:c r="J647" s="115"/>
      <x:c r="K647" s="115"/>
      <x:c r="L647" s="115"/>
      <x:c r="M647" s="115"/>
      <x:c r="N647" s="115"/>
      <x:c r="O647" s="115"/>
      <x:c r="P647" s="115"/>
      <x:c r="Q647" s="115"/>
      <x:c r="R647" s="115"/>
      <x:c r="S647" s="115"/>
      <x:c r="T647" s="115"/>
      <x:c r="U647" s="115"/>
      <x:c r="V647" s="115"/>
      <x:c r="W647" s="115"/>
      <x:c r="X647" s="115"/>
      <x:c r="Y647" s="115"/>
      <x:c r="Z647" s="115"/>
      <x:c r="AA647" s="115"/>
      <x:c r="AB647" s="115"/>
      <x:c r="AC647" s="115"/>
      <x:c r="AD647" s="115"/>
      <x:c r="AE647" s="115"/>
      <x:c r="AF647" s="115"/>
      <x:c r="AG647" s="115"/>
      <x:c r="AH647" s="115"/>
      <x:c r="AI647" s="115"/>
      <x:c r="AJ647" s="115"/>
      <x:c r="AK647" s="115"/>
      <x:c r="AL647" s="115"/>
      <x:c r="AM647" s="115"/>
      <x:c r="AN647" s="115"/>
      <x:c r="AO647" s="115"/>
      <x:c r="AP647" s="115"/>
      <x:c r="AQ647" s="115"/>
      <x:c r="AR647" s="115"/>
      <x:c r="AS647" s="115"/>
      <x:c r="AT647" s="115"/>
      <x:c r="AU647" s="115"/>
      <x:c r="AV647" s="115"/>
      <x:c r="AW647" s="115"/>
      <x:c r="AX647" s="115"/>
      <x:c r="AY647" s="115"/>
      <x:c r="AZ647" s="115"/>
      <x:c r="BA647" s="115"/>
      <x:c r="BB647" s="115"/>
      <x:c r="BC647" s="115"/>
      <x:c r="BD647" s="115"/>
      <x:c r="BE647" s="115"/>
      <x:c r="BF647" s="115"/>
      <x:c r="BG647" s="115"/>
      <x:c r="BH647" s="115"/>
      <x:c r="BI647" s="115"/>
      <x:c r="BJ647" s="115"/>
      <x:c r="BK647" s="115"/>
      <x:c r="BL647" s="115"/>
      <x:c r="BM647" s="115"/>
      <x:c r="BN647" s="115"/>
      <x:c r="BO647" s="115"/>
      <x:c r="BP647" s="115"/>
      <x:c r="BQ647" s="115"/>
      <x:c r="BR647" s="115"/>
      <x:c r="BS647" s="115"/>
      <x:c r="BT647" s="115"/>
      <x:c r="BU647" s="115"/>
      <x:c r="BV647" s="115"/>
      <x:c r="BW647" s="115"/>
      <x:c r="BX647" s="115"/>
      <x:c r="BY647" s="115"/>
      <x:c r="BZ647" s="115"/>
      <x:c r="CA647" s="115"/>
      <x:c r="CB647" s="116"/>
      <x:c r="CC647" s="141" t="str">
        <x:f>IF(COUNT(G647:P647)=0,"",AVERAGE(G647:P647)*4)</x:f>
      </x:c>
      <x:c r="CD647" s="178" t="str">
        <x:f>IF(COUNT(Q647:Z647)=0,"",AVERAGE(Q647:Z647)*4)</x:f>
      </x:c>
      <x:c r="CE647" s="178" t="str">
        <x:f>IF(COUNT(AA647:AJ647)=0,"",AVERAGE(AA647:AJ647)*4)</x:f>
      </x:c>
      <x:c r="CF647" s="178" t="str">
        <x:f>IF(COUNT(AK647:AR647)=0,"",AVERAGE(AK647:AR647)*4)</x:f>
      </x:c>
      <x:c r="CG647" s="178" t="str">
        <x:f>IF(COUNT(AS647:AY647)=0,"",AVERAGE(AS647:AY647)*4)</x:f>
      </x:c>
      <x:c r="CH647" s="178" t="str">
        <x:f>IF(COUNT(AZ647:BG647)=0,"",AVERAGE(AZ647:BG647)*4)</x:f>
      </x:c>
      <x:c r="CI647" s="178" t="str">
        <x:f>IF(COUNT(BH647:BN647)=0,"",AVERAGE(BH647:BN647)*4)</x:f>
      </x:c>
      <x:c r="CJ647" s="178" t="str">
        <x:f>IF(COUNT(BO647:BU647)=0,"",AVERAGE(BO647:BU647)*4)</x:f>
      </x:c>
      <x:c r="CK647" s="178" t="str">
        <x:f>IF(COUNT(BV647:CB647)=0,"",AVERAGE(BV647:CB647)*4)</x:f>
      </x:c>
      <x:c r="CL647" s="178" t="str">
        <x:f>IF(C647="","",IF(COUNT(G647:CB647)&lt;74,"",(CC647*'تنظیمات وزن‌دهی'!$C$5+CD647*'تنظیمات وزن‌دهی'!$C$6+CE647*'تنظیمات وزن‌دهی'!$C$7+CF647*'تنظیمات وزن‌دهی'!$C$8+CG647*'تنظیمات وزن‌دهی'!$C$9+CH647*'تنظیمات وزن‌دهی'!$C$10+CI647*'تنظیمات وزن‌دهی'!$C$11+CJ647*'تنظیمات وزن‌دهی'!$C$12+CK647*'تنظیمات وزن‌دهی'!$C$13)/100))</x:f>
      </x:c>
      <x:c r="CM647" s="178" t="str">
        <x:f>IF(C647="","",IF(COUNT(G647:CB647)=0,"",IF(COUNT(G647:CB647)&lt;74,"موقت - اطلاعات ناقص",IF(CL647&gt;=17,"عالی",IF(CL647&gt;=14,"خوب",IF(CL647&gt;=10,"متوسط","ضعیف"))))))</x:f>
      </x:c>
      <x:c r="CN647" s="178" t="n">
        <x:v>7</x:v>
      </x:c>
      <x:c r="CO647" s="142" t="n">
        <x:f>IF(C647="","",COUNT(G647:CB647)/74)</x:f>
        <x:v>0</x:v>
      </x:c>
      <x:c r="CP647" s="245"/>
    </x:row>
    <x:row r="648">
      <x:c r="A648" s="165" t="n">
        <x:v>644</x:v>
      </x:c>
      <x:c r="B648" s="233" t="str">
        <x:v>بهمن</x:v>
      </x:c>
      <x:c r="C648" s="233" t="n">
        <x:f>IF('دانش‌آموزان'!E58="","",'دانش‌آموزان'!B58)</x:f>
        <x:v>54</x:v>
      </x:c>
      <x:c r="D648" s="233" t="str">
        <x:f>IF('دانش‌آموزان'!C58="","",'دانش‌آموزان'!C58)</x:f>
        <x:v>4000000543</x:v>
      </x:c>
      <x:c r="E648" s="233" t="str">
        <x:f>IF('دانش‌آموزان'!E58="","",'دانش‌آموزان'!E58&amp;" "&amp;'دانش‌آموزان'!F58)</x:f>
        <x:v>باران نوری</x:v>
      </x:c>
      <x:c r="F648" s="166" t="str">
        <x:f>IF('دانش‌آموزان'!I58="","",'دانش‌آموزان'!I58)</x:f>
        <x:v>sample-7-c</x:v>
      </x:c>
      <x:c r="G648" s="114"/>
      <x:c r="H648" s="115"/>
      <x:c r="I648" s="115"/>
      <x:c r="J648" s="115"/>
      <x:c r="K648" s="115"/>
      <x:c r="L648" s="115"/>
      <x:c r="M648" s="115"/>
      <x:c r="N648" s="115"/>
      <x:c r="O648" s="115"/>
      <x:c r="P648" s="115"/>
      <x:c r="Q648" s="115"/>
      <x:c r="R648" s="115"/>
      <x:c r="S648" s="115"/>
      <x:c r="T648" s="115"/>
      <x:c r="U648" s="115"/>
      <x:c r="V648" s="115"/>
      <x:c r="W648" s="115"/>
      <x:c r="X648" s="115"/>
      <x:c r="Y648" s="115"/>
      <x:c r="Z648" s="115"/>
      <x:c r="AA648" s="115"/>
      <x:c r="AB648" s="115"/>
      <x:c r="AC648" s="115"/>
      <x:c r="AD648" s="115"/>
      <x:c r="AE648" s="115"/>
      <x:c r="AF648" s="115"/>
      <x:c r="AG648" s="115"/>
      <x:c r="AH648" s="115"/>
      <x:c r="AI648" s="115"/>
      <x:c r="AJ648" s="115"/>
      <x:c r="AK648" s="115"/>
      <x:c r="AL648" s="115"/>
      <x:c r="AM648" s="115"/>
      <x:c r="AN648" s="115"/>
      <x:c r="AO648" s="115"/>
      <x:c r="AP648" s="115"/>
      <x:c r="AQ648" s="115"/>
      <x:c r="AR648" s="115"/>
      <x:c r="AS648" s="115"/>
      <x:c r="AT648" s="115"/>
      <x:c r="AU648" s="115"/>
      <x:c r="AV648" s="115"/>
      <x:c r="AW648" s="115"/>
      <x:c r="AX648" s="115"/>
      <x:c r="AY648" s="115"/>
      <x:c r="AZ648" s="115"/>
      <x:c r="BA648" s="115"/>
      <x:c r="BB648" s="115"/>
      <x:c r="BC648" s="115"/>
      <x:c r="BD648" s="115"/>
      <x:c r="BE648" s="115"/>
      <x:c r="BF648" s="115"/>
      <x:c r="BG648" s="115"/>
      <x:c r="BH648" s="115"/>
      <x:c r="BI648" s="115"/>
      <x:c r="BJ648" s="115"/>
      <x:c r="BK648" s="115"/>
      <x:c r="BL648" s="115"/>
      <x:c r="BM648" s="115"/>
      <x:c r="BN648" s="115"/>
      <x:c r="BO648" s="115"/>
      <x:c r="BP648" s="115"/>
      <x:c r="BQ648" s="115"/>
      <x:c r="BR648" s="115"/>
      <x:c r="BS648" s="115"/>
      <x:c r="BT648" s="115"/>
      <x:c r="BU648" s="115"/>
      <x:c r="BV648" s="115"/>
      <x:c r="BW648" s="115"/>
      <x:c r="BX648" s="115"/>
      <x:c r="BY648" s="115"/>
      <x:c r="BZ648" s="115"/>
      <x:c r="CA648" s="115"/>
      <x:c r="CB648" s="116"/>
      <x:c r="CC648" s="141" t="str">
        <x:f>IF(COUNT(G648:P648)=0,"",AVERAGE(G648:P648)*4)</x:f>
      </x:c>
      <x:c r="CD648" s="178" t="str">
        <x:f>IF(COUNT(Q648:Z648)=0,"",AVERAGE(Q648:Z648)*4)</x:f>
      </x:c>
      <x:c r="CE648" s="178" t="str">
        <x:f>IF(COUNT(AA648:AJ648)=0,"",AVERAGE(AA648:AJ648)*4)</x:f>
      </x:c>
      <x:c r="CF648" s="178" t="str">
        <x:f>IF(COUNT(AK648:AR648)=0,"",AVERAGE(AK648:AR648)*4)</x:f>
      </x:c>
      <x:c r="CG648" s="178" t="str">
        <x:f>IF(COUNT(AS648:AY648)=0,"",AVERAGE(AS648:AY648)*4)</x:f>
      </x:c>
      <x:c r="CH648" s="178" t="str">
        <x:f>IF(COUNT(AZ648:BG648)=0,"",AVERAGE(AZ648:BG648)*4)</x:f>
      </x:c>
      <x:c r="CI648" s="178" t="str">
        <x:f>IF(COUNT(BH648:BN648)=0,"",AVERAGE(BH648:BN648)*4)</x:f>
      </x:c>
      <x:c r="CJ648" s="178" t="str">
        <x:f>IF(COUNT(BO648:BU648)=0,"",AVERAGE(BO648:BU648)*4)</x:f>
      </x:c>
      <x:c r="CK648" s="178" t="str">
        <x:f>IF(COUNT(BV648:CB648)=0,"",AVERAGE(BV648:CB648)*4)</x:f>
      </x:c>
      <x:c r="CL648" s="178" t="str">
        <x:f>IF(C648="","",IF(COUNT(G648:CB648)&lt;74,"",(CC648*'تنظیمات وزن‌دهی'!$C$5+CD648*'تنظیمات وزن‌دهی'!$C$6+CE648*'تنظیمات وزن‌دهی'!$C$7+CF648*'تنظیمات وزن‌دهی'!$C$8+CG648*'تنظیمات وزن‌دهی'!$C$9+CH648*'تنظیمات وزن‌دهی'!$C$10+CI648*'تنظیمات وزن‌دهی'!$C$11+CJ648*'تنظیمات وزن‌دهی'!$C$12+CK648*'تنظیمات وزن‌دهی'!$C$13)/100))</x:f>
      </x:c>
      <x:c r="CM648" s="178" t="str">
        <x:f>IF(C648="","",IF(COUNT(G648:CB648)=0,"",IF(COUNT(G648:CB648)&lt;74,"موقت - اطلاعات ناقص",IF(CL648&gt;=17,"عالی",IF(CL648&gt;=14,"خوب",IF(CL648&gt;=10,"متوسط","ضعیف"))))))</x:f>
      </x:c>
      <x:c r="CN648" s="178" t="n">
        <x:v>8</x:v>
      </x:c>
      <x:c r="CO648" s="142" t="n">
        <x:f>IF(C648="","",COUNT(G648:CB648)/74)</x:f>
        <x:v>0</x:v>
      </x:c>
      <x:c r="CP648" s="245"/>
    </x:row>
    <x:row r="649">
      <x:c r="A649" s="165" t="n">
        <x:v>645</x:v>
      </x:c>
      <x:c r="B649" s="233" t="str">
        <x:v>اسفند</x:v>
      </x:c>
      <x:c r="C649" s="233" t="n">
        <x:f>IF('دانش‌آموزان'!E58="","",'دانش‌آموزان'!B58)</x:f>
        <x:v>54</x:v>
      </x:c>
      <x:c r="D649" s="233" t="str">
        <x:f>IF('دانش‌آموزان'!C58="","",'دانش‌آموزان'!C58)</x:f>
        <x:v>4000000543</x:v>
      </x:c>
      <x:c r="E649" s="233" t="str">
        <x:f>IF('دانش‌آموزان'!E58="","",'دانش‌آموزان'!E58&amp;" "&amp;'دانش‌آموزان'!F58)</x:f>
        <x:v>باران نوری</x:v>
      </x:c>
      <x:c r="F649" s="166" t="str">
        <x:f>IF('دانش‌آموزان'!I58="","",'دانش‌آموزان'!I58)</x:f>
        <x:v>sample-7-c</x:v>
      </x:c>
      <x:c r="G649" s="114"/>
      <x:c r="H649" s="115"/>
      <x:c r="I649" s="115"/>
      <x:c r="J649" s="115"/>
      <x:c r="K649" s="115"/>
      <x:c r="L649" s="115"/>
      <x:c r="M649" s="115"/>
      <x:c r="N649" s="115"/>
      <x:c r="O649" s="115"/>
      <x:c r="P649" s="115"/>
      <x:c r="Q649" s="115"/>
      <x:c r="R649" s="115"/>
      <x:c r="S649" s="115"/>
      <x:c r="T649" s="115"/>
      <x:c r="U649" s="115"/>
      <x:c r="V649" s="115"/>
      <x:c r="W649" s="115"/>
      <x:c r="X649" s="115"/>
      <x:c r="Y649" s="115"/>
      <x:c r="Z649" s="115"/>
      <x:c r="AA649" s="115"/>
      <x:c r="AB649" s="115"/>
      <x:c r="AC649" s="115"/>
      <x:c r="AD649" s="115"/>
      <x:c r="AE649" s="115"/>
      <x:c r="AF649" s="115"/>
      <x:c r="AG649" s="115"/>
      <x:c r="AH649" s="115"/>
      <x:c r="AI649" s="115"/>
      <x:c r="AJ649" s="115"/>
      <x:c r="AK649" s="115"/>
      <x:c r="AL649" s="115"/>
      <x:c r="AM649" s="115"/>
      <x:c r="AN649" s="115"/>
      <x:c r="AO649" s="115"/>
      <x:c r="AP649" s="115"/>
      <x:c r="AQ649" s="115"/>
      <x:c r="AR649" s="115"/>
      <x:c r="AS649" s="115"/>
      <x:c r="AT649" s="115"/>
      <x:c r="AU649" s="115"/>
      <x:c r="AV649" s="115"/>
      <x:c r="AW649" s="115"/>
      <x:c r="AX649" s="115"/>
      <x:c r="AY649" s="115"/>
      <x:c r="AZ649" s="115"/>
      <x:c r="BA649" s="115"/>
      <x:c r="BB649" s="115"/>
      <x:c r="BC649" s="115"/>
      <x:c r="BD649" s="115"/>
      <x:c r="BE649" s="115"/>
      <x:c r="BF649" s="115"/>
      <x:c r="BG649" s="115"/>
      <x:c r="BH649" s="115"/>
      <x:c r="BI649" s="115"/>
      <x:c r="BJ649" s="115"/>
      <x:c r="BK649" s="115"/>
      <x:c r="BL649" s="115"/>
      <x:c r="BM649" s="115"/>
      <x:c r="BN649" s="115"/>
      <x:c r="BO649" s="115"/>
      <x:c r="BP649" s="115"/>
      <x:c r="BQ649" s="115"/>
      <x:c r="BR649" s="115"/>
      <x:c r="BS649" s="115"/>
      <x:c r="BT649" s="115"/>
      <x:c r="BU649" s="115"/>
      <x:c r="BV649" s="115"/>
      <x:c r="BW649" s="115"/>
      <x:c r="BX649" s="115"/>
      <x:c r="BY649" s="115"/>
      <x:c r="BZ649" s="115"/>
      <x:c r="CA649" s="115"/>
      <x:c r="CB649" s="116"/>
      <x:c r="CC649" s="141" t="str">
        <x:f>IF(COUNT(G649:P649)=0,"",AVERAGE(G649:P649)*4)</x:f>
      </x:c>
      <x:c r="CD649" s="178" t="str">
        <x:f>IF(COUNT(Q649:Z649)=0,"",AVERAGE(Q649:Z649)*4)</x:f>
      </x:c>
      <x:c r="CE649" s="178" t="str">
        <x:f>IF(COUNT(AA649:AJ649)=0,"",AVERAGE(AA649:AJ649)*4)</x:f>
      </x:c>
      <x:c r="CF649" s="178" t="str">
        <x:f>IF(COUNT(AK649:AR649)=0,"",AVERAGE(AK649:AR649)*4)</x:f>
      </x:c>
      <x:c r="CG649" s="178" t="str">
        <x:f>IF(COUNT(AS649:AY649)=0,"",AVERAGE(AS649:AY649)*4)</x:f>
      </x:c>
      <x:c r="CH649" s="178" t="str">
        <x:f>IF(COUNT(AZ649:BG649)=0,"",AVERAGE(AZ649:BG649)*4)</x:f>
      </x:c>
      <x:c r="CI649" s="178" t="str">
        <x:f>IF(COUNT(BH649:BN649)=0,"",AVERAGE(BH649:BN649)*4)</x:f>
      </x:c>
      <x:c r="CJ649" s="178" t="str">
        <x:f>IF(COUNT(BO649:BU649)=0,"",AVERAGE(BO649:BU649)*4)</x:f>
      </x:c>
      <x:c r="CK649" s="178" t="str">
        <x:f>IF(COUNT(BV649:CB649)=0,"",AVERAGE(BV649:CB649)*4)</x:f>
      </x:c>
      <x:c r="CL649" s="178" t="str">
        <x:f>IF(C649="","",IF(COUNT(G649:CB649)&lt;74,"",(CC649*'تنظیمات وزن‌دهی'!$C$5+CD649*'تنظیمات وزن‌دهی'!$C$6+CE649*'تنظیمات وزن‌دهی'!$C$7+CF649*'تنظیمات وزن‌دهی'!$C$8+CG649*'تنظیمات وزن‌دهی'!$C$9+CH649*'تنظیمات وزن‌دهی'!$C$10+CI649*'تنظیمات وزن‌دهی'!$C$11+CJ649*'تنظیمات وزن‌دهی'!$C$12+CK649*'تنظیمات وزن‌دهی'!$C$13)/100))</x:f>
      </x:c>
      <x:c r="CM649" s="178" t="str">
        <x:f>IF(C649="","",IF(COUNT(G649:CB649)=0,"",IF(COUNT(G649:CB649)&lt;74,"موقت - اطلاعات ناقص",IF(CL649&gt;=17,"عالی",IF(CL649&gt;=14,"خوب",IF(CL649&gt;=10,"متوسط","ضعیف"))))))</x:f>
      </x:c>
      <x:c r="CN649" s="178" t="n">
        <x:v>9</x:v>
      </x:c>
      <x:c r="CO649" s="142" t="n">
        <x:f>IF(C649="","",COUNT(G649:CB649)/74)</x:f>
        <x:v>0</x:v>
      </x:c>
      <x:c r="CP649" s="245"/>
    </x:row>
    <x:row r="650">
      <x:c r="A650" s="165" t="n">
        <x:v>646</x:v>
      </x:c>
      <x:c r="B650" s="233" t="str">
        <x:v>فروردین</x:v>
      </x:c>
      <x:c r="C650" s="233" t="n">
        <x:f>IF('دانش‌آموزان'!E58="","",'دانش‌آموزان'!B58)</x:f>
        <x:v>54</x:v>
      </x:c>
      <x:c r="D650" s="233" t="str">
        <x:f>IF('دانش‌آموزان'!C58="","",'دانش‌آموزان'!C58)</x:f>
        <x:v>4000000543</x:v>
      </x:c>
      <x:c r="E650" s="233" t="str">
        <x:f>IF('دانش‌آموزان'!E58="","",'دانش‌آموزان'!E58&amp;" "&amp;'دانش‌آموزان'!F58)</x:f>
        <x:v>باران نوری</x:v>
      </x:c>
      <x:c r="F650" s="166" t="str">
        <x:f>IF('دانش‌آموزان'!I58="","",'دانش‌آموزان'!I58)</x:f>
        <x:v>sample-7-c</x:v>
      </x:c>
      <x:c r="G650" s="114"/>
      <x:c r="H650" s="115"/>
      <x:c r="I650" s="115"/>
      <x:c r="J650" s="115"/>
      <x:c r="K650" s="115"/>
      <x:c r="L650" s="115"/>
      <x:c r="M650" s="115"/>
      <x:c r="N650" s="115"/>
      <x:c r="O650" s="115"/>
      <x:c r="P650" s="115"/>
      <x:c r="Q650" s="115"/>
      <x:c r="R650" s="115"/>
      <x:c r="S650" s="115"/>
      <x:c r="T650" s="115"/>
      <x:c r="U650" s="115"/>
      <x:c r="V650" s="115"/>
      <x:c r="W650" s="115"/>
      <x:c r="X650" s="115"/>
      <x:c r="Y650" s="115"/>
      <x:c r="Z650" s="115"/>
      <x:c r="AA650" s="115"/>
      <x:c r="AB650" s="115"/>
      <x:c r="AC650" s="115"/>
      <x:c r="AD650" s="115"/>
      <x:c r="AE650" s="115"/>
      <x:c r="AF650" s="115"/>
      <x:c r="AG650" s="115"/>
      <x:c r="AH650" s="115"/>
      <x:c r="AI650" s="115"/>
      <x:c r="AJ650" s="115"/>
      <x:c r="AK650" s="115"/>
      <x:c r="AL650" s="115"/>
      <x:c r="AM650" s="115"/>
      <x:c r="AN650" s="115"/>
      <x:c r="AO650" s="115"/>
      <x:c r="AP650" s="115"/>
      <x:c r="AQ650" s="115"/>
      <x:c r="AR650" s="115"/>
      <x:c r="AS650" s="115"/>
      <x:c r="AT650" s="115"/>
      <x:c r="AU650" s="115"/>
      <x:c r="AV650" s="115"/>
      <x:c r="AW650" s="115"/>
      <x:c r="AX650" s="115"/>
      <x:c r="AY650" s="115"/>
      <x:c r="AZ650" s="115"/>
      <x:c r="BA650" s="115"/>
      <x:c r="BB650" s="115"/>
      <x:c r="BC650" s="115"/>
      <x:c r="BD650" s="115"/>
      <x:c r="BE650" s="115"/>
      <x:c r="BF650" s="115"/>
      <x:c r="BG650" s="115"/>
      <x:c r="BH650" s="115"/>
      <x:c r="BI650" s="115"/>
      <x:c r="BJ650" s="115"/>
      <x:c r="BK650" s="115"/>
      <x:c r="BL650" s="115"/>
      <x:c r="BM650" s="115"/>
      <x:c r="BN650" s="115"/>
      <x:c r="BO650" s="115"/>
      <x:c r="BP650" s="115"/>
      <x:c r="BQ650" s="115"/>
      <x:c r="BR650" s="115"/>
      <x:c r="BS650" s="115"/>
      <x:c r="BT650" s="115"/>
      <x:c r="BU650" s="115"/>
      <x:c r="BV650" s="115"/>
      <x:c r="BW650" s="115"/>
      <x:c r="BX650" s="115"/>
      <x:c r="BY650" s="115"/>
      <x:c r="BZ650" s="115"/>
      <x:c r="CA650" s="115"/>
      <x:c r="CB650" s="116"/>
      <x:c r="CC650" s="141" t="str">
        <x:f>IF(COUNT(G650:P650)=0,"",AVERAGE(G650:P650)*4)</x:f>
      </x:c>
      <x:c r="CD650" s="178" t="str">
        <x:f>IF(COUNT(Q650:Z650)=0,"",AVERAGE(Q650:Z650)*4)</x:f>
      </x:c>
      <x:c r="CE650" s="178" t="str">
        <x:f>IF(COUNT(AA650:AJ650)=0,"",AVERAGE(AA650:AJ650)*4)</x:f>
      </x:c>
      <x:c r="CF650" s="178" t="str">
        <x:f>IF(COUNT(AK650:AR650)=0,"",AVERAGE(AK650:AR650)*4)</x:f>
      </x:c>
      <x:c r="CG650" s="178" t="str">
        <x:f>IF(COUNT(AS650:AY650)=0,"",AVERAGE(AS650:AY650)*4)</x:f>
      </x:c>
      <x:c r="CH650" s="178" t="str">
        <x:f>IF(COUNT(AZ650:BG650)=0,"",AVERAGE(AZ650:BG650)*4)</x:f>
      </x:c>
      <x:c r="CI650" s="178" t="str">
        <x:f>IF(COUNT(BH650:BN650)=0,"",AVERAGE(BH650:BN650)*4)</x:f>
      </x:c>
      <x:c r="CJ650" s="178" t="str">
        <x:f>IF(COUNT(BO650:BU650)=0,"",AVERAGE(BO650:BU650)*4)</x:f>
      </x:c>
      <x:c r="CK650" s="178" t="str">
        <x:f>IF(COUNT(BV650:CB650)=0,"",AVERAGE(BV650:CB650)*4)</x:f>
      </x:c>
      <x:c r="CL650" s="178" t="str">
        <x:f>IF(C650="","",IF(COUNT(G650:CB650)&lt;74,"",(CC650*'تنظیمات وزن‌دهی'!$C$5+CD650*'تنظیمات وزن‌دهی'!$C$6+CE650*'تنظیمات وزن‌دهی'!$C$7+CF650*'تنظیمات وزن‌دهی'!$C$8+CG650*'تنظیمات وزن‌دهی'!$C$9+CH650*'تنظیمات وزن‌دهی'!$C$10+CI650*'تنظیمات وزن‌دهی'!$C$11+CJ650*'تنظیمات وزن‌دهی'!$C$12+CK650*'تنظیمات وزن‌دهی'!$C$13)/100))</x:f>
      </x:c>
      <x:c r="CM650" s="178" t="str">
        <x:f>IF(C650="","",IF(COUNT(G650:CB650)=0,"",IF(COUNT(G650:CB650)&lt;74,"موقت - اطلاعات ناقص",IF(CL650&gt;=17,"عالی",IF(CL650&gt;=14,"خوب",IF(CL650&gt;=10,"متوسط","ضعیف"))))))</x:f>
      </x:c>
      <x:c r="CN650" s="178" t="n">
        <x:v>10</x:v>
      </x:c>
      <x:c r="CO650" s="142" t="n">
        <x:f>IF(C650="","",COUNT(G650:CB650)/74)</x:f>
        <x:v>0</x:v>
      </x:c>
      <x:c r="CP650" s="245"/>
    </x:row>
    <x:row r="651">
      <x:c r="A651" s="165" t="n">
        <x:v>647</x:v>
      </x:c>
      <x:c r="B651" s="233" t="str">
        <x:v>اردیبهشت</x:v>
      </x:c>
      <x:c r="C651" s="233" t="n">
        <x:f>IF('دانش‌آموزان'!E58="","",'دانش‌آموزان'!B58)</x:f>
        <x:v>54</x:v>
      </x:c>
      <x:c r="D651" s="233" t="str">
        <x:f>IF('دانش‌آموزان'!C58="","",'دانش‌آموزان'!C58)</x:f>
        <x:v>4000000543</x:v>
      </x:c>
      <x:c r="E651" s="233" t="str">
        <x:f>IF('دانش‌آموزان'!E58="","",'دانش‌آموزان'!E58&amp;" "&amp;'دانش‌آموزان'!F58)</x:f>
        <x:v>باران نوری</x:v>
      </x:c>
      <x:c r="F651" s="166" t="str">
        <x:f>IF('دانش‌آموزان'!I58="","",'دانش‌آموزان'!I58)</x:f>
        <x:v>sample-7-c</x:v>
      </x:c>
      <x:c r="G651" s="114"/>
      <x:c r="H651" s="115"/>
      <x:c r="I651" s="115"/>
      <x:c r="J651" s="115"/>
      <x:c r="K651" s="115"/>
      <x:c r="L651" s="115"/>
      <x:c r="M651" s="115"/>
      <x:c r="N651" s="115"/>
      <x:c r="O651" s="115"/>
      <x:c r="P651" s="115"/>
      <x:c r="Q651" s="115"/>
      <x:c r="R651" s="115"/>
      <x:c r="S651" s="115"/>
      <x:c r="T651" s="115"/>
      <x:c r="U651" s="115"/>
      <x:c r="V651" s="115"/>
      <x:c r="W651" s="115"/>
      <x:c r="X651" s="115"/>
      <x:c r="Y651" s="115"/>
      <x:c r="Z651" s="115"/>
      <x:c r="AA651" s="115"/>
      <x:c r="AB651" s="115"/>
      <x:c r="AC651" s="115"/>
      <x:c r="AD651" s="115"/>
      <x:c r="AE651" s="115"/>
      <x:c r="AF651" s="115"/>
      <x:c r="AG651" s="115"/>
      <x:c r="AH651" s="115"/>
      <x:c r="AI651" s="115"/>
      <x:c r="AJ651" s="115"/>
      <x:c r="AK651" s="115"/>
      <x:c r="AL651" s="115"/>
      <x:c r="AM651" s="115"/>
      <x:c r="AN651" s="115"/>
      <x:c r="AO651" s="115"/>
      <x:c r="AP651" s="115"/>
      <x:c r="AQ651" s="115"/>
      <x:c r="AR651" s="115"/>
      <x:c r="AS651" s="115"/>
      <x:c r="AT651" s="115"/>
      <x:c r="AU651" s="115"/>
      <x:c r="AV651" s="115"/>
      <x:c r="AW651" s="115"/>
      <x:c r="AX651" s="115"/>
      <x:c r="AY651" s="115"/>
      <x:c r="AZ651" s="115"/>
      <x:c r="BA651" s="115"/>
      <x:c r="BB651" s="115"/>
      <x:c r="BC651" s="115"/>
      <x:c r="BD651" s="115"/>
      <x:c r="BE651" s="115"/>
      <x:c r="BF651" s="115"/>
      <x:c r="BG651" s="115"/>
      <x:c r="BH651" s="115"/>
      <x:c r="BI651" s="115"/>
      <x:c r="BJ651" s="115"/>
      <x:c r="BK651" s="115"/>
      <x:c r="BL651" s="115"/>
      <x:c r="BM651" s="115"/>
      <x:c r="BN651" s="115"/>
      <x:c r="BO651" s="115"/>
      <x:c r="BP651" s="115"/>
      <x:c r="BQ651" s="115"/>
      <x:c r="BR651" s="115"/>
      <x:c r="BS651" s="115"/>
      <x:c r="BT651" s="115"/>
      <x:c r="BU651" s="115"/>
      <x:c r="BV651" s="115"/>
      <x:c r="BW651" s="115"/>
      <x:c r="BX651" s="115"/>
      <x:c r="BY651" s="115"/>
      <x:c r="BZ651" s="115"/>
      <x:c r="CA651" s="115"/>
      <x:c r="CB651" s="116"/>
      <x:c r="CC651" s="141" t="str">
        <x:f>IF(COUNT(G651:P651)=0,"",AVERAGE(G651:P651)*4)</x:f>
      </x:c>
      <x:c r="CD651" s="178" t="str">
        <x:f>IF(COUNT(Q651:Z651)=0,"",AVERAGE(Q651:Z651)*4)</x:f>
      </x:c>
      <x:c r="CE651" s="178" t="str">
        <x:f>IF(COUNT(AA651:AJ651)=0,"",AVERAGE(AA651:AJ651)*4)</x:f>
      </x:c>
      <x:c r="CF651" s="178" t="str">
        <x:f>IF(COUNT(AK651:AR651)=0,"",AVERAGE(AK651:AR651)*4)</x:f>
      </x:c>
      <x:c r="CG651" s="178" t="str">
        <x:f>IF(COUNT(AS651:AY651)=0,"",AVERAGE(AS651:AY651)*4)</x:f>
      </x:c>
      <x:c r="CH651" s="178" t="str">
        <x:f>IF(COUNT(AZ651:BG651)=0,"",AVERAGE(AZ651:BG651)*4)</x:f>
      </x:c>
      <x:c r="CI651" s="178" t="str">
        <x:f>IF(COUNT(BH651:BN651)=0,"",AVERAGE(BH651:BN651)*4)</x:f>
      </x:c>
      <x:c r="CJ651" s="178" t="str">
        <x:f>IF(COUNT(BO651:BU651)=0,"",AVERAGE(BO651:BU651)*4)</x:f>
      </x:c>
      <x:c r="CK651" s="178" t="str">
        <x:f>IF(COUNT(BV651:CB651)=0,"",AVERAGE(BV651:CB651)*4)</x:f>
      </x:c>
      <x:c r="CL651" s="178" t="str">
        <x:f>IF(C651="","",IF(COUNT(G651:CB651)&lt;74,"",(CC651*'تنظیمات وزن‌دهی'!$C$5+CD651*'تنظیمات وزن‌دهی'!$C$6+CE651*'تنظیمات وزن‌دهی'!$C$7+CF651*'تنظیمات وزن‌دهی'!$C$8+CG651*'تنظیمات وزن‌دهی'!$C$9+CH651*'تنظیمات وزن‌دهی'!$C$10+CI651*'تنظیمات وزن‌دهی'!$C$11+CJ651*'تنظیمات وزن‌دهی'!$C$12+CK651*'تنظیمات وزن‌دهی'!$C$13)/100))</x:f>
      </x:c>
      <x:c r="CM651" s="178" t="str">
        <x:f>IF(C651="","",IF(COUNT(G651:CB651)=0,"",IF(COUNT(G651:CB651)&lt;74,"موقت - اطلاعات ناقص",IF(CL651&gt;=17,"عالی",IF(CL651&gt;=14,"خوب",IF(CL651&gt;=10,"متوسط","ضعیف"))))))</x:f>
      </x:c>
      <x:c r="CN651" s="178" t="n">
        <x:v>11</x:v>
      </x:c>
      <x:c r="CO651" s="142" t="n">
        <x:f>IF(C651="","",COUNT(G651:CB651)/74)</x:f>
        <x:v>0</x:v>
      </x:c>
      <x:c r="CP651" s="245"/>
    </x:row>
    <x:row r="652">
      <x:c r="A652" s="165" t="n">
        <x:v>648</x:v>
      </x:c>
      <x:c r="B652" s="233" t="str">
        <x:v>خرداد</x:v>
      </x:c>
      <x:c r="C652" s="233" t="n">
        <x:f>IF('دانش‌آموزان'!E58="","",'دانش‌آموزان'!B58)</x:f>
        <x:v>54</x:v>
      </x:c>
      <x:c r="D652" s="233" t="str">
        <x:f>IF('دانش‌آموزان'!C58="","",'دانش‌آموزان'!C58)</x:f>
        <x:v>4000000543</x:v>
      </x:c>
      <x:c r="E652" s="233" t="str">
        <x:f>IF('دانش‌آموزان'!E58="","",'دانش‌آموزان'!E58&amp;" "&amp;'دانش‌آموزان'!F58)</x:f>
        <x:v>باران نوری</x:v>
      </x:c>
      <x:c r="F652" s="166" t="str">
        <x:f>IF('دانش‌آموزان'!I58="","",'دانش‌آموزان'!I58)</x:f>
        <x:v>sample-7-c</x:v>
      </x:c>
      <x:c r="G652" s="114"/>
      <x:c r="H652" s="115"/>
      <x:c r="I652" s="115"/>
      <x:c r="J652" s="115"/>
      <x:c r="K652" s="115"/>
      <x:c r="L652" s="115"/>
      <x:c r="M652" s="115"/>
      <x:c r="N652" s="115"/>
      <x:c r="O652" s="115"/>
      <x:c r="P652" s="115"/>
      <x:c r="Q652" s="115"/>
      <x:c r="R652" s="115"/>
      <x:c r="S652" s="115"/>
      <x:c r="T652" s="115"/>
      <x:c r="U652" s="115"/>
      <x:c r="V652" s="115"/>
      <x:c r="W652" s="115"/>
      <x:c r="X652" s="115"/>
      <x:c r="Y652" s="115"/>
      <x:c r="Z652" s="115"/>
      <x:c r="AA652" s="115"/>
      <x:c r="AB652" s="115"/>
      <x:c r="AC652" s="115"/>
      <x:c r="AD652" s="115"/>
      <x:c r="AE652" s="115"/>
      <x:c r="AF652" s="115"/>
      <x:c r="AG652" s="115"/>
      <x:c r="AH652" s="115"/>
      <x:c r="AI652" s="115"/>
      <x:c r="AJ652" s="115"/>
      <x:c r="AK652" s="115"/>
      <x:c r="AL652" s="115"/>
      <x:c r="AM652" s="115"/>
      <x:c r="AN652" s="115"/>
      <x:c r="AO652" s="115"/>
      <x:c r="AP652" s="115"/>
      <x:c r="AQ652" s="115"/>
      <x:c r="AR652" s="115"/>
      <x:c r="AS652" s="115"/>
      <x:c r="AT652" s="115"/>
      <x:c r="AU652" s="115"/>
      <x:c r="AV652" s="115"/>
      <x:c r="AW652" s="115"/>
      <x:c r="AX652" s="115"/>
      <x:c r="AY652" s="115"/>
      <x:c r="AZ652" s="115"/>
      <x:c r="BA652" s="115"/>
      <x:c r="BB652" s="115"/>
      <x:c r="BC652" s="115"/>
      <x:c r="BD652" s="115"/>
      <x:c r="BE652" s="115"/>
      <x:c r="BF652" s="115"/>
      <x:c r="BG652" s="115"/>
      <x:c r="BH652" s="115"/>
      <x:c r="BI652" s="115"/>
      <x:c r="BJ652" s="115"/>
      <x:c r="BK652" s="115"/>
      <x:c r="BL652" s="115"/>
      <x:c r="BM652" s="115"/>
      <x:c r="BN652" s="115"/>
      <x:c r="BO652" s="115"/>
      <x:c r="BP652" s="115"/>
      <x:c r="BQ652" s="115"/>
      <x:c r="BR652" s="115"/>
      <x:c r="BS652" s="115"/>
      <x:c r="BT652" s="115"/>
      <x:c r="BU652" s="115"/>
      <x:c r="BV652" s="115"/>
      <x:c r="BW652" s="115"/>
      <x:c r="BX652" s="115"/>
      <x:c r="BY652" s="115"/>
      <x:c r="BZ652" s="115"/>
      <x:c r="CA652" s="115"/>
      <x:c r="CB652" s="116"/>
      <x:c r="CC652" s="141" t="str">
        <x:f>IF(COUNT(G652:P652)=0,"",AVERAGE(G652:P652)*4)</x:f>
      </x:c>
      <x:c r="CD652" s="178" t="str">
        <x:f>IF(COUNT(Q652:Z652)=0,"",AVERAGE(Q652:Z652)*4)</x:f>
      </x:c>
      <x:c r="CE652" s="178" t="str">
        <x:f>IF(COUNT(AA652:AJ652)=0,"",AVERAGE(AA652:AJ652)*4)</x:f>
      </x:c>
      <x:c r="CF652" s="178" t="str">
        <x:f>IF(COUNT(AK652:AR652)=0,"",AVERAGE(AK652:AR652)*4)</x:f>
      </x:c>
      <x:c r="CG652" s="178" t="str">
        <x:f>IF(COUNT(AS652:AY652)=0,"",AVERAGE(AS652:AY652)*4)</x:f>
      </x:c>
      <x:c r="CH652" s="178" t="str">
        <x:f>IF(COUNT(AZ652:BG652)=0,"",AVERAGE(AZ652:BG652)*4)</x:f>
      </x:c>
      <x:c r="CI652" s="178" t="str">
        <x:f>IF(COUNT(BH652:BN652)=0,"",AVERAGE(BH652:BN652)*4)</x:f>
      </x:c>
      <x:c r="CJ652" s="178" t="str">
        <x:f>IF(COUNT(BO652:BU652)=0,"",AVERAGE(BO652:BU652)*4)</x:f>
      </x:c>
      <x:c r="CK652" s="178" t="str">
        <x:f>IF(COUNT(BV652:CB652)=0,"",AVERAGE(BV652:CB652)*4)</x:f>
      </x:c>
      <x:c r="CL652" s="178" t="str">
        <x:f>IF(C652="","",IF(COUNT(G652:CB652)&lt;74,"",(CC652*'تنظیمات وزن‌دهی'!$C$5+CD652*'تنظیمات وزن‌دهی'!$C$6+CE652*'تنظیمات وزن‌دهی'!$C$7+CF652*'تنظیمات وزن‌دهی'!$C$8+CG652*'تنظیمات وزن‌دهی'!$C$9+CH652*'تنظیمات وزن‌دهی'!$C$10+CI652*'تنظیمات وزن‌دهی'!$C$11+CJ652*'تنظیمات وزن‌دهی'!$C$12+CK652*'تنظیمات وزن‌دهی'!$C$13)/100))</x:f>
      </x:c>
      <x:c r="CM652" s="178" t="str">
        <x:f>IF(C652="","",IF(COUNT(G652:CB652)=0,"",IF(COUNT(G652:CB652)&lt;74,"موقت - اطلاعات ناقص",IF(CL652&gt;=17,"عالی",IF(CL652&gt;=14,"خوب",IF(CL652&gt;=10,"متوسط","ضعیف"))))))</x:f>
      </x:c>
      <x:c r="CN652" s="178" t="n">
        <x:v>12</x:v>
      </x:c>
      <x:c r="CO652" s="142" t="n">
        <x:f>IF(C652="","",COUNT(G652:CB652)/74)</x:f>
        <x:v>0</x:v>
      </x:c>
      <x:c r="CP652" s="245"/>
    </x:row>
    <x:row r="653">
      <x:c r="A653" s="165" t="n">
        <x:v>649</x:v>
      </x:c>
      <x:c r="B653" s="233" t="str">
        <x:v>تیر</x:v>
      </x:c>
      <x:c r="C653" s="233" t="n">
        <x:f>IF('دانش‌آموزان'!E59="","",'دانش‌آموزان'!B59)</x:f>
        <x:v>55</x:v>
      </x:c>
      <x:c r="D653" s="233" t="str">
        <x:f>IF('دانش‌آموزان'!C59="","",'دانش‌آموزان'!C59)</x:f>
        <x:v>4000000551</x:v>
      </x:c>
      <x:c r="E653" s="233" t="str">
        <x:f>IF('دانش‌آموزان'!E59="","",'دانش‌آموزان'!E59&amp;" "&amp;'دانش‌آموزان'!F59)</x:f>
        <x:v>ماهان سلیمانی</x:v>
      </x:c>
      <x:c r="F653" s="166" t="str">
        <x:f>IF('دانش‌آموزان'!I59="","",'دانش‌آموزان'!I59)</x:f>
        <x:v>sample-7-c</x:v>
      </x:c>
      <x:c r="G653" s="114" t="n">
        <x:v>5</x:v>
      </x:c>
      <x:c r="H653" s="115" t="n">
        <x:v>3</x:v>
      </x:c>
      <x:c r="I653" s="115" t="n">
        <x:v>4</x:v>
      </x:c>
      <x:c r="J653" s="115" t="n">
        <x:v>3</x:v>
      </x:c>
      <x:c r="K653" s="115" t="n">
        <x:v>4</x:v>
      </x:c>
      <x:c r="L653" s="115" t="n">
        <x:v>2</x:v>
      </x:c>
      <x:c r="M653" s="115" t="n">
        <x:v>4</x:v>
      </x:c>
      <x:c r="N653" s="115" t="n">
        <x:v>5</x:v>
      </x:c>
      <x:c r="O653" s="115" t="n">
        <x:v>4</x:v>
      </x:c>
      <x:c r="P653" s="115" t="n">
        <x:v>5</x:v>
      </x:c>
      <x:c r="Q653" s="115" t="n">
        <x:v>3</x:v>
      </x:c>
      <x:c r="R653" s="115" t="n">
        <x:v>5</x:v>
      </x:c>
      <x:c r="S653" s="115" t="n">
        <x:v>3</x:v>
      </x:c>
      <x:c r="T653" s="115" t="n">
        <x:v>4</x:v>
      </x:c>
      <x:c r="U653" s="115" t="n">
        <x:v>3</x:v>
      </x:c>
      <x:c r="V653" s="115" t="n">
        <x:v>4</x:v>
      </x:c>
      <x:c r="W653" s="115" t="n">
        <x:v>2</x:v>
      </x:c>
      <x:c r="X653" s="115" t="n">
        <x:v>4</x:v>
      </x:c>
      <x:c r="Y653" s="115" t="n">
        <x:v>5</x:v>
      </x:c>
      <x:c r="Z653" s="115" t="n">
        <x:v>4</x:v>
      </x:c>
      <x:c r="AA653" s="115" t="n">
        <x:v>5</x:v>
      </x:c>
      <x:c r="AB653" s="115" t="n">
        <x:v>3</x:v>
      </x:c>
      <x:c r="AC653" s="115" t="n">
        <x:v>5</x:v>
      </x:c>
      <x:c r="AD653" s="115" t="n">
        <x:v>3</x:v>
      </x:c>
      <x:c r="AE653" s="115" t="n">
        <x:v>4</x:v>
      </x:c>
      <x:c r="AF653" s="115" t="n">
        <x:v>3</x:v>
      </x:c>
      <x:c r="AG653" s="115" t="n">
        <x:v>4</x:v>
      </x:c>
      <x:c r="AH653" s="115" t="n">
        <x:v>2</x:v>
      </x:c>
      <x:c r="AI653" s="115" t="n">
        <x:v>4</x:v>
      </x:c>
      <x:c r="AJ653" s="115" t="n">
        <x:v>5</x:v>
      </x:c>
      <x:c r="AK653" s="115" t="n">
        <x:v>4</x:v>
      </x:c>
      <x:c r="AL653" s="115" t="n">
        <x:v>5</x:v>
      </x:c>
      <x:c r="AM653" s="115" t="n">
        <x:v>3</x:v>
      </x:c>
      <x:c r="AN653" s="115" t="n">
        <x:v>5</x:v>
      </x:c>
      <x:c r="AO653" s="115" t="n">
        <x:v>3</x:v>
      </x:c>
      <x:c r="AP653" s="115" t="n">
        <x:v>4</x:v>
      </x:c>
      <x:c r="AQ653" s="115" t="n">
        <x:v>3</x:v>
      </x:c>
      <x:c r="AR653" s="115" t="n">
        <x:v>4</x:v>
      </x:c>
      <x:c r="AS653" s="115" t="n">
        <x:v>2</x:v>
      </x:c>
      <x:c r="AT653" s="115" t="n">
        <x:v>4</x:v>
      </x:c>
      <x:c r="AU653" s="115" t="n">
        <x:v>5</x:v>
      </x:c>
      <x:c r="AV653" s="115" t="n">
        <x:v>4</x:v>
      </x:c>
      <x:c r="AW653" s="115" t="n">
        <x:v>5</x:v>
      </x:c>
      <x:c r="AX653" s="115" t="n">
        <x:v>3</x:v>
      </x:c>
      <x:c r="AY653" s="115" t="n">
        <x:v>5</x:v>
      </x:c>
      <x:c r="AZ653" s="115" t="n">
        <x:v>3</x:v>
      </x:c>
      <x:c r="BA653" s="115" t="n">
        <x:v>4</x:v>
      </x:c>
      <x:c r="BB653" s="115" t="n">
        <x:v>3</x:v>
      </x:c>
      <x:c r="BC653" s="115" t="n">
        <x:v>4</x:v>
      </x:c>
      <x:c r="BD653" s="115" t="n">
        <x:v>2</x:v>
      </x:c>
      <x:c r="BE653" s="115" t="n">
        <x:v>4</x:v>
      </x:c>
      <x:c r="BF653" s="115" t="n">
        <x:v>5</x:v>
      </x:c>
      <x:c r="BG653" s="115" t="n">
        <x:v>4</x:v>
      </x:c>
      <x:c r="BH653" s="115" t="n">
        <x:v>5</x:v>
      </x:c>
      <x:c r="BI653" s="115" t="n">
        <x:v>3</x:v>
      </x:c>
      <x:c r="BJ653" s="115" t="n">
        <x:v>5</x:v>
      </x:c>
      <x:c r="BK653" s="115" t="n">
        <x:v>3</x:v>
      </x:c>
      <x:c r="BL653" s="115" t="n">
        <x:v>4</x:v>
      </x:c>
      <x:c r="BM653" s="115" t="n">
        <x:v>3</x:v>
      </x:c>
      <x:c r="BN653" s="115" t="n">
        <x:v>4</x:v>
      </x:c>
      <x:c r="BO653" s="115" t="n">
        <x:v>2</x:v>
      </x:c>
      <x:c r="BP653" s="115" t="n">
        <x:v>4</x:v>
      </x:c>
      <x:c r="BQ653" s="115" t="n">
        <x:v>5</x:v>
      </x:c>
      <x:c r="BR653" s="115" t="n">
        <x:v>4</x:v>
      </x:c>
      <x:c r="BS653" s="115" t="n">
        <x:v>5</x:v>
      </x:c>
      <x:c r="BT653" s="115" t="n">
        <x:v>3</x:v>
      </x:c>
      <x:c r="BU653" s="115" t="n">
        <x:v>5</x:v>
      </x:c>
      <x:c r="BV653" s="115" t="n">
        <x:v>3</x:v>
      </x:c>
      <x:c r="BW653" s="115" t="n">
        <x:v>4</x:v>
      </x:c>
      <x:c r="BX653" s="115" t="n">
        <x:v>3</x:v>
      </x:c>
      <x:c r="BY653" s="115" t="n">
        <x:v>4</x:v>
      </x:c>
      <x:c r="BZ653" s="115" t="n">
        <x:v>2</x:v>
      </x:c>
      <x:c r="CA653" s="115" t="n">
        <x:v>4</x:v>
      </x:c>
      <x:c r="CB653" s="116" t="n">
        <x:v>5</x:v>
      </x:c>
      <x:c r="CC653" s="141" t="n">
        <x:f>IF(COUNT(G653:P653)=0,"",AVERAGE(G653:P653)*4)</x:f>
        <x:v>15.6</x:v>
      </x:c>
      <x:c r="CD653" s="178" t="n">
        <x:f>IF(COUNT(Q653:Z653)=0,"",AVERAGE(Q653:Z653)*4)</x:f>
        <x:v>14.8</x:v>
      </x:c>
      <x:c r="CE653" s="178" t="n">
        <x:f>IF(COUNT(AA653:AJ653)=0,"",AVERAGE(AA653:AJ653)*4)</x:f>
        <x:v>15.2</x:v>
      </x:c>
      <x:c r="CF653" s="178" t="n">
        <x:f>IF(COUNT(AK653:AR653)=0,"",AVERAGE(AK653:AR653)*4)</x:f>
        <x:v>15.5</x:v>
      </x:c>
      <x:c r="CG653" s="178" t="n">
        <x:f>IF(COUNT(AS653:AY653)=0,"",AVERAGE(AS653:AY653)*4)</x:f>
        <x:v>16</x:v>
      </x:c>
      <x:c r="CH653" s="178" t="n">
        <x:f>IF(COUNT(AZ653:BG653)=0,"",AVERAGE(AZ653:BG653)*4)</x:f>
        <x:v>14.5</x:v>
      </x:c>
      <x:c r="CI653" s="178" t="n">
        <x:f>IF(COUNT(BH653:BN653)=0,"",AVERAGE(BH653:BN653)*4)</x:f>
        <x:v>15.428571428571429</x:v>
      </x:c>
      <x:c r="CJ653" s="178" t="n">
        <x:f>IF(COUNT(BO653:BU653)=0,"",AVERAGE(BO653:BU653)*4)</x:f>
        <x:v>16</x:v>
      </x:c>
      <x:c r="CK653" s="178" t="n">
        <x:f>IF(COUNT(BV653:CB653)=0,"",AVERAGE(BV653:CB653)*4)</x:f>
        <x:v>14.285714285714286</x:v>
      </x:c>
      <x:c r="CL653" s="178" t="n">
        <x:f>IF(C653="","",IF(COUNT(G653:CB653)&lt;74,"",(CC653*'تنظیمات وزن‌دهی'!$C$5+CD653*'تنظیمات وزن‌دهی'!$C$6+CE653*'تنظیمات وزن‌دهی'!$C$7+CF653*'تنظیمات وزن‌دهی'!$C$8+CG653*'تنظیمات وزن‌دهی'!$C$9+CH653*'تنظیمات وزن‌دهی'!$C$10+CI653*'تنظیمات وزن‌دهی'!$C$11+CJ653*'تنظیمات وزن‌دهی'!$C$12+CK653*'تنظیمات وزن‌دهی'!$C$13)/100))</x:f>
        <x:v>15.265</x:v>
      </x:c>
      <x:c r="CM653" s="178" t="str">
        <x:f>IF(C653="","",IF(COUNT(G653:CB653)=0,"",IF(COUNT(G653:CB653)&lt;74,"موقت - اطلاعات ناقص",IF(CL653&gt;=17,"عالی",IF(CL653&gt;=14,"خوب",IF(CL653&gt;=10,"متوسط","ضعیف"))))))</x:f>
        <x:v>خوب</x:v>
      </x:c>
      <x:c r="CN653" s="178" t="n">
        <x:v>1</x:v>
      </x:c>
      <x:c r="CO653" s="142" t="n">
        <x:f>IF(C653="","",COUNT(G653:CB653)/74)</x:f>
        <x:v>1</x:v>
      </x:c>
      <x:c r="CP653" s="245" t="str">
        <x:v>داده نمونه کامل برای ماه تیر - دانش‌آموز شماره 55</x:v>
      </x:c>
    </x:row>
    <x:row r="654">
      <x:c r="A654" s="165" t="n">
        <x:v>650</x:v>
      </x:c>
      <x:c r="B654" s="233" t="str">
        <x:v>مرداد</x:v>
      </x:c>
      <x:c r="C654" s="233" t="n">
        <x:f>IF('دانش‌آموزان'!E59="","",'دانش‌آموزان'!B59)</x:f>
        <x:v>55</x:v>
      </x:c>
      <x:c r="D654" s="233" t="str">
        <x:f>IF('دانش‌آموزان'!C59="","",'دانش‌آموزان'!C59)</x:f>
        <x:v>4000000551</x:v>
      </x:c>
      <x:c r="E654" s="233" t="str">
        <x:f>IF('دانش‌آموزان'!E59="","",'دانش‌آموزان'!E59&amp;" "&amp;'دانش‌آموزان'!F59)</x:f>
        <x:v>ماهان سلیمانی</x:v>
      </x:c>
      <x:c r="F654" s="166" t="str">
        <x:f>IF('دانش‌آموزان'!I59="","",'دانش‌آموزان'!I59)</x:f>
        <x:v>sample-7-c</x:v>
      </x:c>
      <x:c r="G654" s="114"/>
      <x:c r="H654" s="115"/>
      <x:c r="I654" s="115"/>
      <x:c r="J654" s="115"/>
      <x:c r="K654" s="115"/>
      <x:c r="L654" s="115"/>
      <x:c r="M654" s="115"/>
      <x:c r="N654" s="115"/>
      <x:c r="O654" s="115"/>
      <x:c r="P654" s="115"/>
      <x:c r="Q654" s="115"/>
      <x:c r="R654" s="115"/>
      <x:c r="S654" s="115"/>
      <x:c r="T654" s="115"/>
      <x:c r="U654" s="115"/>
      <x:c r="V654" s="115"/>
      <x:c r="W654" s="115"/>
      <x:c r="X654" s="115"/>
      <x:c r="Y654" s="115"/>
      <x:c r="Z654" s="115"/>
      <x:c r="AA654" s="115"/>
      <x:c r="AB654" s="115"/>
      <x:c r="AC654" s="115"/>
      <x:c r="AD654" s="115"/>
      <x:c r="AE654" s="115"/>
      <x:c r="AF654" s="115"/>
      <x:c r="AG654" s="115"/>
      <x:c r="AH654" s="115"/>
      <x:c r="AI654" s="115"/>
      <x:c r="AJ654" s="115"/>
      <x:c r="AK654" s="115"/>
      <x:c r="AL654" s="115"/>
      <x:c r="AM654" s="115"/>
      <x:c r="AN654" s="115"/>
      <x:c r="AO654" s="115"/>
      <x:c r="AP654" s="115"/>
      <x:c r="AQ654" s="115"/>
      <x:c r="AR654" s="115"/>
      <x:c r="AS654" s="115"/>
      <x:c r="AT654" s="115"/>
      <x:c r="AU654" s="115"/>
      <x:c r="AV654" s="115"/>
      <x:c r="AW654" s="115"/>
      <x:c r="AX654" s="115"/>
      <x:c r="AY654" s="115"/>
      <x:c r="AZ654" s="115"/>
      <x:c r="BA654" s="115"/>
      <x:c r="BB654" s="115"/>
      <x:c r="BC654" s="115"/>
      <x:c r="BD654" s="115"/>
      <x:c r="BE654" s="115"/>
      <x:c r="BF654" s="115"/>
      <x:c r="BG654" s="115"/>
      <x:c r="BH654" s="115"/>
      <x:c r="BI654" s="115"/>
      <x:c r="BJ654" s="115"/>
      <x:c r="BK654" s="115"/>
      <x:c r="BL654" s="115"/>
      <x:c r="BM654" s="115"/>
      <x:c r="BN654" s="115"/>
      <x:c r="BO654" s="115"/>
      <x:c r="BP654" s="115"/>
      <x:c r="BQ654" s="115"/>
      <x:c r="BR654" s="115"/>
      <x:c r="BS654" s="115"/>
      <x:c r="BT654" s="115"/>
      <x:c r="BU654" s="115"/>
      <x:c r="BV654" s="115"/>
      <x:c r="BW654" s="115"/>
      <x:c r="BX654" s="115"/>
      <x:c r="BY654" s="115"/>
      <x:c r="BZ654" s="115"/>
      <x:c r="CA654" s="115"/>
      <x:c r="CB654" s="116"/>
      <x:c r="CC654" s="141" t="str">
        <x:f>IF(COUNT(G654:P654)=0,"",AVERAGE(G654:P654)*4)</x:f>
      </x:c>
      <x:c r="CD654" s="178" t="str">
        <x:f>IF(COUNT(Q654:Z654)=0,"",AVERAGE(Q654:Z654)*4)</x:f>
      </x:c>
      <x:c r="CE654" s="178" t="str">
        <x:f>IF(COUNT(AA654:AJ654)=0,"",AVERAGE(AA654:AJ654)*4)</x:f>
      </x:c>
      <x:c r="CF654" s="178" t="str">
        <x:f>IF(COUNT(AK654:AR654)=0,"",AVERAGE(AK654:AR654)*4)</x:f>
      </x:c>
      <x:c r="CG654" s="178" t="str">
        <x:f>IF(COUNT(AS654:AY654)=0,"",AVERAGE(AS654:AY654)*4)</x:f>
      </x:c>
      <x:c r="CH654" s="178" t="str">
        <x:f>IF(COUNT(AZ654:BG654)=0,"",AVERAGE(AZ654:BG654)*4)</x:f>
      </x:c>
      <x:c r="CI654" s="178" t="str">
        <x:f>IF(COUNT(BH654:BN654)=0,"",AVERAGE(BH654:BN654)*4)</x:f>
      </x:c>
      <x:c r="CJ654" s="178" t="str">
        <x:f>IF(COUNT(BO654:BU654)=0,"",AVERAGE(BO654:BU654)*4)</x:f>
      </x:c>
      <x:c r="CK654" s="178" t="str">
        <x:f>IF(COUNT(BV654:CB654)=0,"",AVERAGE(BV654:CB654)*4)</x:f>
      </x:c>
      <x:c r="CL654" s="178" t="str">
        <x:f>IF(C654="","",IF(COUNT(G654:CB654)&lt;74,"",(CC654*'تنظیمات وزن‌دهی'!$C$5+CD654*'تنظیمات وزن‌دهی'!$C$6+CE654*'تنظیمات وزن‌دهی'!$C$7+CF654*'تنظیمات وزن‌دهی'!$C$8+CG654*'تنظیمات وزن‌دهی'!$C$9+CH654*'تنظیمات وزن‌دهی'!$C$10+CI654*'تنظیمات وزن‌دهی'!$C$11+CJ654*'تنظیمات وزن‌دهی'!$C$12+CK654*'تنظیمات وزن‌دهی'!$C$13)/100))</x:f>
      </x:c>
      <x:c r="CM654" s="178" t="str">
        <x:f>IF(C654="","",IF(COUNT(G654:CB654)=0,"",IF(COUNT(G654:CB654)&lt;74,"موقت - اطلاعات ناقص",IF(CL654&gt;=17,"عالی",IF(CL654&gt;=14,"خوب",IF(CL654&gt;=10,"متوسط","ضعیف"))))))</x:f>
      </x:c>
      <x:c r="CN654" s="178" t="n">
        <x:v>2</x:v>
      </x:c>
      <x:c r="CO654" s="142" t="n">
        <x:f>IF(C654="","",COUNT(G654:CB654)/74)</x:f>
        <x:v>0</x:v>
      </x:c>
      <x:c r="CP654" s="245"/>
    </x:row>
    <x:row r="655">
      <x:c r="A655" s="165" t="n">
        <x:v>651</x:v>
      </x:c>
      <x:c r="B655" s="233" t="str">
        <x:v>شهریور</x:v>
      </x:c>
      <x:c r="C655" s="233" t="n">
        <x:f>IF('دانش‌آموزان'!E59="","",'دانش‌آموزان'!B59)</x:f>
        <x:v>55</x:v>
      </x:c>
      <x:c r="D655" s="233" t="str">
        <x:f>IF('دانش‌آموزان'!C59="","",'دانش‌آموزان'!C59)</x:f>
        <x:v>4000000551</x:v>
      </x:c>
      <x:c r="E655" s="233" t="str">
        <x:f>IF('دانش‌آموزان'!E59="","",'دانش‌آموزان'!E59&amp;" "&amp;'دانش‌آموزان'!F59)</x:f>
        <x:v>ماهان سلیمانی</x:v>
      </x:c>
      <x:c r="F655" s="166" t="str">
        <x:f>IF('دانش‌آموزان'!I59="","",'دانش‌آموزان'!I59)</x:f>
        <x:v>sample-7-c</x:v>
      </x:c>
      <x:c r="G655" s="114"/>
      <x:c r="H655" s="115"/>
      <x:c r="I655" s="115"/>
      <x:c r="J655" s="115"/>
      <x:c r="K655" s="115"/>
      <x:c r="L655" s="115"/>
      <x:c r="M655" s="115"/>
      <x:c r="N655" s="115"/>
      <x:c r="O655" s="115"/>
      <x:c r="P655" s="115"/>
      <x:c r="Q655" s="115"/>
      <x:c r="R655" s="115"/>
      <x:c r="S655" s="115"/>
      <x:c r="T655" s="115"/>
      <x:c r="U655" s="115"/>
      <x:c r="V655" s="115"/>
      <x:c r="W655" s="115"/>
      <x:c r="X655" s="115"/>
      <x:c r="Y655" s="115"/>
      <x:c r="Z655" s="115"/>
      <x:c r="AA655" s="115"/>
      <x:c r="AB655" s="115"/>
      <x:c r="AC655" s="115"/>
      <x:c r="AD655" s="115"/>
      <x:c r="AE655" s="115"/>
      <x:c r="AF655" s="115"/>
      <x:c r="AG655" s="115"/>
      <x:c r="AH655" s="115"/>
      <x:c r="AI655" s="115"/>
      <x:c r="AJ655" s="115"/>
      <x:c r="AK655" s="115"/>
      <x:c r="AL655" s="115"/>
      <x:c r="AM655" s="115"/>
      <x:c r="AN655" s="115"/>
      <x:c r="AO655" s="115"/>
      <x:c r="AP655" s="115"/>
      <x:c r="AQ655" s="115"/>
      <x:c r="AR655" s="115"/>
      <x:c r="AS655" s="115"/>
      <x:c r="AT655" s="115"/>
      <x:c r="AU655" s="115"/>
      <x:c r="AV655" s="115"/>
      <x:c r="AW655" s="115"/>
      <x:c r="AX655" s="115"/>
      <x:c r="AY655" s="115"/>
      <x:c r="AZ655" s="115"/>
      <x:c r="BA655" s="115"/>
      <x:c r="BB655" s="115"/>
      <x:c r="BC655" s="115"/>
      <x:c r="BD655" s="115"/>
      <x:c r="BE655" s="115"/>
      <x:c r="BF655" s="115"/>
      <x:c r="BG655" s="115"/>
      <x:c r="BH655" s="115"/>
      <x:c r="BI655" s="115"/>
      <x:c r="BJ655" s="115"/>
      <x:c r="BK655" s="115"/>
      <x:c r="BL655" s="115"/>
      <x:c r="BM655" s="115"/>
      <x:c r="BN655" s="115"/>
      <x:c r="BO655" s="115"/>
      <x:c r="BP655" s="115"/>
      <x:c r="BQ655" s="115"/>
      <x:c r="BR655" s="115"/>
      <x:c r="BS655" s="115"/>
      <x:c r="BT655" s="115"/>
      <x:c r="BU655" s="115"/>
      <x:c r="BV655" s="115"/>
      <x:c r="BW655" s="115"/>
      <x:c r="BX655" s="115"/>
      <x:c r="BY655" s="115"/>
      <x:c r="BZ655" s="115"/>
      <x:c r="CA655" s="115"/>
      <x:c r="CB655" s="116"/>
      <x:c r="CC655" s="141" t="str">
        <x:f>IF(COUNT(G655:P655)=0,"",AVERAGE(G655:P655)*4)</x:f>
      </x:c>
      <x:c r="CD655" s="178" t="str">
        <x:f>IF(COUNT(Q655:Z655)=0,"",AVERAGE(Q655:Z655)*4)</x:f>
      </x:c>
      <x:c r="CE655" s="178" t="str">
        <x:f>IF(COUNT(AA655:AJ655)=0,"",AVERAGE(AA655:AJ655)*4)</x:f>
      </x:c>
      <x:c r="CF655" s="178" t="str">
        <x:f>IF(COUNT(AK655:AR655)=0,"",AVERAGE(AK655:AR655)*4)</x:f>
      </x:c>
      <x:c r="CG655" s="178" t="str">
        <x:f>IF(COUNT(AS655:AY655)=0,"",AVERAGE(AS655:AY655)*4)</x:f>
      </x:c>
      <x:c r="CH655" s="178" t="str">
        <x:f>IF(COUNT(AZ655:BG655)=0,"",AVERAGE(AZ655:BG655)*4)</x:f>
      </x:c>
      <x:c r="CI655" s="178" t="str">
        <x:f>IF(COUNT(BH655:BN655)=0,"",AVERAGE(BH655:BN655)*4)</x:f>
      </x:c>
      <x:c r="CJ655" s="178" t="str">
        <x:f>IF(COUNT(BO655:BU655)=0,"",AVERAGE(BO655:BU655)*4)</x:f>
      </x:c>
      <x:c r="CK655" s="178" t="str">
        <x:f>IF(COUNT(BV655:CB655)=0,"",AVERAGE(BV655:CB655)*4)</x:f>
      </x:c>
      <x:c r="CL655" s="178" t="str">
        <x:f>IF(C655="","",IF(COUNT(G655:CB655)&lt;74,"",(CC655*'تنظیمات وزن‌دهی'!$C$5+CD655*'تنظیمات وزن‌دهی'!$C$6+CE655*'تنظیمات وزن‌دهی'!$C$7+CF655*'تنظیمات وزن‌دهی'!$C$8+CG655*'تنظیمات وزن‌دهی'!$C$9+CH655*'تنظیمات وزن‌دهی'!$C$10+CI655*'تنظیمات وزن‌دهی'!$C$11+CJ655*'تنظیمات وزن‌دهی'!$C$12+CK655*'تنظیمات وزن‌دهی'!$C$13)/100))</x:f>
      </x:c>
      <x:c r="CM655" s="178" t="str">
        <x:f>IF(C655="","",IF(COUNT(G655:CB655)=0,"",IF(COUNT(G655:CB655)&lt;74,"موقت - اطلاعات ناقص",IF(CL655&gt;=17,"عالی",IF(CL655&gt;=14,"خوب",IF(CL655&gt;=10,"متوسط","ضعیف"))))))</x:f>
      </x:c>
      <x:c r="CN655" s="178" t="n">
        <x:v>3</x:v>
      </x:c>
      <x:c r="CO655" s="142" t="n">
        <x:f>IF(C655="","",COUNT(G655:CB655)/74)</x:f>
        <x:v>0</x:v>
      </x:c>
      <x:c r="CP655" s="245"/>
    </x:row>
    <x:row r="656">
      <x:c r="A656" s="165" t="n">
        <x:v>652</x:v>
      </x:c>
      <x:c r="B656" s="233" t="str">
        <x:v>مهر</x:v>
      </x:c>
      <x:c r="C656" s="233" t="n">
        <x:f>IF('دانش‌آموزان'!E59="","",'دانش‌آموزان'!B59)</x:f>
        <x:v>55</x:v>
      </x:c>
      <x:c r="D656" s="233" t="str">
        <x:f>IF('دانش‌آموزان'!C59="","",'دانش‌آموزان'!C59)</x:f>
        <x:v>4000000551</x:v>
      </x:c>
      <x:c r="E656" s="233" t="str">
        <x:f>IF('دانش‌آموزان'!E59="","",'دانش‌آموزان'!E59&amp;" "&amp;'دانش‌آموزان'!F59)</x:f>
        <x:v>ماهان سلیمانی</x:v>
      </x:c>
      <x:c r="F656" s="166" t="str">
        <x:f>IF('دانش‌آموزان'!I59="","",'دانش‌آموزان'!I59)</x:f>
        <x:v>sample-7-c</x:v>
      </x:c>
      <x:c r="G656" s="114"/>
      <x:c r="H656" s="115"/>
      <x:c r="I656" s="115"/>
      <x:c r="J656" s="115"/>
      <x:c r="K656" s="115"/>
      <x:c r="L656" s="115"/>
      <x:c r="M656" s="115"/>
      <x:c r="N656" s="115"/>
      <x:c r="O656" s="115"/>
      <x:c r="P656" s="115"/>
      <x:c r="Q656" s="115"/>
      <x:c r="R656" s="115"/>
      <x:c r="S656" s="115"/>
      <x:c r="T656" s="115"/>
      <x:c r="U656" s="115"/>
      <x:c r="V656" s="115"/>
      <x:c r="W656" s="115"/>
      <x:c r="X656" s="115"/>
      <x:c r="Y656" s="115"/>
      <x:c r="Z656" s="115"/>
      <x:c r="AA656" s="115"/>
      <x:c r="AB656" s="115"/>
      <x:c r="AC656" s="115"/>
      <x:c r="AD656" s="115"/>
      <x:c r="AE656" s="115"/>
      <x:c r="AF656" s="115"/>
      <x:c r="AG656" s="115"/>
      <x:c r="AH656" s="115"/>
      <x:c r="AI656" s="115"/>
      <x:c r="AJ656" s="115"/>
      <x:c r="AK656" s="115"/>
      <x:c r="AL656" s="115"/>
      <x:c r="AM656" s="115"/>
      <x:c r="AN656" s="115"/>
      <x:c r="AO656" s="115"/>
      <x:c r="AP656" s="115"/>
      <x:c r="AQ656" s="115"/>
      <x:c r="AR656" s="115"/>
      <x:c r="AS656" s="115"/>
      <x:c r="AT656" s="115"/>
      <x:c r="AU656" s="115"/>
      <x:c r="AV656" s="115"/>
      <x:c r="AW656" s="115"/>
      <x:c r="AX656" s="115"/>
      <x:c r="AY656" s="115"/>
      <x:c r="AZ656" s="115"/>
      <x:c r="BA656" s="115"/>
      <x:c r="BB656" s="115"/>
      <x:c r="BC656" s="115"/>
      <x:c r="BD656" s="115"/>
      <x:c r="BE656" s="115"/>
      <x:c r="BF656" s="115"/>
      <x:c r="BG656" s="115"/>
      <x:c r="BH656" s="115"/>
      <x:c r="BI656" s="115"/>
      <x:c r="BJ656" s="115"/>
      <x:c r="BK656" s="115"/>
      <x:c r="BL656" s="115"/>
      <x:c r="BM656" s="115"/>
      <x:c r="BN656" s="115"/>
      <x:c r="BO656" s="115"/>
      <x:c r="BP656" s="115"/>
      <x:c r="BQ656" s="115"/>
      <x:c r="BR656" s="115"/>
      <x:c r="BS656" s="115"/>
      <x:c r="BT656" s="115"/>
      <x:c r="BU656" s="115"/>
      <x:c r="BV656" s="115"/>
      <x:c r="BW656" s="115"/>
      <x:c r="BX656" s="115"/>
      <x:c r="BY656" s="115"/>
      <x:c r="BZ656" s="115"/>
      <x:c r="CA656" s="115"/>
      <x:c r="CB656" s="116"/>
      <x:c r="CC656" s="141" t="str">
        <x:f>IF(COUNT(G656:P656)=0,"",AVERAGE(G656:P656)*4)</x:f>
      </x:c>
      <x:c r="CD656" s="178" t="str">
        <x:f>IF(COUNT(Q656:Z656)=0,"",AVERAGE(Q656:Z656)*4)</x:f>
      </x:c>
      <x:c r="CE656" s="178" t="str">
        <x:f>IF(COUNT(AA656:AJ656)=0,"",AVERAGE(AA656:AJ656)*4)</x:f>
      </x:c>
      <x:c r="CF656" s="178" t="str">
        <x:f>IF(COUNT(AK656:AR656)=0,"",AVERAGE(AK656:AR656)*4)</x:f>
      </x:c>
      <x:c r="CG656" s="178" t="str">
        <x:f>IF(COUNT(AS656:AY656)=0,"",AVERAGE(AS656:AY656)*4)</x:f>
      </x:c>
      <x:c r="CH656" s="178" t="str">
        <x:f>IF(COUNT(AZ656:BG656)=0,"",AVERAGE(AZ656:BG656)*4)</x:f>
      </x:c>
      <x:c r="CI656" s="178" t="str">
        <x:f>IF(COUNT(BH656:BN656)=0,"",AVERAGE(BH656:BN656)*4)</x:f>
      </x:c>
      <x:c r="CJ656" s="178" t="str">
        <x:f>IF(COUNT(BO656:BU656)=0,"",AVERAGE(BO656:BU656)*4)</x:f>
      </x:c>
      <x:c r="CK656" s="178" t="str">
        <x:f>IF(COUNT(BV656:CB656)=0,"",AVERAGE(BV656:CB656)*4)</x:f>
      </x:c>
      <x:c r="CL656" s="178" t="str">
        <x:f>IF(C656="","",IF(COUNT(G656:CB656)&lt;74,"",(CC656*'تنظیمات وزن‌دهی'!$C$5+CD656*'تنظیمات وزن‌دهی'!$C$6+CE656*'تنظیمات وزن‌دهی'!$C$7+CF656*'تنظیمات وزن‌دهی'!$C$8+CG656*'تنظیمات وزن‌دهی'!$C$9+CH656*'تنظیمات وزن‌دهی'!$C$10+CI656*'تنظیمات وزن‌دهی'!$C$11+CJ656*'تنظیمات وزن‌دهی'!$C$12+CK656*'تنظیمات وزن‌دهی'!$C$13)/100))</x:f>
      </x:c>
      <x:c r="CM656" s="178" t="str">
        <x:f>IF(C656="","",IF(COUNT(G656:CB656)=0,"",IF(COUNT(G656:CB656)&lt;74,"موقت - اطلاعات ناقص",IF(CL656&gt;=17,"عالی",IF(CL656&gt;=14,"خوب",IF(CL656&gt;=10,"متوسط","ضعیف"))))))</x:f>
      </x:c>
      <x:c r="CN656" s="178" t="n">
        <x:v>4</x:v>
      </x:c>
      <x:c r="CO656" s="142" t="n">
        <x:f>IF(C656="","",COUNT(G656:CB656)/74)</x:f>
        <x:v>0</x:v>
      </x:c>
      <x:c r="CP656" s="245"/>
    </x:row>
    <x:row r="657">
      <x:c r="A657" s="165" t="n">
        <x:v>653</x:v>
      </x:c>
      <x:c r="B657" s="233" t="str">
        <x:v>آبان</x:v>
      </x:c>
      <x:c r="C657" s="233" t="n">
        <x:f>IF('دانش‌آموزان'!E59="","",'دانش‌آموزان'!B59)</x:f>
        <x:v>55</x:v>
      </x:c>
      <x:c r="D657" s="233" t="str">
        <x:f>IF('دانش‌آموزان'!C59="","",'دانش‌آموزان'!C59)</x:f>
        <x:v>4000000551</x:v>
      </x:c>
      <x:c r="E657" s="233" t="str">
        <x:f>IF('دانش‌آموزان'!E59="","",'دانش‌آموزان'!E59&amp;" "&amp;'دانش‌آموزان'!F59)</x:f>
        <x:v>ماهان سلیمانی</x:v>
      </x:c>
      <x:c r="F657" s="166" t="str">
        <x:f>IF('دانش‌آموزان'!I59="","",'دانش‌آموزان'!I59)</x:f>
        <x:v>sample-7-c</x:v>
      </x:c>
      <x:c r="G657" s="114"/>
      <x:c r="H657" s="115"/>
      <x:c r="I657" s="115"/>
      <x:c r="J657" s="115"/>
      <x:c r="K657" s="115"/>
      <x:c r="L657" s="115"/>
      <x:c r="M657" s="115"/>
      <x:c r="N657" s="115"/>
      <x:c r="O657" s="115"/>
      <x:c r="P657" s="115"/>
      <x:c r="Q657" s="115"/>
      <x:c r="R657" s="115"/>
      <x:c r="S657" s="115"/>
      <x:c r="T657" s="115"/>
      <x:c r="U657" s="115"/>
      <x:c r="V657" s="115"/>
      <x:c r="W657" s="115"/>
      <x:c r="X657" s="115"/>
      <x:c r="Y657" s="115"/>
      <x:c r="Z657" s="115"/>
      <x:c r="AA657" s="115"/>
      <x:c r="AB657" s="115"/>
      <x:c r="AC657" s="115"/>
      <x:c r="AD657" s="115"/>
      <x:c r="AE657" s="115"/>
      <x:c r="AF657" s="115"/>
      <x:c r="AG657" s="115"/>
      <x:c r="AH657" s="115"/>
      <x:c r="AI657" s="115"/>
      <x:c r="AJ657" s="115"/>
      <x:c r="AK657" s="115"/>
      <x:c r="AL657" s="115"/>
      <x:c r="AM657" s="115"/>
      <x:c r="AN657" s="115"/>
      <x:c r="AO657" s="115"/>
      <x:c r="AP657" s="115"/>
      <x:c r="AQ657" s="115"/>
      <x:c r="AR657" s="115"/>
      <x:c r="AS657" s="115"/>
      <x:c r="AT657" s="115"/>
      <x:c r="AU657" s="115"/>
      <x:c r="AV657" s="115"/>
      <x:c r="AW657" s="115"/>
      <x:c r="AX657" s="115"/>
      <x:c r="AY657" s="115"/>
      <x:c r="AZ657" s="115"/>
      <x:c r="BA657" s="115"/>
      <x:c r="BB657" s="115"/>
      <x:c r="BC657" s="115"/>
      <x:c r="BD657" s="115"/>
      <x:c r="BE657" s="115"/>
      <x:c r="BF657" s="115"/>
      <x:c r="BG657" s="115"/>
      <x:c r="BH657" s="115"/>
      <x:c r="BI657" s="115"/>
      <x:c r="BJ657" s="115"/>
      <x:c r="BK657" s="115"/>
      <x:c r="BL657" s="115"/>
      <x:c r="BM657" s="115"/>
      <x:c r="BN657" s="115"/>
      <x:c r="BO657" s="115"/>
      <x:c r="BP657" s="115"/>
      <x:c r="BQ657" s="115"/>
      <x:c r="BR657" s="115"/>
      <x:c r="BS657" s="115"/>
      <x:c r="BT657" s="115"/>
      <x:c r="BU657" s="115"/>
      <x:c r="BV657" s="115"/>
      <x:c r="BW657" s="115"/>
      <x:c r="BX657" s="115"/>
      <x:c r="BY657" s="115"/>
      <x:c r="BZ657" s="115"/>
      <x:c r="CA657" s="115"/>
      <x:c r="CB657" s="116"/>
      <x:c r="CC657" s="141" t="str">
        <x:f>IF(COUNT(G657:P657)=0,"",AVERAGE(G657:P657)*4)</x:f>
      </x:c>
      <x:c r="CD657" s="178" t="str">
        <x:f>IF(COUNT(Q657:Z657)=0,"",AVERAGE(Q657:Z657)*4)</x:f>
      </x:c>
      <x:c r="CE657" s="178" t="str">
        <x:f>IF(COUNT(AA657:AJ657)=0,"",AVERAGE(AA657:AJ657)*4)</x:f>
      </x:c>
      <x:c r="CF657" s="178" t="str">
        <x:f>IF(COUNT(AK657:AR657)=0,"",AVERAGE(AK657:AR657)*4)</x:f>
      </x:c>
      <x:c r="CG657" s="178" t="str">
        <x:f>IF(COUNT(AS657:AY657)=0,"",AVERAGE(AS657:AY657)*4)</x:f>
      </x:c>
      <x:c r="CH657" s="178" t="str">
        <x:f>IF(COUNT(AZ657:BG657)=0,"",AVERAGE(AZ657:BG657)*4)</x:f>
      </x:c>
      <x:c r="CI657" s="178" t="str">
        <x:f>IF(COUNT(BH657:BN657)=0,"",AVERAGE(BH657:BN657)*4)</x:f>
      </x:c>
      <x:c r="CJ657" s="178" t="str">
        <x:f>IF(COUNT(BO657:BU657)=0,"",AVERAGE(BO657:BU657)*4)</x:f>
      </x:c>
      <x:c r="CK657" s="178" t="str">
        <x:f>IF(COUNT(BV657:CB657)=0,"",AVERAGE(BV657:CB657)*4)</x:f>
      </x:c>
      <x:c r="CL657" s="178" t="str">
        <x:f>IF(C657="","",IF(COUNT(G657:CB657)&lt;74,"",(CC657*'تنظیمات وزن‌دهی'!$C$5+CD657*'تنظیمات وزن‌دهی'!$C$6+CE657*'تنظیمات وزن‌دهی'!$C$7+CF657*'تنظیمات وزن‌دهی'!$C$8+CG657*'تنظیمات وزن‌دهی'!$C$9+CH657*'تنظیمات وزن‌دهی'!$C$10+CI657*'تنظیمات وزن‌دهی'!$C$11+CJ657*'تنظیمات وزن‌دهی'!$C$12+CK657*'تنظیمات وزن‌دهی'!$C$13)/100))</x:f>
      </x:c>
      <x:c r="CM657" s="178" t="str">
        <x:f>IF(C657="","",IF(COUNT(G657:CB657)=0,"",IF(COUNT(G657:CB657)&lt;74,"موقت - اطلاعات ناقص",IF(CL657&gt;=17,"عالی",IF(CL657&gt;=14,"خوب",IF(CL657&gt;=10,"متوسط","ضعیف"))))))</x:f>
      </x:c>
      <x:c r="CN657" s="178" t="n">
        <x:v>5</x:v>
      </x:c>
      <x:c r="CO657" s="142" t="n">
        <x:f>IF(C657="","",COUNT(G657:CB657)/74)</x:f>
        <x:v>0</x:v>
      </x:c>
      <x:c r="CP657" s="245"/>
    </x:row>
    <x:row r="658">
      <x:c r="A658" s="165" t="n">
        <x:v>654</x:v>
      </x:c>
      <x:c r="B658" s="233" t="str">
        <x:v>آذر</x:v>
      </x:c>
      <x:c r="C658" s="233" t="n">
        <x:f>IF('دانش‌آموزان'!E59="","",'دانش‌آموزان'!B59)</x:f>
        <x:v>55</x:v>
      </x:c>
      <x:c r="D658" s="233" t="str">
        <x:f>IF('دانش‌آموزان'!C59="","",'دانش‌آموزان'!C59)</x:f>
        <x:v>4000000551</x:v>
      </x:c>
      <x:c r="E658" s="233" t="str">
        <x:f>IF('دانش‌آموزان'!E59="","",'دانش‌آموزان'!E59&amp;" "&amp;'دانش‌آموزان'!F59)</x:f>
        <x:v>ماهان سلیمانی</x:v>
      </x:c>
      <x:c r="F658" s="166" t="str">
        <x:f>IF('دانش‌آموزان'!I59="","",'دانش‌آموزان'!I59)</x:f>
        <x:v>sample-7-c</x:v>
      </x:c>
      <x:c r="G658" s="114"/>
      <x:c r="H658" s="115"/>
      <x:c r="I658" s="115"/>
      <x:c r="J658" s="115"/>
      <x:c r="K658" s="115"/>
      <x:c r="L658" s="115"/>
      <x:c r="M658" s="115"/>
      <x:c r="N658" s="115"/>
      <x:c r="O658" s="115"/>
      <x:c r="P658" s="115"/>
      <x:c r="Q658" s="115"/>
      <x:c r="R658" s="115"/>
      <x:c r="S658" s="115"/>
      <x:c r="T658" s="115"/>
      <x:c r="U658" s="115"/>
      <x:c r="V658" s="115"/>
      <x:c r="W658" s="115"/>
      <x:c r="X658" s="115"/>
      <x:c r="Y658" s="115"/>
      <x:c r="Z658" s="115"/>
      <x:c r="AA658" s="115"/>
      <x:c r="AB658" s="115"/>
      <x:c r="AC658" s="115"/>
      <x:c r="AD658" s="115"/>
      <x:c r="AE658" s="115"/>
      <x:c r="AF658" s="115"/>
      <x:c r="AG658" s="115"/>
      <x:c r="AH658" s="115"/>
      <x:c r="AI658" s="115"/>
      <x:c r="AJ658" s="115"/>
      <x:c r="AK658" s="115"/>
      <x:c r="AL658" s="115"/>
      <x:c r="AM658" s="115"/>
      <x:c r="AN658" s="115"/>
      <x:c r="AO658" s="115"/>
      <x:c r="AP658" s="115"/>
      <x:c r="AQ658" s="115"/>
      <x:c r="AR658" s="115"/>
      <x:c r="AS658" s="115"/>
      <x:c r="AT658" s="115"/>
      <x:c r="AU658" s="115"/>
      <x:c r="AV658" s="115"/>
      <x:c r="AW658" s="115"/>
      <x:c r="AX658" s="115"/>
      <x:c r="AY658" s="115"/>
      <x:c r="AZ658" s="115"/>
      <x:c r="BA658" s="115"/>
      <x:c r="BB658" s="115"/>
      <x:c r="BC658" s="115"/>
      <x:c r="BD658" s="115"/>
      <x:c r="BE658" s="115"/>
      <x:c r="BF658" s="115"/>
      <x:c r="BG658" s="115"/>
      <x:c r="BH658" s="115"/>
      <x:c r="BI658" s="115"/>
      <x:c r="BJ658" s="115"/>
      <x:c r="BK658" s="115"/>
      <x:c r="BL658" s="115"/>
      <x:c r="BM658" s="115"/>
      <x:c r="BN658" s="115"/>
      <x:c r="BO658" s="115"/>
      <x:c r="BP658" s="115"/>
      <x:c r="BQ658" s="115"/>
      <x:c r="BR658" s="115"/>
      <x:c r="BS658" s="115"/>
      <x:c r="BT658" s="115"/>
      <x:c r="BU658" s="115"/>
      <x:c r="BV658" s="115"/>
      <x:c r="BW658" s="115"/>
      <x:c r="BX658" s="115"/>
      <x:c r="BY658" s="115"/>
      <x:c r="BZ658" s="115"/>
      <x:c r="CA658" s="115"/>
      <x:c r="CB658" s="116"/>
      <x:c r="CC658" s="141" t="str">
        <x:f>IF(COUNT(G658:P658)=0,"",AVERAGE(G658:P658)*4)</x:f>
      </x:c>
      <x:c r="CD658" s="178" t="str">
        <x:f>IF(COUNT(Q658:Z658)=0,"",AVERAGE(Q658:Z658)*4)</x:f>
      </x:c>
      <x:c r="CE658" s="178" t="str">
        <x:f>IF(COUNT(AA658:AJ658)=0,"",AVERAGE(AA658:AJ658)*4)</x:f>
      </x:c>
      <x:c r="CF658" s="178" t="str">
        <x:f>IF(COUNT(AK658:AR658)=0,"",AVERAGE(AK658:AR658)*4)</x:f>
      </x:c>
      <x:c r="CG658" s="178" t="str">
        <x:f>IF(COUNT(AS658:AY658)=0,"",AVERAGE(AS658:AY658)*4)</x:f>
      </x:c>
      <x:c r="CH658" s="178" t="str">
        <x:f>IF(COUNT(AZ658:BG658)=0,"",AVERAGE(AZ658:BG658)*4)</x:f>
      </x:c>
      <x:c r="CI658" s="178" t="str">
        <x:f>IF(COUNT(BH658:BN658)=0,"",AVERAGE(BH658:BN658)*4)</x:f>
      </x:c>
      <x:c r="CJ658" s="178" t="str">
        <x:f>IF(COUNT(BO658:BU658)=0,"",AVERAGE(BO658:BU658)*4)</x:f>
      </x:c>
      <x:c r="CK658" s="178" t="str">
        <x:f>IF(COUNT(BV658:CB658)=0,"",AVERAGE(BV658:CB658)*4)</x:f>
      </x:c>
      <x:c r="CL658" s="178" t="str">
        <x:f>IF(C658="","",IF(COUNT(G658:CB658)&lt;74,"",(CC658*'تنظیمات وزن‌دهی'!$C$5+CD658*'تنظیمات وزن‌دهی'!$C$6+CE658*'تنظیمات وزن‌دهی'!$C$7+CF658*'تنظیمات وزن‌دهی'!$C$8+CG658*'تنظیمات وزن‌دهی'!$C$9+CH658*'تنظیمات وزن‌دهی'!$C$10+CI658*'تنظیمات وزن‌دهی'!$C$11+CJ658*'تنظیمات وزن‌دهی'!$C$12+CK658*'تنظیمات وزن‌دهی'!$C$13)/100))</x:f>
      </x:c>
      <x:c r="CM658" s="178" t="str">
        <x:f>IF(C658="","",IF(COUNT(G658:CB658)=0,"",IF(COUNT(G658:CB658)&lt;74,"موقت - اطلاعات ناقص",IF(CL658&gt;=17,"عالی",IF(CL658&gt;=14,"خوب",IF(CL658&gt;=10,"متوسط","ضعیف"))))))</x:f>
      </x:c>
      <x:c r="CN658" s="178" t="n">
        <x:v>6</x:v>
      </x:c>
      <x:c r="CO658" s="142" t="n">
        <x:f>IF(C658="","",COUNT(G658:CB658)/74)</x:f>
        <x:v>0</x:v>
      </x:c>
      <x:c r="CP658" s="245"/>
    </x:row>
    <x:row r="659">
      <x:c r="A659" s="165" t="n">
        <x:v>655</x:v>
      </x:c>
      <x:c r="B659" s="233" t="str">
        <x:v>دی</x:v>
      </x:c>
      <x:c r="C659" s="233" t="n">
        <x:f>IF('دانش‌آموزان'!E59="","",'دانش‌آموزان'!B59)</x:f>
        <x:v>55</x:v>
      </x:c>
      <x:c r="D659" s="233" t="str">
        <x:f>IF('دانش‌آموزان'!C59="","",'دانش‌آموزان'!C59)</x:f>
        <x:v>4000000551</x:v>
      </x:c>
      <x:c r="E659" s="233" t="str">
        <x:f>IF('دانش‌آموزان'!E59="","",'دانش‌آموزان'!E59&amp;" "&amp;'دانش‌آموزان'!F59)</x:f>
        <x:v>ماهان سلیمانی</x:v>
      </x:c>
      <x:c r="F659" s="166" t="str">
        <x:f>IF('دانش‌آموزان'!I59="","",'دانش‌آموزان'!I59)</x:f>
        <x:v>sample-7-c</x:v>
      </x:c>
      <x:c r="G659" s="114"/>
      <x:c r="H659" s="115"/>
      <x:c r="I659" s="115"/>
      <x:c r="J659" s="115"/>
      <x:c r="K659" s="115"/>
      <x:c r="L659" s="115"/>
      <x:c r="M659" s="115"/>
      <x:c r="N659" s="115"/>
      <x:c r="O659" s="115"/>
      <x:c r="P659" s="115"/>
      <x:c r="Q659" s="115"/>
      <x:c r="R659" s="115"/>
      <x:c r="S659" s="115"/>
      <x:c r="T659" s="115"/>
      <x:c r="U659" s="115"/>
      <x:c r="V659" s="115"/>
      <x:c r="W659" s="115"/>
      <x:c r="X659" s="115"/>
      <x:c r="Y659" s="115"/>
      <x:c r="Z659" s="115"/>
      <x:c r="AA659" s="115"/>
      <x:c r="AB659" s="115"/>
      <x:c r="AC659" s="115"/>
      <x:c r="AD659" s="115"/>
      <x:c r="AE659" s="115"/>
      <x:c r="AF659" s="115"/>
      <x:c r="AG659" s="115"/>
      <x:c r="AH659" s="115"/>
      <x:c r="AI659" s="115"/>
      <x:c r="AJ659" s="115"/>
      <x:c r="AK659" s="115"/>
      <x:c r="AL659" s="115"/>
      <x:c r="AM659" s="115"/>
      <x:c r="AN659" s="115"/>
      <x:c r="AO659" s="115"/>
      <x:c r="AP659" s="115"/>
      <x:c r="AQ659" s="115"/>
      <x:c r="AR659" s="115"/>
      <x:c r="AS659" s="115"/>
      <x:c r="AT659" s="115"/>
      <x:c r="AU659" s="115"/>
      <x:c r="AV659" s="115"/>
      <x:c r="AW659" s="115"/>
      <x:c r="AX659" s="115"/>
      <x:c r="AY659" s="115"/>
      <x:c r="AZ659" s="115"/>
      <x:c r="BA659" s="115"/>
      <x:c r="BB659" s="115"/>
      <x:c r="BC659" s="115"/>
      <x:c r="BD659" s="115"/>
      <x:c r="BE659" s="115"/>
      <x:c r="BF659" s="115"/>
      <x:c r="BG659" s="115"/>
      <x:c r="BH659" s="115"/>
      <x:c r="BI659" s="115"/>
      <x:c r="BJ659" s="115"/>
      <x:c r="BK659" s="115"/>
      <x:c r="BL659" s="115"/>
      <x:c r="BM659" s="115"/>
      <x:c r="BN659" s="115"/>
      <x:c r="BO659" s="115"/>
      <x:c r="BP659" s="115"/>
      <x:c r="BQ659" s="115"/>
      <x:c r="BR659" s="115"/>
      <x:c r="BS659" s="115"/>
      <x:c r="BT659" s="115"/>
      <x:c r="BU659" s="115"/>
      <x:c r="BV659" s="115"/>
      <x:c r="BW659" s="115"/>
      <x:c r="BX659" s="115"/>
      <x:c r="BY659" s="115"/>
      <x:c r="BZ659" s="115"/>
      <x:c r="CA659" s="115"/>
      <x:c r="CB659" s="116"/>
      <x:c r="CC659" s="141" t="str">
        <x:f>IF(COUNT(G659:P659)=0,"",AVERAGE(G659:P659)*4)</x:f>
      </x:c>
      <x:c r="CD659" s="178" t="str">
        <x:f>IF(COUNT(Q659:Z659)=0,"",AVERAGE(Q659:Z659)*4)</x:f>
      </x:c>
      <x:c r="CE659" s="178" t="str">
        <x:f>IF(COUNT(AA659:AJ659)=0,"",AVERAGE(AA659:AJ659)*4)</x:f>
      </x:c>
      <x:c r="CF659" s="178" t="str">
        <x:f>IF(COUNT(AK659:AR659)=0,"",AVERAGE(AK659:AR659)*4)</x:f>
      </x:c>
      <x:c r="CG659" s="178" t="str">
        <x:f>IF(COUNT(AS659:AY659)=0,"",AVERAGE(AS659:AY659)*4)</x:f>
      </x:c>
      <x:c r="CH659" s="178" t="str">
        <x:f>IF(COUNT(AZ659:BG659)=0,"",AVERAGE(AZ659:BG659)*4)</x:f>
      </x:c>
      <x:c r="CI659" s="178" t="str">
        <x:f>IF(COUNT(BH659:BN659)=0,"",AVERAGE(BH659:BN659)*4)</x:f>
      </x:c>
      <x:c r="CJ659" s="178" t="str">
        <x:f>IF(COUNT(BO659:BU659)=0,"",AVERAGE(BO659:BU659)*4)</x:f>
      </x:c>
      <x:c r="CK659" s="178" t="str">
        <x:f>IF(COUNT(BV659:CB659)=0,"",AVERAGE(BV659:CB659)*4)</x:f>
      </x:c>
      <x:c r="CL659" s="178" t="str">
        <x:f>IF(C659="","",IF(COUNT(G659:CB659)&lt;74,"",(CC659*'تنظیمات وزن‌دهی'!$C$5+CD659*'تنظیمات وزن‌دهی'!$C$6+CE659*'تنظیمات وزن‌دهی'!$C$7+CF659*'تنظیمات وزن‌دهی'!$C$8+CG659*'تنظیمات وزن‌دهی'!$C$9+CH659*'تنظیمات وزن‌دهی'!$C$10+CI659*'تنظیمات وزن‌دهی'!$C$11+CJ659*'تنظیمات وزن‌دهی'!$C$12+CK659*'تنظیمات وزن‌دهی'!$C$13)/100))</x:f>
      </x:c>
      <x:c r="CM659" s="178" t="str">
        <x:f>IF(C659="","",IF(COUNT(G659:CB659)=0,"",IF(COUNT(G659:CB659)&lt;74,"موقت - اطلاعات ناقص",IF(CL659&gt;=17,"عالی",IF(CL659&gt;=14,"خوب",IF(CL659&gt;=10,"متوسط","ضعیف"))))))</x:f>
      </x:c>
      <x:c r="CN659" s="178" t="n">
        <x:v>7</x:v>
      </x:c>
      <x:c r="CO659" s="142" t="n">
        <x:f>IF(C659="","",COUNT(G659:CB659)/74)</x:f>
        <x:v>0</x:v>
      </x:c>
      <x:c r="CP659" s="245"/>
    </x:row>
    <x:row r="660">
      <x:c r="A660" s="165" t="n">
        <x:v>656</x:v>
      </x:c>
      <x:c r="B660" s="233" t="str">
        <x:v>بهمن</x:v>
      </x:c>
      <x:c r="C660" s="233" t="n">
        <x:f>IF('دانش‌آموزان'!E59="","",'دانش‌آموزان'!B59)</x:f>
        <x:v>55</x:v>
      </x:c>
      <x:c r="D660" s="233" t="str">
        <x:f>IF('دانش‌آموزان'!C59="","",'دانش‌آموزان'!C59)</x:f>
        <x:v>4000000551</x:v>
      </x:c>
      <x:c r="E660" s="233" t="str">
        <x:f>IF('دانش‌آموزان'!E59="","",'دانش‌آموزان'!E59&amp;" "&amp;'دانش‌آموزان'!F59)</x:f>
        <x:v>ماهان سلیمانی</x:v>
      </x:c>
      <x:c r="F660" s="166" t="str">
        <x:f>IF('دانش‌آموزان'!I59="","",'دانش‌آموزان'!I59)</x:f>
        <x:v>sample-7-c</x:v>
      </x:c>
      <x:c r="G660" s="114"/>
      <x:c r="H660" s="115"/>
      <x:c r="I660" s="115"/>
      <x:c r="J660" s="115"/>
      <x:c r="K660" s="115"/>
      <x:c r="L660" s="115"/>
      <x:c r="M660" s="115"/>
      <x:c r="N660" s="115"/>
      <x:c r="O660" s="115"/>
      <x:c r="P660" s="115"/>
      <x:c r="Q660" s="115"/>
      <x:c r="R660" s="115"/>
      <x:c r="S660" s="115"/>
      <x:c r="T660" s="115"/>
      <x:c r="U660" s="115"/>
      <x:c r="V660" s="115"/>
      <x:c r="W660" s="115"/>
      <x:c r="X660" s="115"/>
      <x:c r="Y660" s="115"/>
      <x:c r="Z660" s="115"/>
      <x:c r="AA660" s="115"/>
      <x:c r="AB660" s="115"/>
      <x:c r="AC660" s="115"/>
      <x:c r="AD660" s="115"/>
      <x:c r="AE660" s="115"/>
      <x:c r="AF660" s="115"/>
      <x:c r="AG660" s="115"/>
      <x:c r="AH660" s="115"/>
      <x:c r="AI660" s="115"/>
      <x:c r="AJ660" s="115"/>
      <x:c r="AK660" s="115"/>
      <x:c r="AL660" s="115"/>
      <x:c r="AM660" s="115"/>
      <x:c r="AN660" s="115"/>
      <x:c r="AO660" s="115"/>
      <x:c r="AP660" s="115"/>
      <x:c r="AQ660" s="115"/>
      <x:c r="AR660" s="115"/>
      <x:c r="AS660" s="115"/>
      <x:c r="AT660" s="115"/>
      <x:c r="AU660" s="115"/>
      <x:c r="AV660" s="115"/>
      <x:c r="AW660" s="115"/>
      <x:c r="AX660" s="115"/>
      <x:c r="AY660" s="115"/>
      <x:c r="AZ660" s="115"/>
      <x:c r="BA660" s="115"/>
      <x:c r="BB660" s="115"/>
      <x:c r="BC660" s="115"/>
      <x:c r="BD660" s="115"/>
      <x:c r="BE660" s="115"/>
      <x:c r="BF660" s="115"/>
      <x:c r="BG660" s="115"/>
      <x:c r="BH660" s="115"/>
      <x:c r="BI660" s="115"/>
      <x:c r="BJ660" s="115"/>
      <x:c r="BK660" s="115"/>
      <x:c r="BL660" s="115"/>
      <x:c r="BM660" s="115"/>
      <x:c r="BN660" s="115"/>
      <x:c r="BO660" s="115"/>
      <x:c r="BP660" s="115"/>
      <x:c r="BQ660" s="115"/>
      <x:c r="BR660" s="115"/>
      <x:c r="BS660" s="115"/>
      <x:c r="BT660" s="115"/>
      <x:c r="BU660" s="115"/>
      <x:c r="BV660" s="115"/>
      <x:c r="BW660" s="115"/>
      <x:c r="BX660" s="115"/>
      <x:c r="BY660" s="115"/>
      <x:c r="BZ660" s="115"/>
      <x:c r="CA660" s="115"/>
      <x:c r="CB660" s="116"/>
      <x:c r="CC660" s="141" t="str">
        <x:f>IF(COUNT(G660:P660)=0,"",AVERAGE(G660:P660)*4)</x:f>
      </x:c>
      <x:c r="CD660" s="178" t="str">
        <x:f>IF(COUNT(Q660:Z660)=0,"",AVERAGE(Q660:Z660)*4)</x:f>
      </x:c>
      <x:c r="CE660" s="178" t="str">
        <x:f>IF(COUNT(AA660:AJ660)=0,"",AVERAGE(AA660:AJ660)*4)</x:f>
      </x:c>
      <x:c r="CF660" s="178" t="str">
        <x:f>IF(COUNT(AK660:AR660)=0,"",AVERAGE(AK660:AR660)*4)</x:f>
      </x:c>
      <x:c r="CG660" s="178" t="str">
        <x:f>IF(COUNT(AS660:AY660)=0,"",AVERAGE(AS660:AY660)*4)</x:f>
      </x:c>
      <x:c r="CH660" s="178" t="str">
        <x:f>IF(COUNT(AZ660:BG660)=0,"",AVERAGE(AZ660:BG660)*4)</x:f>
      </x:c>
      <x:c r="CI660" s="178" t="str">
        <x:f>IF(COUNT(BH660:BN660)=0,"",AVERAGE(BH660:BN660)*4)</x:f>
      </x:c>
      <x:c r="CJ660" s="178" t="str">
        <x:f>IF(COUNT(BO660:BU660)=0,"",AVERAGE(BO660:BU660)*4)</x:f>
      </x:c>
      <x:c r="CK660" s="178" t="str">
        <x:f>IF(COUNT(BV660:CB660)=0,"",AVERAGE(BV660:CB660)*4)</x:f>
      </x:c>
      <x:c r="CL660" s="178" t="str">
        <x:f>IF(C660="","",IF(COUNT(G660:CB660)&lt;74,"",(CC660*'تنظیمات وزن‌دهی'!$C$5+CD660*'تنظیمات وزن‌دهی'!$C$6+CE660*'تنظیمات وزن‌دهی'!$C$7+CF660*'تنظیمات وزن‌دهی'!$C$8+CG660*'تنظیمات وزن‌دهی'!$C$9+CH660*'تنظیمات وزن‌دهی'!$C$10+CI660*'تنظیمات وزن‌دهی'!$C$11+CJ660*'تنظیمات وزن‌دهی'!$C$12+CK660*'تنظیمات وزن‌دهی'!$C$13)/100))</x:f>
      </x:c>
      <x:c r="CM660" s="178" t="str">
        <x:f>IF(C660="","",IF(COUNT(G660:CB660)=0,"",IF(COUNT(G660:CB660)&lt;74,"موقت - اطلاعات ناقص",IF(CL660&gt;=17,"عالی",IF(CL660&gt;=14,"خوب",IF(CL660&gt;=10,"متوسط","ضعیف"))))))</x:f>
      </x:c>
      <x:c r="CN660" s="178" t="n">
        <x:v>8</x:v>
      </x:c>
      <x:c r="CO660" s="142" t="n">
        <x:f>IF(C660="","",COUNT(G660:CB660)/74)</x:f>
        <x:v>0</x:v>
      </x:c>
      <x:c r="CP660" s="245"/>
    </x:row>
    <x:row r="661">
      <x:c r="A661" s="165" t="n">
        <x:v>657</x:v>
      </x:c>
      <x:c r="B661" s="233" t="str">
        <x:v>اسفند</x:v>
      </x:c>
      <x:c r="C661" s="233" t="n">
        <x:f>IF('دانش‌آموزان'!E59="","",'دانش‌آموزان'!B59)</x:f>
        <x:v>55</x:v>
      </x:c>
      <x:c r="D661" s="233" t="str">
        <x:f>IF('دانش‌آموزان'!C59="","",'دانش‌آموزان'!C59)</x:f>
        <x:v>4000000551</x:v>
      </x:c>
      <x:c r="E661" s="233" t="str">
        <x:f>IF('دانش‌آموزان'!E59="","",'دانش‌آموزان'!E59&amp;" "&amp;'دانش‌آموزان'!F59)</x:f>
        <x:v>ماهان سلیمانی</x:v>
      </x:c>
      <x:c r="F661" s="166" t="str">
        <x:f>IF('دانش‌آموزان'!I59="","",'دانش‌آموزان'!I59)</x:f>
        <x:v>sample-7-c</x:v>
      </x:c>
      <x:c r="G661" s="114"/>
      <x:c r="H661" s="115"/>
      <x:c r="I661" s="115"/>
      <x:c r="J661" s="115"/>
      <x:c r="K661" s="115"/>
      <x:c r="L661" s="115"/>
      <x:c r="M661" s="115"/>
      <x:c r="N661" s="115"/>
      <x:c r="O661" s="115"/>
      <x:c r="P661" s="115"/>
      <x:c r="Q661" s="115"/>
      <x:c r="R661" s="115"/>
      <x:c r="S661" s="115"/>
      <x:c r="T661" s="115"/>
      <x:c r="U661" s="115"/>
      <x:c r="V661" s="115"/>
      <x:c r="W661" s="115"/>
      <x:c r="X661" s="115"/>
      <x:c r="Y661" s="115"/>
      <x:c r="Z661" s="115"/>
      <x:c r="AA661" s="115"/>
      <x:c r="AB661" s="115"/>
      <x:c r="AC661" s="115"/>
      <x:c r="AD661" s="115"/>
      <x:c r="AE661" s="115"/>
      <x:c r="AF661" s="115"/>
      <x:c r="AG661" s="115"/>
      <x:c r="AH661" s="115"/>
      <x:c r="AI661" s="115"/>
      <x:c r="AJ661" s="115"/>
      <x:c r="AK661" s="115"/>
      <x:c r="AL661" s="115"/>
      <x:c r="AM661" s="115"/>
      <x:c r="AN661" s="115"/>
      <x:c r="AO661" s="115"/>
      <x:c r="AP661" s="115"/>
      <x:c r="AQ661" s="115"/>
      <x:c r="AR661" s="115"/>
      <x:c r="AS661" s="115"/>
      <x:c r="AT661" s="115"/>
      <x:c r="AU661" s="115"/>
      <x:c r="AV661" s="115"/>
      <x:c r="AW661" s="115"/>
      <x:c r="AX661" s="115"/>
      <x:c r="AY661" s="115"/>
      <x:c r="AZ661" s="115"/>
      <x:c r="BA661" s="115"/>
      <x:c r="BB661" s="115"/>
      <x:c r="BC661" s="115"/>
      <x:c r="BD661" s="115"/>
      <x:c r="BE661" s="115"/>
      <x:c r="BF661" s="115"/>
      <x:c r="BG661" s="115"/>
      <x:c r="BH661" s="115"/>
      <x:c r="BI661" s="115"/>
      <x:c r="BJ661" s="115"/>
      <x:c r="BK661" s="115"/>
      <x:c r="BL661" s="115"/>
      <x:c r="BM661" s="115"/>
      <x:c r="BN661" s="115"/>
      <x:c r="BO661" s="115"/>
      <x:c r="BP661" s="115"/>
      <x:c r="BQ661" s="115"/>
      <x:c r="BR661" s="115"/>
      <x:c r="BS661" s="115"/>
      <x:c r="BT661" s="115"/>
      <x:c r="BU661" s="115"/>
      <x:c r="BV661" s="115"/>
      <x:c r="BW661" s="115"/>
      <x:c r="BX661" s="115"/>
      <x:c r="BY661" s="115"/>
      <x:c r="BZ661" s="115"/>
      <x:c r="CA661" s="115"/>
      <x:c r="CB661" s="116"/>
      <x:c r="CC661" s="141" t="str">
        <x:f>IF(COUNT(G661:P661)=0,"",AVERAGE(G661:P661)*4)</x:f>
      </x:c>
      <x:c r="CD661" s="178" t="str">
        <x:f>IF(COUNT(Q661:Z661)=0,"",AVERAGE(Q661:Z661)*4)</x:f>
      </x:c>
      <x:c r="CE661" s="178" t="str">
        <x:f>IF(COUNT(AA661:AJ661)=0,"",AVERAGE(AA661:AJ661)*4)</x:f>
      </x:c>
      <x:c r="CF661" s="178" t="str">
        <x:f>IF(COUNT(AK661:AR661)=0,"",AVERAGE(AK661:AR661)*4)</x:f>
      </x:c>
      <x:c r="CG661" s="178" t="str">
        <x:f>IF(COUNT(AS661:AY661)=0,"",AVERAGE(AS661:AY661)*4)</x:f>
      </x:c>
      <x:c r="CH661" s="178" t="str">
        <x:f>IF(COUNT(AZ661:BG661)=0,"",AVERAGE(AZ661:BG661)*4)</x:f>
      </x:c>
      <x:c r="CI661" s="178" t="str">
        <x:f>IF(COUNT(BH661:BN661)=0,"",AVERAGE(BH661:BN661)*4)</x:f>
      </x:c>
      <x:c r="CJ661" s="178" t="str">
        <x:f>IF(COUNT(BO661:BU661)=0,"",AVERAGE(BO661:BU661)*4)</x:f>
      </x:c>
      <x:c r="CK661" s="178" t="str">
        <x:f>IF(COUNT(BV661:CB661)=0,"",AVERAGE(BV661:CB661)*4)</x:f>
      </x:c>
      <x:c r="CL661" s="178" t="str">
        <x:f>IF(C661="","",IF(COUNT(G661:CB661)&lt;74,"",(CC661*'تنظیمات وزن‌دهی'!$C$5+CD661*'تنظیمات وزن‌دهی'!$C$6+CE661*'تنظیمات وزن‌دهی'!$C$7+CF661*'تنظیمات وزن‌دهی'!$C$8+CG661*'تنظیمات وزن‌دهی'!$C$9+CH661*'تنظیمات وزن‌دهی'!$C$10+CI661*'تنظیمات وزن‌دهی'!$C$11+CJ661*'تنظیمات وزن‌دهی'!$C$12+CK661*'تنظیمات وزن‌دهی'!$C$13)/100))</x:f>
      </x:c>
      <x:c r="CM661" s="178" t="str">
        <x:f>IF(C661="","",IF(COUNT(G661:CB661)=0,"",IF(COUNT(G661:CB661)&lt;74,"موقت - اطلاعات ناقص",IF(CL661&gt;=17,"عالی",IF(CL661&gt;=14,"خوب",IF(CL661&gt;=10,"متوسط","ضعیف"))))))</x:f>
      </x:c>
      <x:c r="CN661" s="178" t="n">
        <x:v>9</x:v>
      </x:c>
      <x:c r="CO661" s="142" t="n">
        <x:f>IF(C661="","",COUNT(G661:CB661)/74)</x:f>
        <x:v>0</x:v>
      </x:c>
      <x:c r="CP661" s="245"/>
    </x:row>
    <x:row r="662">
      <x:c r="A662" s="165" t="n">
        <x:v>658</x:v>
      </x:c>
      <x:c r="B662" s="233" t="str">
        <x:v>فروردین</x:v>
      </x:c>
      <x:c r="C662" s="233" t="n">
        <x:f>IF('دانش‌آموزان'!E59="","",'دانش‌آموزان'!B59)</x:f>
        <x:v>55</x:v>
      </x:c>
      <x:c r="D662" s="233" t="str">
        <x:f>IF('دانش‌آموزان'!C59="","",'دانش‌آموزان'!C59)</x:f>
        <x:v>4000000551</x:v>
      </x:c>
      <x:c r="E662" s="233" t="str">
        <x:f>IF('دانش‌آموزان'!E59="","",'دانش‌آموزان'!E59&amp;" "&amp;'دانش‌آموزان'!F59)</x:f>
        <x:v>ماهان سلیمانی</x:v>
      </x:c>
      <x:c r="F662" s="166" t="str">
        <x:f>IF('دانش‌آموزان'!I59="","",'دانش‌آموزان'!I59)</x:f>
        <x:v>sample-7-c</x:v>
      </x:c>
      <x:c r="G662" s="114"/>
      <x:c r="H662" s="115"/>
      <x:c r="I662" s="115"/>
      <x:c r="J662" s="115"/>
      <x:c r="K662" s="115"/>
      <x:c r="L662" s="115"/>
      <x:c r="M662" s="115"/>
      <x:c r="N662" s="115"/>
      <x:c r="O662" s="115"/>
      <x:c r="P662" s="115"/>
      <x:c r="Q662" s="115"/>
      <x:c r="R662" s="115"/>
      <x:c r="S662" s="115"/>
      <x:c r="T662" s="115"/>
      <x:c r="U662" s="115"/>
      <x:c r="V662" s="115"/>
      <x:c r="W662" s="115"/>
      <x:c r="X662" s="115"/>
      <x:c r="Y662" s="115"/>
      <x:c r="Z662" s="115"/>
      <x:c r="AA662" s="115"/>
      <x:c r="AB662" s="115"/>
      <x:c r="AC662" s="115"/>
      <x:c r="AD662" s="115"/>
      <x:c r="AE662" s="115"/>
      <x:c r="AF662" s="115"/>
      <x:c r="AG662" s="115"/>
      <x:c r="AH662" s="115"/>
      <x:c r="AI662" s="115"/>
      <x:c r="AJ662" s="115"/>
      <x:c r="AK662" s="115"/>
      <x:c r="AL662" s="115"/>
      <x:c r="AM662" s="115"/>
      <x:c r="AN662" s="115"/>
      <x:c r="AO662" s="115"/>
      <x:c r="AP662" s="115"/>
      <x:c r="AQ662" s="115"/>
      <x:c r="AR662" s="115"/>
      <x:c r="AS662" s="115"/>
      <x:c r="AT662" s="115"/>
      <x:c r="AU662" s="115"/>
      <x:c r="AV662" s="115"/>
      <x:c r="AW662" s="115"/>
      <x:c r="AX662" s="115"/>
      <x:c r="AY662" s="115"/>
      <x:c r="AZ662" s="115"/>
      <x:c r="BA662" s="115"/>
      <x:c r="BB662" s="115"/>
      <x:c r="BC662" s="115"/>
      <x:c r="BD662" s="115"/>
      <x:c r="BE662" s="115"/>
      <x:c r="BF662" s="115"/>
      <x:c r="BG662" s="115"/>
      <x:c r="BH662" s="115"/>
      <x:c r="BI662" s="115"/>
      <x:c r="BJ662" s="115"/>
      <x:c r="BK662" s="115"/>
      <x:c r="BL662" s="115"/>
      <x:c r="BM662" s="115"/>
      <x:c r="BN662" s="115"/>
      <x:c r="BO662" s="115"/>
      <x:c r="BP662" s="115"/>
      <x:c r="BQ662" s="115"/>
      <x:c r="BR662" s="115"/>
      <x:c r="BS662" s="115"/>
      <x:c r="BT662" s="115"/>
      <x:c r="BU662" s="115"/>
      <x:c r="BV662" s="115"/>
      <x:c r="BW662" s="115"/>
      <x:c r="BX662" s="115"/>
      <x:c r="BY662" s="115"/>
      <x:c r="BZ662" s="115"/>
      <x:c r="CA662" s="115"/>
      <x:c r="CB662" s="116"/>
      <x:c r="CC662" s="141" t="str">
        <x:f>IF(COUNT(G662:P662)=0,"",AVERAGE(G662:P662)*4)</x:f>
      </x:c>
      <x:c r="CD662" s="178" t="str">
        <x:f>IF(COUNT(Q662:Z662)=0,"",AVERAGE(Q662:Z662)*4)</x:f>
      </x:c>
      <x:c r="CE662" s="178" t="str">
        <x:f>IF(COUNT(AA662:AJ662)=0,"",AVERAGE(AA662:AJ662)*4)</x:f>
      </x:c>
      <x:c r="CF662" s="178" t="str">
        <x:f>IF(COUNT(AK662:AR662)=0,"",AVERAGE(AK662:AR662)*4)</x:f>
      </x:c>
      <x:c r="CG662" s="178" t="str">
        <x:f>IF(COUNT(AS662:AY662)=0,"",AVERAGE(AS662:AY662)*4)</x:f>
      </x:c>
      <x:c r="CH662" s="178" t="str">
        <x:f>IF(COUNT(AZ662:BG662)=0,"",AVERAGE(AZ662:BG662)*4)</x:f>
      </x:c>
      <x:c r="CI662" s="178" t="str">
        <x:f>IF(COUNT(BH662:BN662)=0,"",AVERAGE(BH662:BN662)*4)</x:f>
      </x:c>
      <x:c r="CJ662" s="178" t="str">
        <x:f>IF(COUNT(BO662:BU662)=0,"",AVERAGE(BO662:BU662)*4)</x:f>
      </x:c>
      <x:c r="CK662" s="178" t="str">
        <x:f>IF(COUNT(BV662:CB662)=0,"",AVERAGE(BV662:CB662)*4)</x:f>
      </x:c>
      <x:c r="CL662" s="178" t="str">
        <x:f>IF(C662="","",IF(COUNT(G662:CB662)&lt;74,"",(CC662*'تنظیمات وزن‌دهی'!$C$5+CD662*'تنظیمات وزن‌دهی'!$C$6+CE662*'تنظیمات وزن‌دهی'!$C$7+CF662*'تنظیمات وزن‌دهی'!$C$8+CG662*'تنظیمات وزن‌دهی'!$C$9+CH662*'تنظیمات وزن‌دهی'!$C$10+CI662*'تنظیمات وزن‌دهی'!$C$11+CJ662*'تنظیمات وزن‌دهی'!$C$12+CK662*'تنظیمات وزن‌دهی'!$C$13)/100))</x:f>
      </x:c>
      <x:c r="CM662" s="178" t="str">
        <x:f>IF(C662="","",IF(COUNT(G662:CB662)=0,"",IF(COUNT(G662:CB662)&lt;74,"موقت - اطلاعات ناقص",IF(CL662&gt;=17,"عالی",IF(CL662&gt;=14,"خوب",IF(CL662&gt;=10,"متوسط","ضعیف"))))))</x:f>
      </x:c>
      <x:c r="CN662" s="178" t="n">
        <x:v>10</x:v>
      </x:c>
      <x:c r="CO662" s="142" t="n">
        <x:f>IF(C662="","",COUNT(G662:CB662)/74)</x:f>
        <x:v>0</x:v>
      </x:c>
      <x:c r="CP662" s="245"/>
    </x:row>
    <x:row r="663">
      <x:c r="A663" s="165" t="n">
        <x:v>659</x:v>
      </x:c>
      <x:c r="B663" s="233" t="str">
        <x:v>اردیبهشت</x:v>
      </x:c>
      <x:c r="C663" s="233" t="n">
        <x:f>IF('دانش‌آموزان'!E59="","",'دانش‌آموزان'!B59)</x:f>
        <x:v>55</x:v>
      </x:c>
      <x:c r="D663" s="233" t="str">
        <x:f>IF('دانش‌آموزان'!C59="","",'دانش‌آموزان'!C59)</x:f>
        <x:v>4000000551</x:v>
      </x:c>
      <x:c r="E663" s="233" t="str">
        <x:f>IF('دانش‌آموزان'!E59="","",'دانش‌آموزان'!E59&amp;" "&amp;'دانش‌آموزان'!F59)</x:f>
        <x:v>ماهان سلیمانی</x:v>
      </x:c>
      <x:c r="F663" s="166" t="str">
        <x:f>IF('دانش‌آموزان'!I59="","",'دانش‌آموزان'!I59)</x:f>
        <x:v>sample-7-c</x:v>
      </x:c>
      <x:c r="G663" s="114"/>
      <x:c r="H663" s="115"/>
      <x:c r="I663" s="115"/>
      <x:c r="J663" s="115"/>
      <x:c r="K663" s="115"/>
      <x:c r="L663" s="115"/>
      <x:c r="M663" s="115"/>
      <x:c r="N663" s="115"/>
      <x:c r="O663" s="115"/>
      <x:c r="P663" s="115"/>
      <x:c r="Q663" s="115"/>
      <x:c r="R663" s="115"/>
      <x:c r="S663" s="115"/>
      <x:c r="T663" s="115"/>
      <x:c r="U663" s="115"/>
      <x:c r="V663" s="115"/>
      <x:c r="W663" s="115"/>
      <x:c r="X663" s="115"/>
      <x:c r="Y663" s="115"/>
      <x:c r="Z663" s="115"/>
      <x:c r="AA663" s="115"/>
      <x:c r="AB663" s="115"/>
      <x:c r="AC663" s="115"/>
      <x:c r="AD663" s="115"/>
      <x:c r="AE663" s="115"/>
      <x:c r="AF663" s="115"/>
      <x:c r="AG663" s="115"/>
      <x:c r="AH663" s="115"/>
      <x:c r="AI663" s="115"/>
      <x:c r="AJ663" s="115"/>
      <x:c r="AK663" s="115"/>
      <x:c r="AL663" s="115"/>
      <x:c r="AM663" s="115"/>
      <x:c r="AN663" s="115"/>
      <x:c r="AO663" s="115"/>
      <x:c r="AP663" s="115"/>
      <x:c r="AQ663" s="115"/>
      <x:c r="AR663" s="115"/>
      <x:c r="AS663" s="115"/>
      <x:c r="AT663" s="115"/>
      <x:c r="AU663" s="115"/>
      <x:c r="AV663" s="115"/>
      <x:c r="AW663" s="115"/>
      <x:c r="AX663" s="115"/>
      <x:c r="AY663" s="115"/>
      <x:c r="AZ663" s="115"/>
      <x:c r="BA663" s="115"/>
      <x:c r="BB663" s="115"/>
      <x:c r="BC663" s="115"/>
      <x:c r="BD663" s="115"/>
      <x:c r="BE663" s="115"/>
      <x:c r="BF663" s="115"/>
      <x:c r="BG663" s="115"/>
      <x:c r="BH663" s="115"/>
      <x:c r="BI663" s="115"/>
      <x:c r="BJ663" s="115"/>
      <x:c r="BK663" s="115"/>
      <x:c r="BL663" s="115"/>
      <x:c r="BM663" s="115"/>
      <x:c r="BN663" s="115"/>
      <x:c r="BO663" s="115"/>
      <x:c r="BP663" s="115"/>
      <x:c r="BQ663" s="115"/>
      <x:c r="BR663" s="115"/>
      <x:c r="BS663" s="115"/>
      <x:c r="BT663" s="115"/>
      <x:c r="BU663" s="115"/>
      <x:c r="BV663" s="115"/>
      <x:c r="BW663" s="115"/>
      <x:c r="BX663" s="115"/>
      <x:c r="BY663" s="115"/>
      <x:c r="BZ663" s="115"/>
      <x:c r="CA663" s="115"/>
      <x:c r="CB663" s="116"/>
      <x:c r="CC663" s="141" t="str">
        <x:f>IF(COUNT(G663:P663)=0,"",AVERAGE(G663:P663)*4)</x:f>
      </x:c>
      <x:c r="CD663" s="178" t="str">
        <x:f>IF(COUNT(Q663:Z663)=0,"",AVERAGE(Q663:Z663)*4)</x:f>
      </x:c>
      <x:c r="CE663" s="178" t="str">
        <x:f>IF(COUNT(AA663:AJ663)=0,"",AVERAGE(AA663:AJ663)*4)</x:f>
      </x:c>
      <x:c r="CF663" s="178" t="str">
        <x:f>IF(COUNT(AK663:AR663)=0,"",AVERAGE(AK663:AR663)*4)</x:f>
      </x:c>
      <x:c r="CG663" s="178" t="str">
        <x:f>IF(COUNT(AS663:AY663)=0,"",AVERAGE(AS663:AY663)*4)</x:f>
      </x:c>
      <x:c r="CH663" s="178" t="str">
        <x:f>IF(COUNT(AZ663:BG663)=0,"",AVERAGE(AZ663:BG663)*4)</x:f>
      </x:c>
      <x:c r="CI663" s="178" t="str">
        <x:f>IF(COUNT(BH663:BN663)=0,"",AVERAGE(BH663:BN663)*4)</x:f>
      </x:c>
      <x:c r="CJ663" s="178" t="str">
        <x:f>IF(COUNT(BO663:BU663)=0,"",AVERAGE(BO663:BU663)*4)</x:f>
      </x:c>
      <x:c r="CK663" s="178" t="str">
        <x:f>IF(COUNT(BV663:CB663)=0,"",AVERAGE(BV663:CB663)*4)</x:f>
      </x:c>
      <x:c r="CL663" s="178" t="str">
        <x:f>IF(C663="","",IF(COUNT(G663:CB663)&lt;74,"",(CC663*'تنظیمات وزن‌دهی'!$C$5+CD663*'تنظیمات وزن‌دهی'!$C$6+CE663*'تنظیمات وزن‌دهی'!$C$7+CF663*'تنظیمات وزن‌دهی'!$C$8+CG663*'تنظیمات وزن‌دهی'!$C$9+CH663*'تنظیمات وزن‌دهی'!$C$10+CI663*'تنظیمات وزن‌دهی'!$C$11+CJ663*'تنظیمات وزن‌دهی'!$C$12+CK663*'تنظیمات وزن‌دهی'!$C$13)/100))</x:f>
      </x:c>
      <x:c r="CM663" s="178" t="str">
        <x:f>IF(C663="","",IF(COUNT(G663:CB663)=0,"",IF(COUNT(G663:CB663)&lt;74,"موقت - اطلاعات ناقص",IF(CL663&gt;=17,"عالی",IF(CL663&gt;=14,"خوب",IF(CL663&gt;=10,"متوسط","ضعیف"))))))</x:f>
      </x:c>
      <x:c r="CN663" s="178" t="n">
        <x:v>11</x:v>
      </x:c>
      <x:c r="CO663" s="142" t="n">
        <x:f>IF(C663="","",COUNT(G663:CB663)/74)</x:f>
        <x:v>0</x:v>
      </x:c>
      <x:c r="CP663" s="245"/>
    </x:row>
    <x:row r="664">
      <x:c r="A664" s="165" t="n">
        <x:v>660</x:v>
      </x:c>
      <x:c r="B664" s="233" t="str">
        <x:v>خرداد</x:v>
      </x:c>
      <x:c r="C664" s="233" t="n">
        <x:f>IF('دانش‌آموزان'!E59="","",'دانش‌آموزان'!B59)</x:f>
        <x:v>55</x:v>
      </x:c>
      <x:c r="D664" s="233" t="str">
        <x:f>IF('دانش‌آموزان'!C59="","",'دانش‌آموزان'!C59)</x:f>
        <x:v>4000000551</x:v>
      </x:c>
      <x:c r="E664" s="233" t="str">
        <x:f>IF('دانش‌آموزان'!E59="","",'دانش‌آموزان'!E59&amp;" "&amp;'دانش‌آموزان'!F59)</x:f>
        <x:v>ماهان سلیمانی</x:v>
      </x:c>
      <x:c r="F664" s="166" t="str">
        <x:f>IF('دانش‌آموزان'!I59="","",'دانش‌آموزان'!I59)</x:f>
        <x:v>sample-7-c</x:v>
      </x:c>
      <x:c r="G664" s="114"/>
      <x:c r="H664" s="115"/>
      <x:c r="I664" s="115"/>
      <x:c r="J664" s="115"/>
      <x:c r="K664" s="115"/>
      <x:c r="L664" s="115"/>
      <x:c r="M664" s="115"/>
      <x:c r="N664" s="115"/>
      <x:c r="O664" s="115"/>
      <x:c r="P664" s="115"/>
      <x:c r="Q664" s="115"/>
      <x:c r="R664" s="115"/>
      <x:c r="S664" s="115"/>
      <x:c r="T664" s="115"/>
      <x:c r="U664" s="115"/>
      <x:c r="V664" s="115"/>
      <x:c r="W664" s="115"/>
      <x:c r="X664" s="115"/>
      <x:c r="Y664" s="115"/>
      <x:c r="Z664" s="115"/>
      <x:c r="AA664" s="115"/>
      <x:c r="AB664" s="115"/>
      <x:c r="AC664" s="115"/>
      <x:c r="AD664" s="115"/>
      <x:c r="AE664" s="115"/>
      <x:c r="AF664" s="115"/>
      <x:c r="AG664" s="115"/>
      <x:c r="AH664" s="115"/>
      <x:c r="AI664" s="115"/>
      <x:c r="AJ664" s="115"/>
      <x:c r="AK664" s="115"/>
      <x:c r="AL664" s="115"/>
      <x:c r="AM664" s="115"/>
      <x:c r="AN664" s="115"/>
      <x:c r="AO664" s="115"/>
      <x:c r="AP664" s="115"/>
      <x:c r="AQ664" s="115"/>
      <x:c r="AR664" s="115"/>
      <x:c r="AS664" s="115"/>
      <x:c r="AT664" s="115"/>
      <x:c r="AU664" s="115"/>
      <x:c r="AV664" s="115"/>
      <x:c r="AW664" s="115"/>
      <x:c r="AX664" s="115"/>
      <x:c r="AY664" s="115"/>
      <x:c r="AZ664" s="115"/>
      <x:c r="BA664" s="115"/>
      <x:c r="BB664" s="115"/>
      <x:c r="BC664" s="115"/>
      <x:c r="BD664" s="115"/>
      <x:c r="BE664" s="115"/>
      <x:c r="BF664" s="115"/>
      <x:c r="BG664" s="115"/>
      <x:c r="BH664" s="115"/>
      <x:c r="BI664" s="115"/>
      <x:c r="BJ664" s="115"/>
      <x:c r="BK664" s="115"/>
      <x:c r="BL664" s="115"/>
      <x:c r="BM664" s="115"/>
      <x:c r="BN664" s="115"/>
      <x:c r="BO664" s="115"/>
      <x:c r="BP664" s="115"/>
      <x:c r="BQ664" s="115"/>
      <x:c r="BR664" s="115"/>
      <x:c r="BS664" s="115"/>
      <x:c r="BT664" s="115"/>
      <x:c r="BU664" s="115"/>
      <x:c r="BV664" s="115"/>
      <x:c r="BW664" s="115"/>
      <x:c r="BX664" s="115"/>
      <x:c r="BY664" s="115"/>
      <x:c r="BZ664" s="115"/>
      <x:c r="CA664" s="115"/>
      <x:c r="CB664" s="116"/>
      <x:c r="CC664" s="141" t="str">
        <x:f>IF(COUNT(G664:P664)=0,"",AVERAGE(G664:P664)*4)</x:f>
      </x:c>
      <x:c r="CD664" s="178" t="str">
        <x:f>IF(COUNT(Q664:Z664)=0,"",AVERAGE(Q664:Z664)*4)</x:f>
      </x:c>
      <x:c r="CE664" s="178" t="str">
        <x:f>IF(COUNT(AA664:AJ664)=0,"",AVERAGE(AA664:AJ664)*4)</x:f>
      </x:c>
      <x:c r="CF664" s="178" t="str">
        <x:f>IF(COUNT(AK664:AR664)=0,"",AVERAGE(AK664:AR664)*4)</x:f>
      </x:c>
      <x:c r="CG664" s="178" t="str">
        <x:f>IF(COUNT(AS664:AY664)=0,"",AVERAGE(AS664:AY664)*4)</x:f>
      </x:c>
      <x:c r="CH664" s="178" t="str">
        <x:f>IF(COUNT(AZ664:BG664)=0,"",AVERAGE(AZ664:BG664)*4)</x:f>
      </x:c>
      <x:c r="CI664" s="178" t="str">
        <x:f>IF(COUNT(BH664:BN664)=0,"",AVERAGE(BH664:BN664)*4)</x:f>
      </x:c>
      <x:c r="CJ664" s="178" t="str">
        <x:f>IF(COUNT(BO664:BU664)=0,"",AVERAGE(BO664:BU664)*4)</x:f>
      </x:c>
      <x:c r="CK664" s="178" t="str">
        <x:f>IF(COUNT(BV664:CB664)=0,"",AVERAGE(BV664:CB664)*4)</x:f>
      </x:c>
      <x:c r="CL664" s="178" t="str">
        <x:f>IF(C664="","",IF(COUNT(G664:CB664)&lt;74,"",(CC664*'تنظیمات وزن‌دهی'!$C$5+CD664*'تنظیمات وزن‌دهی'!$C$6+CE664*'تنظیمات وزن‌دهی'!$C$7+CF664*'تنظیمات وزن‌دهی'!$C$8+CG664*'تنظیمات وزن‌دهی'!$C$9+CH664*'تنظیمات وزن‌دهی'!$C$10+CI664*'تنظیمات وزن‌دهی'!$C$11+CJ664*'تنظیمات وزن‌دهی'!$C$12+CK664*'تنظیمات وزن‌دهی'!$C$13)/100))</x:f>
      </x:c>
      <x:c r="CM664" s="178" t="str">
        <x:f>IF(C664="","",IF(COUNT(G664:CB664)=0,"",IF(COUNT(G664:CB664)&lt;74,"موقت - اطلاعات ناقص",IF(CL664&gt;=17,"عالی",IF(CL664&gt;=14,"خوب",IF(CL664&gt;=10,"متوسط","ضعیف"))))))</x:f>
      </x:c>
      <x:c r="CN664" s="178" t="n">
        <x:v>12</x:v>
      </x:c>
      <x:c r="CO664" s="142" t="n">
        <x:f>IF(C664="","",COUNT(G664:CB664)/74)</x:f>
        <x:v>0</x:v>
      </x:c>
      <x:c r="CP664" s="245"/>
    </x:row>
    <x:row r="665">
      <x:c r="A665" s="165" t="n">
        <x:v>661</x:v>
      </x:c>
      <x:c r="B665" s="233" t="str">
        <x:v>تیر</x:v>
      </x:c>
      <x:c r="C665" s="233" t="n">
        <x:f>IF('دانش‌آموزان'!E60="","",'دانش‌آموزان'!B60)</x:f>
        <x:v>56</x:v>
      </x:c>
      <x:c r="D665" s="233" t="str">
        <x:f>IF('دانش‌آموزان'!C60="","",'دانش‌آموزان'!C60)</x:f>
        <x:v>4000000561</x:v>
      </x:c>
      <x:c r="E665" s="233" t="str">
        <x:f>IF('دانش‌آموزان'!E60="","",'دانش‌آموزان'!E60&amp;" "&amp;'دانش‌آموزان'!F60)</x:f>
        <x:v>نازنین مرادی</x:v>
      </x:c>
      <x:c r="F665" s="166" t="str">
        <x:f>IF('دانش‌آموزان'!I60="","",'دانش‌آموزان'!I60)</x:f>
        <x:v>sample-7-c</x:v>
      </x:c>
      <x:c r="G665" s="114" t="n">
        <x:v>2</x:v>
      </x:c>
      <x:c r="H665" s="115" t="n">
        <x:v>4</x:v>
      </x:c>
      <x:c r="I665" s="115" t="n">
        <x:v>5</x:v>
      </x:c>
      <x:c r="J665" s="115" t="n">
        <x:v>4</x:v>
      </x:c>
      <x:c r="K665" s="115" t="n">
        <x:v>5</x:v>
      </x:c>
      <x:c r="L665" s="115" t="n">
        <x:v>3</x:v>
      </x:c>
      <x:c r="M665" s="115" t="n">
        <x:v>5</x:v>
      </x:c>
      <x:c r="N665" s="115" t="n">
        <x:v>3</x:v>
      </x:c>
      <x:c r="O665" s="115" t="n">
        <x:v>4</x:v>
      </x:c>
      <x:c r="P665" s="115" t="n">
        <x:v>3</x:v>
      </x:c>
      <x:c r="Q665" s="115" t="n">
        <x:v>4</x:v>
      </x:c>
      <x:c r="R665" s="115" t="n">
        <x:v>2</x:v>
      </x:c>
      <x:c r="S665" s="115" t="n">
        <x:v>4</x:v>
      </x:c>
      <x:c r="T665" s="115" t="n">
        <x:v>5</x:v>
      </x:c>
      <x:c r="U665" s="115" t="n">
        <x:v>4</x:v>
      </x:c>
      <x:c r="V665" s="115" t="n">
        <x:v>5</x:v>
      </x:c>
      <x:c r="W665" s="115" t="n">
        <x:v>3</x:v>
      </x:c>
      <x:c r="X665" s="115" t="n">
        <x:v>5</x:v>
      </x:c>
      <x:c r="Y665" s="115" t="n">
        <x:v>3</x:v>
      </x:c>
      <x:c r="Z665" s="115" t="n">
        <x:v>4</x:v>
      </x:c>
      <x:c r="AA665" s="115" t="n">
        <x:v>3</x:v>
      </x:c>
      <x:c r="AB665" s="115" t="n">
        <x:v>4</x:v>
      </x:c>
      <x:c r="AC665" s="115" t="n">
        <x:v>2</x:v>
      </x:c>
      <x:c r="AD665" s="115" t="n">
        <x:v>4</x:v>
      </x:c>
      <x:c r="AE665" s="115" t="n">
        <x:v>5</x:v>
      </x:c>
      <x:c r="AF665" s="115" t="n">
        <x:v>4</x:v>
      </x:c>
      <x:c r="AG665" s="115" t="n">
        <x:v>5</x:v>
      </x:c>
      <x:c r="AH665" s="115" t="n">
        <x:v>3</x:v>
      </x:c>
      <x:c r="AI665" s="115" t="n">
        <x:v>5</x:v>
      </x:c>
      <x:c r="AJ665" s="115" t="n">
        <x:v>3</x:v>
      </x:c>
      <x:c r="AK665" s="115" t="n">
        <x:v>4</x:v>
      </x:c>
      <x:c r="AL665" s="115" t="n">
        <x:v>3</x:v>
      </x:c>
      <x:c r="AM665" s="115" t="n">
        <x:v>4</x:v>
      </x:c>
      <x:c r="AN665" s="115" t="n">
        <x:v>2</x:v>
      </x:c>
      <x:c r="AO665" s="115" t="n">
        <x:v>4</x:v>
      </x:c>
      <x:c r="AP665" s="115" t="n">
        <x:v>5</x:v>
      </x:c>
      <x:c r="AQ665" s="115" t="n">
        <x:v>4</x:v>
      </x:c>
      <x:c r="AR665" s="115" t="n">
        <x:v>5</x:v>
      </x:c>
      <x:c r="AS665" s="115" t="n">
        <x:v>3</x:v>
      </x:c>
      <x:c r="AT665" s="115" t="n">
        <x:v>5</x:v>
      </x:c>
      <x:c r="AU665" s="115" t="n">
        <x:v>3</x:v>
      </x:c>
      <x:c r="AV665" s="115" t="n">
        <x:v>4</x:v>
      </x:c>
      <x:c r="AW665" s="115" t="n">
        <x:v>3</x:v>
      </x:c>
      <x:c r="AX665" s="115" t="n">
        <x:v>4</x:v>
      </x:c>
      <x:c r="AY665" s="115" t="n">
        <x:v>2</x:v>
      </x:c>
      <x:c r="AZ665" s="115" t="n">
        <x:v>4</x:v>
      </x:c>
      <x:c r="BA665" s="115" t="n">
        <x:v>5</x:v>
      </x:c>
      <x:c r="BB665" s="115" t="n">
        <x:v>4</x:v>
      </x:c>
      <x:c r="BC665" s="115" t="n">
        <x:v>5</x:v>
      </x:c>
      <x:c r="BD665" s="115" t="n">
        <x:v>3</x:v>
      </x:c>
      <x:c r="BE665" s="115" t="n">
        <x:v>5</x:v>
      </x:c>
      <x:c r="BF665" s="115" t="n">
        <x:v>3</x:v>
      </x:c>
      <x:c r="BG665" s="115" t="n">
        <x:v>4</x:v>
      </x:c>
      <x:c r="BH665" s="115" t="n">
        <x:v>3</x:v>
      </x:c>
      <x:c r="BI665" s="115" t="n">
        <x:v>4</x:v>
      </x:c>
      <x:c r="BJ665" s="115" t="n">
        <x:v>2</x:v>
      </x:c>
      <x:c r="BK665" s="115" t="n">
        <x:v>4</x:v>
      </x:c>
      <x:c r="BL665" s="115" t="n">
        <x:v>5</x:v>
      </x:c>
      <x:c r="BM665" s="115" t="n">
        <x:v>4</x:v>
      </x:c>
      <x:c r="BN665" s="115" t="n">
        <x:v>5</x:v>
      </x:c>
      <x:c r="BO665" s="115" t="n">
        <x:v>3</x:v>
      </x:c>
      <x:c r="BP665" s="115" t="n">
        <x:v>5</x:v>
      </x:c>
      <x:c r="BQ665" s="115" t="n">
        <x:v>3</x:v>
      </x:c>
      <x:c r="BR665" s="115" t="n">
        <x:v>4</x:v>
      </x:c>
      <x:c r="BS665" s="115" t="n">
        <x:v>3</x:v>
      </x:c>
      <x:c r="BT665" s="115" t="n">
        <x:v>4</x:v>
      </x:c>
      <x:c r="BU665" s="115" t="n">
        <x:v>2</x:v>
      </x:c>
      <x:c r="BV665" s="115" t="n">
        <x:v>4</x:v>
      </x:c>
      <x:c r="BW665" s="115" t="n">
        <x:v>5</x:v>
      </x:c>
      <x:c r="BX665" s="115" t="n">
        <x:v>4</x:v>
      </x:c>
      <x:c r="BY665" s="115" t="n">
        <x:v>5</x:v>
      </x:c>
      <x:c r="BZ665" s="115" t="n">
        <x:v>3</x:v>
      </x:c>
      <x:c r="CA665" s="115" t="n">
        <x:v>5</x:v>
      </x:c>
      <x:c r="CB665" s="116" t="n">
        <x:v>3</x:v>
      </x:c>
      <x:c r="CC665" s="141" t="n">
        <x:f>IF(COUNT(G665:P665)=0,"",AVERAGE(G665:P665)*4)</x:f>
        <x:v>15.2</x:v>
      </x:c>
      <x:c r="CD665" s="178" t="n">
        <x:f>IF(COUNT(Q665:Z665)=0,"",AVERAGE(Q665:Z665)*4)</x:f>
        <x:v>15.6</x:v>
      </x:c>
      <x:c r="CE665" s="178" t="n">
        <x:f>IF(COUNT(AA665:AJ665)=0,"",AVERAGE(AA665:AJ665)*4)</x:f>
        <x:v>15.2</x:v>
      </x:c>
      <x:c r="CF665" s="178" t="n">
        <x:f>IF(COUNT(AK665:AR665)=0,"",AVERAGE(AK665:AR665)*4)</x:f>
        <x:v>15.5</x:v>
      </x:c>
      <x:c r="CG665" s="178" t="n">
        <x:f>IF(COUNT(AS665:AY665)=0,"",AVERAGE(AS665:AY665)*4)</x:f>
        <x:v>13.714285714285714</x:v>
      </x:c>
      <x:c r="CH665" s="178" t="n">
        <x:f>IF(COUNT(AZ665:BG665)=0,"",AVERAGE(AZ665:BG665)*4)</x:f>
        <x:v>16.5</x:v>
      </x:c>
      <x:c r="CI665" s="178" t="n">
        <x:f>IF(COUNT(BH665:BN665)=0,"",AVERAGE(BH665:BN665)*4)</x:f>
        <x:v>15.428571428571429</x:v>
      </x:c>
      <x:c r="CJ665" s="178" t="n">
        <x:f>IF(COUNT(BO665:BU665)=0,"",AVERAGE(BO665:BU665)*4)</x:f>
        <x:v>13.714285714285714</x:v>
      </x:c>
      <x:c r="CK665" s="178" t="n">
        <x:f>IF(COUNT(BV665:CB665)=0,"",AVERAGE(BV665:CB665)*4)</x:f>
        <x:v>16.571428571428573</x:v>
      </x:c>
      <x:c r="CL665" s="178" t="n">
        <x:f>IF(C665="","",IF(COUNT(G665:CB665)&lt;74,"",(CC665*'تنظیمات وزن‌دهی'!$C$5+CD665*'تنظیمات وزن‌دهی'!$C$6+CE665*'تنظیمات وزن‌دهی'!$C$7+CF665*'تنظیمات وزن‌دهی'!$C$8+CG665*'تنظیمات وزن‌دهی'!$C$9+CH665*'تنظیمات وزن‌دهی'!$C$10+CI665*'تنظیمات وزن‌دهی'!$C$11+CJ665*'تنظیمات وزن‌دهی'!$C$12+CK665*'تنظیمات وزن‌دهی'!$C$13)/100))</x:f>
        <x:v>15.327857142857143</x:v>
      </x:c>
      <x:c r="CM665" s="178" t="str">
        <x:f>IF(C665="","",IF(COUNT(G665:CB665)=0,"",IF(COUNT(G665:CB665)&lt;74,"موقت - اطلاعات ناقص",IF(CL665&gt;=17,"عالی",IF(CL665&gt;=14,"خوب",IF(CL665&gt;=10,"متوسط","ضعیف"))))))</x:f>
        <x:v>خوب</x:v>
      </x:c>
      <x:c r="CN665" s="178" t="n">
        <x:v>1</x:v>
      </x:c>
      <x:c r="CO665" s="142" t="n">
        <x:f>IF(C665="","",COUNT(G665:CB665)/74)</x:f>
        <x:v>1</x:v>
      </x:c>
      <x:c r="CP665" s="245" t="str">
        <x:v>داده نمونه کامل برای ماه تیر - دانش‌آموز شماره 56</x:v>
      </x:c>
    </x:row>
    <x:row r="666">
      <x:c r="A666" s="165" t="n">
        <x:v>662</x:v>
      </x:c>
      <x:c r="B666" s="233" t="str">
        <x:v>مرداد</x:v>
      </x:c>
      <x:c r="C666" s="233" t="n">
        <x:f>IF('دانش‌آموزان'!E60="","",'دانش‌آموزان'!B60)</x:f>
        <x:v>56</x:v>
      </x:c>
      <x:c r="D666" s="233" t="str">
        <x:f>IF('دانش‌آموزان'!C60="","",'دانش‌آموزان'!C60)</x:f>
        <x:v>4000000561</x:v>
      </x:c>
      <x:c r="E666" s="233" t="str">
        <x:f>IF('دانش‌آموزان'!E60="","",'دانش‌آموزان'!E60&amp;" "&amp;'دانش‌آموزان'!F60)</x:f>
        <x:v>نازنین مرادی</x:v>
      </x:c>
      <x:c r="F666" s="166" t="str">
        <x:f>IF('دانش‌آموزان'!I60="","",'دانش‌آموزان'!I60)</x:f>
        <x:v>sample-7-c</x:v>
      </x:c>
      <x:c r="G666" s="114"/>
      <x:c r="H666" s="115"/>
      <x:c r="I666" s="115"/>
      <x:c r="J666" s="115"/>
      <x:c r="K666" s="115"/>
      <x:c r="L666" s="115"/>
      <x:c r="M666" s="115"/>
      <x:c r="N666" s="115"/>
      <x:c r="O666" s="115"/>
      <x:c r="P666" s="115"/>
      <x:c r="Q666" s="115"/>
      <x:c r="R666" s="115"/>
      <x:c r="S666" s="115"/>
      <x:c r="T666" s="115"/>
      <x:c r="U666" s="115"/>
      <x:c r="V666" s="115"/>
      <x:c r="W666" s="115"/>
      <x:c r="X666" s="115"/>
      <x:c r="Y666" s="115"/>
      <x:c r="Z666" s="115"/>
      <x:c r="AA666" s="115"/>
      <x:c r="AB666" s="115"/>
      <x:c r="AC666" s="115"/>
      <x:c r="AD666" s="115"/>
      <x:c r="AE666" s="115"/>
      <x:c r="AF666" s="115"/>
      <x:c r="AG666" s="115"/>
      <x:c r="AH666" s="115"/>
      <x:c r="AI666" s="115"/>
      <x:c r="AJ666" s="115"/>
      <x:c r="AK666" s="115"/>
      <x:c r="AL666" s="115"/>
      <x:c r="AM666" s="115"/>
      <x:c r="AN666" s="115"/>
      <x:c r="AO666" s="115"/>
      <x:c r="AP666" s="115"/>
      <x:c r="AQ666" s="115"/>
      <x:c r="AR666" s="115"/>
      <x:c r="AS666" s="115"/>
      <x:c r="AT666" s="115"/>
      <x:c r="AU666" s="115"/>
      <x:c r="AV666" s="115"/>
      <x:c r="AW666" s="115"/>
      <x:c r="AX666" s="115"/>
      <x:c r="AY666" s="115"/>
      <x:c r="AZ666" s="115"/>
      <x:c r="BA666" s="115"/>
      <x:c r="BB666" s="115"/>
      <x:c r="BC666" s="115"/>
      <x:c r="BD666" s="115"/>
      <x:c r="BE666" s="115"/>
      <x:c r="BF666" s="115"/>
      <x:c r="BG666" s="115"/>
      <x:c r="BH666" s="115"/>
      <x:c r="BI666" s="115"/>
      <x:c r="BJ666" s="115"/>
      <x:c r="BK666" s="115"/>
      <x:c r="BL666" s="115"/>
      <x:c r="BM666" s="115"/>
      <x:c r="BN666" s="115"/>
      <x:c r="BO666" s="115"/>
      <x:c r="BP666" s="115"/>
      <x:c r="BQ666" s="115"/>
      <x:c r="BR666" s="115"/>
      <x:c r="BS666" s="115"/>
      <x:c r="BT666" s="115"/>
      <x:c r="BU666" s="115"/>
      <x:c r="BV666" s="115"/>
      <x:c r="BW666" s="115"/>
      <x:c r="BX666" s="115"/>
      <x:c r="BY666" s="115"/>
      <x:c r="BZ666" s="115"/>
      <x:c r="CA666" s="115"/>
      <x:c r="CB666" s="116"/>
      <x:c r="CC666" s="141" t="str">
        <x:f>IF(COUNT(G666:P666)=0,"",AVERAGE(G666:P666)*4)</x:f>
      </x:c>
      <x:c r="CD666" s="178" t="str">
        <x:f>IF(COUNT(Q666:Z666)=0,"",AVERAGE(Q666:Z666)*4)</x:f>
      </x:c>
      <x:c r="CE666" s="178" t="str">
        <x:f>IF(COUNT(AA666:AJ666)=0,"",AVERAGE(AA666:AJ666)*4)</x:f>
      </x:c>
      <x:c r="CF666" s="178" t="str">
        <x:f>IF(COUNT(AK666:AR666)=0,"",AVERAGE(AK666:AR666)*4)</x:f>
      </x:c>
      <x:c r="CG666" s="178" t="str">
        <x:f>IF(COUNT(AS666:AY666)=0,"",AVERAGE(AS666:AY666)*4)</x:f>
      </x:c>
      <x:c r="CH666" s="178" t="str">
        <x:f>IF(COUNT(AZ666:BG666)=0,"",AVERAGE(AZ666:BG666)*4)</x:f>
      </x:c>
      <x:c r="CI666" s="178" t="str">
        <x:f>IF(COUNT(BH666:BN666)=0,"",AVERAGE(BH666:BN666)*4)</x:f>
      </x:c>
      <x:c r="CJ666" s="178" t="str">
        <x:f>IF(COUNT(BO666:BU666)=0,"",AVERAGE(BO666:BU666)*4)</x:f>
      </x:c>
      <x:c r="CK666" s="178" t="str">
        <x:f>IF(COUNT(BV666:CB666)=0,"",AVERAGE(BV666:CB666)*4)</x:f>
      </x:c>
      <x:c r="CL666" s="178" t="str">
        <x:f>IF(C666="","",IF(COUNT(G666:CB666)&lt;74,"",(CC666*'تنظیمات وزن‌دهی'!$C$5+CD666*'تنظیمات وزن‌دهی'!$C$6+CE666*'تنظیمات وزن‌دهی'!$C$7+CF666*'تنظیمات وزن‌دهی'!$C$8+CG666*'تنظیمات وزن‌دهی'!$C$9+CH666*'تنظیمات وزن‌دهی'!$C$10+CI666*'تنظیمات وزن‌دهی'!$C$11+CJ666*'تنظیمات وزن‌دهی'!$C$12+CK666*'تنظیمات وزن‌دهی'!$C$13)/100))</x:f>
      </x:c>
      <x:c r="CM666" s="178" t="str">
        <x:f>IF(C666="","",IF(COUNT(G666:CB666)=0,"",IF(COUNT(G666:CB666)&lt;74,"موقت - اطلاعات ناقص",IF(CL666&gt;=17,"عالی",IF(CL666&gt;=14,"خوب",IF(CL666&gt;=10,"متوسط","ضعیف"))))))</x:f>
      </x:c>
      <x:c r="CN666" s="178" t="n">
        <x:v>2</x:v>
      </x:c>
      <x:c r="CO666" s="142" t="n">
        <x:f>IF(C666="","",COUNT(G666:CB666)/74)</x:f>
        <x:v>0</x:v>
      </x:c>
      <x:c r="CP666" s="245"/>
    </x:row>
    <x:row r="667">
      <x:c r="A667" s="165" t="n">
        <x:v>663</x:v>
      </x:c>
      <x:c r="B667" s="233" t="str">
        <x:v>شهریور</x:v>
      </x:c>
      <x:c r="C667" s="233" t="n">
        <x:f>IF('دانش‌آموزان'!E60="","",'دانش‌آموزان'!B60)</x:f>
        <x:v>56</x:v>
      </x:c>
      <x:c r="D667" s="233" t="str">
        <x:f>IF('دانش‌آموزان'!C60="","",'دانش‌آموزان'!C60)</x:f>
        <x:v>4000000561</x:v>
      </x:c>
      <x:c r="E667" s="233" t="str">
        <x:f>IF('دانش‌آموزان'!E60="","",'دانش‌آموزان'!E60&amp;" "&amp;'دانش‌آموزان'!F60)</x:f>
        <x:v>نازنین مرادی</x:v>
      </x:c>
      <x:c r="F667" s="166" t="str">
        <x:f>IF('دانش‌آموزان'!I60="","",'دانش‌آموزان'!I60)</x:f>
        <x:v>sample-7-c</x:v>
      </x:c>
      <x:c r="G667" s="114"/>
      <x:c r="H667" s="115"/>
      <x:c r="I667" s="115"/>
      <x:c r="J667" s="115"/>
      <x:c r="K667" s="115"/>
      <x:c r="L667" s="115"/>
      <x:c r="M667" s="115"/>
      <x:c r="N667" s="115"/>
      <x:c r="O667" s="115"/>
      <x:c r="P667" s="115"/>
      <x:c r="Q667" s="115"/>
      <x:c r="R667" s="115"/>
      <x:c r="S667" s="115"/>
      <x:c r="T667" s="115"/>
      <x:c r="U667" s="115"/>
      <x:c r="V667" s="115"/>
      <x:c r="W667" s="115"/>
      <x:c r="X667" s="115"/>
      <x:c r="Y667" s="115"/>
      <x:c r="Z667" s="115"/>
      <x:c r="AA667" s="115"/>
      <x:c r="AB667" s="115"/>
      <x:c r="AC667" s="115"/>
      <x:c r="AD667" s="115"/>
      <x:c r="AE667" s="115"/>
      <x:c r="AF667" s="115"/>
      <x:c r="AG667" s="115"/>
      <x:c r="AH667" s="115"/>
      <x:c r="AI667" s="115"/>
      <x:c r="AJ667" s="115"/>
      <x:c r="AK667" s="115"/>
      <x:c r="AL667" s="115"/>
      <x:c r="AM667" s="115"/>
      <x:c r="AN667" s="115"/>
      <x:c r="AO667" s="115"/>
      <x:c r="AP667" s="115"/>
      <x:c r="AQ667" s="115"/>
      <x:c r="AR667" s="115"/>
      <x:c r="AS667" s="115"/>
      <x:c r="AT667" s="115"/>
      <x:c r="AU667" s="115"/>
      <x:c r="AV667" s="115"/>
      <x:c r="AW667" s="115"/>
      <x:c r="AX667" s="115"/>
      <x:c r="AY667" s="115"/>
      <x:c r="AZ667" s="115"/>
      <x:c r="BA667" s="115"/>
      <x:c r="BB667" s="115"/>
      <x:c r="BC667" s="115"/>
      <x:c r="BD667" s="115"/>
      <x:c r="BE667" s="115"/>
      <x:c r="BF667" s="115"/>
      <x:c r="BG667" s="115"/>
      <x:c r="BH667" s="115"/>
      <x:c r="BI667" s="115"/>
      <x:c r="BJ667" s="115"/>
      <x:c r="BK667" s="115"/>
      <x:c r="BL667" s="115"/>
      <x:c r="BM667" s="115"/>
      <x:c r="BN667" s="115"/>
      <x:c r="BO667" s="115"/>
      <x:c r="BP667" s="115"/>
      <x:c r="BQ667" s="115"/>
      <x:c r="BR667" s="115"/>
      <x:c r="BS667" s="115"/>
      <x:c r="BT667" s="115"/>
      <x:c r="BU667" s="115"/>
      <x:c r="BV667" s="115"/>
      <x:c r="BW667" s="115"/>
      <x:c r="BX667" s="115"/>
      <x:c r="BY667" s="115"/>
      <x:c r="BZ667" s="115"/>
      <x:c r="CA667" s="115"/>
      <x:c r="CB667" s="116"/>
      <x:c r="CC667" s="141" t="str">
        <x:f>IF(COUNT(G667:P667)=0,"",AVERAGE(G667:P667)*4)</x:f>
      </x:c>
      <x:c r="CD667" s="178" t="str">
        <x:f>IF(COUNT(Q667:Z667)=0,"",AVERAGE(Q667:Z667)*4)</x:f>
      </x:c>
      <x:c r="CE667" s="178" t="str">
        <x:f>IF(COUNT(AA667:AJ667)=0,"",AVERAGE(AA667:AJ667)*4)</x:f>
      </x:c>
      <x:c r="CF667" s="178" t="str">
        <x:f>IF(COUNT(AK667:AR667)=0,"",AVERAGE(AK667:AR667)*4)</x:f>
      </x:c>
      <x:c r="CG667" s="178" t="str">
        <x:f>IF(COUNT(AS667:AY667)=0,"",AVERAGE(AS667:AY667)*4)</x:f>
      </x:c>
      <x:c r="CH667" s="178" t="str">
        <x:f>IF(COUNT(AZ667:BG667)=0,"",AVERAGE(AZ667:BG667)*4)</x:f>
      </x:c>
      <x:c r="CI667" s="178" t="str">
        <x:f>IF(COUNT(BH667:BN667)=0,"",AVERAGE(BH667:BN667)*4)</x:f>
      </x:c>
      <x:c r="CJ667" s="178" t="str">
        <x:f>IF(COUNT(BO667:BU667)=0,"",AVERAGE(BO667:BU667)*4)</x:f>
      </x:c>
      <x:c r="CK667" s="178" t="str">
        <x:f>IF(COUNT(BV667:CB667)=0,"",AVERAGE(BV667:CB667)*4)</x:f>
      </x:c>
      <x:c r="CL667" s="178" t="str">
        <x:f>IF(C667="","",IF(COUNT(G667:CB667)&lt;74,"",(CC667*'تنظیمات وزن‌دهی'!$C$5+CD667*'تنظیمات وزن‌دهی'!$C$6+CE667*'تنظیمات وزن‌دهی'!$C$7+CF667*'تنظیمات وزن‌دهی'!$C$8+CG667*'تنظیمات وزن‌دهی'!$C$9+CH667*'تنظیمات وزن‌دهی'!$C$10+CI667*'تنظیمات وزن‌دهی'!$C$11+CJ667*'تنظیمات وزن‌دهی'!$C$12+CK667*'تنظیمات وزن‌دهی'!$C$13)/100))</x:f>
      </x:c>
      <x:c r="CM667" s="178" t="str">
        <x:f>IF(C667="","",IF(COUNT(G667:CB667)=0,"",IF(COUNT(G667:CB667)&lt;74,"موقت - اطلاعات ناقص",IF(CL667&gt;=17,"عالی",IF(CL667&gt;=14,"خوب",IF(CL667&gt;=10,"متوسط","ضعیف"))))))</x:f>
      </x:c>
      <x:c r="CN667" s="178" t="n">
        <x:v>3</x:v>
      </x:c>
      <x:c r="CO667" s="142" t="n">
        <x:f>IF(C667="","",COUNT(G667:CB667)/74)</x:f>
        <x:v>0</x:v>
      </x:c>
      <x:c r="CP667" s="245"/>
    </x:row>
    <x:row r="668">
      <x:c r="A668" s="165" t="n">
        <x:v>664</x:v>
      </x:c>
      <x:c r="B668" s="233" t="str">
        <x:v>مهر</x:v>
      </x:c>
      <x:c r="C668" s="233" t="n">
        <x:f>IF('دانش‌آموزان'!E60="","",'دانش‌آموزان'!B60)</x:f>
        <x:v>56</x:v>
      </x:c>
      <x:c r="D668" s="233" t="str">
        <x:f>IF('دانش‌آموزان'!C60="","",'دانش‌آموزان'!C60)</x:f>
        <x:v>4000000561</x:v>
      </x:c>
      <x:c r="E668" s="233" t="str">
        <x:f>IF('دانش‌آموزان'!E60="","",'دانش‌آموزان'!E60&amp;" "&amp;'دانش‌آموزان'!F60)</x:f>
        <x:v>نازنین مرادی</x:v>
      </x:c>
      <x:c r="F668" s="166" t="str">
        <x:f>IF('دانش‌آموزان'!I60="","",'دانش‌آموزان'!I60)</x:f>
        <x:v>sample-7-c</x:v>
      </x:c>
      <x:c r="G668" s="114"/>
      <x:c r="H668" s="115"/>
      <x:c r="I668" s="115"/>
      <x:c r="J668" s="115"/>
      <x:c r="K668" s="115"/>
      <x:c r="L668" s="115"/>
      <x:c r="M668" s="115"/>
      <x:c r="N668" s="115"/>
      <x:c r="O668" s="115"/>
      <x:c r="P668" s="115"/>
      <x:c r="Q668" s="115"/>
      <x:c r="R668" s="115"/>
      <x:c r="S668" s="115"/>
      <x:c r="T668" s="115"/>
      <x:c r="U668" s="115"/>
      <x:c r="V668" s="115"/>
      <x:c r="W668" s="115"/>
      <x:c r="X668" s="115"/>
      <x:c r="Y668" s="115"/>
      <x:c r="Z668" s="115"/>
      <x:c r="AA668" s="115"/>
      <x:c r="AB668" s="115"/>
      <x:c r="AC668" s="115"/>
      <x:c r="AD668" s="115"/>
      <x:c r="AE668" s="115"/>
      <x:c r="AF668" s="115"/>
      <x:c r="AG668" s="115"/>
      <x:c r="AH668" s="115"/>
      <x:c r="AI668" s="115"/>
      <x:c r="AJ668" s="115"/>
      <x:c r="AK668" s="115"/>
      <x:c r="AL668" s="115"/>
      <x:c r="AM668" s="115"/>
      <x:c r="AN668" s="115"/>
      <x:c r="AO668" s="115"/>
      <x:c r="AP668" s="115"/>
      <x:c r="AQ668" s="115"/>
      <x:c r="AR668" s="115"/>
      <x:c r="AS668" s="115"/>
      <x:c r="AT668" s="115"/>
      <x:c r="AU668" s="115"/>
      <x:c r="AV668" s="115"/>
      <x:c r="AW668" s="115"/>
      <x:c r="AX668" s="115"/>
      <x:c r="AY668" s="115"/>
      <x:c r="AZ668" s="115"/>
      <x:c r="BA668" s="115"/>
      <x:c r="BB668" s="115"/>
      <x:c r="BC668" s="115"/>
      <x:c r="BD668" s="115"/>
      <x:c r="BE668" s="115"/>
      <x:c r="BF668" s="115"/>
      <x:c r="BG668" s="115"/>
      <x:c r="BH668" s="115"/>
      <x:c r="BI668" s="115"/>
      <x:c r="BJ668" s="115"/>
      <x:c r="BK668" s="115"/>
      <x:c r="BL668" s="115"/>
      <x:c r="BM668" s="115"/>
      <x:c r="BN668" s="115"/>
      <x:c r="BO668" s="115"/>
      <x:c r="BP668" s="115"/>
      <x:c r="BQ668" s="115"/>
      <x:c r="BR668" s="115"/>
      <x:c r="BS668" s="115"/>
      <x:c r="BT668" s="115"/>
      <x:c r="BU668" s="115"/>
      <x:c r="BV668" s="115"/>
      <x:c r="BW668" s="115"/>
      <x:c r="BX668" s="115"/>
      <x:c r="BY668" s="115"/>
      <x:c r="BZ668" s="115"/>
      <x:c r="CA668" s="115"/>
      <x:c r="CB668" s="116"/>
      <x:c r="CC668" s="141" t="str">
        <x:f>IF(COUNT(G668:P668)=0,"",AVERAGE(G668:P668)*4)</x:f>
      </x:c>
      <x:c r="CD668" s="178" t="str">
        <x:f>IF(COUNT(Q668:Z668)=0,"",AVERAGE(Q668:Z668)*4)</x:f>
      </x:c>
      <x:c r="CE668" s="178" t="str">
        <x:f>IF(COUNT(AA668:AJ668)=0,"",AVERAGE(AA668:AJ668)*4)</x:f>
      </x:c>
      <x:c r="CF668" s="178" t="str">
        <x:f>IF(COUNT(AK668:AR668)=0,"",AVERAGE(AK668:AR668)*4)</x:f>
      </x:c>
      <x:c r="CG668" s="178" t="str">
        <x:f>IF(COUNT(AS668:AY668)=0,"",AVERAGE(AS668:AY668)*4)</x:f>
      </x:c>
      <x:c r="CH668" s="178" t="str">
        <x:f>IF(COUNT(AZ668:BG668)=0,"",AVERAGE(AZ668:BG668)*4)</x:f>
      </x:c>
      <x:c r="CI668" s="178" t="str">
        <x:f>IF(COUNT(BH668:BN668)=0,"",AVERAGE(BH668:BN668)*4)</x:f>
      </x:c>
      <x:c r="CJ668" s="178" t="str">
        <x:f>IF(COUNT(BO668:BU668)=0,"",AVERAGE(BO668:BU668)*4)</x:f>
      </x:c>
      <x:c r="CK668" s="178" t="str">
        <x:f>IF(COUNT(BV668:CB668)=0,"",AVERAGE(BV668:CB668)*4)</x:f>
      </x:c>
      <x:c r="CL668" s="178" t="str">
        <x:f>IF(C668="","",IF(COUNT(G668:CB668)&lt;74,"",(CC668*'تنظیمات وزن‌دهی'!$C$5+CD668*'تنظیمات وزن‌دهی'!$C$6+CE668*'تنظیمات وزن‌دهی'!$C$7+CF668*'تنظیمات وزن‌دهی'!$C$8+CG668*'تنظیمات وزن‌دهی'!$C$9+CH668*'تنظیمات وزن‌دهی'!$C$10+CI668*'تنظیمات وزن‌دهی'!$C$11+CJ668*'تنظیمات وزن‌دهی'!$C$12+CK668*'تنظیمات وزن‌دهی'!$C$13)/100))</x:f>
      </x:c>
      <x:c r="CM668" s="178" t="str">
        <x:f>IF(C668="","",IF(COUNT(G668:CB668)=0,"",IF(COUNT(G668:CB668)&lt;74,"موقت - اطلاعات ناقص",IF(CL668&gt;=17,"عالی",IF(CL668&gt;=14,"خوب",IF(CL668&gt;=10,"متوسط","ضعیف"))))))</x:f>
      </x:c>
      <x:c r="CN668" s="178" t="n">
        <x:v>4</x:v>
      </x:c>
      <x:c r="CO668" s="142" t="n">
        <x:f>IF(C668="","",COUNT(G668:CB668)/74)</x:f>
        <x:v>0</x:v>
      </x:c>
      <x:c r="CP668" s="245"/>
    </x:row>
    <x:row r="669">
      <x:c r="A669" s="165" t="n">
        <x:v>665</x:v>
      </x:c>
      <x:c r="B669" s="233" t="str">
        <x:v>آبان</x:v>
      </x:c>
      <x:c r="C669" s="233" t="n">
        <x:f>IF('دانش‌آموزان'!E60="","",'دانش‌آموزان'!B60)</x:f>
        <x:v>56</x:v>
      </x:c>
      <x:c r="D669" s="233" t="str">
        <x:f>IF('دانش‌آموزان'!C60="","",'دانش‌آموزان'!C60)</x:f>
        <x:v>4000000561</x:v>
      </x:c>
      <x:c r="E669" s="233" t="str">
        <x:f>IF('دانش‌آموزان'!E60="","",'دانش‌آموزان'!E60&amp;" "&amp;'دانش‌آموزان'!F60)</x:f>
        <x:v>نازنین مرادی</x:v>
      </x:c>
      <x:c r="F669" s="166" t="str">
        <x:f>IF('دانش‌آموزان'!I60="","",'دانش‌آموزان'!I60)</x:f>
        <x:v>sample-7-c</x:v>
      </x:c>
      <x:c r="G669" s="114"/>
      <x:c r="H669" s="115"/>
      <x:c r="I669" s="115"/>
      <x:c r="J669" s="115"/>
      <x:c r="K669" s="115"/>
      <x:c r="L669" s="115"/>
      <x:c r="M669" s="115"/>
      <x:c r="N669" s="115"/>
      <x:c r="O669" s="115"/>
      <x:c r="P669" s="115"/>
      <x:c r="Q669" s="115"/>
      <x:c r="R669" s="115"/>
      <x:c r="S669" s="115"/>
      <x:c r="T669" s="115"/>
      <x:c r="U669" s="115"/>
      <x:c r="V669" s="115"/>
      <x:c r="W669" s="115"/>
      <x:c r="X669" s="115"/>
      <x:c r="Y669" s="115"/>
      <x:c r="Z669" s="115"/>
      <x:c r="AA669" s="115"/>
      <x:c r="AB669" s="115"/>
      <x:c r="AC669" s="115"/>
      <x:c r="AD669" s="115"/>
      <x:c r="AE669" s="115"/>
      <x:c r="AF669" s="115"/>
      <x:c r="AG669" s="115"/>
      <x:c r="AH669" s="115"/>
      <x:c r="AI669" s="115"/>
      <x:c r="AJ669" s="115"/>
      <x:c r="AK669" s="115"/>
      <x:c r="AL669" s="115"/>
      <x:c r="AM669" s="115"/>
      <x:c r="AN669" s="115"/>
      <x:c r="AO669" s="115"/>
      <x:c r="AP669" s="115"/>
      <x:c r="AQ669" s="115"/>
      <x:c r="AR669" s="115"/>
      <x:c r="AS669" s="115"/>
      <x:c r="AT669" s="115"/>
      <x:c r="AU669" s="115"/>
      <x:c r="AV669" s="115"/>
      <x:c r="AW669" s="115"/>
      <x:c r="AX669" s="115"/>
      <x:c r="AY669" s="115"/>
      <x:c r="AZ669" s="115"/>
      <x:c r="BA669" s="115"/>
      <x:c r="BB669" s="115"/>
      <x:c r="BC669" s="115"/>
      <x:c r="BD669" s="115"/>
      <x:c r="BE669" s="115"/>
      <x:c r="BF669" s="115"/>
      <x:c r="BG669" s="115"/>
      <x:c r="BH669" s="115"/>
      <x:c r="BI669" s="115"/>
      <x:c r="BJ669" s="115"/>
      <x:c r="BK669" s="115"/>
      <x:c r="BL669" s="115"/>
      <x:c r="BM669" s="115"/>
      <x:c r="BN669" s="115"/>
      <x:c r="BO669" s="115"/>
      <x:c r="BP669" s="115"/>
      <x:c r="BQ669" s="115"/>
      <x:c r="BR669" s="115"/>
      <x:c r="BS669" s="115"/>
      <x:c r="BT669" s="115"/>
      <x:c r="BU669" s="115"/>
      <x:c r="BV669" s="115"/>
      <x:c r="BW669" s="115"/>
      <x:c r="BX669" s="115"/>
      <x:c r="BY669" s="115"/>
      <x:c r="BZ669" s="115"/>
      <x:c r="CA669" s="115"/>
      <x:c r="CB669" s="116"/>
      <x:c r="CC669" s="141" t="str">
        <x:f>IF(COUNT(G669:P669)=0,"",AVERAGE(G669:P669)*4)</x:f>
      </x:c>
      <x:c r="CD669" s="178" t="str">
        <x:f>IF(COUNT(Q669:Z669)=0,"",AVERAGE(Q669:Z669)*4)</x:f>
      </x:c>
      <x:c r="CE669" s="178" t="str">
        <x:f>IF(COUNT(AA669:AJ669)=0,"",AVERAGE(AA669:AJ669)*4)</x:f>
      </x:c>
      <x:c r="CF669" s="178" t="str">
        <x:f>IF(COUNT(AK669:AR669)=0,"",AVERAGE(AK669:AR669)*4)</x:f>
      </x:c>
      <x:c r="CG669" s="178" t="str">
        <x:f>IF(COUNT(AS669:AY669)=0,"",AVERAGE(AS669:AY669)*4)</x:f>
      </x:c>
      <x:c r="CH669" s="178" t="str">
        <x:f>IF(COUNT(AZ669:BG669)=0,"",AVERAGE(AZ669:BG669)*4)</x:f>
      </x:c>
      <x:c r="CI669" s="178" t="str">
        <x:f>IF(COUNT(BH669:BN669)=0,"",AVERAGE(BH669:BN669)*4)</x:f>
      </x:c>
      <x:c r="CJ669" s="178" t="str">
        <x:f>IF(COUNT(BO669:BU669)=0,"",AVERAGE(BO669:BU669)*4)</x:f>
      </x:c>
      <x:c r="CK669" s="178" t="str">
        <x:f>IF(COUNT(BV669:CB669)=0,"",AVERAGE(BV669:CB669)*4)</x:f>
      </x:c>
      <x:c r="CL669" s="178" t="str">
        <x:f>IF(C669="","",IF(COUNT(G669:CB669)&lt;74,"",(CC669*'تنظیمات وزن‌دهی'!$C$5+CD669*'تنظیمات وزن‌دهی'!$C$6+CE669*'تنظیمات وزن‌دهی'!$C$7+CF669*'تنظیمات وزن‌دهی'!$C$8+CG669*'تنظیمات وزن‌دهی'!$C$9+CH669*'تنظیمات وزن‌دهی'!$C$10+CI669*'تنظیمات وزن‌دهی'!$C$11+CJ669*'تنظیمات وزن‌دهی'!$C$12+CK669*'تنظیمات وزن‌دهی'!$C$13)/100))</x:f>
      </x:c>
      <x:c r="CM669" s="178" t="str">
        <x:f>IF(C669="","",IF(COUNT(G669:CB669)=0,"",IF(COUNT(G669:CB669)&lt;74,"موقت - اطلاعات ناقص",IF(CL669&gt;=17,"عالی",IF(CL669&gt;=14,"خوب",IF(CL669&gt;=10,"متوسط","ضعیف"))))))</x:f>
      </x:c>
      <x:c r="CN669" s="178" t="n">
        <x:v>5</x:v>
      </x:c>
      <x:c r="CO669" s="142" t="n">
        <x:f>IF(C669="","",COUNT(G669:CB669)/74)</x:f>
        <x:v>0</x:v>
      </x:c>
      <x:c r="CP669" s="245"/>
    </x:row>
    <x:row r="670">
      <x:c r="A670" s="165" t="n">
        <x:v>666</x:v>
      </x:c>
      <x:c r="B670" s="233" t="str">
        <x:v>آذر</x:v>
      </x:c>
      <x:c r="C670" s="233" t="n">
        <x:f>IF('دانش‌آموزان'!E60="","",'دانش‌آموزان'!B60)</x:f>
        <x:v>56</x:v>
      </x:c>
      <x:c r="D670" s="233" t="str">
        <x:f>IF('دانش‌آموزان'!C60="","",'دانش‌آموزان'!C60)</x:f>
        <x:v>4000000561</x:v>
      </x:c>
      <x:c r="E670" s="233" t="str">
        <x:f>IF('دانش‌آموزان'!E60="","",'دانش‌آموزان'!E60&amp;" "&amp;'دانش‌آموزان'!F60)</x:f>
        <x:v>نازنین مرادی</x:v>
      </x:c>
      <x:c r="F670" s="166" t="str">
        <x:f>IF('دانش‌آموزان'!I60="","",'دانش‌آموزان'!I60)</x:f>
        <x:v>sample-7-c</x:v>
      </x:c>
      <x:c r="G670" s="114"/>
      <x:c r="H670" s="115"/>
      <x:c r="I670" s="115"/>
      <x:c r="J670" s="115"/>
      <x:c r="K670" s="115"/>
      <x:c r="L670" s="115"/>
      <x:c r="M670" s="115"/>
      <x:c r="N670" s="115"/>
      <x:c r="O670" s="115"/>
      <x:c r="P670" s="115"/>
      <x:c r="Q670" s="115"/>
      <x:c r="R670" s="115"/>
      <x:c r="S670" s="115"/>
      <x:c r="T670" s="115"/>
      <x:c r="U670" s="115"/>
      <x:c r="V670" s="115"/>
      <x:c r="W670" s="115"/>
      <x:c r="X670" s="115"/>
      <x:c r="Y670" s="115"/>
      <x:c r="Z670" s="115"/>
      <x:c r="AA670" s="115"/>
      <x:c r="AB670" s="115"/>
      <x:c r="AC670" s="115"/>
      <x:c r="AD670" s="115"/>
      <x:c r="AE670" s="115"/>
      <x:c r="AF670" s="115"/>
      <x:c r="AG670" s="115"/>
      <x:c r="AH670" s="115"/>
      <x:c r="AI670" s="115"/>
      <x:c r="AJ670" s="115"/>
      <x:c r="AK670" s="115"/>
      <x:c r="AL670" s="115"/>
      <x:c r="AM670" s="115"/>
      <x:c r="AN670" s="115"/>
      <x:c r="AO670" s="115"/>
      <x:c r="AP670" s="115"/>
      <x:c r="AQ670" s="115"/>
      <x:c r="AR670" s="115"/>
      <x:c r="AS670" s="115"/>
      <x:c r="AT670" s="115"/>
      <x:c r="AU670" s="115"/>
      <x:c r="AV670" s="115"/>
      <x:c r="AW670" s="115"/>
      <x:c r="AX670" s="115"/>
      <x:c r="AY670" s="115"/>
      <x:c r="AZ670" s="115"/>
      <x:c r="BA670" s="115"/>
      <x:c r="BB670" s="115"/>
      <x:c r="BC670" s="115"/>
      <x:c r="BD670" s="115"/>
      <x:c r="BE670" s="115"/>
      <x:c r="BF670" s="115"/>
      <x:c r="BG670" s="115"/>
      <x:c r="BH670" s="115"/>
      <x:c r="BI670" s="115"/>
      <x:c r="BJ670" s="115"/>
      <x:c r="BK670" s="115"/>
      <x:c r="BL670" s="115"/>
      <x:c r="BM670" s="115"/>
      <x:c r="BN670" s="115"/>
      <x:c r="BO670" s="115"/>
      <x:c r="BP670" s="115"/>
      <x:c r="BQ670" s="115"/>
      <x:c r="BR670" s="115"/>
      <x:c r="BS670" s="115"/>
      <x:c r="BT670" s="115"/>
      <x:c r="BU670" s="115"/>
      <x:c r="BV670" s="115"/>
      <x:c r="BW670" s="115"/>
      <x:c r="BX670" s="115"/>
      <x:c r="BY670" s="115"/>
      <x:c r="BZ670" s="115"/>
      <x:c r="CA670" s="115"/>
      <x:c r="CB670" s="116"/>
      <x:c r="CC670" s="141" t="str">
        <x:f>IF(COUNT(G670:P670)=0,"",AVERAGE(G670:P670)*4)</x:f>
      </x:c>
      <x:c r="CD670" s="178" t="str">
        <x:f>IF(COUNT(Q670:Z670)=0,"",AVERAGE(Q670:Z670)*4)</x:f>
      </x:c>
      <x:c r="CE670" s="178" t="str">
        <x:f>IF(COUNT(AA670:AJ670)=0,"",AVERAGE(AA670:AJ670)*4)</x:f>
      </x:c>
      <x:c r="CF670" s="178" t="str">
        <x:f>IF(COUNT(AK670:AR670)=0,"",AVERAGE(AK670:AR670)*4)</x:f>
      </x:c>
      <x:c r="CG670" s="178" t="str">
        <x:f>IF(COUNT(AS670:AY670)=0,"",AVERAGE(AS670:AY670)*4)</x:f>
      </x:c>
      <x:c r="CH670" s="178" t="str">
        <x:f>IF(COUNT(AZ670:BG670)=0,"",AVERAGE(AZ670:BG670)*4)</x:f>
      </x:c>
      <x:c r="CI670" s="178" t="str">
        <x:f>IF(COUNT(BH670:BN670)=0,"",AVERAGE(BH670:BN670)*4)</x:f>
      </x:c>
      <x:c r="CJ670" s="178" t="str">
        <x:f>IF(COUNT(BO670:BU670)=0,"",AVERAGE(BO670:BU670)*4)</x:f>
      </x:c>
      <x:c r="CK670" s="178" t="str">
        <x:f>IF(COUNT(BV670:CB670)=0,"",AVERAGE(BV670:CB670)*4)</x:f>
      </x:c>
      <x:c r="CL670" s="178" t="str">
        <x:f>IF(C670="","",IF(COUNT(G670:CB670)&lt;74,"",(CC670*'تنظیمات وزن‌دهی'!$C$5+CD670*'تنظیمات وزن‌دهی'!$C$6+CE670*'تنظیمات وزن‌دهی'!$C$7+CF670*'تنظیمات وزن‌دهی'!$C$8+CG670*'تنظیمات وزن‌دهی'!$C$9+CH670*'تنظیمات وزن‌دهی'!$C$10+CI670*'تنظیمات وزن‌دهی'!$C$11+CJ670*'تنظیمات وزن‌دهی'!$C$12+CK670*'تنظیمات وزن‌دهی'!$C$13)/100))</x:f>
      </x:c>
      <x:c r="CM670" s="178" t="str">
        <x:f>IF(C670="","",IF(COUNT(G670:CB670)=0,"",IF(COUNT(G670:CB670)&lt;74,"موقت - اطلاعات ناقص",IF(CL670&gt;=17,"عالی",IF(CL670&gt;=14,"خوب",IF(CL670&gt;=10,"متوسط","ضعیف"))))))</x:f>
      </x:c>
      <x:c r="CN670" s="178" t="n">
        <x:v>6</x:v>
      </x:c>
      <x:c r="CO670" s="142" t="n">
        <x:f>IF(C670="","",COUNT(G670:CB670)/74)</x:f>
        <x:v>0</x:v>
      </x:c>
      <x:c r="CP670" s="245"/>
    </x:row>
    <x:row r="671">
      <x:c r="A671" s="165" t="n">
        <x:v>667</x:v>
      </x:c>
      <x:c r="B671" s="233" t="str">
        <x:v>دی</x:v>
      </x:c>
      <x:c r="C671" s="233" t="n">
        <x:f>IF('دانش‌آموزان'!E60="","",'دانش‌آموزان'!B60)</x:f>
        <x:v>56</x:v>
      </x:c>
      <x:c r="D671" s="233" t="str">
        <x:f>IF('دانش‌آموزان'!C60="","",'دانش‌آموزان'!C60)</x:f>
        <x:v>4000000561</x:v>
      </x:c>
      <x:c r="E671" s="233" t="str">
        <x:f>IF('دانش‌آموزان'!E60="","",'دانش‌آموزان'!E60&amp;" "&amp;'دانش‌آموزان'!F60)</x:f>
        <x:v>نازنین مرادی</x:v>
      </x:c>
      <x:c r="F671" s="166" t="str">
        <x:f>IF('دانش‌آموزان'!I60="","",'دانش‌آموزان'!I60)</x:f>
        <x:v>sample-7-c</x:v>
      </x:c>
      <x:c r="G671" s="114"/>
      <x:c r="H671" s="115"/>
      <x:c r="I671" s="115"/>
      <x:c r="J671" s="115"/>
      <x:c r="K671" s="115"/>
      <x:c r="L671" s="115"/>
      <x:c r="M671" s="115"/>
      <x:c r="N671" s="115"/>
      <x:c r="O671" s="115"/>
      <x:c r="P671" s="115"/>
      <x:c r="Q671" s="115"/>
      <x:c r="R671" s="115"/>
      <x:c r="S671" s="115"/>
      <x:c r="T671" s="115"/>
      <x:c r="U671" s="115"/>
      <x:c r="V671" s="115"/>
      <x:c r="W671" s="115"/>
      <x:c r="X671" s="115"/>
      <x:c r="Y671" s="115"/>
      <x:c r="Z671" s="115"/>
      <x:c r="AA671" s="115"/>
      <x:c r="AB671" s="115"/>
      <x:c r="AC671" s="115"/>
      <x:c r="AD671" s="115"/>
      <x:c r="AE671" s="115"/>
      <x:c r="AF671" s="115"/>
      <x:c r="AG671" s="115"/>
      <x:c r="AH671" s="115"/>
      <x:c r="AI671" s="115"/>
      <x:c r="AJ671" s="115"/>
      <x:c r="AK671" s="115"/>
      <x:c r="AL671" s="115"/>
      <x:c r="AM671" s="115"/>
      <x:c r="AN671" s="115"/>
      <x:c r="AO671" s="115"/>
      <x:c r="AP671" s="115"/>
      <x:c r="AQ671" s="115"/>
      <x:c r="AR671" s="115"/>
      <x:c r="AS671" s="115"/>
      <x:c r="AT671" s="115"/>
      <x:c r="AU671" s="115"/>
      <x:c r="AV671" s="115"/>
      <x:c r="AW671" s="115"/>
      <x:c r="AX671" s="115"/>
      <x:c r="AY671" s="115"/>
      <x:c r="AZ671" s="115"/>
      <x:c r="BA671" s="115"/>
      <x:c r="BB671" s="115"/>
      <x:c r="BC671" s="115"/>
      <x:c r="BD671" s="115"/>
      <x:c r="BE671" s="115"/>
      <x:c r="BF671" s="115"/>
      <x:c r="BG671" s="115"/>
      <x:c r="BH671" s="115"/>
      <x:c r="BI671" s="115"/>
      <x:c r="BJ671" s="115"/>
      <x:c r="BK671" s="115"/>
      <x:c r="BL671" s="115"/>
      <x:c r="BM671" s="115"/>
      <x:c r="BN671" s="115"/>
      <x:c r="BO671" s="115"/>
      <x:c r="BP671" s="115"/>
      <x:c r="BQ671" s="115"/>
      <x:c r="BR671" s="115"/>
      <x:c r="BS671" s="115"/>
      <x:c r="BT671" s="115"/>
      <x:c r="BU671" s="115"/>
      <x:c r="BV671" s="115"/>
      <x:c r="BW671" s="115"/>
      <x:c r="BX671" s="115"/>
      <x:c r="BY671" s="115"/>
      <x:c r="BZ671" s="115"/>
      <x:c r="CA671" s="115"/>
      <x:c r="CB671" s="116"/>
      <x:c r="CC671" s="141" t="str">
        <x:f>IF(COUNT(G671:P671)=0,"",AVERAGE(G671:P671)*4)</x:f>
      </x:c>
      <x:c r="CD671" s="178" t="str">
        <x:f>IF(COUNT(Q671:Z671)=0,"",AVERAGE(Q671:Z671)*4)</x:f>
      </x:c>
      <x:c r="CE671" s="178" t="str">
        <x:f>IF(COUNT(AA671:AJ671)=0,"",AVERAGE(AA671:AJ671)*4)</x:f>
      </x:c>
      <x:c r="CF671" s="178" t="str">
        <x:f>IF(COUNT(AK671:AR671)=0,"",AVERAGE(AK671:AR671)*4)</x:f>
      </x:c>
      <x:c r="CG671" s="178" t="str">
        <x:f>IF(COUNT(AS671:AY671)=0,"",AVERAGE(AS671:AY671)*4)</x:f>
      </x:c>
      <x:c r="CH671" s="178" t="str">
        <x:f>IF(COUNT(AZ671:BG671)=0,"",AVERAGE(AZ671:BG671)*4)</x:f>
      </x:c>
      <x:c r="CI671" s="178" t="str">
        <x:f>IF(COUNT(BH671:BN671)=0,"",AVERAGE(BH671:BN671)*4)</x:f>
      </x:c>
      <x:c r="CJ671" s="178" t="str">
        <x:f>IF(COUNT(BO671:BU671)=0,"",AVERAGE(BO671:BU671)*4)</x:f>
      </x:c>
      <x:c r="CK671" s="178" t="str">
        <x:f>IF(COUNT(BV671:CB671)=0,"",AVERAGE(BV671:CB671)*4)</x:f>
      </x:c>
      <x:c r="CL671" s="178" t="str">
        <x:f>IF(C671="","",IF(COUNT(G671:CB671)&lt;74,"",(CC671*'تنظیمات وزن‌دهی'!$C$5+CD671*'تنظیمات وزن‌دهی'!$C$6+CE671*'تنظیمات وزن‌دهی'!$C$7+CF671*'تنظیمات وزن‌دهی'!$C$8+CG671*'تنظیمات وزن‌دهی'!$C$9+CH671*'تنظیمات وزن‌دهی'!$C$10+CI671*'تنظیمات وزن‌دهی'!$C$11+CJ671*'تنظیمات وزن‌دهی'!$C$12+CK671*'تنظیمات وزن‌دهی'!$C$13)/100))</x:f>
      </x:c>
      <x:c r="CM671" s="178" t="str">
        <x:f>IF(C671="","",IF(COUNT(G671:CB671)=0,"",IF(COUNT(G671:CB671)&lt;74,"موقت - اطلاعات ناقص",IF(CL671&gt;=17,"عالی",IF(CL671&gt;=14,"خوب",IF(CL671&gt;=10,"متوسط","ضعیف"))))))</x:f>
      </x:c>
      <x:c r="CN671" s="178" t="n">
        <x:v>7</x:v>
      </x:c>
      <x:c r="CO671" s="142" t="n">
        <x:f>IF(C671="","",COUNT(G671:CB671)/74)</x:f>
        <x:v>0</x:v>
      </x:c>
      <x:c r="CP671" s="245"/>
    </x:row>
    <x:row r="672">
      <x:c r="A672" s="165" t="n">
        <x:v>668</x:v>
      </x:c>
      <x:c r="B672" s="233" t="str">
        <x:v>بهمن</x:v>
      </x:c>
      <x:c r="C672" s="233" t="n">
        <x:f>IF('دانش‌آموزان'!E60="","",'دانش‌آموزان'!B60)</x:f>
        <x:v>56</x:v>
      </x:c>
      <x:c r="D672" s="233" t="str">
        <x:f>IF('دانش‌آموزان'!C60="","",'دانش‌آموزان'!C60)</x:f>
        <x:v>4000000561</x:v>
      </x:c>
      <x:c r="E672" s="233" t="str">
        <x:f>IF('دانش‌آموزان'!E60="","",'دانش‌آموزان'!E60&amp;" "&amp;'دانش‌آموزان'!F60)</x:f>
        <x:v>نازنین مرادی</x:v>
      </x:c>
      <x:c r="F672" s="166" t="str">
        <x:f>IF('دانش‌آموزان'!I60="","",'دانش‌آموزان'!I60)</x:f>
        <x:v>sample-7-c</x:v>
      </x:c>
      <x:c r="G672" s="114"/>
      <x:c r="H672" s="115"/>
      <x:c r="I672" s="115"/>
      <x:c r="J672" s="115"/>
      <x:c r="K672" s="115"/>
      <x:c r="L672" s="115"/>
      <x:c r="M672" s="115"/>
      <x:c r="N672" s="115"/>
      <x:c r="O672" s="115"/>
      <x:c r="P672" s="115"/>
      <x:c r="Q672" s="115"/>
      <x:c r="R672" s="115"/>
      <x:c r="S672" s="115"/>
      <x:c r="T672" s="115"/>
      <x:c r="U672" s="115"/>
      <x:c r="V672" s="115"/>
      <x:c r="W672" s="115"/>
      <x:c r="X672" s="115"/>
      <x:c r="Y672" s="115"/>
      <x:c r="Z672" s="115"/>
      <x:c r="AA672" s="115"/>
      <x:c r="AB672" s="115"/>
      <x:c r="AC672" s="115"/>
      <x:c r="AD672" s="115"/>
      <x:c r="AE672" s="115"/>
      <x:c r="AF672" s="115"/>
      <x:c r="AG672" s="115"/>
      <x:c r="AH672" s="115"/>
      <x:c r="AI672" s="115"/>
      <x:c r="AJ672" s="115"/>
      <x:c r="AK672" s="115"/>
      <x:c r="AL672" s="115"/>
      <x:c r="AM672" s="115"/>
      <x:c r="AN672" s="115"/>
      <x:c r="AO672" s="115"/>
      <x:c r="AP672" s="115"/>
      <x:c r="AQ672" s="115"/>
      <x:c r="AR672" s="115"/>
      <x:c r="AS672" s="115"/>
      <x:c r="AT672" s="115"/>
      <x:c r="AU672" s="115"/>
      <x:c r="AV672" s="115"/>
      <x:c r="AW672" s="115"/>
      <x:c r="AX672" s="115"/>
      <x:c r="AY672" s="115"/>
      <x:c r="AZ672" s="115"/>
      <x:c r="BA672" s="115"/>
      <x:c r="BB672" s="115"/>
      <x:c r="BC672" s="115"/>
      <x:c r="BD672" s="115"/>
      <x:c r="BE672" s="115"/>
      <x:c r="BF672" s="115"/>
      <x:c r="BG672" s="115"/>
      <x:c r="BH672" s="115"/>
      <x:c r="BI672" s="115"/>
      <x:c r="BJ672" s="115"/>
      <x:c r="BK672" s="115"/>
      <x:c r="BL672" s="115"/>
      <x:c r="BM672" s="115"/>
      <x:c r="BN672" s="115"/>
      <x:c r="BO672" s="115"/>
      <x:c r="BP672" s="115"/>
      <x:c r="BQ672" s="115"/>
      <x:c r="BR672" s="115"/>
      <x:c r="BS672" s="115"/>
      <x:c r="BT672" s="115"/>
      <x:c r="BU672" s="115"/>
      <x:c r="BV672" s="115"/>
      <x:c r="BW672" s="115"/>
      <x:c r="BX672" s="115"/>
      <x:c r="BY672" s="115"/>
      <x:c r="BZ672" s="115"/>
      <x:c r="CA672" s="115"/>
      <x:c r="CB672" s="116"/>
      <x:c r="CC672" s="141" t="str">
        <x:f>IF(COUNT(G672:P672)=0,"",AVERAGE(G672:P672)*4)</x:f>
      </x:c>
      <x:c r="CD672" s="178" t="str">
        <x:f>IF(COUNT(Q672:Z672)=0,"",AVERAGE(Q672:Z672)*4)</x:f>
      </x:c>
      <x:c r="CE672" s="178" t="str">
        <x:f>IF(COUNT(AA672:AJ672)=0,"",AVERAGE(AA672:AJ672)*4)</x:f>
      </x:c>
      <x:c r="CF672" s="178" t="str">
        <x:f>IF(COUNT(AK672:AR672)=0,"",AVERAGE(AK672:AR672)*4)</x:f>
      </x:c>
      <x:c r="CG672" s="178" t="str">
        <x:f>IF(COUNT(AS672:AY672)=0,"",AVERAGE(AS672:AY672)*4)</x:f>
      </x:c>
      <x:c r="CH672" s="178" t="str">
        <x:f>IF(COUNT(AZ672:BG672)=0,"",AVERAGE(AZ672:BG672)*4)</x:f>
      </x:c>
      <x:c r="CI672" s="178" t="str">
        <x:f>IF(COUNT(BH672:BN672)=0,"",AVERAGE(BH672:BN672)*4)</x:f>
      </x:c>
      <x:c r="CJ672" s="178" t="str">
        <x:f>IF(COUNT(BO672:BU672)=0,"",AVERAGE(BO672:BU672)*4)</x:f>
      </x:c>
      <x:c r="CK672" s="178" t="str">
        <x:f>IF(COUNT(BV672:CB672)=0,"",AVERAGE(BV672:CB672)*4)</x:f>
      </x:c>
      <x:c r="CL672" s="178" t="str">
        <x:f>IF(C672="","",IF(COUNT(G672:CB672)&lt;74,"",(CC672*'تنظیمات وزن‌دهی'!$C$5+CD672*'تنظیمات وزن‌دهی'!$C$6+CE672*'تنظیمات وزن‌دهی'!$C$7+CF672*'تنظیمات وزن‌دهی'!$C$8+CG672*'تنظیمات وزن‌دهی'!$C$9+CH672*'تنظیمات وزن‌دهی'!$C$10+CI672*'تنظیمات وزن‌دهی'!$C$11+CJ672*'تنظیمات وزن‌دهی'!$C$12+CK672*'تنظیمات وزن‌دهی'!$C$13)/100))</x:f>
      </x:c>
      <x:c r="CM672" s="178" t="str">
        <x:f>IF(C672="","",IF(COUNT(G672:CB672)=0,"",IF(COUNT(G672:CB672)&lt;74,"موقت - اطلاعات ناقص",IF(CL672&gt;=17,"عالی",IF(CL672&gt;=14,"خوب",IF(CL672&gt;=10,"متوسط","ضعیف"))))))</x:f>
      </x:c>
      <x:c r="CN672" s="178" t="n">
        <x:v>8</x:v>
      </x:c>
      <x:c r="CO672" s="142" t="n">
        <x:f>IF(C672="","",COUNT(G672:CB672)/74)</x:f>
        <x:v>0</x:v>
      </x:c>
      <x:c r="CP672" s="245"/>
    </x:row>
    <x:row r="673">
      <x:c r="A673" s="165" t="n">
        <x:v>669</x:v>
      </x:c>
      <x:c r="B673" s="233" t="str">
        <x:v>اسفند</x:v>
      </x:c>
      <x:c r="C673" s="233" t="n">
        <x:f>IF('دانش‌آموزان'!E60="","",'دانش‌آموزان'!B60)</x:f>
        <x:v>56</x:v>
      </x:c>
      <x:c r="D673" s="233" t="str">
        <x:f>IF('دانش‌آموزان'!C60="","",'دانش‌آموزان'!C60)</x:f>
        <x:v>4000000561</x:v>
      </x:c>
      <x:c r="E673" s="233" t="str">
        <x:f>IF('دانش‌آموزان'!E60="","",'دانش‌آموزان'!E60&amp;" "&amp;'دانش‌آموزان'!F60)</x:f>
        <x:v>نازنین مرادی</x:v>
      </x:c>
      <x:c r="F673" s="166" t="str">
        <x:f>IF('دانش‌آموزان'!I60="","",'دانش‌آموزان'!I60)</x:f>
        <x:v>sample-7-c</x:v>
      </x:c>
      <x:c r="G673" s="114"/>
      <x:c r="H673" s="115"/>
      <x:c r="I673" s="115"/>
      <x:c r="J673" s="115"/>
      <x:c r="K673" s="115"/>
      <x:c r="L673" s="115"/>
      <x:c r="M673" s="115"/>
      <x:c r="N673" s="115"/>
      <x:c r="O673" s="115"/>
      <x:c r="P673" s="115"/>
      <x:c r="Q673" s="115"/>
      <x:c r="R673" s="115"/>
      <x:c r="S673" s="115"/>
      <x:c r="T673" s="115"/>
      <x:c r="U673" s="115"/>
      <x:c r="V673" s="115"/>
      <x:c r="W673" s="115"/>
      <x:c r="X673" s="115"/>
      <x:c r="Y673" s="115"/>
      <x:c r="Z673" s="115"/>
      <x:c r="AA673" s="115"/>
      <x:c r="AB673" s="115"/>
      <x:c r="AC673" s="115"/>
      <x:c r="AD673" s="115"/>
      <x:c r="AE673" s="115"/>
      <x:c r="AF673" s="115"/>
      <x:c r="AG673" s="115"/>
      <x:c r="AH673" s="115"/>
      <x:c r="AI673" s="115"/>
      <x:c r="AJ673" s="115"/>
      <x:c r="AK673" s="115"/>
      <x:c r="AL673" s="115"/>
      <x:c r="AM673" s="115"/>
      <x:c r="AN673" s="115"/>
      <x:c r="AO673" s="115"/>
      <x:c r="AP673" s="115"/>
      <x:c r="AQ673" s="115"/>
      <x:c r="AR673" s="115"/>
      <x:c r="AS673" s="115"/>
      <x:c r="AT673" s="115"/>
      <x:c r="AU673" s="115"/>
      <x:c r="AV673" s="115"/>
      <x:c r="AW673" s="115"/>
      <x:c r="AX673" s="115"/>
      <x:c r="AY673" s="115"/>
      <x:c r="AZ673" s="115"/>
      <x:c r="BA673" s="115"/>
      <x:c r="BB673" s="115"/>
      <x:c r="BC673" s="115"/>
      <x:c r="BD673" s="115"/>
      <x:c r="BE673" s="115"/>
      <x:c r="BF673" s="115"/>
      <x:c r="BG673" s="115"/>
      <x:c r="BH673" s="115"/>
      <x:c r="BI673" s="115"/>
      <x:c r="BJ673" s="115"/>
      <x:c r="BK673" s="115"/>
      <x:c r="BL673" s="115"/>
      <x:c r="BM673" s="115"/>
      <x:c r="BN673" s="115"/>
      <x:c r="BO673" s="115"/>
      <x:c r="BP673" s="115"/>
      <x:c r="BQ673" s="115"/>
      <x:c r="BR673" s="115"/>
      <x:c r="BS673" s="115"/>
      <x:c r="BT673" s="115"/>
      <x:c r="BU673" s="115"/>
      <x:c r="BV673" s="115"/>
      <x:c r="BW673" s="115"/>
      <x:c r="BX673" s="115"/>
      <x:c r="BY673" s="115"/>
      <x:c r="BZ673" s="115"/>
      <x:c r="CA673" s="115"/>
      <x:c r="CB673" s="116"/>
      <x:c r="CC673" s="141" t="str">
        <x:f>IF(COUNT(G673:P673)=0,"",AVERAGE(G673:P673)*4)</x:f>
      </x:c>
      <x:c r="CD673" s="178" t="str">
        <x:f>IF(COUNT(Q673:Z673)=0,"",AVERAGE(Q673:Z673)*4)</x:f>
      </x:c>
      <x:c r="CE673" s="178" t="str">
        <x:f>IF(COUNT(AA673:AJ673)=0,"",AVERAGE(AA673:AJ673)*4)</x:f>
      </x:c>
      <x:c r="CF673" s="178" t="str">
        <x:f>IF(COUNT(AK673:AR673)=0,"",AVERAGE(AK673:AR673)*4)</x:f>
      </x:c>
      <x:c r="CG673" s="178" t="str">
        <x:f>IF(COUNT(AS673:AY673)=0,"",AVERAGE(AS673:AY673)*4)</x:f>
      </x:c>
      <x:c r="CH673" s="178" t="str">
        <x:f>IF(COUNT(AZ673:BG673)=0,"",AVERAGE(AZ673:BG673)*4)</x:f>
      </x:c>
      <x:c r="CI673" s="178" t="str">
        <x:f>IF(COUNT(BH673:BN673)=0,"",AVERAGE(BH673:BN673)*4)</x:f>
      </x:c>
      <x:c r="CJ673" s="178" t="str">
        <x:f>IF(COUNT(BO673:BU673)=0,"",AVERAGE(BO673:BU673)*4)</x:f>
      </x:c>
      <x:c r="CK673" s="178" t="str">
        <x:f>IF(COUNT(BV673:CB673)=0,"",AVERAGE(BV673:CB673)*4)</x:f>
      </x:c>
      <x:c r="CL673" s="178" t="str">
        <x:f>IF(C673="","",IF(COUNT(G673:CB673)&lt;74,"",(CC673*'تنظیمات وزن‌دهی'!$C$5+CD673*'تنظیمات وزن‌دهی'!$C$6+CE673*'تنظیمات وزن‌دهی'!$C$7+CF673*'تنظیمات وزن‌دهی'!$C$8+CG673*'تنظیمات وزن‌دهی'!$C$9+CH673*'تنظیمات وزن‌دهی'!$C$10+CI673*'تنظیمات وزن‌دهی'!$C$11+CJ673*'تنظیمات وزن‌دهی'!$C$12+CK673*'تنظیمات وزن‌دهی'!$C$13)/100))</x:f>
      </x:c>
      <x:c r="CM673" s="178" t="str">
        <x:f>IF(C673="","",IF(COUNT(G673:CB673)=0,"",IF(COUNT(G673:CB673)&lt;74,"موقت - اطلاعات ناقص",IF(CL673&gt;=17,"عالی",IF(CL673&gt;=14,"خوب",IF(CL673&gt;=10,"متوسط","ضعیف"))))))</x:f>
      </x:c>
      <x:c r="CN673" s="178" t="n">
        <x:v>9</x:v>
      </x:c>
      <x:c r="CO673" s="142" t="n">
        <x:f>IF(C673="","",COUNT(G673:CB673)/74)</x:f>
        <x:v>0</x:v>
      </x:c>
      <x:c r="CP673" s="245"/>
    </x:row>
    <x:row r="674">
      <x:c r="A674" s="165" t="n">
        <x:v>670</x:v>
      </x:c>
      <x:c r="B674" s="233" t="str">
        <x:v>فروردین</x:v>
      </x:c>
      <x:c r="C674" s="233" t="n">
        <x:f>IF('دانش‌آموزان'!E60="","",'دانش‌آموزان'!B60)</x:f>
        <x:v>56</x:v>
      </x:c>
      <x:c r="D674" s="233" t="str">
        <x:f>IF('دانش‌آموزان'!C60="","",'دانش‌آموزان'!C60)</x:f>
        <x:v>4000000561</x:v>
      </x:c>
      <x:c r="E674" s="233" t="str">
        <x:f>IF('دانش‌آموزان'!E60="","",'دانش‌آموزان'!E60&amp;" "&amp;'دانش‌آموزان'!F60)</x:f>
        <x:v>نازنین مرادی</x:v>
      </x:c>
      <x:c r="F674" s="166" t="str">
        <x:f>IF('دانش‌آموزان'!I60="","",'دانش‌آموزان'!I60)</x:f>
        <x:v>sample-7-c</x:v>
      </x:c>
      <x:c r="G674" s="114"/>
      <x:c r="H674" s="115"/>
      <x:c r="I674" s="115"/>
      <x:c r="J674" s="115"/>
      <x:c r="K674" s="115"/>
      <x:c r="L674" s="115"/>
      <x:c r="M674" s="115"/>
      <x:c r="N674" s="115"/>
      <x:c r="O674" s="115"/>
      <x:c r="P674" s="115"/>
      <x:c r="Q674" s="115"/>
      <x:c r="R674" s="115"/>
      <x:c r="S674" s="115"/>
      <x:c r="T674" s="115"/>
      <x:c r="U674" s="115"/>
      <x:c r="V674" s="115"/>
      <x:c r="W674" s="115"/>
      <x:c r="X674" s="115"/>
      <x:c r="Y674" s="115"/>
      <x:c r="Z674" s="115"/>
      <x:c r="AA674" s="115"/>
      <x:c r="AB674" s="115"/>
      <x:c r="AC674" s="115"/>
      <x:c r="AD674" s="115"/>
      <x:c r="AE674" s="115"/>
      <x:c r="AF674" s="115"/>
      <x:c r="AG674" s="115"/>
      <x:c r="AH674" s="115"/>
      <x:c r="AI674" s="115"/>
      <x:c r="AJ674" s="115"/>
      <x:c r="AK674" s="115"/>
      <x:c r="AL674" s="115"/>
      <x:c r="AM674" s="115"/>
      <x:c r="AN674" s="115"/>
      <x:c r="AO674" s="115"/>
      <x:c r="AP674" s="115"/>
      <x:c r="AQ674" s="115"/>
      <x:c r="AR674" s="115"/>
      <x:c r="AS674" s="115"/>
      <x:c r="AT674" s="115"/>
      <x:c r="AU674" s="115"/>
      <x:c r="AV674" s="115"/>
      <x:c r="AW674" s="115"/>
      <x:c r="AX674" s="115"/>
      <x:c r="AY674" s="115"/>
      <x:c r="AZ674" s="115"/>
      <x:c r="BA674" s="115"/>
      <x:c r="BB674" s="115"/>
      <x:c r="BC674" s="115"/>
      <x:c r="BD674" s="115"/>
      <x:c r="BE674" s="115"/>
      <x:c r="BF674" s="115"/>
      <x:c r="BG674" s="115"/>
      <x:c r="BH674" s="115"/>
      <x:c r="BI674" s="115"/>
      <x:c r="BJ674" s="115"/>
      <x:c r="BK674" s="115"/>
      <x:c r="BL674" s="115"/>
      <x:c r="BM674" s="115"/>
      <x:c r="BN674" s="115"/>
      <x:c r="BO674" s="115"/>
      <x:c r="BP674" s="115"/>
      <x:c r="BQ674" s="115"/>
      <x:c r="BR674" s="115"/>
      <x:c r="BS674" s="115"/>
      <x:c r="BT674" s="115"/>
      <x:c r="BU674" s="115"/>
      <x:c r="BV674" s="115"/>
      <x:c r="BW674" s="115"/>
      <x:c r="BX674" s="115"/>
      <x:c r="BY674" s="115"/>
      <x:c r="BZ674" s="115"/>
      <x:c r="CA674" s="115"/>
      <x:c r="CB674" s="116"/>
      <x:c r="CC674" s="141" t="str">
        <x:f>IF(COUNT(G674:P674)=0,"",AVERAGE(G674:P674)*4)</x:f>
      </x:c>
      <x:c r="CD674" s="178" t="str">
        <x:f>IF(COUNT(Q674:Z674)=0,"",AVERAGE(Q674:Z674)*4)</x:f>
      </x:c>
      <x:c r="CE674" s="178" t="str">
        <x:f>IF(COUNT(AA674:AJ674)=0,"",AVERAGE(AA674:AJ674)*4)</x:f>
      </x:c>
      <x:c r="CF674" s="178" t="str">
        <x:f>IF(COUNT(AK674:AR674)=0,"",AVERAGE(AK674:AR674)*4)</x:f>
      </x:c>
      <x:c r="CG674" s="178" t="str">
        <x:f>IF(COUNT(AS674:AY674)=0,"",AVERAGE(AS674:AY674)*4)</x:f>
      </x:c>
      <x:c r="CH674" s="178" t="str">
        <x:f>IF(COUNT(AZ674:BG674)=0,"",AVERAGE(AZ674:BG674)*4)</x:f>
      </x:c>
      <x:c r="CI674" s="178" t="str">
        <x:f>IF(COUNT(BH674:BN674)=0,"",AVERAGE(BH674:BN674)*4)</x:f>
      </x:c>
      <x:c r="CJ674" s="178" t="str">
        <x:f>IF(COUNT(BO674:BU674)=0,"",AVERAGE(BO674:BU674)*4)</x:f>
      </x:c>
      <x:c r="CK674" s="178" t="str">
        <x:f>IF(COUNT(BV674:CB674)=0,"",AVERAGE(BV674:CB674)*4)</x:f>
      </x:c>
      <x:c r="CL674" s="178" t="str">
        <x:f>IF(C674="","",IF(COUNT(G674:CB674)&lt;74,"",(CC674*'تنظیمات وزن‌دهی'!$C$5+CD674*'تنظیمات وزن‌دهی'!$C$6+CE674*'تنظیمات وزن‌دهی'!$C$7+CF674*'تنظیمات وزن‌دهی'!$C$8+CG674*'تنظیمات وزن‌دهی'!$C$9+CH674*'تنظیمات وزن‌دهی'!$C$10+CI674*'تنظیمات وزن‌دهی'!$C$11+CJ674*'تنظیمات وزن‌دهی'!$C$12+CK674*'تنظیمات وزن‌دهی'!$C$13)/100))</x:f>
      </x:c>
      <x:c r="CM674" s="178" t="str">
        <x:f>IF(C674="","",IF(COUNT(G674:CB674)=0,"",IF(COUNT(G674:CB674)&lt;74,"موقت - اطلاعات ناقص",IF(CL674&gt;=17,"عالی",IF(CL674&gt;=14,"خوب",IF(CL674&gt;=10,"متوسط","ضعیف"))))))</x:f>
      </x:c>
      <x:c r="CN674" s="178" t="n">
        <x:v>10</x:v>
      </x:c>
      <x:c r="CO674" s="142" t="n">
        <x:f>IF(C674="","",COUNT(G674:CB674)/74)</x:f>
        <x:v>0</x:v>
      </x:c>
      <x:c r="CP674" s="245"/>
    </x:row>
    <x:row r="675">
      <x:c r="A675" s="165" t="n">
        <x:v>671</x:v>
      </x:c>
      <x:c r="B675" s="233" t="str">
        <x:v>اردیبهشت</x:v>
      </x:c>
      <x:c r="C675" s="233" t="n">
        <x:f>IF('دانش‌آموزان'!E60="","",'دانش‌آموزان'!B60)</x:f>
        <x:v>56</x:v>
      </x:c>
      <x:c r="D675" s="233" t="str">
        <x:f>IF('دانش‌آموزان'!C60="","",'دانش‌آموزان'!C60)</x:f>
        <x:v>4000000561</x:v>
      </x:c>
      <x:c r="E675" s="233" t="str">
        <x:f>IF('دانش‌آموزان'!E60="","",'دانش‌آموزان'!E60&amp;" "&amp;'دانش‌آموزان'!F60)</x:f>
        <x:v>نازنین مرادی</x:v>
      </x:c>
      <x:c r="F675" s="166" t="str">
        <x:f>IF('دانش‌آموزان'!I60="","",'دانش‌آموزان'!I60)</x:f>
        <x:v>sample-7-c</x:v>
      </x:c>
      <x:c r="G675" s="114"/>
      <x:c r="H675" s="115"/>
      <x:c r="I675" s="115"/>
      <x:c r="J675" s="115"/>
      <x:c r="K675" s="115"/>
      <x:c r="L675" s="115"/>
      <x:c r="M675" s="115"/>
      <x:c r="N675" s="115"/>
      <x:c r="O675" s="115"/>
      <x:c r="P675" s="115"/>
      <x:c r="Q675" s="115"/>
      <x:c r="R675" s="115"/>
      <x:c r="S675" s="115"/>
      <x:c r="T675" s="115"/>
      <x:c r="U675" s="115"/>
      <x:c r="V675" s="115"/>
      <x:c r="W675" s="115"/>
      <x:c r="X675" s="115"/>
      <x:c r="Y675" s="115"/>
      <x:c r="Z675" s="115"/>
      <x:c r="AA675" s="115"/>
      <x:c r="AB675" s="115"/>
      <x:c r="AC675" s="115"/>
      <x:c r="AD675" s="115"/>
      <x:c r="AE675" s="115"/>
      <x:c r="AF675" s="115"/>
      <x:c r="AG675" s="115"/>
      <x:c r="AH675" s="115"/>
      <x:c r="AI675" s="115"/>
      <x:c r="AJ675" s="115"/>
      <x:c r="AK675" s="115"/>
      <x:c r="AL675" s="115"/>
      <x:c r="AM675" s="115"/>
      <x:c r="AN675" s="115"/>
      <x:c r="AO675" s="115"/>
      <x:c r="AP675" s="115"/>
      <x:c r="AQ675" s="115"/>
      <x:c r="AR675" s="115"/>
      <x:c r="AS675" s="115"/>
      <x:c r="AT675" s="115"/>
      <x:c r="AU675" s="115"/>
      <x:c r="AV675" s="115"/>
      <x:c r="AW675" s="115"/>
      <x:c r="AX675" s="115"/>
      <x:c r="AY675" s="115"/>
      <x:c r="AZ675" s="115"/>
      <x:c r="BA675" s="115"/>
      <x:c r="BB675" s="115"/>
      <x:c r="BC675" s="115"/>
      <x:c r="BD675" s="115"/>
      <x:c r="BE675" s="115"/>
      <x:c r="BF675" s="115"/>
      <x:c r="BG675" s="115"/>
      <x:c r="BH675" s="115"/>
      <x:c r="BI675" s="115"/>
      <x:c r="BJ675" s="115"/>
      <x:c r="BK675" s="115"/>
      <x:c r="BL675" s="115"/>
      <x:c r="BM675" s="115"/>
      <x:c r="BN675" s="115"/>
      <x:c r="BO675" s="115"/>
      <x:c r="BP675" s="115"/>
      <x:c r="BQ675" s="115"/>
      <x:c r="BR675" s="115"/>
      <x:c r="BS675" s="115"/>
      <x:c r="BT675" s="115"/>
      <x:c r="BU675" s="115"/>
      <x:c r="BV675" s="115"/>
      <x:c r="BW675" s="115"/>
      <x:c r="BX675" s="115"/>
      <x:c r="BY675" s="115"/>
      <x:c r="BZ675" s="115"/>
      <x:c r="CA675" s="115"/>
      <x:c r="CB675" s="116"/>
      <x:c r="CC675" s="141" t="str">
        <x:f>IF(COUNT(G675:P675)=0,"",AVERAGE(G675:P675)*4)</x:f>
      </x:c>
      <x:c r="CD675" s="178" t="str">
        <x:f>IF(COUNT(Q675:Z675)=0,"",AVERAGE(Q675:Z675)*4)</x:f>
      </x:c>
      <x:c r="CE675" s="178" t="str">
        <x:f>IF(COUNT(AA675:AJ675)=0,"",AVERAGE(AA675:AJ675)*4)</x:f>
      </x:c>
      <x:c r="CF675" s="178" t="str">
        <x:f>IF(COUNT(AK675:AR675)=0,"",AVERAGE(AK675:AR675)*4)</x:f>
      </x:c>
      <x:c r="CG675" s="178" t="str">
        <x:f>IF(COUNT(AS675:AY675)=0,"",AVERAGE(AS675:AY675)*4)</x:f>
      </x:c>
      <x:c r="CH675" s="178" t="str">
        <x:f>IF(COUNT(AZ675:BG675)=0,"",AVERAGE(AZ675:BG675)*4)</x:f>
      </x:c>
      <x:c r="CI675" s="178" t="str">
        <x:f>IF(COUNT(BH675:BN675)=0,"",AVERAGE(BH675:BN675)*4)</x:f>
      </x:c>
      <x:c r="CJ675" s="178" t="str">
        <x:f>IF(COUNT(BO675:BU675)=0,"",AVERAGE(BO675:BU675)*4)</x:f>
      </x:c>
      <x:c r="CK675" s="178" t="str">
        <x:f>IF(COUNT(BV675:CB675)=0,"",AVERAGE(BV675:CB675)*4)</x:f>
      </x:c>
      <x:c r="CL675" s="178" t="str">
        <x:f>IF(C675="","",IF(COUNT(G675:CB675)&lt;74,"",(CC675*'تنظیمات وزن‌دهی'!$C$5+CD675*'تنظیمات وزن‌دهی'!$C$6+CE675*'تنظیمات وزن‌دهی'!$C$7+CF675*'تنظیمات وزن‌دهی'!$C$8+CG675*'تنظیمات وزن‌دهی'!$C$9+CH675*'تنظیمات وزن‌دهی'!$C$10+CI675*'تنظیمات وزن‌دهی'!$C$11+CJ675*'تنظیمات وزن‌دهی'!$C$12+CK675*'تنظیمات وزن‌دهی'!$C$13)/100))</x:f>
      </x:c>
      <x:c r="CM675" s="178" t="str">
        <x:f>IF(C675="","",IF(COUNT(G675:CB675)=0,"",IF(COUNT(G675:CB675)&lt;74,"موقت - اطلاعات ناقص",IF(CL675&gt;=17,"عالی",IF(CL675&gt;=14,"خوب",IF(CL675&gt;=10,"متوسط","ضعیف"))))))</x:f>
      </x:c>
      <x:c r="CN675" s="178" t="n">
        <x:v>11</x:v>
      </x:c>
      <x:c r="CO675" s="142" t="n">
        <x:f>IF(C675="","",COUNT(G675:CB675)/74)</x:f>
        <x:v>0</x:v>
      </x:c>
      <x:c r="CP675" s="245"/>
    </x:row>
    <x:row r="676">
      <x:c r="A676" s="165" t="n">
        <x:v>672</x:v>
      </x:c>
      <x:c r="B676" s="233" t="str">
        <x:v>خرداد</x:v>
      </x:c>
      <x:c r="C676" s="233" t="n">
        <x:f>IF('دانش‌آموزان'!E60="","",'دانش‌آموزان'!B60)</x:f>
        <x:v>56</x:v>
      </x:c>
      <x:c r="D676" s="233" t="str">
        <x:f>IF('دانش‌آموزان'!C60="","",'دانش‌آموزان'!C60)</x:f>
        <x:v>4000000561</x:v>
      </x:c>
      <x:c r="E676" s="233" t="str">
        <x:f>IF('دانش‌آموزان'!E60="","",'دانش‌آموزان'!E60&amp;" "&amp;'دانش‌آموزان'!F60)</x:f>
        <x:v>نازنین مرادی</x:v>
      </x:c>
      <x:c r="F676" s="166" t="str">
        <x:f>IF('دانش‌آموزان'!I60="","",'دانش‌آموزان'!I60)</x:f>
        <x:v>sample-7-c</x:v>
      </x:c>
      <x:c r="G676" s="114"/>
      <x:c r="H676" s="115"/>
      <x:c r="I676" s="115"/>
      <x:c r="J676" s="115"/>
      <x:c r="K676" s="115"/>
      <x:c r="L676" s="115"/>
      <x:c r="M676" s="115"/>
      <x:c r="N676" s="115"/>
      <x:c r="O676" s="115"/>
      <x:c r="P676" s="115"/>
      <x:c r="Q676" s="115"/>
      <x:c r="R676" s="115"/>
      <x:c r="S676" s="115"/>
      <x:c r="T676" s="115"/>
      <x:c r="U676" s="115"/>
      <x:c r="V676" s="115"/>
      <x:c r="W676" s="115"/>
      <x:c r="X676" s="115"/>
      <x:c r="Y676" s="115"/>
      <x:c r="Z676" s="115"/>
      <x:c r="AA676" s="115"/>
      <x:c r="AB676" s="115"/>
      <x:c r="AC676" s="115"/>
      <x:c r="AD676" s="115"/>
      <x:c r="AE676" s="115"/>
      <x:c r="AF676" s="115"/>
      <x:c r="AG676" s="115"/>
      <x:c r="AH676" s="115"/>
      <x:c r="AI676" s="115"/>
      <x:c r="AJ676" s="115"/>
      <x:c r="AK676" s="115"/>
      <x:c r="AL676" s="115"/>
      <x:c r="AM676" s="115"/>
      <x:c r="AN676" s="115"/>
      <x:c r="AO676" s="115"/>
      <x:c r="AP676" s="115"/>
      <x:c r="AQ676" s="115"/>
      <x:c r="AR676" s="115"/>
      <x:c r="AS676" s="115"/>
      <x:c r="AT676" s="115"/>
      <x:c r="AU676" s="115"/>
      <x:c r="AV676" s="115"/>
      <x:c r="AW676" s="115"/>
      <x:c r="AX676" s="115"/>
      <x:c r="AY676" s="115"/>
      <x:c r="AZ676" s="115"/>
      <x:c r="BA676" s="115"/>
      <x:c r="BB676" s="115"/>
      <x:c r="BC676" s="115"/>
      <x:c r="BD676" s="115"/>
      <x:c r="BE676" s="115"/>
      <x:c r="BF676" s="115"/>
      <x:c r="BG676" s="115"/>
      <x:c r="BH676" s="115"/>
      <x:c r="BI676" s="115"/>
      <x:c r="BJ676" s="115"/>
      <x:c r="BK676" s="115"/>
      <x:c r="BL676" s="115"/>
      <x:c r="BM676" s="115"/>
      <x:c r="BN676" s="115"/>
      <x:c r="BO676" s="115"/>
      <x:c r="BP676" s="115"/>
      <x:c r="BQ676" s="115"/>
      <x:c r="BR676" s="115"/>
      <x:c r="BS676" s="115"/>
      <x:c r="BT676" s="115"/>
      <x:c r="BU676" s="115"/>
      <x:c r="BV676" s="115"/>
      <x:c r="BW676" s="115"/>
      <x:c r="BX676" s="115"/>
      <x:c r="BY676" s="115"/>
      <x:c r="BZ676" s="115"/>
      <x:c r="CA676" s="115"/>
      <x:c r="CB676" s="116"/>
      <x:c r="CC676" s="141" t="str">
        <x:f>IF(COUNT(G676:P676)=0,"",AVERAGE(G676:P676)*4)</x:f>
      </x:c>
      <x:c r="CD676" s="178" t="str">
        <x:f>IF(COUNT(Q676:Z676)=0,"",AVERAGE(Q676:Z676)*4)</x:f>
      </x:c>
      <x:c r="CE676" s="178" t="str">
        <x:f>IF(COUNT(AA676:AJ676)=0,"",AVERAGE(AA676:AJ676)*4)</x:f>
      </x:c>
      <x:c r="CF676" s="178" t="str">
        <x:f>IF(COUNT(AK676:AR676)=0,"",AVERAGE(AK676:AR676)*4)</x:f>
      </x:c>
      <x:c r="CG676" s="178" t="str">
        <x:f>IF(COUNT(AS676:AY676)=0,"",AVERAGE(AS676:AY676)*4)</x:f>
      </x:c>
      <x:c r="CH676" s="178" t="str">
        <x:f>IF(COUNT(AZ676:BG676)=0,"",AVERAGE(AZ676:BG676)*4)</x:f>
      </x:c>
      <x:c r="CI676" s="178" t="str">
        <x:f>IF(COUNT(BH676:BN676)=0,"",AVERAGE(BH676:BN676)*4)</x:f>
      </x:c>
      <x:c r="CJ676" s="178" t="str">
        <x:f>IF(COUNT(BO676:BU676)=0,"",AVERAGE(BO676:BU676)*4)</x:f>
      </x:c>
      <x:c r="CK676" s="178" t="str">
        <x:f>IF(COUNT(BV676:CB676)=0,"",AVERAGE(BV676:CB676)*4)</x:f>
      </x:c>
      <x:c r="CL676" s="178" t="str">
        <x:f>IF(C676="","",IF(COUNT(G676:CB676)&lt;74,"",(CC676*'تنظیمات وزن‌دهی'!$C$5+CD676*'تنظیمات وزن‌دهی'!$C$6+CE676*'تنظیمات وزن‌دهی'!$C$7+CF676*'تنظیمات وزن‌دهی'!$C$8+CG676*'تنظیمات وزن‌دهی'!$C$9+CH676*'تنظیمات وزن‌دهی'!$C$10+CI676*'تنظیمات وزن‌دهی'!$C$11+CJ676*'تنظیمات وزن‌دهی'!$C$12+CK676*'تنظیمات وزن‌دهی'!$C$13)/100))</x:f>
      </x:c>
      <x:c r="CM676" s="178" t="str">
        <x:f>IF(C676="","",IF(COUNT(G676:CB676)=0,"",IF(COUNT(G676:CB676)&lt;74,"موقت - اطلاعات ناقص",IF(CL676&gt;=17,"عالی",IF(CL676&gt;=14,"خوب",IF(CL676&gt;=10,"متوسط","ضعیف"))))))</x:f>
      </x:c>
      <x:c r="CN676" s="178" t="n">
        <x:v>12</x:v>
      </x:c>
      <x:c r="CO676" s="142" t="n">
        <x:f>IF(C676="","",COUNT(G676:CB676)/74)</x:f>
        <x:v>0</x:v>
      </x:c>
      <x:c r="CP676" s="245"/>
    </x:row>
    <x:row r="677">
      <x:c r="A677" s="165" t="n">
        <x:v>673</x:v>
      </x:c>
      <x:c r="B677" s="233" t="str">
        <x:v>تیر</x:v>
      </x:c>
      <x:c r="C677" s="233" t="n">
        <x:f>IF('دانش‌آموزان'!E61="","",'دانش‌آموزان'!B61)</x:f>
        <x:v>57</x:v>
      </x:c>
      <x:c r="D677" s="233" t="str">
        <x:f>IF('دانش‌آموزان'!C61="","",'دانش‌آموزان'!C61)</x:f>
        <x:v>4000000578</x:v>
      </x:c>
      <x:c r="E677" s="233" t="str">
        <x:f>IF('دانش‌آموزان'!E61="","",'دانش‌آموزان'!E61&amp;" "&amp;'دانش‌آموزان'!F61)</x:f>
        <x:v>سینا رحیمی</x:v>
      </x:c>
      <x:c r="F677" s="166" t="str">
        <x:f>IF('دانش‌آموزان'!I61="","",'دانش‌آموزان'!I61)</x:f>
        <x:v>sample-7-c</x:v>
      </x:c>
      <x:c r="G677" s="114" t="n">
        <x:v>3</x:v>
      </x:c>
      <x:c r="H677" s="115" t="n">
        <x:v>5</x:v>
      </x:c>
      <x:c r="I677" s="115" t="n">
        <x:v>3</x:v>
      </x:c>
      <x:c r="J677" s="115" t="n">
        <x:v>4</x:v>
      </x:c>
      <x:c r="K677" s="115" t="n">
        <x:v>3</x:v>
      </x:c>
      <x:c r="L677" s="115" t="n">
        <x:v>4</x:v>
      </x:c>
      <x:c r="M677" s="115" t="n">
        <x:v>2</x:v>
      </x:c>
      <x:c r="N677" s="115" t="n">
        <x:v>4</x:v>
      </x:c>
      <x:c r="O677" s="115" t="n">
        <x:v>5</x:v>
      </x:c>
      <x:c r="P677" s="115" t="n">
        <x:v>4</x:v>
      </x:c>
      <x:c r="Q677" s="115" t="n">
        <x:v>5</x:v>
      </x:c>
      <x:c r="R677" s="115" t="n">
        <x:v>3</x:v>
      </x:c>
      <x:c r="S677" s="115" t="n">
        <x:v>5</x:v>
      </x:c>
      <x:c r="T677" s="115" t="n">
        <x:v>3</x:v>
      </x:c>
      <x:c r="U677" s="115" t="n">
        <x:v>4</x:v>
      </x:c>
      <x:c r="V677" s="115" t="n">
        <x:v>3</x:v>
      </x:c>
      <x:c r="W677" s="115" t="n">
        <x:v>4</x:v>
      </x:c>
      <x:c r="X677" s="115" t="n">
        <x:v>2</x:v>
      </x:c>
      <x:c r="Y677" s="115" t="n">
        <x:v>4</x:v>
      </x:c>
      <x:c r="Z677" s="115" t="n">
        <x:v>5</x:v>
      </x:c>
      <x:c r="AA677" s="115" t="n">
        <x:v>4</x:v>
      </x:c>
      <x:c r="AB677" s="115" t="n">
        <x:v>5</x:v>
      </x:c>
      <x:c r="AC677" s="115" t="n">
        <x:v>3</x:v>
      </x:c>
      <x:c r="AD677" s="115" t="n">
        <x:v>5</x:v>
      </x:c>
      <x:c r="AE677" s="115" t="n">
        <x:v>3</x:v>
      </x:c>
      <x:c r="AF677" s="115" t="n">
        <x:v>4</x:v>
      </x:c>
      <x:c r="AG677" s="115" t="n">
        <x:v>3</x:v>
      </x:c>
      <x:c r="AH677" s="115" t="n">
        <x:v>4</x:v>
      </x:c>
      <x:c r="AI677" s="115" t="n">
        <x:v>2</x:v>
      </x:c>
      <x:c r="AJ677" s="115" t="n">
        <x:v>4</x:v>
      </x:c>
      <x:c r="AK677" s="115" t="n">
        <x:v>5</x:v>
      </x:c>
      <x:c r="AL677" s="115" t="n">
        <x:v>4</x:v>
      </x:c>
      <x:c r="AM677" s="115" t="n">
        <x:v>5</x:v>
      </x:c>
      <x:c r="AN677" s="115" t="n">
        <x:v>3</x:v>
      </x:c>
      <x:c r="AO677" s="115" t="n">
        <x:v>5</x:v>
      </x:c>
      <x:c r="AP677" s="115" t="n">
        <x:v>3</x:v>
      </x:c>
      <x:c r="AQ677" s="115" t="n">
        <x:v>4</x:v>
      </x:c>
      <x:c r="AR677" s="115" t="n">
        <x:v>3</x:v>
      </x:c>
      <x:c r="AS677" s="115" t="n">
        <x:v>4</x:v>
      </x:c>
      <x:c r="AT677" s="115" t="n">
        <x:v>2</x:v>
      </x:c>
      <x:c r="AU677" s="115" t="n">
        <x:v>4</x:v>
      </x:c>
      <x:c r="AV677" s="115" t="n">
        <x:v>5</x:v>
      </x:c>
      <x:c r="AW677" s="115" t="n">
        <x:v>4</x:v>
      </x:c>
      <x:c r="AX677" s="115" t="n">
        <x:v>5</x:v>
      </x:c>
      <x:c r="AY677" s="115" t="n">
        <x:v>3</x:v>
      </x:c>
      <x:c r="AZ677" s="115" t="n">
        <x:v>5</x:v>
      </x:c>
      <x:c r="BA677" s="115" t="n">
        <x:v>3</x:v>
      </x:c>
      <x:c r="BB677" s="115" t="n">
        <x:v>4</x:v>
      </x:c>
      <x:c r="BC677" s="115" t="n">
        <x:v>3</x:v>
      </x:c>
      <x:c r="BD677" s="115" t="n">
        <x:v>4</x:v>
      </x:c>
      <x:c r="BE677" s="115" t="n">
        <x:v>2</x:v>
      </x:c>
      <x:c r="BF677" s="115" t="n">
        <x:v>4</x:v>
      </x:c>
      <x:c r="BG677" s="115" t="n">
        <x:v>5</x:v>
      </x:c>
      <x:c r="BH677" s="115" t="n">
        <x:v>4</x:v>
      </x:c>
      <x:c r="BI677" s="115" t="n">
        <x:v>5</x:v>
      </x:c>
      <x:c r="BJ677" s="115" t="n">
        <x:v>3</x:v>
      </x:c>
      <x:c r="BK677" s="115" t="n">
        <x:v>5</x:v>
      </x:c>
      <x:c r="BL677" s="115" t="n">
        <x:v>3</x:v>
      </x:c>
      <x:c r="BM677" s="115" t="n">
        <x:v>4</x:v>
      </x:c>
      <x:c r="BN677" s="115" t="n">
        <x:v>3</x:v>
      </x:c>
      <x:c r="BO677" s="115" t="n">
        <x:v>4</x:v>
      </x:c>
      <x:c r="BP677" s="115" t="n">
        <x:v>2</x:v>
      </x:c>
      <x:c r="BQ677" s="115" t="n">
        <x:v>4</x:v>
      </x:c>
      <x:c r="BR677" s="115" t="n">
        <x:v>5</x:v>
      </x:c>
      <x:c r="BS677" s="115" t="n">
        <x:v>4</x:v>
      </x:c>
      <x:c r="BT677" s="115" t="n">
        <x:v>5</x:v>
      </x:c>
      <x:c r="BU677" s="115" t="n">
        <x:v>3</x:v>
      </x:c>
      <x:c r="BV677" s="115" t="n">
        <x:v>5</x:v>
      </x:c>
      <x:c r="BW677" s="115" t="n">
        <x:v>3</x:v>
      </x:c>
      <x:c r="BX677" s="115" t="n">
        <x:v>4</x:v>
      </x:c>
      <x:c r="BY677" s="115" t="n">
        <x:v>3</x:v>
      </x:c>
      <x:c r="BZ677" s="115" t="n">
        <x:v>4</x:v>
      </x:c>
      <x:c r="CA677" s="115" t="n">
        <x:v>2</x:v>
      </x:c>
      <x:c r="CB677" s="116" t="n">
        <x:v>4</x:v>
      </x:c>
      <x:c r="CC677" s="141" t="n">
        <x:f>IF(COUNT(G677:P677)=0,"",AVERAGE(G677:P677)*4)</x:f>
        <x:v>14.8</x:v>
      </x:c>
      <x:c r="CD677" s="178" t="n">
        <x:f>IF(COUNT(Q677:Z677)=0,"",AVERAGE(Q677:Z677)*4)</x:f>
        <x:v>15.2</x:v>
      </x:c>
      <x:c r="CE677" s="178" t="n">
        <x:f>IF(COUNT(AA677:AJ677)=0,"",AVERAGE(AA677:AJ677)*4)</x:f>
        <x:v>14.8</x:v>
      </x:c>
      <x:c r="CF677" s="178" t="n">
        <x:f>IF(COUNT(AK677:AR677)=0,"",AVERAGE(AK677:AR677)*4)</x:f>
        <x:v>16</x:v>
      </x:c>
      <x:c r="CG677" s="178" t="n">
        <x:f>IF(COUNT(AS677:AY677)=0,"",AVERAGE(AS677:AY677)*4)</x:f>
        <x:v>15.428571428571429</x:v>
      </x:c>
      <x:c r="CH677" s="178" t="n">
        <x:f>IF(COUNT(AZ677:BG677)=0,"",AVERAGE(AZ677:BG677)*4)</x:f>
        <x:v>15</x:v>
      </x:c>
      <x:c r="CI677" s="178" t="n">
        <x:f>IF(COUNT(BH677:BN677)=0,"",AVERAGE(BH677:BN677)*4)</x:f>
        <x:v>15.428571428571429</x:v>
      </x:c>
      <x:c r="CJ677" s="178" t="n">
        <x:f>IF(COUNT(BO677:BU677)=0,"",AVERAGE(BO677:BU677)*4)</x:f>
        <x:v>15.428571428571429</x:v>
      </x:c>
      <x:c r="CK677" s="178" t="n">
        <x:f>IF(COUNT(BV677:CB677)=0,"",AVERAGE(BV677:CB677)*4)</x:f>
        <x:v>14.285714285714286</x:v>
      </x:c>
      <x:c r="CL677" s="178" t="n">
        <x:f>IF(C677="","",IF(COUNT(G677:CB677)&lt;74,"",(CC677*'تنظیمات وزن‌دهی'!$C$5+CD677*'تنظیمات وزن‌دهی'!$C$6+CE677*'تنظیمات وزن‌دهی'!$C$7+CF677*'تنظیمات وزن‌دهی'!$C$8+CG677*'تنظیمات وزن‌دهی'!$C$9+CH677*'تنظیمات وزن‌دهی'!$C$10+CI677*'تنظیمات وزن‌دهی'!$C$11+CJ677*'تنظیمات وزن‌دهی'!$C$12+CK677*'تنظیمات وزن‌دهی'!$C$13)/100))</x:f>
        <x:v>15.145714285714286</x:v>
      </x:c>
      <x:c r="CM677" s="178" t="str">
        <x:f>IF(C677="","",IF(COUNT(G677:CB677)=0,"",IF(COUNT(G677:CB677)&lt;74,"موقت - اطلاعات ناقص",IF(CL677&gt;=17,"عالی",IF(CL677&gt;=14,"خوب",IF(CL677&gt;=10,"متوسط","ضعیف"))))))</x:f>
        <x:v>خوب</x:v>
      </x:c>
      <x:c r="CN677" s="178" t="n">
        <x:v>1</x:v>
      </x:c>
      <x:c r="CO677" s="142" t="n">
        <x:f>IF(C677="","",COUNT(G677:CB677)/74)</x:f>
        <x:v>1</x:v>
      </x:c>
      <x:c r="CP677" s="245" t="str">
        <x:v>داده نمونه کامل برای ماه تیر - دانش‌آموز شماره 57</x:v>
      </x:c>
    </x:row>
    <x:row r="678">
      <x:c r="A678" s="165" t="n">
        <x:v>674</x:v>
      </x:c>
      <x:c r="B678" s="233" t="str">
        <x:v>مرداد</x:v>
      </x:c>
      <x:c r="C678" s="233" t="n">
        <x:f>IF('دانش‌آموزان'!E61="","",'دانش‌آموزان'!B61)</x:f>
        <x:v>57</x:v>
      </x:c>
      <x:c r="D678" s="233" t="str">
        <x:f>IF('دانش‌آموزان'!C61="","",'دانش‌آموزان'!C61)</x:f>
        <x:v>4000000578</x:v>
      </x:c>
      <x:c r="E678" s="233" t="str">
        <x:f>IF('دانش‌آموزان'!E61="","",'دانش‌آموزان'!E61&amp;" "&amp;'دانش‌آموزان'!F61)</x:f>
        <x:v>سینا رحیمی</x:v>
      </x:c>
      <x:c r="F678" s="166" t="str">
        <x:f>IF('دانش‌آموزان'!I61="","",'دانش‌آموزان'!I61)</x:f>
        <x:v>sample-7-c</x:v>
      </x:c>
      <x:c r="G678" s="114"/>
      <x:c r="H678" s="115"/>
      <x:c r="I678" s="115"/>
      <x:c r="J678" s="115"/>
      <x:c r="K678" s="115"/>
      <x:c r="L678" s="115"/>
      <x:c r="M678" s="115"/>
      <x:c r="N678" s="115"/>
      <x:c r="O678" s="115"/>
      <x:c r="P678" s="115"/>
      <x:c r="Q678" s="115"/>
      <x:c r="R678" s="115"/>
      <x:c r="S678" s="115"/>
      <x:c r="T678" s="115"/>
      <x:c r="U678" s="115"/>
      <x:c r="V678" s="115"/>
      <x:c r="W678" s="115"/>
      <x:c r="X678" s="115"/>
      <x:c r="Y678" s="115"/>
      <x:c r="Z678" s="115"/>
      <x:c r="AA678" s="115"/>
      <x:c r="AB678" s="115"/>
      <x:c r="AC678" s="115"/>
      <x:c r="AD678" s="115"/>
      <x:c r="AE678" s="115"/>
      <x:c r="AF678" s="115"/>
      <x:c r="AG678" s="115"/>
      <x:c r="AH678" s="115"/>
      <x:c r="AI678" s="115"/>
      <x:c r="AJ678" s="115"/>
      <x:c r="AK678" s="115"/>
      <x:c r="AL678" s="115"/>
      <x:c r="AM678" s="115"/>
      <x:c r="AN678" s="115"/>
      <x:c r="AO678" s="115"/>
      <x:c r="AP678" s="115"/>
      <x:c r="AQ678" s="115"/>
      <x:c r="AR678" s="115"/>
      <x:c r="AS678" s="115"/>
      <x:c r="AT678" s="115"/>
      <x:c r="AU678" s="115"/>
      <x:c r="AV678" s="115"/>
      <x:c r="AW678" s="115"/>
      <x:c r="AX678" s="115"/>
      <x:c r="AY678" s="115"/>
      <x:c r="AZ678" s="115"/>
      <x:c r="BA678" s="115"/>
      <x:c r="BB678" s="115"/>
      <x:c r="BC678" s="115"/>
      <x:c r="BD678" s="115"/>
      <x:c r="BE678" s="115"/>
      <x:c r="BF678" s="115"/>
      <x:c r="BG678" s="115"/>
      <x:c r="BH678" s="115"/>
      <x:c r="BI678" s="115"/>
      <x:c r="BJ678" s="115"/>
      <x:c r="BK678" s="115"/>
      <x:c r="BL678" s="115"/>
      <x:c r="BM678" s="115"/>
      <x:c r="BN678" s="115"/>
      <x:c r="BO678" s="115"/>
      <x:c r="BP678" s="115"/>
      <x:c r="BQ678" s="115"/>
      <x:c r="BR678" s="115"/>
      <x:c r="BS678" s="115"/>
      <x:c r="BT678" s="115"/>
      <x:c r="BU678" s="115"/>
      <x:c r="BV678" s="115"/>
      <x:c r="BW678" s="115"/>
      <x:c r="BX678" s="115"/>
      <x:c r="BY678" s="115"/>
      <x:c r="BZ678" s="115"/>
      <x:c r="CA678" s="115"/>
      <x:c r="CB678" s="116"/>
      <x:c r="CC678" s="141" t="str">
        <x:f>IF(COUNT(G678:P678)=0,"",AVERAGE(G678:P678)*4)</x:f>
      </x:c>
      <x:c r="CD678" s="178" t="str">
        <x:f>IF(COUNT(Q678:Z678)=0,"",AVERAGE(Q678:Z678)*4)</x:f>
      </x:c>
      <x:c r="CE678" s="178" t="str">
        <x:f>IF(COUNT(AA678:AJ678)=0,"",AVERAGE(AA678:AJ678)*4)</x:f>
      </x:c>
      <x:c r="CF678" s="178" t="str">
        <x:f>IF(COUNT(AK678:AR678)=0,"",AVERAGE(AK678:AR678)*4)</x:f>
      </x:c>
      <x:c r="CG678" s="178" t="str">
        <x:f>IF(COUNT(AS678:AY678)=0,"",AVERAGE(AS678:AY678)*4)</x:f>
      </x:c>
      <x:c r="CH678" s="178" t="str">
        <x:f>IF(COUNT(AZ678:BG678)=0,"",AVERAGE(AZ678:BG678)*4)</x:f>
      </x:c>
      <x:c r="CI678" s="178" t="str">
        <x:f>IF(COUNT(BH678:BN678)=0,"",AVERAGE(BH678:BN678)*4)</x:f>
      </x:c>
      <x:c r="CJ678" s="178" t="str">
        <x:f>IF(COUNT(BO678:BU678)=0,"",AVERAGE(BO678:BU678)*4)</x:f>
      </x:c>
      <x:c r="CK678" s="178" t="str">
        <x:f>IF(COUNT(BV678:CB678)=0,"",AVERAGE(BV678:CB678)*4)</x:f>
      </x:c>
      <x:c r="CL678" s="178" t="str">
        <x:f>IF(C678="","",IF(COUNT(G678:CB678)&lt;74,"",(CC678*'تنظیمات وزن‌دهی'!$C$5+CD678*'تنظیمات وزن‌دهی'!$C$6+CE678*'تنظیمات وزن‌دهی'!$C$7+CF678*'تنظیمات وزن‌دهی'!$C$8+CG678*'تنظیمات وزن‌دهی'!$C$9+CH678*'تنظیمات وزن‌دهی'!$C$10+CI678*'تنظیمات وزن‌دهی'!$C$11+CJ678*'تنظیمات وزن‌دهی'!$C$12+CK678*'تنظیمات وزن‌دهی'!$C$13)/100))</x:f>
      </x:c>
      <x:c r="CM678" s="178" t="str">
        <x:f>IF(C678="","",IF(COUNT(G678:CB678)=0,"",IF(COUNT(G678:CB678)&lt;74,"موقت - اطلاعات ناقص",IF(CL678&gt;=17,"عالی",IF(CL678&gt;=14,"خوب",IF(CL678&gt;=10,"متوسط","ضعیف"))))))</x:f>
      </x:c>
      <x:c r="CN678" s="178" t="n">
        <x:v>2</x:v>
      </x:c>
      <x:c r="CO678" s="142" t="n">
        <x:f>IF(C678="","",COUNT(G678:CB678)/74)</x:f>
        <x:v>0</x:v>
      </x:c>
      <x:c r="CP678" s="245"/>
    </x:row>
    <x:row r="679">
      <x:c r="A679" s="165" t="n">
        <x:v>675</x:v>
      </x:c>
      <x:c r="B679" s="233" t="str">
        <x:v>شهریور</x:v>
      </x:c>
      <x:c r="C679" s="233" t="n">
        <x:f>IF('دانش‌آموزان'!E61="","",'دانش‌آموزان'!B61)</x:f>
        <x:v>57</x:v>
      </x:c>
      <x:c r="D679" s="233" t="str">
        <x:f>IF('دانش‌آموزان'!C61="","",'دانش‌آموزان'!C61)</x:f>
        <x:v>4000000578</x:v>
      </x:c>
      <x:c r="E679" s="233" t="str">
        <x:f>IF('دانش‌آموزان'!E61="","",'دانش‌آموزان'!E61&amp;" "&amp;'دانش‌آموزان'!F61)</x:f>
        <x:v>سینا رحیمی</x:v>
      </x:c>
      <x:c r="F679" s="166" t="str">
        <x:f>IF('دانش‌آموزان'!I61="","",'دانش‌آموزان'!I61)</x:f>
        <x:v>sample-7-c</x:v>
      </x:c>
      <x:c r="G679" s="114"/>
      <x:c r="H679" s="115"/>
      <x:c r="I679" s="115"/>
      <x:c r="J679" s="115"/>
      <x:c r="K679" s="115"/>
      <x:c r="L679" s="115"/>
      <x:c r="M679" s="115"/>
      <x:c r="N679" s="115"/>
      <x:c r="O679" s="115"/>
      <x:c r="P679" s="115"/>
      <x:c r="Q679" s="115"/>
      <x:c r="R679" s="115"/>
      <x:c r="S679" s="115"/>
      <x:c r="T679" s="115"/>
      <x:c r="U679" s="115"/>
      <x:c r="V679" s="115"/>
      <x:c r="W679" s="115"/>
      <x:c r="X679" s="115"/>
      <x:c r="Y679" s="115"/>
      <x:c r="Z679" s="115"/>
      <x:c r="AA679" s="115"/>
      <x:c r="AB679" s="115"/>
      <x:c r="AC679" s="115"/>
      <x:c r="AD679" s="115"/>
      <x:c r="AE679" s="115"/>
      <x:c r="AF679" s="115"/>
      <x:c r="AG679" s="115"/>
      <x:c r="AH679" s="115"/>
      <x:c r="AI679" s="115"/>
      <x:c r="AJ679" s="115"/>
      <x:c r="AK679" s="115"/>
      <x:c r="AL679" s="115"/>
      <x:c r="AM679" s="115"/>
      <x:c r="AN679" s="115"/>
      <x:c r="AO679" s="115"/>
      <x:c r="AP679" s="115"/>
      <x:c r="AQ679" s="115"/>
      <x:c r="AR679" s="115"/>
      <x:c r="AS679" s="115"/>
      <x:c r="AT679" s="115"/>
      <x:c r="AU679" s="115"/>
      <x:c r="AV679" s="115"/>
      <x:c r="AW679" s="115"/>
      <x:c r="AX679" s="115"/>
      <x:c r="AY679" s="115"/>
      <x:c r="AZ679" s="115"/>
      <x:c r="BA679" s="115"/>
      <x:c r="BB679" s="115"/>
      <x:c r="BC679" s="115"/>
      <x:c r="BD679" s="115"/>
      <x:c r="BE679" s="115"/>
      <x:c r="BF679" s="115"/>
      <x:c r="BG679" s="115"/>
      <x:c r="BH679" s="115"/>
      <x:c r="BI679" s="115"/>
      <x:c r="BJ679" s="115"/>
      <x:c r="BK679" s="115"/>
      <x:c r="BL679" s="115"/>
      <x:c r="BM679" s="115"/>
      <x:c r="BN679" s="115"/>
      <x:c r="BO679" s="115"/>
      <x:c r="BP679" s="115"/>
      <x:c r="BQ679" s="115"/>
      <x:c r="BR679" s="115"/>
      <x:c r="BS679" s="115"/>
      <x:c r="BT679" s="115"/>
      <x:c r="BU679" s="115"/>
      <x:c r="BV679" s="115"/>
      <x:c r="BW679" s="115"/>
      <x:c r="BX679" s="115"/>
      <x:c r="BY679" s="115"/>
      <x:c r="BZ679" s="115"/>
      <x:c r="CA679" s="115"/>
      <x:c r="CB679" s="116"/>
      <x:c r="CC679" s="141" t="str">
        <x:f>IF(COUNT(G679:P679)=0,"",AVERAGE(G679:P679)*4)</x:f>
      </x:c>
      <x:c r="CD679" s="178" t="str">
        <x:f>IF(COUNT(Q679:Z679)=0,"",AVERAGE(Q679:Z679)*4)</x:f>
      </x:c>
      <x:c r="CE679" s="178" t="str">
        <x:f>IF(COUNT(AA679:AJ679)=0,"",AVERAGE(AA679:AJ679)*4)</x:f>
      </x:c>
      <x:c r="CF679" s="178" t="str">
        <x:f>IF(COUNT(AK679:AR679)=0,"",AVERAGE(AK679:AR679)*4)</x:f>
      </x:c>
      <x:c r="CG679" s="178" t="str">
        <x:f>IF(COUNT(AS679:AY679)=0,"",AVERAGE(AS679:AY679)*4)</x:f>
      </x:c>
      <x:c r="CH679" s="178" t="str">
        <x:f>IF(COUNT(AZ679:BG679)=0,"",AVERAGE(AZ679:BG679)*4)</x:f>
      </x:c>
      <x:c r="CI679" s="178" t="str">
        <x:f>IF(COUNT(BH679:BN679)=0,"",AVERAGE(BH679:BN679)*4)</x:f>
      </x:c>
      <x:c r="CJ679" s="178" t="str">
        <x:f>IF(COUNT(BO679:BU679)=0,"",AVERAGE(BO679:BU679)*4)</x:f>
      </x:c>
      <x:c r="CK679" s="178" t="str">
        <x:f>IF(COUNT(BV679:CB679)=0,"",AVERAGE(BV679:CB679)*4)</x:f>
      </x:c>
      <x:c r="CL679" s="178" t="str">
        <x:f>IF(C679="","",IF(COUNT(G679:CB679)&lt;74,"",(CC679*'تنظیمات وزن‌دهی'!$C$5+CD679*'تنظیمات وزن‌دهی'!$C$6+CE679*'تنظیمات وزن‌دهی'!$C$7+CF679*'تنظیمات وزن‌دهی'!$C$8+CG679*'تنظیمات وزن‌دهی'!$C$9+CH679*'تنظیمات وزن‌دهی'!$C$10+CI679*'تنظیمات وزن‌دهی'!$C$11+CJ679*'تنظیمات وزن‌دهی'!$C$12+CK679*'تنظیمات وزن‌دهی'!$C$13)/100))</x:f>
      </x:c>
      <x:c r="CM679" s="178" t="str">
        <x:f>IF(C679="","",IF(COUNT(G679:CB679)=0,"",IF(COUNT(G679:CB679)&lt;74,"موقت - اطلاعات ناقص",IF(CL679&gt;=17,"عالی",IF(CL679&gt;=14,"خوب",IF(CL679&gt;=10,"متوسط","ضعیف"))))))</x:f>
      </x:c>
      <x:c r="CN679" s="178" t="n">
        <x:v>3</x:v>
      </x:c>
      <x:c r="CO679" s="142" t="n">
        <x:f>IF(C679="","",COUNT(G679:CB679)/74)</x:f>
        <x:v>0</x:v>
      </x:c>
      <x:c r="CP679" s="245"/>
    </x:row>
    <x:row r="680">
      <x:c r="A680" s="165" t="n">
        <x:v>676</x:v>
      </x:c>
      <x:c r="B680" s="233" t="str">
        <x:v>مهر</x:v>
      </x:c>
      <x:c r="C680" s="233" t="n">
        <x:f>IF('دانش‌آموزان'!E61="","",'دانش‌آموزان'!B61)</x:f>
        <x:v>57</x:v>
      </x:c>
      <x:c r="D680" s="233" t="str">
        <x:f>IF('دانش‌آموزان'!C61="","",'دانش‌آموزان'!C61)</x:f>
        <x:v>4000000578</x:v>
      </x:c>
      <x:c r="E680" s="233" t="str">
        <x:f>IF('دانش‌آموزان'!E61="","",'دانش‌آموزان'!E61&amp;" "&amp;'دانش‌آموزان'!F61)</x:f>
        <x:v>سینا رحیمی</x:v>
      </x:c>
      <x:c r="F680" s="166" t="str">
        <x:f>IF('دانش‌آموزان'!I61="","",'دانش‌آموزان'!I61)</x:f>
        <x:v>sample-7-c</x:v>
      </x:c>
      <x:c r="G680" s="114"/>
      <x:c r="H680" s="115"/>
      <x:c r="I680" s="115"/>
      <x:c r="J680" s="115"/>
      <x:c r="K680" s="115"/>
      <x:c r="L680" s="115"/>
      <x:c r="M680" s="115"/>
      <x:c r="N680" s="115"/>
      <x:c r="O680" s="115"/>
      <x:c r="P680" s="115"/>
      <x:c r="Q680" s="115"/>
      <x:c r="R680" s="115"/>
      <x:c r="S680" s="115"/>
      <x:c r="T680" s="115"/>
      <x:c r="U680" s="115"/>
      <x:c r="V680" s="115"/>
      <x:c r="W680" s="115"/>
      <x:c r="X680" s="115"/>
      <x:c r="Y680" s="115"/>
      <x:c r="Z680" s="115"/>
      <x:c r="AA680" s="115"/>
      <x:c r="AB680" s="115"/>
      <x:c r="AC680" s="115"/>
      <x:c r="AD680" s="115"/>
      <x:c r="AE680" s="115"/>
      <x:c r="AF680" s="115"/>
      <x:c r="AG680" s="115"/>
      <x:c r="AH680" s="115"/>
      <x:c r="AI680" s="115"/>
      <x:c r="AJ680" s="115"/>
      <x:c r="AK680" s="115"/>
      <x:c r="AL680" s="115"/>
      <x:c r="AM680" s="115"/>
      <x:c r="AN680" s="115"/>
      <x:c r="AO680" s="115"/>
      <x:c r="AP680" s="115"/>
      <x:c r="AQ680" s="115"/>
      <x:c r="AR680" s="115"/>
      <x:c r="AS680" s="115"/>
      <x:c r="AT680" s="115"/>
      <x:c r="AU680" s="115"/>
      <x:c r="AV680" s="115"/>
      <x:c r="AW680" s="115"/>
      <x:c r="AX680" s="115"/>
      <x:c r="AY680" s="115"/>
      <x:c r="AZ680" s="115"/>
      <x:c r="BA680" s="115"/>
      <x:c r="BB680" s="115"/>
      <x:c r="BC680" s="115"/>
      <x:c r="BD680" s="115"/>
      <x:c r="BE680" s="115"/>
      <x:c r="BF680" s="115"/>
      <x:c r="BG680" s="115"/>
      <x:c r="BH680" s="115"/>
      <x:c r="BI680" s="115"/>
      <x:c r="BJ680" s="115"/>
      <x:c r="BK680" s="115"/>
      <x:c r="BL680" s="115"/>
      <x:c r="BM680" s="115"/>
      <x:c r="BN680" s="115"/>
      <x:c r="BO680" s="115"/>
      <x:c r="BP680" s="115"/>
      <x:c r="BQ680" s="115"/>
      <x:c r="BR680" s="115"/>
      <x:c r="BS680" s="115"/>
      <x:c r="BT680" s="115"/>
      <x:c r="BU680" s="115"/>
      <x:c r="BV680" s="115"/>
      <x:c r="BW680" s="115"/>
      <x:c r="BX680" s="115"/>
      <x:c r="BY680" s="115"/>
      <x:c r="BZ680" s="115"/>
      <x:c r="CA680" s="115"/>
      <x:c r="CB680" s="116"/>
      <x:c r="CC680" s="141" t="str">
        <x:f>IF(COUNT(G680:P680)=0,"",AVERAGE(G680:P680)*4)</x:f>
      </x:c>
      <x:c r="CD680" s="178" t="str">
        <x:f>IF(COUNT(Q680:Z680)=0,"",AVERAGE(Q680:Z680)*4)</x:f>
      </x:c>
      <x:c r="CE680" s="178" t="str">
        <x:f>IF(COUNT(AA680:AJ680)=0,"",AVERAGE(AA680:AJ680)*4)</x:f>
      </x:c>
      <x:c r="CF680" s="178" t="str">
        <x:f>IF(COUNT(AK680:AR680)=0,"",AVERAGE(AK680:AR680)*4)</x:f>
      </x:c>
      <x:c r="CG680" s="178" t="str">
        <x:f>IF(COUNT(AS680:AY680)=0,"",AVERAGE(AS680:AY680)*4)</x:f>
      </x:c>
      <x:c r="CH680" s="178" t="str">
        <x:f>IF(COUNT(AZ680:BG680)=0,"",AVERAGE(AZ680:BG680)*4)</x:f>
      </x:c>
      <x:c r="CI680" s="178" t="str">
        <x:f>IF(COUNT(BH680:BN680)=0,"",AVERAGE(BH680:BN680)*4)</x:f>
      </x:c>
      <x:c r="CJ680" s="178" t="str">
        <x:f>IF(COUNT(BO680:BU680)=0,"",AVERAGE(BO680:BU680)*4)</x:f>
      </x:c>
      <x:c r="CK680" s="178" t="str">
        <x:f>IF(COUNT(BV680:CB680)=0,"",AVERAGE(BV680:CB680)*4)</x:f>
      </x:c>
      <x:c r="CL680" s="178" t="str">
        <x:f>IF(C680="","",IF(COUNT(G680:CB680)&lt;74,"",(CC680*'تنظیمات وزن‌دهی'!$C$5+CD680*'تنظیمات وزن‌دهی'!$C$6+CE680*'تنظیمات وزن‌دهی'!$C$7+CF680*'تنظیمات وزن‌دهی'!$C$8+CG680*'تنظیمات وزن‌دهی'!$C$9+CH680*'تنظیمات وزن‌دهی'!$C$10+CI680*'تنظیمات وزن‌دهی'!$C$11+CJ680*'تنظیمات وزن‌دهی'!$C$12+CK680*'تنظیمات وزن‌دهی'!$C$13)/100))</x:f>
      </x:c>
      <x:c r="CM680" s="178" t="str">
        <x:f>IF(C680="","",IF(COUNT(G680:CB680)=0,"",IF(COUNT(G680:CB680)&lt;74,"موقت - اطلاعات ناقص",IF(CL680&gt;=17,"عالی",IF(CL680&gt;=14,"خوب",IF(CL680&gt;=10,"متوسط","ضعیف"))))))</x:f>
      </x:c>
      <x:c r="CN680" s="178" t="n">
        <x:v>4</x:v>
      </x:c>
      <x:c r="CO680" s="142" t="n">
        <x:f>IF(C680="","",COUNT(G680:CB680)/74)</x:f>
        <x:v>0</x:v>
      </x:c>
      <x:c r="CP680" s="245"/>
    </x:row>
    <x:row r="681">
      <x:c r="A681" s="165" t="n">
        <x:v>677</x:v>
      </x:c>
      <x:c r="B681" s="233" t="str">
        <x:v>آبان</x:v>
      </x:c>
      <x:c r="C681" s="233" t="n">
        <x:f>IF('دانش‌آموزان'!E61="","",'دانش‌آموزان'!B61)</x:f>
        <x:v>57</x:v>
      </x:c>
      <x:c r="D681" s="233" t="str">
        <x:f>IF('دانش‌آموزان'!C61="","",'دانش‌آموزان'!C61)</x:f>
        <x:v>4000000578</x:v>
      </x:c>
      <x:c r="E681" s="233" t="str">
        <x:f>IF('دانش‌آموزان'!E61="","",'دانش‌آموزان'!E61&amp;" "&amp;'دانش‌آموزان'!F61)</x:f>
        <x:v>سینا رحیمی</x:v>
      </x:c>
      <x:c r="F681" s="166" t="str">
        <x:f>IF('دانش‌آموزان'!I61="","",'دانش‌آموزان'!I61)</x:f>
        <x:v>sample-7-c</x:v>
      </x:c>
      <x:c r="G681" s="114"/>
      <x:c r="H681" s="115"/>
      <x:c r="I681" s="115"/>
      <x:c r="J681" s="115"/>
      <x:c r="K681" s="115"/>
      <x:c r="L681" s="115"/>
      <x:c r="M681" s="115"/>
      <x:c r="N681" s="115"/>
      <x:c r="O681" s="115"/>
      <x:c r="P681" s="115"/>
      <x:c r="Q681" s="115"/>
      <x:c r="R681" s="115"/>
      <x:c r="S681" s="115"/>
      <x:c r="T681" s="115"/>
      <x:c r="U681" s="115"/>
      <x:c r="V681" s="115"/>
      <x:c r="W681" s="115"/>
      <x:c r="X681" s="115"/>
      <x:c r="Y681" s="115"/>
      <x:c r="Z681" s="115"/>
      <x:c r="AA681" s="115"/>
      <x:c r="AB681" s="115"/>
      <x:c r="AC681" s="115"/>
      <x:c r="AD681" s="115"/>
      <x:c r="AE681" s="115"/>
      <x:c r="AF681" s="115"/>
      <x:c r="AG681" s="115"/>
      <x:c r="AH681" s="115"/>
      <x:c r="AI681" s="115"/>
      <x:c r="AJ681" s="115"/>
      <x:c r="AK681" s="115"/>
      <x:c r="AL681" s="115"/>
      <x:c r="AM681" s="115"/>
      <x:c r="AN681" s="115"/>
      <x:c r="AO681" s="115"/>
      <x:c r="AP681" s="115"/>
      <x:c r="AQ681" s="115"/>
      <x:c r="AR681" s="115"/>
      <x:c r="AS681" s="115"/>
      <x:c r="AT681" s="115"/>
      <x:c r="AU681" s="115"/>
      <x:c r="AV681" s="115"/>
      <x:c r="AW681" s="115"/>
      <x:c r="AX681" s="115"/>
      <x:c r="AY681" s="115"/>
      <x:c r="AZ681" s="115"/>
      <x:c r="BA681" s="115"/>
      <x:c r="BB681" s="115"/>
      <x:c r="BC681" s="115"/>
      <x:c r="BD681" s="115"/>
      <x:c r="BE681" s="115"/>
      <x:c r="BF681" s="115"/>
      <x:c r="BG681" s="115"/>
      <x:c r="BH681" s="115"/>
      <x:c r="BI681" s="115"/>
      <x:c r="BJ681" s="115"/>
      <x:c r="BK681" s="115"/>
      <x:c r="BL681" s="115"/>
      <x:c r="BM681" s="115"/>
      <x:c r="BN681" s="115"/>
      <x:c r="BO681" s="115"/>
      <x:c r="BP681" s="115"/>
      <x:c r="BQ681" s="115"/>
      <x:c r="BR681" s="115"/>
      <x:c r="BS681" s="115"/>
      <x:c r="BT681" s="115"/>
      <x:c r="BU681" s="115"/>
      <x:c r="BV681" s="115"/>
      <x:c r="BW681" s="115"/>
      <x:c r="BX681" s="115"/>
      <x:c r="BY681" s="115"/>
      <x:c r="BZ681" s="115"/>
      <x:c r="CA681" s="115"/>
      <x:c r="CB681" s="116"/>
      <x:c r="CC681" s="141" t="str">
        <x:f>IF(COUNT(G681:P681)=0,"",AVERAGE(G681:P681)*4)</x:f>
      </x:c>
      <x:c r="CD681" s="178" t="str">
        <x:f>IF(COUNT(Q681:Z681)=0,"",AVERAGE(Q681:Z681)*4)</x:f>
      </x:c>
      <x:c r="CE681" s="178" t="str">
        <x:f>IF(COUNT(AA681:AJ681)=0,"",AVERAGE(AA681:AJ681)*4)</x:f>
      </x:c>
      <x:c r="CF681" s="178" t="str">
        <x:f>IF(COUNT(AK681:AR681)=0,"",AVERAGE(AK681:AR681)*4)</x:f>
      </x:c>
      <x:c r="CG681" s="178" t="str">
        <x:f>IF(COUNT(AS681:AY681)=0,"",AVERAGE(AS681:AY681)*4)</x:f>
      </x:c>
      <x:c r="CH681" s="178" t="str">
        <x:f>IF(COUNT(AZ681:BG681)=0,"",AVERAGE(AZ681:BG681)*4)</x:f>
      </x:c>
      <x:c r="CI681" s="178" t="str">
        <x:f>IF(COUNT(BH681:BN681)=0,"",AVERAGE(BH681:BN681)*4)</x:f>
      </x:c>
      <x:c r="CJ681" s="178" t="str">
        <x:f>IF(COUNT(BO681:BU681)=0,"",AVERAGE(BO681:BU681)*4)</x:f>
      </x:c>
      <x:c r="CK681" s="178" t="str">
        <x:f>IF(COUNT(BV681:CB681)=0,"",AVERAGE(BV681:CB681)*4)</x:f>
      </x:c>
      <x:c r="CL681" s="178" t="str">
        <x:f>IF(C681="","",IF(COUNT(G681:CB681)&lt;74,"",(CC681*'تنظیمات وزن‌دهی'!$C$5+CD681*'تنظیمات وزن‌دهی'!$C$6+CE681*'تنظیمات وزن‌دهی'!$C$7+CF681*'تنظیمات وزن‌دهی'!$C$8+CG681*'تنظیمات وزن‌دهی'!$C$9+CH681*'تنظیمات وزن‌دهی'!$C$10+CI681*'تنظیمات وزن‌دهی'!$C$11+CJ681*'تنظیمات وزن‌دهی'!$C$12+CK681*'تنظیمات وزن‌دهی'!$C$13)/100))</x:f>
      </x:c>
      <x:c r="CM681" s="178" t="str">
        <x:f>IF(C681="","",IF(COUNT(G681:CB681)=0,"",IF(COUNT(G681:CB681)&lt;74,"موقت - اطلاعات ناقص",IF(CL681&gt;=17,"عالی",IF(CL681&gt;=14,"خوب",IF(CL681&gt;=10,"متوسط","ضعیف"))))))</x:f>
      </x:c>
      <x:c r="CN681" s="178" t="n">
        <x:v>5</x:v>
      </x:c>
      <x:c r="CO681" s="142" t="n">
        <x:f>IF(C681="","",COUNT(G681:CB681)/74)</x:f>
        <x:v>0</x:v>
      </x:c>
      <x:c r="CP681" s="245"/>
    </x:row>
    <x:row r="682">
      <x:c r="A682" s="165" t="n">
        <x:v>678</x:v>
      </x:c>
      <x:c r="B682" s="233" t="str">
        <x:v>آذر</x:v>
      </x:c>
      <x:c r="C682" s="233" t="n">
        <x:f>IF('دانش‌آموزان'!E61="","",'دانش‌آموزان'!B61)</x:f>
        <x:v>57</x:v>
      </x:c>
      <x:c r="D682" s="233" t="str">
        <x:f>IF('دانش‌آموزان'!C61="","",'دانش‌آموزان'!C61)</x:f>
        <x:v>4000000578</x:v>
      </x:c>
      <x:c r="E682" s="233" t="str">
        <x:f>IF('دانش‌آموزان'!E61="","",'دانش‌آموزان'!E61&amp;" "&amp;'دانش‌آموزان'!F61)</x:f>
        <x:v>سینا رحیمی</x:v>
      </x:c>
      <x:c r="F682" s="166" t="str">
        <x:f>IF('دانش‌آموزان'!I61="","",'دانش‌آموزان'!I61)</x:f>
        <x:v>sample-7-c</x:v>
      </x:c>
      <x:c r="G682" s="114"/>
      <x:c r="H682" s="115"/>
      <x:c r="I682" s="115"/>
      <x:c r="J682" s="115"/>
      <x:c r="K682" s="115"/>
      <x:c r="L682" s="115"/>
      <x:c r="M682" s="115"/>
      <x:c r="N682" s="115"/>
      <x:c r="O682" s="115"/>
      <x:c r="P682" s="115"/>
      <x:c r="Q682" s="115"/>
      <x:c r="R682" s="115"/>
      <x:c r="S682" s="115"/>
      <x:c r="T682" s="115"/>
      <x:c r="U682" s="115"/>
      <x:c r="V682" s="115"/>
      <x:c r="W682" s="115"/>
      <x:c r="X682" s="115"/>
      <x:c r="Y682" s="115"/>
      <x:c r="Z682" s="115"/>
      <x:c r="AA682" s="115"/>
      <x:c r="AB682" s="115"/>
      <x:c r="AC682" s="115"/>
      <x:c r="AD682" s="115"/>
      <x:c r="AE682" s="115"/>
      <x:c r="AF682" s="115"/>
      <x:c r="AG682" s="115"/>
      <x:c r="AH682" s="115"/>
      <x:c r="AI682" s="115"/>
      <x:c r="AJ682" s="115"/>
      <x:c r="AK682" s="115"/>
      <x:c r="AL682" s="115"/>
      <x:c r="AM682" s="115"/>
      <x:c r="AN682" s="115"/>
      <x:c r="AO682" s="115"/>
      <x:c r="AP682" s="115"/>
      <x:c r="AQ682" s="115"/>
      <x:c r="AR682" s="115"/>
      <x:c r="AS682" s="115"/>
      <x:c r="AT682" s="115"/>
      <x:c r="AU682" s="115"/>
      <x:c r="AV682" s="115"/>
      <x:c r="AW682" s="115"/>
      <x:c r="AX682" s="115"/>
      <x:c r="AY682" s="115"/>
      <x:c r="AZ682" s="115"/>
      <x:c r="BA682" s="115"/>
      <x:c r="BB682" s="115"/>
      <x:c r="BC682" s="115"/>
      <x:c r="BD682" s="115"/>
      <x:c r="BE682" s="115"/>
      <x:c r="BF682" s="115"/>
      <x:c r="BG682" s="115"/>
      <x:c r="BH682" s="115"/>
      <x:c r="BI682" s="115"/>
      <x:c r="BJ682" s="115"/>
      <x:c r="BK682" s="115"/>
      <x:c r="BL682" s="115"/>
      <x:c r="BM682" s="115"/>
      <x:c r="BN682" s="115"/>
      <x:c r="BO682" s="115"/>
      <x:c r="BP682" s="115"/>
      <x:c r="BQ682" s="115"/>
      <x:c r="BR682" s="115"/>
      <x:c r="BS682" s="115"/>
      <x:c r="BT682" s="115"/>
      <x:c r="BU682" s="115"/>
      <x:c r="BV682" s="115"/>
      <x:c r="BW682" s="115"/>
      <x:c r="BX682" s="115"/>
      <x:c r="BY682" s="115"/>
      <x:c r="BZ682" s="115"/>
      <x:c r="CA682" s="115"/>
      <x:c r="CB682" s="116"/>
      <x:c r="CC682" s="141" t="str">
        <x:f>IF(COUNT(G682:P682)=0,"",AVERAGE(G682:P682)*4)</x:f>
      </x:c>
      <x:c r="CD682" s="178" t="str">
        <x:f>IF(COUNT(Q682:Z682)=0,"",AVERAGE(Q682:Z682)*4)</x:f>
      </x:c>
      <x:c r="CE682" s="178" t="str">
        <x:f>IF(COUNT(AA682:AJ682)=0,"",AVERAGE(AA682:AJ682)*4)</x:f>
      </x:c>
      <x:c r="CF682" s="178" t="str">
        <x:f>IF(COUNT(AK682:AR682)=0,"",AVERAGE(AK682:AR682)*4)</x:f>
      </x:c>
      <x:c r="CG682" s="178" t="str">
        <x:f>IF(COUNT(AS682:AY682)=0,"",AVERAGE(AS682:AY682)*4)</x:f>
      </x:c>
      <x:c r="CH682" s="178" t="str">
        <x:f>IF(COUNT(AZ682:BG682)=0,"",AVERAGE(AZ682:BG682)*4)</x:f>
      </x:c>
      <x:c r="CI682" s="178" t="str">
        <x:f>IF(COUNT(BH682:BN682)=0,"",AVERAGE(BH682:BN682)*4)</x:f>
      </x:c>
      <x:c r="CJ682" s="178" t="str">
        <x:f>IF(COUNT(BO682:BU682)=0,"",AVERAGE(BO682:BU682)*4)</x:f>
      </x:c>
      <x:c r="CK682" s="178" t="str">
        <x:f>IF(COUNT(BV682:CB682)=0,"",AVERAGE(BV682:CB682)*4)</x:f>
      </x:c>
      <x:c r="CL682" s="178" t="str">
        <x:f>IF(C682="","",IF(COUNT(G682:CB682)&lt;74,"",(CC682*'تنظیمات وزن‌دهی'!$C$5+CD682*'تنظیمات وزن‌دهی'!$C$6+CE682*'تنظیمات وزن‌دهی'!$C$7+CF682*'تنظیمات وزن‌دهی'!$C$8+CG682*'تنظیمات وزن‌دهی'!$C$9+CH682*'تنظیمات وزن‌دهی'!$C$10+CI682*'تنظیمات وزن‌دهی'!$C$11+CJ682*'تنظیمات وزن‌دهی'!$C$12+CK682*'تنظیمات وزن‌دهی'!$C$13)/100))</x:f>
      </x:c>
      <x:c r="CM682" s="178" t="str">
        <x:f>IF(C682="","",IF(COUNT(G682:CB682)=0,"",IF(COUNT(G682:CB682)&lt;74,"موقت - اطلاعات ناقص",IF(CL682&gt;=17,"عالی",IF(CL682&gt;=14,"خوب",IF(CL682&gt;=10,"متوسط","ضعیف"))))))</x:f>
      </x:c>
      <x:c r="CN682" s="178" t="n">
        <x:v>6</x:v>
      </x:c>
      <x:c r="CO682" s="142" t="n">
        <x:f>IF(C682="","",COUNT(G682:CB682)/74)</x:f>
        <x:v>0</x:v>
      </x:c>
      <x:c r="CP682" s="245"/>
    </x:row>
    <x:row r="683">
      <x:c r="A683" s="165" t="n">
        <x:v>679</x:v>
      </x:c>
      <x:c r="B683" s="233" t="str">
        <x:v>دی</x:v>
      </x:c>
      <x:c r="C683" s="233" t="n">
        <x:f>IF('دانش‌آموزان'!E61="","",'دانش‌آموزان'!B61)</x:f>
        <x:v>57</x:v>
      </x:c>
      <x:c r="D683" s="233" t="str">
        <x:f>IF('دانش‌آموزان'!C61="","",'دانش‌آموزان'!C61)</x:f>
        <x:v>4000000578</x:v>
      </x:c>
      <x:c r="E683" s="233" t="str">
        <x:f>IF('دانش‌آموزان'!E61="","",'دانش‌آموزان'!E61&amp;" "&amp;'دانش‌آموزان'!F61)</x:f>
        <x:v>سینا رحیمی</x:v>
      </x:c>
      <x:c r="F683" s="166" t="str">
        <x:f>IF('دانش‌آموزان'!I61="","",'دانش‌آموزان'!I61)</x:f>
        <x:v>sample-7-c</x:v>
      </x:c>
      <x:c r="G683" s="114"/>
      <x:c r="H683" s="115"/>
      <x:c r="I683" s="115"/>
      <x:c r="J683" s="115"/>
      <x:c r="K683" s="115"/>
      <x:c r="L683" s="115"/>
      <x:c r="M683" s="115"/>
      <x:c r="N683" s="115"/>
      <x:c r="O683" s="115"/>
      <x:c r="P683" s="115"/>
      <x:c r="Q683" s="115"/>
      <x:c r="R683" s="115"/>
      <x:c r="S683" s="115"/>
      <x:c r="T683" s="115"/>
      <x:c r="U683" s="115"/>
      <x:c r="V683" s="115"/>
      <x:c r="W683" s="115"/>
      <x:c r="X683" s="115"/>
      <x:c r="Y683" s="115"/>
      <x:c r="Z683" s="115"/>
      <x:c r="AA683" s="115"/>
      <x:c r="AB683" s="115"/>
      <x:c r="AC683" s="115"/>
      <x:c r="AD683" s="115"/>
      <x:c r="AE683" s="115"/>
      <x:c r="AF683" s="115"/>
      <x:c r="AG683" s="115"/>
      <x:c r="AH683" s="115"/>
      <x:c r="AI683" s="115"/>
      <x:c r="AJ683" s="115"/>
      <x:c r="AK683" s="115"/>
      <x:c r="AL683" s="115"/>
      <x:c r="AM683" s="115"/>
      <x:c r="AN683" s="115"/>
      <x:c r="AO683" s="115"/>
      <x:c r="AP683" s="115"/>
      <x:c r="AQ683" s="115"/>
      <x:c r="AR683" s="115"/>
      <x:c r="AS683" s="115"/>
      <x:c r="AT683" s="115"/>
      <x:c r="AU683" s="115"/>
      <x:c r="AV683" s="115"/>
      <x:c r="AW683" s="115"/>
      <x:c r="AX683" s="115"/>
      <x:c r="AY683" s="115"/>
      <x:c r="AZ683" s="115"/>
      <x:c r="BA683" s="115"/>
      <x:c r="BB683" s="115"/>
      <x:c r="BC683" s="115"/>
      <x:c r="BD683" s="115"/>
      <x:c r="BE683" s="115"/>
      <x:c r="BF683" s="115"/>
      <x:c r="BG683" s="115"/>
      <x:c r="BH683" s="115"/>
      <x:c r="BI683" s="115"/>
      <x:c r="BJ683" s="115"/>
      <x:c r="BK683" s="115"/>
      <x:c r="BL683" s="115"/>
      <x:c r="BM683" s="115"/>
      <x:c r="BN683" s="115"/>
      <x:c r="BO683" s="115"/>
      <x:c r="BP683" s="115"/>
      <x:c r="BQ683" s="115"/>
      <x:c r="BR683" s="115"/>
      <x:c r="BS683" s="115"/>
      <x:c r="BT683" s="115"/>
      <x:c r="BU683" s="115"/>
      <x:c r="BV683" s="115"/>
      <x:c r="BW683" s="115"/>
      <x:c r="BX683" s="115"/>
      <x:c r="BY683" s="115"/>
      <x:c r="BZ683" s="115"/>
      <x:c r="CA683" s="115"/>
      <x:c r="CB683" s="116"/>
      <x:c r="CC683" s="141" t="str">
        <x:f>IF(COUNT(G683:P683)=0,"",AVERAGE(G683:P683)*4)</x:f>
      </x:c>
      <x:c r="CD683" s="178" t="str">
        <x:f>IF(COUNT(Q683:Z683)=0,"",AVERAGE(Q683:Z683)*4)</x:f>
      </x:c>
      <x:c r="CE683" s="178" t="str">
        <x:f>IF(COUNT(AA683:AJ683)=0,"",AVERAGE(AA683:AJ683)*4)</x:f>
      </x:c>
      <x:c r="CF683" s="178" t="str">
        <x:f>IF(COUNT(AK683:AR683)=0,"",AVERAGE(AK683:AR683)*4)</x:f>
      </x:c>
      <x:c r="CG683" s="178" t="str">
        <x:f>IF(COUNT(AS683:AY683)=0,"",AVERAGE(AS683:AY683)*4)</x:f>
      </x:c>
      <x:c r="CH683" s="178" t="str">
        <x:f>IF(COUNT(AZ683:BG683)=0,"",AVERAGE(AZ683:BG683)*4)</x:f>
      </x:c>
      <x:c r="CI683" s="178" t="str">
        <x:f>IF(COUNT(BH683:BN683)=0,"",AVERAGE(BH683:BN683)*4)</x:f>
      </x:c>
      <x:c r="CJ683" s="178" t="str">
        <x:f>IF(COUNT(BO683:BU683)=0,"",AVERAGE(BO683:BU683)*4)</x:f>
      </x:c>
      <x:c r="CK683" s="178" t="str">
        <x:f>IF(COUNT(BV683:CB683)=0,"",AVERAGE(BV683:CB683)*4)</x:f>
      </x:c>
      <x:c r="CL683" s="178" t="str">
        <x:f>IF(C683="","",IF(COUNT(G683:CB683)&lt;74,"",(CC683*'تنظیمات وزن‌دهی'!$C$5+CD683*'تنظیمات وزن‌دهی'!$C$6+CE683*'تنظیمات وزن‌دهی'!$C$7+CF683*'تنظیمات وزن‌دهی'!$C$8+CG683*'تنظیمات وزن‌دهی'!$C$9+CH683*'تنظیمات وزن‌دهی'!$C$10+CI683*'تنظیمات وزن‌دهی'!$C$11+CJ683*'تنظیمات وزن‌دهی'!$C$12+CK683*'تنظیمات وزن‌دهی'!$C$13)/100))</x:f>
      </x:c>
      <x:c r="CM683" s="178" t="str">
        <x:f>IF(C683="","",IF(COUNT(G683:CB683)=0,"",IF(COUNT(G683:CB683)&lt;74,"موقت - اطلاعات ناقص",IF(CL683&gt;=17,"عالی",IF(CL683&gt;=14,"خوب",IF(CL683&gt;=10,"متوسط","ضعیف"))))))</x:f>
      </x:c>
      <x:c r="CN683" s="178" t="n">
        <x:v>7</x:v>
      </x:c>
      <x:c r="CO683" s="142" t="n">
        <x:f>IF(C683="","",COUNT(G683:CB683)/74)</x:f>
        <x:v>0</x:v>
      </x:c>
      <x:c r="CP683" s="245"/>
    </x:row>
    <x:row r="684">
      <x:c r="A684" s="165" t="n">
        <x:v>680</x:v>
      </x:c>
      <x:c r="B684" s="233" t="str">
        <x:v>بهمن</x:v>
      </x:c>
      <x:c r="C684" s="233" t="n">
        <x:f>IF('دانش‌آموزان'!E61="","",'دانش‌آموزان'!B61)</x:f>
        <x:v>57</x:v>
      </x:c>
      <x:c r="D684" s="233" t="str">
        <x:f>IF('دانش‌آموزان'!C61="","",'دانش‌آموزان'!C61)</x:f>
        <x:v>4000000578</x:v>
      </x:c>
      <x:c r="E684" s="233" t="str">
        <x:f>IF('دانش‌آموزان'!E61="","",'دانش‌آموزان'!E61&amp;" "&amp;'دانش‌آموزان'!F61)</x:f>
        <x:v>سینا رحیمی</x:v>
      </x:c>
      <x:c r="F684" s="166" t="str">
        <x:f>IF('دانش‌آموزان'!I61="","",'دانش‌آموزان'!I61)</x:f>
        <x:v>sample-7-c</x:v>
      </x:c>
      <x:c r="G684" s="114"/>
      <x:c r="H684" s="115"/>
      <x:c r="I684" s="115"/>
      <x:c r="J684" s="115"/>
      <x:c r="K684" s="115"/>
      <x:c r="L684" s="115"/>
      <x:c r="M684" s="115"/>
      <x:c r="N684" s="115"/>
      <x:c r="O684" s="115"/>
      <x:c r="P684" s="115"/>
      <x:c r="Q684" s="115"/>
      <x:c r="R684" s="115"/>
      <x:c r="S684" s="115"/>
      <x:c r="T684" s="115"/>
      <x:c r="U684" s="115"/>
      <x:c r="V684" s="115"/>
      <x:c r="W684" s="115"/>
      <x:c r="X684" s="115"/>
      <x:c r="Y684" s="115"/>
      <x:c r="Z684" s="115"/>
      <x:c r="AA684" s="115"/>
      <x:c r="AB684" s="115"/>
      <x:c r="AC684" s="115"/>
      <x:c r="AD684" s="115"/>
      <x:c r="AE684" s="115"/>
      <x:c r="AF684" s="115"/>
      <x:c r="AG684" s="115"/>
      <x:c r="AH684" s="115"/>
      <x:c r="AI684" s="115"/>
      <x:c r="AJ684" s="115"/>
      <x:c r="AK684" s="115"/>
      <x:c r="AL684" s="115"/>
      <x:c r="AM684" s="115"/>
      <x:c r="AN684" s="115"/>
      <x:c r="AO684" s="115"/>
      <x:c r="AP684" s="115"/>
      <x:c r="AQ684" s="115"/>
      <x:c r="AR684" s="115"/>
      <x:c r="AS684" s="115"/>
      <x:c r="AT684" s="115"/>
      <x:c r="AU684" s="115"/>
      <x:c r="AV684" s="115"/>
      <x:c r="AW684" s="115"/>
      <x:c r="AX684" s="115"/>
      <x:c r="AY684" s="115"/>
      <x:c r="AZ684" s="115"/>
      <x:c r="BA684" s="115"/>
      <x:c r="BB684" s="115"/>
      <x:c r="BC684" s="115"/>
      <x:c r="BD684" s="115"/>
      <x:c r="BE684" s="115"/>
      <x:c r="BF684" s="115"/>
      <x:c r="BG684" s="115"/>
      <x:c r="BH684" s="115"/>
      <x:c r="BI684" s="115"/>
      <x:c r="BJ684" s="115"/>
      <x:c r="BK684" s="115"/>
      <x:c r="BL684" s="115"/>
      <x:c r="BM684" s="115"/>
      <x:c r="BN684" s="115"/>
      <x:c r="BO684" s="115"/>
      <x:c r="BP684" s="115"/>
      <x:c r="BQ684" s="115"/>
      <x:c r="BR684" s="115"/>
      <x:c r="BS684" s="115"/>
      <x:c r="BT684" s="115"/>
      <x:c r="BU684" s="115"/>
      <x:c r="BV684" s="115"/>
      <x:c r="BW684" s="115"/>
      <x:c r="BX684" s="115"/>
      <x:c r="BY684" s="115"/>
      <x:c r="BZ684" s="115"/>
      <x:c r="CA684" s="115"/>
      <x:c r="CB684" s="116"/>
      <x:c r="CC684" s="141" t="str">
        <x:f>IF(COUNT(G684:P684)=0,"",AVERAGE(G684:P684)*4)</x:f>
      </x:c>
      <x:c r="CD684" s="178" t="str">
        <x:f>IF(COUNT(Q684:Z684)=0,"",AVERAGE(Q684:Z684)*4)</x:f>
      </x:c>
      <x:c r="CE684" s="178" t="str">
        <x:f>IF(COUNT(AA684:AJ684)=0,"",AVERAGE(AA684:AJ684)*4)</x:f>
      </x:c>
      <x:c r="CF684" s="178" t="str">
        <x:f>IF(COUNT(AK684:AR684)=0,"",AVERAGE(AK684:AR684)*4)</x:f>
      </x:c>
      <x:c r="CG684" s="178" t="str">
        <x:f>IF(COUNT(AS684:AY684)=0,"",AVERAGE(AS684:AY684)*4)</x:f>
      </x:c>
      <x:c r="CH684" s="178" t="str">
        <x:f>IF(COUNT(AZ684:BG684)=0,"",AVERAGE(AZ684:BG684)*4)</x:f>
      </x:c>
      <x:c r="CI684" s="178" t="str">
        <x:f>IF(COUNT(BH684:BN684)=0,"",AVERAGE(BH684:BN684)*4)</x:f>
      </x:c>
      <x:c r="CJ684" s="178" t="str">
        <x:f>IF(COUNT(BO684:BU684)=0,"",AVERAGE(BO684:BU684)*4)</x:f>
      </x:c>
      <x:c r="CK684" s="178" t="str">
        <x:f>IF(COUNT(BV684:CB684)=0,"",AVERAGE(BV684:CB684)*4)</x:f>
      </x:c>
      <x:c r="CL684" s="178" t="str">
        <x:f>IF(C684="","",IF(COUNT(G684:CB684)&lt;74,"",(CC684*'تنظیمات وزن‌دهی'!$C$5+CD684*'تنظیمات وزن‌دهی'!$C$6+CE684*'تنظیمات وزن‌دهی'!$C$7+CF684*'تنظیمات وزن‌دهی'!$C$8+CG684*'تنظیمات وزن‌دهی'!$C$9+CH684*'تنظیمات وزن‌دهی'!$C$10+CI684*'تنظیمات وزن‌دهی'!$C$11+CJ684*'تنظیمات وزن‌دهی'!$C$12+CK684*'تنظیمات وزن‌دهی'!$C$13)/100))</x:f>
      </x:c>
      <x:c r="CM684" s="178" t="str">
        <x:f>IF(C684="","",IF(COUNT(G684:CB684)=0,"",IF(COUNT(G684:CB684)&lt;74,"موقت - اطلاعات ناقص",IF(CL684&gt;=17,"عالی",IF(CL684&gt;=14,"خوب",IF(CL684&gt;=10,"متوسط","ضعیف"))))))</x:f>
      </x:c>
      <x:c r="CN684" s="178" t="n">
        <x:v>8</x:v>
      </x:c>
      <x:c r="CO684" s="142" t="n">
        <x:f>IF(C684="","",COUNT(G684:CB684)/74)</x:f>
        <x:v>0</x:v>
      </x:c>
      <x:c r="CP684" s="245"/>
    </x:row>
    <x:row r="685">
      <x:c r="A685" s="165" t="n">
        <x:v>681</x:v>
      </x:c>
      <x:c r="B685" s="233" t="str">
        <x:v>اسفند</x:v>
      </x:c>
      <x:c r="C685" s="233" t="n">
        <x:f>IF('دانش‌آموزان'!E61="","",'دانش‌آموزان'!B61)</x:f>
        <x:v>57</x:v>
      </x:c>
      <x:c r="D685" s="233" t="str">
        <x:f>IF('دانش‌آموزان'!C61="","",'دانش‌آموزان'!C61)</x:f>
        <x:v>4000000578</x:v>
      </x:c>
      <x:c r="E685" s="233" t="str">
        <x:f>IF('دانش‌آموزان'!E61="","",'دانش‌آموزان'!E61&amp;" "&amp;'دانش‌آموزان'!F61)</x:f>
        <x:v>سینا رحیمی</x:v>
      </x:c>
      <x:c r="F685" s="166" t="str">
        <x:f>IF('دانش‌آموزان'!I61="","",'دانش‌آموزان'!I61)</x:f>
        <x:v>sample-7-c</x:v>
      </x:c>
      <x:c r="G685" s="114"/>
      <x:c r="H685" s="115"/>
      <x:c r="I685" s="115"/>
      <x:c r="J685" s="115"/>
      <x:c r="K685" s="115"/>
      <x:c r="L685" s="115"/>
      <x:c r="M685" s="115"/>
      <x:c r="N685" s="115"/>
      <x:c r="O685" s="115"/>
      <x:c r="P685" s="115"/>
      <x:c r="Q685" s="115"/>
      <x:c r="R685" s="115"/>
      <x:c r="S685" s="115"/>
      <x:c r="T685" s="115"/>
      <x:c r="U685" s="115"/>
      <x:c r="V685" s="115"/>
      <x:c r="W685" s="115"/>
      <x:c r="X685" s="115"/>
      <x:c r="Y685" s="115"/>
      <x:c r="Z685" s="115"/>
      <x:c r="AA685" s="115"/>
      <x:c r="AB685" s="115"/>
      <x:c r="AC685" s="115"/>
      <x:c r="AD685" s="115"/>
      <x:c r="AE685" s="115"/>
      <x:c r="AF685" s="115"/>
      <x:c r="AG685" s="115"/>
      <x:c r="AH685" s="115"/>
      <x:c r="AI685" s="115"/>
      <x:c r="AJ685" s="115"/>
      <x:c r="AK685" s="115"/>
      <x:c r="AL685" s="115"/>
      <x:c r="AM685" s="115"/>
      <x:c r="AN685" s="115"/>
      <x:c r="AO685" s="115"/>
      <x:c r="AP685" s="115"/>
      <x:c r="AQ685" s="115"/>
      <x:c r="AR685" s="115"/>
      <x:c r="AS685" s="115"/>
      <x:c r="AT685" s="115"/>
      <x:c r="AU685" s="115"/>
      <x:c r="AV685" s="115"/>
      <x:c r="AW685" s="115"/>
      <x:c r="AX685" s="115"/>
      <x:c r="AY685" s="115"/>
      <x:c r="AZ685" s="115"/>
      <x:c r="BA685" s="115"/>
      <x:c r="BB685" s="115"/>
      <x:c r="BC685" s="115"/>
      <x:c r="BD685" s="115"/>
      <x:c r="BE685" s="115"/>
      <x:c r="BF685" s="115"/>
      <x:c r="BG685" s="115"/>
      <x:c r="BH685" s="115"/>
      <x:c r="BI685" s="115"/>
      <x:c r="BJ685" s="115"/>
      <x:c r="BK685" s="115"/>
      <x:c r="BL685" s="115"/>
      <x:c r="BM685" s="115"/>
      <x:c r="BN685" s="115"/>
      <x:c r="BO685" s="115"/>
      <x:c r="BP685" s="115"/>
      <x:c r="BQ685" s="115"/>
      <x:c r="BR685" s="115"/>
      <x:c r="BS685" s="115"/>
      <x:c r="BT685" s="115"/>
      <x:c r="BU685" s="115"/>
      <x:c r="BV685" s="115"/>
      <x:c r="BW685" s="115"/>
      <x:c r="BX685" s="115"/>
      <x:c r="BY685" s="115"/>
      <x:c r="BZ685" s="115"/>
      <x:c r="CA685" s="115"/>
      <x:c r="CB685" s="116"/>
      <x:c r="CC685" s="141" t="str">
        <x:f>IF(COUNT(G685:P685)=0,"",AVERAGE(G685:P685)*4)</x:f>
      </x:c>
      <x:c r="CD685" s="178" t="str">
        <x:f>IF(COUNT(Q685:Z685)=0,"",AVERAGE(Q685:Z685)*4)</x:f>
      </x:c>
      <x:c r="CE685" s="178" t="str">
        <x:f>IF(COUNT(AA685:AJ685)=0,"",AVERAGE(AA685:AJ685)*4)</x:f>
      </x:c>
      <x:c r="CF685" s="178" t="str">
        <x:f>IF(COUNT(AK685:AR685)=0,"",AVERAGE(AK685:AR685)*4)</x:f>
      </x:c>
      <x:c r="CG685" s="178" t="str">
        <x:f>IF(COUNT(AS685:AY685)=0,"",AVERAGE(AS685:AY685)*4)</x:f>
      </x:c>
      <x:c r="CH685" s="178" t="str">
        <x:f>IF(COUNT(AZ685:BG685)=0,"",AVERAGE(AZ685:BG685)*4)</x:f>
      </x:c>
      <x:c r="CI685" s="178" t="str">
        <x:f>IF(COUNT(BH685:BN685)=0,"",AVERAGE(BH685:BN685)*4)</x:f>
      </x:c>
      <x:c r="CJ685" s="178" t="str">
        <x:f>IF(COUNT(BO685:BU685)=0,"",AVERAGE(BO685:BU685)*4)</x:f>
      </x:c>
      <x:c r="CK685" s="178" t="str">
        <x:f>IF(COUNT(BV685:CB685)=0,"",AVERAGE(BV685:CB685)*4)</x:f>
      </x:c>
      <x:c r="CL685" s="178" t="str">
        <x:f>IF(C685="","",IF(COUNT(G685:CB685)&lt;74,"",(CC685*'تنظیمات وزن‌دهی'!$C$5+CD685*'تنظیمات وزن‌دهی'!$C$6+CE685*'تنظیمات وزن‌دهی'!$C$7+CF685*'تنظیمات وزن‌دهی'!$C$8+CG685*'تنظیمات وزن‌دهی'!$C$9+CH685*'تنظیمات وزن‌دهی'!$C$10+CI685*'تنظیمات وزن‌دهی'!$C$11+CJ685*'تنظیمات وزن‌دهی'!$C$12+CK685*'تنظیمات وزن‌دهی'!$C$13)/100))</x:f>
      </x:c>
      <x:c r="CM685" s="178" t="str">
        <x:f>IF(C685="","",IF(COUNT(G685:CB685)=0,"",IF(COUNT(G685:CB685)&lt;74,"موقت - اطلاعات ناقص",IF(CL685&gt;=17,"عالی",IF(CL685&gt;=14,"خوب",IF(CL685&gt;=10,"متوسط","ضعیف"))))))</x:f>
      </x:c>
      <x:c r="CN685" s="178" t="n">
        <x:v>9</x:v>
      </x:c>
      <x:c r="CO685" s="142" t="n">
        <x:f>IF(C685="","",COUNT(G685:CB685)/74)</x:f>
        <x:v>0</x:v>
      </x:c>
      <x:c r="CP685" s="245"/>
    </x:row>
    <x:row r="686">
      <x:c r="A686" s="165" t="n">
        <x:v>682</x:v>
      </x:c>
      <x:c r="B686" s="233" t="str">
        <x:v>فروردین</x:v>
      </x:c>
      <x:c r="C686" s="233" t="n">
        <x:f>IF('دانش‌آموزان'!E61="","",'دانش‌آموزان'!B61)</x:f>
        <x:v>57</x:v>
      </x:c>
      <x:c r="D686" s="233" t="str">
        <x:f>IF('دانش‌آموزان'!C61="","",'دانش‌آموزان'!C61)</x:f>
        <x:v>4000000578</x:v>
      </x:c>
      <x:c r="E686" s="233" t="str">
        <x:f>IF('دانش‌آموزان'!E61="","",'دانش‌آموزان'!E61&amp;" "&amp;'دانش‌آموزان'!F61)</x:f>
        <x:v>سینا رحیمی</x:v>
      </x:c>
      <x:c r="F686" s="166" t="str">
        <x:f>IF('دانش‌آموزان'!I61="","",'دانش‌آموزان'!I61)</x:f>
        <x:v>sample-7-c</x:v>
      </x:c>
      <x:c r="G686" s="114"/>
      <x:c r="H686" s="115"/>
      <x:c r="I686" s="115"/>
      <x:c r="J686" s="115"/>
      <x:c r="K686" s="115"/>
      <x:c r="L686" s="115"/>
      <x:c r="M686" s="115"/>
      <x:c r="N686" s="115"/>
      <x:c r="O686" s="115"/>
      <x:c r="P686" s="115"/>
      <x:c r="Q686" s="115"/>
      <x:c r="R686" s="115"/>
      <x:c r="S686" s="115"/>
      <x:c r="T686" s="115"/>
      <x:c r="U686" s="115"/>
      <x:c r="V686" s="115"/>
      <x:c r="W686" s="115"/>
      <x:c r="X686" s="115"/>
      <x:c r="Y686" s="115"/>
      <x:c r="Z686" s="115"/>
      <x:c r="AA686" s="115"/>
      <x:c r="AB686" s="115"/>
      <x:c r="AC686" s="115"/>
      <x:c r="AD686" s="115"/>
      <x:c r="AE686" s="115"/>
      <x:c r="AF686" s="115"/>
      <x:c r="AG686" s="115"/>
      <x:c r="AH686" s="115"/>
      <x:c r="AI686" s="115"/>
      <x:c r="AJ686" s="115"/>
      <x:c r="AK686" s="115"/>
      <x:c r="AL686" s="115"/>
      <x:c r="AM686" s="115"/>
      <x:c r="AN686" s="115"/>
      <x:c r="AO686" s="115"/>
      <x:c r="AP686" s="115"/>
      <x:c r="AQ686" s="115"/>
      <x:c r="AR686" s="115"/>
      <x:c r="AS686" s="115"/>
      <x:c r="AT686" s="115"/>
      <x:c r="AU686" s="115"/>
      <x:c r="AV686" s="115"/>
      <x:c r="AW686" s="115"/>
      <x:c r="AX686" s="115"/>
      <x:c r="AY686" s="115"/>
      <x:c r="AZ686" s="115"/>
      <x:c r="BA686" s="115"/>
      <x:c r="BB686" s="115"/>
      <x:c r="BC686" s="115"/>
      <x:c r="BD686" s="115"/>
      <x:c r="BE686" s="115"/>
      <x:c r="BF686" s="115"/>
      <x:c r="BG686" s="115"/>
      <x:c r="BH686" s="115"/>
      <x:c r="BI686" s="115"/>
      <x:c r="BJ686" s="115"/>
      <x:c r="BK686" s="115"/>
      <x:c r="BL686" s="115"/>
      <x:c r="BM686" s="115"/>
      <x:c r="BN686" s="115"/>
      <x:c r="BO686" s="115"/>
      <x:c r="BP686" s="115"/>
      <x:c r="BQ686" s="115"/>
      <x:c r="BR686" s="115"/>
      <x:c r="BS686" s="115"/>
      <x:c r="BT686" s="115"/>
      <x:c r="BU686" s="115"/>
      <x:c r="BV686" s="115"/>
      <x:c r="BW686" s="115"/>
      <x:c r="BX686" s="115"/>
      <x:c r="BY686" s="115"/>
      <x:c r="BZ686" s="115"/>
      <x:c r="CA686" s="115"/>
      <x:c r="CB686" s="116"/>
      <x:c r="CC686" s="141" t="str">
        <x:f>IF(COUNT(G686:P686)=0,"",AVERAGE(G686:P686)*4)</x:f>
      </x:c>
      <x:c r="CD686" s="178" t="str">
        <x:f>IF(COUNT(Q686:Z686)=0,"",AVERAGE(Q686:Z686)*4)</x:f>
      </x:c>
      <x:c r="CE686" s="178" t="str">
        <x:f>IF(COUNT(AA686:AJ686)=0,"",AVERAGE(AA686:AJ686)*4)</x:f>
      </x:c>
      <x:c r="CF686" s="178" t="str">
        <x:f>IF(COUNT(AK686:AR686)=0,"",AVERAGE(AK686:AR686)*4)</x:f>
      </x:c>
      <x:c r="CG686" s="178" t="str">
        <x:f>IF(COUNT(AS686:AY686)=0,"",AVERAGE(AS686:AY686)*4)</x:f>
      </x:c>
      <x:c r="CH686" s="178" t="str">
        <x:f>IF(COUNT(AZ686:BG686)=0,"",AVERAGE(AZ686:BG686)*4)</x:f>
      </x:c>
      <x:c r="CI686" s="178" t="str">
        <x:f>IF(COUNT(BH686:BN686)=0,"",AVERAGE(BH686:BN686)*4)</x:f>
      </x:c>
      <x:c r="CJ686" s="178" t="str">
        <x:f>IF(COUNT(BO686:BU686)=0,"",AVERAGE(BO686:BU686)*4)</x:f>
      </x:c>
      <x:c r="CK686" s="178" t="str">
        <x:f>IF(COUNT(BV686:CB686)=0,"",AVERAGE(BV686:CB686)*4)</x:f>
      </x:c>
      <x:c r="CL686" s="178" t="str">
        <x:f>IF(C686="","",IF(COUNT(G686:CB686)&lt;74,"",(CC686*'تنظیمات وزن‌دهی'!$C$5+CD686*'تنظیمات وزن‌دهی'!$C$6+CE686*'تنظیمات وزن‌دهی'!$C$7+CF686*'تنظیمات وزن‌دهی'!$C$8+CG686*'تنظیمات وزن‌دهی'!$C$9+CH686*'تنظیمات وزن‌دهی'!$C$10+CI686*'تنظیمات وزن‌دهی'!$C$11+CJ686*'تنظیمات وزن‌دهی'!$C$12+CK686*'تنظیمات وزن‌دهی'!$C$13)/100))</x:f>
      </x:c>
      <x:c r="CM686" s="178" t="str">
        <x:f>IF(C686="","",IF(COUNT(G686:CB686)=0,"",IF(COUNT(G686:CB686)&lt;74,"موقت - اطلاعات ناقص",IF(CL686&gt;=17,"عالی",IF(CL686&gt;=14,"خوب",IF(CL686&gt;=10,"متوسط","ضعیف"))))))</x:f>
      </x:c>
      <x:c r="CN686" s="178" t="n">
        <x:v>10</x:v>
      </x:c>
      <x:c r="CO686" s="142" t="n">
        <x:f>IF(C686="","",COUNT(G686:CB686)/74)</x:f>
        <x:v>0</x:v>
      </x:c>
      <x:c r="CP686" s="245"/>
    </x:row>
    <x:row r="687">
      <x:c r="A687" s="165" t="n">
        <x:v>683</x:v>
      </x:c>
      <x:c r="B687" s="233" t="str">
        <x:v>اردیبهشت</x:v>
      </x:c>
      <x:c r="C687" s="233" t="n">
        <x:f>IF('دانش‌آموزان'!E61="","",'دانش‌آموزان'!B61)</x:f>
        <x:v>57</x:v>
      </x:c>
      <x:c r="D687" s="233" t="str">
        <x:f>IF('دانش‌آموزان'!C61="","",'دانش‌آموزان'!C61)</x:f>
        <x:v>4000000578</x:v>
      </x:c>
      <x:c r="E687" s="233" t="str">
        <x:f>IF('دانش‌آموزان'!E61="","",'دانش‌آموزان'!E61&amp;" "&amp;'دانش‌آموزان'!F61)</x:f>
        <x:v>سینا رحیمی</x:v>
      </x:c>
      <x:c r="F687" s="166" t="str">
        <x:f>IF('دانش‌آموزان'!I61="","",'دانش‌آموزان'!I61)</x:f>
        <x:v>sample-7-c</x:v>
      </x:c>
      <x:c r="G687" s="114"/>
      <x:c r="H687" s="115"/>
      <x:c r="I687" s="115"/>
      <x:c r="J687" s="115"/>
      <x:c r="K687" s="115"/>
      <x:c r="L687" s="115"/>
      <x:c r="M687" s="115"/>
      <x:c r="N687" s="115"/>
      <x:c r="O687" s="115"/>
      <x:c r="P687" s="115"/>
      <x:c r="Q687" s="115"/>
      <x:c r="R687" s="115"/>
      <x:c r="S687" s="115"/>
      <x:c r="T687" s="115"/>
      <x:c r="U687" s="115"/>
      <x:c r="V687" s="115"/>
      <x:c r="W687" s="115"/>
      <x:c r="X687" s="115"/>
      <x:c r="Y687" s="115"/>
      <x:c r="Z687" s="115"/>
      <x:c r="AA687" s="115"/>
      <x:c r="AB687" s="115"/>
      <x:c r="AC687" s="115"/>
      <x:c r="AD687" s="115"/>
      <x:c r="AE687" s="115"/>
      <x:c r="AF687" s="115"/>
      <x:c r="AG687" s="115"/>
      <x:c r="AH687" s="115"/>
      <x:c r="AI687" s="115"/>
      <x:c r="AJ687" s="115"/>
      <x:c r="AK687" s="115"/>
      <x:c r="AL687" s="115"/>
      <x:c r="AM687" s="115"/>
      <x:c r="AN687" s="115"/>
      <x:c r="AO687" s="115"/>
      <x:c r="AP687" s="115"/>
      <x:c r="AQ687" s="115"/>
      <x:c r="AR687" s="115"/>
      <x:c r="AS687" s="115"/>
      <x:c r="AT687" s="115"/>
      <x:c r="AU687" s="115"/>
      <x:c r="AV687" s="115"/>
      <x:c r="AW687" s="115"/>
      <x:c r="AX687" s="115"/>
      <x:c r="AY687" s="115"/>
      <x:c r="AZ687" s="115"/>
      <x:c r="BA687" s="115"/>
      <x:c r="BB687" s="115"/>
      <x:c r="BC687" s="115"/>
      <x:c r="BD687" s="115"/>
      <x:c r="BE687" s="115"/>
      <x:c r="BF687" s="115"/>
      <x:c r="BG687" s="115"/>
      <x:c r="BH687" s="115"/>
      <x:c r="BI687" s="115"/>
      <x:c r="BJ687" s="115"/>
      <x:c r="BK687" s="115"/>
      <x:c r="BL687" s="115"/>
      <x:c r="BM687" s="115"/>
      <x:c r="BN687" s="115"/>
      <x:c r="BO687" s="115"/>
      <x:c r="BP687" s="115"/>
      <x:c r="BQ687" s="115"/>
      <x:c r="BR687" s="115"/>
      <x:c r="BS687" s="115"/>
      <x:c r="BT687" s="115"/>
      <x:c r="BU687" s="115"/>
      <x:c r="BV687" s="115"/>
      <x:c r="BW687" s="115"/>
      <x:c r="BX687" s="115"/>
      <x:c r="BY687" s="115"/>
      <x:c r="BZ687" s="115"/>
      <x:c r="CA687" s="115"/>
      <x:c r="CB687" s="116"/>
      <x:c r="CC687" s="141" t="str">
        <x:f>IF(COUNT(G687:P687)=0,"",AVERAGE(G687:P687)*4)</x:f>
      </x:c>
      <x:c r="CD687" s="178" t="str">
        <x:f>IF(COUNT(Q687:Z687)=0,"",AVERAGE(Q687:Z687)*4)</x:f>
      </x:c>
      <x:c r="CE687" s="178" t="str">
        <x:f>IF(COUNT(AA687:AJ687)=0,"",AVERAGE(AA687:AJ687)*4)</x:f>
      </x:c>
      <x:c r="CF687" s="178" t="str">
        <x:f>IF(COUNT(AK687:AR687)=0,"",AVERAGE(AK687:AR687)*4)</x:f>
      </x:c>
      <x:c r="CG687" s="178" t="str">
        <x:f>IF(COUNT(AS687:AY687)=0,"",AVERAGE(AS687:AY687)*4)</x:f>
      </x:c>
      <x:c r="CH687" s="178" t="str">
        <x:f>IF(COUNT(AZ687:BG687)=0,"",AVERAGE(AZ687:BG687)*4)</x:f>
      </x:c>
      <x:c r="CI687" s="178" t="str">
        <x:f>IF(COUNT(BH687:BN687)=0,"",AVERAGE(BH687:BN687)*4)</x:f>
      </x:c>
      <x:c r="CJ687" s="178" t="str">
        <x:f>IF(COUNT(BO687:BU687)=0,"",AVERAGE(BO687:BU687)*4)</x:f>
      </x:c>
      <x:c r="CK687" s="178" t="str">
        <x:f>IF(COUNT(BV687:CB687)=0,"",AVERAGE(BV687:CB687)*4)</x:f>
      </x:c>
      <x:c r="CL687" s="178" t="str">
        <x:f>IF(C687="","",IF(COUNT(G687:CB687)&lt;74,"",(CC687*'تنظیمات وزن‌دهی'!$C$5+CD687*'تنظیمات وزن‌دهی'!$C$6+CE687*'تنظیمات وزن‌دهی'!$C$7+CF687*'تنظیمات وزن‌دهی'!$C$8+CG687*'تنظیمات وزن‌دهی'!$C$9+CH687*'تنظیمات وزن‌دهی'!$C$10+CI687*'تنظیمات وزن‌دهی'!$C$11+CJ687*'تنظیمات وزن‌دهی'!$C$12+CK687*'تنظیمات وزن‌دهی'!$C$13)/100))</x:f>
      </x:c>
      <x:c r="CM687" s="178" t="str">
        <x:f>IF(C687="","",IF(COUNT(G687:CB687)=0,"",IF(COUNT(G687:CB687)&lt;74,"موقت - اطلاعات ناقص",IF(CL687&gt;=17,"عالی",IF(CL687&gt;=14,"خوب",IF(CL687&gt;=10,"متوسط","ضعیف"))))))</x:f>
      </x:c>
      <x:c r="CN687" s="178" t="n">
        <x:v>11</x:v>
      </x:c>
      <x:c r="CO687" s="142" t="n">
        <x:f>IF(C687="","",COUNT(G687:CB687)/74)</x:f>
        <x:v>0</x:v>
      </x:c>
      <x:c r="CP687" s="245"/>
    </x:row>
    <x:row r="688">
      <x:c r="A688" s="165" t="n">
        <x:v>684</x:v>
      </x:c>
      <x:c r="B688" s="233" t="str">
        <x:v>خرداد</x:v>
      </x:c>
      <x:c r="C688" s="233" t="n">
        <x:f>IF('دانش‌آموزان'!E61="","",'دانش‌آموزان'!B61)</x:f>
        <x:v>57</x:v>
      </x:c>
      <x:c r="D688" s="233" t="str">
        <x:f>IF('دانش‌آموزان'!C61="","",'دانش‌آموزان'!C61)</x:f>
        <x:v>4000000578</x:v>
      </x:c>
      <x:c r="E688" s="233" t="str">
        <x:f>IF('دانش‌آموزان'!E61="","",'دانش‌آموزان'!E61&amp;" "&amp;'دانش‌آموزان'!F61)</x:f>
        <x:v>سینا رحیمی</x:v>
      </x:c>
      <x:c r="F688" s="166" t="str">
        <x:f>IF('دانش‌آموزان'!I61="","",'دانش‌آموزان'!I61)</x:f>
        <x:v>sample-7-c</x:v>
      </x:c>
      <x:c r="G688" s="114"/>
      <x:c r="H688" s="115"/>
      <x:c r="I688" s="115"/>
      <x:c r="J688" s="115"/>
      <x:c r="K688" s="115"/>
      <x:c r="L688" s="115"/>
      <x:c r="M688" s="115"/>
      <x:c r="N688" s="115"/>
      <x:c r="O688" s="115"/>
      <x:c r="P688" s="115"/>
      <x:c r="Q688" s="115"/>
      <x:c r="R688" s="115"/>
      <x:c r="S688" s="115"/>
      <x:c r="T688" s="115"/>
      <x:c r="U688" s="115"/>
      <x:c r="V688" s="115"/>
      <x:c r="W688" s="115"/>
      <x:c r="X688" s="115"/>
      <x:c r="Y688" s="115"/>
      <x:c r="Z688" s="115"/>
      <x:c r="AA688" s="115"/>
      <x:c r="AB688" s="115"/>
      <x:c r="AC688" s="115"/>
      <x:c r="AD688" s="115"/>
      <x:c r="AE688" s="115"/>
      <x:c r="AF688" s="115"/>
      <x:c r="AG688" s="115"/>
      <x:c r="AH688" s="115"/>
      <x:c r="AI688" s="115"/>
      <x:c r="AJ688" s="115"/>
      <x:c r="AK688" s="115"/>
      <x:c r="AL688" s="115"/>
      <x:c r="AM688" s="115"/>
      <x:c r="AN688" s="115"/>
      <x:c r="AO688" s="115"/>
      <x:c r="AP688" s="115"/>
      <x:c r="AQ688" s="115"/>
      <x:c r="AR688" s="115"/>
      <x:c r="AS688" s="115"/>
      <x:c r="AT688" s="115"/>
      <x:c r="AU688" s="115"/>
      <x:c r="AV688" s="115"/>
      <x:c r="AW688" s="115"/>
      <x:c r="AX688" s="115"/>
      <x:c r="AY688" s="115"/>
      <x:c r="AZ688" s="115"/>
      <x:c r="BA688" s="115"/>
      <x:c r="BB688" s="115"/>
      <x:c r="BC688" s="115"/>
      <x:c r="BD688" s="115"/>
      <x:c r="BE688" s="115"/>
      <x:c r="BF688" s="115"/>
      <x:c r="BG688" s="115"/>
      <x:c r="BH688" s="115"/>
      <x:c r="BI688" s="115"/>
      <x:c r="BJ688" s="115"/>
      <x:c r="BK688" s="115"/>
      <x:c r="BL688" s="115"/>
      <x:c r="BM688" s="115"/>
      <x:c r="BN688" s="115"/>
      <x:c r="BO688" s="115"/>
      <x:c r="BP688" s="115"/>
      <x:c r="BQ688" s="115"/>
      <x:c r="BR688" s="115"/>
      <x:c r="BS688" s="115"/>
      <x:c r="BT688" s="115"/>
      <x:c r="BU688" s="115"/>
      <x:c r="BV688" s="115"/>
      <x:c r="BW688" s="115"/>
      <x:c r="BX688" s="115"/>
      <x:c r="BY688" s="115"/>
      <x:c r="BZ688" s="115"/>
      <x:c r="CA688" s="115"/>
      <x:c r="CB688" s="116"/>
      <x:c r="CC688" s="141" t="str">
        <x:f>IF(COUNT(G688:P688)=0,"",AVERAGE(G688:P688)*4)</x:f>
      </x:c>
      <x:c r="CD688" s="178" t="str">
        <x:f>IF(COUNT(Q688:Z688)=0,"",AVERAGE(Q688:Z688)*4)</x:f>
      </x:c>
      <x:c r="CE688" s="178" t="str">
        <x:f>IF(COUNT(AA688:AJ688)=0,"",AVERAGE(AA688:AJ688)*4)</x:f>
      </x:c>
      <x:c r="CF688" s="178" t="str">
        <x:f>IF(COUNT(AK688:AR688)=0,"",AVERAGE(AK688:AR688)*4)</x:f>
      </x:c>
      <x:c r="CG688" s="178" t="str">
        <x:f>IF(COUNT(AS688:AY688)=0,"",AVERAGE(AS688:AY688)*4)</x:f>
      </x:c>
      <x:c r="CH688" s="178" t="str">
        <x:f>IF(COUNT(AZ688:BG688)=0,"",AVERAGE(AZ688:BG688)*4)</x:f>
      </x:c>
      <x:c r="CI688" s="178" t="str">
        <x:f>IF(COUNT(BH688:BN688)=0,"",AVERAGE(BH688:BN688)*4)</x:f>
      </x:c>
      <x:c r="CJ688" s="178" t="str">
        <x:f>IF(COUNT(BO688:BU688)=0,"",AVERAGE(BO688:BU688)*4)</x:f>
      </x:c>
      <x:c r="CK688" s="178" t="str">
        <x:f>IF(COUNT(BV688:CB688)=0,"",AVERAGE(BV688:CB688)*4)</x:f>
      </x:c>
      <x:c r="CL688" s="178" t="str">
        <x:f>IF(C688="","",IF(COUNT(G688:CB688)&lt;74,"",(CC688*'تنظیمات وزن‌دهی'!$C$5+CD688*'تنظیمات وزن‌دهی'!$C$6+CE688*'تنظیمات وزن‌دهی'!$C$7+CF688*'تنظیمات وزن‌دهی'!$C$8+CG688*'تنظیمات وزن‌دهی'!$C$9+CH688*'تنظیمات وزن‌دهی'!$C$10+CI688*'تنظیمات وزن‌دهی'!$C$11+CJ688*'تنظیمات وزن‌دهی'!$C$12+CK688*'تنظیمات وزن‌دهی'!$C$13)/100))</x:f>
      </x:c>
      <x:c r="CM688" s="178" t="str">
        <x:f>IF(C688="","",IF(COUNT(G688:CB688)=0,"",IF(COUNT(G688:CB688)&lt;74,"موقت - اطلاعات ناقص",IF(CL688&gt;=17,"عالی",IF(CL688&gt;=14,"خوب",IF(CL688&gt;=10,"متوسط","ضعیف"))))))</x:f>
      </x:c>
      <x:c r="CN688" s="178" t="n">
        <x:v>12</x:v>
      </x:c>
      <x:c r="CO688" s="142" t="n">
        <x:f>IF(C688="","",COUNT(G688:CB688)/74)</x:f>
        <x:v>0</x:v>
      </x:c>
      <x:c r="CP688" s="245"/>
    </x:row>
    <x:row r="689">
      <x:c r="A689" s="165" t="n">
        <x:v>685</x:v>
      </x:c>
      <x:c r="B689" s="233" t="str">
        <x:v>تیر</x:v>
      </x:c>
      <x:c r="C689" s="233" t="n">
        <x:f>IF('دانش‌آموزان'!E62="","",'دانش‌آموزان'!B62)</x:f>
        <x:v>58</x:v>
      </x:c>
      <x:c r="D689" s="233" t="str">
        <x:f>IF('دانش‌آموزان'!C62="","",'دانش‌آموزان'!C62)</x:f>
        <x:v>4000000586</x:v>
      </x:c>
      <x:c r="E689" s="233" t="str">
        <x:f>IF('دانش‌آموزان'!E62="","",'دانش‌آموزان'!E62&amp;" "&amp;'دانش‌آموزان'!F62)</x:f>
        <x:v>یسنا حیدری</x:v>
      </x:c>
      <x:c r="F689" s="166" t="str">
        <x:f>IF('دانش‌آموزان'!I62="","",'دانش‌آموزان'!I62)</x:f>
        <x:v>sample-7-c</x:v>
      </x:c>
      <x:c r="G689" s="114" t="n">
        <x:v>4</x:v>
      </x:c>
      <x:c r="H689" s="115" t="n">
        <x:v>2</x:v>
      </x:c>
      <x:c r="I689" s="115" t="n">
        <x:v>4</x:v>
      </x:c>
      <x:c r="J689" s="115" t="n">
        <x:v>5</x:v>
      </x:c>
      <x:c r="K689" s="115" t="n">
        <x:v>4</x:v>
      </x:c>
      <x:c r="L689" s="115" t="n">
        <x:v>5</x:v>
      </x:c>
      <x:c r="M689" s="115" t="n">
        <x:v>3</x:v>
      </x:c>
      <x:c r="N689" s="115" t="n">
        <x:v>5</x:v>
      </x:c>
      <x:c r="O689" s="115" t="n">
        <x:v>3</x:v>
      </x:c>
      <x:c r="P689" s="115" t="n">
        <x:v>4</x:v>
      </x:c>
      <x:c r="Q689" s="115" t="n">
        <x:v>3</x:v>
      </x:c>
      <x:c r="R689" s="115" t="n">
        <x:v>4</x:v>
      </x:c>
      <x:c r="S689" s="115" t="n">
        <x:v>2</x:v>
      </x:c>
      <x:c r="T689" s="115" t="n">
        <x:v>4</x:v>
      </x:c>
      <x:c r="U689" s="115" t="n">
        <x:v>5</x:v>
      </x:c>
      <x:c r="V689" s="115" t="n">
        <x:v>4</x:v>
      </x:c>
      <x:c r="W689" s="115" t="n">
        <x:v>5</x:v>
      </x:c>
      <x:c r="X689" s="115" t="n">
        <x:v>3</x:v>
      </x:c>
      <x:c r="Y689" s="115" t="n">
        <x:v>5</x:v>
      </x:c>
      <x:c r="Z689" s="115" t="n">
        <x:v>3</x:v>
      </x:c>
      <x:c r="AA689" s="115" t="n">
        <x:v>4</x:v>
      </x:c>
      <x:c r="AB689" s="115" t="n">
        <x:v>3</x:v>
      </x:c>
      <x:c r="AC689" s="115" t="n">
        <x:v>4</x:v>
      </x:c>
      <x:c r="AD689" s="115" t="n">
        <x:v>2</x:v>
      </x:c>
      <x:c r="AE689" s="115" t="n">
        <x:v>4</x:v>
      </x:c>
      <x:c r="AF689" s="115" t="n">
        <x:v>5</x:v>
      </x:c>
      <x:c r="AG689" s="115" t="n">
        <x:v>4</x:v>
      </x:c>
      <x:c r="AH689" s="115" t="n">
        <x:v>5</x:v>
      </x:c>
      <x:c r="AI689" s="115" t="n">
        <x:v>3</x:v>
      </x:c>
      <x:c r="AJ689" s="115" t="n">
        <x:v>5</x:v>
      </x:c>
      <x:c r="AK689" s="115" t="n">
        <x:v>3</x:v>
      </x:c>
      <x:c r="AL689" s="115" t="n">
        <x:v>4</x:v>
      </x:c>
      <x:c r="AM689" s="115" t="n">
        <x:v>3</x:v>
      </x:c>
      <x:c r="AN689" s="115" t="n">
        <x:v>4</x:v>
      </x:c>
      <x:c r="AO689" s="115" t="n">
        <x:v>2</x:v>
      </x:c>
      <x:c r="AP689" s="115" t="n">
        <x:v>4</x:v>
      </x:c>
      <x:c r="AQ689" s="115" t="n">
        <x:v>5</x:v>
      </x:c>
      <x:c r="AR689" s="115" t="n">
        <x:v>4</x:v>
      </x:c>
      <x:c r="AS689" s="115" t="n">
        <x:v>5</x:v>
      </x:c>
      <x:c r="AT689" s="115" t="n">
        <x:v>3</x:v>
      </x:c>
      <x:c r="AU689" s="115" t="n">
        <x:v>5</x:v>
      </x:c>
      <x:c r="AV689" s="115" t="n">
        <x:v>3</x:v>
      </x:c>
      <x:c r="AW689" s="115" t="n">
        <x:v>4</x:v>
      </x:c>
      <x:c r="AX689" s="115" t="n">
        <x:v>3</x:v>
      </x:c>
      <x:c r="AY689" s="115" t="n">
        <x:v>4</x:v>
      </x:c>
      <x:c r="AZ689" s="115" t="n">
        <x:v>2</x:v>
      </x:c>
      <x:c r="BA689" s="115" t="n">
        <x:v>4</x:v>
      </x:c>
      <x:c r="BB689" s="115" t="n">
        <x:v>5</x:v>
      </x:c>
      <x:c r="BC689" s="115" t="n">
        <x:v>4</x:v>
      </x:c>
      <x:c r="BD689" s="115" t="n">
        <x:v>5</x:v>
      </x:c>
      <x:c r="BE689" s="115" t="n">
        <x:v>3</x:v>
      </x:c>
      <x:c r="BF689" s="115" t="n">
        <x:v>5</x:v>
      </x:c>
      <x:c r="BG689" s="115" t="n">
        <x:v>3</x:v>
      </x:c>
      <x:c r="BH689" s="115" t="n">
        <x:v>4</x:v>
      </x:c>
      <x:c r="BI689" s="115" t="n">
        <x:v>3</x:v>
      </x:c>
      <x:c r="BJ689" s="115" t="n">
        <x:v>4</x:v>
      </x:c>
      <x:c r="BK689" s="115" t="n">
        <x:v>2</x:v>
      </x:c>
      <x:c r="BL689" s="115" t="n">
        <x:v>4</x:v>
      </x:c>
      <x:c r="BM689" s="115" t="n">
        <x:v>5</x:v>
      </x:c>
      <x:c r="BN689" s="115" t="n">
        <x:v>4</x:v>
      </x:c>
      <x:c r="BO689" s="115" t="n">
        <x:v>5</x:v>
      </x:c>
      <x:c r="BP689" s="115" t="n">
        <x:v>3</x:v>
      </x:c>
      <x:c r="BQ689" s="115" t="n">
        <x:v>5</x:v>
      </x:c>
      <x:c r="BR689" s="115" t="n">
        <x:v>3</x:v>
      </x:c>
      <x:c r="BS689" s="115" t="n">
        <x:v>4</x:v>
      </x:c>
      <x:c r="BT689" s="115" t="n">
        <x:v>3</x:v>
      </x:c>
      <x:c r="BU689" s="115" t="n">
        <x:v>4</x:v>
      </x:c>
      <x:c r="BV689" s="115" t="n">
        <x:v>2</x:v>
      </x:c>
      <x:c r="BW689" s="115" t="n">
        <x:v>4</x:v>
      </x:c>
      <x:c r="BX689" s="115" t="n">
        <x:v>5</x:v>
      </x:c>
      <x:c r="BY689" s="115" t="n">
        <x:v>4</x:v>
      </x:c>
      <x:c r="BZ689" s="115" t="n">
        <x:v>5</x:v>
      </x:c>
      <x:c r="CA689" s="115" t="n">
        <x:v>3</x:v>
      </x:c>
      <x:c r="CB689" s="116" t="n">
        <x:v>5</x:v>
      </x:c>
      <x:c r="CC689" s="141" t="n">
        <x:f>IF(COUNT(G689:P689)=0,"",AVERAGE(G689:P689)*4)</x:f>
        <x:v>15.6</x:v>
      </x:c>
      <x:c r="CD689" s="178" t="n">
        <x:f>IF(COUNT(Q689:Z689)=0,"",AVERAGE(Q689:Z689)*4)</x:f>
        <x:v>15.2</x:v>
      </x:c>
      <x:c r="CE689" s="178" t="n">
        <x:f>IF(COUNT(AA689:AJ689)=0,"",AVERAGE(AA689:AJ689)*4)</x:f>
        <x:v>15.6</x:v>
      </x:c>
      <x:c r="CF689" s="178" t="n">
        <x:f>IF(COUNT(AK689:AR689)=0,"",AVERAGE(AK689:AR689)*4)</x:f>
        <x:v>14.5</x:v>
      </x:c>
      <x:c r="CG689" s="178" t="n">
        <x:f>IF(COUNT(AS689:AY689)=0,"",AVERAGE(AS689:AY689)*4)</x:f>
        <x:v>15.428571428571429</x:v>
      </x:c>
      <x:c r="CH689" s="178" t="n">
        <x:f>IF(COUNT(AZ689:BG689)=0,"",AVERAGE(AZ689:BG689)*4)</x:f>
        <x:v>15.5</x:v>
      </x:c>
      <x:c r="CI689" s="178" t="n">
        <x:f>IF(COUNT(BH689:BN689)=0,"",AVERAGE(BH689:BN689)*4)</x:f>
        <x:v>14.857142857142858</x:v>
      </x:c>
      <x:c r="CJ689" s="178" t="n">
        <x:f>IF(COUNT(BO689:BU689)=0,"",AVERAGE(BO689:BU689)*4)</x:f>
        <x:v>15.428571428571429</x:v>
      </x:c>
      <x:c r="CK689" s="178" t="n">
        <x:f>IF(COUNT(BV689:CB689)=0,"",AVERAGE(BV689:CB689)*4)</x:f>
        <x:v>16</x:v>
      </x:c>
      <x:c r="CL689" s="178" t="n">
        <x:f>IF(C689="","",IF(COUNT(G689:CB689)&lt;74,"",(CC689*'تنظیمات وزن‌دهی'!$C$5+CD689*'تنظیمات وزن‌دهی'!$C$6+CE689*'تنظیمات وزن‌دهی'!$C$7+CF689*'تنظیمات وزن‌دهی'!$C$8+CG689*'تنظیمات وزن‌دهی'!$C$9+CH689*'تنظیمات وزن‌دهی'!$C$10+CI689*'تنظیمات وزن‌دهی'!$C$11+CJ689*'تنظیمات وزن‌دهی'!$C$12+CK689*'تنظیمات وزن‌دهی'!$C$13)/100))</x:f>
        <x:v>15.320714285714287</x:v>
      </x:c>
      <x:c r="CM689" s="178" t="str">
        <x:f>IF(C689="","",IF(COUNT(G689:CB689)=0,"",IF(COUNT(G689:CB689)&lt;74,"موقت - اطلاعات ناقص",IF(CL689&gt;=17,"عالی",IF(CL689&gt;=14,"خوب",IF(CL689&gt;=10,"متوسط","ضعیف"))))))</x:f>
        <x:v>خوب</x:v>
      </x:c>
      <x:c r="CN689" s="178" t="n">
        <x:v>1</x:v>
      </x:c>
      <x:c r="CO689" s="142" t="n">
        <x:f>IF(C689="","",COUNT(G689:CB689)/74)</x:f>
        <x:v>1</x:v>
      </x:c>
      <x:c r="CP689" s="245" t="str">
        <x:v>داده نمونه کامل برای ماه تیر - دانش‌آموز شماره 58</x:v>
      </x:c>
    </x:row>
    <x:row r="690">
      <x:c r="A690" s="165" t="n">
        <x:v>686</x:v>
      </x:c>
      <x:c r="B690" s="233" t="str">
        <x:v>مرداد</x:v>
      </x:c>
      <x:c r="C690" s="233" t="n">
        <x:f>IF('دانش‌آموزان'!E62="","",'دانش‌آموزان'!B62)</x:f>
        <x:v>58</x:v>
      </x:c>
      <x:c r="D690" s="233" t="str">
        <x:f>IF('دانش‌آموزان'!C62="","",'دانش‌آموزان'!C62)</x:f>
        <x:v>4000000586</x:v>
      </x:c>
      <x:c r="E690" s="233" t="str">
        <x:f>IF('دانش‌آموزان'!E62="","",'دانش‌آموزان'!E62&amp;" "&amp;'دانش‌آموزان'!F62)</x:f>
        <x:v>یسنا حیدری</x:v>
      </x:c>
      <x:c r="F690" s="166" t="str">
        <x:f>IF('دانش‌آموزان'!I62="","",'دانش‌آموزان'!I62)</x:f>
        <x:v>sample-7-c</x:v>
      </x:c>
      <x:c r="G690" s="114"/>
      <x:c r="H690" s="115"/>
      <x:c r="I690" s="115"/>
      <x:c r="J690" s="115"/>
      <x:c r="K690" s="115"/>
      <x:c r="L690" s="115"/>
      <x:c r="M690" s="115"/>
      <x:c r="N690" s="115"/>
      <x:c r="O690" s="115"/>
      <x:c r="P690" s="115"/>
      <x:c r="Q690" s="115"/>
      <x:c r="R690" s="115"/>
      <x:c r="S690" s="115"/>
      <x:c r="T690" s="115"/>
      <x:c r="U690" s="115"/>
      <x:c r="V690" s="115"/>
      <x:c r="W690" s="115"/>
      <x:c r="X690" s="115"/>
      <x:c r="Y690" s="115"/>
      <x:c r="Z690" s="115"/>
      <x:c r="AA690" s="115"/>
      <x:c r="AB690" s="115"/>
      <x:c r="AC690" s="115"/>
      <x:c r="AD690" s="115"/>
      <x:c r="AE690" s="115"/>
      <x:c r="AF690" s="115"/>
      <x:c r="AG690" s="115"/>
      <x:c r="AH690" s="115"/>
      <x:c r="AI690" s="115"/>
      <x:c r="AJ690" s="115"/>
      <x:c r="AK690" s="115"/>
      <x:c r="AL690" s="115"/>
      <x:c r="AM690" s="115"/>
      <x:c r="AN690" s="115"/>
      <x:c r="AO690" s="115"/>
      <x:c r="AP690" s="115"/>
      <x:c r="AQ690" s="115"/>
      <x:c r="AR690" s="115"/>
      <x:c r="AS690" s="115"/>
      <x:c r="AT690" s="115"/>
      <x:c r="AU690" s="115"/>
      <x:c r="AV690" s="115"/>
      <x:c r="AW690" s="115"/>
      <x:c r="AX690" s="115"/>
      <x:c r="AY690" s="115"/>
      <x:c r="AZ690" s="115"/>
      <x:c r="BA690" s="115"/>
      <x:c r="BB690" s="115"/>
      <x:c r="BC690" s="115"/>
      <x:c r="BD690" s="115"/>
      <x:c r="BE690" s="115"/>
      <x:c r="BF690" s="115"/>
      <x:c r="BG690" s="115"/>
      <x:c r="BH690" s="115"/>
      <x:c r="BI690" s="115"/>
      <x:c r="BJ690" s="115"/>
      <x:c r="BK690" s="115"/>
      <x:c r="BL690" s="115"/>
      <x:c r="BM690" s="115"/>
      <x:c r="BN690" s="115"/>
      <x:c r="BO690" s="115"/>
      <x:c r="BP690" s="115"/>
      <x:c r="BQ690" s="115"/>
      <x:c r="BR690" s="115"/>
      <x:c r="BS690" s="115"/>
      <x:c r="BT690" s="115"/>
      <x:c r="BU690" s="115"/>
      <x:c r="BV690" s="115"/>
      <x:c r="BW690" s="115"/>
      <x:c r="BX690" s="115"/>
      <x:c r="BY690" s="115"/>
      <x:c r="BZ690" s="115"/>
      <x:c r="CA690" s="115"/>
      <x:c r="CB690" s="116"/>
      <x:c r="CC690" s="141" t="str">
        <x:f>IF(COUNT(G690:P690)=0,"",AVERAGE(G690:P690)*4)</x:f>
      </x:c>
      <x:c r="CD690" s="178" t="str">
        <x:f>IF(COUNT(Q690:Z690)=0,"",AVERAGE(Q690:Z690)*4)</x:f>
      </x:c>
      <x:c r="CE690" s="178" t="str">
        <x:f>IF(COUNT(AA690:AJ690)=0,"",AVERAGE(AA690:AJ690)*4)</x:f>
      </x:c>
      <x:c r="CF690" s="178" t="str">
        <x:f>IF(COUNT(AK690:AR690)=0,"",AVERAGE(AK690:AR690)*4)</x:f>
      </x:c>
      <x:c r="CG690" s="178" t="str">
        <x:f>IF(COUNT(AS690:AY690)=0,"",AVERAGE(AS690:AY690)*4)</x:f>
      </x:c>
      <x:c r="CH690" s="178" t="str">
        <x:f>IF(COUNT(AZ690:BG690)=0,"",AVERAGE(AZ690:BG690)*4)</x:f>
      </x:c>
      <x:c r="CI690" s="178" t="str">
        <x:f>IF(COUNT(BH690:BN690)=0,"",AVERAGE(BH690:BN690)*4)</x:f>
      </x:c>
      <x:c r="CJ690" s="178" t="str">
        <x:f>IF(COUNT(BO690:BU690)=0,"",AVERAGE(BO690:BU690)*4)</x:f>
      </x:c>
      <x:c r="CK690" s="178" t="str">
        <x:f>IF(COUNT(BV690:CB690)=0,"",AVERAGE(BV690:CB690)*4)</x:f>
      </x:c>
      <x:c r="CL690" s="178" t="str">
        <x:f>IF(C690="","",IF(COUNT(G690:CB690)&lt;74,"",(CC690*'تنظیمات وزن‌دهی'!$C$5+CD690*'تنظیمات وزن‌دهی'!$C$6+CE690*'تنظیمات وزن‌دهی'!$C$7+CF690*'تنظیمات وزن‌دهی'!$C$8+CG690*'تنظیمات وزن‌دهی'!$C$9+CH690*'تنظیمات وزن‌دهی'!$C$10+CI690*'تنظیمات وزن‌دهی'!$C$11+CJ690*'تنظیمات وزن‌دهی'!$C$12+CK690*'تنظیمات وزن‌دهی'!$C$13)/100))</x:f>
      </x:c>
      <x:c r="CM690" s="178" t="str">
        <x:f>IF(C690="","",IF(COUNT(G690:CB690)=0,"",IF(COUNT(G690:CB690)&lt;74,"موقت - اطلاعات ناقص",IF(CL690&gt;=17,"عالی",IF(CL690&gt;=14,"خوب",IF(CL690&gt;=10,"متوسط","ضعیف"))))))</x:f>
      </x:c>
      <x:c r="CN690" s="178" t="n">
        <x:v>2</x:v>
      </x:c>
      <x:c r="CO690" s="142" t="n">
        <x:f>IF(C690="","",COUNT(G690:CB690)/74)</x:f>
        <x:v>0</x:v>
      </x:c>
      <x:c r="CP690" s="245"/>
    </x:row>
    <x:row r="691">
      <x:c r="A691" s="165" t="n">
        <x:v>687</x:v>
      </x:c>
      <x:c r="B691" s="233" t="str">
        <x:v>شهریور</x:v>
      </x:c>
      <x:c r="C691" s="233" t="n">
        <x:f>IF('دانش‌آموزان'!E62="","",'دانش‌آموزان'!B62)</x:f>
        <x:v>58</x:v>
      </x:c>
      <x:c r="D691" s="233" t="str">
        <x:f>IF('دانش‌آموزان'!C62="","",'دانش‌آموزان'!C62)</x:f>
        <x:v>4000000586</x:v>
      </x:c>
      <x:c r="E691" s="233" t="str">
        <x:f>IF('دانش‌آموزان'!E62="","",'دانش‌آموزان'!E62&amp;" "&amp;'دانش‌آموزان'!F62)</x:f>
        <x:v>یسنا حیدری</x:v>
      </x:c>
      <x:c r="F691" s="166" t="str">
        <x:f>IF('دانش‌آموزان'!I62="","",'دانش‌آموزان'!I62)</x:f>
        <x:v>sample-7-c</x:v>
      </x:c>
      <x:c r="G691" s="114"/>
      <x:c r="H691" s="115"/>
      <x:c r="I691" s="115"/>
      <x:c r="J691" s="115"/>
      <x:c r="K691" s="115"/>
      <x:c r="L691" s="115"/>
      <x:c r="M691" s="115"/>
      <x:c r="N691" s="115"/>
      <x:c r="O691" s="115"/>
      <x:c r="P691" s="115"/>
      <x:c r="Q691" s="115"/>
      <x:c r="R691" s="115"/>
      <x:c r="S691" s="115"/>
      <x:c r="T691" s="115"/>
      <x:c r="U691" s="115"/>
      <x:c r="V691" s="115"/>
      <x:c r="W691" s="115"/>
      <x:c r="X691" s="115"/>
      <x:c r="Y691" s="115"/>
      <x:c r="Z691" s="115"/>
      <x:c r="AA691" s="115"/>
      <x:c r="AB691" s="115"/>
      <x:c r="AC691" s="115"/>
      <x:c r="AD691" s="115"/>
      <x:c r="AE691" s="115"/>
      <x:c r="AF691" s="115"/>
      <x:c r="AG691" s="115"/>
      <x:c r="AH691" s="115"/>
      <x:c r="AI691" s="115"/>
      <x:c r="AJ691" s="115"/>
      <x:c r="AK691" s="115"/>
      <x:c r="AL691" s="115"/>
      <x:c r="AM691" s="115"/>
      <x:c r="AN691" s="115"/>
      <x:c r="AO691" s="115"/>
      <x:c r="AP691" s="115"/>
      <x:c r="AQ691" s="115"/>
      <x:c r="AR691" s="115"/>
      <x:c r="AS691" s="115"/>
      <x:c r="AT691" s="115"/>
      <x:c r="AU691" s="115"/>
      <x:c r="AV691" s="115"/>
      <x:c r="AW691" s="115"/>
      <x:c r="AX691" s="115"/>
      <x:c r="AY691" s="115"/>
      <x:c r="AZ691" s="115"/>
      <x:c r="BA691" s="115"/>
      <x:c r="BB691" s="115"/>
      <x:c r="BC691" s="115"/>
      <x:c r="BD691" s="115"/>
      <x:c r="BE691" s="115"/>
      <x:c r="BF691" s="115"/>
      <x:c r="BG691" s="115"/>
      <x:c r="BH691" s="115"/>
      <x:c r="BI691" s="115"/>
      <x:c r="BJ691" s="115"/>
      <x:c r="BK691" s="115"/>
      <x:c r="BL691" s="115"/>
      <x:c r="BM691" s="115"/>
      <x:c r="BN691" s="115"/>
      <x:c r="BO691" s="115"/>
      <x:c r="BP691" s="115"/>
      <x:c r="BQ691" s="115"/>
      <x:c r="BR691" s="115"/>
      <x:c r="BS691" s="115"/>
      <x:c r="BT691" s="115"/>
      <x:c r="BU691" s="115"/>
      <x:c r="BV691" s="115"/>
      <x:c r="BW691" s="115"/>
      <x:c r="BX691" s="115"/>
      <x:c r="BY691" s="115"/>
      <x:c r="BZ691" s="115"/>
      <x:c r="CA691" s="115"/>
      <x:c r="CB691" s="116"/>
      <x:c r="CC691" s="141" t="str">
        <x:f>IF(COUNT(G691:P691)=0,"",AVERAGE(G691:P691)*4)</x:f>
      </x:c>
      <x:c r="CD691" s="178" t="str">
        <x:f>IF(COUNT(Q691:Z691)=0,"",AVERAGE(Q691:Z691)*4)</x:f>
      </x:c>
      <x:c r="CE691" s="178" t="str">
        <x:f>IF(COUNT(AA691:AJ691)=0,"",AVERAGE(AA691:AJ691)*4)</x:f>
      </x:c>
      <x:c r="CF691" s="178" t="str">
        <x:f>IF(COUNT(AK691:AR691)=0,"",AVERAGE(AK691:AR691)*4)</x:f>
      </x:c>
      <x:c r="CG691" s="178" t="str">
        <x:f>IF(COUNT(AS691:AY691)=0,"",AVERAGE(AS691:AY691)*4)</x:f>
      </x:c>
      <x:c r="CH691" s="178" t="str">
        <x:f>IF(COUNT(AZ691:BG691)=0,"",AVERAGE(AZ691:BG691)*4)</x:f>
      </x:c>
      <x:c r="CI691" s="178" t="str">
        <x:f>IF(COUNT(BH691:BN691)=0,"",AVERAGE(BH691:BN691)*4)</x:f>
      </x:c>
      <x:c r="CJ691" s="178" t="str">
        <x:f>IF(COUNT(BO691:BU691)=0,"",AVERAGE(BO691:BU691)*4)</x:f>
      </x:c>
      <x:c r="CK691" s="178" t="str">
        <x:f>IF(COUNT(BV691:CB691)=0,"",AVERAGE(BV691:CB691)*4)</x:f>
      </x:c>
      <x:c r="CL691" s="178" t="str">
        <x:f>IF(C691="","",IF(COUNT(G691:CB691)&lt;74,"",(CC691*'تنظیمات وزن‌دهی'!$C$5+CD691*'تنظیمات وزن‌دهی'!$C$6+CE691*'تنظیمات وزن‌دهی'!$C$7+CF691*'تنظیمات وزن‌دهی'!$C$8+CG691*'تنظیمات وزن‌دهی'!$C$9+CH691*'تنظیمات وزن‌دهی'!$C$10+CI691*'تنظیمات وزن‌دهی'!$C$11+CJ691*'تنظیمات وزن‌دهی'!$C$12+CK691*'تنظیمات وزن‌دهی'!$C$13)/100))</x:f>
      </x:c>
      <x:c r="CM691" s="178" t="str">
        <x:f>IF(C691="","",IF(COUNT(G691:CB691)=0,"",IF(COUNT(G691:CB691)&lt;74,"موقت - اطلاعات ناقص",IF(CL691&gt;=17,"عالی",IF(CL691&gt;=14,"خوب",IF(CL691&gt;=10,"متوسط","ضعیف"))))))</x:f>
      </x:c>
      <x:c r="CN691" s="178" t="n">
        <x:v>3</x:v>
      </x:c>
      <x:c r="CO691" s="142" t="n">
        <x:f>IF(C691="","",COUNT(G691:CB691)/74)</x:f>
        <x:v>0</x:v>
      </x:c>
      <x:c r="CP691" s="245"/>
    </x:row>
    <x:row r="692">
      <x:c r="A692" s="165" t="n">
        <x:v>688</x:v>
      </x:c>
      <x:c r="B692" s="233" t="str">
        <x:v>مهر</x:v>
      </x:c>
      <x:c r="C692" s="233" t="n">
        <x:f>IF('دانش‌آموزان'!E62="","",'دانش‌آموزان'!B62)</x:f>
        <x:v>58</x:v>
      </x:c>
      <x:c r="D692" s="233" t="str">
        <x:f>IF('دانش‌آموزان'!C62="","",'دانش‌آموزان'!C62)</x:f>
        <x:v>4000000586</x:v>
      </x:c>
      <x:c r="E692" s="233" t="str">
        <x:f>IF('دانش‌آموزان'!E62="","",'دانش‌آموزان'!E62&amp;" "&amp;'دانش‌آموزان'!F62)</x:f>
        <x:v>یسنا حیدری</x:v>
      </x:c>
      <x:c r="F692" s="166" t="str">
        <x:f>IF('دانش‌آموزان'!I62="","",'دانش‌آموزان'!I62)</x:f>
        <x:v>sample-7-c</x:v>
      </x:c>
      <x:c r="G692" s="114"/>
      <x:c r="H692" s="115"/>
      <x:c r="I692" s="115"/>
      <x:c r="J692" s="115"/>
      <x:c r="K692" s="115"/>
      <x:c r="L692" s="115"/>
      <x:c r="M692" s="115"/>
      <x:c r="N692" s="115"/>
      <x:c r="O692" s="115"/>
      <x:c r="P692" s="115"/>
      <x:c r="Q692" s="115"/>
      <x:c r="R692" s="115"/>
      <x:c r="S692" s="115"/>
      <x:c r="T692" s="115"/>
      <x:c r="U692" s="115"/>
      <x:c r="V692" s="115"/>
      <x:c r="W692" s="115"/>
      <x:c r="X692" s="115"/>
      <x:c r="Y692" s="115"/>
      <x:c r="Z692" s="115"/>
      <x:c r="AA692" s="115"/>
      <x:c r="AB692" s="115"/>
      <x:c r="AC692" s="115"/>
      <x:c r="AD692" s="115"/>
      <x:c r="AE692" s="115"/>
      <x:c r="AF692" s="115"/>
      <x:c r="AG692" s="115"/>
      <x:c r="AH692" s="115"/>
      <x:c r="AI692" s="115"/>
      <x:c r="AJ692" s="115"/>
      <x:c r="AK692" s="115"/>
      <x:c r="AL692" s="115"/>
      <x:c r="AM692" s="115"/>
      <x:c r="AN692" s="115"/>
      <x:c r="AO692" s="115"/>
      <x:c r="AP692" s="115"/>
      <x:c r="AQ692" s="115"/>
      <x:c r="AR692" s="115"/>
      <x:c r="AS692" s="115"/>
      <x:c r="AT692" s="115"/>
      <x:c r="AU692" s="115"/>
      <x:c r="AV692" s="115"/>
      <x:c r="AW692" s="115"/>
      <x:c r="AX692" s="115"/>
      <x:c r="AY692" s="115"/>
      <x:c r="AZ692" s="115"/>
      <x:c r="BA692" s="115"/>
      <x:c r="BB692" s="115"/>
      <x:c r="BC692" s="115"/>
      <x:c r="BD692" s="115"/>
      <x:c r="BE692" s="115"/>
      <x:c r="BF692" s="115"/>
      <x:c r="BG692" s="115"/>
      <x:c r="BH692" s="115"/>
      <x:c r="BI692" s="115"/>
      <x:c r="BJ692" s="115"/>
      <x:c r="BK692" s="115"/>
      <x:c r="BL692" s="115"/>
      <x:c r="BM692" s="115"/>
      <x:c r="BN692" s="115"/>
      <x:c r="BO692" s="115"/>
      <x:c r="BP692" s="115"/>
      <x:c r="BQ692" s="115"/>
      <x:c r="BR692" s="115"/>
      <x:c r="BS692" s="115"/>
      <x:c r="BT692" s="115"/>
      <x:c r="BU692" s="115"/>
      <x:c r="BV692" s="115"/>
      <x:c r="BW692" s="115"/>
      <x:c r="BX692" s="115"/>
      <x:c r="BY692" s="115"/>
      <x:c r="BZ692" s="115"/>
      <x:c r="CA692" s="115"/>
      <x:c r="CB692" s="116"/>
      <x:c r="CC692" s="141" t="str">
        <x:f>IF(COUNT(G692:P692)=0,"",AVERAGE(G692:P692)*4)</x:f>
      </x:c>
      <x:c r="CD692" s="178" t="str">
        <x:f>IF(COUNT(Q692:Z692)=0,"",AVERAGE(Q692:Z692)*4)</x:f>
      </x:c>
      <x:c r="CE692" s="178" t="str">
        <x:f>IF(COUNT(AA692:AJ692)=0,"",AVERAGE(AA692:AJ692)*4)</x:f>
      </x:c>
      <x:c r="CF692" s="178" t="str">
        <x:f>IF(COUNT(AK692:AR692)=0,"",AVERAGE(AK692:AR692)*4)</x:f>
      </x:c>
      <x:c r="CG692" s="178" t="str">
        <x:f>IF(COUNT(AS692:AY692)=0,"",AVERAGE(AS692:AY692)*4)</x:f>
      </x:c>
      <x:c r="CH692" s="178" t="str">
        <x:f>IF(COUNT(AZ692:BG692)=0,"",AVERAGE(AZ692:BG692)*4)</x:f>
      </x:c>
      <x:c r="CI692" s="178" t="str">
        <x:f>IF(COUNT(BH692:BN692)=0,"",AVERAGE(BH692:BN692)*4)</x:f>
      </x:c>
      <x:c r="CJ692" s="178" t="str">
        <x:f>IF(COUNT(BO692:BU692)=0,"",AVERAGE(BO692:BU692)*4)</x:f>
      </x:c>
      <x:c r="CK692" s="178" t="str">
        <x:f>IF(COUNT(BV692:CB692)=0,"",AVERAGE(BV692:CB692)*4)</x:f>
      </x:c>
      <x:c r="CL692" s="178" t="str">
        <x:f>IF(C692="","",IF(COUNT(G692:CB692)&lt;74,"",(CC692*'تنظیمات وزن‌دهی'!$C$5+CD692*'تنظیمات وزن‌دهی'!$C$6+CE692*'تنظیمات وزن‌دهی'!$C$7+CF692*'تنظیمات وزن‌دهی'!$C$8+CG692*'تنظیمات وزن‌دهی'!$C$9+CH692*'تنظیمات وزن‌دهی'!$C$10+CI692*'تنظیمات وزن‌دهی'!$C$11+CJ692*'تنظیمات وزن‌دهی'!$C$12+CK692*'تنظیمات وزن‌دهی'!$C$13)/100))</x:f>
      </x:c>
      <x:c r="CM692" s="178" t="str">
        <x:f>IF(C692="","",IF(COUNT(G692:CB692)=0,"",IF(COUNT(G692:CB692)&lt;74,"موقت - اطلاعات ناقص",IF(CL692&gt;=17,"عالی",IF(CL692&gt;=14,"خوب",IF(CL692&gt;=10,"متوسط","ضعیف"))))))</x:f>
      </x:c>
      <x:c r="CN692" s="178" t="n">
        <x:v>4</x:v>
      </x:c>
      <x:c r="CO692" s="142" t="n">
        <x:f>IF(C692="","",COUNT(G692:CB692)/74)</x:f>
        <x:v>0</x:v>
      </x:c>
      <x:c r="CP692" s="245"/>
    </x:row>
    <x:row r="693">
      <x:c r="A693" s="165" t="n">
        <x:v>689</x:v>
      </x:c>
      <x:c r="B693" s="233" t="str">
        <x:v>آبان</x:v>
      </x:c>
      <x:c r="C693" s="233" t="n">
        <x:f>IF('دانش‌آموزان'!E62="","",'دانش‌آموزان'!B62)</x:f>
        <x:v>58</x:v>
      </x:c>
      <x:c r="D693" s="233" t="str">
        <x:f>IF('دانش‌آموزان'!C62="","",'دانش‌آموزان'!C62)</x:f>
        <x:v>4000000586</x:v>
      </x:c>
      <x:c r="E693" s="233" t="str">
        <x:f>IF('دانش‌آموزان'!E62="","",'دانش‌آموزان'!E62&amp;" "&amp;'دانش‌آموزان'!F62)</x:f>
        <x:v>یسنا حیدری</x:v>
      </x:c>
      <x:c r="F693" s="166" t="str">
        <x:f>IF('دانش‌آموزان'!I62="","",'دانش‌آموزان'!I62)</x:f>
        <x:v>sample-7-c</x:v>
      </x:c>
      <x:c r="G693" s="114"/>
      <x:c r="H693" s="115"/>
      <x:c r="I693" s="115"/>
      <x:c r="J693" s="115"/>
      <x:c r="K693" s="115"/>
      <x:c r="L693" s="115"/>
      <x:c r="M693" s="115"/>
      <x:c r="N693" s="115"/>
      <x:c r="O693" s="115"/>
      <x:c r="P693" s="115"/>
      <x:c r="Q693" s="115"/>
      <x:c r="R693" s="115"/>
      <x:c r="S693" s="115"/>
      <x:c r="T693" s="115"/>
      <x:c r="U693" s="115"/>
      <x:c r="V693" s="115"/>
      <x:c r="W693" s="115"/>
      <x:c r="X693" s="115"/>
      <x:c r="Y693" s="115"/>
      <x:c r="Z693" s="115"/>
      <x:c r="AA693" s="115"/>
      <x:c r="AB693" s="115"/>
      <x:c r="AC693" s="115"/>
      <x:c r="AD693" s="115"/>
      <x:c r="AE693" s="115"/>
      <x:c r="AF693" s="115"/>
      <x:c r="AG693" s="115"/>
      <x:c r="AH693" s="115"/>
      <x:c r="AI693" s="115"/>
      <x:c r="AJ693" s="115"/>
      <x:c r="AK693" s="115"/>
      <x:c r="AL693" s="115"/>
      <x:c r="AM693" s="115"/>
      <x:c r="AN693" s="115"/>
      <x:c r="AO693" s="115"/>
      <x:c r="AP693" s="115"/>
      <x:c r="AQ693" s="115"/>
      <x:c r="AR693" s="115"/>
      <x:c r="AS693" s="115"/>
      <x:c r="AT693" s="115"/>
      <x:c r="AU693" s="115"/>
      <x:c r="AV693" s="115"/>
      <x:c r="AW693" s="115"/>
      <x:c r="AX693" s="115"/>
      <x:c r="AY693" s="115"/>
      <x:c r="AZ693" s="115"/>
      <x:c r="BA693" s="115"/>
      <x:c r="BB693" s="115"/>
      <x:c r="BC693" s="115"/>
      <x:c r="BD693" s="115"/>
      <x:c r="BE693" s="115"/>
      <x:c r="BF693" s="115"/>
      <x:c r="BG693" s="115"/>
      <x:c r="BH693" s="115"/>
      <x:c r="BI693" s="115"/>
      <x:c r="BJ693" s="115"/>
      <x:c r="BK693" s="115"/>
      <x:c r="BL693" s="115"/>
      <x:c r="BM693" s="115"/>
      <x:c r="BN693" s="115"/>
      <x:c r="BO693" s="115"/>
      <x:c r="BP693" s="115"/>
      <x:c r="BQ693" s="115"/>
      <x:c r="BR693" s="115"/>
      <x:c r="BS693" s="115"/>
      <x:c r="BT693" s="115"/>
      <x:c r="BU693" s="115"/>
      <x:c r="BV693" s="115"/>
      <x:c r="BW693" s="115"/>
      <x:c r="BX693" s="115"/>
      <x:c r="BY693" s="115"/>
      <x:c r="BZ693" s="115"/>
      <x:c r="CA693" s="115"/>
      <x:c r="CB693" s="116"/>
      <x:c r="CC693" s="141" t="str">
        <x:f>IF(COUNT(G693:P693)=0,"",AVERAGE(G693:P693)*4)</x:f>
      </x:c>
      <x:c r="CD693" s="178" t="str">
        <x:f>IF(COUNT(Q693:Z693)=0,"",AVERAGE(Q693:Z693)*4)</x:f>
      </x:c>
      <x:c r="CE693" s="178" t="str">
        <x:f>IF(COUNT(AA693:AJ693)=0,"",AVERAGE(AA693:AJ693)*4)</x:f>
      </x:c>
      <x:c r="CF693" s="178" t="str">
        <x:f>IF(COUNT(AK693:AR693)=0,"",AVERAGE(AK693:AR693)*4)</x:f>
      </x:c>
      <x:c r="CG693" s="178" t="str">
        <x:f>IF(COUNT(AS693:AY693)=0,"",AVERAGE(AS693:AY693)*4)</x:f>
      </x:c>
      <x:c r="CH693" s="178" t="str">
        <x:f>IF(COUNT(AZ693:BG693)=0,"",AVERAGE(AZ693:BG693)*4)</x:f>
      </x:c>
      <x:c r="CI693" s="178" t="str">
        <x:f>IF(COUNT(BH693:BN693)=0,"",AVERAGE(BH693:BN693)*4)</x:f>
      </x:c>
      <x:c r="CJ693" s="178" t="str">
        <x:f>IF(COUNT(BO693:BU693)=0,"",AVERAGE(BO693:BU693)*4)</x:f>
      </x:c>
      <x:c r="CK693" s="178" t="str">
        <x:f>IF(COUNT(BV693:CB693)=0,"",AVERAGE(BV693:CB693)*4)</x:f>
      </x:c>
      <x:c r="CL693" s="178" t="str">
        <x:f>IF(C693="","",IF(COUNT(G693:CB693)&lt;74,"",(CC693*'تنظیمات وزن‌دهی'!$C$5+CD693*'تنظیمات وزن‌دهی'!$C$6+CE693*'تنظیمات وزن‌دهی'!$C$7+CF693*'تنظیمات وزن‌دهی'!$C$8+CG693*'تنظیمات وزن‌دهی'!$C$9+CH693*'تنظیمات وزن‌دهی'!$C$10+CI693*'تنظیمات وزن‌دهی'!$C$11+CJ693*'تنظیمات وزن‌دهی'!$C$12+CK693*'تنظیمات وزن‌دهی'!$C$13)/100))</x:f>
      </x:c>
      <x:c r="CM693" s="178" t="str">
        <x:f>IF(C693="","",IF(COUNT(G693:CB693)=0,"",IF(COUNT(G693:CB693)&lt;74,"موقت - اطلاعات ناقص",IF(CL693&gt;=17,"عالی",IF(CL693&gt;=14,"خوب",IF(CL693&gt;=10,"متوسط","ضعیف"))))))</x:f>
      </x:c>
      <x:c r="CN693" s="178" t="n">
        <x:v>5</x:v>
      </x:c>
      <x:c r="CO693" s="142" t="n">
        <x:f>IF(C693="","",COUNT(G693:CB693)/74)</x:f>
        <x:v>0</x:v>
      </x:c>
      <x:c r="CP693" s="245"/>
    </x:row>
    <x:row r="694">
      <x:c r="A694" s="165" t="n">
        <x:v>690</x:v>
      </x:c>
      <x:c r="B694" s="233" t="str">
        <x:v>آذر</x:v>
      </x:c>
      <x:c r="C694" s="233" t="n">
        <x:f>IF('دانش‌آموزان'!E62="","",'دانش‌آموزان'!B62)</x:f>
        <x:v>58</x:v>
      </x:c>
      <x:c r="D694" s="233" t="str">
        <x:f>IF('دانش‌آموزان'!C62="","",'دانش‌آموزان'!C62)</x:f>
        <x:v>4000000586</x:v>
      </x:c>
      <x:c r="E694" s="233" t="str">
        <x:f>IF('دانش‌آموزان'!E62="","",'دانش‌آموزان'!E62&amp;" "&amp;'دانش‌آموزان'!F62)</x:f>
        <x:v>یسنا حیدری</x:v>
      </x:c>
      <x:c r="F694" s="166" t="str">
        <x:f>IF('دانش‌آموزان'!I62="","",'دانش‌آموزان'!I62)</x:f>
        <x:v>sample-7-c</x:v>
      </x:c>
      <x:c r="G694" s="114"/>
      <x:c r="H694" s="115"/>
      <x:c r="I694" s="115"/>
      <x:c r="J694" s="115"/>
      <x:c r="K694" s="115"/>
      <x:c r="L694" s="115"/>
      <x:c r="M694" s="115"/>
      <x:c r="N694" s="115"/>
      <x:c r="O694" s="115"/>
      <x:c r="P694" s="115"/>
      <x:c r="Q694" s="115"/>
      <x:c r="R694" s="115"/>
      <x:c r="S694" s="115"/>
      <x:c r="T694" s="115"/>
      <x:c r="U694" s="115"/>
      <x:c r="V694" s="115"/>
      <x:c r="W694" s="115"/>
      <x:c r="X694" s="115"/>
      <x:c r="Y694" s="115"/>
      <x:c r="Z694" s="115"/>
      <x:c r="AA694" s="115"/>
      <x:c r="AB694" s="115"/>
      <x:c r="AC694" s="115"/>
      <x:c r="AD694" s="115"/>
      <x:c r="AE694" s="115"/>
      <x:c r="AF694" s="115"/>
      <x:c r="AG694" s="115"/>
      <x:c r="AH694" s="115"/>
      <x:c r="AI694" s="115"/>
      <x:c r="AJ694" s="115"/>
      <x:c r="AK694" s="115"/>
      <x:c r="AL694" s="115"/>
      <x:c r="AM694" s="115"/>
      <x:c r="AN694" s="115"/>
      <x:c r="AO694" s="115"/>
      <x:c r="AP694" s="115"/>
      <x:c r="AQ694" s="115"/>
      <x:c r="AR694" s="115"/>
      <x:c r="AS694" s="115"/>
      <x:c r="AT694" s="115"/>
      <x:c r="AU694" s="115"/>
      <x:c r="AV694" s="115"/>
      <x:c r="AW694" s="115"/>
      <x:c r="AX694" s="115"/>
      <x:c r="AY694" s="115"/>
      <x:c r="AZ694" s="115"/>
      <x:c r="BA694" s="115"/>
      <x:c r="BB694" s="115"/>
      <x:c r="BC694" s="115"/>
      <x:c r="BD694" s="115"/>
      <x:c r="BE694" s="115"/>
      <x:c r="BF694" s="115"/>
      <x:c r="BG694" s="115"/>
      <x:c r="BH694" s="115"/>
      <x:c r="BI694" s="115"/>
      <x:c r="BJ694" s="115"/>
      <x:c r="BK694" s="115"/>
      <x:c r="BL694" s="115"/>
      <x:c r="BM694" s="115"/>
      <x:c r="BN694" s="115"/>
      <x:c r="BO694" s="115"/>
      <x:c r="BP694" s="115"/>
      <x:c r="BQ694" s="115"/>
      <x:c r="BR694" s="115"/>
      <x:c r="BS694" s="115"/>
      <x:c r="BT694" s="115"/>
      <x:c r="BU694" s="115"/>
      <x:c r="BV694" s="115"/>
      <x:c r="BW694" s="115"/>
      <x:c r="BX694" s="115"/>
      <x:c r="BY694" s="115"/>
      <x:c r="BZ694" s="115"/>
      <x:c r="CA694" s="115"/>
      <x:c r="CB694" s="116"/>
      <x:c r="CC694" s="141" t="str">
        <x:f>IF(COUNT(G694:P694)=0,"",AVERAGE(G694:P694)*4)</x:f>
      </x:c>
      <x:c r="CD694" s="178" t="str">
        <x:f>IF(COUNT(Q694:Z694)=0,"",AVERAGE(Q694:Z694)*4)</x:f>
      </x:c>
      <x:c r="CE694" s="178" t="str">
        <x:f>IF(COUNT(AA694:AJ694)=0,"",AVERAGE(AA694:AJ694)*4)</x:f>
      </x:c>
      <x:c r="CF694" s="178" t="str">
        <x:f>IF(COUNT(AK694:AR694)=0,"",AVERAGE(AK694:AR694)*4)</x:f>
      </x:c>
      <x:c r="CG694" s="178" t="str">
        <x:f>IF(COUNT(AS694:AY694)=0,"",AVERAGE(AS694:AY694)*4)</x:f>
      </x:c>
      <x:c r="CH694" s="178" t="str">
        <x:f>IF(COUNT(AZ694:BG694)=0,"",AVERAGE(AZ694:BG694)*4)</x:f>
      </x:c>
      <x:c r="CI694" s="178" t="str">
        <x:f>IF(COUNT(BH694:BN694)=0,"",AVERAGE(BH694:BN694)*4)</x:f>
      </x:c>
      <x:c r="CJ694" s="178" t="str">
        <x:f>IF(COUNT(BO694:BU694)=0,"",AVERAGE(BO694:BU694)*4)</x:f>
      </x:c>
      <x:c r="CK694" s="178" t="str">
        <x:f>IF(COUNT(BV694:CB694)=0,"",AVERAGE(BV694:CB694)*4)</x:f>
      </x:c>
      <x:c r="CL694" s="178" t="str">
        <x:f>IF(C694="","",IF(COUNT(G694:CB694)&lt;74,"",(CC694*'تنظیمات وزن‌دهی'!$C$5+CD694*'تنظیمات وزن‌دهی'!$C$6+CE694*'تنظیمات وزن‌دهی'!$C$7+CF694*'تنظیمات وزن‌دهی'!$C$8+CG694*'تنظیمات وزن‌دهی'!$C$9+CH694*'تنظیمات وزن‌دهی'!$C$10+CI694*'تنظیمات وزن‌دهی'!$C$11+CJ694*'تنظیمات وزن‌دهی'!$C$12+CK694*'تنظیمات وزن‌دهی'!$C$13)/100))</x:f>
      </x:c>
      <x:c r="CM694" s="178" t="str">
        <x:f>IF(C694="","",IF(COUNT(G694:CB694)=0,"",IF(COUNT(G694:CB694)&lt;74,"موقت - اطلاعات ناقص",IF(CL694&gt;=17,"عالی",IF(CL694&gt;=14,"خوب",IF(CL694&gt;=10,"متوسط","ضعیف"))))))</x:f>
      </x:c>
      <x:c r="CN694" s="178" t="n">
        <x:v>6</x:v>
      </x:c>
      <x:c r="CO694" s="142" t="n">
        <x:f>IF(C694="","",COUNT(G694:CB694)/74)</x:f>
        <x:v>0</x:v>
      </x:c>
      <x:c r="CP694" s="245"/>
    </x:row>
    <x:row r="695">
      <x:c r="A695" s="165" t="n">
        <x:v>691</x:v>
      </x:c>
      <x:c r="B695" s="233" t="str">
        <x:v>دی</x:v>
      </x:c>
      <x:c r="C695" s="233" t="n">
        <x:f>IF('دانش‌آموزان'!E62="","",'دانش‌آموزان'!B62)</x:f>
        <x:v>58</x:v>
      </x:c>
      <x:c r="D695" s="233" t="str">
        <x:f>IF('دانش‌آموزان'!C62="","",'دانش‌آموزان'!C62)</x:f>
        <x:v>4000000586</x:v>
      </x:c>
      <x:c r="E695" s="233" t="str">
        <x:f>IF('دانش‌آموزان'!E62="","",'دانش‌آموزان'!E62&amp;" "&amp;'دانش‌آموزان'!F62)</x:f>
        <x:v>یسنا حیدری</x:v>
      </x:c>
      <x:c r="F695" s="166" t="str">
        <x:f>IF('دانش‌آموزان'!I62="","",'دانش‌آموزان'!I62)</x:f>
        <x:v>sample-7-c</x:v>
      </x:c>
      <x:c r="G695" s="114"/>
      <x:c r="H695" s="115"/>
      <x:c r="I695" s="115"/>
      <x:c r="J695" s="115"/>
      <x:c r="K695" s="115"/>
      <x:c r="L695" s="115"/>
      <x:c r="M695" s="115"/>
      <x:c r="N695" s="115"/>
      <x:c r="O695" s="115"/>
      <x:c r="P695" s="115"/>
      <x:c r="Q695" s="115"/>
      <x:c r="R695" s="115"/>
      <x:c r="S695" s="115"/>
      <x:c r="T695" s="115"/>
      <x:c r="U695" s="115"/>
      <x:c r="V695" s="115"/>
      <x:c r="W695" s="115"/>
      <x:c r="X695" s="115"/>
      <x:c r="Y695" s="115"/>
      <x:c r="Z695" s="115"/>
      <x:c r="AA695" s="115"/>
      <x:c r="AB695" s="115"/>
      <x:c r="AC695" s="115"/>
      <x:c r="AD695" s="115"/>
      <x:c r="AE695" s="115"/>
      <x:c r="AF695" s="115"/>
      <x:c r="AG695" s="115"/>
      <x:c r="AH695" s="115"/>
      <x:c r="AI695" s="115"/>
      <x:c r="AJ695" s="115"/>
      <x:c r="AK695" s="115"/>
      <x:c r="AL695" s="115"/>
      <x:c r="AM695" s="115"/>
      <x:c r="AN695" s="115"/>
      <x:c r="AO695" s="115"/>
      <x:c r="AP695" s="115"/>
      <x:c r="AQ695" s="115"/>
      <x:c r="AR695" s="115"/>
      <x:c r="AS695" s="115"/>
      <x:c r="AT695" s="115"/>
      <x:c r="AU695" s="115"/>
      <x:c r="AV695" s="115"/>
      <x:c r="AW695" s="115"/>
      <x:c r="AX695" s="115"/>
      <x:c r="AY695" s="115"/>
      <x:c r="AZ695" s="115"/>
      <x:c r="BA695" s="115"/>
      <x:c r="BB695" s="115"/>
      <x:c r="BC695" s="115"/>
      <x:c r="BD695" s="115"/>
      <x:c r="BE695" s="115"/>
      <x:c r="BF695" s="115"/>
      <x:c r="BG695" s="115"/>
      <x:c r="BH695" s="115"/>
      <x:c r="BI695" s="115"/>
      <x:c r="BJ695" s="115"/>
      <x:c r="BK695" s="115"/>
      <x:c r="BL695" s="115"/>
      <x:c r="BM695" s="115"/>
      <x:c r="BN695" s="115"/>
      <x:c r="BO695" s="115"/>
      <x:c r="BP695" s="115"/>
      <x:c r="BQ695" s="115"/>
      <x:c r="BR695" s="115"/>
      <x:c r="BS695" s="115"/>
      <x:c r="BT695" s="115"/>
      <x:c r="BU695" s="115"/>
      <x:c r="BV695" s="115"/>
      <x:c r="BW695" s="115"/>
      <x:c r="BX695" s="115"/>
      <x:c r="BY695" s="115"/>
      <x:c r="BZ695" s="115"/>
      <x:c r="CA695" s="115"/>
      <x:c r="CB695" s="116"/>
      <x:c r="CC695" s="141" t="str">
        <x:f>IF(COUNT(G695:P695)=0,"",AVERAGE(G695:P695)*4)</x:f>
      </x:c>
      <x:c r="CD695" s="178" t="str">
        <x:f>IF(COUNT(Q695:Z695)=0,"",AVERAGE(Q695:Z695)*4)</x:f>
      </x:c>
      <x:c r="CE695" s="178" t="str">
        <x:f>IF(COUNT(AA695:AJ695)=0,"",AVERAGE(AA695:AJ695)*4)</x:f>
      </x:c>
      <x:c r="CF695" s="178" t="str">
        <x:f>IF(COUNT(AK695:AR695)=0,"",AVERAGE(AK695:AR695)*4)</x:f>
      </x:c>
      <x:c r="CG695" s="178" t="str">
        <x:f>IF(COUNT(AS695:AY695)=0,"",AVERAGE(AS695:AY695)*4)</x:f>
      </x:c>
      <x:c r="CH695" s="178" t="str">
        <x:f>IF(COUNT(AZ695:BG695)=0,"",AVERAGE(AZ695:BG695)*4)</x:f>
      </x:c>
      <x:c r="CI695" s="178" t="str">
        <x:f>IF(COUNT(BH695:BN695)=0,"",AVERAGE(BH695:BN695)*4)</x:f>
      </x:c>
      <x:c r="CJ695" s="178" t="str">
        <x:f>IF(COUNT(BO695:BU695)=0,"",AVERAGE(BO695:BU695)*4)</x:f>
      </x:c>
      <x:c r="CK695" s="178" t="str">
        <x:f>IF(COUNT(BV695:CB695)=0,"",AVERAGE(BV695:CB695)*4)</x:f>
      </x:c>
      <x:c r="CL695" s="178" t="str">
        <x:f>IF(C695="","",IF(COUNT(G695:CB695)&lt;74,"",(CC695*'تنظیمات وزن‌دهی'!$C$5+CD695*'تنظیمات وزن‌دهی'!$C$6+CE695*'تنظیمات وزن‌دهی'!$C$7+CF695*'تنظیمات وزن‌دهی'!$C$8+CG695*'تنظیمات وزن‌دهی'!$C$9+CH695*'تنظیمات وزن‌دهی'!$C$10+CI695*'تنظیمات وزن‌دهی'!$C$11+CJ695*'تنظیمات وزن‌دهی'!$C$12+CK695*'تنظیمات وزن‌دهی'!$C$13)/100))</x:f>
      </x:c>
      <x:c r="CM695" s="178" t="str">
        <x:f>IF(C695="","",IF(COUNT(G695:CB695)=0,"",IF(COUNT(G695:CB695)&lt;74,"موقت - اطلاعات ناقص",IF(CL695&gt;=17,"عالی",IF(CL695&gt;=14,"خوب",IF(CL695&gt;=10,"متوسط","ضعیف"))))))</x:f>
      </x:c>
      <x:c r="CN695" s="178" t="n">
        <x:v>7</x:v>
      </x:c>
      <x:c r="CO695" s="142" t="n">
        <x:f>IF(C695="","",COUNT(G695:CB695)/74)</x:f>
        <x:v>0</x:v>
      </x:c>
      <x:c r="CP695" s="245"/>
    </x:row>
    <x:row r="696">
      <x:c r="A696" s="165" t="n">
        <x:v>692</x:v>
      </x:c>
      <x:c r="B696" s="233" t="str">
        <x:v>بهمن</x:v>
      </x:c>
      <x:c r="C696" s="233" t="n">
        <x:f>IF('دانش‌آموزان'!E62="","",'دانش‌آموزان'!B62)</x:f>
        <x:v>58</x:v>
      </x:c>
      <x:c r="D696" s="233" t="str">
        <x:f>IF('دانش‌آموزان'!C62="","",'دانش‌آموزان'!C62)</x:f>
        <x:v>4000000586</x:v>
      </x:c>
      <x:c r="E696" s="233" t="str">
        <x:f>IF('دانش‌آموزان'!E62="","",'دانش‌آموزان'!E62&amp;" "&amp;'دانش‌آموزان'!F62)</x:f>
        <x:v>یسنا حیدری</x:v>
      </x:c>
      <x:c r="F696" s="166" t="str">
        <x:f>IF('دانش‌آموزان'!I62="","",'دانش‌آموزان'!I62)</x:f>
        <x:v>sample-7-c</x:v>
      </x:c>
      <x:c r="G696" s="114"/>
      <x:c r="H696" s="115"/>
      <x:c r="I696" s="115"/>
      <x:c r="J696" s="115"/>
      <x:c r="K696" s="115"/>
      <x:c r="L696" s="115"/>
      <x:c r="M696" s="115"/>
      <x:c r="N696" s="115"/>
      <x:c r="O696" s="115"/>
      <x:c r="P696" s="115"/>
      <x:c r="Q696" s="115"/>
      <x:c r="R696" s="115"/>
      <x:c r="S696" s="115"/>
      <x:c r="T696" s="115"/>
      <x:c r="U696" s="115"/>
      <x:c r="V696" s="115"/>
      <x:c r="W696" s="115"/>
      <x:c r="X696" s="115"/>
      <x:c r="Y696" s="115"/>
      <x:c r="Z696" s="115"/>
      <x:c r="AA696" s="115"/>
      <x:c r="AB696" s="115"/>
      <x:c r="AC696" s="115"/>
      <x:c r="AD696" s="115"/>
      <x:c r="AE696" s="115"/>
      <x:c r="AF696" s="115"/>
      <x:c r="AG696" s="115"/>
      <x:c r="AH696" s="115"/>
      <x:c r="AI696" s="115"/>
      <x:c r="AJ696" s="115"/>
      <x:c r="AK696" s="115"/>
      <x:c r="AL696" s="115"/>
      <x:c r="AM696" s="115"/>
      <x:c r="AN696" s="115"/>
      <x:c r="AO696" s="115"/>
      <x:c r="AP696" s="115"/>
      <x:c r="AQ696" s="115"/>
      <x:c r="AR696" s="115"/>
      <x:c r="AS696" s="115"/>
      <x:c r="AT696" s="115"/>
      <x:c r="AU696" s="115"/>
      <x:c r="AV696" s="115"/>
      <x:c r="AW696" s="115"/>
      <x:c r="AX696" s="115"/>
      <x:c r="AY696" s="115"/>
      <x:c r="AZ696" s="115"/>
      <x:c r="BA696" s="115"/>
      <x:c r="BB696" s="115"/>
      <x:c r="BC696" s="115"/>
      <x:c r="BD696" s="115"/>
      <x:c r="BE696" s="115"/>
      <x:c r="BF696" s="115"/>
      <x:c r="BG696" s="115"/>
      <x:c r="BH696" s="115"/>
      <x:c r="BI696" s="115"/>
      <x:c r="BJ696" s="115"/>
      <x:c r="BK696" s="115"/>
      <x:c r="BL696" s="115"/>
      <x:c r="BM696" s="115"/>
      <x:c r="BN696" s="115"/>
      <x:c r="BO696" s="115"/>
      <x:c r="BP696" s="115"/>
      <x:c r="BQ696" s="115"/>
      <x:c r="BR696" s="115"/>
      <x:c r="BS696" s="115"/>
      <x:c r="BT696" s="115"/>
      <x:c r="BU696" s="115"/>
      <x:c r="BV696" s="115"/>
      <x:c r="BW696" s="115"/>
      <x:c r="BX696" s="115"/>
      <x:c r="BY696" s="115"/>
      <x:c r="BZ696" s="115"/>
      <x:c r="CA696" s="115"/>
      <x:c r="CB696" s="116"/>
      <x:c r="CC696" s="141" t="str">
        <x:f>IF(COUNT(G696:P696)=0,"",AVERAGE(G696:P696)*4)</x:f>
      </x:c>
      <x:c r="CD696" s="178" t="str">
        <x:f>IF(COUNT(Q696:Z696)=0,"",AVERAGE(Q696:Z696)*4)</x:f>
      </x:c>
      <x:c r="CE696" s="178" t="str">
        <x:f>IF(COUNT(AA696:AJ696)=0,"",AVERAGE(AA696:AJ696)*4)</x:f>
      </x:c>
      <x:c r="CF696" s="178" t="str">
        <x:f>IF(COUNT(AK696:AR696)=0,"",AVERAGE(AK696:AR696)*4)</x:f>
      </x:c>
      <x:c r="CG696" s="178" t="str">
        <x:f>IF(COUNT(AS696:AY696)=0,"",AVERAGE(AS696:AY696)*4)</x:f>
      </x:c>
      <x:c r="CH696" s="178" t="str">
        <x:f>IF(COUNT(AZ696:BG696)=0,"",AVERAGE(AZ696:BG696)*4)</x:f>
      </x:c>
      <x:c r="CI696" s="178" t="str">
        <x:f>IF(COUNT(BH696:BN696)=0,"",AVERAGE(BH696:BN696)*4)</x:f>
      </x:c>
      <x:c r="CJ696" s="178" t="str">
        <x:f>IF(COUNT(BO696:BU696)=0,"",AVERAGE(BO696:BU696)*4)</x:f>
      </x:c>
      <x:c r="CK696" s="178" t="str">
        <x:f>IF(COUNT(BV696:CB696)=0,"",AVERAGE(BV696:CB696)*4)</x:f>
      </x:c>
      <x:c r="CL696" s="178" t="str">
        <x:f>IF(C696="","",IF(COUNT(G696:CB696)&lt;74,"",(CC696*'تنظیمات وزن‌دهی'!$C$5+CD696*'تنظیمات وزن‌دهی'!$C$6+CE696*'تنظیمات وزن‌دهی'!$C$7+CF696*'تنظیمات وزن‌دهی'!$C$8+CG696*'تنظیمات وزن‌دهی'!$C$9+CH696*'تنظیمات وزن‌دهی'!$C$10+CI696*'تنظیمات وزن‌دهی'!$C$11+CJ696*'تنظیمات وزن‌دهی'!$C$12+CK696*'تنظیمات وزن‌دهی'!$C$13)/100))</x:f>
      </x:c>
      <x:c r="CM696" s="178" t="str">
        <x:f>IF(C696="","",IF(COUNT(G696:CB696)=0,"",IF(COUNT(G696:CB696)&lt;74,"موقت - اطلاعات ناقص",IF(CL696&gt;=17,"عالی",IF(CL696&gt;=14,"خوب",IF(CL696&gt;=10,"متوسط","ضعیف"))))))</x:f>
      </x:c>
      <x:c r="CN696" s="178" t="n">
        <x:v>8</x:v>
      </x:c>
      <x:c r="CO696" s="142" t="n">
        <x:f>IF(C696="","",COUNT(G696:CB696)/74)</x:f>
        <x:v>0</x:v>
      </x:c>
      <x:c r="CP696" s="245"/>
    </x:row>
    <x:row r="697">
      <x:c r="A697" s="165" t="n">
        <x:v>693</x:v>
      </x:c>
      <x:c r="B697" s="233" t="str">
        <x:v>اسفند</x:v>
      </x:c>
      <x:c r="C697" s="233" t="n">
        <x:f>IF('دانش‌آموزان'!E62="","",'دانش‌آموزان'!B62)</x:f>
        <x:v>58</x:v>
      </x:c>
      <x:c r="D697" s="233" t="str">
        <x:f>IF('دانش‌آموزان'!C62="","",'دانش‌آموزان'!C62)</x:f>
        <x:v>4000000586</x:v>
      </x:c>
      <x:c r="E697" s="233" t="str">
        <x:f>IF('دانش‌آموزان'!E62="","",'دانش‌آموزان'!E62&amp;" "&amp;'دانش‌آموزان'!F62)</x:f>
        <x:v>یسنا حیدری</x:v>
      </x:c>
      <x:c r="F697" s="166" t="str">
        <x:f>IF('دانش‌آموزان'!I62="","",'دانش‌آموزان'!I62)</x:f>
        <x:v>sample-7-c</x:v>
      </x:c>
      <x:c r="G697" s="114"/>
      <x:c r="H697" s="115"/>
      <x:c r="I697" s="115"/>
      <x:c r="J697" s="115"/>
      <x:c r="K697" s="115"/>
      <x:c r="L697" s="115"/>
      <x:c r="M697" s="115"/>
      <x:c r="N697" s="115"/>
      <x:c r="O697" s="115"/>
      <x:c r="P697" s="115"/>
      <x:c r="Q697" s="115"/>
      <x:c r="R697" s="115"/>
      <x:c r="S697" s="115"/>
      <x:c r="T697" s="115"/>
      <x:c r="U697" s="115"/>
      <x:c r="V697" s="115"/>
      <x:c r="W697" s="115"/>
      <x:c r="X697" s="115"/>
      <x:c r="Y697" s="115"/>
      <x:c r="Z697" s="115"/>
      <x:c r="AA697" s="115"/>
      <x:c r="AB697" s="115"/>
      <x:c r="AC697" s="115"/>
      <x:c r="AD697" s="115"/>
      <x:c r="AE697" s="115"/>
      <x:c r="AF697" s="115"/>
      <x:c r="AG697" s="115"/>
      <x:c r="AH697" s="115"/>
      <x:c r="AI697" s="115"/>
      <x:c r="AJ697" s="115"/>
      <x:c r="AK697" s="115"/>
      <x:c r="AL697" s="115"/>
      <x:c r="AM697" s="115"/>
      <x:c r="AN697" s="115"/>
      <x:c r="AO697" s="115"/>
      <x:c r="AP697" s="115"/>
      <x:c r="AQ697" s="115"/>
      <x:c r="AR697" s="115"/>
      <x:c r="AS697" s="115"/>
      <x:c r="AT697" s="115"/>
      <x:c r="AU697" s="115"/>
      <x:c r="AV697" s="115"/>
      <x:c r="AW697" s="115"/>
      <x:c r="AX697" s="115"/>
      <x:c r="AY697" s="115"/>
      <x:c r="AZ697" s="115"/>
      <x:c r="BA697" s="115"/>
      <x:c r="BB697" s="115"/>
      <x:c r="BC697" s="115"/>
      <x:c r="BD697" s="115"/>
      <x:c r="BE697" s="115"/>
      <x:c r="BF697" s="115"/>
      <x:c r="BG697" s="115"/>
      <x:c r="BH697" s="115"/>
      <x:c r="BI697" s="115"/>
      <x:c r="BJ697" s="115"/>
      <x:c r="BK697" s="115"/>
      <x:c r="BL697" s="115"/>
      <x:c r="BM697" s="115"/>
      <x:c r="BN697" s="115"/>
      <x:c r="BO697" s="115"/>
      <x:c r="BP697" s="115"/>
      <x:c r="BQ697" s="115"/>
      <x:c r="BR697" s="115"/>
      <x:c r="BS697" s="115"/>
      <x:c r="BT697" s="115"/>
      <x:c r="BU697" s="115"/>
      <x:c r="BV697" s="115"/>
      <x:c r="BW697" s="115"/>
      <x:c r="BX697" s="115"/>
      <x:c r="BY697" s="115"/>
      <x:c r="BZ697" s="115"/>
      <x:c r="CA697" s="115"/>
      <x:c r="CB697" s="116"/>
      <x:c r="CC697" s="141" t="str">
        <x:f>IF(COUNT(G697:P697)=0,"",AVERAGE(G697:P697)*4)</x:f>
      </x:c>
      <x:c r="CD697" s="178" t="str">
        <x:f>IF(COUNT(Q697:Z697)=0,"",AVERAGE(Q697:Z697)*4)</x:f>
      </x:c>
      <x:c r="CE697" s="178" t="str">
        <x:f>IF(COUNT(AA697:AJ697)=0,"",AVERAGE(AA697:AJ697)*4)</x:f>
      </x:c>
      <x:c r="CF697" s="178" t="str">
        <x:f>IF(COUNT(AK697:AR697)=0,"",AVERAGE(AK697:AR697)*4)</x:f>
      </x:c>
      <x:c r="CG697" s="178" t="str">
        <x:f>IF(COUNT(AS697:AY697)=0,"",AVERAGE(AS697:AY697)*4)</x:f>
      </x:c>
      <x:c r="CH697" s="178" t="str">
        <x:f>IF(COUNT(AZ697:BG697)=0,"",AVERAGE(AZ697:BG697)*4)</x:f>
      </x:c>
      <x:c r="CI697" s="178" t="str">
        <x:f>IF(COUNT(BH697:BN697)=0,"",AVERAGE(BH697:BN697)*4)</x:f>
      </x:c>
      <x:c r="CJ697" s="178" t="str">
        <x:f>IF(COUNT(BO697:BU697)=0,"",AVERAGE(BO697:BU697)*4)</x:f>
      </x:c>
      <x:c r="CK697" s="178" t="str">
        <x:f>IF(COUNT(BV697:CB697)=0,"",AVERAGE(BV697:CB697)*4)</x:f>
      </x:c>
      <x:c r="CL697" s="178" t="str">
        <x:f>IF(C697="","",IF(COUNT(G697:CB697)&lt;74,"",(CC697*'تنظیمات وزن‌دهی'!$C$5+CD697*'تنظیمات وزن‌دهی'!$C$6+CE697*'تنظیمات وزن‌دهی'!$C$7+CF697*'تنظیمات وزن‌دهی'!$C$8+CG697*'تنظیمات وزن‌دهی'!$C$9+CH697*'تنظیمات وزن‌دهی'!$C$10+CI697*'تنظیمات وزن‌دهی'!$C$11+CJ697*'تنظیمات وزن‌دهی'!$C$12+CK697*'تنظیمات وزن‌دهی'!$C$13)/100))</x:f>
      </x:c>
      <x:c r="CM697" s="178" t="str">
        <x:f>IF(C697="","",IF(COUNT(G697:CB697)=0,"",IF(COUNT(G697:CB697)&lt;74,"موقت - اطلاعات ناقص",IF(CL697&gt;=17,"عالی",IF(CL697&gt;=14,"خوب",IF(CL697&gt;=10,"متوسط","ضعیف"))))))</x:f>
      </x:c>
      <x:c r="CN697" s="178" t="n">
        <x:v>9</x:v>
      </x:c>
      <x:c r="CO697" s="142" t="n">
        <x:f>IF(C697="","",COUNT(G697:CB697)/74)</x:f>
        <x:v>0</x:v>
      </x:c>
      <x:c r="CP697" s="245"/>
    </x:row>
    <x:row r="698">
      <x:c r="A698" s="165" t="n">
        <x:v>694</x:v>
      </x:c>
      <x:c r="B698" s="233" t="str">
        <x:v>فروردین</x:v>
      </x:c>
      <x:c r="C698" s="233" t="n">
        <x:f>IF('دانش‌آموزان'!E62="","",'دانش‌آموزان'!B62)</x:f>
        <x:v>58</x:v>
      </x:c>
      <x:c r="D698" s="233" t="str">
        <x:f>IF('دانش‌آموزان'!C62="","",'دانش‌آموزان'!C62)</x:f>
        <x:v>4000000586</x:v>
      </x:c>
      <x:c r="E698" s="233" t="str">
        <x:f>IF('دانش‌آموزان'!E62="","",'دانش‌آموزان'!E62&amp;" "&amp;'دانش‌آموزان'!F62)</x:f>
        <x:v>یسنا حیدری</x:v>
      </x:c>
      <x:c r="F698" s="166" t="str">
        <x:f>IF('دانش‌آموزان'!I62="","",'دانش‌آموزان'!I62)</x:f>
        <x:v>sample-7-c</x:v>
      </x:c>
      <x:c r="G698" s="114"/>
      <x:c r="H698" s="115"/>
      <x:c r="I698" s="115"/>
      <x:c r="J698" s="115"/>
      <x:c r="K698" s="115"/>
      <x:c r="L698" s="115"/>
      <x:c r="M698" s="115"/>
      <x:c r="N698" s="115"/>
      <x:c r="O698" s="115"/>
      <x:c r="P698" s="115"/>
      <x:c r="Q698" s="115"/>
      <x:c r="R698" s="115"/>
      <x:c r="S698" s="115"/>
      <x:c r="T698" s="115"/>
      <x:c r="U698" s="115"/>
      <x:c r="V698" s="115"/>
      <x:c r="W698" s="115"/>
      <x:c r="X698" s="115"/>
      <x:c r="Y698" s="115"/>
      <x:c r="Z698" s="115"/>
      <x:c r="AA698" s="115"/>
      <x:c r="AB698" s="115"/>
      <x:c r="AC698" s="115"/>
      <x:c r="AD698" s="115"/>
      <x:c r="AE698" s="115"/>
      <x:c r="AF698" s="115"/>
      <x:c r="AG698" s="115"/>
      <x:c r="AH698" s="115"/>
      <x:c r="AI698" s="115"/>
      <x:c r="AJ698" s="115"/>
      <x:c r="AK698" s="115"/>
      <x:c r="AL698" s="115"/>
      <x:c r="AM698" s="115"/>
      <x:c r="AN698" s="115"/>
      <x:c r="AO698" s="115"/>
      <x:c r="AP698" s="115"/>
      <x:c r="AQ698" s="115"/>
      <x:c r="AR698" s="115"/>
      <x:c r="AS698" s="115"/>
      <x:c r="AT698" s="115"/>
      <x:c r="AU698" s="115"/>
      <x:c r="AV698" s="115"/>
      <x:c r="AW698" s="115"/>
      <x:c r="AX698" s="115"/>
      <x:c r="AY698" s="115"/>
      <x:c r="AZ698" s="115"/>
      <x:c r="BA698" s="115"/>
      <x:c r="BB698" s="115"/>
      <x:c r="BC698" s="115"/>
      <x:c r="BD698" s="115"/>
      <x:c r="BE698" s="115"/>
      <x:c r="BF698" s="115"/>
      <x:c r="BG698" s="115"/>
      <x:c r="BH698" s="115"/>
      <x:c r="BI698" s="115"/>
      <x:c r="BJ698" s="115"/>
      <x:c r="BK698" s="115"/>
      <x:c r="BL698" s="115"/>
      <x:c r="BM698" s="115"/>
      <x:c r="BN698" s="115"/>
      <x:c r="BO698" s="115"/>
      <x:c r="BP698" s="115"/>
      <x:c r="BQ698" s="115"/>
      <x:c r="BR698" s="115"/>
      <x:c r="BS698" s="115"/>
      <x:c r="BT698" s="115"/>
      <x:c r="BU698" s="115"/>
      <x:c r="BV698" s="115"/>
      <x:c r="BW698" s="115"/>
      <x:c r="BX698" s="115"/>
      <x:c r="BY698" s="115"/>
      <x:c r="BZ698" s="115"/>
      <x:c r="CA698" s="115"/>
      <x:c r="CB698" s="116"/>
      <x:c r="CC698" s="141" t="str">
        <x:f>IF(COUNT(G698:P698)=0,"",AVERAGE(G698:P698)*4)</x:f>
      </x:c>
      <x:c r="CD698" s="178" t="str">
        <x:f>IF(COUNT(Q698:Z698)=0,"",AVERAGE(Q698:Z698)*4)</x:f>
      </x:c>
      <x:c r="CE698" s="178" t="str">
        <x:f>IF(COUNT(AA698:AJ698)=0,"",AVERAGE(AA698:AJ698)*4)</x:f>
      </x:c>
      <x:c r="CF698" s="178" t="str">
        <x:f>IF(COUNT(AK698:AR698)=0,"",AVERAGE(AK698:AR698)*4)</x:f>
      </x:c>
      <x:c r="CG698" s="178" t="str">
        <x:f>IF(COUNT(AS698:AY698)=0,"",AVERAGE(AS698:AY698)*4)</x:f>
      </x:c>
      <x:c r="CH698" s="178" t="str">
        <x:f>IF(COUNT(AZ698:BG698)=0,"",AVERAGE(AZ698:BG698)*4)</x:f>
      </x:c>
      <x:c r="CI698" s="178" t="str">
        <x:f>IF(COUNT(BH698:BN698)=0,"",AVERAGE(BH698:BN698)*4)</x:f>
      </x:c>
      <x:c r="CJ698" s="178" t="str">
        <x:f>IF(COUNT(BO698:BU698)=0,"",AVERAGE(BO698:BU698)*4)</x:f>
      </x:c>
      <x:c r="CK698" s="178" t="str">
        <x:f>IF(COUNT(BV698:CB698)=0,"",AVERAGE(BV698:CB698)*4)</x:f>
      </x:c>
      <x:c r="CL698" s="178" t="str">
        <x:f>IF(C698="","",IF(COUNT(G698:CB698)&lt;74,"",(CC698*'تنظیمات وزن‌دهی'!$C$5+CD698*'تنظیمات وزن‌دهی'!$C$6+CE698*'تنظیمات وزن‌دهی'!$C$7+CF698*'تنظیمات وزن‌دهی'!$C$8+CG698*'تنظیمات وزن‌دهی'!$C$9+CH698*'تنظیمات وزن‌دهی'!$C$10+CI698*'تنظیمات وزن‌دهی'!$C$11+CJ698*'تنظیمات وزن‌دهی'!$C$12+CK698*'تنظیمات وزن‌دهی'!$C$13)/100))</x:f>
      </x:c>
      <x:c r="CM698" s="178" t="str">
        <x:f>IF(C698="","",IF(COUNT(G698:CB698)=0,"",IF(COUNT(G698:CB698)&lt;74,"موقت - اطلاعات ناقص",IF(CL698&gt;=17,"عالی",IF(CL698&gt;=14,"خوب",IF(CL698&gt;=10,"متوسط","ضعیف"))))))</x:f>
      </x:c>
      <x:c r="CN698" s="178" t="n">
        <x:v>10</x:v>
      </x:c>
      <x:c r="CO698" s="142" t="n">
        <x:f>IF(C698="","",COUNT(G698:CB698)/74)</x:f>
        <x:v>0</x:v>
      </x:c>
      <x:c r="CP698" s="245"/>
    </x:row>
    <x:row r="699">
      <x:c r="A699" s="165" t="n">
        <x:v>695</x:v>
      </x:c>
      <x:c r="B699" s="233" t="str">
        <x:v>اردیبهشت</x:v>
      </x:c>
      <x:c r="C699" s="233" t="n">
        <x:f>IF('دانش‌آموزان'!E62="","",'دانش‌آموزان'!B62)</x:f>
        <x:v>58</x:v>
      </x:c>
      <x:c r="D699" s="233" t="str">
        <x:f>IF('دانش‌آموزان'!C62="","",'دانش‌آموزان'!C62)</x:f>
        <x:v>4000000586</x:v>
      </x:c>
      <x:c r="E699" s="233" t="str">
        <x:f>IF('دانش‌آموزان'!E62="","",'دانش‌آموزان'!E62&amp;" "&amp;'دانش‌آموزان'!F62)</x:f>
        <x:v>یسنا حیدری</x:v>
      </x:c>
      <x:c r="F699" s="166" t="str">
        <x:f>IF('دانش‌آموزان'!I62="","",'دانش‌آموزان'!I62)</x:f>
        <x:v>sample-7-c</x:v>
      </x:c>
      <x:c r="G699" s="114"/>
      <x:c r="H699" s="115"/>
      <x:c r="I699" s="115"/>
      <x:c r="J699" s="115"/>
      <x:c r="K699" s="115"/>
      <x:c r="L699" s="115"/>
      <x:c r="M699" s="115"/>
      <x:c r="N699" s="115"/>
      <x:c r="O699" s="115"/>
      <x:c r="P699" s="115"/>
      <x:c r="Q699" s="115"/>
      <x:c r="R699" s="115"/>
      <x:c r="S699" s="115"/>
      <x:c r="T699" s="115"/>
      <x:c r="U699" s="115"/>
      <x:c r="V699" s="115"/>
      <x:c r="W699" s="115"/>
      <x:c r="X699" s="115"/>
      <x:c r="Y699" s="115"/>
      <x:c r="Z699" s="115"/>
      <x:c r="AA699" s="115"/>
      <x:c r="AB699" s="115"/>
      <x:c r="AC699" s="115"/>
      <x:c r="AD699" s="115"/>
      <x:c r="AE699" s="115"/>
      <x:c r="AF699" s="115"/>
      <x:c r="AG699" s="115"/>
      <x:c r="AH699" s="115"/>
      <x:c r="AI699" s="115"/>
      <x:c r="AJ699" s="115"/>
      <x:c r="AK699" s="115"/>
      <x:c r="AL699" s="115"/>
      <x:c r="AM699" s="115"/>
      <x:c r="AN699" s="115"/>
      <x:c r="AO699" s="115"/>
      <x:c r="AP699" s="115"/>
      <x:c r="AQ699" s="115"/>
      <x:c r="AR699" s="115"/>
      <x:c r="AS699" s="115"/>
      <x:c r="AT699" s="115"/>
      <x:c r="AU699" s="115"/>
      <x:c r="AV699" s="115"/>
      <x:c r="AW699" s="115"/>
      <x:c r="AX699" s="115"/>
      <x:c r="AY699" s="115"/>
      <x:c r="AZ699" s="115"/>
      <x:c r="BA699" s="115"/>
      <x:c r="BB699" s="115"/>
      <x:c r="BC699" s="115"/>
      <x:c r="BD699" s="115"/>
      <x:c r="BE699" s="115"/>
      <x:c r="BF699" s="115"/>
      <x:c r="BG699" s="115"/>
      <x:c r="BH699" s="115"/>
      <x:c r="BI699" s="115"/>
      <x:c r="BJ699" s="115"/>
      <x:c r="BK699" s="115"/>
      <x:c r="BL699" s="115"/>
      <x:c r="BM699" s="115"/>
      <x:c r="BN699" s="115"/>
      <x:c r="BO699" s="115"/>
      <x:c r="BP699" s="115"/>
      <x:c r="BQ699" s="115"/>
      <x:c r="BR699" s="115"/>
      <x:c r="BS699" s="115"/>
      <x:c r="BT699" s="115"/>
      <x:c r="BU699" s="115"/>
      <x:c r="BV699" s="115"/>
      <x:c r="BW699" s="115"/>
      <x:c r="BX699" s="115"/>
      <x:c r="BY699" s="115"/>
      <x:c r="BZ699" s="115"/>
      <x:c r="CA699" s="115"/>
      <x:c r="CB699" s="116"/>
      <x:c r="CC699" s="141" t="str">
        <x:f>IF(COUNT(G699:P699)=0,"",AVERAGE(G699:P699)*4)</x:f>
      </x:c>
      <x:c r="CD699" s="178" t="str">
        <x:f>IF(COUNT(Q699:Z699)=0,"",AVERAGE(Q699:Z699)*4)</x:f>
      </x:c>
      <x:c r="CE699" s="178" t="str">
        <x:f>IF(COUNT(AA699:AJ699)=0,"",AVERAGE(AA699:AJ699)*4)</x:f>
      </x:c>
      <x:c r="CF699" s="178" t="str">
        <x:f>IF(COUNT(AK699:AR699)=0,"",AVERAGE(AK699:AR699)*4)</x:f>
      </x:c>
      <x:c r="CG699" s="178" t="str">
        <x:f>IF(COUNT(AS699:AY699)=0,"",AVERAGE(AS699:AY699)*4)</x:f>
      </x:c>
      <x:c r="CH699" s="178" t="str">
        <x:f>IF(COUNT(AZ699:BG699)=0,"",AVERAGE(AZ699:BG699)*4)</x:f>
      </x:c>
      <x:c r="CI699" s="178" t="str">
        <x:f>IF(COUNT(BH699:BN699)=0,"",AVERAGE(BH699:BN699)*4)</x:f>
      </x:c>
      <x:c r="CJ699" s="178" t="str">
        <x:f>IF(COUNT(BO699:BU699)=0,"",AVERAGE(BO699:BU699)*4)</x:f>
      </x:c>
      <x:c r="CK699" s="178" t="str">
        <x:f>IF(COUNT(BV699:CB699)=0,"",AVERAGE(BV699:CB699)*4)</x:f>
      </x:c>
      <x:c r="CL699" s="178" t="str">
        <x:f>IF(C699="","",IF(COUNT(G699:CB699)&lt;74,"",(CC699*'تنظیمات وزن‌دهی'!$C$5+CD699*'تنظیمات وزن‌دهی'!$C$6+CE699*'تنظیمات وزن‌دهی'!$C$7+CF699*'تنظیمات وزن‌دهی'!$C$8+CG699*'تنظیمات وزن‌دهی'!$C$9+CH699*'تنظیمات وزن‌دهی'!$C$10+CI699*'تنظیمات وزن‌دهی'!$C$11+CJ699*'تنظیمات وزن‌دهی'!$C$12+CK699*'تنظیمات وزن‌دهی'!$C$13)/100))</x:f>
      </x:c>
      <x:c r="CM699" s="178" t="str">
        <x:f>IF(C699="","",IF(COUNT(G699:CB699)=0,"",IF(COUNT(G699:CB699)&lt;74,"موقت - اطلاعات ناقص",IF(CL699&gt;=17,"عالی",IF(CL699&gt;=14,"خوب",IF(CL699&gt;=10,"متوسط","ضعیف"))))))</x:f>
      </x:c>
      <x:c r="CN699" s="178" t="n">
        <x:v>11</x:v>
      </x:c>
      <x:c r="CO699" s="142" t="n">
        <x:f>IF(C699="","",COUNT(G699:CB699)/74)</x:f>
        <x:v>0</x:v>
      </x:c>
      <x:c r="CP699" s="245"/>
    </x:row>
    <x:row r="700">
      <x:c r="A700" s="165" t="n">
        <x:v>696</x:v>
      </x:c>
      <x:c r="B700" s="233" t="str">
        <x:v>خرداد</x:v>
      </x:c>
      <x:c r="C700" s="233" t="n">
        <x:f>IF('دانش‌آموزان'!E62="","",'دانش‌آموزان'!B62)</x:f>
        <x:v>58</x:v>
      </x:c>
      <x:c r="D700" s="233" t="str">
        <x:f>IF('دانش‌آموزان'!C62="","",'دانش‌آموزان'!C62)</x:f>
        <x:v>4000000586</x:v>
      </x:c>
      <x:c r="E700" s="233" t="str">
        <x:f>IF('دانش‌آموزان'!E62="","",'دانش‌آموزان'!E62&amp;" "&amp;'دانش‌آموزان'!F62)</x:f>
        <x:v>یسنا حیدری</x:v>
      </x:c>
      <x:c r="F700" s="166" t="str">
        <x:f>IF('دانش‌آموزان'!I62="","",'دانش‌آموزان'!I62)</x:f>
        <x:v>sample-7-c</x:v>
      </x:c>
      <x:c r="G700" s="114"/>
      <x:c r="H700" s="115"/>
      <x:c r="I700" s="115"/>
      <x:c r="J700" s="115"/>
      <x:c r="K700" s="115"/>
      <x:c r="L700" s="115"/>
      <x:c r="M700" s="115"/>
      <x:c r="N700" s="115"/>
      <x:c r="O700" s="115"/>
      <x:c r="P700" s="115"/>
      <x:c r="Q700" s="115"/>
      <x:c r="R700" s="115"/>
      <x:c r="S700" s="115"/>
      <x:c r="T700" s="115"/>
      <x:c r="U700" s="115"/>
      <x:c r="V700" s="115"/>
      <x:c r="W700" s="115"/>
      <x:c r="X700" s="115"/>
      <x:c r="Y700" s="115"/>
      <x:c r="Z700" s="115"/>
      <x:c r="AA700" s="115"/>
      <x:c r="AB700" s="115"/>
      <x:c r="AC700" s="115"/>
      <x:c r="AD700" s="115"/>
      <x:c r="AE700" s="115"/>
      <x:c r="AF700" s="115"/>
      <x:c r="AG700" s="115"/>
      <x:c r="AH700" s="115"/>
      <x:c r="AI700" s="115"/>
      <x:c r="AJ700" s="115"/>
      <x:c r="AK700" s="115"/>
      <x:c r="AL700" s="115"/>
      <x:c r="AM700" s="115"/>
      <x:c r="AN700" s="115"/>
      <x:c r="AO700" s="115"/>
      <x:c r="AP700" s="115"/>
      <x:c r="AQ700" s="115"/>
      <x:c r="AR700" s="115"/>
      <x:c r="AS700" s="115"/>
      <x:c r="AT700" s="115"/>
      <x:c r="AU700" s="115"/>
      <x:c r="AV700" s="115"/>
      <x:c r="AW700" s="115"/>
      <x:c r="AX700" s="115"/>
      <x:c r="AY700" s="115"/>
      <x:c r="AZ700" s="115"/>
      <x:c r="BA700" s="115"/>
      <x:c r="BB700" s="115"/>
      <x:c r="BC700" s="115"/>
      <x:c r="BD700" s="115"/>
      <x:c r="BE700" s="115"/>
      <x:c r="BF700" s="115"/>
      <x:c r="BG700" s="115"/>
      <x:c r="BH700" s="115"/>
      <x:c r="BI700" s="115"/>
      <x:c r="BJ700" s="115"/>
      <x:c r="BK700" s="115"/>
      <x:c r="BL700" s="115"/>
      <x:c r="BM700" s="115"/>
      <x:c r="BN700" s="115"/>
      <x:c r="BO700" s="115"/>
      <x:c r="BP700" s="115"/>
      <x:c r="BQ700" s="115"/>
      <x:c r="BR700" s="115"/>
      <x:c r="BS700" s="115"/>
      <x:c r="BT700" s="115"/>
      <x:c r="BU700" s="115"/>
      <x:c r="BV700" s="115"/>
      <x:c r="BW700" s="115"/>
      <x:c r="BX700" s="115"/>
      <x:c r="BY700" s="115"/>
      <x:c r="BZ700" s="115"/>
      <x:c r="CA700" s="115"/>
      <x:c r="CB700" s="116"/>
      <x:c r="CC700" s="141" t="str">
        <x:f>IF(COUNT(G700:P700)=0,"",AVERAGE(G700:P700)*4)</x:f>
      </x:c>
      <x:c r="CD700" s="178" t="str">
        <x:f>IF(COUNT(Q700:Z700)=0,"",AVERAGE(Q700:Z700)*4)</x:f>
      </x:c>
      <x:c r="CE700" s="178" t="str">
        <x:f>IF(COUNT(AA700:AJ700)=0,"",AVERAGE(AA700:AJ700)*4)</x:f>
      </x:c>
      <x:c r="CF700" s="178" t="str">
        <x:f>IF(COUNT(AK700:AR700)=0,"",AVERAGE(AK700:AR700)*4)</x:f>
      </x:c>
      <x:c r="CG700" s="178" t="str">
        <x:f>IF(COUNT(AS700:AY700)=0,"",AVERAGE(AS700:AY700)*4)</x:f>
      </x:c>
      <x:c r="CH700" s="178" t="str">
        <x:f>IF(COUNT(AZ700:BG700)=0,"",AVERAGE(AZ700:BG700)*4)</x:f>
      </x:c>
      <x:c r="CI700" s="178" t="str">
        <x:f>IF(COUNT(BH700:BN700)=0,"",AVERAGE(BH700:BN700)*4)</x:f>
      </x:c>
      <x:c r="CJ700" s="178" t="str">
        <x:f>IF(COUNT(BO700:BU700)=0,"",AVERAGE(BO700:BU700)*4)</x:f>
      </x:c>
      <x:c r="CK700" s="178" t="str">
        <x:f>IF(COUNT(BV700:CB700)=0,"",AVERAGE(BV700:CB700)*4)</x:f>
      </x:c>
      <x:c r="CL700" s="178" t="str">
        <x:f>IF(C700="","",IF(COUNT(G700:CB700)&lt;74,"",(CC700*'تنظیمات وزن‌دهی'!$C$5+CD700*'تنظیمات وزن‌دهی'!$C$6+CE700*'تنظیمات وزن‌دهی'!$C$7+CF700*'تنظیمات وزن‌دهی'!$C$8+CG700*'تنظیمات وزن‌دهی'!$C$9+CH700*'تنظیمات وزن‌دهی'!$C$10+CI700*'تنظیمات وزن‌دهی'!$C$11+CJ700*'تنظیمات وزن‌دهی'!$C$12+CK700*'تنظیمات وزن‌دهی'!$C$13)/100))</x:f>
      </x:c>
      <x:c r="CM700" s="178" t="str">
        <x:f>IF(C700="","",IF(COUNT(G700:CB700)=0,"",IF(COUNT(G700:CB700)&lt;74,"موقت - اطلاعات ناقص",IF(CL700&gt;=17,"عالی",IF(CL700&gt;=14,"خوب",IF(CL700&gt;=10,"متوسط","ضعیف"))))))</x:f>
      </x:c>
      <x:c r="CN700" s="178" t="n">
        <x:v>12</x:v>
      </x:c>
      <x:c r="CO700" s="142" t="n">
        <x:f>IF(C700="","",COUNT(G700:CB700)/74)</x:f>
        <x:v>0</x:v>
      </x:c>
      <x:c r="CP700" s="245"/>
    </x:row>
    <x:row r="701">
      <x:c r="A701" s="165" t="n">
        <x:v>697</x:v>
      </x:c>
      <x:c r="B701" s="233" t="str">
        <x:v>تیر</x:v>
      </x:c>
      <x:c r="C701" s="233" t="n">
        <x:f>IF('دانش‌آموزان'!E63="","",'دانش‌آموزان'!B63)</x:f>
        <x:v>59</x:v>
      </x:c>
      <x:c r="D701" s="233" t="str">
        <x:f>IF('دانش‌آموزان'!C63="","",'دانش‌آموزان'!C63)</x:f>
        <x:v>4000000594</x:v>
      </x:c>
      <x:c r="E701" s="233" t="str">
        <x:f>IF('دانش‌آموزان'!E63="","",'دانش‌آموزان'!E63&amp;" "&amp;'دانش‌آموزان'!F63)</x:f>
        <x:v>رضا صادقی</x:v>
      </x:c>
      <x:c r="F701" s="166" t="str">
        <x:f>IF('دانش‌آموزان'!I63="","",'دانش‌آموزان'!I63)</x:f>
        <x:v>sample-7-c</x:v>
      </x:c>
      <x:c r="G701" s="114" t="n">
        <x:v>5</x:v>
      </x:c>
      <x:c r="H701" s="115" t="n">
        <x:v>3</x:v>
      </x:c>
      <x:c r="I701" s="115" t="n">
        <x:v>5</x:v>
      </x:c>
      <x:c r="J701" s="115" t="n">
        <x:v>3</x:v>
      </x:c>
      <x:c r="K701" s="115" t="n">
        <x:v>4</x:v>
      </x:c>
      <x:c r="L701" s="115" t="n">
        <x:v>3</x:v>
      </x:c>
      <x:c r="M701" s="115" t="n">
        <x:v>4</x:v>
      </x:c>
      <x:c r="N701" s="115" t="n">
        <x:v>2</x:v>
      </x:c>
      <x:c r="O701" s="115" t="n">
        <x:v>4</x:v>
      </x:c>
      <x:c r="P701" s="115" t="n">
        <x:v>5</x:v>
      </x:c>
      <x:c r="Q701" s="115" t="n">
        <x:v>4</x:v>
      </x:c>
      <x:c r="R701" s="115" t="n">
        <x:v>5</x:v>
      </x:c>
      <x:c r="S701" s="115" t="n">
        <x:v>3</x:v>
      </x:c>
      <x:c r="T701" s="115" t="n">
        <x:v>5</x:v>
      </x:c>
      <x:c r="U701" s="115" t="n">
        <x:v>3</x:v>
      </x:c>
      <x:c r="V701" s="115" t="n">
        <x:v>4</x:v>
      </x:c>
      <x:c r="W701" s="115" t="n">
        <x:v>3</x:v>
      </x:c>
      <x:c r="X701" s="115" t="n">
        <x:v>4</x:v>
      </x:c>
      <x:c r="Y701" s="115" t="n">
        <x:v>2</x:v>
      </x:c>
      <x:c r="Z701" s="115" t="n">
        <x:v>4</x:v>
      </x:c>
      <x:c r="AA701" s="115" t="n">
        <x:v>5</x:v>
      </x:c>
      <x:c r="AB701" s="115" t="n">
        <x:v>4</x:v>
      </x:c>
      <x:c r="AC701" s="115" t="n">
        <x:v>5</x:v>
      </x:c>
      <x:c r="AD701" s="115" t="n">
        <x:v>3</x:v>
      </x:c>
      <x:c r="AE701" s="115" t="n">
        <x:v>5</x:v>
      </x:c>
      <x:c r="AF701" s="115" t="n">
        <x:v>3</x:v>
      </x:c>
      <x:c r="AG701" s="115" t="n">
        <x:v>4</x:v>
      </x:c>
      <x:c r="AH701" s="115" t="n">
        <x:v>3</x:v>
      </x:c>
      <x:c r="AI701" s="115" t="n">
        <x:v>4</x:v>
      </x:c>
      <x:c r="AJ701" s="115" t="n">
        <x:v>2</x:v>
      </x:c>
      <x:c r="AK701" s="115" t="n">
        <x:v>4</x:v>
      </x:c>
      <x:c r="AL701" s="115" t="n">
        <x:v>5</x:v>
      </x:c>
      <x:c r="AM701" s="115" t="n">
        <x:v>4</x:v>
      </x:c>
      <x:c r="AN701" s="115" t="n">
        <x:v>5</x:v>
      </x:c>
      <x:c r="AO701" s="115" t="n">
        <x:v>3</x:v>
      </x:c>
      <x:c r="AP701" s="115" t="n">
        <x:v>5</x:v>
      </x:c>
      <x:c r="AQ701" s="115" t="n">
        <x:v>3</x:v>
      </x:c>
      <x:c r="AR701" s="115" t="n">
        <x:v>4</x:v>
      </x:c>
      <x:c r="AS701" s="115" t="n">
        <x:v>3</x:v>
      </x:c>
      <x:c r="AT701" s="115" t="n">
        <x:v>4</x:v>
      </x:c>
      <x:c r="AU701" s="115" t="n">
        <x:v>2</x:v>
      </x:c>
      <x:c r="AV701" s="115" t="n">
        <x:v>4</x:v>
      </x:c>
      <x:c r="AW701" s="115" t="n">
        <x:v>5</x:v>
      </x:c>
      <x:c r="AX701" s="115" t="n">
        <x:v>4</x:v>
      </x:c>
      <x:c r="AY701" s="115" t="n">
        <x:v>5</x:v>
      </x:c>
      <x:c r="AZ701" s="115" t="n">
        <x:v>3</x:v>
      </x:c>
      <x:c r="BA701" s="115" t="n">
        <x:v>5</x:v>
      </x:c>
      <x:c r="BB701" s="115" t="n">
        <x:v>3</x:v>
      </x:c>
      <x:c r="BC701" s="115" t="n">
        <x:v>4</x:v>
      </x:c>
      <x:c r="BD701" s="115" t="n">
        <x:v>3</x:v>
      </x:c>
      <x:c r="BE701" s="115" t="n">
        <x:v>4</x:v>
      </x:c>
      <x:c r="BF701" s="115" t="n">
        <x:v>2</x:v>
      </x:c>
      <x:c r="BG701" s="115" t="n">
        <x:v>4</x:v>
      </x:c>
      <x:c r="BH701" s="115" t="n">
        <x:v>5</x:v>
      </x:c>
      <x:c r="BI701" s="115" t="n">
        <x:v>4</x:v>
      </x:c>
      <x:c r="BJ701" s="115" t="n">
        <x:v>5</x:v>
      </x:c>
      <x:c r="BK701" s="115" t="n">
        <x:v>3</x:v>
      </x:c>
      <x:c r="BL701" s="115" t="n">
        <x:v>5</x:v>
      </x:c>
      <x:c r="BM701" s="115" t="n">
        <x:v>3</x:v>
      </x:c>
      <x:c r="BN701" s="115" t="n">
        <x:v>4</x:v>
      </x:c>
      <x:c r="BO701" s="115" t="n">
        <x:v>3</x:v>
      </x:c>
      <x:c r="BP701" s="115" t="n">
        <x:v>4</x:v>
      </x:c>
      <x:c r="BQ701" s="115" t="n">
        <x:v>2</x:v>
      </x:c>
      <x:c r="BR701" s="115" t="n">
        <x:v>4</x:v>
      </x:c>
      <x:c r="BS701" s="115" t="n">
        <x:v>5</x:v>
      </x:c>
      <x:c r="BT701" s="115" t="n">
        <x:v>4</x:v>
      </x:c>
      <x:c r="BU701" s="115" t="n">
        <x:v>5</x:v>
      </x:c>
      <x:c r="BV701" s="115" t="n">
        <x:v>3</x:v>
      </x:c>
      <x:c r="BW701" s="115" t="n">
        <x:v>5</x:v>
      </x:c>
      <x:c r="BX701" s="115" t="n">
        <x:v>3</x:v>
      </x:c>
      <x:c r="BY701" s="115" t="n">
        <x:v>4</x:v>
      </x:c>
      <x:c r="BZ701" s="115" t="n">
        <x:v>3</x:v>
      </x:c>
      <x:c r="CA701" s="115" t="n">
        <x:v>4</x:v>
      </x:c>
      <x:c r="CB701" s="116" t="n">
        <x:v>2</x:v>
      </x:c>
      <x:c r="CC701" s="141" t="n">
        <x:f>IF(COUNT(G701:P701)=0,"",AVERAGE(G701:P701)*4)</x:f>
        <x:v>15.2</x:v>
      </x:c>
      <x:c r="CD701" s="178" t="n">
        <x:f>IF(COUNT(Q701:Z701)=0,"",AVERAGE(Q701:Z701)*4)</x:f>
        <x:v>14.8</x:v>
      </x:c>
      <x:c r="CE701" s="178" t="n">
        <x:f>IF(COUNT(AA701:AJ701)=0,"",AVERAGE(AA701:AJ701)*4)</x:f>
        <x:v>15.2</x:v>
      </x:c>
      <x:c r="CF701" s="178" t="n">
        <x:f>IF(COUNT(AK701:AR701)=0,"",AVERAGE(AK701:AR701)*4)</x:f>
        <x:v>16.5</x:v>
      </x:c>
      <x:c r="CG701" s="178" t="n">
        <x:f>IF(COUNT(AS701:AY701)=0,"",AVERAGE(AS701:AY701)*4)</x:f>
        <x:v>15.428571428571429</x:v>
      </x:c>
      <x:c r="CH701" s="178" t="n">
        <x:f>IF(COUNT(AZ701:BG701)=0,"",AVERAGE(AZ701:BG701)*4)</x:f>
        <x:v>14</x:v>
      </x:c>
      <x:c r="CI701" s="178" t="n">
        <x:f>IF(COUNT(BH701:BN701)=0,"",AVERAGE(BH701:BN701)*4)</x:f>
        <x:v>16.571428571428573</x:v>
      </x:c>
      <x:c r="CJ701" s="178" t="n">
        <x:f>IF(COUNT(BO701:BU701)=0,"",AVERAGE(BO701:BU701)*4)</x:f>
        <x:v>15.428571428571429</x:v>
      </x:c>
      <x:c r="CK701" s="178" t="n">
        <x:f>IF(COUNT(BV701:CB701)=0,"",AVERAGE(BV701:CB701)*4)</x:f>
        <x:v>13.714285714285714</x:v>
      </x:c>
      <x:c r="CL701" s="178" t="n">
        <x:f>IF(C701="","",IF(COUNT(G701:CB701)&lt;74,"",(CC701*'تنظیمات وزن‌دهی'!$C$5+CD701*'تنظیمات وزن‌دهی'!$C$6+CE701*'تنظیمات وزن‌دهی'!$C$7+CF701*'تنظیمات وزن‌دهی'!$C$8+CG701*'تنظیمات وزن‌دهی'!$C$9+CH701*'تنظیمات وزن‌دهی'!$C$10+CI701*'تنظیمات وزن‌دهی'!$C$11+CJ701*'تنظیمات وزن‌دهی'!$C$12+CK701*'تنظیمات وزن‌دهی'!$C$13)/100))</x:f>
        <x:v>15.260714285714286</x:v>
      </x:c>
      <x:c r="CM701" s="178" t="str">
        <x:f>IF(C701="","",IF(COUNT(G701:CB701)=0,"",IF(COUNT(G701:CB701)&lt;74,"موقت - اطلاعات ناقص",IF(CL701&gt;=17,"عالی",IF(CL701&gt;=14,"خوب",IF(CL701&gt;=10,"متوسط","ضعیف"))))))</x:f>
        <x:v>خوب</x:v>
      </x:c>
      <x:c r="CN701" s="178" t="n">
        <x:v>1</x:v>
      </x:c>
      <x:c r="CO701" s="142" t="n">
        <x:f>IF(C701="","",COUNT(G701:CB701)/74)</x:f>
        <x:v>1</x:v>
      </x:c>
      <x:c r="CP701" s="245" t="str">
        <x:v>داده نمونه کامل برای ماه تیر - دانش‌آموز شماره 59</x:v>
      </x:c>
    </x:row>
    <x:row r="702">
      <x:c r="A702" s="165" t="n">
        <x:v>698</x:v>
      </x:c>
      <x:c r="B702" s="233" t="str">
        <x:v>مرداد</x:v>
      </x:c>
      <x:c r="C702" s="233" t="n">
        <x:f>IF('دانش‌آموزان'!E63="","",'دانش‌آموزان'!B63)</x:f>
        <x:v>59</x:v>
      </x:c>
      <x:c r="D702" s="233" t="str">
        <x:f>IF('دانش‌آموزان'!C63="","",'دانش‌آموزان'!C63)</x:f>
        <x:v>4000000594</x:v>
      </x:c>
      <x:c r="E702" s="233" t="str">
        <x:f>IF('دانش‌آموزان'!E63="","",'دانش‌آموزان'!E63&amp;" "&amp;'دانش‌آموزان'!F63)</x:f>
        <x:v>رضا صادقی</x:v>
      </x:c>
      <x:c r="F702" s="166" t="str">
        <x:f>IF('دانش‌آموزان'!I63="","",'دانش‌آموزان'!I63)</x:f>
        <x:v>sample-7-c</x:v>
      </x:c>
      <x:c r="G702" s="114"/>
      <x:c r="H702" s="115"/>
      <x:c r="I702" s="115"/>
      <x:c r="J702" s="115"/>
      <x:c r="K702" s="115"/>
      <x:c r="L702" s="115"/>
      <x:c r="M702" s="115"/>
      <x:c r="N702" s="115"/>
      <x:c r="O702" s="115"/>
      <x:c r="P702" s="115"/>
      <x:c r="Q702" s="115"/>
      <x:c r="R702" s="115"/>
      <x:c r="S702" s="115"/>
      <x:c r="T702" s="115"/>
      <x:c r="U702" s="115"/>
      <x:c r="V702" s="115"/>
      <x:c r="W702" s="115"/>
      <x:c r="X702" s="115"/>
      <x:c r="Y702" s="115"/>
      <x:c r="Z702" s="115"/>
      <x:c r="AA702" s="115"/>
      <x:c r="AB702" s="115"/>
      <x:c r="AC702" s="115"/>
      <x:c r="AD702" s="115"/>
      <x:c r="AE702" s="115"/>
      <x:c r="AF702" s="115"/>
      <x:c r="AG702" s="115"/>
      <x:c r="AH702" s="115"/>
      <x:c r="AI702" s="115"/>
      <x:c r="AJ702" s="115"/>
      <x:c r="AK702" s="115"/>
      <x:c r="AL702" s="115"/>
      <x:c r="AM702" s="115"/>
      <x:c r="AN702" s="115"/>
      <x:c r="AO702" s="115"/>
      <x:c r="AP702" s="115"/>
      <x:c r="AQ702" s="115"/>
      <x:c r="AR702" s="115"/>
      <x:c r="AS702" s="115"/>
      <x:c r="AT702" s="115"/>
      <x:c r="AU702" s="115"/>
      <x:c r="AV702" s="115"/>
      <x:c r="AW702" s="115"/>
      <x:c r="AX702" s="115"/>
      <x:c r="AY702" s="115"/>
      <x:c r="AZ702" s="115"/>
      <x:c r="BA702" s="115"/>
      <x:c r="BB702" s="115"/>
      <x:c r="BC702" s="115"/>
      <x:c r="BD702" s="115"/>
      <x:c r="BE702" s="115"/>
      <x:c r="BF702" s="115"/>
      <x:c r="BG702" s="115"/>
      <x:c r="BH702" s="115"/>
      <x:c r="BI702" s="115"/>
      <x:c r="BJ702" s="115"/>
      <x:c r="BK702" s="115"/>
      <x:c r="BL702" s="115"/>
      <x:c r="BM702" s="115"/>
      <x:c r="BN702" s="115"/>
      <x:c r="BO702" s="115"/>
      <x:c r="BP702" s="115"/>
      <x:c r="BQ702" s="115"/>
      <x:c r="BR702" s="115"/>
      <x:c r="BS702" s="115"/>
      <x:c r="BT702" s="115"/>
      <x:c r="BU702" s="115"/>
      <x:c r="BV702" s="115"/>
      <x:c r="BW702" s="115"/>
      <x:c r="BX702" s="115"/>
      <x:c r="BY702" s="115"/>
      <x:c r="BZ702" s="115"/>
      <x:c r="CA702" s="115"/>
      <x:c r="CB702" s="116"/>
      <x:c r="CC702" s="141" t="str">
        <x:f>IF(COUNT(G702:P702)=0,"",AVERAGE(G702:P702)*4)</x:f>
      </x:c>
      <x:c r="CD702" s="178" t="str">
        <x:f>IF(COUNT(Q702:Z702)=0,"",AVERAGE(Q702:Z702)*4)</x:f>
      </x:c>
      <x:c r="CE702" s="178" t="str">
        <x:f>IF(COUNT(AA702:AJ702)=0,"",AVERAGE(AA702:AJ702)*4)</x:f>
      </x:c>
      <x:c r="CF702" s="178" t="str">
        <x:f>IF(COUNT(AK702:AR702)=0,"",AVERAGE(AK702:AR702)*4)</x:f>
      </x:c>
      <x:c r="CG702" s="178" t="str">
        <x:f>IF(COUNT(AS702:AY702)=0,"",AVERAGE(AS702:AY702)*4)</x:f>
      </x:c>
      <x:c r="CH702" s="178" t="str">
        <x:f>IF(COUNT(AZ702:BG702)=0,"",AVERAGE(AZ702:BG702)*4)</x:f>
      </x:c>
      <x:c r="CI702" s="178" t="str">
        <x:f>IF(COUNT(BH702:BN702)=0,"",AVERAGE(BH702:BN702)*4)</x:f>
      </x:c>
      <x:c r="CJ702" s="178" t="str">
        <x:f>IF(COUNT(BO702:BU702)=0,"",AVERAGE(BO702:BU702)*4)</x:f>
      </x:c>
      <x:c r="CK702" s="178" t="str">
        <x:f>IF(COUNT(BV702:CB702)=0,"",AVERAGE(BV702:CB702)*4)</x:f>
      </x:c>
      <x:c r="CL702" s="178" t="str">
        <x:f>IF(C702="","",IF(COUNT(G702:CB702)&lt;74,"",(CC702*'تنظیمات وزن‌دهی'!$C$5+CD702*'تنظیمات وزن‌دهی'!$C$6+CE702*'تنظیمات وزن‌دهی'!$C$7+CF702*'تنظیمات وزن‌دهی'!$C$8+CG702*'تنظیمات وزن‌دهی'!$C$9+CH702*'تنظیمات وزن‌دهی'!$C$10+CI702*'تنظیمات وزن‌دهی'!$C$11+CJ702*'تنظیمات وزن‌دهی'!$C$12+CK702*'تنظیمات وزن‌دهی'!$C$13)/100))</x:f>
      </x:c>
      <x:c r="CM702" s="178" t="str">
        <x:f>IF(C702="","",IF(COUNT(G702:CB702)=0,"",IF(COUNT(G702:CB702)&lt;74,"موقت - اطلاعات ناقص",IF(CL702&gt;=17,"عالی",IF(CL702&gt;=14,"خوب",IF(CL702&gt;=10,"متوسط","ضعیف"))))))</x:f>
      </x:c>
      <x:c r="CN702" s="178" t="n">
        <x:v>2</x:v>
      </x:c>
      <x:c r="CO702" s="142" t="n">
        <x:f>IF(C702="","",COUNT(G702:CB702)/74)</x:f>
        <x:v>0</x:v>
      </x:c>
      <x:c r="CP702" s="245"/>
    </x:row>
    <x:row r="703">
      <x:c r="A703" s="165" t="n">
        <x:v>699</x:v>
      </x:c>
      <x:c r="B703" s="233" t="str">
        <x:v>شهریور</x:v>
      </x:c>
      <x:c r="C703" s="233" t="n">
        <x:f>IF('دانش‌آموزان'!E63="","",'دانش‌آموزان'!B63)</x:f>
        <x:v>59</x:v>
      </x:c>
      <x:c r="D703" s="233" t="str">
        <x:f>IF('دانش‌آموزان'!C63="","",'دانش‌آموزان'!C63)</x:f>
        <x:v>4000000594</x:v>
      </x:c>
      <x:c r="E703" s="233" t="str">
        <x:f>IF('دانش‌آموزان'!E63="","",'دانش‌آموزان'!E63&amp;" "&amp;'دانش‌آموزان'!F63)</x:f>
        <x:v>رضا صادقی</x:v>
      </x:c>
      <x:c r="F703" s="166" t="str">
        <x:f>IF('دانش‌آموزان'!I63="","",'دانش‌آموزان'!I63)</x:f>
        <x:v>sample-7-c</x:v>
      </x:c>
      <x:c r="G703" s="114"/>
      <x:c r="H703" s="115"/>
      <x:c r="I703" s="115"/>
      <x:c r="J703" s="115"/>
      <x:c r="K703" s="115"/>
      <x:c r="L703" s="115"/>
      <x:c r="M703" s="115"/>
      <x:c r="N703" s="115"/>
      <x:c r="O703" s="115"/>
      <x:c r="P703" s="115"/>
      <x:c r="Q703" s="115"/>
      <x:c r="R703" s="115"/>
      <x:c r="S703" s="115"/>
      <x:c r="T703" s="115"/>
      <x:c r="U703" s="115"/>
      <x:c r="V703" s="115"/>
      <x:c r="W703" s="115"/>
      <x:c r="X703" s="115"/>
      <x:c r="Y703" s="115"/>
      <x:c r="Z703" s="115"/>
      <x:c r="AA703" s="115"/>
      <x:c r="AB703" s="115"/>
      <x:c r="AC703" s="115"/>
      <x:c r="AD703" s="115"/>
      <x:c r="AE703" s="115"/>
      <x:c r="AF703" s="115"/>
      <x:c r="AG703" s="115"/>
      <x:c r="AH703" s="115"/>
      <x:c r="AI703" s="115"/>
      <x:c r="AJ703" s="115"/>
      <x:c r="AK703" s="115"/>
      <x:c r="AL703" s="115"/>
      <x:c r="AM703" s="115"/>
      <x:c r="AN703" s="115"/>
      <x:c r="AO703" s="115"/>
      <x:c r="AP703" s="115"/>
      <x:c r="AQ703" s="115"/>
      <x:c r="AR703" s="115"/>
      <x:c r="AS703" s="115"/>
      <x:c r="AT703" s="115"/>
      <x:c r="AU703" s="115"/>
      <x:c r="AV703" s="115"/>
      <x:c r="AW703" s="115"/>
      <x:c r="AX703" s="115"/>
      <x:c r="AY703" s="115"/>
      <x:c r="AZ703" s="115"/>
      <x:c r="BA703" s="115"/>
      <x:c r="BB703" s="115"/>
      <x:c r="BC703" s="115"/>
      <x:c r="BD703" s="115"/>
      <x:c r="BE703" s="115"/>
      <x:c r="BF703" s="115"/>
      <x:c r="BG703" s="115"/>
      <x:c r="BH703" s="115"/>
      <x:c r="BI703" s="115"/>
      <x:c r="BJ703" s="115"/>
      <x:c r="BK703" s="115"/>
      <x:c r="BL703" s="115"/>
      <x:c r="BM703" s="115"/>
      <x:c r="BN703" s="115"/>
      <x:c r="BO703" s="115"/>
      <x:c r="BP703" s="115"/>
      <x:c r="BQ703" s="115"/>
      <x:c r="BR703" s="115"/>
      <x:c r="BS703" s="115"/>
      <x:c r="BT703" s="115"/>
      <x:c r="BU703" s="115"/>
      <x:c r="BV703" s="115"/>
      <x:c r="BW703" s="115"/>
      <x:c r="BX703" s="115"/>
      <x:c r="BY703" s="115"/>
      <x:c r="BZ703" s="115"/>
      <x:c r="CA703" s="115"/>
      <x:c r="CB703" s="116"/>
      <x:c r="CC703" s="141" t="str">
        <x:f>IF(COUNT(G703:P703)=0,"",AVERAGE(G703:P703)*4)</x:f>
      </x:c>
      <x:c r="CD703" s="178" t="str">
        <x:f>IF(COUNT(Q703:Z703)=0,"",AVERAGE(Q703:Z703)*4)</x:f>
      </x:c>
      <x:c r="CE703" s="178" t="str">
        <x:f>IF(COUNT(AA703:AJ703)=0,"",AVERAGE(AA703:AJ703)*4)</x:f>
      </x:c>
      <x:c r="CF703" s="178" t="str">
        <x:f>IF(COUNT(AK703:AR703)=0,"",AVERAGE(AK703:AR703)*4)</x:f>
      </x:c>
      <x:c r="CG703" s="178" t="str">
        <x:f>IF(COUNT(AS703:AY703)=0,"",AVERAGE(AS703:AY703)*4)</x:f>
      </x:c>
      <x:c r="CH703" s="178" t="str">
        <x:f>IF(COUNT(AZ703:BG703)=0,"",AVERAGE(AZ703:BG703)*4)</x:f>
      </x:c>
      <x:c r="CI703" s="178" t="str">
        <x:f>IF(COUNT(BH703:BN703)=0,"",AVERAGE(BH703:BN703)*4)</x:f>
      </x:c>
      <x:c r="CJ703" s="178" t="str">
        <x:f>IF(COUNT(BO703:BU703)=0,"",AVERAGE(BO703:BU703)*4)</x:f>
      </x:c>
      <x:c r="CK703" s="178" t="str">
        <x:f>IF(COUNT(BV703:CB703)=0,"",AVERAGE(BV703:CB703)*4)</x:f>
      </x:c>
      <x:c r="CL703" s="178" t="str">
        <x:f>IF(C703="","",IF(COUNT(G703:CB703)&lt;74,"",(CC703*'تنظیمات وزن‌دهی'!$C$5+CD703*'تنظیمات وزن‌دهی'!$C$6+CE703*'تنظیمات وزن‌دهی'!$C$7+CF703*'تنظیمات وزن‌دهی'!$C$8+CG703*'تنظیمات وزن‌دهی'!$C$9+CH703*'تنظیمات وزن‌دهی'!$C$10+CI703*'تنظیمات وزن‌دهی'!$C$11+CJ703*'تنظیمات وزن‌دهی'!$C$12+CK703*'تنظیمات وزن‌دهی'!$C$13)/100))</x:f>
      </x:c>
      <x:c r="CM703" s="178" t="str">
        <x:f>IF(C703="","",IF(COUNT(G703:CB703)=0,"",IF(COUNT(G703:CB703)&lt;74,"موقت - اطلاعات ناقص",IF(CL703&gt;=17,"عالی",IF(CL703&gt;=14,"خوب",IF(CL703&gt;=10,"متوسط","ضعیف"))))))</x:f>
      </x:c>
      <x:c r="CN703" s="178" t="n">
        <x:v>3</x:v>
      </x:c>
      <x:c r="CO703" s="142" t="n">
        <x:f>IF(C703="","",COUNT(G703:CB703)/74)</x:f>
        <x:v>0</x:v>
      </x:c>
      <x:c r="CP703" s="245"/>
    </x:row>
    <x:row r="704">
      <x:c r="A704" s="165" t="n">
        <x:v>700</x:v>
      </x:c>
      <x:c r="B704" s="233" t="str">
        <x:v>مهر</x:v>
      </x:c>
      <x:c r="C704" s="233" t="n">
        <x:f>IF('دانش‌آموزان'!E63="","",'دانش‌آموزان'!B63)</x:f>
        <x:v>59</x:v>
      </x:c>
      <x:c r="D704" s="233" t="str">
        <x:f>IF('دانش‌آموزان'!C63="","",'دانش‌آموزان'!C63)</x:f>
        <x:v>4000000594</x:v>
      </x:c>
      <x:c r="E704" s="233" t="str">
        <x:f>IF('دانش‌آموزان'!E63="","",'دانش‌آموزان'!E63&amp;" "&amp;'دانش‌آموزان'!F63)</x:f>
        <x:v>رضا صادقی</x:v>
      </x:c>
      <x:c r="F704" s="166" t="str">
        <x:f>IF('دانش‌آموزان'!I63="","",'دانش‌آموزان'!I63)</x:f>
        <x:v>sample-7-c</x:v>
      </x:c>
      <x:c r="G704" s="114"/>
      <x:c r="H704" s="115"/>
      <x:c r="I704" s="115"/>
      <x:c r="J704" s="115"/>
      <x:c r="K704" s="115"/>
      <x:c r="L704" s="115"/>
      <x:c r="M704" s="115"/>
      <x:c r="N704" s="115"/>
      <x:c r="O704" s="115"/>
      <x:c r="P704" s="115"/>
      <x:c r="Q704" s="115"/>
      <x:c r="R704" s="115"/>
      <x:c r="S704" s="115"/>
      <x:c r="T704" s="115"/>
      <x:c r="U704" s="115"/>
      <x:c r="V704" s="115"/>
      <x:c r="W704" s="115"/>
      <x:c r="X704" s="115"/>
      <x:c r="Y704" s="115"/>
      <x:c r="Z704" s="115"/>
      <x:c r="AA704" s="115"/>
      <x:c r="AB704" s="115"/>
      <x:c r="AC704" s="115"/>
      <x:c r="AD704" s="115"/>
      <x:c r="AE704" s="115"/>
      <x:c r="AF704" s="115"/>
      <x:c r="AG704" s="115"/>
      <x:c r="AH704" s="115"/>
      <x:c r="AI704" s="115"/>
      <x:c r="AJ704" s="115"/>
      <x:c r="AK704" s="115"/>
      <x:c r="AL704" s="115"/>
      <x:c r="AM704" s="115"/>
      <x:c r="AN704" s="115"/>
      <x:c r="AO704" s="115"/>
      <x:c r="AP704" s="115"/>
      <x:c r="AQ704" s="115"/>
      <x:c r="AR704" s="115"/>
      <x:c r="AS704" s="115"/>
      <x:c r="AT704" s="115"/>
      <x:c r="AU704" s="115"/>
      <x:c r="AV704" s="115"/>
      <x:c r="AW704" s="115"/>
      <x:c r="AX704" s="115"/>
      <x:c r="AY704" s="115"/>
      <x:c r="AZ704" s="115"/>
      <x:c r="BA704" s="115"/>
      <x:c r="BB704" s="115"/>
      <x:c r="BC704" s="115"/>
      <x:c r="BD704" s="115"/>
      <x:c r="BE704" s="115"/>
      <x:c r="BF704" s="115"/>
      <x:c r="BG704" s="115"/>
      <x:c r="BH704" s="115"/>
      <x:c r="BI704" s="115"/>
      <x:c r="BJ704" s="115"/>
      <x:c r="BK704" s="115"/>
      <x:c r="BL704" s="115"/>
      <x:c r="BM704" s="115"/>
      <x:c r="BN704" s="115"/>
      <x:c r="BO704" s="115"/>
      <x:c r="BP704" s="115"/>
      <x:c r="BQ704" s="115"/>
      <x:c r="BR704" s="115"/>
      <x:c r="BS704" s="115"/>
      <x:c r="BT704" s="115"/>
      <x:c r="BU704" s="115"/>
      <x:c r="BV704" s="115"/>
      <x:c r="BW704" s="115"/>
      <x:c r="BX704" s="115"/>
      <x:c r="BY704" s="115"/>
      <x:c r="BZ704" s="115"/>
      <x:c r="CA704" s="115"/>
      <x:c r="CB704" s="116"/>
      <x:c r="CC704" s="141" t="str">
        <x:f>IF(COUNT(G704:P704)=0,"",AVERAGE(G704:P704)*4)</x:f>
      </x:c>
      <x:c r="CD704" s="178" t="str">
        <x:f>IF(COUNT(Q704:Z704)=0,"",AVERAGE(Q704:Z704)*4)</x:f>
      </x:c>
      <x:c r="CE704" s="178" t="str">
        <x:f>IF(COUNT(AA704:AJ704)=0,"",AVERAGE(AA704:AJ704)*4)</x:f>
      </x:c>
      <x:c r="CF704" s="178" t="str">
        <x:f>IF(COUNT(AK704:AR704)=0,"",AVERAGE(AK704:AR704)*4)</x:f>
      </x:c>
      <x:c r="CG704" s="178" t="str">
        <x:f>IF(COUNT(AS704:AY704)=0,"",AVERAGE(AS704:AY704)*4)</x:f>
      </x:c>
      <x:c r="CH704" s="178" t="str">
        <x:f>IF(COUNT(AZ704:BG704)=0,"",AVERAGE(AZ704:BG704)*4)</x:f>
      </x:c>
      <x:c r="CI704" s="178" t="str">
        <x:f>IF(COUNT(BH704:BN704)=0,"",AVERAGE(BH704:BN704)*4)</x:f>
      </x:c>
      <x:c r="CJ704" s="178" t="str">
        <x:f>IF(COUNT(BO704:BU704)=0,"",AVERAGE(BO704:BU704)*4)</x:f>
      </x:c>
      <x:c r="CK704" s="178" t="str">
        <x:f>IF(COUNT(BV704:CB704)=0,"",AVERAGE(BV704:CB704)*4)</x:f>
      </x:c>
      <x:c r="CL704" s="178" t="str">
        <x:f>IF(C704="","",IF(COUNT(G704:CB704)&lt;74,"",(CC704*'تنظیمات وزن‌دهی'!$C$5+CD704*'تنظیمات وزن‌دهی'!$C$6+CE704*'تنظیمات وزن‌دهی'!$C$7+CF704*'تنظیمات وزن‌دهی'!$C$8+CG704*'تنظیمات وزن‌دهی'!$C$9+CH704*'تنظیمات وزن‌دهی'!$C$10+CI704*'تنظیمات وزن‌دهی'!$C$11+CJ704*'تنظیمات وزن‌دهی'!$C$12+CK704*'تنظیمات وزن‌دهی'!$C$13)/100))</x:f>
      </x:c>
      <x:c r="CM704" s="178" t="str">
        <x:f>IF(C704="","",IF(COUNT(G704:CB704)=0,"",IF(COUNT(G704:CB704)&lt;74,"موقت - اطلاعات ناقص",IF(CL704&gt;=17,"عالی",IF(CL704&gt;=14,"خوب",IF(CL704&gt;=10,"متوسط","ضعیف"))))))</x:f>
      </x:c>
      <x:c r="CN704" s="178" t="n">
        <x:v>4</x:v>
      </x:c>
      <x:c r="CO704" s="142" t="n">
        <x:f>IF(C704="","",COUNT(G704:CB704)/74)</x:f>
        <x:v>0</x:v>
      </x:c>
      <x:c r="CP704" s="245"/>
    </x:row>
    <x:row r="705">
      <x:c r="A705" s="165" t="n">
        <x:v>701</x:v>
      </x:c>
      <x:c r="B705" s="233" t="str">
        <x:v>آبان</x:v>
      </x:c>
      <x:c r="C705" s="233" t="n">
        <x:f>IF('دانش‌آموزان'!E63="","",'دانش‌آموزان'!B63)</x:f>
        <x:v>59</x:v>
      </x:c>
      <x:c r="D705" s="233" t="str">
        <x:f>IF('دانش‌آموزان'!C63="","",'دانش‌آموزان'!C63)</x:f>
        <x:v>4000000594</x:v>
      </x:c>
      <x:c r="E705" s="233" t="str">
        <x:f>IF('دانش‌آموزان'!E63="","",'دانش‌آموزان'!E63&amp;" "&amp;'دانش‌آموزان'!F63)</x:f>
        <x:v>رضا صادقی</x:v>
      </x:c>
      <x:c r="F705" s="166" t="str">
        <x:f>IF('دانش‌آموزان'!I63="","",'دانش‌آموزان'!I63)</x:f>
        <x:v>sample-7-c</x:v>
      </x:c>
      <x:c r="G705" s="114"/>
      <x:c r="H705" s="115"/>
      <x:c r="I705" s="115"/>
      <x:c r="J705" s="115"/>
      <x:c r="K705" s="115"/>
      <x:c r="L705" s="115"/>
      <x:c r="M705" s="115"/>
      <x:c r="N705" s="115"/>
      <x:c r="O705" s="115"/>
      <x:c r="P705" s="115"/>
      <x:c r="Q705" s="115"/>
      <x:c r="R705" s="115"/>
      <x:c r="S705" s="115"/>
      <x:c r="T705" s="115"/>
      <x:c r="U705" s="115"/>
      <x:c r="V705" s="115"/>
      <x:c r="W705" s="115"/>
      <x:c r="X705" s="115"/>
      <x:c r="Y705" s="115"/>
      <x:c r="Z705" s="115"/>
      <x:c r="AA705" s="115"/>
      <x:c r="AB705" s="115"/>
      <x:c r="AC705" s="115"/>
      <x:c r="AD705" s="115"/>
      <x:c r="AE705" s="115"/>
      <x:c r="AF705" s="115"/>
      <x:c r="AG705" s="115"/>
      <x:c r="AH705" s="115"/>
      <x:c r="AI705" s="115"/>
      <x:c r="AJ705" s="115"/>
      <x:c r="AK705" s="115"/>
      <x:c r="AL705" s="115"/>
      <x:c r="AM705" s="115"/>
      <x:c r="AN705" s="115"/>
      <x:c r="AO705" s="115"/>
      <x:c r="AP705" s="115"/>
      <x:c r="AQ705" s="115"/>
      <x:c r="AR705" s="115"/>
      <x:c r="AS705" s="115"/>
      <x:c r="AT705" s="115"/>
      <x:c r="AU705" s="115"/>
      <x:c r="AV705" s="115"/>
      <x:c r="AW705" s="115"/>
      <x:c r="AX705" s="115"/>
      <x:c r="AY705" s="115"/>
      <x:c r="AZ705" s="115"/>
      <x:c r="BA705" s="115"/>
      <x:c r="BB705" s="115"/>
      <x:c r="BC705" s="115"/>
      <x:c r="BD705" s="115"/>
      <x:c r="BE705" s="115"/>
      <x:c r="BF705" s="115"/>
      <x:c r="BG705" s="115"/>
      <x:c r="BH705" s="115"/>
      <x:c r="BI705" s="115"/>
      <x:c r="BJ705" s="115"/>
      <x:c r="BK705" s="115"/>
      <x:c r="BL705" s="115"/>
      <x:c r="BM705" s="115"/>
      <x:c r="BN705" s="115"/>
      <x:c r="BO705" s="115"/>
      <x:c r="BP705" s="115"/>
      <x:c r="BQ705" s="115"/>
      <x:c r="BR705" s="115"/>
      <x:c r="BS705" s="115"/>
      <x:c r="BT705" s="115"/>
      <x:c r="BU705" s="115"/>
      <x:c r="BV705" s="115"/>
      <x:c r="BW705" s="115"/>
      <x:c r="BX705" s="115"/>
      <x:c r="BY705" s="115"/>
      <x:c r="BZ705" s="115"/>
      <x:c r="CA705" s="115"/>
      <x:c r="CB705" s="116"/>
      <x:c r="CC705" s="141" t="str">
        <x:f>IF(COUNT(G705:P705)=0,"",AVERAGE(G705:P705)*4)</x:f>
      </x:c>
      <x:c r="CD705" s="178" t="str">
        <x:f>IF(COUNT(Q705:Z705)=0,"",AVERAGE(Q705:Z705)*4)</x:f>
      </x:c>
      <x:c r="CE705" s="178" t="str">
        <x:f>IF(COUNT(AA705:AJ705)=0,"",AVERAGE(AA705:AJ705)*4)</x:f>
      </x:c>
      <x:c r="CF705" s="178" t="str">
        <x:f>IF(COUNT(AK705:AR705)=0,"",AVERAGE(AK705:AR705)*4)</x:f>
      </x:c>
      <x:c r="CG705" s="178" t="str">
        <x:f>IF(COUNT(AS705:AY705)=0,"",AVERAGE(AS705:AY705)*4)</x:f>
      </x:c>
      <x:c r="CH705" s="178" t="str">
        <x:f>IF(COUNT(AZ705:BG705)=0,"",AVERAGE(AZ705:BG705)*4)</x:f>
      </x:c>
      <x:c r="CI705" s="178" t="str">
        <x:f>IF(COUNT(BH705:BN705)=0,"",AVERAGE(BH705:BN705)*4)</x:f>
      </x:c>
      <x:c r="CJ705" s="178" t="str">
        <x:f>IF(COUNT(BO705:BU705)=0,"",AVERAGE(BO705:BU705)*4)</x:f>
      </x:c>
      <x:c r="CK705" s="178" t="str">
        <x:f>IF(COUNT(BV705:CB705)=0,"",AVERAGE(BV705:CB705)*4)</x:f>
      </x:c>
      <x:c r="CL705" s="178" t="str">
        <x:f>IF(C705="","",IF(COUNT(G705:CB705)&lt;74,"",(CC705*'تنظیمات وزن‌دهی'!$C$5+CD705*'تنظیمات وزن‌دهی'!$C$6+CE705*'تنظیمات وزن‌دهی'!$C$7+CF705*'تنظیمات وزن‌دهی'!$C$8+CG705*'تنظیمات وزن‌دهی'!$C$9+CH705*'تنظیمات وزن‌دهی'!$C$10+CI705*'تنظیمات وزن‌دهی'!$C$11+CJ705*'تنظیمات وزن‌دهی'!$C$12+CK705*'تنظیمات وزن‌دهی'!$C$13)/100))</x:f>
      </x:c>
      <x:c r="CM705" s="178" t="str">
        <x:f>IF(C705="","",IF(COUNT(G705:CB705)=0,"",IF(COUNT(G705:CB705)&lt;74,"موقت - اطلاعات ناقص",IF(CL705&gt;=17,"عالی",IF(CL705&gt;=14,"خوب",IF(CL705&gt;=10,"متوسط","ضعیف"))))))</x:f>
      </x:c>
      <x:c r="CN705" s="178" t="n">
        <x:v>5</x:v>
      </x:c>
      <x:c r="CO705" s="142" t="n">
        <x:f>IF(C705="","",COUNT(G705:CB705)/74)</x:f>
        <x:v>0</x:v>
      </x:c>
      <x:c r="CP705" s="245"/>
    </x:row>
    <x:row r="706">
      <x:c r="A706" s="165" t="n">
        <x:v>702</x:v>
      </x:c>
      <x:c r="B706" s="233" t="str">
        <x:v>آذر</x:v>
      </x:c>
      <x:c r="C706" s="233" t="n">
        <x:f>IF('دانش‌آموزان'!E63="","",'دانش‌آموزان'!B63)</x:f>
        <x:v>59</x:v>
      </x:c>
      <x:c r="D706" s="233" t="str">
        <x:f>IF('دانش‌آموزان'!C63="","",'دانش‌آموزان'!C63)</x:f>
        <x:v>4000000594</x:v>
      </x:c>
      <x:c r="E706" s="233" t="str">
        <x:f>IF('دانش‌آموزان'!E63="","",'دانش‌آموزان'!E63&amp;" "&amp;'دانش‌آموزان'!F63)</x:f>
        <x:v>رضا صادقی</x:v>
      </x:c>
      <x:c r="F706" s="166" t="str">
        <x:f>IF('دانش‌آموزان'!I63="","",'دانش‌آموزان'!I63)</x:f>
        <x:v>sample-7-c</x:v>
      </x:c>
      <x:c r="G706" s="114"/>
      <x:c r="H706" s="115"/>
      <x:c r="I706" s="115"/>
      <x:c r="J706" s="115"/>
      <x:c r="K706" s="115"/>
      <x:c r="L706" s="115"/>
      <x:c r="M706" s="115"/>
      <x:c r="N706" s="115"/>
      <x:c r="O706" s="115"/>
      <x:c r="P706" s="115"/>
      <x:c r="Q706" s="115"/>
      <x:c r="R706" s="115"/>
      <x:c r="S706" s="115"/>
      <x:c r="T706" s="115"/>
      <x:c r="U706" s="115"/>
      <x:c r="V706" s="115"/>
      <x:c r="W706" s="115"/>
      <x:c r="X706" s="115"/>
      <x:c r="Y706" s="115"/>
      <x:c r="Z706" s="115"/>
      <x:c r="AA706" s="115"/>
      <x:c r="AB706" s="115"/>
      <x:c r="AC706" s="115"/>
      <x:c r="AD706" s="115"/>
      <x:c r="AE706" s="115"/>
      <x:c r="AF706" s="115"/>
      <x:c r="AG706" s="115"/>
      <x:c r="AH706" s="115"/>
      <x:c r="AI706" s="115"/>
      <x:c r="AJ706" s="115"/>
      <x:c r="AK706" s="115"/>
      <x:c r="AL706" s="115"/>
      <x:c r="AM706" s="115"/>
      <x:c r="AN706" s="115"/>
      <x:c r="AO706" s="115"/>
      <x:c r="AP706" s="115"/>
      <x:c r="AQ706" s="115"/>
      <x:c r="AR706" s="115"/>
      <x:c r="AS706" s="115"/>
      <x:c r="AT706" s="115"/>
      <x:c r="AU706" s="115"/>
      <x:c r="AV706" s="115"/>
      <x:c r="AW706" s="115"/>
      <x:c r="AX706" s="115"/>
      <x:c r="AY706" s="115"/>
      <x:c r="AZ706" s="115"/>
      <x:c r="BA706" s="115"/>
      <x:c r="BB706" s="115"/>
      <x:c r="BC706" s="115"/>
      <x:c r="BD706" s="115"/>
      <x:c r="BE706" s="115"/>
      <x:c r="BF706" s="115"/>
      <x:c r="BG706" s="115"/>
      <x:c r="BH706" s="115"/>
      <x:c r="BI706" s="115"/>
      <x:c r="BJ706" s="115"/>
      <x:c r="BK706" s="115"/>
      <x:c r="BL706" s="115"/>
      <x:c r="BM706" s="115"/>
      <x:c r="BN706" s="115"/>
      <x:c r="BO706" s="115"/>
      <x:c r="BP706" s="115"/>
      <x:c r="BQ706" s="115"/>
      <x:c r="BR706" s="115"/>
      <x:c r="BS706" s="115"/>
      <x:c r="BT706" s="115"/>
      <x:c r="BU706" s="115"/>
      <x:c r="BV706" s="115"/>
      <x:c r="BW706" s="115"/>
      <x:c r="BX706" s="115"/>
      <x:c r="BY706" s="115"/>
      <x:c r="BZ706" s="115"/>
      <x:c r="CA706" s="115"/>
      <x:c r="CB706" s="116"/>
      <x:c r="CC706" s="141" t="str">
        <x:f>IF(COUNT(G706:P706)=0,"",AVERAGE(G706:P706)*4)</x:f>
      </x:c>
      <x:c r="CD706" s="178" t="str">
        <x:f>IF(COUNT(Q706:Z706)=0,"",AVERAGE(Q706:Z706)*4)</x:f>
      </x:c>
      <x:c r="CE706" s="178" t="str">
        <x:f>IF(COUNT(AA706:AJ706)=0,"",AVERAGE(AA706:AJ706)*4)</x:f>
      </x:c>
      <x:c r="CF706" s="178" t="str">
        <x:f>IF(COUNT(AK706:AR706)=0,"",AVERAGE(AK706:AR706)*4)</x:f>
      </x:c>
      <x:c r="CG706" s="178" t="str">
        <x:f>IF(COUNT(AS706:AY706)=0,"",AVERAGE(AS706:AY706)*4)</x:f>
      </x:c>
      <x:c r="CH706" s="178" t="str">
        <x:f>IF(COUNT(AZ706:BG706)=0,"",AVERAGE(AZ706:BG706)*4)</x:f>
      </x:c>
      <x:c r="CI706" s="178" t="str">
        <x:f>IF(COUNT(BH706:BN706)=0,"",AVERAGE(BH706:BN706)*4)</x:f>
      </x:c>
      <x:c r="CJ706" s="178" t="str">
        <x:f>IF(COUNT(BO706:BU706)=0,"",AVERAGE(BO706:BU706)*4)</x:f>
      </x:c>
      <x:c r="CK706" s="178" t="str">
        <x:f>IF(COUNT(BV706:CB706)=0,"",AVERAGE(BV706:CB706)*4)</x:f>
      </x:c>
      <x:c r="CL706" s="178" t="str">
        <x:f>IF(C706="","",IF(COUNT(G706:CB706)&lt;74,"",(CC706*'تنظیمات وزن‌دهی'!$C$5+CD706*'تنظیمات وزن‌دهی'!$C$6+CE706*'تنظیمات وزن‌دهی'!$C$7+CF706*'تنظیمات وزن‌دهی'!$C$8+CG706*'تنظیمات وزن‌دهی'!$C$9+CH706*'تنظیمات وزن‌دهی'!$C$10+CI706*'تنظیمات وزن‌دهی'!$C$11+CJ706*'تنظیمات وزن‌دهی'!$C$12+CK706*'تنظیمات وزن‌دهی'!$C$13)/100))</x:f>
      </x:c>
      <x:c r="CM706" s="178" t="str">
        <x:f>IF(C706="","",IF(COUNT(G706:CB706)=0,"",IF(COUNT(G706:CB706)&lt;74,"موقت - اطلاعات ناقص",IF(CL706&gt;=17,"عالی",IF(CL706&gt;=14,"خوب",IF(CL706&gt;=10,"متوسط","ضعیف"))))))</x:f>
      </x:c>
      <x:c r="CN706" s="178" t="n">
        <x:v>6</x:v>
      </x:c>
      <x:c r="CO706" s="142" t="n">
        <x:f>IF(C706="","",COUNT(G706:CB706)/74)</x:f>
        <x:v>0</x:v>
      </x:c>
      <x:c r="CP706" s="245"/>
    </x:row>
    <x:row r="707">
      <x:c r="A707" s="165" t="n">
        <x:v>703</x:v>
      </x:c>
      <x:c r="B707" s="233" t="str">
        <x:v>دی</x:v>
      </x:c>
      <x:c r="C707" s="233" t="n">
        <x:f>IF('دانش‌آموزان'!E63="","",'دانش‌آموزان'!B63)</x:f>
        <x:v>59</x:v>
      </x:c>
      <x:c r="D707" s="233" t="str">
        <x:f>IF('دانش‌آموزان'!C63="","",'دانش‌آموزان'!C63)</x:f>
        <x:v>4000000594</x:v>
      </x:c>
      <x:c r="E707" s="233" t="str">
        <x:f>IF('دانش‌آموزان'!E63="","",'دانش‌آموزان'!E63&amp;" "&amp;'دانش‌آموزان'!F63)</x:f>
        <x:v>رضا صادقی</x:v>
      </x:c>
      <x:c r="F707" s="166" t="str">
        <x:f>IF('دانش‌آموزان'!I63="","",'دانش‌آموزان'!I63)</x:f>
        <x:v>sample-7-c</x:v>
      </x:c>
      <x:c r="G707" s="114"/>
      <x:c r="H707" s="115"/>
      <x:c r="I707" s="115"/>
      <x:c r="J707" s="115"/>
      <x:c r="K707" s="115"/>
      <x:c r="L707" s="115"/>
      <x:c r="M707" s="115"/>
      <x:c r="N707" s="115"/>
      <x:c r="O707" s="115"/>
      <x:c r="P707" s="115"/>
      <x:c r="Q707" s="115"/>
      <x:c r="R707" s="115"/>
      <x:c r="S707" s="115"/>
      <x:c r="T707" s="115"/>
      <x:c r="U707" s="115"/>
      <x:c r="V707" s="115"/>
      <x:c r="W707" s="115"/>
      <x:c r="X707" s="115"/>
      <x:c r="Y707" s="115"/>
      <x:c r="Z707" s="115"/>
      <x:c r="AA707" s="115"/>
      <x:c r="AB707" s="115"/>
      <x:c r="AC707" s="115"/>
      <x:c r="AD707" s="115"/>
      <x:c r="AE707" s="115"/>
      <x:c r="AF707" s="115"/>
      <x:c r="AG707" s="115"/>
      <x:c r="AH707" s="115"/>
      <x:c r="AI707" s="115"/>
      <x:c r="AJ707" s="115"/>
      <x:c r="AK707" s="115"/>
      <x:c r="AL707" s="115"/>
      <x:c r="AM707" s="115"/>
      <x:c r="AN707" s="115"/>
      <x:c r="AO707" s="115"/>
      <x:c r="AP707" s="115"/>
      <x:c r="AQ707" s="115"/>
      <x:c r="AR707" s="115"/>
      <x:c r="AS707" s="115"/>
      <x:c r="AT707" s="115"/>
      <x:c r="AU707" s="115"/>
      <x:c r="AV707" s="115"/>
      <x:c r="AW707" s="115"/>
      <x:c r="AX707" s="115"/>
      <x:c r="AY707" s="115"/>
      <x:c r="AZ707" s="115"/>
      <x:c r="BA707" s="115"/>
      <x:c r="BB707" s="115"/>
      <x:c r="BC707" s="115"/>
      <x:c r="BD707" s="115"/>
      <x:c r="BE707" s="115"/>
      <x:c r="BF707" s="115"/>
      <x:c r="BG707" s="115"/>
      <x:c r="BH707" s="115"/>
      <x:c r="BI707" s="115"/>
      <x:c r="BJ707" s="115"/>
      <x:c r="BK707" s="115"/>
      <x:c r="BL707" s="115"/>
      <x:c r="BM707" s="115"/>
      <x:c r="BN707" s="115"/>
      <x:c r="BO707" s="115"/>
      <x:c r="BP707" s="115"/>
      <x:c r="BQ707" s="115"/>
      <x:c r="BR707" s="115"/>
      <x:c r="BS707" s="115"/>
      <x:c r="BT707" s="115"/>
      <x:c r="BU707" s="115"/>
      <x:c r="BV707" s="115"/>
      <x:c r="BW707" s="115"/>
      <x:c r="BX707" s="115"/>
      <x:c r="BY707" s="115"/>
      <x:c r="BZ707" s="115"/>
      <x:c r="CA707" s="115"/>
      <x:c r="CB707" s="116"/>
      <x:c r="CC707" s="141" t="str">
        <x:f>IF(COUNT(G707:P707)=0,"",AVERAGE(G707:P707)*4)</x:f>
      </x:c>
      <x:c r="CD707" s="178" t="str">
        <x:f>IF(COUNT(Q707:Z707)=0,"",AVERAGE(Q707:Z707)*4)</x:f>
      </x:c>
      <x:c r="CE707" s="178" t="str">
        <x:f>IF(COUNT(AA707:AJ707)=0,"",AVERAGE(AA707:AJ707)*4)</x:f>
      </x:c>
      <x:c r="CF707" s="178" t="str">
        <x:f>IF(COUNT(AK707:AR707)=0,"",AVERAGE(AK707:AR707)*4)</x:f>
      </x:c>
      <x:c r="CG707" s="178" t="str">
        <x:f>IF(COUNT(AS707:AY707)=0,"",AVERAGE(AS707:AY707)*4)</x:f>
      </x:c>
      <x:c r="CH707" s="178" t="str">
        <x:f>IF(COUNT(AZ707:BG707)=0,"",AVERAGE(AZ707:BG707)*4)</x:f>
      </x:c>
      <x:c r="CI707" s="178" t="str">
        <x:f>IF(COUNT(BH707:BN707)=0,"",AVERAGE(BH707:BN707)*4)</x:f>
      </x:c>
      <x:c r="CJ707" s="178" t="str">
        <x:f>IF(COUNT(BO707:BU707)=0,"",AVERAGE(BO707:BU707)*4)</x:f>
      </x:c>
      <x:c r="CK707" s="178" t="str">
        <x:f>IF(COUNT(BV707:CB707)=0,"",AVERAGE(BV707:CB707)*4)</x:f>
      </x:c>
      <x:c r="CL707" s="178" t="str">
        <x:f>IF(C707="","",IF(COUNT(G707:CB707)&lt;74,"",(CC707*'تنظیمات وزن‌دهی'!$C$5+CD707*'تنظیمات وزن‌دهی'!$C$6+CE707*'تنظیمات وزن‌دهی'!$C$7+CF707*'تنظیمات وزن‌دهی'!$C$8+CG707*'تنظیمات وزن‌دهی'!$C$9+CH707*'تنظیمات وزن‌دهی'!$C$10+CI707*'تنظیمات وزن‌دهی'!$C$11+CJ707*'تنظیمات وزن‌دهی'!$C$12+CK707*'تنظیمات وزن‌دهی'!$C$13)/100))</x:f>
      </x:c>
      <x:c r="CM707" s="178" t="str">
        <x:f>IF(C707="","",IF(COUNT(G707:CB707)=0,"",IF(COUNT(G707:CB707)&lt;74,"موقت - اطلاعات ناقص",IF(CL707&gt;=17,"عالی",IF(CL707&gt;=14,"خوب",IF(CL707&gt;=10,"متوسط","ضعیف"))))))</x:f>
      </x:c>
      <x:c r="CN707" s="178" t="n">
        <x:v>7</x:v>
      </x:c>
      <x:c r="CO707" s="142" t="n">
        <x:f>IF(C707="","",COUNT(G707:CB707)/74)</x:f>
        <x:v>0</x:v>
      </x:c>
      <x:c r="CP707" s="245"/>
    </x:row>
    <x:row r="708">
      <x:c r="A708" s="165" t="n">
        <x:v>704</x:v>
      </x:c>
      <x:c r="B708" s="233" t="str">
        <x:v>بهمن</x:v>
      </x:c>
      <x:c r="C708" s="233" t="n">
        <x:f>IF('دانش‌آموزان'!E63="","",'دانش‌آموزان'!B63)</x:f>
        <x:v>59</x:v>
      </x:c>
      <x:c r="D708" s="233" t="str">
        <x:f>IF('دانش‌آموزان'!C63="","",'دانش‌آموزان'!C63)</x:f>
        <x:v>4000000594</x:v>
      </x:c>
      <x:c r="E708" s="233" t="str">
        <x:f>IF('دانش‌آموزان'!E63="","",'دانش‌آموزان'!E63&amp;" "&amp;'دانش‌آموزان'!F63)</x:f>
        <x:v>رضا صادقی</x:v>
      </x:c>
      <x:c r="F708" s="166" t="str">
        <x:f>IF('دانش‌آموزان'!I63="","",'دانش‌آموزان'!I63)</x:f>
        <x:v>sample-7-c</x:v>
      </x:c>
      <x:c r="G708" s="114"/>
      <x:c r="H708" s="115"/>
      <x:c r="I708" s="115"/>
      <x:c r="J708" s="115"/>
      <x:c r="K708" s="115"/>
      <x:c r="L708" s="115"/>
      <x:c r="M708" s="115"/>
      <x:c r="N708" s="115"/>
      <x:c r="O708" s="115"/>
      <x:c r="P708" s="115"/>
      <x:c r="Q708" s="115"/>
      <x:c r="R708" s="115"/>
      <x:c r="S708" s="115"/>
      <x:c r="T708" s="115"/>
      <x:c r="U708" s="115"/>
      <x:c r="V708" s="115"/>
      <x:c r="W708" s="115"/>
      <x:c r="X708" s="115"/>
      <x:c r="Y708" s="115"/>
      <x:c r="Z708" s="115"/>
      <x:c r="AA708" s="115"/>
      <x:c r="AB708" s="115"/>
      <x:c r="AC708" s="115"/>
      <x:c r="AD708" s="115"/>
      <x:c r="AE708" s="115"/>
      <x:c r="AF708" s="115"/>
      <x:c r="AG708" s="115"/>
      <x:c r="AH708" s="115"/>
      <x:c r="AI708" s="115"/>
      <x:c r="AJ708" s="115"/>
      <x:c r="AK708" s="115"/>
      <x:c r="AL708" s="115"/>
      <x:c r="AM708" s="115"/>
      <x:c r="AN708" s="115"/>
      <x:c r="AO708" s="115"/>
      <x:c r="AP708" s="115"/>
      <x:c r="AQ708" s="115"/>
      <x:c r="AR708" s="115"/>
      <x:c r="AS708" s="115"/>
      <x:c r="AT708" s="115"/>
      <x:c r="AU708" s="115"/>
      <x:c r="AV708" s="115"/>
      <x:c r="AW708" s="115"/>
      <x:c r="AX708" s="115"/>
      <x:c r="AY708" s="115"/>
      <x:c r="AZ708" s="115"/>
      <x:c r="BA708" s="115"/>
      <x:c r="BB708" s="115"/>
      <x:c r="BC708" s="115"/>
      <x:c r="BD708" s="115"/>
      <x:c r="BE708" s="115"/>
      <x:c r="BF708" s="115"/>
      <x:c r="BG708" s="115"/>
      <x:c r="BH708" s="115"/>
      <x:c r="BI708" s="115"/>
      <x:c r="BJ708" s="115"/>
      <x:c r="BK708" s="115"/>
      <x:c r="BL708" s="115"/>
      <x:c r="BM708" s="115"/>
      <x:c r="BN708" s="115"/>
      <x:c r="BO708" s="115"/>
      <x:c r="BP708" s="115"/>
      <x:c r="BQ708" s="115"/>
      <x:c r="BR708" s="115"/>
      <x:c r="BS708" s="115"/>
      <x:c r="BT708" s="115"/>
      <x:c r="BU708" s="115"/>
      <x:c r="BV708" s="115"/>
      <x:c r="BW708" s="115"/>
      <x:c r="BX708" s="115"/>
      <x:c r="BY708" s="115"/>
      <x:c r="BZ708" s="115"/>
      <x:c r="CA708" s="115"/>
      <x:c r="CB708" s="116"/>
      <x:c r="CC708" s="141" t="str">
        <x:f>IF(COUNT(G708:P708)=0,"",AVERAGE(G708:P708)*4)</x:f>
      </x:c>
      <x:c r="CD708" s="178" t="str">
        <x:f>IF(COUNT(Q708:Z708)=0,"",AVERAGE(Q708:Z708)*4)</x:f>
      </x:c>
      <x:c r="CE708" s="178" t="str">
        <x:f>IF(COUNT(AA708:AJ708)=0,"",AVERAGE(AA708:AJ708)*4)</x:f>
      </x:c>
      <x:c r="CF708" s="178" t="str">
        <x:f>IF(COUNT(AK708:AR708)=0,"",AVERAGE(AK708:AR708)*4)</x:f>
      </x:c>
      <x:c r="CG708" s="178" t="str">
        <x:f>IF(COUNT(AS708:AY708)=0,"",AVERAGE(AS708:AY708)*4)</x:f>
      </x:c>
      <x:c r="CH708" s="178" t="str">
        <x:f>IF(COUNT(AZ708:BG708)=0,"",AVERAGE(AZ708:BG708)*4)</x:f>
      </x:c>
      <x:c r="CI708" s="178" t="str">
        <x:f>IF(COUNT(BH708:BN708)=0,"",AVERAGE(BH708:BN708)*4)</x:f>
      </x:c>
      <x:c r="CJ708" s="178" t="str">
        <x:f>IF(COUNT(BO708:BU708)=0,"",AVERAGE(BO708:BU708)*4)</x:f>
      </x:c>
      <x:c r="CK708" s="178" t="str">
        <x:f>IF(COUNT(BV708:CB708)=0,"",AVERAGE(BV708:CB708)*4)</x:f>
      </x:c>
      <x:c r="CL708" s="178" t="str">
        <x:f>IF(C708="","",IF(COUNT(G708:CB708)&lt;74,"",(CC708*'تنظیمات وزن‌دهی'!$C$5+CD708*'تنظیمات وزن‌دهی'!$C$6+CE708*'تنظیمات وزن‌دهی'!$C$7+CF708*'تنظیمات وزن‌دهی'!$C$8+CG708*'تنظیمات وزن‌دهی'!$C$9+CH708*'تنظیمات وزن‌دهی'!$C$10+CI708*'تنظیمات وزن‌دهی'!$C$11+CJ708*'تنظیمات وزن‌دهی'!$C$12+CK708*'تنظیمات وزن‌دهی'!$C$13)/100))</x:f>
      </x:c>
      <x:c r="CM708" s="178" t="str">
        <x:f>IF(C708="","",IF(COUNT(G708:CB708)=0,"",IF(COUNT(G708:CB708)&lt;74,"موقت - اطلاعات ناقص",IF(CL708&gt;=17,"عالی",IF(CL708&gt;=14,"خوب",IF(CL708&gt;=10,"متوسط","ضعیف"))))))</x:f>
      </x:c>
      <x:c r="CN708" s="178" t="n">
        <x:v>8</x:v>
      </x:c>
      <x:c r="CO708" s="142" t="n">
        <x:f>IF(C708="","",COUNT(G708:CB708)/74)</x:f>
        <x:v>0</x:v>
      </x:c>
      <x:c r="CP708" s="245"/>
    </x:row>
    <x:row r="709">
      <x:c r="A709" s="165" t="n">
        <x:v>705</x:v>
      </x:c>
      <x:c r="B709" s="233" t="str">
        <x:v>اسفند</x:v>
      </x:c>
      <x:c r="C709" s="233" t="n">
        <x:f>IF('دانش‌آموزان'!E63="","",'دانش‌آموزان'!B63)</x:f>
        <x:v>59</x:v>
      </x:c>
      <x:c r="D709" s="233" t="str">
        <x:f>IF('دانش‌آموزان'!C63="","",'دانش‌آموزان'!C63)</x:f>
        <x:v>4000000594</x:v>
      </x:c>
      <x:c r="E709" s="233" t="str">
        <x:f>IF('دانش‌آموزان'!E63="","",'دانش‌آموزان'!E63&amp;" "&amp;'دانش‌آموزان'!F63)</x:f>
        <x:v>رضا صادقی</x:v>
      </x:c>
      <x:c r="F709" s="166" t="str">
        <x:f>IF('دانش‌آموزان'!I63="","",'دانش‌آموزان'!I63)</x:f>
        <x:v>sample-7-c</x:v>
      </x:c>
      <x:c r="G709" s="114"/>
      <x:c r="H709" s="115"/>
      <x:c r="I709" s="115"/>
      <x:c r="J709" s="115"/>
      <x:c r="K709" s="115"/>
      <x:c r="L709" s="115"/>
      <x:c r="M709" s="115"/>
      <x:c r="N709" s="115"/>
      <x:c r="O709" s="115"/>
      <x:c r="P709" s="115"/>
      <x:c r="Q709" s="115"/>
      <x:c r="R709" s="115"/>
      <x:c r="S709" s="115"/>
      <x:c r="T709" s="115"/>
      <x:c r="U709" s="115"/>
      <x:c r="V709" s="115"/>
      <x:c r="W709" s="115"/>
      <x:c r="X709" s="115"/>
      <x:c r="Y709" s="115"/>
      <x:c r="Z709" s="115"/>
      <x:c r="AA709" s="115"/>
      <x:c r="AB709" s="115"/>
      <x:c r="AC709" s="115"/>
      <x:c r="AD709" s="115"/>
      <x:c r="AE709" s="115"/>
      <x:c r="AF709" s="115"/>
      <x:c r="AG709" s="115"/>
      <x:c r="AH709" s="115"/>
      <x:c r="AI709" s="115"/>
      <x:c r="AJ709" s="115"/>
      <x:c r="AK709" s="115"/>
      <x:c r="AL709" s="115"/>
      <x:c r="AM709" s="115"/>
      <x:c r="AN709" s="115"/>
      <x:c r="AO709" s="115"/>
      <x:c r="AP709" s="115"/>
      <x:c r="AQ709" s="115"/>
      <x:c r="AR709" s="115"/>
      <x:c r="AS709" s="115"/>
      <x:c r="AT709" s="115"/>
      <x:c r="AU709" s="115"/>
      <x:c r="AV709" s="115"/>
      <x:c r="AW709" s="115"/>
      <x:c r="AX709" s="115"/>
      <x:c r="AY709" s="115"/>
      <x:c r="AZ709" s="115"/>
      <x:c r="BA709" s="115"/>
      <x:c r="BB709" s="115"/>
      <x:c r="BC709" s="115"/>
      <x:c r="BD709" s="115"/>
      <x:c r="BE709" s="115"/>
      <x:c r="BF709" s="115"/>
      <x:c r="BG709" s="115"/>
      <x:c r="BH709" s="115"/>
      <x:c r="BI709" s="115"/>
      <x:c r="BJ709" s="115"/>
      <x:c r="BK709" s="115"/>
      <x:c r="BL709" s="115"/>
      <x:c r="BM709" s="115"/>
      <x:c r="BN709" s="115"/>
      <x:c r="BO709" s="115"/>
      <x:c r="BP709" s="115"/>
      <x:c r="BQ709" s="115"/>
      <x:c r="BR709" s="115"/>
      <x:c r="BS709" s="115"/>
      <x:c r="BT709" s="115"/>
      <x:c r="BU709" s="115"/>
      <x:c r="BV709" s="115"/>
      <x:c r="BW709" s="115"/>
      <x:c r="BX709" s="115"/>
      <x:c r="BY709" s="115"/>
      <x:c r="BZ709" s="115"/>
      <x:c r="CA709" s="115"/>
      <x:c r="CB709" s="116"/>
      <x:c r="CC709" s="141" t="str">
        <x:f>IF(COUNT(G709:P709)=0,"",AVERAGE(G709:P709)*4)</x:f>
      </x:c>
      <x:c r="CD709" s="178" t="str">
        <x:f>IF(COUNT(Q709:Z709)=0,"",AVERAGE(Q709:Z709)*4)</x:f>
      </x:c>
      <x:c r="CE709" s="178" t="str">
        <x:f>IF(COUNT(AA709:AJ709)=0,"",AVERAGE(AA709:AJ709)*4)</x:f>
      </x:c>
      <x:c r="CF709" s="178" t="str">
        <x:f>IF(COUNT(AK709:AR709)=0,"",AVERAGE(AK709:AR709)*4)</x:f>
      </x:c>
      <x:c r="CG709" s="178" t="str">
        <x:f>IF(COUNT(AS709:AY709)=0,"",AVERAGE(AS709:AY709)*4)</x:f>
      </x:c>
      <x:c r="CH709" s="178" t="str">
        <x:f>IF(COUNT(AZ709:BG709)=0,"",AVERAGE(AZ709:BG709)*4)</x:f>
      </x:c>
      <x:c r="CI709" s="178" t="str">
        <x:f>IF(COUNT(BH709:BN709)=0,"",AVERAGE(BH709:BN709)*4)</x:f>
      </x:c>
      <x:c r="CJ709" s="178" t="str">
        <x:f>IF(COUNT(BO709:BU709)=0,"",AVERAGE(BO709:BU709)*4)</x:f>
      </x:c>
      <x:c r="CK709" s="178" t="str">
        <x:f>IF(COUNT(BV709:CB709)=0,"",AVERAGE(BV709:CB709)*4)</x:f>
      </x:c>
      <x:c r="CL709" s="178" t="str">
        <x:f>IF(C709="","",IF(COUNT(G709:CB709)&lt;74,"",(CC709*'تنظیمات وزن‌دهی'!$C$5+CD709*'تنظیمات وزن‌دهی'!$C$6+CE709*'تنظیمات وزن‌دهی'!$C$7+CF709*'تنظیمات وزن‌دهی'!$C$8+CG709*'تنظیمات وزن‌دهی'!$C$9+CH709*'تنظیمات وزن‌دهی'!$C$10+CI709*'تنظیمات وزن‌دهی'!$C$11+CJ709*'تنظیمات وزن‌دهی'!$C$12+CK709*'تنظیمات وزن‌دهی'!$C$13)/100))</x:f>
      </x:c>
      <x:c r="CM709" s="178" t="str">
        <x:f>IF(C709="","",IF(COUNT(G709:CB709)=0,"",IF(COUNT(G709:CB709)&lt;74,"موقت - اطلاعات ناقص",IF(CL709&gt;=17,"عالی",IF(CL709&gt;=14,"خوب",IF(CL709&gt;=10,"متوسط","ضعیف"))))))</x:f>
      </x:c>
      <x:c r="CN709" s="178" t="n">
        <x:v>9</x:v>
      </x:c>
      <x:c r="CO709" s="142" t="n">
        <x:f>IF(C709="","",COUNT(G709:CB709)/74)</x:f>
        <x:v>0</x:v>
      </x:c>
      <x:c r="CP709" s="245"/>
    </x:row>
    <x:row r="710">
      <x:c r="A710" s="165" t="n">
        <x:v>706</x:v>
      </x:c>
      <x:c r="B710" s="233" t="str">
        <x:v>فروردین</x:v>
      </x:c>
      <x:c r="C710" s="233" t="n">
        <x:f>IF('دانش‌آموزان'!E63="","",'دانش‌آموزان'!B63)</x:f>
        <x:v>59</x:v>
      </x:c>
      <x:c r="D710" s="233" t="str">
        <x:f>IF('دانش‌آموزان'!C63="","",'دانش‌آموزان'!C63)</x:f>
        <x:v>4000000594</x:v>
      </x:c>
      <x:c r="E710" s="233" t="str">
        <x:f>IF('دانش‌آموزان'!E63="","",'دانش‌آموزان'!E63&amp;" "&amp;'دانش‌آموزان'!F63)</x:f>
        <x:v>رضا صادقی</x:v>
      </x:c>
      <x:c r="F710" s="166" t="str">
        <x:f>IF('دانش‌آموزان'!I63="","",'دانش‌آموزان'!I63)</x:f>
        <x:v>sample-7-c</x:v>
      </x:c>
      <x:c r="G710" s="114"/>
      <x:c r="H710" s="115"/>
      <x:c r="I710" s="115"/>
      <x:c r="J710" s="115"/>
      <x:c r="K710" s="115"/>
      <x:c r="L710" s="115"/>
      <x:c r="M710" s="115"/>
      <x:c r="N710" s="115"/>
      <x:c r="O710" s="115"/>
      <x:c r="P710" s="115"/>
      <x:c r="Q710" s="115"/>
      <x:c r="R710" s="115"/>
      <x:c r="S710" s="115"/>
      <x:c r="T710" s="115"/>
      <x:c r="U710" s="115"/>
      <x:c r="V710" s="115"/>
      <x:c r="W710" s="115"/>
      <x:c r="X710" s="115"/>
      <x:c r="Y710" s="115"/>
      <x:c r="Z710" s="115"/>
      <x:c r="AA710" s="115"/>
      <x:c r="AB710" s="115"/>
      <x:c r="AC710" s="115"/>
      <x:c r="AD710" s="115"/>
      <x:c r="AE710" s="115"/>
      <x:c r="AF710" s="115"/>
      <x:c r="AG710" s="115"/>
      <x:c r="AH710" s="115"/>
      <x:c r="AI710" s="115"/>
      <x:c r="AJ710" s="115"/>
      <x:c r="AK710" s="115"/>
      <x:c r="AL710" s="115"/>
      <x:c r="AM710" s="115"/>
      <x:c r="AN710" s="115"/>
      <x:c r="AO710" s="115"/>
      <x:c r="AP710" s="115"/>
      <x:c r="AQ710" s="115"/>
      <x:c r="AR710" s="115"/>
      <x:c r="AS710" s="115"/>
      <x:c r="AT710" s="115"/>
      <x:c r="AU710" s="115"/>
      <x:c r="AV710" s="115"/>
      <x:c r="AW710" s="115"/>
      <x:c r="AX710" s="115"/>
      <x:c r="AY710" s="115"/>
      <x:c r="AZ710" s="115"/>
      <x:c r="BA710" s="115"/>
      <x:c r="BB710" s="115"/>
      <x:c r="BC710" s="115"/>
      <x:c r="BD710" s="115"/>
      <x:c r="BE710" s="115"/>
      <x:c r="BF710" s="115"/>
      <x:c r="BG710" s="115"/>
      <x:c r="BH710" s="115"/>
      <x:c r="BI710" s="115"/>
      <x:c r="BJ710" s="115"/>
      <x:c r="BK710" s="115"/>
      <x:c r="BL710" s="115"/>
      <x:c r="BM710" s="115"/>
      <x:c r="BN710" s="115"/>
      <x:c r="BO710" s="115"/>
      <x:c r="BP710" s="115"/>
      <x:c r="BQ710" s="115"/>
      <x:c r="BR710" s="115"/>
      <x:c r="BS710" s="115"/>
      <x:c r="BT710" s="115"/>
      <x:c r="BU710" s="115"/>
      <x:c r="BV710" s="115"/>
      <x:c r="BW710" s="115"/>
      <x:c r="BX710" s="115"/>
      <x:c r="BY710" s="115"/>
      <x:c r="BZ710" s="115"/>
      <x:c r="CA710" s="115"/>
      <x:c r="CB710" s="116"/>
      <x:c r="CC710" s="141" t="str">
        <x:f>IF(COUNT(G710:P710)=0,"",AVERAGE(G710:P710)*4)</x:f>
      </x:c>
      <x:c r="CD710" s="178" t="str">
        <x:f>IF(COUNT(Q710:Z710)=0,"",AVERAGE(Q710:Z710)*4)</x:f>
      </x:c>
      <x:c r="CE710" s="178" t="str">
        <x:f>IF(COUNT(AA710:AJ710)=0,"",AVERAGE(AA710:AJ710)*4)</x:f>
      </x:c>
      <x:c r="CF710" s="178" t="str">
        <x:f>IF(COUNT(AK710:AR710)=0,"",AVERAGE(AK710:AR710)*4)</x:f>
      </x:c>
      <x:c r="CG710" s="178" t="str">
        <x:f>IF(COUNT(AS710:AY710)=0,"",AVERAGE(AS710:AY710)*4)</x:f>
      </x:c>
      <x:c r="CH710" s="178" t="str">
        <x:f>IF(COUNT(AZ710:BG710)=0,"",AVERAGE(AZ710:BG710)*4)</x:f>
      </x:c>
      <x:c r="CI710" s="178" t="str">
        <x:f>IF(COUNT(BH710:BN710)=0,"",AVERAGE(BH710:BN710)*4)</x:f>
      </x:c>
      <x:c r="CJ710" s="178" t="str">
        <x:f>IF(COUNT(BO710:BU710)=0,"",AVERAGE(BO710:BU710)*4)</x:f>
      </x:c>
      <x:c r="CK710" s="178" t="str">
        <x:f>IF(COUNT(BV710:CB710)=0,"",AVERAGE(BV710:CB710)*4)</x:f>
      </x:c>
      <x:c r="CL710" s="178" t="str">
        <x:f>IF(C710="","",IF(COUNT(G710:CB710)&lt;74,"",(CC710*'تنظیمات وزن‌دهی'!$C$5+CD710*'تنظیمات وزن‌دهی'!$C$6+CE710*'تنظیمات وزن‌دهی'!$C$7+CF710*'تنظیمات وزن‌دهی'!$C$8+CG710*'تنظیمات وزن‌دهی'!$C$9+CH710*'تنظیمات وزن‌دهی'!$C$10+CI710*'تنظیمات وزن‌دهی'!$C$11+CJ710*'تنظیمات وزن‌دهی'!$C$12+CK710*'تنظیمات وزن‌دهی'!$C$13)/100))</x:f>
      </x:c>
      <x:c r="CM710" s="178" t="str">
        <x:f>IF(C710="","",IF(COUNT(G710:CB710)=0,"",IF(COUNT(G710:CB710)&lt;74,"موقت - اطلاعات ناقص",IF(CL710&gt;=17,"عالی",IF(CL710&gt;=14,"خوب",IF(CL710&gt;=10,"متوسط","ضعیف"))))))</x:f>
      </x:c>
      <x:c r="CN710" s="178" t="n">
        <x:v>10</x:v>
      </x:c>
      <x:c r="CO710" s="142" t="n">
        <x:f>IF(C710="","",COUNT(G710:CB710)/74)</x:f>
        <x:v>0</x:v>
      </x:c>
      <x:c r="CP710" s="245"/>
    </x:row>
    <x:row r="711">
      <x:c r="A711" s="165" t="n">
        <x:v>707</x:v>
      </x:c>
      <x:c r="B711" s="233" t="str">
        <x:v>اردیبهشت</x:v>
      </x:c>
      <x:c r="C711" s="233" t="n">
        <x:f>IF('دانش‌آموزان'!E63="","",'دانش‌آموزان'!B63)</x:f>
        <x:v>59</x:v>
      </x:c>
      <x:c r="D711" s="233" t="str">
        <x:f>IF('دانش‌آموزان'!C63="","",'دانش‌آموزان'!C63)</x:f>
        <x:v>4000000594</x:v>
      </x:c>
      <x:c r="E711" s="233" t="str">
        <x:f>IF('دانش‌آموزان'!E63="","",'دانش‌آموزان'!E63&amp;" "&amp;'دانش‌آموزان'!F63)</x:f>
        <x:v>رضا صادقی</x:v>
      </x:c>
      <x:c r="F711" s="166" t="str">
        <x:f>IF('دانش‌آموزان'!I63="","",'دانش‌آموزان'!I63)</x:f>
        <x:v>sample-7-c</x:v>
      </x:c>
      <x:c r="G711" s="114"/>
      <x:c r="H711" s="115"/>
      <x:c r="I711" s="115"/>
      <x:c r="J711" s="115"/>
      <x:c r="K711" s="115"/>
      <x:c r="L711" s="115"/>
      <x:c r="M711" s="115"/>
      <x:c r="N711" s="115"/>
      <x:c r="O711" s="115"/>
      <x:c r="P711" s="115"/>
      <x:c r="Q711" s="115"/>
      <x:c r="R711" s="115"/>
      <x:c r="S711" s="115"/>
      <x:c r="T711" s="115"/>
      <x:c r="U711" s="115"/>
      <x:c r="V711" s="115"/>
      <x:c r="W711" s="115"/>
      <x:c r="X711" s="115"/>
      <x:c r="Y711" s="115"/>
      <x:c r="Z711" s="115"/>
      <x:c r="AA711" s="115"/>
      <x:c r="AB711" s="115"/>
      <x:c r="AC711" s="115"/>
      <x:c r="AD711" s="115"/>
      <x:c r="AE711" s="115"/>
      <x:c r="AF711" s="115"/>
      <x:c r="AG711" s="115"/>
      <x:c r="AH711" s="115"/>
      <x:c r="AI711" s="115"/>
      <x:c r="AJ711" s="115"/>
      <x:c r="AK711" s="115"/>
      <x:c r="AL711" s="115"/>
      <x:c r="AM711" s="115"/>
      <x:c r="AN711" s="115"/>
      <x:c r="AO711" s="115"/>
      <x:c r="AP711" s="115"/>
      <x:c r="AQ711" s="115"/>
      <x:c r="AR711" s="115"/>
      <x:c r="AS711" s="115"/>
      <x:c r="AT711" s="115"/>
      <x:c r="AU711" s="115"/>
      <x:c r="AV711" s="115"/>
      <x:c r="AW711" s="115"/>
      <x:c r="AX711" s="115"/>
      <x:c r="AY711" s="115"/>
      <x:c r="AZ711" s="115"/>
      <x:c r="BA711" s="115"/>
      <x:c r="BB711" s="115"/>
      <x:c r="BC711" s="115"/>
      <x:c r="BD711" s="115"/>
      <x:c r="BE711" s="115"/>
      <x:c r="BF711" s="115"/>
      <x:c r="BG711" s="115"/>
      <x:c r="BH711" s="115"/>
      <x:c r="BI711" s="115"/>
      <x:c r="BJ711" s="115"/>
      <x:c r="BK711" s="115"/>
      <x:c r="BL711" s="115"/>
      <x:c r="BM711" s="115"/>
      <x:c r="BN711" s="115"/>
      <x:c r="BO711" s="115"/>
      <x:c r="BP711" s="115"/>
      <x:c r="BQ711" s="115"/>
      <x:c r="BR711" s="115"/>
      <x:c r="BS711" s="115"/>
      <x:c r="BT711" s="115"/>
      <x:c r="BU711" s="115"/>
      <x:c r="BV711" s="115"/>
      <x:c r="BW711" s="115"/>
      <x:c r="BX711" s="115"/>
      <x:c r="BY711" s="115"/>
      <x:c r="BZ711" s="115"/>
      <x:c r="CA711" s="115"/>
      <x:c r="CB711" s="116"/>
      <x:c r="CC711" s="141" t="str">
        <x:f>IF(COUNT(G711:P711)=0,"",AVERAGE(G711:P711)*4)</x:f>
      </x:c>
      <x:c r="CD711" s="178" t="str">
        <x:f>IF(COUNT(Q711:Z711)=0,"",AVERAGE(Q711:Z711)*4)</x:f>
      </x:c>
      <x:c r="CE711" s="178" t="str">
        <x:f>IF(COUNT(AA711:AJ711)=0,"",AVERAGE(AA711:AJ711)*4)</x:f>
      </x:c>
      <x:c r="CF711" s="178" t="str">
        <x:f>IF(COUNT(AK711:AR711)=0,"",AVERAGE(AK711:AR711)*4)</x:f>
      </x:c>
      <x:c r="CG711" s="178" t="str">
        <x:f>IF(COUNT(AS711:AY711)=0,"",AVERAGE(AS711:AY711)*4)</x:f>
      </x:c>
      <x:c r="CH711" s="178" t="str">
        <x:f>IF(COUNT(AZ711:BG711)=0,"",AVERAGE(AZ711:BG711)*4)</x:f>
      </x:c>
      <x:c r="CI711" s="178" t="str">
        <x:f>IF(COUNT(BH711:BN711)=0,"",AVERAGE(BH711:BN711)*4)</x:f>
      </x:c>
      <x:c r="CJ711" s="178" t="str">
        <x:f>IF(COUNT(BO711:BU711)=0,"",AVERAGE(BO711:BU711)*4)</x:f>
      </x:c>
      <x:c r="CK711" s="178" t="str">
        <x:f>IF(COUNT(BV711:CB711)=0,"",AVERAGE(BV711:CB711)*4)</x:f>
      </x:c>
      <x:c r="CL711" s="178" t="str">
        <x:f>IF(C711="","",IF(COUNT(G711:CB711)&lt;74,"",(CC711*'تنظیمات وزن‌دهی'!$C$5+CD711*'تنظیمات وزن‌دهی'!$C$6+CE711*'تنظیمات وزن‌دهی'!$C$7+CF711*'تنظیمات وزن‌دهی'!$C$8+CG711*'تنظیمات وزن‌دهی'!$C$9+CH711*'تنظیمات وزن‌دهی'!$C$10+CI711*'تنظیمات وزن‌دهی'!$C$11+CJ711*'تنظیمات وزن‌دهی'!$C$12+CK711*'تنظیمات وزن‌دهی'!$C$13)/100))</x:f>
      </x:c>
      <x:c r="CM711" s="178" t="str">
        <x:f>IF(C711="","",IF(COUNT(G711:CB711)=0,"",IF(COUNT(G711:CB711)&lt;74,"موقت - اطلاعات ناقص",IF(CL711&gt;=17,"عالی",IF(CL711&gt;=14,"خوب",IF(CL711&gt;=10,"متوسط","ضعیف"))))))</x:f>
      </x:c>
      <x:c r="CN711" s="178" t="n">
        <x:v>11</x:v>
      </x:c>
      <x:c r="CO711" s="142" t="n">
        <x:f>IF(C711="","",COUNT(G711:CB711)/74)</x:f>
        <x:v>0</x:v>
      </x:c>
      <x:c r="CP711" s="245"/>
    </x:row>
    <x:row r="712">
      <x:c r="A712" s="165" t="n">
        <x:v>708</x:v>
      </x:c>
      <x:c r="B712" s="233" t="str">
        <x:v>خرداد</x:v>
      </x:c>
      <x:c r="C712" s="233" t="n">
        <x:f>IF('دانش‌آموزان'!E63="","",'دانش‌آموزان'!B63)</x:f>
        <x:v>59</x:v>
      </x:c>
      <x:c r="D712" s="233" t="str">
        <x:f>IF('دانش‌آموزان'!C63="","",'دانش‌آموزان'!C63)</x:f>
        <x:v>4000000594</x:v>
      </x:c>
      <x:c r="E712" s="233" t="str">
        <x:f>IF('دانش‌آموزان'!E63="","",'دانش‌آموزان'!E63&amp;" "&amp;'دانش‌آموزان'!F63)</x:f>
        <x:v>رضا صادقی</x:v>
      </x:c>
      <x:c r="F712" s="166" t="str">
        <x:f>IF('دانش‌آموزان'!I63="","",'دانش‌آموزان'!I63)</x:f>
        <x:v>sample-7-c</x:v>
      </x:c>
      <x:c r="G712" s="114"/>
      <x:c r="H712" s="115"/>
      <x:c r="I712" s="115"/>
      <x:c r="J712" s="115"/>
      <x:c r="K712" s="115"/>
      <x:c r="L712" s="115"/>
      <x:c r="M712" s="115"/>
      <x:c r="N712" s="115"/>
      <x:c r="O712" s="115"/>
      <x:c r="P712" s="115"/>
      <x:c r="Q712" s="115"/>
      <x:c r="R712" s="115"/>
      <x:c r="S712" s="115"/>
      <x:c r="T712" s="115"/>
      <x:c r="U712" s="115"/>
      <x:c r="V712" s="115"/>
      <x:c r="W712" s="115"/>
      <x:c r="X712" s="115"/>
      <x:c r="Y712" s="115"/>
      <x:c r="Z712" s="115"/>
      <x:c r="AA712" s="115"/>
      <x:c r="AB712" s="115"/>
      <x:c r="AC712" s="115"/>
      <x:c r="AD712" s="115"/>
      <x:c r="AE712" s="115"/>
      <x:c r="AF712" s="115"/>
      <x:c r="AG712" s="115"/>
      <x:c r="AH712" s="115"/>
      <x:c r="AI712" s="115"/>
      <x:c r="AJ712" s="115"/>
      <x:c r="AK712" s="115"/>
      <x:c r="AL712" s="115"/>
      <x:c r="AM712" s="115"/>
      <x:c r="AN712" s="115"/>
      <x:c r="AO712" s="115"/>
      <x:c r="AP712" s="115"/>
      <x:c r="AQ712" s="115"/>
      <x:c r="AR712" s="115"/>
      <x:c r="AS712" s="115"/>
      <x:c r="AT712" s="115"/>
      <x:c r="AU712" s="115"/>
      <x:c r="AV712" s="115"/>
      <x:c r="AW712" s="115"/>
      <x:c r="AX712" s="115"/>
      <x:c r="AY712" s="115"/>
      <x:c r="AZ712" s="115"/>
      <x:c r="BA712" s="115"/>
      <x:c r="BB712" s="115"/>
      <x:c r="BC712" s="115"/>
      <x:c r="BD712" s="115"/>
      <x:c r="BE712" s="115"/>
      <x:c r="BF712" s="115"/>
      <x:c r="BG712" s="115"/>
      <x:c r="BH712" s="115"/>
      <x:c r="BI712" s="115"/>
      <x:c r="BJ712" s="115"/>
      <x:c r="BK712" s="115"/>
      <x:c r="BL712" s="115"/>
      <x:c r="BM712" s="115"/>
      <x:c r="BN712" s="115"/>
      <x:c r="BO712" s="115"/>
      <x:c r="BP712" s="115"/>
      <x:c r="BQ712" s="115"/>
      <x:c r="BR712" s="115"/>
      <x:c r="BS712" s="115"/>
      <x:c r="BT712" s="115"/>
      <x:c r="BU712" s="115"/>
      <x:c r="BV712" s="115"/>
      <x:c r="BW712" s="115"/>
      <x:c r="BX712" s="115"/>
      <x:c r="BY712" s="115"/>
      <x:c r="BZ712" s="115"/>
      <x:c r="CA712" s="115"/>
      <x:c r="CB712" s="116"/>
      <x:c r="CC712" s="141" t="str">
        <x:f>IF(COUNT(G712:P712)=0,"",AVERAGE(G712:P712)*4)</x:f>
      </x:c>
      <x:c r="CD712" s="178" t="str">
        <x:f>IF(COUNT(Q712:Z712)=0,"",AVERAGE(Q712:Z712)*4)</x:f>
      </x:c>
      <x:c r="CE712" s="178" t="str">
        <x:f>IF(COUNT(AA712:AJ712)=0,"",AVERAGE(AA712:AJ712)*4)</x:f>
      </x:c>
      <x:c r="CF712" s="178" t="str">
        <x:f>IF(COUNT(AK712:AR712)=0,"",AVERAGE(AK712:AR712)*4)</x:f>
      </x:c>
      <x:c r="CG712" s="178" t="str">
        <x:f>IF(COUNT(AS712:AY712)=0,"",AVERAGE(AS712:AY712)*4)</x:f>
      </x:c>
      <x:c r="CH712" s="178" t="str">
        <x:f>IF(COUNT(AZ712:BG712)=0,"",AVERAGE(AZ712:BG712)*4)</x:f>
      </x:c>
      <x:c r="CI712" s="178" t="str">
        <x:f>IF(COUNT(BH712:BN712)=0,"",AVERAGE(BH712:BN712)*4)</x:f>
      </x:c>
      <x:c r="CJ712" s="178" t="str">
        <x:f>IF(COUNT(BO712:BU712)=0,"",AVERAGE(BO712:BU712)*4)</x:f>
      </x:c>
      <x:c r="CK712" s="178" t="str">
        <x:f>IF(COUNT(BV712:CB712)=0,"",AVERAGE(BV712:CB712)*4)</x:f>
      </x:c>
      <x:c r="CL712" s="178" t="str">
        <x:f>IF(C712="","",IF(COUNT(G712:CB712)&lt;74,"",(CC712*'تنظیمات وزن‌دهی'!$C$5+CD712*'تنظیمات وزن‌دهی'!$C$6+CE712*'تنظیمات وزن‌دهی'!$C$7+CF712*'تنظیمات وزن‌دهی'!$C$8+CG712*'تنظیمات وزن‌دهی'!$C$9+CH712*'تنظیمات وزن‌دهی'!$C$10+CI712*'تنظیمات وزن‌دهی'!$C$11+CJ712*'تنظیمات وزن‌دهی'!$C$12+CK712*'تنظیمات وزن‌دهی'!$C$13)/100))</x:f>
      </x:c>
      <x:c r="CM712" s="178" t="str">
        <x:f>IF(C712="","",IF(COUNT(G712:CB712)=0,"",IF(COUNT(G712:CB712)&lt;74,"موقت - اطلاعات ناقص",IF(CL712&gt;=17,"عالی",IF(CL712&gt;=14,"خوب",IF(CL712&gt;=10,"متوسط","ضعیف"))))))</x:f>
      </x:c>
      <x:c r="CN712" s="178" t="n">
        <x:v>12</x:v>
      </x:c>
      <x:c r="CO712" s="142" t="n">
        <x:f>IF(C712="","",COUNT(G712:CB712)/74)</x:f>
        <x:v>0</x:v>
      </x:c>
      <x:c r="CP712" s="245"/>
    </x:row>
    <x:row r="713">
      <x:c r="A713" s="165" t="n">
        <x:v>709</x:v>
      </x:c>
      <x:c r="B713" s="233" t="str">
        <x:v>تیر</x:v>
      </x:c>
      <x:c r="C713" s="233" t="n">
        <x:f>IF('دانش‌آموزان'!E64="","",'دانش‌آموزان'!B64)</x:f>
        <x:v>60</x:v>
      </x:c>
      <x:c r="D713" s="233" t="str">
        <x:f>IF('دانش‌آموزان'!C64="","",'دانش‌آموزان'!C64)</x:f>
        <x:v>4000000608</x:v>
      </x:c>
      <x:c r="E713" s="233" t="str">
        <x:f>IF('دانش‌آموزان'!E64="","",'دانش‌آموزان'!E64&amp;" "&amp;'دانش‌آموزان'!F64)</x:f>
        <x:v>آوا کاظمی</x:v>
      </x:c>
      <x:c r="F713" s="166" t="str">
        <x:f>IF('دانش‌آموزان'!I64="","",'دانش‌آموزان'!I64)</x:f>
        <x:v>sample-7-c</x:v>
      </x:c>
      <x:c r="G713" s="114" t="n">
        <x:v>3</x:v>
      </x:c>
      <x:c r="H713" s="115" t="n">
        <x:v>4</x:v>
      </x:c>
      <x:c r="I713" s="115" t="n">
        <x:v>2</x:v>
      </x:c>
      <x:c r="J713" s="115" t="n">
        <x:v>4</x:v>
      </x:c>
      <x:c r="K713" s="115" t="n">
        <x:v>5</x:v>
      </x:c>
      <x:c r="L713" s="115" t="n">
        <x:v>4</x:v>
      </x:c>
      <x:c r="M713" s="115" t="n">
        <x:v>5</x:v>
      </x:c>
      <x:c r="N713" s="115" t="n">
        <x:v>3</x:v>
      </x:c>
      <x:c r="O713" s="115" t="n">
        <x:v>5</x:v>
      </x:c>
      <x:c r="P713" s="115" t="n">
        <x:v>3</x:v>
      </x:c>
      <x:c r="Q713" s="115" t="n">
        <x:v>4</x:v>
      </x:c>
      <x:c r="R713" s="115" t="n">
        <x:v>3</x:v>
      </x:c>
      <x:c r="S713" s="115" t="n">
        <x:v>4</x:v>
      </x:c>
      <x:c r="T713" s="115" t="n">
        <x:v>2</x:v>
      </x:c>
      <x:c r="U713" s="115" t="n">
        <x:v>4</x:v>
      </x:c>
      <x:c r="V713" s="115" t="n">
        <x:v>5</x:v>
      </x:c>
      <x:c r="W713" s="115" t="n">
        <x:v>4</x:v>
      </x:c>
      <x:c r="X713" s="115" t="n">
        <x:v>5</x:v>
      </x:c>
      <x:c r="Y713" s="115" t="n">
        <x:v>3</x:v>
      </x:c>
      <x:c r="Z713" s="115" t="n">
        <x:v>5</x:v>
      </x:c>
      <x:c r="AA713" s="115" t="n">
        <x:v>3</x:v>
      </x:c>
      <x:c r="AB713" s="115" t="n">
        <x:v>4</x:v>
      </x:c>
      <x:c r="AC713" s="115" t="n">
        <x:v>3</x:v>
      </x:c>
      <x:c r="AD713" s="115" t="n">
        <x:v>4</x:v>
      </x:c>
      <x:c r="AE713" s="115" t="n">
        <x:v>2</x:v>
      </x:c>
      <x:c r="AF713" s="115" t="n">
        <x:v>4</x:v>
      </x:c>
      <x:c r="AG713" s="115" t="n">
        <x:v>5</x:v>
      </x:c>
      <x:c r="AH713" s="115" t="n">
        <x:v>4</x:v>
      </x:c>
      <x:c r="AI713" s="115" t="n">
        <x:v>5</x:v>
      </x:c>
      <x:c r="AJ713" s="115" t="n">
        <x:v>3</x:v>
      </x:c>
      <x:c r="AK713" s="115" t="n">
        <x:v>5</x:v>
      </x:c>
      <x:c r="AL713" s="115" t="n">
        <x:v>3</x:v>
      </x:c>
      <x:c r="AM713" s="115" t="n">
        <x:v>4</x:v>
      </x:c>
      <x:c r="AN713" s="115" t="n">
        <x:v>3</x:v>
      </x:c>
      <x:c r="AO713" s="115" t="n">
        <x:v>4</x:v>
      </x:c>
      <x:c r="AP713" s="115" t="n">
        <x:v>2</x:v>
      </x:c>
      <x:c r="AQ713" s="115" t="n">
        <x:v>4</x:v>
      </x:c>
      <x:c r="AR713" s="115" t="n">
        <x:v>5</x:v>
      </x:c>
      <x:c r="AS713" s="115" t="n">
        <x:v>4</x:v>
      </x:c>
      <x:c r="AT713" s="115" t="n">
        <x:v>5</x:v>
      </x:c>
      <x:c r="AU713" s="115" t="n">
        <x:v>3</x:v>
      </x:c>
      <x:c r="AV713" s="115" t="n">
        <x:v>5</x:v>
      </x:c>
      <x:c r="AW713" s="115" t="n">
        <x:v>3</x:v>
      </x:c>
      <x:c r="AX713" s="115" t="n">
        <x:v>4</x:v>
      </x:c>
      <x:c r="AY713" s="115" t="n">
        <x:v>3</x:v>
      </x:c>
      <x:c r="AZ713" s="115" t="n">
        <x:v>4</x:v>
      </x:c>
      <x:c r="BA713" s="115" t="n">
        <x:v>2</x:v>
      </x:c>
      <x:c r="BB713" s="115" t="n">
        <x:v>4</x:v>
      </x:c>
      <x:c r="BC713" s="115" t="n">
        <x:v>5</x:v>
      </x:c>
      <x:c r="BD713" s="115" t="n">
        <x:v>4</x:v>
      </x:c>
      <x:c r="BE713" s="115" t="n">
        <x:v>5</x:v>
      </x:c>
      <x:c r="BF713" s="115" t="n">
        <x:v>3</x:v>
      </x:c>
      <x:c r="BG713" s="115" t="n">
        <x:v>5</x:v>
      </x:c>
      <x:c r="BH713" s="115" t="n">
        <x:v>3</x:v>
      </x:c>
      <x:c r="BI713" s="115" t="n">
        <x:v>4</x:v>
      </x:c>
      <x:c r="BJ713" s="115" t="n">
        <x:v>3</x:v>
      </x:c>
      <x:c r="BK713" s="115" t="n">
        <x:v>4</x:v>
      </x:c>
      <x:c r="BL713" s="115" t="n">
        <x:v>2</x:v>
      </x:c>
      <x:c r="BM713" s="115" t="n">
        <x:v>4</x:v>
      </x:c>
      <x:c r="BN713" s="115" t="n">
        <x:v>5</x:v>
      </x:c>
      <x:c r="BO713" s="115" t="n">
        <x:v>4</x:v>
      </x:c>
      <x:c r="BP713" s="115" t="n">
        <x:v>5</x:v>
      </x:c>
      <x:c r="BQ713" s="115" t="n">
        <x:v>3</x:v>
      </x:c>
      <x:c r="BR713" s="115" t="n">
        <x:v>5</x:v>
      </x:c>
      <x:c r="BS713" s="115" t="n">
        <x:v>3</x:v>
      </x:c>
      <x:c r="BT713" s="115" t="n">
        <x:v>4</x:v>
      </x:c>
      <x:c r="BU713" s="115" t="n">
        <x:v>3</x:v>
      </x:c>
      <x:c r="BV713" s="115" t="n">
        <x:v>4</x:v>
      </x:c>
      <x:c r="BW713" s="115" t="n">
        <x:v>2</x:v>
      </x:c>
      <x:c r="BX713" s="115" t="n">
        <x:v>4</x:v>
      </x:c>
      <x:c r="BY713" s="115" t="n">
        <x:v>5</x:v>
      </x:c>
      <x:c r="BZ713" s="115" t="n">
        <x:v>4</x:v>
      </x:c>
      <x:c r="CA713" s="115" t="n">
        <x:v>5</x:v>
      </x:c>
      <x:c r="CB713" s="116" t="n">
        <x:v>3</x:v>
      </x:c>
      <x:c r="CC713" s="141" t="n">
        <x:f>IF(COUNT(G713:P713)=0,"",AVERAGE(G713:P713)*4)</x:f>
        <x:v>15.2</x:v>
      </x:c>
      <x:c r="CD713" s="178" t="n">
        <x:f>IF(COUNT(Q713:Z713)=0,"",AVERAGE(Q713:Z713)*4)</x:f>
        <x:v>15.6</x:v>
      </x:c>
      <x:c r="CE713" s="178" t="n">
        <x:f>IF(COUNT(AA713:AJ713)=0,"",AVERAGE(AA713:AJ713)*4)</x:f>
        <x:v>14.8</x:v>
      </x:c>
      <x:c r="CF713" s="178" t="n">
        <x:f>IF(COUNT(AK713:AR713)=0,"",AVERAGE(AK713:AR713)*4)</x:f>
        <x:v>15</x:v>
      </x:c>
      <x:c r="CG713" s="178" t="n">
        <x:f>IF(COUNT(AS713:AY713)=0,"",AVERAGE(AS713:AY713)*4)</x:f>
        <x:v>15.428571428571429</x:v>
      </x:c>
      <x:c r="CH713" s="178" t="n">
        <x:f>IF(COUNT(AZ713:BG713)=0,"",AVERAGE(AZ713:BG713)*4)</x:f>
        <x:v>16</x:v>
      </x:c>
      <x:c r="CI713" s="178" t="n">
        <x:f>IF(COUNT(BH713:BN713)=0,"",AVERAGE(BH713:BN713)*4)</x:f>
        <x:v>14.285714285714286</x:v>
      </x:c>
      <x:c r="CJ713" s="178" t="n">
        <x:f>IF(COUNT(BO713:BU713)=0,"",AVERAGE(BO713:BU713)*4)</x:f>
        <x:v>15.428571428571429</x:v>
      </x:c>
      <x:c r="CK713" s="178" t="n">
        <x:f>IF(COUNT(BV713:CB713)=0,"",AVERAGE(BV713:CB713)*4)</x:f>
        <x:v>15.428571428571429</x:v>
      </x:c>
      <x:c r="CL713" s="178" t="n">
        <x:f>IF(C713="","",IF(COUNT(G713:CB713)&lt;74,"",(CC713*'تنظیمات وزن‌دهی'!$C$5+CD713*'تنظیمات وزن‌دهی'!$C$6+CE713*'تنظیمات وزن‌دهی'!$C$7+CF713*'تنظیمات وزن‌دهی'!$C$8+CG713*'تنظیمات وزن‌دهی'!$C$9+CH713*'تنظیمات وزن‌دهی'!$C$10+CI713*'تنظیمات وزن‌دهی'!$C$11+CJ713*'تنظیمات وزن‌دهی'!$C$12+CK713*'تنظیمات وزن‌دهی'!$C$13)/100))</x:f>
        <x:v>15.215714285714286</x:v>
      </x:c>
      <x:c r="CM713" s="178" t="str">
        <x:f>IF(C713="","",IF(COUNT(G713:CB713)=0,"",IF(COUNT(G713:CB713)&lt;74,"موقت - اطلاعات ناقص",IF(CL713&gt;=17,"عالی",IF(CL713&gt;=14,"خوب",IF(CL713&gt;=10,"متوسط","ضعیف"))))))</x:f>
        <x:v>خوب</x:v>
      </x:c>
      <x:c r="CN713" s="178" t="n">
        <x:v>1</x:v>
      </x:c>
      <x:c r="CO713" s="142" t="n">
        <x:f>IF(C713="","",COUNT(G713:CB713)/74)</x:f>
        <x:v>1</x:v>
      </x:c>
      <x:c r="CP713" s="245" t="str">
        <x:v>داده نمونه کامل برای ماه تیر - دانش‌آموز شماره 60</x:v>
      </x:c>
    </x:row>
    <x:row r="714">
      <x:c r="A714" s="165" t="n">
        <x:v>710</x:v>
      </x:c>
      <x:c r="B714" s="233" t="str">
        <x:v>مرداد</x:v>
      </x:c>
      <x:c r="C714" s="233" t="n">
        <x:f>IF('دانش‌آموزان'!E64="","",'دانش‌آموزان'!B64)</x:f>
        <x:v>60</x:v>
      </x:c>
      <x:c r="D714" s="233" t="str">
        <x:f>IF('دانش‌آموزان'!C64="","",'دانش‌آموزان'!C64)</x:f>
        <x:v>4000000608</x:v>
      </x:c>
      <x:c r="E714" s="233" t="str">
        <x:f>IF('دانش‌آموزان'!E64="","",'دانش‌آموزان'!E64&amp;" "&amp;'دانش‌آموزان'!F64)</x:f>
        <x:v>آوا کاظمی</x:v>
      </x:c>
      <x:c r="F714" s="166" t="str">
        <x:f>IF('دانش‌آموزان'!I64="","",'دانش‌آموزان'!I64)</x:f>
        <x:v>sample-7-c</x:v>
      </x:c>
      <x:c r="G714" s="114"/>
      <x:c r="H714" s="115"/>
      <x:c r="I714" s="115"/>
      <x:c r="J714" s="115"/>
      <x:c r="K714" s="115"/>
      <x:c r="L714" s="115"/>
      <x:c r="M714" s="115"/>
      <x:c r="N714" s="115"/>
      <x:c r="O714" s="115"/>
      <x:c r="P714" s="115"/>
      <x:c r="Q714" s="115"/>
      <x:c r="R714" s="115"/>
      <x:c r="S714" s="115"/>
      <x:c r="T714" s="115"/>
      <x:c r="U714" s="115"/>
      <x:c r="V714" s="115"/>
      <x:c r="W714" s="115"/>
      <x:c r="X714" s="115"/>
      <x:c r="Y714" s="115"/>
      <x:c r="Z714" s="115"/>
      <x:c r="AA714" s="115"/>
      <x:c r="AB714" s="115"/>
      <x:c r="AC714" s="115"/>
      <x:c r="AD714" s="115"/>
      <x:c r="AE714" s="115"/>
      <x:c r="AF714" s="115"/>
      <x:c r="AG714" s="115"/>
      <x:c r="AH714" s="115"/>
      <x:c r="AI714" s="115"/>
      <x:c r="AJ714" s="115"/>
      <x:c r="AK714" s="115"/>
      <x:c r="AL714" s="115"/>
      <x:c r="AM714" s="115"/>
      <x:c r="AN714" s="115"/>
      <x:c r="AO714" s="115"/>
      <x:c r="AP714" s="115"/>
      <x:c r="AQ714" s="115"/>
      <x:c r="AR714" s="115"/>
      <x:c r="AS714" s="115"/>
      <x:c r="AT714" s="115"/>
      <x:c r="AU714" s="115"/>
      <x:c r="AV714" s="115"/>
      <x:c r="AW714" s="115"/>
      <x:c r="AX714" s="115"/>
      <x:c r="AY714" s="115"/>
      <x:c r="AZ714" s="115"/>
      <x:c r="BA714" s="115"/>
      <x:c r="BB714" s="115"/>
      <x:c r="BC714" s="115"/>
      <x:c r="BD714" s="115"/>
      <x:c r="BE714" s="115"/>
      <x:c r="BF714" s="115"/>
      <x:c r="BG714" s="115"/>
      <x:c r="BH714" s="115"/>
      <x:c r="BI714" s="115"/>
      <x:c r="BJ714" s="115"/>
      <x:c r="BK714" s="115"/>
      <x:c r="BL714" s="115"/>
      <x:c r="BM714" s="115"/>
      <x:c r="BN714" s="115"/>
      <x:c r="BO714" s="115"/>
      <x:c r="BP714" s="115"/>
      <x:c r="BQ714" s="115"/>
      <x:c r="BR714" s="115"/>
      <x:c r="BS714" s="115"/>
      <x:c r="BT714" s="115"/>
      <x:c r="BU714" s="115"/>
      <x:c r="BV714" s="115"/>
      <x:c r="BW714" s="115"/>
      <x:c r="BX714" s="115"/>
      <x:c r="BY714" s="115"/>
      <x:c r="BZ714" s="115"/>
      <x:c r="CA714" s="115"/>
      <x:c r="CB714" s="116"/>
      <x:c r="CC714" s="141" t="str">
        <x:f>IF(COUNT(G714:P714)=0,"",AVERAGE(G714:P714)*4)</x:f>
      </x:c>
      <x:c r="CD714" s="178" t="str">
        <x:f>IF(COUNT(Q714:Z714)=0,"",AVERAGE(Q714:Z714)*4)</x:f>
      </x:c>
      <x:c r="CE714" s="178" t="str">
        <x:f>IF(COUNT(AA714:AJ714)=0,"",AVERAGE(AA714:AJ714)*4)</x:f>
      </x:c>
      <x:c r="CF714" s="178" t="str">
        <x:f>IF(COUNT(AK714:AR714)=0,"",AVERAGE(AK714:AR714)*4)</x:f>
      </x:c>
      <x:c r="CG714" s="178" t="str">
        <x:f>IF(COUNT(AS714:AY714)=0,"",AVERAGE(AS714:AY714)*4)</x:f>
      </x:c>
      <x:c r="CH714" s="178" t="str">
        <x:f>IF(COUNT(AZ714:BG714)=0,"",AVERAGE(AZ714:BG714)*4)</x:f>
      </x:c>
      <x:c r="CI714" s="178" t="str">
        <x:f>IF(COUNT(BH714:BN714)=0,"",AVERAGE(BH714:BN714)*4)</x:f>
      </x:c>
      <x:c r="CJ714" s="178" t="str">
        <x:f>IF(COUNT(BO714:BU714)=0,"",AVERAGE(BO714:BU714)*4)</x:f>
      </x:c>
      <x:c r="CK714" s="178" t="str">
        <x:f>IF(COUNT(BV714:CB714)=0,"",AVERAGE(BV714:CB714)*4)</x:f>
      </x:c>
      <x:c r="CL714" s="178" t="str">
        <x:f>IF(C714="","",IF(COUNT(G714:CB714)&lt;74,"",(CC714*'تنظیمات وزن‌دهی'!$C$5+CD714*'تنظیمات وزن‌دهی'!$C$6+CE714*'تنظیمات وزن‌دهی'!$C$7+CF714*'تنظیمات وزن‌دهی'!$C$8+CG714*'تنظیمات وزن‌دهی'!$C$9+CH714*'تنظیمات وزن‌دهی'!$C$10+CI714*'تنظیمات وزن‌دهی'!$C$11+CJ714*'تنظیمات وزن‌دهی'!$C$12+CK714*'تنظیمات وزن‌دهی'!$C$13)/100))</x:f>
      </x:c>
      <x:c r="CM714" s="178" t="str">
        <x:f>IF(C714="","",IF(COUNT(G714:CB714)=0,"",IF(COUNT(G714:CB714)&lt;74,"موقت - اطلاعات ناقص",IF(CL714&gt;=17,"عالی",IF(CL714&gt;=14,"خوب",IF(CL714&gt;=10,"متوسط","ضعیف"))))))</x:f>
      </x:c>
      <x:c r="CN714" s="178" t="n">
        <x:v>2</x:v>
      </x:c>
      <x:c r="CO714" s="142" t="n">
        <x:f>IF(C714="","",COUNT(G714:CB714)/74)</x:f>
        <x:v>0</x:v>
      </x:c>
      <x:c r="CP714" s="245"/>
    </x:row>
    <x:row r="715">
      <x:c r="A715" s="165" t="n">
        <x:v>711</x:v>
      </x:c>
      <x:c r="B715" s="233" t="str">
        <x:v>شهریور</x:v>
      </x:c>
      <x:c r="C715" s="233" t="n">
        <x:f>IF('دانش‌آموزان'!E64="","",'دانش‌آموزان'!B64)</x:f>
        <x:v>60</x:v>
      </x:c>
      <x:c r="D715" s="233" t="str">
        <x:f>IF('دانش‌آموزان'!C64="","",'دانش‌آموزان'!C64)</x:f>
        <x:v>4000000608</x:v>
      </x:c>
      <x:c r="E715" s="233" t="str">
        <x:f>IF('دانش‌آموزان'!E64="","",'دانش‌آموزان'!E64&amp;" "&amp;'دانش‌آموزان'!F64)</x:f>
        <x:v>آوا کاظمی</x:v>
      </x:c>
      <x:c r="F715" s="166" t="str">
        <x:f>IF('دانش‌آموزان'!I64="","",'دانش‌آموزان'!I64)</x:f>
        <x:v>sample-7-c</x:v>
      </x:c>
      <x:c r="G715" s="114"/>
      <x:c r="H715" s="115"/>
      <x:c r="I715" s="115"/>
      <x:c r="J715" s="115"/>
      <x:c r="K715" s="115"/>
      <x:c r="L715" s="115"/>
      <x:c r="M715" s="115"/>
      <x:c r="N715" s="115"/>
      <x:c r="O715" s="115"/>
      <x:c r="P715" s="115"/>
      <x:c r="Q715" s="115"/>
      <x:c r="R715" s="115"/>
      <x:c r="S715" s="115"/>
      <x:c r="T715" s="115"/>
      <x:c r="U715" s="115"/>
      <x:c r="V715" s="115"/>
      <x:c r="W715" s="115"/>
      <x:c r="X715" s="115"/>
      <x:c r="Y715" s="115"/>
      <x:c r="Z715" s="115"/>
      <x:c r="AA715" s="115"/>
      <x:c r="AB715" s="115"/>
      <x:c r="AC715" s="115"/>
      <x:c r="AD715" s="115"/>
      <x:c r="AE715" s="115"/>
      <x:c r="AF715" s="115"/>
      <x:c r="AG715" s="115"/>
      <x:c r="AH715" s="115"/>
      <x:c r="AI715" s="115"/>
      <x:c r="AJ715" s="115"/>
      <x:c r="AK715" s="115"/>
      <x:c r="AL715" s="115"/>
      <x:c r="AM715" s="115"/>
      <x:c r="AN715" s="115"/>
      <x:c r="AO715" s="115"/>
      <x:c r="AP715" s="115"/>
      <x:c r="AQ715" s="115"/>
      <x:c r="AR715" s="115"/>
      <x:c r="AS715" s="115"/>
      <x:c r="AT715" s="115"/>
      <x:c r="AU715" s="115"/>
      <x:c r="AV715" s="115"/>
      <x:c r="AW715" s="115"/>
      <x:c r="AX715" s="115"/>
      <x:c r="AY715" s="115"/>
      <x:c r="AZ715" s="115"/>
      <x:c r="BA715" s="115"/>
      <x:c r="BB715" s="115"/>
      <x:c r="BC715" s="115"/>
      <x:c r="BD715" s="115"/>
      <x:c r="BE715" s="115"/>
      <x:c r="BF715" s="115"/>
      <x:c r="BG715" s="115"/>
      <x:c r="BH715" s="115"/>
      <x:c r="BI715" s="115"/>
      <x:c r="BJ715" s="115"/>
      <x:c r="BK715" s="115"/>
      <x:c r="BL715" s="115"/>
      <x:c r="BM715" s="115"/>
      <x:c r="BN715" s="115"/>
      <x:c r="BO715" s="115"/>
      <x:c r="BP715" s="115"/>
      <x:c r="BQ715" s="115"/>
      <x:c r="BR715" s="115"/>
      <x:c r="BS715" s="115"/>
      <x:c r="BT715" s="115"/>
      <x:c r="BU715" s="115"/>
      <x:c r="BV715" s="115"/>
      <x:c r="BW715" s="115"/>
      <x:c r="BX715" s="115"/>
      <x:c r="BY715" s="115"/>
      <x:c r="BZ715" s="115"/>
      <x:c r="CA715" s="115"/>
      <x:c r="CB715" s="116"/>
      <x:c r="CC715" s="141" t="str">
        <x:f>IF(COUNT(G715:P715)=0,"",AVERAGE(G715:P715)*4)</x:f>
      </x:c>
      <x:c r="CD715" s="178" t="str">
        <x:f>IF(COUNT(Q715:Z715)=0,"",AVERAGE(Q715:Z715)*4)</x:f>
      </x:c>
      <x:c r="CE715" s="178" t="str">
        <x:f>IF(COUNT(AA715:AJ715)=0,"",AVERAGE(AA715:AJ715)*4)</x:f>
      </x:c>
      <x:c r="CF715" s="178" t="str">
        <x:f>IF(COUNT(AK715:AR715)=0,"",AVERAGE(AK715:AR715)*4)</x:f>
      </x:c>
      <x:c r="CG715" s="178" t="str">
        <x:f>IF(COUNT(AS715:AY715)=0,"",AVERAGE(AS715:AY715)*4)</x:f>
      </x:c>
      <x:c r="CH715" s="178" t="str">
        <x:f>IF(COUNT(AZ715:BG715)=0,"",AVERAGE(AZ715:BG715)*4)</x:f>
      </x:c>
      <x:c r="CI715" s="178" t="str">
        <x:f>IF(COUNT(BH715:BN715)=0,"",AVERAGE(BH715:BN715)*4)</x:f>
      </x:c>
      <x:c r="CJ715" s="178" t="str">
        <x:f>IF(COUNT(BO715:BU715)=0,"",AVERAGE(BO715:BU715)*4)</x:f>
      </x:c>
      <x:c r="CK715" s="178" t="str">
        <x:f>IF(COUNT(BV715:CB715)=0,"",AVERAGE(BV715:CB715)*4)</x:f>
      </x:c>
      <x:c r="CL715" s="178" t="str">
        <x:f>IF(C715="","",IF(COUNT(G715:CB715)&lt;74,"",(CC715*'تنظیمات وزن‌دهی'!$C$5+CD715*'تنظیمات وزن‌دهی'!$C$6+CE715*'تنظیمات وزن‌دهی'!$C$7+CF715*'تنظیمات وزن‌دهی'!$C$8+CG715*'تنظیمات وزن‌دهی'!$C$9+CH715*'تنظیمات وزن‌دهی'!$C$10+CI715*'تنظیمات وزن‌دهی'!$C$11+CJ715*'تنظیمات وزن‌دهی'!$C$12+CK715*'تنظیمات وزن‌دهی'!$C$13)/100))</x:f>
      </x:c>
      <x:c r="CM715" s="178" t="str">
        <x:f>IF(C715="","",IF(COUNT(G715:CB715)=0,"",IF(COUNT(G715:CB715)&lt;74,"موقت - اطلاعات ناقص",IF(CL715&gt;=17,"عالی",IF(CL715&gt;=14,"خوب",IF(CL715&gt;=10,"متوسط","ضعیف"))))))</x:f>
      </x:c>
      <x:c r="CN715" s="178" t="n">
        <x:v>3</x:v>
      </x:c>
      <x:c r="CO715" s="142" t="n">
        <x:f>IF(C715="","",COUNT(G715:CB715)/74)</x:f>
        <x:v>0</x:v>
      </x:c>
      <x:c r="CP715" s="245"/>
    </x:row>
    <x:row r="716">
      <x:c r="A716" s="165" t="n">
        <x:v>712</x:v>
      </x:c>
      <x:c r="B716" s="233" t="str">
        <x:v>مهر</x:v>
      </x:c>
      <x:c r="C716" s="233" t="n">
        <x:f>IF('دانش‌آموزان'!E64="","",'دانش‌آموزان'!B64)</x:f>
        <x:v>60</x:v>
      </x:c>
      <x:c r="D716" s="233" t="str">
        <x:f>IF('دانش‌آموزان'!C64="","",'دانش‌آموزان'!C64)</x:f>
        <x:v>4000000608</x:v>
      </x:c>
      <x:c r="E716" s="233" t="str">
        <x:f>IF('دانش‌آموزان'!E64="","",'دانش‌آموزان'!E64&amp;" "&amp;'دانش‌آموزان'!F64)</x:f>
        <x:v>آوا کاظمی</x:v>
      </x:c>
      <x:c r="F716" s="166" t="str">
        <x:f>IF('دانش‌آموزان'!I64="","",'دانش‌آموزان'!I64)</x:f>
        <x:v>sample-7-c</x:v>
      </x:c>
      <x:c r="G716" s="114"/>
      <x:c r="H716" s="115"/>
      <x:c r="I716" s="115"/>
      <x:c r="J716" s="115"/>
      <x:c r="K716" s="115"/>
      <x:c r="L716" s="115"/>
      <x:c r="M716" s="115"/>
      <x:c r="N716" s="115"/>
      <x:c r="O716" s="115"/>
      <x:c r="P716" s="115"/>
      <x:c r="Q716" s="115"/>
      <x:c r="R716" s="115"/>
      <x:c r="S716" s="115"/>
      <x:c r="T716" s="115"/>
      <x:c r="U716" s="115"/>
      <x:c r="V716" s="115"/>
      <x:c r="W716" s="115"/>
      <x:c r="X716" s="115"/>
      <x:c r="Y716" s="115"/>
      <x:c r="Z716" s="115"/>
      <x:c r="AA716" s="115"/>
      <x:c r="AB716" s="115"/>
      <x:c r="AC716" s="115"/>
      <x:c r="AD716" s="115"/>
      <x:c r="AE716" s="115"/>
      <x:c r="AF716" s="115"/>
      <x:c r="AG716" s="115"/>
      <x:c r="AH716" s="115"/>
      <x:c r="AI716" s="115"/>
      <x:c r="AJ716" s="115"/>
      <x:c r="AK716" s="115"/>
      <x:c r="AL716" s="115"/>
      <x:c r="AM716" s="115"/>
      <x:c r="AN716" s="115"/>
      <x:c r="AO716" s="115"/>
      <x:c r="AP716" s="115"/>
      <x:c r="AQ716" s="115"/>
      <x:c r="AR716" s="115"/>
      <x:c r="AS716" s="115"/>
      <x:c r="AT716" s="115"/>
      <x:c r="AU716" s="115"/>
      <x:c r="AV716" s="115"/>
      <x:c r="AW716" s="115"/>
      <x:c r="AX716" s="115"/>
      <x:c r="AY716" s="115"/>
      <x:c r="AZ716" s="115"/>
      <x:c r="BA716" s="115"/>
      <x:c r="BB716" s="115"/>
      <x:c r="BC716" s="115"/>
      <x:c r="BD716" s="115"/>
      <x:c r="BE716" s="115"/>
      <x:c r="BF716" s="115"/>
      <x:c r="BG716" s="115"/>
      <x:c r="BH716" s="115"/>
      <x:c r="BI716" s="115"/>
      <x:c r="BJ716" s="115"/>
      <x:c r="BK716" s="115"/>
      <x:c r="BL716" s="115"/>
      <x:c r="BM716" s="115"/>
      <x:c r="BN716" s="115"/>
      <x:c r="BO716" s="115"/>
      <x:c r="BP716" s="115"/>
      <x:c r="BQ716" s="115"/>
      <x:c r="BR716" s="115"/>
      <x:c r="BS716" s="115"/>
      <x:c r="BT716" s="115"/>
      <x:c r="BU716" s="115"/>
      <x:c r="BV716" s="115"/>
      <x:c r="BW716" s="115"/>
      <x:c r="BX716" s="115"/>
      <x:c r="BY716" s="115"/>
      <x:c r="BZ716" s="115"/>
      <x:c r="CA716" s="115"/>
      <x:c r="CB716" s="116"/>
      <x:c r="CC716" s="141" t="str">
        <x:f>IF(COUNT(G716:P716)=0,"",AVERAGE(G716:P716)*4)</x:f>
      </x:c>
      <x:c r="CD716" s="178" t="str">
        <x:f>IF(COUNT(Q716:Z716)=0,"",AVERAGE(Q716:Z716)*4)</x:f>
      </x:c>
      <x:c r="CE716" s="178" t="str">
        <x:f>IF(COUNT(AA716:AJ716)=0,"",AVERAGE(AA716:AJ716)*4)</x:f>
      </x:c>
      <x:c r="CF716" s="178" t="str">
        <x:f>IF(COUNT(AK716:AR716)=0,"",AVERAGE(AK716:AR716)*4)</x:f>
      </x:c>
      <x:c r="CG716" s="178" t="str">
        <x:f>IF(COUNT(AS716:AY716)=0,"",AVERAGE(AS716:AY716)*4)</x:f>
      </x:c>
      <x:c r="CH716" s="178" t="str">
        <x:f>IF(COUNT(AZ716:BG716)=0,"",AVERAGE(AZ716:BG716)*4)</x:f>
      </x:c>
      <x:c r="CI716" s="178" t="str">
        <x:f>IF(COUNT(BH716:BN716)=0,"",AVERAGE(BH716:BN716)*4)</x:f>
      </x:c>
      <x:c r="CJ716" s="178" t="str">
        <x:f>IF(COUNT(BO716:BU716)=0,"",AVERAGE(BO716:BU716)*4)</x:f>
      </x:c>
      <x:c r="CK716" s="178" t="str">
        <x:f>IF(COUNT(BV716:CB716)=0,"",AVERAGE(BV716:CB716)*4)</x:f>
      </x:c>
      <x:c r="CL716" s="178" t="str">
        <x:f>IF(C716="","",IF(COUNT(G716:CB716)&lt;74,"",(CC716*'تنظیمات وزن‌دهی'!$C$5+CD716*'تنظیمات وزن‌دهی'!$C$6+CE716*'تنظیمات وزن‌دهی'!$C$7+CF716*'تنظیمات وزن‌دهی'!$C$8+CG716*'تنظیمات وزن‌دهی'!$C$9+CH716*'تنظیمات وزن‌دهی'!$C$10+CI716*'تنظیمات وزن‌دهی'!$C$11+CJ716*'تنظیمات وزن‌دهی'!$C$12+CK716*'تنظیمات وزن‌دهی'!$C$13)/100))</x:f>
      </x:c>
      <x:c r="CM716" s="178" t="str">
        <x:f>IF(C716="","",IF(COUNT(G716:CB716)=0,"",IF(COUNT(G716:CB716)&lt;74,"موقت - اطلاعات ناقص",IF(CL716&gt;=17,"عالی",IF(CL716&gt;=14,"خوب",IF(CL716&gt;=10,"متوسط","ضعیف"))))))</x:f>
      </x:c>
      <x:c r="CN716" s="178" t="n">
        <x:v>4</x:v>
      </x:c>
      <x:c r="CO716" s="142" t="n">
        <x:f>IF(C716="","",COUNT(G716:CB716)/74)</x:f>
        <x:v>0</x:v>
      </x:c>
      <x:c r="CP716" s="245"/>
    </x:row>
    <x:row r="717">
      <x:c r="A717" s="165" t="n">
        <x:v>713</x:v>
      </x:c>
      <x:c r="B717" s="233" t="str">
        <x:v>آبان</x:v>
      </x:c>
      <x:c r="C717" s="233" t="n">
        <x:f>IF('دانش‌آموزان'!E64="","",'دانش‌آموزان'!B64)</x:f>
        <x:v>60</x:v>
      </x:c>
      <x:c r="D717" s="233" t="str">
        <x:f>IF('دانش‌آموزان'!C64="","",'دانش‌آموزان'!C64)</x:f>
        <x:v>4000000608</x:v>
      </x:c>
      <x:c r="E717" s="233" t="str">
        <x:f>IF('دانش‌آموزان'!E64="","",'دانش‌آموزان'!E64&amp;" "&amp;'دانش‌آموزان'!F64)</x:f>
        <x:v>آوا کاظمی</x:v>
      </x:c>
      <x:c r="F717" s="166" t="str">
        <x:f>IF('دانش‌آموزان'!I64="","",'دانش‌آموزان'!I64)</x:f>
        <x:v>sample-7-c</x:v>
      </x:c>
      <x:c r="G717" s="114"/>
      <x:c r="H717" s="115"/>
      <x:c r="I717" s="115"/>
      <x:c r="J717" s="115"/>
      <x:c r="K717" s="115"/>
      <x:c r="L717" s="115"/>
      <x:c r="M717" s="115"/>
      <x:c r="N717" s="115"/>
      <x:c r="O717" s="115"/>
      <x:c r="P717" s="115"/>
      <x:c r="Q717" s="115"/>
      <x:c r="R717" s="115"/>
      <x:c r="S717" s="115"/>
      <x:c r="T717" s="115"/>
      <x:c r="U717" s="115"/>
      <x:c r="V717" s="115"/>
      <x:c r="W717" s="115"/>
      <x:c r="X717" s="115"/>
      <x:c r="Y717" s="115"/>
      <x:c r="Z717" s="115"/>
      <x:c r="AA717" s="115"/>
      <x:c r="AB717" s="115"/>
      <x:c r="AC717" s="115"/>
      <x:c r="AD717" s="115"/>
      <x:c r="AE717" s="115"/>
      <x:c r="AF717" s="115"/>
      <x:c r="AG717" s="115"/>
      <x:c r="AH717" s="115"/>
      <x:c r="AI717" s="115"/>
      <x:c r="AJ717" s="115"/>
      <x:c r="AK717" s="115"/>
      <x:c r="AL717" s="115"/>
      <x:c r="AM717" s="115"/>
      <x:c r="AN717" s="115"/>
      <x:c r="AO717" s="115"/>
      <x:c r="AP717" s="115"/>
      <x:c r="AQ717" s="115"/>
      <x:c r="AR717" s="115"/>
      <x:c r="AS717" s="115"/>
      <x:c r="AT717" s="115"/>
      <x:c r="AU717" s="115"/>
      <x:c r="AV717" s="115"/>
      <x:c r="AW717" s="115"/>
      <x:c r="AX717" s="115"/>
      <x:c r="AY717" s="115"/>
      <x:c r="AZ717" s="115"/>
      <x:c r="BA717" s="115"/>
      <x:c r="BB717" s="115"/>
      <x:c r="BC717" s="115"/>
      <x:c r="BD717" s="115"/>
      <x:c r="BE717" s="115"/>
      <x:c r="BF717" s="115"/>
      <x:c r="BG717" s="115"/>
      <x:c r="BH717" s="115"/>
      <x:c r="BI717" s="115"/>
      <x:c r="BJ717" s="115"/>
      <x:c r="BK717" s="115"/>
      <x:c r="BL717" s="115"/>
      <x:c r="BM717" s="115"/>
      <x:c r="BN717" s="115"/>
      <x:c r="BO717" s="115"/>
      <x:c r="BP717" s="115"/>
      <x:c r="BQ717" s="115"/>
      <x:c r="BR717" s="115"/>
      <x:c r="BS717" s="115"/>
      <x:c r="BT717" s="115"/>
      <x:c r="BU717" s="115"/>
      <x:c r="BV717" s="115"/>
      <x:c r="BW717" s="115"/>
      <x:c r="BX717" s="115"/>
      <x:c r="BY717" s="115"/>
      <x:c r="BZ717" s="115"/>
      <x:c r="CA717" s="115"/>
      <x:c r="CB717" s="116"/>
      <x:c r="CC717" s="141" t="str">
        <x:f>IF(COUNT(G717:P717)=0,"",AVERAGE(G717:P717)*4)</x:f>
      </x:c>
      <x:c r="CD717" s="178" t="str">
        <x:f>IF(COUNT(Q717:Z717)=0,"",AVERAGE(Q717:Z717)*4)</x:f>
      </x:c>
      <x:c r="CE717" s="178" t="str">
        <x:f>IF(COUNT(AA717:AJ717)=0,"",AVERAGE(AA717:AJ717)*4)</x:f>
      </x:c>
      <x:c r="CF717" s="178" t="str">
        <x:f>IF(COUNT(AK717:AR717)=0,"",AVERAGE(AK717:AR717)*4)</x:f>
      </x:c>
      <x:c r="CG717" s="178" t="str">
        <x:f>IF(COUNT(AS717:AY717)=0,"",AVERAGE(AS717:AY717)*4)</x:f>
      </x:c>
      <x:c r="CH717" s="178" t="str">
        <x:f>IF(COUNT(AZ717:BG717)=0,"",AVERAGE(AZ717:BG717)*4)</x:f>
      </x:c>
      <x:c r="CI717" s="178" t="str">
        <x:f>IF(COUNT(BH717:BN717)=0,"",AVERAGE(BH717:BN717)*4)</x:f>
      </x:c>
      <x:c r="CJ717" s="178" t="str">
        <x:f>IF(COUNT(BO717:BU717)=0,"",AVERAGE(BO717:BU717)*4)</x:f>
      </x:c>
      <x:c r="CK717" s="178" t="str">
        <x:f>IF(COUNT(BV717:CB717)=0,"",AVERAGE(BV717:CB717)*4)</x:f>
      </x:c>
      <x:c r="CL717" s="178" t="str">
        <x:f>IF(C717="","",IF(COUNT(G717:CB717)&lt;74,"",(CC717*'تنظیمات وزن‌دهی'!$C$5+CD717*'تنظیمات وزن‌دهی'!$C$6+CE717*'تنظیمات وزن‌دهی'!$C$7+CF717*'تنظیمات وزن‌دهی'!$C$8+CG717*'تنظیمات وزن‌دهی'!$C$9+CH717*'تنظیمات وزن‌دهی'!$C$10+CI717*'تنظیمات وزن‌دهی'!$C$11+CJ717*'تنظیمات وزن‌دهی'!$C$12+CK717*'تنظیمات وزن‌دهی'!$C$13)/100))</x:f>
      </x:c>
      <x:c r="CM717" s="178" t="str">
        <x:f>IF(C717="","",IF(COUNT(G717:CB717)=0,"",IF(COUNT(G717:CB717)&lt;74,"موقت - اطلاعات ناقص",IF(CL717&gt;=17,"عالی",IF(CL717&gt;=14,"خوب",IF(CL717&gt;=10,"متوسط","ضعیف"))))))</x:f>
      </x:c>
      <x:c r="CN717" s="178" t="n">
        <x:v>5</x:v>
      </x:c>
      <x:c r="CO717" s="142" t="n">
        <x:f>IF(C717="","",COUNT(G717:CB717)/74)</x:f>
        <x:v>0</x:v>
      </x:c>
      <x:c r="CP717" s="245"/>
    </x:row>
    <x:row r="718">
      <x:c r="A718" s="165" t="n">
        <x:v>714</x:v>
      </x:c>
      <x:c r="B718" s="233" t="str">
        <x:v>آذر</x:v>
      </x:c>
      <x:c r="C718" s="233" t="n">
        <x:f>IF('دانش‌آموزان'!E64="","",'دانش‌آموزان'!B64)</x:f>
        <x:v>60</x:v>
      </x:c>
      <x:c r="D718" s="233" t="str">
        <x:f>IF('دانش‌آموزان'!C64="","",'دانش‌آموزان'!C64)</x:f>
        <x:v>4000000608</x:v>
      </x:c>
      <x:c r="E718" s="233" t="str">
        <x:f>IF('دانش‌آموزان'!E64="","",'دانش‌آموزان'!E64&amp;" "&amp;'دانش‌آموزان'!F64)</x:f>
        <x:v>آوا کاظمی</x:v>
      </x:c>
      <x:c r="F718" s="166" t="str">
        <x:f>IF('دانش‌آموزان'!I64="","",'دانش‌آموزان'!I64)</x:f>
        <x:v>sample-7-c</x:v>
      </x:c>
      <x:c r="G718" s="114"/>
      <x:c r="H718" s="115"/>
      <x:c r="I718" s="115"/>
      <x:c r="J718" s="115"/>
      <x:c r="K718" s="115"/>
      <x:c r="L718" s="115"/>
      <x:c r="M718" s="115"/>
      <x:c r="N718" s="115"/>
      <x:c r="O718" s="115"/>
      <x:c r="P718" s="115"/>
      <x:c r="Q718" s="115"/>
      <x:c r="R718" s="115"/>
      <x:c r="S718" s="115"/>
      <x:c r="T718" s="115"/>
      <x:c r="U718" s="115"/>
      <x:c r="V718" s="115"/>
      <x:c r="W718" s="115"/>
      <x:c r="X718" s="115"/>
      <x:c r="Y718" s="115"/>
      <x:c r="Z718" s="115"/>
      <x:c r="AA718" s="115"/>
      <x:c r="AB718" s="115"/>
      <x:c r="AC718" s="115"/>
      <x:c r="AD718" s="115"/>
      <x:c r="AE718" s="115"/>
      <x:c r="AF718" s="115"/>
      <x:c r="AG718" s="115"/>
      <x:c r="AH718" s="115"/>
      <x:c r="AI718" s="115"/>
      <x:c r="AJ718" s="115"/>
      <x:c r="AK718" s="115"/>
      <x:c r="AL718" s="115"/>
      <x:c r="AM718" s="115"/>
      <x:c r="AN718" s="115"/>
      <x:c r="AO718" s="115"/>
      <x:c r="AP718" s="115"/>
      <x:c r="AQ718" s="115"/>
      <x:c r="AR718" s="115"/>
      <x:c r="AS718" s="115"/>
      <x:c r="AT718" s="115"/>
      <x:c r="AU718" s="115"/>
      <x:c r="AV718" s="115"/>
      <x:c r="AW718" s="115"/>
      <x:c r="AX718" s="115"/>
      <x:c r="AY718" s="115"/>
      <x:c r="AZ718" s="115"/>
      <x:c r="BA718" s="115"/>
      <x:c r="BB718" s="115"/>
      <x:c r="BC718" s="115"/>
      <x:c r="BD718" s="115"/>
      <x:c r="BE718" s="115"/>
      <x:c r="BF718" s="115"/>
      <x:c r="BG718" s="115"/>
      <x:c r="BH718" s="115"/>
      <x:c r="BI718" s="115"/>
      <x:c r="BJ718" s="115"/>
      <x:c r="BK718" s="115"/>
      <x:c r="BL718" s="115"/>
      <x:c r="BM718" s="115"/>
      <x:c r="BN718" s="115"/>
      <x:c r="BO718" s="115"/>
      <x:c r="BP718" s="115"/>
      <x:c r="BQ718" s="115"/>
      <x:c r="BR718" s="115"/>
      <x:c r="BS718" s="115"/>
      <x:c r="BT718" s="115"/>
      <x:c r="BU718" s="115"/>
      <x:c r="BV718" s="115"/>
      <x:c r="BW718" s="115"/>
      <x:c r="BX718" s="115"/>
      <x:c r="BY718" s="115"/>
      <x:c r="BZ718" s="115"/>
      <x:c r="CA718" s="115"/>
      <x:c r="CB718" s="116"/>
      <x:c r="CC718" s="141" t="str">
        <x:f>IF(COUNT(G718:P718)=0,"",AVERAGE(G718:P718)*4)</x:f>
      </x:c>
      <x:c r="CD718" s="178" t="str">
        <x:f>IF(COUNT(Q718:Z718)=0,"",AVERAGE(Q718:Z718)*4)</x:f>
      </x:c>
      <x:c r="CE718" s="178" t="str">
        <x:f>IF(COUNT(AA718:AJ718)=0,"",AVERAGE(AA718:AJ718)*4)</x:f>
      </x:c>
      <x:c r="CF718" s="178" t="str">
        <x:f>IF(COUNT(AK718:AR718)=0,"",AVERAGE(AK718:AR718)*4)</x:f>
      </x:c>
      <x:c r="CG718" s="178" t="str">
        <x:f>IF(COUNT(AS718:AY718)=0,"",AVERAGE(AS718:AY718)*4)</x:f>
      </x:c>
      <x:c r="CH718" s="178" t="str">
        <x:f>IF(COUNT(AZ718:BG718)=0,"",AVERAGE(AZ718:BG718)*4)</x:f>
      </x:c>
      <x:c r="CI718" s="178" t="str">
        <x:f>IF(COUNT(BH718:BN718)=0,"",AVERAGE(BH718:BN718)*4)</x:f>
      </x:c>
      <x:c r="CJ718" s="178" t="str">
        <x:f>IF(COUNT(BO718:BU718)=0,"",AVERAGE(BO718:BU718)*4)</x:f>
      </x:c>
      <x:c r="CK718" s="178" t="str">
        <x:f>IF(COUNT(BV718:CB718)=0,"",AVERAGE(BV718:CB718)*4)</x:f>
      </x:c>
      <x:c r="CL718" s="178" t="str">
        <x:f>IF(C718="","",IF(COUNT(G718:CB718)&lt;74,"",(CC718*'تنظیمات وزن‌دهی'!$C$5+CD718*'تنظیمات وزن‌دهی'!$C$6+CE718*'تنظیمات وزن‌دهی'!$C$7+CF718*'تنظیمات وزن‌دهی'!$C$8+CG718*'تنظیمات وزن‌دهی'!$C$9+CH718*'تنظیمات وزن‌دهی'!$C$10+CI718*'تنظیمات وزن‌دهی'!$C$11+CJ718*'تنظیمات وزن‌دهی'!$C$12+CK718*'تنظیمات وزن‌دهی'!$C$13)/100))</x:f>
      </x:c>
      <x:c r="CM718" s="178" t="str">
        <x:f>IF(C718="","",IF(COUNT(G718:CB718)=0,"",IF(COUNT(G718:CB718)&lt;74,"موقت - اطلاعات ناقص",IF(CL718&gt;=17,"عالی",IF(CL718&gt;=14,"خوب",IF(CL718&gt;=10,"متوسط","ضعیف"))))))</x:f>
      </x:c>
      <x:c r="CN718" s="178" t="n">
        <x:v>6</x:v>
      </x:c>
      <x:c r="CO718" s="142" t="n">
        <x:f>IF(C718="","",COUNT(G718:CB718)/74)</x:f>
        <x:v>0</x:v>
      </x:c>
      <x:c r="CP718" s="245"/>
    </x:row>
    <x:row r="719">
      <x:c r="A719" s="165" t="n">
        <x:v>715</x:v>
      </x:c>
      <x:c r="B719" s="233" t="str">
        <x:v>دی</x:v>
      </x:c>
      <x:c r="C719" s="233" t="n">
        <x:f>IF('دانش‌آموزان'!E64="","",'دانش‌آموزان'!B64)</x:f>
        <x:v>60</x:v>
      </x:c>
      <x:c r="D719" s="233" t="str">
        <x:f>IF('دانش‌آموزان'!C64="","",'دانش‌آموزان'!C64)</x:f>
        <x:v>4000000608</x:v>
      </x:c>
      <x:c r="E719" s="233" t="str">
        <x:f>IF('دانش‌آموزان'!E64="","",'دانش‌آموزان'!E64&amp;" "&amp;'دانش‌آموزان'!F64)</x:f>
        <x:v>آوا کاظمی</x:v>
      </x:c>
      <x:c r="F719" s="166" t="str">
        <x:f>IF('دانش‌آموزان'!I64="","",'دانش‌آموزان'!I64)</x:f>
        <x:v>sample-7-c</x:v>
      </x:c>
      <x:c r="G719" s="114"/>
      <x:c r="H719" s="115"/>
      <x:c r="I719" s="115"/>
      <x:c r="J719" s="115"/>
      <x:c r="K719" s="115"/>
      <x:c r="L719" s="115"/>
      <x:c r="M719" s="115"/>
      <x:c r="N719" s="115"/>
      <x:c r="O719" s="115"/>
      <x:c r="P719" s="115"/>
      <x:c r="Q719" s="115"/>
      <x:c r="R719" s="115"/>
      <x:c r="S719" s="115"/>
      <x:c r="T719" s="115"/>
      <x:c r="U719" s="115"/>
      <x:c r="V719" s="115"/>
      <x:c r="W719" s="115"/>
      <x:c r="X719" s="115"/>
      <x:c r="Y719" s="115"/>
      <x:c r="Z719" s="115"/>
      <x:c r="AA719" s="115"/>
      <x:c r="AB719" s="115"/>
      <x:c r="AC719" s="115"/>
      <x:c r="AD719" s="115"/>
      <x:c r="AE719" s="115"/>
      <x:c r="AF719" s="115"/>
      <x:c r="AG719" s="115"/>
      <x:c r="AH719" s="115"/>
      <x:c r="AI719" s="115"/>
      <x:c r="AJ719" s="115"/>
      <x:c r="AK719" s="115"/>
      <x:c r="AL719" s="115"/>
      <x:c r="AM719" s="115"/>
      <x:c r="AN719" s="115"/>
      <x:c r="AO719" s="115"/>
      <x:c r="AP719" s="115"/>
      <x:c r="AQ719" s="115"/>
      <x:c r="AR719" s="115"/>
      <x:c r="AS719" s="115"/>
      <x:c r="AT719" s="115"/>
      <x:c r="AU719" s="115"/>
      <x:c r="AV719" s="115"/>
      <x:c r="AW719" s="115"/>
      <x:c r="AX719" s="115"/>
      <x:c r="AY719" s="115"/>
      <x:c r="AZ719" s="115"/>
      <x:c r="BA719" s="115"/>
      <x:c r="BB719" s="115"/>
      <x:c r="BC719" s="115"/>
      <x:c r="BD719" s="115"/>
      <x:c r="BE719" s="115"/>
      <x:c r="BF719" s="115"/>
      <x:c r="BG719" s="115"/>
      <x:c r="BH719" s="115"/>
      <x:c r="BI719" s="115"/>
      <x:c r="BJ719" s="115"/>
      <x:c r="BK719" s="115"/>
      <x:c r="BL719" s="115"/>
      <x:c r="BM719" s="115"/>
      <x:c r="BN719" s="115"/>
      <x:c r="BO719" s="115"/>
      <x:c r="BP719" s="115"/>
      <x:c r="BQ719" s="115"/>
      <x:c r="BR719" s="115"/>
      <x:c r="BS719" s="115"/>
      <x:c r="BT719" s="115"/>
      <x:c r="BU719" s="115"/>
      <x:c r="BV719" s="115"/>
      <x:c r="BW719" s="115"/>
      <x:c r="BX719" s="115"/>
      <x:c r="BY719" s="115"/>
      <x:c r="BZ719" s="115"/>
      <x:c r="CA719" s="115"/>
      <x:c r="CB719" s="116"/>
      <x:c r="CC719" s="141" t="str">
        <x:f>IF(COUNT(G719:P719)=0,"",AVERAGE(G719:P719)*4)</x:f>
      </x:c>
      <x:c r="CD719" s="178" t="str">
        <x:f>IF(COUNT(Q719:Z719)=0,"",AVERAGE(Q719:Z719)*4)</x:f>
      </x:c>
      <x:c r="CE719" s="178" t="str">
        <x:f>IF(COUNT(AA719:AJ719)=0,"",AVERAGE(AA719:AJ719)*4)</x:f>
      </x:c>
      <x:c r="CF719" s="178" t="str">
        <x:f>IF(COUNT(AK719:AR719)=0,"",AVERAGE(AK719:AR719)*4)</x:f>
      </x:c>
      <x:c r="CG719" s="178" t="str">
        <x:f>IF(COUNT(AS719:AY719)=0,"",AVERAGE(AS719:AY719)*4)</x:f>
      </x:c>
      <x:c r="CH719" s="178" t="str">
        <x:f>IF(COUNT(AZ719:BG719)=0,"",AVERAGE(AZ719:BG719)*4)</x:f>
      </x:c>
      <x:c r="CI719" s="178" t="str">
        <x:f>IF(COUNT(BH719:BN719)=0,"",AVERAGE(BH719:BN719)*4)</x:f>
      </x:c>
      <x:c r="CJ719" s="178" t="str">
        <x:f>IF(COUNT(BO719:BU719)=0,"",AVERAGE(BO719:BU719)*4)</x:f>
      </x:c>
      <x:c r="CK719" s="178" t="str">
        <x:f>IF(COUNT(BV719:CB719)=0,"",AVERAGE(BV719:CB719)*4)</x:f>
      </x:c>
      <x:c r="CL719" s="178" t="str">
        <x:f>IF(C719="","",IF(COUNT(G719:CB719)&lt;74,"",(CC719*'تنظیمات وزن‌دهی'!$C$5+CD719*'تنظیمات وزن‌دهی'!$C$6+CE719*'تنظیمات وزن‌دهی'!$C$7+CF719*'تنظیمات وزن‌دهی'!$C$8+CG719*'تنظیمات وزن‌دهی'!$C$9+CH719*'تنظیمات وزن‌دهی'!$C$10+CI719*'تنظیمات وزن‌دهی'!$C$11+CJ719*'تنظیمات وزن‌دهی'!$C$12+CK719*'تنظیمات وزن‌دهی'!$C$13)/100))</x:f>
      </x:c>
      <x:c r="CM719" s="178" t="str">
        <x:f>IF(C719="","",IF(COUNT(G719:CB719)=0,"",IF(COUNT(G719:CB719)&lt;74,"موقت - اطلاعات ناقص",IF(CL719&gt;=17,"عالی",IF(CL719&gt;=14,"خوب",IF(CL719&gt;=10,"متوسط","ضعیف"))))))</x:f>
      </x:c>
      <x:c r="CN719" s="178" t="n">
        <x:v>7</x:v>
      </x:c>
      <x:c r="CO719" s="142" t="n">
        <x:f>IF(C719="","",COUNT(G719:CB719)/74)</x:f>
        <x:v>0</x:v>
      </x:c>
      <x:c r="CP719" s="245"/>
    </x:row>
    <x:row r="720">
      <x:c r="A720" s="165" t="n">
        <x:v>716</x:v>
      </x:c>
      <x:c r="B720" s="233" t="str">
        <x:v>بهمن</x:v>
      </x:c>
      <x:c r="C720" s="233" t="n">
        <x:f>IF('دانش‌آموزان'!E64="","",'دانش‌آموزان'!B64)</x:f>
        <x:v>60</x:v>
      </x:c>
      <x:c r="D720" s="233" t="str">
        <x:f>IF('دانش‌آموزان'!C64="","",'دانش‌آموزان'!C64)</x:f>
        <x:v>4000000608</x:v>
      </x:c>
      <x:c r="E720" s="233" t="str">
        <x:f>IF('دانش‌آموزان'!E64="","",'دانش‌آموزان'!E64&amp;" "&amp;'دانش‌آموزان'!F64)</x:f>
        <x:v>آوا کاظمی</x:v>
      </x:c>
      <x:c r="F720" s="166" t="str">
        <x:f>IF('دانش‌آموزان'!I64="","",'دانش‌آموزان'!I64)</x:f>
        <x:v>sample-7-c</x:v>
      </x:c>
      <x:c r="G720" s="114"/>
      <x:c r="H720" s="115"/>
      <x:c r="I720" s="115"/>
      <x:c r="J720" s="115"/>
      <x:c r="K720" s="115"/>
      <x:c r="L720" s="115"/>
      <x:c r="M720" s="115"/>
      <x:c r="N720" s="115"/>
      <x:c r="O720" s="115"/>
      <x:c r="P720" s="115"/>
      <x:c r="Q720" s="115"/>
      <x:c r="R720" s="115"/>
      <x:c r="S720" s="115"/>
      <x:c r="T720" s="115"/>
      <x:c r="U720" s="115"/>
      <x:c r="V720" s="115"/>
      <x:c r="W720" s="115"/>
      <x:c r="X720" s="115"/>
      <x:c r="Y720" s="115"/>
      <x:c r="Z720" s="115"/>
      <x:c r="AA720" s="115"/>
      <x:c r="AB720" s="115"/>
      <x:c r="AC720" s="115"/>
      <x:c r="AD720" s="115"/>
      <x:c r="AE720" s="115"/>
      <x:c r="AF720" s="115"/>
      <x:c r="AG720" s="115"/>
      <x:c r="AH720" s="115"/>
      <x:c r="AI720" s="115"/>
      <x:c r="AJ720" s="115"/>
      <x:c r="AK720" s="115"/>
      <x:c r="AL720" s="115"/>
      <x:c r="AM720" s="115"/>
      <x:c r="AN720" s="115"/>
      <x:c r="AO720" s="115"/>
      <x:c r="AP720" s="115"/>
      <x:c r="AQ720" s="115"/>
      <x:c r="AR720" s="115"/>
      <x:c r="AS720" s="115"/>
      <x:c r="AT720" s="115"/>
      <x:c r="AU720" s="115"/>
      <x:c r="AV720" s="115"/>
      <x:c r="AW720" s="115"/>
      <x:c r="AX720" s="115"/>
      <x:c r="AY720" s="115"/>
      <x:c r="AZ720" s="115"/>
      <x:c r="BA720" s="115"/>
      <x:c r="BB720" s="115"/>
      <x:c r="BC720" s="115"/>
      <x:c r="BD720" s="115"/>
      <x:c r="BE720" s="115"/>
      <x:c r="BF720" s="115"/>
      <x:c r="BG720" s="115"/>
      <x:c r="BH720" s="115"/>
      <x:c r="BI720" s="115"/>
      <x:c r="BJ720" s="115"/>
      <x:c r="BK720" s="115"/>
      <x:c r="BL720" s="115"/>
      <x:c r="BM720" s="115"/>
      <x:c r="BN720" s="115"/>
      <x:c r="BO720" s="115"/>
      <x:c r="BP720" s="115"/>
      <x:c r="BQ720" s="115"/>
      <x:c r="BR720" s="115"/>
      <x:c r="BS720" s="115"/>
      <x:c r="BT720" s="115"/>
      <x:c r="BU720" s="115"/>
      <x:c r="BV720" s="115"/>
      <x:c r="BW720" s="115"/>
      <x:c r="BX720" s="115"/>
      <x:c r="BY720" s="115"/>
      <x:c r="BZ720" s="115"/>
      <x:c r="CA720" s="115"/>
      <x:c r="CB720" s="116"/>
      <x:c r="CC720" s="141" t="str">
        <x:f>IF(COUNT(G720:P720)=0,"",AVERAGE(G720:P720)*4)</x:f>
      </x:c>
      <x:c r="CD720" s="178" t="str">
        <x:f>IF(COUNT(Q720:Z720)=0,"",AVERAGE(Q720:Z720)*4)</x:f>
      </x:c>
      <x:c r="CE720" s="178" t="str">
        <x:f>IF(COUNT(AA720:AJ720)=0,"",AVERAGE(AA720:AJ720)*4)</x:f>
      </x:c>
      <x:c r="CF720" s="178" t="str">
        <x:f>IF(COUNT(AK720:AR720)=0,"",AVERAGE(AK720:AR720)*4)</x:f>
      </x:c>
      <x:c r="CG720" s="178" t="str">
        <x:f>IF(COUNT(AS720:AY720)=0,"",AVERAGE(AS720:AY720)*4)</x:f>
      </x:c>
      <x:c r="CH720" s="178" t="str">
        <x:f>IF(COUNT(AZ720:BG720)=0,"",AVERAGE(AZ720:BG720)*4)</x:f>
      </x:c>
      <x:c r="CI720" s="178" t="str">
        <x:f>IF(COUNT(BH720:BN720)=0,"",AVERAGE(BH720:BN720)*4)</x:f>
      </x:c>
      <x:c r="CJ720" s="178" t="str">
        <x:f>IF(COUNT(BO720:BU720)=0,"",AVERAGE(BO720:BU720)*4)</x:f>
      </x:c>
      <x:c r="CK720" s="178" t="str">
        <x:f>IF(COUNT(BV720:CB720)=0,"",AVERAGE(BV720:CB720)*4)</x:f>
      </x:c>
      <x:c r="CL720" s="178" t="str">
        <x:f>IF(C720="","",IF(COUNT(G720:CB720)&lt;74,"",(CC720*'تنظیمات وزن‌دهی'!$C$5+CD720*'تنظیمات وزن‌دهی'!$C$6+CE720*'تنظیمات وزن‌دهی'!$C$7+CF720*'تنظیمات وزن‌دهی'!$C$8+CG720*'تنظیمات وزن‌دهی'!$C$9+CH720*'تنظیمات وزن‌دهی'!$C$10+CI720*'تنظیمات وزن‌دهی'!$C$11+CJ720*'تنظیمات وزن‌دهی'!$C$12+CK720*'تنظیمات وزن‌دهی'!$C$13)/100))</x:f>
      </x:c>
      <x:c r="CM720" s="178" t="str">
        <x:f>IF(C720="","",IF(COUNT(G720:CB720)=0,"",IF(COUNT(G720:CB720)&lt;74,"موقت - اطلاعات ناقص",IF(CL720&gt;=17,"عالی",IF(CL720&gt;=14,"خوب",IF(CL720&gt;=10,"متوسط","ضعیف"))))))</x:f>
      </x:c>
      <x:c r="CN720" s="178" t="n">
        <x:v>8</x:v>
      </x:c>
      <x:c r="CO720" s="142" t="n">
        <x:f>IF(C720="","",COUNT(G720:CB720)/74)</x:f>
        <x:v>0</x:v>
      </x:c>
      <x:c r="CP720" s="245"/>
    </x:row>
    <x:row r="721">
      <x:c r="A721" s="165" t="n">
        <x:v>717</x:v>
      </x:c>
      <x:c r="B721" s="233" t="str">
        <x:v>اسفند</x:v>
      </x:c>
      <x:c r="C721" s="233" t="n">
        <x:f>IF('دانش‌آموزان'!E64="","",'دانش‌آموزان'!B64)</x:f>
        <x:v>60</x:v>
      </x:c>
      <x:c r="D721" s="233" t="str">
        <x:f>IF('دانش‌آموزان'!C64="","",'دانش‌آموزان'!C64)</x:f>
        <x:v>4000000608</x:v>
      </x:c>
      <x:c r="E721" s="233" t="str">
        <x:f>IF('دانش‌آموزان'!E64="","",'دانش‌آموزان'!E64&amp;" "&amp;'دانش‌آموزان'!F64)</x:f>
        <x:v>آوا کاظمی</x:v>
      </x:c>
      <x:c r="F721" s="166" t="str">
        <x:f>IF('دانش‌آموزان'!I64="","",'دانش‌آموزان'!I64)</x:f>
        <x:v>sample-7-c</x:v>
      </x:c>
      <x:c r="G721" s="114"/>
      <x:c r="H721" s="115"/>
      <x:c r="I721" s="115"/>
      <x:c r="J721" s="115"/>
      <x:c r="K721" s="115"/>
      <x:c r="L721" s="115"/>
      <x:c r="M721" s="115"/>
      <x:c r="N721" s="115"/>
      <x:c r="O721" s="115"/>
      <x:c r="P721" s="115"/>
      <x:c r="Q721" s="115"/>
      <x:c r="R721" s="115"/>
      <x:c r="S721" s="115"/>
      <x:c r="T721" s="115"/>
      <x:c r="U721" s="115"/>
      <x:c r="V721" s="115"/>
      <x:c r="W721" s="115"/>
      <x:c r="X721" s="115"/>
      <x:c r="Y721" s="115"/>
      <x:c r="Z721" s="115"/>
      <x:c r="AA721" s="115"/>
      <x:c r="AB721" s="115"/>
      <x:c r="AC721" s="115"/>
      <x:c r="AD721" s="115"/>
      <x:c r="AE721" s="115"/>
      <x:c r="AF721" s="115"/>
      <x:c r="AG721" s="115"/>
      <x:c r="AH721" s="115"/>
      <x:c r="AI721" s="115"/>
      <x:c r="AJ721" s="115"/>
      <x:c r="AK721" s="115"/>
      <x:c r="AL721" s="115"/>
      <x:c r="AM721" s="115"/>
      <x:c r="AN721" s="115"/>
      <x:c r="AO721" s="115"/>
      <x:c r="AP721" s="115"/>
      <x:c r="AQ721" s="115"/>
      <x:c r="AR721" s="115"/>
      <x:c r="AS721" s="115"/>
      <x:c r="AT721" s="115"/>
      <x:c r="AU721" s="115"/>
      <x:c r="AV721" s="115"/>
      <x:c r="AW721" s="115"/>
      <x:c r="AX721" s="115"/>
      <x:c r="AY721" s="115"/>
      <x:c r="AZ721" s="115"/>
      <x:c r="BA721" s="115"/>
      <x:c r="BB721" s="115"/>
      <x:c r="BC721" s="115"/>
      <x:c r="BD721" s="115"/>
      <x:c r="BE721" s="115"/>
      <x:c r="BF721" s="115"/>
      <x:c r="BG721" s="115"/>
      <x:c r="BH721" s="115"/>
      <x:c r="BI721" s="115"/>
      <x:c r="BJ721" s="115"/>
      <x:c r="BK721" s="115"/>
      <x:c r="BL721" s="115"/>
      <x:c r="BM721" s="115"/>
      <x:c r="BN721" s="115"/>
      <x:c r="BO721" s="115"/>
      <x:c r="BP721" s="115"/>
      <x:c r="BQ721" s="115"/>
      <x:c r="BR721" s="115"/>
      <x:c r="BS721" s="115"/>
      <x:c r="BT721" s="115"/>
      <x:c r="BU721" s="115"/>
      <x:c r="BV721" s="115"/>
      <x:c r="BW721" s="115"/>
      <x:c r="BX721" s="115"/>
      <x:c r="BY721" s="115"/>
      <x:c r="BZ721" s="115"/>
      <x:c r="CA721" s="115"/>
      <x:c r="CB721" s="116"/>
      <x:c r="CC721" s="141" t="str">
        <x:f>IF(COUNT(G721:P721)=0,"",AVERAGE(G721:P721)*4)</x:f>
      </x:c>
      <x:c r="CD721" s="178" t="str">
        <x:f>IF(COUNT(Q721:Z721)=0,"",AVERAGE(Q721:Z721)*4)</x:f>
      </x:c>
      <x:c r="CE721" s="178" t="str">
        <x:f>IF(COUNT(AA721:AJ721)=0,"",AVERAGE(AA721:AJ721)*4)</x:f>
      </x:c>
      <x:c r="CF721" s="178" t="str">
        <x:f>IF(COUNT(AK721:AR721)=0,"",AVERAGE(AK721:AR721)*4)</x:f>
      </x:c>
      <x:c r="CG721" s="178" t="str">
        <x:f>IF(COUNT(AS721:AY721)=0,"",AVERAGE(AS721:AY721)*4)</x:f>
      </x:c>
      <x:c r="CH721" s="178" t="str">
        <x:f>IF(COUNT(AZ721:BG721)=0,"",AVERAGE(AZ721:BG721)*4)</x:f>
      </x:c>
      <x:c r="CI721" s="178" t="str">
        <x:f>IF(COUNT(BH721:BN721)=0,"",AVERAGE(BH721:BN721)*4)</x:f>
      </x:c>
      <x:c r="CJ721" s="178" t="str">
        <x:f>IF(COUNT(BO721:BU721)=0,"",AVERAGE(BO721:BU721)*4)</x:f>
      </x:c>
      <x:c r="CK721" s="178" t="str">
        <x:f>IF(COUNT(BV721:CB721)=0,"",AVERAGE(BV721:CB721)*4)</x:f>
      </x:c>
      <x:c r="CL721" s="178" t="str">
        <x:f>IF(C721="","",IF(COUNT(G721:CB721)&lt;74,"",(CC721*'تنظیمات وزن‌دهی'!$C$5+CD721*'تنظیمات وزن‌دهی'!$C$6+CE721*'تنظیمات وزن‌دهی'!$C$7+CF721*'تنظیمات وزن‌دهی'!$C$8+CG721*'تنظیمات وزن‌دهی'!$C$9+CH721*'تنظیمات وزن‌دهی'!$C$10+CI721*'تنظیمات وزن‌دهی'!$C$11+CJ721*'تنظیمات وزن‌دهی'!$C$12+CK721*'تنظیمات وزن‌دهی'!$C$13)/100))</x:f>
      </x:c>
      <x:c r="CM721" s="178" t="str">
        <x:f>IF(C721="","",IF(COUNT(G721:CB721)=0,"",IF(COUNT(G721:CB721)&lt;74,"موقت - اطلاعات ناقص",IF(CL721&gt;=17,"عالی",IF(CL721&gt;=14,"خوب",IF(CL721&gt;=10,"متوسط","ضعیف"))))))</x:f>
      </x:c>
      <x:c r="CN721" s="178" t="n">
        <x:v>9</x:v>
      </x:c>
      <x:c r="CO721" s="142" t="n">
        <x:f>IF(C721="","",COUNT(G721:CB721)/74)</x:f>
        <x:v>0</x:v>
      </x:c>
      <x:c r="CP721" s="245"/>
    </x:row>
    <x:row r="722">
      <x:c r="A722" s="165" t="n">
        <x:v>718</x:v>
      </x:c>
      <x:c r="B722" s="233" t="str">
        <x:v>فروردین</x:v>
      </x:c>
      <x:c r="C722" s="233" t="n">
        <x:f>IF('دانش‌آموزان'!E64="","",'دانش‌آموزان'!B64)</x:f>
        <x:v>60</x:v>
      </x:c>
      <x:c r="D722" s="233" t="str">
        <x:f>IF('دانش‌آموزان'!C64="","",'دانش‌آموزان'!C64)</x:f>
        <x:v>4000000608</x:v>
      </x:c>
      <x:c r="E722" s="233" t="str">
        <x:f>IF('دانش‌آموزان'!E64="","",'دانش‌آموزان'!E64&amp;" "&amp;'دانش‌آموزان'!F64)</x:f>
        <x:v>آوا کاظمی</x:v>
      </x:c>
      <x:c r="F722" s="166" t="str">
        <x:f>IF('دانش‌آموزان'!I64="","",'دانش‌آموزان'!I64)</x:f>
        <x:v>sample-7-c</x:v>
      </x:c>
      <x:c r="G722" s="114"/>
      <x:c r="H722" s="115"/>
      <x:c r="I722" s="115"/>
      <x:c r="J722" s="115"/>
      <x:c r="K722" s="115"/>
      <x:c r="L722" s="115"/>
      <x:c r="M722" s="115"/>
      <x:c r="N722" s="115"/>
      <x:c r="O722" s="115"/>
      <x:c r="P722" s="115"/>
      <x:c r="Q722" s="115"/>
      <x:c r="R722" s="115"/>
      <x:c r="S722" s="115"/>
      <x:c r="T722" s="115"/>
      <x:c r="U722" s="115"/>
      <x:c r="V722" s="115"/>
      <x:c r="W722" s="115"/>
      <x:c r="X722" s="115"/>
      <x:c r="Y722" s="115"/>
      <x:c r="Z722" s="115"/>
      <x:c r="AA722" s="115"/>
      <x:c r="AB722" s="115"/>
      <x:c r="AC722" s="115"/>
      <x:c r="AD722" s="115"/>
      <x:c r="AE722" s="115"/>
      <x:c r="AF722" s="115"/>
      <x:c r="AG722" s="115"/>
      <x:c r="AH722" s="115"/>
      <x:c r="AI722" s="115"/>
      <x:c r="AJ722" s="115"/>
      <x:c r="AK722" s="115"/>
      <x:c r="AL722" s="115"/>
      <x:c r="AM722" s="115"/>
      <x:c r="AN722" s="115"/>
      <x:c r="AO722" s="115"/>
      <x:c r="AP722" s="115"/>
      <x:c r="AQ722" s="115"/>
      <x:c r="AR722" s="115"/>
      <x:c r="AS722" s="115"/>
      <x:c r="AT722" s="115"/>
      <x:c r="AU722" s="115"/>
      <x:c r="AV722" s="115"/>
      <x:c r="AW722" s="115"/>
      <x:c r="AX722" s="115"/>
      <x:c r="AY722" s="115"/>
      <x:c r="AZ722" s="115"/>
      <x:c r="BA722" s="115"/>
      <x:c r="BB722" s="115"/>
      <x:c r="BC722" s="115"/>
      <x:c r="BD722" s="115"/>
      <x:c r="BE722" s="115"/>
      <x:c r="BF722" s="115"/>
      <x:c r="BG722" s="115"/>
      <x:c r="BH722" s="115"/>
      <x:c r="BI722" s="115"/>
      <x:c r="BJ722" s="115"/>
      <x:c r="BK722" s="115"/>
      <x:c r="BL722" s="115"/>
      <x:c r="BM722" s="115"/>
      <x:c r="BN722" s="115"/>
      <x:c r="BO722" s="115"/>
      <x:c r="BP722" s="115"/>
      <x:c r="BQ722" s="115"/>
      <x:c r="BR722" s="115"/>
      <x:c r="BS722" s="115"/>
      <x:c r="BT722" s="115"/>
      <x:c r="BU722" s="115"/>
      <x:c r="BV722" s="115"/>
      <x:c r="BW722" s="115"/>
      <x:c r="BX722" s="115"/>
      <x:c r="BY722" s="115"/>
      <x:c r="BZ722" s="115"/>
      <x:c r="CA722" s="115"/>
      <x:c r="CB722" s="116"/>
      <x:c r="CC722" s="141" t="str">
        <x:f>IF(COUNT(G722:P722)=0,"",AVERAGE(G722:P722)*4)</x:f>
      </x:c>
      <x:c r="CD722" s="178" t="str">
        <x:f>IF(COUNT(Q722:Z722)=0,"",AVERAGE(Q722:Z722)*4)</x:f>
      </x:c>
      <x:c r="CE722" s="178" t="str">
        <x:f>IF(COUNT(AA722:AJ722)=0,"",AVERAGE(AA722:AJ722)*4)</x:f>
      </x:c>
      <x:c r="CF722" s="178" t="str">
        <x:f>IF(COUNT(AK722:AR722)=0,"",AVERAGE(AK722:AR722)*4)</x:f>
      </x:c>
      <x:c r="CG722" s="178" t="str">
        <x:f>IF(COUNT(AS722:AY722)=0,"",AVERAGE(AS722:AY722)*4)</x:f>
      </x:c>
      <x:c r="CH722" s="178" t="str">
        <x:f>IF(COUNT(AZ722:BG722)=0,"",AVERAGE(AZ722:BG722)*4)</x:f>
      </x:c>
      <x:c r="CI722" s="178" t="str">
        <x:f>IF(COUNT(BH722:BN722)=0,"",AVERAGE(BH722:BN722)*4)</x:f>
      </x:c>
      <x:c r="CJ722" s="178" t="str">
        <x:f>IF(COUNT(BO722:BU722)=0,"",AVERAGE(BO722:BU722)*4)</x:f>
      </x:c>
      <x:c r="CK722" s="178" t="str">
        <x:f>IF(COUNT(BV722:CB722)=0,"",AVERAGE(BV722:CB722)*4)</x:f>
      </x:c>
      <x:c r="CL722" s="178" t="str">
        <x:f>IF(C722="","",IF(COUNT(G722:CB722)&lt;74,"",(CC722*'تنظیمات وزن‌دهی'!$C$5+CD722*'تنظیمات وزن‌دهی'!$C$6+CE722*'تنظیمات وزن‌دهی'!$C$7+CF722*'تنظیمات وزن‌دهی'!$C$8+CG722*'تنظیمات وزن‌دهی'!$C$9+CH722*'تنظیمات وزن‌دهی'!$C$10+CI722*'تنظیمات وزن‌دهی'!$C$11+CJ722*'تنظیمات وزن‌دهی'!$C$12+CK722*'تنظیمات وزن‌دهی'!$C$13)/100))</x:f>
      </x:c>
      <x:c r="CM722" s="178" t="str">
        <x:f>IF(C722="","",IF(COUNT(G722:CB722)=0,"",IF(COUNT(G722:CB722)&lt;74,"موقت - اطلاعات ناقص",IF(CL722&gt;=17,"عالی",IF(CL722&gt;=14,"خوب",IF(CL722&gt;=10,"متوسط","ضعیف"))))))</x:f>
      </x:c>
      <x:c r="CN722" s="178" t="n">
        <x:v>10</x:v>
      </x:c>
      <x:c r="CO722" s="142" t="n">
        <x:f>IF(C722="","",COUNT(G722:CB722)/74)</x:f>
        <x:v>0</x:v>
      </x:c>
      <x:c r="CP722" s="245"/>
    </x:row>
    <x:row r="723">
      <x:c r="A723" s="165" t="n">
        <x:v>719</x:v>
      </x:c>
      <x:c r="B723" s="233" t="str">
        <x:v>اردیبهشت</x:v>
      </x:c>
      <x:c r="C723" s="233" t="n">
        <x:f>IF('دانش‌آموزان'!E64="","",'دانش‌آموزان'!B64)</x:f>
        <x:v>60</x:v>
      </x:c>
      <x:c r="D723" s="233" t="str">
        <x:f>IF('دانش‌آموزان'!C64="","",'دانش‌آموزان'!C64)</x:f>
        <x:v>4000000608</x:v>
      </x:c>
      <x:c r="E723" s="233" t="str">
        <x:f>IF('دانش‌آموزان'!E64="","",'دانش‌آموزان'!E64&amp;" "&amp;'دانش‌آموزان'!F64)</x:f>
        <x:v>آوا کاظمی</x:v>
      </x:c>
      <x:c r="F723" s="166" t="str">
        <x:f>IF('دانش‌آموزان'!I64="","",'دانش‌آموزان'!I64)</x:f>
        <x:v>sample-7-c</x:v>
      </x:c>
      <x:c r="G723" s="114"/>
      <x:c r="H723" s="115"/>
      <x:c r="I723" s="115"/>
      <x:c r="J723" s="115"/>
      <x:c r="K723" s="115"/>
      <x:c r="L723" s="115"/>
      <x:c r="M723" s="115"/>
      <x:c r="N723" s="115"/>
      <x:c r="O723" s="115"/>
      <x:c r="P723" s="115"/>
      <x:c r="Q723" s="115"/>
      <x:c r="R723" s="115"/>
      <x:c r="S723" s="115"/>
      <x:c r="T723" s="115"/>
      <x:c r="U723" s="115"/>
      <x:c r="V723" s="115"/>
      <x:c r="W723" s="115"/>
      <x:c r="X723" s="115"/>
      <x:c r="Y723" s="115"/>
      <x:c r="Z723" s="115"/>
      <x:c r="AA723" s="115"/>
      <x:c r="AB723" s="115"/>
      <x:c r="AC723" s="115"/>
      <x:c r="AD723" s="115"/>
      <x:c r="AE723" s="115"/>
      <x:c r="AF723" s="115"/>
      <x:c r="AG723" s="115"/>
      <x:c r="AH723" s="115"/>
      <x:c r="AI723" s="115"/>
      <x:c r="AJ723" s="115"/>
      <x:c r="AK723" s="115"/>
      <x:c r="AL723" s="115"/>
      <x:c r="AM723" s="115"/>
      <x:c r="AN723" s="115"/>
      <x:c r="AO723" s="115"/>
      <x:c r="AP723" s="115"/>
      <x:c r="AQ723" s="115"/>
      <x:c r="AR723" s="115"/>
      <x:c r="AS723" s="115"/>
      <x:c r="AT723" s="115"/>
      <x:c r="AU723" s="115"/>
      <x:c r="AV723" s="115"/>
      <x:c r="AW723" s="115"/>
      <x:c r="AX723" s="115"/>
      <x:c r="AY723" s="115"/>
      <x:c r="AZ723" s="115"/>
      <x:c r="BA723" s="115"/>
      <x:c r="BB723" s="115"/>
      <x:c r="BC723" s="115"/>
      <x:c r="BD723" s="115"/>
      <x:c r="BE723" s="115"/>
      <x:c r="BF723" s="115"/>
      <x:c r="BG723" s="115"/>
      <x:c r="BH723" s="115"/>
      <x:c r="BI723" s="115"/>
      <x:c r="BJ723" s="115"/>
      <x:c r="BK723" s="115"/>
      <x:c r="BL723" s="115"/>
      <x:c r="BM723" s="115"/>
      <x:c r="BN723" s="115"/>
      <x:c r="BO723" s="115"/>
      <x:c r="BP723" s="115"/>
      <x:c r="BQ723" s="115"/>
      <x:c r="BR723" s="115"/>
      <x:c r="BS723" s="115"/>
      <x:c r="BT723" s="115"/>
      <x:c r="BU723" s="115"/>
      <x:c r="BV723" s="115"/>
      <x:c r="BW723" s="115"/>
      <x:c r="BX723" s="115"/>
      <x:c r="BY723" s="115"/>
      <x:c r="BZ723" s="115"/>
      <x:c r="CA723" s="115"/>
      <x:c r="CB723" s="116"/>
      <x:c r="CC723" s="141" t="str">
        <x:f>IF(COUNT(G723:P723)=0,"",AVERAGE(G723:P723)*4)</x:f>
      </x:c>
      <x:c r="CD723" s="178" t="str">
        <x:f>IF(COUNT(Q723:Z723)=0,"",AVERAGE(Q723:Z723)*4)</x:f>
      </x:c>
      <x:c r="CE723" s="178" t="str">
        <x:f>IF(COUNT(AA723:AJ723)=0,"",AVERAGE(AA723:AJ723)*4)</x:f>
      </x:c>
      <x:c r="CF723" s="178" t="str">
        <x:f>IF(COUNT(AK723:AR723)=0,"",AVERAGE(AK723:AR723)*4)</x:f>
      </x:c>
      <x:c r="CG723" s="178" t="str">
        <x:f>IF(COUNT(AS723:AY723)=0,"",AVERAGE(AS723:AY723)*4)</x:f>
      </x:c>
      <x:c r="CH723" s="178" t="str">
        <x:f>IF(COUNT(AZ723:BG723)=0,"",AVERAGE(AZ723:BG723)*4)</x:f>
      </x:c>
      <x:c r="CI723" s="178" t="str">
        <x:f>IF(COUNT(BH723:BN723)=0,"",AVERAGE(BH723:BN723)*4)</x:f>
      </x:c>
      <x:c r="CJ723" s="178" t="str">
        <x:f>IF(COUNT(BO723:BU723)=0,"",AVERAGE(BO723:BU723)*4)</x:f>
      </x:c>
      <x:c r="CK723" s="178" t="str">
        <x:f>IF(COUNT(BV723:CB723)=0,"",AVERAGE(BV723:CB723)*4)</x:f>
      </x:c>
      <x:c r="CL723" s="178" t="str">
        <x:f>IF(C723="","",IF(COUNT(G723:CB723)&lt;74,"",(CC723*'تنظیمات وزن‌دهی'!$C$5+CD723*'تنظیمات وزن‌دهی'!$C$6+CE723*'تنظیمات وزن‌دهی'!$C$7+CF723*'تنظیمات وزن‌دهی'!$C$8+CG723*'تنظیمات وزن‌دهی'!$C$9+CH723*'تنظیمات وزن‌دهی'!$C$10+CI723*'تنظیمات وزن‌دهی'!$C$11+CJ723*'تنظیمات وزن‌دهی'!$C$12+CK723*'تنظیمات وزن‌دهی'!$C$13)/100))</x:f>
      </x:c>
      <x:c r="CM723" s="178" t="str">
        <x:f>IF(C723="","",IF(COUNT(G723:CB723)=0,"",IF(COUNT(G723:CB723)&lt;74,"موقت - اطلاعات ناقص",IF(CL723&gt;=17,"عالی",IF(CL723&gt;=14,"خوب",IF(CL723&gt;=10,"متوسط","ضعیف"))))))</x:f>
      </x:c>
      <x:c r="CN723" s="178" t="n">
        <x:v>11</x:v>
      </x:c>
      <x:c r="CO723" s="142" t="n">
        <x:f>IF(C723="","",COUNT(G723:CB723)/74)</x:f>
        <x:v>0</x:v>
      </x:c>
      <x:c r="CP723" s="245"/>
    </x:row>
    <x:row r="724">
      <x:c r="A724" s="165" t="n">
        <x:v>720</x:v>
      </x:c>
      <x:c r="B724" s="233" t="str">
        <x:v>خرداد</x:v>
      </x:c>
      <x:c r="C724" s="233" t="n">
        <x:f>IF('دانش‌آموزان'!E64="","",'دانش‌آموزان'!B64)</x:f>
        <x:v>60</x:v>
      </x:c>
      <x:c r="D724" s="233" t="str">
        <x:f>IF('دانش‌آموزان'!C64="","",'دانش‌آموزان'!C64)</x:f>
        <x:v>4000000608</x:v>
      </x:c>
      <x:c r="E724" s="233" t="str">
        <x:f>IF('دانش‌آموزان'!E64="","",'دانش‌آموزان'!E64&amp;" "&amp;'دانش‌آموزان'!F64)</x:f>
        <x:v>آوا کاظمی</x:v>
      </x:c>
      <x:c r="F724" s="166" t="str">
        <x:f>IF('دانش‌آموزان'!I64="","",'دانش‌آموزان'!I64)</x:f>
        <x:v>sample-7-c</x:v>
      </x:c>
      <x:c r="G724" s="114"/>
      <x:c r="H724" s="115"/>
      <x:c r="I724" s="115"/>
      <x:c r="J724" s="115"/>
      <x:c r="K724" s="115"/>
      <x:c r="L724" s="115"/>
      <x:c r="M724" s="115"/>
      <x:c r="N724" s="115"/>
      <x:c r="O724" s="115"/>
      <x:c r="P724" s="115"/>
      <x:c r="Q724" s="115"/>
      <x:c r="R724" s="115"/>
      <x:c r="S724" s="115"/>
      <x:c r="T724" s="115"/>
      <x:c r="U724" s="115"/>
      <x:c r="V724" s="115"/>
      <x:c r="W724" s="115"/>
      <x:c r="X724" s="115"/>
      <x:c r="Y724" s="115"/>
      <x:c r="Z724" s="115"/>
      <x:c r="AA724" s="115"/>
      <x:c r="AB724" s="115"/>
      <x:c r="AC724" s="115"/>
      <x:c r="AD724" s="115"/>
      <x:c r="AE724" s="115"/>
      <x:c r="AF724" s="115"/>
      <x:c r="AG724" s="115"/>
      <x:c r="AH724" s="115"/>
      <x:c r="AI724" s="115"/>
      <x:c r="AJ724" s="115"/>
      <x:c r="AK724" s="115"/>
      <x:c r="AL724" s="115"/>
      <x:c r="AM724" s="115"/>
      <x:c r="AN724" s="115"/>
      <x:c r="AO724" s="115"/>
      <x:c r="AP724" s="115"/>
      <x:c r="AQ724" s="115"/>
      <x:c r="AR724" s="115"/>
      <x:c r="AS724" s="115"/>
      <x:c r="AT724" s="115"/>
      <x:c r="AU724" s="115"/>
      <x:c r="AV724" s="115"/>
      <x:c r="AW724" s="115"/>
      <x:c r="AX724" s="115"/>
      <x:c r="AY724" s="115"/>
      <x:c r="AZ724" s="115"/>
      <x:c r="BA724" s="115"/>
      <x:c r="BB724" s="115"/>
      <x:c r="BC724" s="115"/>
      <x:c r="BD724" s="115"/>
      <x:c r="BE724" s="115"/>
      <x:c r="BF724" s="115"/>
      <x:c r="BG724" s="115"/>
      <x:c r="BH724" s="115"/>
      <x:c r="BI724" s="115"/>
      <x:c r="BJ724" s="115"/>
      <x:c r="BK724" s="115"/>
      <x:c r="BL724" s="115"/>
      <x:c r="BM724" s="115"/>
      <x:c r="BN724" s="115"/>
      <x:c r="BO724" s="115"/>
      <x:c r="BP724" s="115"/>
      <x:c r="BQ724" s="115"/>
      <x:c r="BR724" s="115"/>
      <x:c r="BS724" s="115"/>
      <x:c r="BT724" s="115"/>
      <x:c r="BU724" s="115"/>
      <x:c r="BV724" s="115"/>
      <x:c r="BW724" s="115"/>
      <x:c r="BX724" s="115"/>
      <x:c r="BY724" s="115"/>
      <x:c r="BZ724" s="115"/>
      <x:c r="CA724" s="115"/>
      <x:c r="CB724" s="116"/>
      <x:c r="CC724" s="141" t="str">
        <x:f>IF(COUNT(G724:P724)=0,"",AVERAGE(G724:P724)*4)</x:f>
      </x:c>
      <x:c r="CD724" s="178" t="str">
        <x:f>IF(COUNT(Q724:Z724)=0,"",AVERAGE(Q724:Z724)*4)</x:f>
      </x:c>
      <x:c r="CE724" s="178" t="str">
        <x:f>IF(COUNT(AA724:AJ724)=0,"",AVERAGE(AA724:AJ724)*4)</x:f>
      </x:c>
      <x:c r="CF724" s="178" t="str">
        <x:f>IF(COUNT(AK724:AR724)=0,"",AVERAGE(AK724:AR724)*4)</x:f>
      </x:c>
      <x:c r="CG724" s="178" t="str">
        <x:f>IF(COUNT(AS724:AY724)=0,"",AVERAGE(AS724:AY724)*4)</x:f>
      </x:c>
      <x:c r="CH724" s="178" t="str">
        <x:f>IF(COUNT(AZ724:BG724)=0,"",AVERAGE(AZ724:BG724)*4)</x:f>
      </x:c>
      <x:c r="CI724" s="178" t="str">
        <x:f>IF(COUNT(BH724:BN724)=0,"",AVERAGE(BH724:BN724)*4)</x:f>
      </x:c>
      <x:c r="CJ724" s="178" t="str">
        <x:f>IF(COUNT(BO724:BU724)=0,"",AVERAGE(BO724:BU724)*4)</x:f>
      </x:c>
      <x:c r="CK724" s="178" t="str">
        <x:f>IF(COUNT(BV724:CB724)=0,"",AVERAGE(BV724:CB724)*4)</x:f>
      </x:c>
      <x:c r="CL724" s="178" t="str">
        <x:f>IF(C724="","",IF(COUNT(G724:CB724)&lt;74,"",(CC724*'تنظیمات وزن‌دهی'!$C$5+CD724*'تنظیمات وزن‌دهی'!$C$6+CE724*'تنظیمات وزن‌دهی'!$C$7+CF724*'تنظیمات وزن‌دهی'!$C$8+CG724*'تنظیمات وزن‌دهی'!$C$9+CH724*'تنظیمات وزن‌دهی'!$C$10+CI724*'تنظیمات وزن‌دهی'!$C$11+CJ724*'تنظیمات وزن‌دهی'!$C$12+CK724*'تنظیمات وزن‌دهی'!$C$13)/100))</x:f>
      </x:c>
      <x:c r="CM724" s="178" t="str">
        <x:f>IF(C724="","",IF(COUNT(G724:CB724)=0,"",IF(COUNT(G724:CB724)&lt;74,"موقت - اطلاعات ناقص",IF(CL724&gt;=17,"عالی",IF(CL724&gt;=14,"خوب",IF(CL724&gt;=10,"متوسط","ضعیف"))))))</x:f>
      </x:c>
      <x:c r="CN724" s="178" t="n">
        <x:v>12</x:v>
      </x:c>
      <x:c r="CO724" s="142" t="n">
        <x:f>IF(C724="","",COUNT(G724:CB724)/74)</x:f>
        <x:v>0</x:v>
      </x:c>
      <x:c r="CP724" s="245"/>
    </x:row>
    <x:row r="725">
      <x:c r="A725" s="165" t="n">
        <x:v>721</x:v>
      </x:c>
      <x:c r="B725" s="233" t="str">
        <x:v>تیر</x:v>
      </x:c>
      <x:c r="C725" s="233" t="n">
        <x:f>IF('دانش‌آموزان'!E65="","",'دانش‌آموزان'!B65)</x:f>
        <x:v>61</x:v>
      </x:c>
      <x:c r="D725" s="233" t="str">
        <x:f>IF('دانش‌آموزان'!C65="","",'دانش‌آموزان'!C65)</x:f>
        <x:v>4000000616</x:v>
      </x:c>
      <x:c r="E725" s="233" t="str">
        <x:f>IF('دانش‌آموزان'!E65="","",'دانش‌آموزان'!E65&amp;" "&amp;'دانش‌آموزان'!F65)</x:f>
        <x:v>علی احمدی</x:v>
      </x:c>
      <x:c r="F725" s="166" t="str">
        <x:f>IF('دانش‌آموزان'!I65="","",'دانش‌آموزان'!I65)</x:f>
        <x:v>sample-7-c</x:v>
      </x:c>
      <x:c r="G725" s="114" t="n">
        <x:v>4</x:v>
      </x:c>
      <x:c r="H725" s="115" t="n">
        <x:v>5</x:v>
      </x:c>
      <x:c r="I725" s="115" t="n">
        <x:v>3</x:v>
      </x:c>
      <x:c r="J725" s="115" t="n">
        <x:v>5</x:v>
      </x:c>
      <x:c r="K725" s="115" t="n">
        <x:v>3</x:v>
      </x:c>
      <x:c r="L725" s="115" t="n">
        <x:v>4</x:v>
      </x:c>
      <x:c r="M725" s="115" t="n">
        <x:v>3</x:v>
      </x:c>
      <x:c r="N725" s="115" t="n">
        <x:v>4</x:v>
      </x:c>
      <x:c r="O725" s="115" t="n">
        <x:v>2</x:v>
      </x:c>
      <x:c r="P725" s="115" t="n">
        <x:v>4</x:v>
      </x:c>
      <x:c r="Q725" s="115" t="n">
        <x:v>5</x:v>
      </x:c>
      <x:c r="R725" s="115" t="n">
        <x:v>4</x:v>
      </x:c>
      <x:c r="S725" s="115" t="n">
        <x:v>5</x:v>
      </x:c>
      <x:c r="T725" s="115" t="n">
        <x:v>3</x:v>
      </x:c>
      <x:c r="U725" s="115" t="n">
        <x:v>5</x:v>
      </x:c>
      <x:c r="V725" s="115" t="n">
        <x:v>3</x:v>
      </x:c>
      <x:c r="W725" s="115" t="n">
        <x:v>4</x:v>
      </x:c>
      <x:c r="X725" s="115" t="n">
        <x:v>3</x:v>
      </x:c>
      <x:c r="Y725" s="115" t="n">
        <x:v>4</x:v>
      </x:c>
      <x:c r="Z725" s="115" t="n">
        <x:v>2</x:v>
      </x:c>
      <x:c r="AA725" s="115" t="n">
        <x:v>4</x:v>
      </x:c>
      <x:c r="AB725" s="115" t="n">
        <x:v>5</x:v>
      </x:c>
      <x:c r="AC725" s="115" t="n">
        <x:v>4</x:v>
      </x:c>
      <x:c r="AD725" s="115" t="n">
        <x:v>5</x:v>
      </x:c>
      <x:c r="AE725" s="115" t="n">
        <x:v>3</x:v>
      </x:c>
      <x:c r="AF725" s="115" t="n">
        <x:v>5</x:v>
      </x:c>
      <x:c r="AG725" s="115" t="n">
        <x:v>3</x:v>
      </x:c>
      <x:c r="AH725" s="115" t="n">
        <x:v>4</x:v>
      </x:c>
      <x:c r="AI725" s="115" t="n">
        <x:v>3</x:v>
      </x:c>
      <x:c r="AJ725" s="115" t="n">
        <x:v>4</x:v>
      </x:c>
      <x:c r="AK725" s="115" t="n">
        <x:v>2</x:v>
      </x:c>
      <x:c r="AL725" s="115" t="n">
        <x:v>4</x:v>
      </x:c>
      <x:c r="AM725" s="115" t="n">
        <x:v>5</x:v>
      </x:c>
      <x:c r="AN725" s="115" t="n">
        <x:v>4</x:v>
      </x:c>
      <x:c r="AO725" s="115" t="n">
        <x:v>5</x:v>
      </x:c>
      <x:c r="AP725" s="115" t="n">
        <x:v>3</x:v>
      </x:c>
      <x:c r="AQ725" s="115" t="n">
        <x:v>5</x:v>
      </x:c>
      <x:c r="AR725" s="115" t="n">
        <x:v>3</x:v>
      </x:c>
      <x:c r="AS725" s="115" t="n">
        <x:v>4</x:v>
      </x:c>
      <x:c r="AT725" s="115" t="n">
        <x:v>3</x:v>
      </x:c>
      <x:c r="AU725" s="115" t="n">
        <x:v>4</x:v>
      </x:c>
      <x:c r="AV725" s="115" t="n">
        <x:v>2</x:v>
      </x:c>
      <x:c r="AW725" s="115" t="n">
        <x:v>4</x:v>
      </x:c>
      <x:c r="AX725" s="115" t="n">
        <x:v>5</x:v>
      </x:c>
      <x:c r="AY725" s="115" t="n">
        <x:v>4</x:v>
      </x:c>
      <x:c r="AZ725" s="115" t="n">
        <x:v>5</x:v>
      </x:c>
      <x:c r="BA725" s="115" t="n">
        <x:v>3</x:v>
      </x:c>
      <x:c r="BB725" s="115" t="n">
        <x:v>5</x:v>
      </x:c>
      <x:c r="BC725" s="115" t="n">
        <x:v>3</x:v>
      </x:c>
      <x:c r="BD725" s="115" t="n">
        <x:v>4</x:v>
      </x:c>
      <x:c r="BE725" s="115" t="n">
        <x:v>3</x:v>
      </x:c>
      <x:c r="BF725" s="115" t="n">
        <x:v>4</x:v>
      </x:c>
      <x:c r="BG725" s="115" t="n">
        <x:v>2</x:v>
      </x:c>
      <x:c r="BH725" s="115" t="n">
        <x:v>4</x:v>
      </x:c>
      <x:c r="BI725" s="115" t="n">
        <x:v>5</x:v>
      </x:c>
      <x:c r="BJ725" s="115" t="n">
        <x:v>4</x:v>
      </x:c>
      <x:c r="BK725" s="115" t="n">
        <x:v>5</x:v>
      </x:c>
      <x:c r="BL725" s="115" t="n">
        <x:v>3</x:v>
      </x:c>
      <x:c r="BM725" s="115" t="n">
        <x:v>5</x:v>
      </x:c>
      <x:c r="BN725" s="115" t="n">
        <x:v>3</x:v>
      </x:c>
      <x:c r="BO725" s="115" t="n">
        <x:v>4</x:v>
      </x:c>
      <x:c r="BP725" s="115" t="n">
        <x:v>3</x:v>
      </x:c>
      <x:c r="BQ725" s="115" t="n">
        <x:v>4</x:v>
      </x:c>
      <x:c r="BR725" s="115" t="n">
        <x:v>2</x:v>
      </x:c>
      <x:c r="BS725" s="115" t="n">
        <x:v>4</x:v>
      </x:c>
      <x:c r="BT725" s="115" t="n">
        <x:v>5</x:v>
      </x:c>
      <x:c r="BU725" s="115" t="n">
        <x:v>4</x:v>
      </x:c>
      <x:c r="BV725" s="115" t="n">
        <x:v>5</x:v>
      </x:c>
      <x:c r="BW725" s="115" t="n">
        <x:v>3</x:v>
      </x:c>
      <x:c r="BX725" s="115" t="n">
        <x:v>5</x:v>
      </x:c>
      <x:c r="BY725" s="115" t="n">
        <x:v>3</x:v>
      </x:c>
      <x:c r="BZ725" s="115" t="n">
        <x:v>4</x:v>
      </x:c>
      <x:c r="CA725" s="115" t="n">
        <x:v>3</x:v>
      </x:c>
      <x:c r="CB725" s="116" t="n">
        <x:v>4</x:v>
      </x:c>
      <x:c r="CC725" s="141" t="n">
        <x:f>IF(COUNT(G725:P725)=0,"",AVERAGE(G725:P725)*4)</x:f>
        <x:v>14.8</x:v>
      </x:c>
      <x:c r="CD725" s="178" t="n">
        <x:f>IF(COUNT(Q725:Z725)=0,"",AVERAGE(Q725:Z725)*4)</x:f>
        <x:v>15.2</x:v>
      </x:c>
      <x:c r="CE725" s="178" t="n">
        <x:f>IF(COUNT(AA725:AJ725)=0,"",AVERAGE(AA725:AJ725)*4)</x:f>
        <x:v>16</x:v>
      </x:c>
      <x:c r="CF725" s="178" t="n">
        <x:f>IF(COUNT(AK725:AR725)=0,"",AVERAGE(AK725:AR725)*4)</x:f>
        <x:v>15.5</x:v>
      </x:c>
      <x:c r="CG725" s="178" t="n">
        <x:f>IF(COUNT(AS725:AY725)=0,"",AVERAGE(AS725:AY725)*4)</x:f>
        <x:v>14.857142857142858</x:v>
      </x:c>
      <x:c r="CH725" s="178" t="n">
        <x:f>IF(COUNT(AZ725:BG725)=0,"",AVERAGE(AZ725:BG725)*4)</x:f>
        <x:v>14.5</x:v>
      </x:c>
      <x:c r="CI725" s="178" t="n">
        <x:f>IF(COUNT(BH725:BN725)=0,"",AVERAGE(BH725:BN725)*4)</x:f>
        <x:v>16.571428571428573</x:v>
      </x:c>
      <x:c r="CJ725" s="178" t="n">
        <x:f>IF(COUNT(BO725:BU725)=0,"",AVERAGE(BO725:BU725)*4)</x:f>
        <x:v>14.857142857142858</x:v>
      </x:c>
      <x:c r="CK725" s="178" t="n">
        <x:f>IF(COUNT(BV725:CB725)=0,"",AVERAGE(BV725:CB725)*4)</x:f>
        <x:v>15.428571428571429</x:v>
      </x:c>
      <x:c r="CL725" s="178" t="n">
        <x:f>IF(C725="","",IF(COUNT(G725:CB725)&lt;74,"",(CC725*'تنظیمات وزن‌دهی'!$C$5+CD725*'تنظیمات وزن‌دهی'!$C$6+CE725*'تنظیمات وزن‌دهی'!$C$7+CF725*'تنظیمات وزن‌دهی'!$C$8+CG725*'تنظیمات وزن‌دهی'!$C$9+CH725*'تنظیمات وزن‌دهی'!$C$10+CI725*'تنظیمات وزن‌دهی'!$C$11+CJ725*'تنظیمات وزن‌دهی'!$C$12+CK725*'تنظیمات وزن‌دهی'!$C$13)/100))</x:f>
        <x:v>15.29642857142857</x:v>
      </x:c>
      <x:c r="CM725" s="178" t="str">
        <x:f>IF(C725="","",IF(COUNT(G725:CB725)=0,"",IF(COUNT(G725:CB725)&lt;74,"موقت - اطلاعات ناقص",IF(CL725&gt;=17,"عالی",IF(CL725&gt;=14,"خوب",IF(CL725&gt;=10,"متوسط","ضعیف"))))))</x:f>
        <x:v>خوب</x:v>
      </x:c>
      <x:c r="CN725" s="178" t="n">
        <x:v>1</x:v>
      </x:c>
      <x:c r="CO725" s="142" t="n">
        <x:f>IF(C725="","",COUNT(G725:CB725)/74)</x:f>
        <x:v>1</x:v>
      </x:c>
      <x:c r="CP725" s="245" t="str">
        <x:v>داده نمونه کامل برای ماه تیر - دانش‌آموز شماره 61</x:v>
      </x:c>
    </x:row>
    <x:row r="726">
      <x:c r="A726" s="165" t="n">
        <x:v>722</x:v>
      </x:c>
      <x:c r="B726" s="233" t="str">
        <x:v>مرداد</x:v>
      </x:c>
      <x:c r="C726" s="233" t="n">
        <x:f>IF('دانش‌آموزان'!E65="","",'دانش‌آموزان'!B65)</x:f>
        <x:v>61</x:v>
      </x:c>
      <x:c r="D726" s="233" t="str">
        <x:f>IF('دانش‌آموزان'!C65="","",'دانش‌آموزان'!C65)</x:f>
        <x:v>4000000616</x:v>
      </x:c>
      <x:c r="E726" s="233" t="str">
        <x:f>IF('دانش‌آموزان'!E65="","",'دانش‌آموزان'!E65&amp;" "&amp;'دانش‌آموزان'!F65)</x:f>
        <x:v>علی احمدی</x:v>
      </x:c>
      <x:c r="F726" s="166" t="str">
        <x:f>IF('دانش‌آموزان'!I65="","",'دانش‌آموزان'!I65)</x:f>
        <x:v>sample-7-c</x:v>
      </x:c>
      <x:c r="G726" s="114"/>
      <x:c r="H726" s="115"/>
      <x:c r="I726" s="115"/>
      <x:c r="J726" s="115"/>
      <x:c r="K726" s="115"/>
      <x:c r="L726" s="115"/>
      <x:c r="M726" s="115"/>
      <x:c r="N726" s="115"/>
      <x:c r="O726" s="115"/>
      <x:c r="P726" s="115"/>
      <x:c r="Q726" s="115"/>
      <x:c r="R726" s="115"/>
      <x:c r="S726" s="115"/>
      <x:c r="T726" s="115"/>
      <x:c r="U726" s="115"/>
      <x:c r="V726" s="115"/>
      <x:c r="W726" s="115"/>
      <x:c r="X726" s="115"/>
      <x:c r="Y726" s="115"/>
      <x:c r="Z726" s="115"/>
      <x:c r="AA726" s="115"/>
      <x:c r="AB726" s="115"/>
      <x:c r="AC726" s="115"/>
      <x:c r="AD726" s="115"/>
      <x:c r="AE726" s="115"/>
      <x:c r="AF726" s="115"/>
      <x:c r="AG726" s="115"/>
      <x:c r="AH726" s="115"/>
      <x:c r="AI726" s="115"/>
      <x:c r="AJ726" s="115"/>
      <x:c r="AK726" s="115"/>
      <x:c r="AL726" s="115"/>
      <x:c r="AM726" s="115"/>
      <x:c r="AN726" s="115"/>
      <x:c r="AO726" s="115"/>
      <x:c r="AP726" s="115"/>
      <x:c r="AQ726" s="115"/>
      <x:c r="AR726" s="115"/>
      <x:c r="AS726" s="115"/>
      <x:c r="AT726" s="115"/>
      <x:c r="AU726" s="115"/>
      <x:c r="AV726" s="115"/>
      <x:c r="AW726" s="115"/>
      <x:c r="AX726" s="115"/>
      <x:c r="AY726" s="115"/>
      <x:c r="AZ726" s="115"/>
      <x:c r="BA726" s="115"/>
      <x:c r="BB726" s="115"/>
      <x:c r="BC726" s="115"/>
      <x:c r="BD726" s="115"/>
      <x:c r="BE726" s="115"/>
      <x:c r="BF726" s="115"/>
      <x:c r="BG726" s="115"/>
      <x:c r="BH726" s="115"/>
      <x:c r="BI726" s="115"/>
      <x:c r="BJ726" s="115"/>
      <x:c r="BK726" s="115"/>
      <x:c r="BL726" s="115"/>
      <x:c r="BM726" s="115"/>
      <x:c r="BN726" s="115"/>
      <x:c r="BO726" s="115"/>
      <x:c r="BP726" s="115"/>
      <x:c r="BQ726" s="115"/>
      <x:c r="BR726" s="115"/>
      <x:c r="BS726" s="115"/>
      <x:c r="BT726" s="115"/>
      <x:c r="BU726" s="115"/>
      <x:c r="BV726" s="115"/>
      <x:c r="BW726" s="115"/>
      <x:c r="BX726" s="115"/>
      <x:c r="BY726" s="115"/>
      <x:c r="BZ726" s="115"/>
      <x:c r="CA726" s="115"/>
      <x:c r="CB726" s="116"/>
      <x:c r="CC726" s="141" t="str">
        <x:f>IF(COUNT(G726:P726)=0,"",AVERAGE(G726:P726)*4)</x:f>
      </x:c>
      <x:c r="CD726" s="178" t="str">
        <x:f>IF(COUNT(Q726:Z726)=0,"",AVERAGE(Q726:Z726)*4)</x:f>
      </x:c>
      <x:c r="CE726" s="178" t="str">
        <x:f>IF(COUNT(AA726:AJ726)=0,"",AVERAGE(AA726:AJ726)*4)</x:f>
      </x:c>
      <x:c r="CF726" s="178" t="str">
        <x:f>IF(COUNT(AK726:AR726)=0,"",AVERAGE(AK726:AR726)*4)</x:f>
      </x:c>
      <x:c r="CG726" s="178" t="str">
        <x:f>IF(COUNT(AS726:AY726)=0,"",AVERAGE(AS726:AY726)*4)</x:f>
      </x:c>
      <x:c r="CH726" s="178" t="str">
        <x:f>IF(COUNT(AZ726:BG726)=0,"",AVERAGE(AZ726:BG726)*4)</x:f>
      </x:c>
      <x:c r="CI726" s="178" t="str">
        <x:f>IF(COUNT(BH726:BN726)=0,"",AVERAGE(BH726:BN726)*4)</x:f>
      </x:c>
      <x:c r="CJ726" s="178" t="str">
        <x:f>IF(COUNT(BO726:BU726)=0,"",AVERAGE(BO726:BU726)*4)</x:f>
      </x:c>
      <x:c r="CK726" s="178" t="str">
        <x:f>IF(COUNT(BV726:CB726)=0,"",AVERAGE(BV726:CB726)*4)</x:f>
      </x:c>
      <x:c r="CL726" s="178" t="str">
        <x:f>IF(C726="","",IF(COUNT(G726:CB726)&lt;74,"",(CC726*'تنظیمات وزن‌دهی'!$C$5+CD726*'تنظیمات وزن‌دهی'!$C$6+CE726*'تنظیمات وزن‌دهی'!$C$7+CF726*'تنظیمات وزن‌دهی'!$C$8+CG726*'تنظیمات وزن‌دهی'!$C$9+CH726*'تنظیمات وزن‌دهی'!$C$10+CI726*'تنظیمات وزن‌دهی'!$C$11+CJ726*'تنظیمات وزن‌دهی'!$C$12+CK726*'تنظیمات وزن‌دهی'!$C$13)/100))</x:f>
      </x:c>
      <x:c r="CM726" s="178" t="str">
        <x:f>IF(C726="","",IF(COUNT(G726:CB726)=0,"",IF(COUNT(G726:CB726)&lt;74,"موقت - اطلاعات ناقص",IF(CL726&gt;=17,"عالی",IF(CL726&gt;=14,"خوب",IF(CL726&gt;=10,"متوسط","ضعیف"))))))</x:f>
      </x:c>
      <x:c r="CN726" s="178" t="n">
        <x:v>2</x:v>
      </x:c>
      <x:c r="CO726" s="142" t="n">
        <x:f>IF(C726="","",COUNT(G726:CB726)/74)</x:f>
        <x:v>0</x:v>
      </x:c>
      <x:c r="CP726" s="245"/>
    </x:row>
    <x:row r="727">
      <x:c r="A727" s="165" t="n">
        <x:v>723</x:v>
      </x:c>
      <x:c r="B727" s="233" t="str">
        <x:v>شهریور</x:v>
      </x:c>
      <x:c r="C727" s="233" t="n">
        <x:f>IF('دانش‌آموزان'!E65="","",'دانش‌آموزان'!B65)</x:f>
        <x:v>61</x:v>
      </x:c>
      <x:c r="D727" s="233" t="str">
        <x:f>IF('دانش‌آموزان'!C65="","",'دانش‌آموزان'!C65)</x:f>
        <x:v>4000000616</x:v>
      </x:c>
      <x:c r="E727" s="233" t="str">
        <x:f>IF('دانش‌آموزان'!E65="","",'دانش‌آموزان'!E65&amp;" "&amp;'دانش‌آموزان'!F65)</x:f>
        <x:v>علی احمدی</x:v>
      </x:c>
      <x:c r="F727" s="166" t="str">
        <x:f>IF('دانش‌آموزان'!I65="","",'دانش‌آموزان'!I65)</x:f>
        <x:v>sample-7-c</x:v>
      </x:c>
      <x:c r="G727" s="114"/>
      <x:c r="H727" s="115"/>
      <x:c r="I727" s="115"/>
      <x:c r="J727" s="115"/>
      <x:c r="K727" s="115"/>
      <x:c r="L727" s="115"/>
      <x:c r="M727" s="115"/>
      <x:c r="N727" s="115"/>
      <x:c r="O727" s="115"/>
      <x:c r="P727" s="115"/>
      <x:c r="Q727" s="115"/>
      <x:c r="R727" s="115"/>
      <x:c r="S727" s="115"/>
      <x:c r="T727" s="115"/>
      <x:c r="U727" s="115"/>
      <x:c r="V727" s="115"/>
      <x:c r="W727" s="115"/>
      <x:c r="X727" s="115"/>
      <x:c r="Y727" s="115"/>
      <x:c r="Z727" s="115"/>
      <x:c r="AA727" s="115"/>
      <x:c r="AB727" s="115"/>
      <x:c r="AC727" s="115"/>
      <x:c r="AD727" s="115"/>
      <x:c r="AE727" s="115"/>
      <x:c r="AF727" s="115"/>
      <x:c r="AG727" s="115"/>
      <x:c r="AH727" s="115"/>
      <x:c r="AI727" s="115"/>
      <x:c r="AJ727" s="115"/>
      <x:c r="AK727" s="115"/>
      <x:c r="AL727" s="115"/>
      <x:c r="AM727" s="115"/>
      <x:c r="AN727" s="115"/>
      <x:c r="AO727" s="115"/>
      <x:c r="AP727" s="115"/>
      <x:c r="AQ727" s="115"/>
      <x:c r="AR727" s="115"/>
      <x:c r="AS727" s="115"/>
      <x:c r="AT727" s="115"/>
      <x:c r="AU727" s="115"/>
      <x:c r="AV727" s="115"/>
      <x:c r="AW727" s="115"/>
      <x:c r="AX727" s="115"/>
      <x:c r="AY727" s="115"/>
      <x:c r="AZ727" s="115"/>
      <x:c r="BA727" s="115"/>
      <x:c r="BB727" s="115"/>
      <x:c r="BC727" s="115"/>
      <x:c r="BD727" s="115"/>
      <x:c r="BE727" s="115"/>
      <x:c r="BF727" s="115"/>
      <x:c r="BG727" s="115"/>
      <x:c r="BH727" s="115"/>
      <x:c r="BI727" s="115"/>
      <x:c r="BJ727" s="115"/>
      <x:c r="BK727" s="115"/>
      <x:c r="BL727" s="115"/>
      <x:c r="BM727" s="115"/>
      <x:c r="BN727" s="115"/>
      <x:c r="BO727" s="115"/>
      <x:c r="BP727" s="115"/>
      <x:c r="BQ727" s="115"/>
      <x:c r="BR727" s="115"/>
      <x:c r="BS727" s="115"/>
      <x:c r="BT727" s="115"/>
      <x:c r="BU727" s="115"/>
      <x:c r="BV727" s="115"/>
      <x:c r="BW727" s="115"/>
      <x:c r="BX727" s="115"/>
      <x:c r="BY727" s="115"/>
      <x:c r="BZ727" s="115"/>
      <x:c r="CA727" s="115"/>
      <x:c r="CB727" s="116"/>
      <x:c r="CC727" s="141" t="str">
        <x:f>IF(COUNT(G727:P727)=0,"",AVERAGE(G727:P727)*4)</x:f>
      </x:c>
      <x:c r="CD727" s="178" t="str">
        <x:f>IF(COUNT(Q727:Z727)=0,"",AVERAGE(Q727:Z727)*4)</x:f>
      </x:c>
      <x:c r="CE727" s="178" t="str">
        <x:f>IF(COUNT(AA727:AJ727)=0,"",AVERAGE(AA727:AJ727)*4)</x:f>
      </x:c>
      <x:c r="CF727" s="178" t="str">
        <x:f>IF(COUNT(AK727:AR727)=0,"",AVERAGE(AK727:AR727)*4)</x:f>
      </x:c>
      <x:c r="CG727" s="178" t="str">
        <x:f>IF(COUNT(AS727:AY727)=0,"",AVERAGE(AS727:AY727)*4)</x:f>
      </x:c>
      <x:c r="CH727" s="178" t="str">
        <x:f>IF(COUNT(AZ727:BG727)=0,"",AVERAGE(AZ727:BG727)*4)</x:f>
      </x:c>
      <x:c r="CI727" s="178" t="str">
        <x:f>IF(COUNT(BH727:BN727)=0,"",AVERAGE(BH727:BN727)*4)</x:f>
      </x:c>
      <x:c r="CJ727" s="178" t="str">
        <x:f>IF(COUNT(BO727:BU727)=0,"",AVERAGE(BO727:BU727)*4)</x:f>
      </x:c>
      <x:c r="CK727" s="178" t="str">
        <x:f>IF(COUNT(BV727:CB727)=0,"",AVERAGE(BV727:CB727)*4)</x:f>
      </x:c>
      <x:c r="CL727" s="178" t="str">
        <x:f>IF(C727="","",IF(COUNT(G727:CB727)&lt;74,"",(CC727*'تنظیمات وزن‌دهی'!$C$5+CD727*'تنظیمات وزن‌دهی'!$C$6+CE727*'تنظیمات وزن‌دهی'!$C$7+CF727*'تنظیمات وزن‌دهی'!$C$8+CG727*'تنظیمات وزن‌دهی'!$C$9+CH727*'تنظیمات وزن‌دهی'!$C$10+CI727*'تنظیمات وزن‌دهی'!$C$11+CJ727*'تنظیمات وزن‌دهی'!$C$12+CK727*'تنظیمات وزن‌دهی'!$C$13)/100))</x:f>
      </x:c>
      <x:c r="CM727" s="178" t="str">
        <x:f>IF(C727="","",IF(COUNT(G727:CB727)=0,"",IF(COUNT(G727:CB727)&lt;74,"موقت - اطلاعات ناقص",IF(CL727&gt;=17,"عالی",IF(CL727&gt;=14,"خوب",IF(CL727&gt;=10,"متوسط","ضعیف"))))))</x:f>
      </x:c>
      <x:c r="CN727" s="178" t="n">
        <x:v>3</x:v>
      </x:c>
      <x:c r="CO727" s="142" t="n">
        <x:f>IF(C727="","",COUNT(G727:CB727)/74)</x:f>
        <x:v>0</x:v>
      </x:c>
      <x:c r="CP727" s="245"/>
    </x:row>
    <x:row r="728">
      <x:c r="A728" s="165" t="n">
        <x:v>724</x:v>
      </x:c>
      <x:c r="B728" s="233" t="str">
        <x:v>مهر</x:v>
      </x:c>
      <x:c r="C728" s="233" t="n">
        <x:f>IF('دانش‌آموزان'!E65="","",'دانش‌آموزان'!B65)</x:f>
        <x:v>61</x:v>
      </x:c>
      <x:c r="D728" s="233" t="str">
        <x:f>IF('دانش‌آموزان'!C65="","",'دانش‌آموزان'!C65)</x:f>
        <x:v>4000000616</x:v>
      </x:c>
      <x:c r="E728" s="233" t="str">
        <x:f>IF('دانش‌آموزان'!E65="","",'دانش‌آموزان'!E65&amp;" "&amp;'دانش‌آموزان'!F65)</x:f>
        <x:v>علی احمدی</x:v>
      </x:c>
      <x:c r="F728" s="166" t="str">
        <x:f>IF('دانش‌آموزان'!I65="","",'دانش‌آموزان'!I65)</x:f>
        <x:v>sample-7-c</x:v>
      </x:c>
      <x:c r="G728" s="114"/>
      <x:c r="H728" s="115"/>
      <x:c r="I728" s="115"/>
      <x:c r="J728" s="115"/>
      <x:c r="K728" s="115"/>
      <x:c r="L728" s="115"/>
      <x:c r="M728" s="115"/>
      <x:c r="N728" s="115"/>
      <x:c r="O728" s="115"/>
      <x:c r="P728" s="115"/>
      <x:c r="Q728" s="115"/>
      <x:c r="R728" s="115"/>
      <x:c r="S728" s="115"/>
      <x:c r="T728" s="115"/>
      <x:c r="U728" s="115"/>
      <x:c r="V728" s="115"/>
      <x:c r="W728" s="115"/>
      <x:c r="X728" s="115"/>
      <x:c r="Y728" s="115"/>
      <x:c r="Z728" s="115"/>
      <x:c r="AA728" s="115"/>
      <x:c r="AB728" s="115"/>
      <x:c r="AC728" s="115"/>
      <x:c r="AD728" s="115"/>
      <x:c r="AE728" s="115"/>
      <x:c r="AF728" s="115"/>
      <x:c r="AG728" s="115"/>
      <x:c r="AH728" s="115"/>
      <x:c r="AI728" s="115"/>
      <x:c r="AJ728" s="115"/>
      <x:c r="AK728" s="115"/>
      <x:c r="AL728" s="115"/>
      <x:c r="AM728" s="115"/>
      <x:c r="AN728" s="115"/>
      <x:c r="AO728" s="115"/>
      <x:c r="AP728" s="115"/>
      <x:c r="AQ728" s="115"/>
      <x:c r="AR728" s="115"/>
      <x:c r="AS728" s="115"/>
      <x:c r="AT728" s="115"/>
      <x:c r="AU728" s="115"/>
      <x:c r="AV728" s="115"/>
      <x:c r="AW728" s="115"/>
      <x:c r="AX728" s="115"/>
      <x:c r="AY728" s="115"/>
      <x:c r="AZ728" s="115"/>
      <x:c r="BA728" s="115"/>
      <x:c r="BB728" s="115"/>
      <x:c r="BC728" s="115"/>
      <x:c r="BD728" s="115"/>
      <x:c r="BE728" s="115"/>
      <x:c r="BF728" s="115"/>
      <x:c r="BG728" s="115"/>
      <x:c r="BH728" s="115"/>
      <x:c r="BI728" s="115"/>
      <x:c r="BJ728" s="115"/>
      <x:c r="BK728" s="115"/>
      <x:c r="BL728" s="115"/>
      <x:c r="BM728" s="115"/>
      <x:c r="BN728" s="115"/>
      <x:c r="BO728" s="115"/>
      <x:c r="BP728" s="115"/>
      <x:c r="BQ728" s="115"/>
      <x:c r="BR728" s="115"/>
      <x:c r="BS728" s="115"/>
      <x:c r="BT728" s="115"/>
      <x:c r="BU728" s="115"/>
      <x:c r="BV728" s="115"/>
      <x:c r="BW728" s="115"/>
      <x:c r="BX728" s="115"/>
      <x:c r="BY728" s="115"/>
      <x:c r="BZ728" s="115"/>
      <x:c r="CA728" s="115"/>
      <x:c r="CB728" s="116"/>
      <x:c r="CC728" s="141" t="str">
        <x:f>IF(COUNT(G728:P728)=0,"",AVERAGE(G728:P728)*4)</x:f>
      </x:c>
      <x:c r="CD728" s="178" t="str">
        <x:f>IF(COUNT(Q728:Z728)=0,"",AVERAGE(Q728:Z728)*4)</x:f>
      </x:c>
      <x:c r="CE728" s="178" t="str">
        <x:f>IF(COUNT(AA728:AJ728)=0,"",AVERAGE(AA728:AJ728)*4)</x:f>
      </x:c>
      <x:c r="CF728" s="178" t="str">
        <x:f>IF(COUNT(AK728:AR728)=0,"",AVERAGE(AK728:AR728)*4)</x:f>
      </x:c>
      <x:c r="CG728" s="178" t="str">
        <x:f>IF(COUNT(AS728:AY728)=0,"",AVERAGE(AS728:AY728)*4)</x:f>
      </x:c>
      <x:c r="CH728" s="178" t="str">
        <x:f>IF(COUNT(AZ728:BG728)=0,"",AVERAGE(AZ728:BG728)*4)</x:f>
      </x:c>
      <x:c r="CI728" s="178" t="str">
        <x:f>IF(COUNT(BH728:BN728)=0,"",AVERAGE(BH728:BN728)*4)</x:f>
      </x:c>
      <x:c r="CJ728" s="178" t="str">
        <x:f>IF(COUNT(BO728:BU728)=0,"",AVERAGE(BO728:BU728)*4)</x:f>
      </x:c>
      <x:c r="CK728" s="178" t="str">
        <x:f>IF(COUNT(BV728:CB728)=0,"",AVERAGE(BV728:CB728)*4)</x:f>
      </x:c>
      <x:c r="CL728" s="178" t="str">
        <x:f>IF(C728="","",IF(COUNT(G728:CB728)&lt;74,"",(CC728*'تنظیمات وزن‌دهی'!$C$5+CD728*'تنظیمات وزن‌دهی'!$C$6+CE728*'تنظیمات وزن‌دهی'!$C$7+CF728*'تنظیمات وزن‌دهی'!$C$8+CG728*'تنظیمات وزن‌دهی'!$C$9+CH728*'تنظیمات وزن‌دهی'!$C$10+CI728*'تنظیمات وزن‌دهی'!$C$11+CJ728*'تنظیمات وزن‌دهی'!$C$12+CK728*'تنظیمات وزن‌دهی'!$C$13)/100))</x:f>
      </x:c>
      <x:c r="CM728" s="178" t="str">
        <x:f>IF(C728="","",IF(COUNT(G728:CB728)=0,"",IF(COUNT(G728:CB728)&lt;74,"موقت - اطلاعات ناقص",IF(CL728&gt;=17,"عالی",IF(CL728&gt;=14,"خوب",IF(CL728&gt;=10,"متوسط","ضعیف"))))))</x:f>
      </x:c>
      <x:c r="CN728" s="178" t="n">
        <x:v>4</x:v>
      </x:c>
      <x:c r="CO728" s="142" t="n">
        <x:f>IF(C728="","",COUNT(G728:CB728)/74)</x:f>
        <x:v>0</x:v>
      </x:c>
      <x:c r="CP728" s="245"/>
    </x:row>
    <x:row r="729">
      <x:c r="A729" s="165" t="n">
        <x:v>725</x:v>
      </x:c>
      <x:c r="B729" s="233" t="str">
        <x:v>آبان</x:v>
      </x:c>
      <x:c r="C729" s="233" t="n">
        <x:f>IF('دانش‌آموزان'!E65="","",'دانش‌آموزان'!B65)</x:f>
        <x:v>61</x:v>
      </x:c>
      <x:c r="D729" s="233" t="str">
        <x:f>IF('دانش‌آموزان'!C65="","",'دانش‌آموزان'!C65)</x:f>
        <x:v>4000000616</x:v>
      </x:c>
      <x:c r="E729" s="233" t="str">
        <x:f>IF('دانش‌آموزان'!E65="","",'دانش‌آموزان'!E65&amp;" "&amp;'دانش‌آموزان'!F65)</x:f>
        <x:v>علی احمدی</x:v>
      </x:c>
      <x:c r="F729" s="166" t="str">
        <x:f>IF('دانش‌آموزان'!I65="","",'دانش‌آموزان'!I65)</x:f>
        <x:v>sample-7-c</x:v>
      </x:c>
      <x:c r="G729" s="114"/>
      <x:c r="H729" s="115"/>
      <x:c r="I729" s="115"/>
      <x:c r="J729" s="115"/>
      <x:c r="K729" s="115"/>
      <x:c r="L729" s="115"/>
      <x:c r="M729" s="115"/>
      <x:c r="N729" s="115"/>
      <x:c r="O729" s="115"/>
      <x:c r="P729" s="115"/>
      <x:c r="Q729" s="115"/>
      <x:c r="R729" s="115"/>
      <x:c r="S729" s="115"/>
      <x:c r="T729" s="115"/>
      <x:c r="U729" s="115"/>
      <x:c r="V729" s="115"/>
      <x:c r="W729" s="115"/>
      <x:c r="X729" s="115"/>
      <x:c r="Y729" s="115"/>
      <x:c r="Z729" s="115"/>
      <x:c r="AA729" s="115"/>
      <x:c r="AB729" s="115"/>
      <x:c r="AC729" s="115"/>
      <x:c r="AD729" s="115"/>
      <x:c r="AE729" s="115"/>
      <x:c r="AF729" s="115"/>
      <x:c r="AG729" s="115"/>
      <x:c r="AH729" s="115"/>
      <x:c r="AI729" s="115"/>
      <x:c r="AJ729" s="115"/>
      <x:c r="AK729" s="115"/>
      <x:c r="AL729" s="115"/>
      <x:c r="AM729" s="115"/>
      <x:c r="AN729" s="115"/>
      <x:c r="AO729" s="115"/>
      <x:c r="AP729" s="115"/>
      <x:c r="AQ729" s="115"/>
      <x:c r="AR729" s="115"/>
      <x:c r="AS729" s="115"/>
      <x:c r="AT729" s="115"/>
      <x:c r="AU729" s="115"/>
      <x:c r="AV729" s="115"/>
      <x:c r="AW729" s="115"/>
      <x:c r="AX729" s="115"/>
      <x:c r="AY729" s="115"/>
      <x:c r="AZ729" s="115"/>
      <x:c r="BA729" s="115"/>
      <x:c r="BB729" s="115"/>
      <x:c r="BC729" s="115"/>
      <x:c r="BD729" s="115"/>
      <x:c r="BE729" s="115"/>
      <x:c r="BF729" s="115"/>
      <x:c r="BG729" s="115"/>
      <x:c r="BH729" s="115"/>
      <x:c r="BI729" s="115"/>
      <x:c r="BJ729" s="115"/>
      <x:c r="BK729" s="115"/>
      <x:c r="BL729" s="115"/>
      <x:c r="BM729" s="115"/>
      <x:c r="BN729" s="115"/>
      <x:c r="BO729" s="115"/>
      <x:c r="BP729" s="115"/>
      <x:c r="BQ729" s="115"/>
      <x:c r="BR729" s="115"/>
      <x:c r="BS729" s="115"/>
      <x:c r="BT729" s="115"/>
      <x:c r="BU729" s="115"/>
      <x:c r="BV729" s="115"/>
      <x:c r="BW729" s="115"/>
      <x:c r="BX729" s="115"/>
      <x:c r="BY729" s="115"/>
      <x:c r="BZ729" s="115"/>
      <x:c r="CA729" s="115"/>
      <x:c r="CB729" s="116"/>
      <x:c r="CC729" s="141" t="str">
        <x:f>IF(COUNT(G729:P729)=0,"",AVERAGE(G729:P729)*4)</x:f>
      </x:c>
      <x:c r="CD729" s="178" t="str">
        <x:f>IF(COUNT(Q729:Z729)=0,"",AVERAGE(Q729:Z729)*4)</x:f>
      </x:c>
      <x:c r="CE729" s="178" t="str">
        <x:f>IF(COUNT(AA729:AJ729)=0,"",AVERAGE(AA729:AJ729)*4)</x:f>
      </x:c>
      <x:c r="CF729" s="178" t="str">
        <x:f>IF(COUNT(AK729:AR729)=0,"",AVERAGE(AK729:AR729)*4)</x:f>
      </x:c>
      <x:c r="CG729" s="178" t="str">
        <x:f>IF(COUNT(AS729:AY729)=0,"",AVERAGE(AS729:AY729)*4)</x:f>
      </x:c>
      <x:c r="CH729" s="178" t="str">
        <x:f>IF(COUNT(AZ729:BG729)=0,"",AVERAGE(AZ729:BG729)*4)</x:f>
      </x:c>
      <x:c r="CI729" s="178" t="str">
        <x:f>IF(COUNT(BH729:BN729)=0,"",AVERAGE(BH729:BN729)*4)</x:f>
      </x:c>
      <x:c r="CJ729" s="178" t="str">
        <x:f>IF(COUNT(BO729:BU729)=0,"",AVERAGE(BO729:BU729)*4)</x:f>
      </x:c>
      <x:c r="CK729" s="178" t="str">
        <x:f>IF(COUNT(BV729:CB729)=0,"",AVERAGE(BV729:CB729)*4)</x:f>
      </x:c>
      <x:c r="CL729" s="178" t="str">
        <x:f>IF(C729="","",IF(COUNT(G729:CB729)&lt;74,"",(CC729*'تنظیمات وزن‌دهی'!$C$5+CD729*'تنظیمات وزن‌دهی'!$C$6+CE729*'تنظیمات وزن‌دهی'!$C$7+CF729*'تنظیمات وزن‌دهی'!$C$8+CG729*'تنظیمات وزن‌دهی'!$C$9+CH729*'تنظیمات وزن‌دهی'!$C$10+CI729*'تنظیمات وزن‌دهی'!$C$11+CJ729*'تنظیمات وزن‌دهی'!$C$12+CK729*'تنظیمات وزن‌دهی'!$C$13)/100))</x:f>
      </x:c>
      <x:c r="CM729" s="178" t="str">
        <x:f>IF(C729="","",IF(COUNT(G729:CB729)=0,"",IF(COUNT(G729:CB729)&lt;74,"موقت - اطلاعات ناقص",IF(CL729&gt;=17,"عالی",IF(CL729&gt;=14,"خوب",IF(CL729&gt;=10,"متوسط","ضعیف"))))))</x:f>
      </x:c>
      <x:c r="CN729" s="178" t="n">
        <x:v>5</x:v>
      </x:c>
      <x:c r="CO729" s="142" t="n">
        <x:f>IF(C729="","",COUNT(G729:CB729)/74)</x:f>
        <x:v>0</x:v>
      </x:c>
      <x:c r="CP729" s="245"/>
    </x:row>
    <x:row r="730">
      <x:c r="A730" s="165" t="n">
        <x:v>726</x:v>
      </x:c>
      <x:c r="B730" s="233" t="str">
        <x:v>آذر</x:v>
      </x:c>
      <x:c r="C730" s="233" t="n">
        <x:f>IF('دانش‌آموزان'!E65="","",'دانش‌آموزان'!B65)</x:f>
        <x:v>61</x:v>
      </x:c>
      <x:c r="D730" s="233" t="str">
        <x:f>IF('دانش‌آموزان'!C65="","",'دانش‌آموزان'!C65)</x:f>
        <x:v>4000000616</x:v>
      </x:c>
      <x:c r="E730" s="233" t="str">
        <x:f>IF('دانش‌آموزان'!E65="","",'دانش‌آموزان'!E65&amp;" "&amp;'دانش‌آموزان'!F65)</x:f>
        <x:v>علی احمدی</x:v>
      </x:c>
      <x:c r="F730" s="166" t="str">
        <x:f>IF('دانش‌آموزان'!I65="","",'دانش‌آموزان'!I65)</x:f>
        <x:v>sample-7-c</x:v>
      </x:c>
      <x:c r="G730" s="114"/>
      <x:c r="H730" s="115"/>
      <x:c r="I730" s="115"/>
      <x:c r="J730" s="115"/>
      <x:c r="K730" s="115"/>
      <x:c r="L730" s="115"/>
      <x:c r="M730" s="115"/>
      <x:c r="N730" s="115"/>
      <x:c r="O730" s="115"/>
      <x:c r="P730" s="115"/>
      <x:c r="Q730" s="115"/>
      <x:c r="R730" s="115"/>
      <x:c r="S730" s="115"/>
      <x:c r="T730" s="115"/>
      <x:c r="U730" s="115"/>
      <x:c r="V730" s="115"/>
      <x:c r="W730" s="115"/>
      <x:c r="X730" s="115"/>
      <x:c r="Y730" s="115"/>
      <x:c r="Z730" s="115"/>
      <x:c r="AA730" s="115"/>
      <x:c r="AB730" s="115"/>
      <x:c r="AC730" s="115"/>
      <x:c r="AD730" s="115"/>
      <x:c r="AE730" s="115"/>
      <x:c r="AF730" s="115"/>
      <x:c r="AG730" s="115"/>
      <x:c r="AH730" s="115"/>
      <x:c r="AI730" s="115"/>
      <x:c r="AJ730" s="115"/>
      <x:c r="AK730" s="115"/>
      <x:c r="AL730" s="115"/>
      <x:c r="AM730" s="115"/>
      <x:c r="AN730" s="115"/>
      <x:c r="AO730" s="115"/>
      <x:c r="AP730" s="115"/>
      <x:c r="AQ730" s="115"/>
      <x:c r="AR730" s="115"/>
      <x:c r="AS730" s="115"/>
      <x:c r="AT730" s="115"/>
      <x:c r="AU730" s="115"/>
      <x:c r="AV730" s="115"/>
      <x:c r="AW730" s="115"/>
      <x:c r="AX730" s="115"/>
      <x:c r="AY730" s="115"/>
      <x:c r="AZ730" s="115"/>
      <x:c r="BA730" s="115"/>
      <x:c r="BB730" s="115"/>
      <x:c r="BC730" s="115"/>
      <x:c r="BD730" s="115"/>
      <x:c r="BE730" s="115"/>
      <x:c r="BF730" s="115"/>
      <x:c r="BG730" s="115"/>
      <x:c r="BH730" s="115"/>
      <x:c r="BI730" s="115"/>
      <x:c r="BJ730" s="115"/>
      <x:c r="BK730" s="115"/>
      <x:c r="BL730" s="115"/>
      <x:c r="BM730" s="115"/>
      <x:c r="BN730" s="115"/>
      <x:c r="BO730" s="115"/>
      <x:c r="BP730" s="115"/>
      <x:c r="BQ730" s="115"/>
      <x:c r="BR730" s="115"/>
      <x:c r="BS730" s="115"/>
      <x:c r="BT730" s="115"/>
      <x:c r="BU730" s="115"/>
      <x:c r="BV730" s="115"/>
      <x:c r="BW730" s="115"/>
      <x:c r="BX730" s="115"/>
      <x:c r="BY730" s="115"/>
      <x:c r="BZ730" s="115"/>
      <x:c r="CA730" s="115"/>
      <x:c r="CB730" s="116"/>
      <x:c r="CC730" s="141" t="str">
        <x:f>IF(COUNT(G730:P730)=0,"",AVERAGE(G730:P730)*4)</x:f>
      </x:c>
      <x:c r="CD730" s="178" t="str">
        <x:f>IF(COUNT(Q730:Z730)=0,"",AVERAGE(Q730:Z730)*4)</x:f>
      </x:c>
      <x:c r="CE730" s="178" t="str">
        <x:f>IF(COUNT(AA730:AJ730)=0,"",AVERAGE(AA730:AJ730)*4)</x:f>
      </x:c>
      <x:c r="CF730" s="178" t="str">
        <x:f>IF(COUNT(AK730:AR730)=0,"",AVERAGE(AK730:AR730)*4)</x:f>
      </x:c>
      <x:c r="CG730" s="178" t="str">
        <x:f>IF(COUNT(AS730:AY730)=0,"",AVERAGE(AS730:AY730)*4)</x:f>
      </x:c>
      <x:c r="CH730" s="178" t="str">
        <x:f>IF(COUNT(AZ730:BG730)=0,"",AVERAGE(AZ730:BG730)*4)</x:f>
      </x:c>
      <x:c r="CI730" s="178" t="str">
        <x:f>IF(COUNT(BH730:BN730)=0,"",AVERAGE(BH730:BN730)*4)</x:f>
      </x:c>
      <x:c r="CJ730" s="178" t="str">
        <x:f>IF(COUNT(BO730:BU730)=0,"",AVERAGE(BO730:BU730)*4)</x:f>
      </x:c>
      <x:c r="CK730" s="178" t="str">
        <x:f>IF(COUNT(BV730:CB730)=0,"",AVERAGE(BV730:CB730)*4)</x:f>
      </x:c>
      <x:c r="CL730" s="178" t="str">
        <x:f>IF(C730="","",IF(COUNT(G730:CB730)&lt;74,"",(CC730*'تنظیمات وزن‌دهی'!$C$5+CD730*'تنظیمات وزن‌دهی'!$C$6+CE730*'تنظیمات وزن‌دهی'!$C$7+CF730*'تنظیمات وزن‌دهی'!$C$8+CG730*'تنظیمات وزن‌دهی'!$C$9+CH730*'تنظیمات وزن‌دهی'!$C$10+CI730*'تنظیمات وزن‌دهی'!$C$11+CJ730*'تنظیمات وزن‌دهی'!$C$12+CK730*'تنظیمات وزن‌دهی'!$C$13)/100))</x:f>
      </x:c>
      <x:c r="CM730" s="178" t="str">
        <x:f>IF(C730="","",IF(COUNT(G730:CB730)=0,"",IF(COUNT(G730:CB730)&lt;74,"موقت - اطلاعات ناقص",IF(CL730&gt;=17,"عالی",IF(CL730&gt;=14,"خوب",IF(CL730&gt;=10,"متوسط","ضعیف"))))))</x:f>
      </x:c>
      <x:c r="CN730" s="178" t="n">
        <x:v>6</x:v>
      </x:c>
      <x:c r="CO730" s="142" t="n">
        <x:f>IF(C730="","",COUNT(G730:CB730)/74)</x:f>
        <x:v>0</x:v>
      </x:c>
      <x:c r="CP730" s="245"/>
    </x:row>
    <x:row r="731">
      <x:c r="A731" s="165" t="n">
        <x:v>727</x:v>
      </x:c>
      <x:c r="B731" s="233" t="str">
        <x:v>دی</x:v>
      </x:c>
      <x:c r="C731" s="233" t="n">
        <x:f>IF('دانش‌آموزان'!E65="","",'دانش‌آموزان'!B65)</x:f>
        <x:v>61</x:v>
      </x:c>
      <x:c r="D731" s="233" t="str">
        <x:f>IF('دانش‌آموزان'!C65="","",'دانش‌آموزان'!C65)</x:f>
        <x:v>4000000616</x:v>
      </x:c>
      <x:c r="E731" s="233" t="str">
        <x:f>IF('دانش‌آموزان'!E65="","",'دانش‌آموزان'!E65&amp;" "&amp;'دانش‌آموزان'!F65)</x:f>
        <x:v>علی احمدی</x:v>
      </x:c>
      <x:c r="F731" s="166" t="str">
        <x:f>IF('دانش‌آموزان'!I65="","",'دانش‌آموزان'!I65)</x:f>
        <x:v>sample-7-c</x:v>
      </x:c>
      <x:c r="G731" s="114"/>
      <x:c r="H731" s="115"/>
      <x:c r="I731" s="115"/>
      <x:c r="J731" s="115"/>
      <x:c r="K731" s="115"/>
      <x:c r="L731" s="115"/>
      <x:c r="M731" s="115"/>
      <x:c r="N731" s="115"/>
      <x:c r="O731" s="115"/>
      <x:c r="P731" s="115"/>
      <x:c r="Q731" s="115"/>
      <x:c r="R731" s="115"/>
      <x:c r="S731" s="115"/>
      <x:c r="T731" s="115"/>
      <x:c r="U731" s="115"/>
      <x:c r="V731" s="115"/>
      <x:c r="W731" s="115"/>
      <x:c r="X731" s="115"/>
      <x:c r="Y731" s="115"/>
      <x:c r="Z731" s="115"/>
      <x:c r="AA731" s="115"/>
      <x:c r="AB731" s="115"/>
      <x:c r="AC731" s="115"/>
      <x:c r="AD731" s="115"/>
      <x:c r="AE731" s="115"/>
      <x:c r="AF731" s="115"/>
      <x:c r="AG731" s="115"/>
      <x:c r="AH731" s="115"/>
      <x:c r="AI731" s="115"/>
      <x:c r="AJ731" s="115"/>
      <x:c r="AK731" s="115"/>
      <x:c r="AL731" s="115"/>
      <x:c r="AM731" s="115"/>
      <x:c r="AN731" s="115"/>
      <x:c r="AO731" s="115"/>
      <x:c r="AP731" s="115"/>
      <x:c r="AQ731" s="115"/>
      <x:c r="AR731" s="115"/>
      <x:c r="AS731" s="115"/>
      <x:c r="AT731" s="115"/>
      <x:c r="AU731" s="115"/>
      <x:c r="AV731" s="115"/>
      <x:c r="AW731" s="115"/>
      <x:c r="AX731" s="115"/>
      <x:c r="AY731" s="115"/>
      <x:c r="AZ731" s="115"/>
      <x:c r="BA731" s="115"/>
      <x:c r="BB731" s="115"/>
      <x:c r="BC731" s="115"/>
      <x:c r="BD731" s="115"/>
      <x:c r="BE731" s="115"/>
      <x:c r="BF731" s="115"/>
      <x:c r="BG731" s="115"/>
      <x:c r="BH731" s="115"/>
      <x:c r="BI731" s="115"/>
      <x:c r="BJ731" s="115"/>
      <x:c r="BK731" s="115"/>
      <x:c r="BL731" s="115"/>
      <x:c r="BM731" s="115"/>
      <x:c r="BN731" s="115"/>
      <x:c r="BO731" s="115"/>
      <x:c r="BP731" s="115"/>
      <x:c r="BQ731" s="115"/>
      <x:c r="BR731" s="115"/>
      <x:c r="BS731" s="115"/>
      <x:c r="BT731" s="115"/>
      <x:c r="BU731" s="115"/>
      <x:c r="BV731" s="115"/>
      <x:c r="BW731" s="115"/>
      <x:c r="BX731" s="115"/>
      <x:c r="BY731" s="115"/>
      <x:c r="BZ731" s="115"/>
      <x:c r="CA731" s="115"/>
      <x:c r="CB731" s="116"/>
      <x:c r="CC731" s="141" t="str">
        <x:f>IF(COUNT(G731:P731)=0,"",AVERAGE(G731:P731)*4)</x:f>
      </x:c>
      <x:c r="CD731" s="178" t="str">
        <x:f>IF(COUNT(Q731:Z731)=0,"",AVERAGE(Q731:Z731)*4)</x:f>
      </x:c>
      <x:c r="CE731" s="178" t="str">
        <x:f>IF(COUNT(AA731:AJ731)=0,"",AVERAGE(AA731:AJ731)*4)</x:f>
      </x:c>
      <x:c r="CF731" s="178" t="str">
        <x:f>IF(COUNT(AK731:AR731)=0,"",AVERAGE(AK731:AR731)*4)</x:f>
      </x:c>
      <x:c r="CG731" s="178" t="str">
        <x:f>IF(COUNT(AS731:AY731)=0,"",AVERAGE(AS731:AY731)*4)</x:f>
      </x:c>
      <x:c r="CH731" s="178" t="str">
        <x:f>IF(COUNT(AZ731:BG731)=0,"",AVERAGE(AZ731:BG731)*4)</x:f>
      </x:c>
      <x:c r="CI731" s="178" t="str">
        <x:f>IF(COUNT(BH731:BN731)=0,"",AVERAGE(BH731:BN731)*4)</x:f>
      </x:c>
      <x:c r="CJ731" s="178" t="str">
        <x:f>IF(COUNT(BO731:BU731)=0,"",AVERAGE(BO731:BU731)*4)</x:f>
      </x:c>
      <x:c r="CK731" s="178" t="str">
        <x:f>IF(COUNT(BV731:CB731)=0,"",AVERAGE(BV731:CB731)*4)</x:f>
      </x:c>
      <x:c r="CL731" s="178" t="str">
        <x:f>IF(C731="","",IF(COUNT(G731:CB731)&lt;74,"",(CC731*'تنظیمات وزن‌دهی'!$C$5+CD731*'تنظیمات وزن‌دهی'!$C$6+CE731*'تنظیمات وزن‌دهی'!$C$7+CF731*'تنظیمات وزن‌دهی'!$C$8+CG731*'تنظیمات وزن‌دهی'!$C$9+CH731*'تنظیمات وزن‌دهی'!$C$10+CI731*'تنظیمات وزن‌دهی'!$C$11+CJ731*'تنظیمات وزن‌دهی'!$C$12+CK731*'تنظیمات وزن‌دهی'!$C$13)/100))</x:f>
      </x:c>
      <x:c r="CM731" s="178" t="str">
        <x:f>IF(C731="","",IF(COUNT(G731:CB731)=0,"",IF(COUNT(G731:CB731)&lt;74,"موقت - اطلاعات ناقص",IF(CL731&gt;=17,"عالی",IF(CL731&gt;=14,"خوب",IF(CL731&gt;=10,"متوسط","ضعیف"))))))</x:f>
      </x:c>
      <x:c r="CN731" s="178" t="n">
        <x:v>7</x:v>
      </x:c>
      <x:c r="CO731" s="142" t="n">
        <x:f>IF(C731="","",COUNT(G731:CB731)/74)</x:f>
        <x:v>0</x:v>
      </x:c>
      <x:c r="CP731" s="245"/>
    </x:row>
    <x:row r="732">
      <x:c r="A732" s="165" t="n">
        <x:v>728</x:v>
      </x:c>
      <x:c r="B732" s="233" t="str">
        <x:v>بهمن</x:v>
      </x:c>
      <x:c r="C732" s="233" t="n">
        <x:f>IF('دانش‌آموزان'!E65="","",'دانش‌آموزان'!B65)</x:f>
        <x:v>61</x:v>
      </x:c>
      <x:c r="D732" s="233" t="str">
        <x:f>IF('دانش‌آموزان'!C65="","",'دانش‌آموزان'!C65)</x:f>
        <x:v>4000000616</x:v>
      </x:c>
      <x:c r="E732" s="233" t="str">
        <x:f>IF('دانش‌آموزان'!E65="","",'دانش‌آموزان'!E65&amp;" "&amp;'دانش‌آموزان'!F65)</x:f>
        <x:v>علی احمدی</x:v>
      </x:c>
      <x:c r="F732" s="166" t="str">
        <x:f>IF('دانش‌آموزان'!I65="","",'دانش‌آموزان'!I65)</x:f>
        <x:v>sample-7-c</x:v>
      </x:c>
      <x:c r="G732" s="114"/>
      <x:c r="H732" s="115"/>
      <x:c r="I732" s="115"/>
      <x:c r="J732" s="115"/>
      <x:c r="K732" s="115"/>
      <x:c r="L732" s="115"/>
      <x:c r="M732" s="115"/>
      <x:c r="N732" s="115"/>
      <x:c r="O732" s="115"/>
      <x:c r="P732" s="115"/>
      <x:c r="Q732" s="115"/>
      <x:c r="R732" s="115"/>
      <x:c r="S732" s="115"/>
      <x:c r="T732" s="115"/>
      <x:c r="U732" s="115"/>
      <x:c r="V732" s="115"/>
      <x:c r="W732" s="115"/>
      <x:c r="X732" s="115"/>
      <x:c r="Y732" s="115"/>
      <x:c r="Z732" s="115"/>
      <x:c r="AA732" s="115"/>
      <x:c r="AB732" s="115"/>
      <x:c r="AC732" s="115"/>
      <x:c r="AD732" s="115"/>
      <x:c r="AE732" s="115"/>
      <x:c r="AF732" s="115"/>
      <x:c r="AG732" s="115"/>
      <x:c r="AH732" s="115"/>
      <x:c r="AI732" s="115"/>
      <x:c r="AJ732" s="115"/>
      <x:c r="AK732" s="115"/>
      <x:c r="AL732" s="115"/>
      <x:c r="AM732" s="115"/>
      <x:c r="AN732" s="115"/>
      <x:c r="AO732" s="115"/>
      <x:c r="AP732" s="115"/>
      <x:c r="AQ732" s="115"/>
      <x:c r="AR732" s="115"/>
      <x:c r="AS732" s="115"/>
      <x:c r="AT732" s="115"/>
      <x:c r="AU732" s="115"/>
      <x:c r="AV732" s="115"/>
      <x:c r="AW732" s="115"/>
      <x:c r="AX732" s="115"/>
      <x:c r="AY732" s="115"/>
      <x:c r="AZ732" s="115"/>
      <x:c r="BA732" s="115"/>
      <x:c r="BB732" s="115"/>
      <x:c r="BC732" s="115"/>
      <x:c r="BD732" s="115"/>
      <x:c r="BE732" s="115"/>
      <x:c r="BF732" s="115"/>
      <x:c r="BG732" s="115"/>
      <x:c r="BH732" s="115"/>
      <x:c r="BI732" s="115"/>
      <x:c r="BJ732" s="115"/>
      <x:c r="BK732" s="115"/>
      <x:c r="BL732" s="115"/>
      <x:c r="BM732" s="115"/>
      <x:c r="BN732" s="115"/>
      <x:c r="BO732" s="115"/>
      <x:c r="BP732" s="115"/>
      <x:c r="BQ732" s="115"/>
      <x:c r="BR732" s="115"/>
      <x:c r="BS732" s="115"/>
      <x:c r="BT732" s="115"/>
      <x:c r="BU732" s="115"/>
      <x:c r="BV732" s="115"/>
      <x:c r="BW732" s="115"/>
      <x:c r="BX732" s="115"/>
      <x:c r="BY732" s="115"/>
      <x:c r="BZ732" s="115"/>
      <x:c r="CA732" s="115"/>
      <x:c r="CB732" s="116"/>
      <x:c r="CC732" s="141" t="str">
        <x:f>IF(COUNT(G732:P732)=0,"",AVERAGE(G732:P732)*4)</x:f>
      </x:c>
      <x:c r="CD732" s="178" t="str">
        <x:f>IF(COUNT(Q732:Z732)=0,"",AVERAGE(Q732:Z732)*4)</x:f>
      </x:c>
      <x:c r="CE732" s="178" t="str">
        <x:f>IF(COUNT(AA732:AJ732)=0,"",AVERAGE(AA732:AJ732)*4)</x:f>
      </x:c>
      <x:c r="CF732" s="178" t="str">
        <x:f>IF(COUNT(AK732:AR732)=0,"",AVERAGE(AK732:AR732)*4)</x:f>
      </x:c>
      <x:c r="CG732" s="178" t="str">
        <x:f>IF(COUNT(AS732:AY732)=0,"",AVERAGE(AS732:AY732)*4)</x:f>
      </x:c>
      <x:c r="CH732" s="178" t="str">
        <x:f>IF(COUNT(AZ732:BG732)=0,"",AVERAGE(AZ732:BG732)*4)</x:f>
      </x:c>
      <x:c r="CI732" s="178" t="str">
        <x:f>IF(COUNT(BH732:BN732)=0,"",AVERAGE(BH732:BN732)*4)</x:f>
      </x:c>
      <x:c r="CJ732" s="178" t="str">
        <x:f>IF(COUNT(BO732:BU732)=0,"",AVERAGE(BO732:BU732)*4)</x:f>
      </x:c>
      <x:c r="CK732" s="178" t="str">
        <x:f>IF(COUNT(BV732:CB732)=0,"",AVERAGE(BV732:CB732)*4)</x:f>
      </x:c>
      <x:c r="CL732" s="178" t="str">
        <x:f>IF(C732="","",IF(COUNT(G732:CB732)&lt;74,"",(CC732*'تنظیمات وزن‌دهی'!$C$5+CD732*'تنظیمات وزن‌دهی'!$C$6+CE732*'تنظیمات وزن‌دهی'!$C$7+CF732*'تنظیمات وزن‌دهی'!$C$8+CG732*'تنظیمات وزن‌دهی'!$C$9+CH732*'تنظیمات وزن‌دهی'!$C$10+CI732*'تنظیمات وزن‌دهی'!$C$11+CJ732*'تنظیمات وزن‌دهی'!$C$12+CK732*'تنظیمات وزن‌دهی'!$C$13)/100))</x:f>
      </x:c>
      <x:c r="CM732" s="178" t="str">
        <x:f>IF(C732="","",IF(COUNT(G732:CB732)=0,"",IF(COUNT(G732:CB732)&lt;74,"موقت - اطلاعات ناقص",IF(CL732&gt;=17,"عالی",IF(CL732&gt;=14,"خوب",IF(CL732&gt;=10,"متوسط","ضعیف"))))))</x:f>
      </x:c>
      <x:c r="CN732" s="178" t="n">
        <x:v>8</x:v>
      </x:c>
      <x:c r="CO732" s="142" t="n">
        <x:f>IF(C732="","",COUNT(G732:CB732)/74)</x:f>
        <x:v>0</x:v>
      </x:c>
      <x:c r="CP732" s="245"/>
    </x:row>
    <x:row r="733">
      <x:c r="A733" s="165" t="n">
        <x:v>729</x:v>
      </x:c>
      <x:c r="B733" s="233" t="str">
        <x:v>اسفند</x:v>
      </x:c>
      <x:c r="C733" s="233" t="n">
        <x:f>IF('دانش‌آموزان'!E65="","",'دانش‌آموزان'!B65)</x:f>
        <x:v>61</x:v>
      </x:c>
      <x:c r="D733" s="233" t="str">
        <x:f>IF('دانش‌آموزان'!C65="","",'دانش‌آموزان'!C65)</x:f>
        <x:v>4000000616</x:v>
      </x:c>
      <x:c r="E733" s="233" t="str">
        <x:f>IF('دانش‌آموزان'!E65="","",'دانش‌آموزان'!E65&amp;" "&amp;'دانش‌آموزان'!F65)</x:f>
        <x:v>علی احمدی</x:v>
      </x:c>
      <x:c r="F733" s="166" t="str">
        <x:f>IF('دانش‌آموزان'!I65="","",'دانش‌آموزان'!I65)</x:f>
        <x:v>sample-7-c</x:v>
      </x:c>
      <x:c r="G733" s="114"/>
      <x:c r="H733" s="115"/>
      <x:c r="I733" s="115"/>
      <x:c r="J733" s="115"/>
      <x:c r="K733" s="115"/>
      <x:c r="L733" s="115"/>
      <x:c r="M733" s="115"/>
      <x:c r="N733" s="115"/>
      <x:c r="O733" s="115"/>
      <x:c r="P733" s="115"/>
      <x:c r="Q733" s="115"/>
      <x:c r="R733" s="115"/>
      <x:c r="S733" s="115"/>
      <x:c r="T733" s="115"/>
      <x:c r="U733" s="115"/>
      <x:c r="V733" s="115"/>
      <x:c r="W733" s="115"/>
      <x:c r="X733" s="115"/>
      <x:c r="Y733" s="115"/>
      <x:c r="Z733" s="115"/>
      <x:c r="AA733" s="115"/>
      <x:c r="AB733" s="115"/>
      <x:c r="AC733" s="115"/>
      <x:c r="AD733" s="115"/>
      <x:c r="AE733" s="115"/>
      <x:c r="AF733" s="115"/>
      <x:c r="AG733" s="115"/>
      <x:c r="AH733" s="115"/>
      <x:c r="AI733" s="115"/>
      <x:c r="AJ733" s="115"/>
      <x:c r="AK733" s="115"/>
      <x:c r="AL733" s="115"/>
      <x:c r="AM733" s="115"/>
      <x:c r="AN733" s="115"/>
      <x:c r="AO733" s="115"/>
      <x:c r="AP733" s="115"/>
      <x:c r="AQ733" s="115"/>
      <x:c r="AR733" s="115"/>
      <x:c r="AS733" s="115"/>
      <x:c r="AT733" s="115"/>
      <x:c r="AU733" s="115"/>
      <x:c r="AV733" s="115"/>
      <x:c r="AW733" s="115"/>
      <x:c r="AX733" s="115"/>
      <x:c r="AY733" s="115"/>
      <x:c r="AZ733" s="115"/>
      <x:c r="BA733" s="115"/>
      <x:c r="BB733" s="115"/>
      <x:c r="BC733" s="115"/>
      <x:c r="BD733" s="115"/>
      <x:c r="BE733" s="115"/>
      <x:c r="BF733" s="115"/>
      <x:c r="BG733" s="115"/>
      <x:c r="BH733" s="115"/>
      <x:c r="BI733" s="115"/>
      <x:c r="BJ733" s="115"/>
      <x:c r="BK733" s="115"/>
      <x:c r="BL733" s="115"/>
      <x:c r="BM733" s="115"/>
      <x:c r="BN733" s="115"/>
      <x:c r="BO733" s="115"/>
      <x:c r="BP733" s="115"/>
      <x:c r="BQ733" s="115"/>
      <x:c r="BR733" s="115"/>
      <x:c r="BS733" s="115"/>
      <x:c r="BT733" s="115"/>
      <x:c r="BU733" s="115"/>
      <x:c r="BV733" s="115"/>
      <x:c r="BW733" s="115"/>
      <x:c r="BX733" s="115"/>
      <x:c r="BY733" s="115"/>
      <x:c r="BZ733" s="115"/>
      <x:c r="CA733" s="115"/>
      <x:c r="CB733" s="116"/>
      <x:c r="CC733" s="141" t="str">
        <x:f>IF(COUNT(G733:P733)=0,"",AVERAGE(G733:P733)*4)</x:f>
      </x:c>
      <x:c r="CD733" s="178" t="str">
        <x:f>IF(COUNT(Q733:Z733)=0,"",AVERAGE(Q733:Z733)*4)</x:f>
      </x:c>
      <x:c r="CE733" s="178" t="str">
        <x:f>IF(COUNT(AA733:AJ733)=0,"",AVERAGE(AA733:AJ733)*4)</x:f>
      </x:c>
      <x:c r="CF733" s="178" t="str">
        <x:f>IF(COUNT(AK733:AR733)=0,"",AVERAGE(AK733:AR733)*4)</x:f>
      </x:c>
      <x:c r="CG733" s="178" t="str">
        <x:f>IF(COUNT(AS733:AY733)=0,"",AVERAGE(AS733:AY733)*4)</x:f>
      </x:c>
      <x:c r="CH733" s="178" t="str">
        <x:f>IF(COUNT(AZ733:BG733)=0,"",AVERAGE(AZ733:BG733)*4)</x:f>
      </x:c>
      <x:c r="CI733" s="178" t="str">
        <x:f>IF(COUNT(BH733:BN733)=0,"",AVERAGE(BH733:BN733)*4)</x:f>
      </x:c>
      <x:c r="CJ733" s="178" t="str">
        <x:f>IF(COUNT(BO733:BU733)=0,"",AVERAGE(BO733:BU733)*4)</x:f>
      </x:c>
      <x:c r="CK733" s="178" t="str">
        <x:f>IF(COUNT(BV733:CB733)=0,"",AVERAGE(BV733:CB733)*4)</x:f>
      </x:c>
      <x:c r="CL733" s="178" t="str">
        <x:f>IF(C733="","",IF(COUNT(G733:CB733)&lt;74,"",(CC733*'تنظیمات وزن‌دهی'!$C$5+CD733*'تنظیمات وزن‌دهی'!$C$6+CE733*'تنظیمات وزن‌دهی'!$C$7+CF733*'تنظیمات وزن‌دهی'!$C$8+CG733*'تنظیمات وزن‌دهی'!$C$9+CH733*'تنظیمات وزن‌دهی'!$C$10+CI733*'تنظیمات وزن‌دهی'!$C$11+CJ733*'تنظیمات وزن‌دهی'!$C$12+CK733*'تنظیمات وزن‌دهی'!$C$13)/100))</x:f>
      </x:c>
      <x:c r="CM733" s="178" t="str">
        <x:f>IF(C733="","",IF(COUNT(G733:CB733)=0,"",IF(COUNT(G733:CB733)&lt;74,"موقت - اطلاعات ناقص",IF(CL733&gt;=17,"عالی",IF(CL733&gt;=14,"خوب",IF(CL733&gt;=10,"متوسط","ضعیف"))))))</x:f>
      </x:c>
      <x:c r="CN733" s="178" t="n">
        <x:v>9</x:v>
      </x:c>
      <x:c r="CO733" s="142" t="n">
        <x:f>IF(C733="","",COUNT(G733:CB733)/74)</x:f>
        <x:v>0</x:v>
      </x:c>
      <x:c r="CP733" s="245"/>
    </x:row>
    <x:row r="734">
      <x:c r="A734" s="165" t="n">
        <x:v>730</x:v>
      </x:c>
      <x:c r="B734" s="233" t="str">
        <x:v>فروردین</x:v>
      </x:c>
      <x:c r="C734" s="233" t="n">
        <x:f>IF('دانش‌آموزان'!E65="","",'دانش‌آموزان'!B65)</x:f>
        <x:v>61</x:v>
      </x:c>
      <x:c r="D734" s="233" t="str">
        <x:f>IF('دانش‌آموزان'!C65="","",'دانش‌آموزان'!C65)</x:f>
        <x:v>4000000616</x:v>
      </x:c>
      <x:c r="E734" s="233" t="str">
        <x:f>IF('دانش‌آموزان'!E65="","",'دانش‌آموزان'!E65&amp;" "&amp;'دانش‌آموزان'!F65)</x:f>
        <x:v>علی احمدی</x:v>
      </x:c>
      <x:c r="F734" s="166" t="str">
        <x:f>IF('دانش‌آموزان'!I65="","",'دانش‌آموزان'!I65)</x:f>
        <x:v>sample-7-c</x:v>
      </x:c>
      <x:c r="G734" s="114"/>
      <x:c r="H734" s="115"/>
      <x:c r="I734" s="115"/>
      <x:c r="J734" s="115"/>
      <x:c r="K734" s="115"/>
      <x:c r="L734" s="115"/>
      <x:c r="M734" s="115"/>
      <x:c r="N734" s="115"/>
      <x:c r="O734" s="115"/>
      <x:c r="P734" s="115"/>
      <x:c r="Q734" s="115"/>
      <x:c r="R734" s="115"/>
      <x:c r="S734" s="115"/>
      <x:c r="T734" s="115"/>
      <x:c r="U734" s="115"/>
      <x:c r="V734" s="115"/>
      <x:c r="W734" s="115"/>
      <x:c r="X734" s="115"/>
      <x:c r="Y734" s="115"/>
      <x:c r="Z734" s="115"/>
      <x:c r="AA734" s="115"/>
      <x:c r="AB734" s="115"/>
      <x:c r="AC734" s="115"/>
      <x:c r="AD734" s="115"/>
      <x:c r="AE734" s="115"/>
      <x:c r="AF734" s="115"/>
      <x:c r="AG734" s="115"/>
      <x:c r="AH734" s="115"/>
      <x:c r="AI734" s="115"/>
      <x:c r="AJ734" s="115"/>
      <x:c r="AK734" s="115"/>
      <x:c r="AL734" s="115"/>
      <x:c r="AM734" s="115"/>
      <x:c r="AN734" s="115"/>
      <x:c r="AO734" s="115"/>
      <x:c r="AP734" s="115"/>
      <x:c r="AQ734" s="115"/>
      <x:c r="AR734" s="115"/>
      <x:c r="AS734" s="115"/>
      <x:c r="AT734" s="115"/>
      <x:c r="AU734" s="115"/>
      <x:c r="AV734" s="115"/>
      <x:c r="AW734" s="115"/>
      <x:c r="AX734" s="115"/>
      <x:c r="AY734" s="115"/>
      <x:c r="AZ734" s="115"/>
      <x:c r="BA734" s="115"/>
      <x:c r="BB734" s="115"/>
      <x:c r="BC734" s="115"/>
      <x:c r="BD734" s="115"/>
      <x:c r="BE734" s="115"/>
      <x:c r="BF734" s="115"/>
      <x:c r="BG734" s="115"/>
      <x:c r="BH734" s="115"/>
      <x:c r="BI734" s="115"/>
      <x:c r="BJ734" s="115"/>
      <x:c r="BK734" s="115"/>
      <x:c r="BL734" s="115"/>
      <x:c r="BM734" s="115"/>
      <x:c r="BN734" s="115"/>
      <x:c r="BO734" s="115"/>
      <x:c r="BP734" s="115"/>
      <x:c r="BQ734" s="115"/>
      <x:c r="BR734" s="115"/>
      <x:c r="BS734" s="115"/>
      <x:c r="BT734" s="115"/>
      <x:c r="BU734" s="115"/>
      <x:c r="BV734" s="115"/>
      <x:c r="BW734" s="115"/>
      <x:c r="BX734" s="115"/>
      <x:c r="BY734" s="115"/>
      <x:c r="BZ734" s="115"/>
      <x:c r="CA734" s="115"/>
      <x:c r="CB734" s="116"/>
      <x:c r="CC734" s="141" t="str">
        <x:f>IF(COUNT(G734:P734)=0,"",AVERAGE(G734:P734)*4)</x:f>
      </x:c>
      <x:c r="CD734" s="178" t="str">
        <x:f>IF(COUNT(Q734:Z734)=0,"",AVERAGE(Q734:Z734)*4)</x:f>
      </x:c>
      <x:c r="CE734" s="178" t="str">
        <x:f>IF(COUNT(AA734:AJ734)=0,"",AVERAGE(AA734:AJ734)*4)</x:f>
      </x:c>
      <x:c r="CF734" s="178" t="str">
        <x:f>IF(COUNT(AK734:AR734)=0,"",AVERAGE(AK734:AR734)*4)</x:f>
      </x:c>
      <x:c r="CG734" s="178" t="str">
        <x:f>IF(COUNT(AS734:AY734)=0,"",AVERAGE(AS734:AY734)*4)</x:f>
      </x:c>
      <x:c r="CH734" s="178" t="str">
        <x:f>IF(COUNT(AZ734:BG734)=0,"",AVERAGE(AZ734:BG734)*4)</x:f>
      </x:c>
      <x:c r="CI734" s="178" t="str">
        <x:f>IF(COUNT(BH734:BN734)=0,"",AVERAGE(BH734:BN734)*4)</x:f>
      </x:c>
      <x:c r="CJ734" s="178" t="str">
        <x:f>IF(COUNT(BO734:BU734)=0,"",AVERAGE(BO734:BU734)*4)</x:f>
      </x:c>
      <x:c r="CK734" s="178" t="str">
        <x:f>IF(COUNT(BV734:CB734)=0,"",AVERAGE(BV734:CB734)*4)</x:f>
      </x:c>
      <x:c r="CL734" s="178" t="str">
        <x:f>IF(C734="","",IF(COUNT(G734:CB734)&lt;74,"",(CC734*'تنظیمات وزن‌دهی'!$C$5+CD734*'تنظیمات وزن‌دهی'!$C$6+CE734*'تنظیمات وزن‌دهی'!$C$7+CF734*'تنظیمات وزن‌دهی'!$C$8+CG734*'تنظیمات وزن‌دهی'!$C$9+CH734*'تنظیمات وزن‌دهی'!$C$10+CI734*'تنظیمات وزن‌دهی'!$C$11+CJ734*'تنظیمات وزن‌دهی'!$C$12+CK734*'تنظیمات وزن‌دهی'!$C$13)/100))</x:f>
      </x:c>
      <x:c r="CM734" s="178" t="str">
        <x:f>IF(C734="","",IF(COUNT(G734:CB734)=0,"",IF(COUNT(G734:CB734)&lt;74,"موقت - اطلاعات ناقص",IF(CL734&gt;=17,"عالی",IF(CL734&gt;=14,"خوب",IF(CL734&gt;=10,"متوسط","ضعیف"))))))</x:f>
      </x:c>
      <x:c r="CN734" s="178" t="n">
        <x:v>10</x:v>
      </x:c>
      <x:c r="CO734" s="142" t="n">
        <x:f>IF(C734="","",COUNT(G734:CB734)/74)</x:f>
        <x:v>0</x:v>
      </x:c>
      <x:c r="CP734" s="245"/>
    </x:row>
    <x:row r="735">
      <x:c r="A735" s="165" t="n">
        <x:v>731</x:v>
      </x:c>
      <x:c r="B735" s="233" t="str">
        <x:v>اردیبهشت</x:v>
      </x:c>
      <x:c r="C735" s="233" t="n">
        <x:f>IF('دانش‌آموزان'!E65="","",'دانش‌آموزان'!B65)</x:f>
        <x:v>61</x:v>
      </x:c>
      <x:c r="D735" s="233" t="str">
        <x:f>IF('دانش‌آموزان'!C65="","",'دانش‌آموزان'!C65)</x:f>
        <x:v>4000000616</x:v>
      </x:c>
      <x:c r="E735" s="233" t="str">
        <x:f>IF('دانش‌آموزان'!E65="","",'دانش‌آموزان'!E65&amp;" "&amp;'دانش‌آموزان'!F65)</x:f>
        <x:v>علی احمدی</x:v>
      </x:c>
      <x:c r="F735" s="166" t="str">
        <x:f>IF('دانش‌آموزان'!I65="","",'دانش‌آموزان'!I65)</x:f>
        <x:v>sample-7-c</x:v>
      </x:c>
      <x:c r="G735" s="114"/>
      <x:c r="H735" s="115"/>
      <x:c r="I735" s="115"/>
      <x:c r="J735" s="115"/>
      <x:c r="K735" s="115"/>
      <x:c r="L735" s="115"/>
      <x:c r="M735" s="115"/>
      <x:c r="N735" s="115"/>
      <x:c r="O735" s="115"/>
      <x:c r="P735" s="115"/>
      <x:c r="Q735" s="115"/>
      <x:c r="R735" s="115"/>
      <x:c r="S735" s="115"/>
      <x:c r="T735" s="115"/>
      <x:c r="U735" s="115"/>
      <x:c r="V735" s="115"/>
      <x:c r="W735" s="115"/>
      <x:c r="X735" s="115"/>
      <x:c r="Y735" s="115"/>
      <x:c r="Z735" s="115"/>
      <x:c r="AA735" s="115"/>
      <x:c r="AB735" s="115"/>
      <x:c r="AC735" s="115"/>
      <x:c r="AD735" s="115"/>
      <x:c r="AE735" s="115"/>
      <x:c r="AF735" s="115"/>
      <x:c r="AG735" s="115"/>
      <x:c r="AH735" s="115"/>
      <x:c r="AI735" s="115"/>
      <x:c r="AJ735" s="115"/>
      <x:c r="AK735" s="115"/>
      <x:c r="AL735" s="115"/>
      <x:c r="AM735" s="115"/>
      <x:c r="AN735" s="115"/>
      <x:c r="AO735" s="115"/>
      <x:c r="AP735" s="115"/>
      <x:c r="AQ735" s="115"/>
      <x:c r="AR735" s="115"/>
      <x:c r="AS735" s="115"/>
      <x:c r="AT735" s="115"/>
      <x:c r="AU735" s="115"/>
      <x:c r="AV735" s="115"/>
      <x:c r="AW735" s="115"/>
      <x:c r="AX735" s="115"/>
      <x:c r="AY735" s="115"/>
      <x:c r="AZ735" s="115"/>
      <x:c r="BA735" s="115"/>
      <x:c r="BB735" s="115"/>
      <x:c r="BC735" s="115"/>
      <x:c r="BD735" s="115"/>
      <x:c r="BE735" s="115"/>
      <x:c r="BF735" s="115"/>
      <x:c r="BG735" s="115"/>
      <x:c r="BH735" s="115"/>
      <x:c r="BI735" s="115"/>
      <x:c r="BJ735" s="115"/>
      <x:c r="BK735" s="115"/>
      <x:c r="BL735" s="115"/>
      <x:c r="BM735" s="115"/>
      <x:c r="BN735" s="115"/>
      <x:c r="BO735" s="115"/>
      <x:c r="BP735" s="115"/>
      <x:c r="BQ735" s="115"/>
      <x:c r="BR735" s="115"/>
      <x:c r="BS735" s="115"/>
      <x:c r="BT735" s="115"/>
      <x:c r="BU735" s="115"/>
      <x:c r="BV735" s="115"/>
      <x:c r="BW735" s="115"/>
      <x:c r="BX735" s="115"/>
      <x:c r="BY735" s="115"/>
      <x:c r="BZ735" s="115"/>
      <x:c r="CA735" s="115"/>
      <x:c r="CB735" s="116"/>
      <x:c r="CC735" s="141" t="str">
        <x:f>IF(COUNT(G735:P735)=0,"",AVERAGE(G735:P735)*4)</x:f>
      </x:c>
      <x:c r="CD735" s="178" t="str">
        <x:f>IF(COUNT(Q735:Z735)=0,"",AVERAGE(Q735:Z735)*4)</x:f>
      </x:c>
      <x:c r="CE735" s="178" t="str">
        <x:f>IF(COUNT(AA735:AJ735)=0,"",AVERAGE(AA735:AJ735)*4)</x:f>
      </x:c>
      <x:c r="CF735" s="178" t="str">
        <x:f>IF(COUNT(AK735:AR735)=0,"",AVERAGE(AK735:AR735)*4)</x:f>
      </x:c>
      <x:c r="CG735" s="178" t="str">
        <x:f>IF(COUNT(AS735:AY735)=0,"",AVERAGE(AS735:AY735)*4)</x:f>
      </x:c>
      <x:c r="CH735" s="178" t="str">
        <x:f>IF(COUNT(AZ735:BG735)=0,"",AVERAGE(AZ735:BG735)*4)</x:f>
      </x:c>
      <x:c r="CI735" s="178" t="str">
        <x:f>IF(COUNT(BH735:BN735)=0,"",AVERAGE(BH735:BN735)*4)</x:f>
      </x:c>
      <x:c r="CJ735" s="178" t="str">
        <x:f>IF(COUNT(BO735:BU735)=0,"",AVERAGE(BO735:BU735)*4)</x:f>
      </x:c>
      <x:c r="CK735" s="178" t="str">
        <x:f>IF(COUNT(BV735:CB735)=0,"",AVERAGE(BV735:CB735)*4)</x:f>
      </x:c>
      <x:c r="CL735" s="178" t="str">
        <x:f>IF(C735="","",IF(COUNT(G735:CB735)&lt;74,"",(CC735*'تنظیمات وزن‌دهی'!$C$5+CD735*'تنظیمات وزن‌دهی'!$C$6+CE735*'تنظیمات وزن‌دهی'!$C$7+CF735*'تنظیمات وزن‌دهی'!$C$8+CG735*'تنظیمات وزن‌دهی'!$C$9+CH735*'تنظیمات وزن‌دهی'!$C$10+CI735*'تنظیمات وزن‌دهی'!$C$11+CJ735*'تنظیمات وزن‌دهی'!$C$12+CK735*'تنظیمات وزن‌دهی'!$C$13)/100))</x:f>
      </x:c>
      <x:c r="CM735" s="178" t="str">
        <x:f>IF(C735="","",IF(COUNT(G735:CB735)=0,"",IF(COUNT(G735:CB735)&lt;74,"موقت - اطلاعات ناقص",IF(CL735&gt;=17,"عالی",IF(CL735&gt;=14,"خوب",IF(CL735&gt;=10,"متوسط","ضعیف"))))))</x:f>
      </x:c>
      <x:c r="CN735" s="178" t="n">
        <x:v>11</x:v>
      </x:c>
      <x:c r="CO735" s="142" t="n">
        <x:f>IF(C735="","",COUNT(G735:CB735)/74)</x:f>
        <x:v>0</x:v>
      </x:c>
      <x:c r="CP735" s="245"/>
    </x:row>
    <x:row r="736">
      <x:c r="A736" s="165" t="n">
        <x:v>732</x:v>
      </x:c>
      <x:c r="B736" s="233" t="str">
        <x:v>خرداد</x:v>
      </x:c>
      <x:c r="C736" s="233" t="n">
        <x:f>IF('دانش‌آموزان'!E65="","",'دانش‌آموزان'!B65)</x:f>
        <x:v>61</x:v>
      </x:c>
      <x:c r="D736" s="233" t="str">
        <x:f>IF('دانش‌آموزان'!C65="","",'دانش‌آموزان'!C65)</x:f>
        <x:v>4000000616</x:v>
      </x:c>
      <x:c r="E736" s="233" t="str">
        <x:f>IF('دانش‌آموزان'!E65="","",'دانش‌آموزان'!E65&amp;" "&amp;'دانش‌آموزان'!F65)</x:f>
        <x:v>علی احمدی</x:v>
      </x:c>
      <x:c r="F736" s="166" t="str">
        <x:f>IF('دانش‌آموزان'!I65="","",'دانش‌آموزان'!I65)</x:f>
        <x:v>sample-7-c</x:v>
      </x:c>
      <x:c r="G736" s="114"/>
      <x:c r="H736" s="115"/>
      <x:c r="I736" s="115"/>
      <x:c r="J736" s="115"/>
      <x:c r="K736" s="115"/>
      <x:c r="L736" s="115"/>
      <x:c r="M736" s="115"/>
      <x:c r="N736" s="115"/>
      <x:c r="O736" s="115"/>
      <x:c r="P736" s="115"/>
      <x:c r="Q736" s="115"/>
      <x:c r="R736" s="115"/>
      <x:c r="S736" s="115"/>
      <x:c r="T736" s="115"/>
      <x:c r="U736" s="115"/>
      <x:c r="V736" s="115"/>
      <x:c r="W736" s="115"/>
      <x:c r="X736" s="115"/>
      <x:c r="Y736" s="115"/>
      <x:c r="Z736" s="115"/>
      <x:c r="AA736" s="115"/>
      <x:c r="AB736" s="115"/>
      <x:c r="AC736" s="115"/>
      <x:c r="AD736" s="115"/>
      <x:c r="AE736" s="115"/>
      <x:c r="AF736" s="115"/>
      <x:c r="AG736" s="115"/>
      <x:c r="AH736" s="115"/>
      <x:c r="AI736" s="115"/>
      <x:c r="AJ736" s="115"/>
      <x:c r="AK736" s="115"/>
      <x:c r="AL736" s="115"/>
      <x:c r="AM736" s="115"/>
      <x:c r="AN736" s="115"/>
      <x:c r="AO736" s="115"/>
      <x:c r="AP736" s="115"/>
      <x:c r="AQ736" s="115"/>
      <x:c r="AR736" s="115"/>
      <x:c r="AS736" s="115"/>
      <x:c r="AT736" s="115"/>
      <x:c r="AU736" s="115"/>
      <x:c r="AV736" s="115"/>
      <x:c r="AW736" s="115"/>
      <x:c r="AX736" s="115"/>
      <x:c r="AY736" s="115"/>
      <x:c r="AZ736" s="115"/>
      <x:c r="BA736" s="115"/>
      <x:c r="BB736" s="115"/>
      <x:c r="BC736" s="115"/>
      <x:c r="BD736" s="115"/>
      <x:c r="BE736" s="115"/>
      <x:c r="BF736" s="115"/>
      <x:c r="BG736" s="115"/>
      <x:c r="BH736" s="115"/>
      <x:c r="BI736" s="115"/>
      <x:c r="BJ736" s="115"/>
      <x:c r="BK736" s="115"/>
      <x:c r="BL736" s="115"/>
      <x:c r="BM736" s="115"/>
      <x:c r="BN736" s="115"/>
      <x:c r="BO736" s="115"/>
      <x:c r="BP736" s="115"/>
      <x:c r="BQ736" s="115"/>
      <x:c r="BR736" s="115"/>
      <x:c r="BS736" s="115"/>
      <x:c r="BT736" s="115"/>
      <x:c r="BU736" s="115"/>
      <x:c r="BV736" s="115"/>
      <x:c r="BW736" s="115"/>
      <x:c r="BX736" s="115"/>
      <x:c r="BY736" s="115"/>
      <x:c r="BZ736" s="115"/>
      <x:c r="CA736" s="115"/>
      <x:c r="CB736" s="116"/>
      <x:c r="CC736" s="141" t="str">
        <x:f>IF(COUNT(G736:P736)=0,"",AVERAGE(G736:P736)*4)</x:f>
      </x:c>
      <x:c r="CD736" s="178" t="str">
        <x:f>IF(COUNT(Q736:Z736)=0,"",AVERAGE(Q736:Z736)*4)</x:f>
      </x:c>
      <x:c r="CE736" s="178" t="str">
        <x:f>IF(COUNT(AA736:AJ736)=0,"",AVERAGE(AA736:AJ736)*4)</x:f>
      </x:c>
      <x:c r="CF736" s="178" t="str">
        <x:f>IF(COUNT(AK736:AR736)=0,"",AVERAGE(AK736:AR736)*4)</x:f>
      </x:c>
      <x:c r="CG736" s="178" t="str">
        <x:f>IF(COUNT(AS736:AY736)=0,"",AVERAGE(AS736:AY736)*4)</x:f>
      </x:c>
      <x:c r="CH736" s="178" t="str">
        <x:f>IF(COUNT(AZ736:BG736)=0,"",AVERAGE(AZ736:BG736)*4)</x:f>
      </x:c>
      <x:c r="CI736" s="178" t="str">
        <x:f>IF(COUNT(BH736:BN736)=0,"",AVERAGE(BH736:BN736)*4)</x:f>
      </x:c>
      <x:c r="CJ736" s="178" t="str">
        <x:f>IF(COUNT(BO736:BU736)=0,"",AVERAGE(BO736:BU736)*4)</x:f>
      </x:c>
      <x:c r="CK736" s="178" t="str">
        <x:f>IF(COUNT(BV736:CB736)=0,"",AVERAGE(BV736:CB736)*4)</x:f>
      </x:c>
      <x:c r="CL736" s="178" t="str">
        <x:f>IF(C736="","",IF(COUNT(G736:CB736)&lt;74,"",(CC736*'تنظیمات وزن‌دهی'!$C$5+CD736*'تنظیمات وزن‌دهی'!$C$6+CE736*'تنظیمات وزن‌دهی'!$C$7+CF736*'تنظیمات وزن‌دهی'!$C$8+CG736*'تنظیمات وزن‌دهی'!$C$9+CH736*'تنظیمات وزن‌دهی'!$C$10+CI736*'تنظیمات وزن‌دهی'!$C$11+CJ736*'تنظیمات وزن‌دهی'!$C$12+CK736*'تنظیمات وزن‌دهی'!$C$13)/100))</x:f>
      </x:c>
      <x:c r="CM736" s="178" t="str">
        <x:f>IF(C736="","",IF(COUNT(G736:CB736)=0,"",IF(COUNT(G736:CB736)&lt;74,"موقت - اطلاعات ناقص",IF(CL736&gt;=17,"عالی",IF(CL736&gt;=14,"خوب",IF(CL736&gt;=10,"متوسط","ضعیف"))))))</x:f>
      </x:c>
      <x:c r="CN736" s="178" t="n">
        <x:v>12</x:v>
      </x:c>
      <x:c r="CO736" s="142" t="n">
        <x:f>IF(C736="","",COUNT(G736:CB736)/74)</x:f>
        <x:v>0</x:v>
      </x:c>
      <x:c r="CP736" s="245"/>
    </x:row>
    <x:row r="737">
      <x:c r="A737" s="165" t="n">
        <x:v>733</x:v>
      </x:c>
      <x:c r="B737" s="233" t="str">
        <x:v>تیر</x:v>
      </x:c>
      <x:c r="C737" s="233" t="n">
        <x:f>IF('دانش‌آموزان'!E66="","",'دانش‌آموزان'!B66)</x:f>
        <x:v>62</x:v>
      </x:c>
      <x:c r="D737" s="233" t="str">
        <x:f>IF('دانش‌آموزان'!C66="","",'دانش‌آموزان'!C66)</x:f>
        <x:v>4000000624</x:v>
      </x:c>
      <x:c r="E737" s="233" t="str">
        <x:f>IF('دانش‌آموزان'!E66="","",'دانش‌آموزان'!E66&amp;" "&amp;'دانش‌آموزان'!F66)</x:f>
        <x:v>فاطمه اکبری</x:v>
      </x:c>
      <x:c r="F737" s="166" t="str">
        <x:f>IF('دانش‌آموزان'!I66="","",'دانش‌آموزان'!I66)</x:f>
        <x:v>sample-7-c</x:v>
      </x:c>
      <x:c r="G737" s="114" t="n">
        <x:v>4</x:v>
      </x:c>
      <x:c r="H737" s="115" t="n">
        <x:v>3</x:v>
      </x:c>
      <x:c r="I737" s="115" t="n">
        <x:v>4</x:v>
      </x:c>
      <x:c r="J737" s="115" t="n">
        <x:v>2</x:v>
      </x:c>
      <x:c r="K737" s="115" t="n">
        <x:v>4</x:v>
      </x:c>
      <x:c r="L737" s="115" t="n">
        <x:v>5</x:v>
      </x:c>
      <x:c r="M737" s="115" t="n">
        <x:v>4</x:v>
      </x:c>
      <x:c r="N737" s="115" t="n">
        <x:v>5</x:v>
      </x:c>
      <x:c r="O737" s="115" t="n">
        <x:v>3</x:v>
      </x:c>
      <x:c r="P737" s="115" t="n">
        <x:v>5</x:v>
      </x:c>
      <x:c r="Q737" s="115" t="n">
        <x:v>3</x:v>
      </x:c>
      <x:c r="R737" s="115" t="n">
        <x:v>4</x:v>
      </x:c>
      <x:c r="S737" s="115" t="n">
        <x:v>3</x:v>
      </x:c>
      <x:c r="T737" s="115" t="n">
        <x:v>4</x:v>
      </x:c>
      <x:c r="U737" s="115" t="n">
        <x:v>2</x:v>
      </x:c>
      <x:c r="V737" s="115" t="n">
        <x:v>4</x:v>
      </x:c>
      <x:c r="W737" s="115" t="n">
        <x:v>5</x:v>
      </x:c>
      <x:c r="X737" s="115" t="n">
        <x:v>4</x:v>
      </x:c>
      <x:c r="Y737" s="115" t="n">
        <x:v>5</x:v>
      </x:c>
      <x:c r="Z737" s="115" t="n">
        <x:v>3</x:v>
      </x:c>
      <x:c r="AA737" s="115" t="n">
        <x:v>5</x:v>
      </x:c>
      <x:c r="AB737" s="115" t="n">
        <x:v>3</x:v>
      </x:c>
      <x:c r="AC737" s="115" t="n">
        <x:v>4</x:v>
      </x:c>
      <x:c r="AD737" s="115" t="n">
        <x:v>3</x:v>
      </x:c>
      <x:c r="AE737" s="115" t="n">
        <x:v>4</x:v>
      </x:c>
      <x:c r="AF737" s="115" t="n">
        <x:v>2</x:v>
      </x:c>
      <x:c r="AG737" s="115" t="n">
        <x:v>4</x:v>
      </x:c>
      <x:c r="AH737" s="115" t="n">
        <x:v>5</x:v>
      </x:c>
      <x:c r="AI737" s="115" t="n">
        <x:v>4</x:v>
      </x:c>
      <x:c r="AJ737" s="115" t="n">
        <x:v>5</x:v>
      </x:c>
      <x:c r="AK737" s="115" t="n">
        <x:v>3</x:v>
      </x:c>
      <x:c r="AL737" s="115" t="n">
        <x:v>5</x:v>
      </x:c>
      <x:c r="AM737" s="115" t="n">
        <x:v>3</x:v>
      </x:c>
      <x:c r="AN737" s="115" t="n">
        <x:v>4</x:v>
      </x:c>
      <x:c r="AO737" s="115" t="n">
        <x:v>3</x:v>
      </x:c>
      <x:c r="AP737" s="115" t="n">
        <x:v>4</x:v>
      </x:c>
      <x:c r="AQ737" s="115" t="n">
        <x:v>2</x:v>
      </x:c>
      <x:c r="AR737" s="115" t="n">
        <x:v>4</x:v>
      </x:c>
      <x:c r="AS737" s="115" t="n">
        <x:v>5</x:v>
      </x:c>
      <x:c r="AT737" s="115" t="n">
        <x:v>4</x:v>
      </x:c>
      <x:c r="AU737" s="115" t="n">
        <x:v>5</x:v>
      </x:c>
      <x:c r="AV737" s="115" t="n">
        <x:v>3</x:v>
      </x:c>
      <x:c r="AW737" s="115" t="n">
        <x:v>5</x:v>
      </x:c>
      <x:c r="AX737" s="115" t="n">
        <x:v>3</x:v>
      </x:c>
      <x:c r="AY737" s="115" t="n">
        <x:v>4</x:v>
      </x:c>
      <x:c r="AZ737" s="115" t="n">
        <x:v>3</x:v>
      </x:c>
      <x:c r="BA737" s="115" t="n">
        <x:v>4</x:v>
      </x:c>
      <x:c r="BB737" s="115" t="n">
        <x:v>2</x:v>
      </x:c>
      <x:c r="BC737" s="115" t="n">
        <x:v>4</x:v>
      </x:c>
      <x:c r="BD737" s="115" t="n">
        <x:v>5</x:v>
      </x:c>
      <x:c r="BE737" s="115" t="n">
        <x:v>4</x:v>
      </x:c>
      <x:c r="BF737" s="115" t="n">
        <x:v>5</x:v>
      </x:c>
      <x:c r="BG737" s="115" t="n">
        <x:v>3</x:v>
      </x:c>
      <x:c r="BH737" s="115" t="n">
        <x:v>5</x:v>
      </x:c>
      <x:c r="BI737" s="115" t="n">
        <x:v>3</x:v>
      </x:c>
      <x:c r="BJ737" s="115" t="n">
        <x:v>4</x:v>
      </x:c>
      <x:c r="BK737" s="115" t="n">
        <x:v>3</x:v>
      </x:c>
      <x:c r="BL737" s="115" t="n">
        <x:v>4</x:v>
      </x:c>
      <x:c r="BM737" s="115" t="n">
        <x:v>2</x:v>
      </x:c>
      <x:c r="BN737" s="115" t="n">
        <x:v>4</x:v>
      </x:c>
      <x:c r="BO737" s="115" t="n">
        <x:v>5</x:v>
      </x:c>
      <x:c r="BP737" s="115" t="n">
        <x:v>4</x:v>
      </x:c>
      <x:c r="BQ737" s="115" t="n">
        <x:v>5</x:v>
      </x:c>
      <x:c r="BR737" s="115" t="n">
        <x:v>3</x:v>
      </x:c>
      <x:c r="BS737" s="115" t="n">
        <x:v>5</x:v>
      </x:c>
      <x:c r="BT737" s="115" t="n">
        <x:v>3</x:v>
      </x:c>
      <x:c r="BU737" s="115" t="n">
        <x:v>4</x:v>
      </x:c>
      <x:c r="BV737" s="115" t="n">
        <x:v>3</x:v>
      </x:c>
      <x:c r="BW737" s="115" t="n">
        <x:v>4</x:v>
      </x:c>
      <x:c r="BX737" s="115" t="n">
        <x:v>2</x:v>
      </x:c>
      <x:c r="BY737" s="115" t="n">
        <x:v>4</x:v>
      </x:c>
      <x:c r="BZ737" s="115" t="n">
        <x:v>5</x:v>
      </x:c>
      <x:c r="CA737" s="115" t="n">
        <x:v>4</x:v>
      </x:c>
      <x:c r="CB737" s="116" t="n">
        <x:v>5</x:v>
      </x:c>
      <x:c r="CC737" s="141" t="n">
        <x:f>IF(COUNT(G737:P737)=0,"",AVERAGE(G737:P737)*4)</x:f>
        <x:v>15.6</x:v>
      </x:c>
      <x:c r="CD737" s="178" t="n">
        <x:f>IF(COUNT(Q737:Z737)=0,"",AVERAGE(Q737:Z737)*4)</x:f>
        <x:v>14.8</x:v>
      </x:c>
      <x:c r="CE737" s="178" t="n">
        <x:f>IF(COUNT(AA737:AJ737)=0,"",AVERAGE(AA737:AJ737)*4)</x:f>
        <x:v>15.6</x:v>
      </x:c>
      <x:c r="CF737" s="178" t="n">
        <x:f>IF(COUNT(AK737:AR737)=0,"",AVERAGE(AK737:AR737)*4)</x:f>
        <x:v>14</x:v>
      </x:c>
      <x:c r="CG737" s="178" t="n">
        <x:f>IF(COUNT(AS737:AY737)=0,"",AVERAGE(AS737:AY737)*4)</x:f>
        <x:v>16.571428571428573</x:v>
      </x:c>
      <x:c r="CH737" s="178" t="n">
        <x:f>IF(COUNT(AZ737:BG737)=0,"",AVERAGE(AZ737:BG737)*4)</x:f>
        <x:v>15</x:v>
      </x:c>
      <x:c r="CI737" s="178" t="n">
        <x:f>IF(COUNT(BH737:BN737)=0,"",AVERAGE(BH737:BN737)*4)</x:f>
        <x:v>14.285714285714286</x:v>
      </x:c>
      <x:c r="CJ737" s="178" t="n">
        <x:f>IF(COUNT(BO737:BU737)=0,"",AVERAGE(BO737:BU737)*4)</x:f>
        <x:v>16.571428571428573</x:v>
      </x:c>
      <x:c r="CK737" s="178" t="n">
        <x:f>IF(COUNT(BV737:CB737)=0,"",AVERAGE(BV737:CB737)*4)</x:f>
        <x:v>15.428571428571429</x:v>
      </x:c>
      <x:c r="CL737" s="178" t="n">
        <x:f>IF(C737="","",IF(COUNT(G737:CB737)&lt;74,"",(CC737*'تنظیمات وزن‌دهی'!$C$5+CD737*'تنظیمات وزن‌دهی'!$C$6+CE737*'تنظیمات وزن‌دهی'!$C$7+CF737*'تنظیمات وزن‌دهی'!$C$8+CG737*'تنظیمات وزن‌دهی'!$C$9+CH737*'تنظیمات وزن‌دهی'!$C$10+CI737*'تنظیمات وزن‌دهی'!$C$11+CJ737*'تنظیمات وزن‌دهی'!$C$12+CK737*'تنظیمات وزن‌دهی'!$C$13)/100))</x:f>
        <x:v>15.214285714285715</x:v>
      </x:c>
      <x:c r="CM737" s="178" t="str">
        <x:f>IF(C737="","",IF(COUNT(G737:CB737)=0,"",IF(COUNT(G737:CB737)&lt;74,"موقت - اطلاعات ناقص",IF(CL737&gt;=17,"عالی",IF(CL737&gt;=14,"خوب",IF(CL737&gt;=10,"متوسط","ضعیف"))))))</x:f>
        <x:v>خوب</x:v>
      </x:c>
      <x:c r="CN737" s="178" t="n">
        <x:v>1</x:v>
      </x:c>
      <x:c r="CO737" s="142" t="n">
        <x:f>IF(C737="","",COUNT(G737:CB737)/74)</x:f>
        <x:v>1</x:v>
      </x:c>
      <x:c r="CP737" s="245" t="str">
        <x:v>داده نمونه کامل برای ماه تیر - دانش‌آموز شماره 62</x:v>
      </x:c>
    </x:row>
    <x:row r="738">
      <x:c r="A738" s="165" t="n">
        <x:v>734</x:v>
      </x:c>
      <x:c r="B738" s="233" t="str">
        <x:v>مرداد</x:v>
      </x:c>
      <x:c r="C738" s="233" t="n">
        <x:f>IF('دانش‌آموزان'!E66="","",'دانش‌آموزان'!B66)</x:f>
        <x:v>62</x:v>
      </x:c>
      <x:c r="D738" s="233" t="str">
        <x:f>IF('دانش‌آموزان'!C66="","",'دانش‌آموزان'!C66)</x:f>
        <x:v>4000000624</x:v>
      </x:c>
      <x:c r="E738" s="233" t="str">
        <x:f>IF('دانش‌آموزان'!E66="","",'دانش‌آموزان'!E66&amp;" "&amp;'دانش‌آموزان'!F66)</x:f>
        <x:v>فاطمه اکبری</x:v>
      </x:c>
      <x:c r="F738" s="166" t="str">
        <x:f>IF('دانش‌آموزان'!I66="","",'دانش‌آموزان'!I66)</x:f>
        <x:v>sample-7-c</x:v>
      </x:c>
      <x:c r="G738" s="114"/>
      <x:c r="H738" s="115"/>
      <x:c r="I738" s="115"/>
      <x:c r="J738" s="115"/>
      <x:c r="K738" s="115"/>
      <x:c r="L738" s="115"/>
      <x:c r="M738" s="115"/>
      <x:c r="N738" s="115"/>
      <x:c r="O738" s="115"/>
      <x:c r="P738" s="115"/>
      <x:c r="Q738" s="115"/>
      <x:c r="R738" s="115"/>
      <x:c r="S738" s="115"/>
      <x:c r="T738" s="115"/>
      <x:c r="U738" s="115"/>
      <x:c r="V738" s="115"/>
      <x:c r="W738" s="115"/>
      <x:c r="X738" s="115"/>
      <x:c r="Y738" s="115"/>
      <x:c r="Z738" s="115"/>
      <x:c r="AA738" s="115"/>
      <x:c r="AB738" s="115"/>
      <x:c r="AC738" s="115"/>
      <x:c r="AD738" s="115"/>
      <x:c r="AE738" s="115"/>
      <x:c r="AF738" s="115"/>
      <x:c r="AG738" s="115"/>
      <x:c r="AH738" s="115"/>
      <x:c r="AI738" s="115"/>
      <x:c r="AJ738" s="115"/>
      <x:c r="AK738" s="115"/>
      <x:c r="AL738" s="115"/>
      <x:c r="AM738" s="115"/>
      <x:c r="AN738" s="115"/>
      <x:c r="AO738" s="115"/>
      <x:c r="AP738" s="115"/>
      <x:c r="AQ738" s="115"/>
      <x:c r="AR738" s="115"/>
      <x:c r="AS738" s="115"/>
      <x:c r="AT738" s="115"/>
      <x:c r="AU738" s="115"/>
      <x:c r="AV738" s="115"/>
      <x:c r="AW738" s="115"/>
      <x:c r="AX738" s="115"/>
      <x:c r="AY738" s="115"/>
      <x:c r="AZ738" s="115"/>
      <x:c r="BA738" s="115"/>
      <x:c r="BB738" s="115"/>
      <x:c r="BC738" s="115"/>
      <x:c r="BD738" s="115"/>
      <x:c r="BE738" s="115"/>
      <x:c r="BF738" s="115"/>
      <x:c r="BG738" s="115"/>
      <x:c r="BH738" s="115"/>
      <x:c r="BI738" s="115"/>
      <x:c r="BJ738" s="115"/>
      <x:c r="BK738" s="115"/>
      <x:c r="BL738" s="115"/>
      <x:c r="BM738" s="115"/>
      <x:c r="BN738" s="115"/>
      <x:c r="BO738" s="115"/>
      <x:c r="BP738" s="115"/>
      <x:c r="BQ738" s="115"/>
      <x:c r="BR738" s="115"/>
      <x:c r="BS738" s="115"/>
      <x:c r="BT738" s="115"/>
      <x:c r="BU738" s="115"/>
      <x:c r="BV738" s="115"/>
      <x:c r="BW738" s="115"/>
      <x:c r="BX738" s="115"/>
      <x:c r="BY738" s="115"/>
      <x:c r="BZ738" s="115"/>
      <x:c r="CA738" s="115"/>
      <x:c r="CB738" s="116"/>
      <x:c r="CC738" s="141" t="str">
        <x:f>IF(COUNT(G738:P738)=0,"",AVERAGE(G738:P738)*4)</x:f>
      </x:c>
      <x:c r="CD738" s="178" t="str">
        <x:f>IF(COUNT(Q738:Z738)=0,"",AVERAGE(Q738:Z738)*4)</x:f>
      </x:c>
      <x:c r="CE738" s="178" t="str">
        <x:f>IF(COUNT(AA738:AJ738)=0,"",AVERAGE(AA738:AJ738)*4)</x:f>
      </x:c>
      <x:c r="CF738" s="178" t="str">
        <x:f>IF(COUNT(AK738:AR738)=0,"",AVERAGE(AK738:AR738)*4)</x:f>
      </x:c>
      <x:c r="CG738" s="178" t="str">
        <x:f>IF(COUNT(AS738:AY738)=0,"",AVERAGE(AS738:AY738)*4)</x:f>
      </x:c>
      <x:c r="CH738" s="178" t="str">
        <x:f>IF(COUNT(AZ738:BG738)=0,"",AVERAGE(AZ738:BG738)*4)</x:f>
      </x:c>
      <x:c r="CI738" s="178" t="str">
        <x:f>IF(COUNT(BH738:BN738)=0,"",AVERAGE(BH738:BN738)*4)</x:f>
      </x:c>
      <x:c r="CJ738" s="178" t="str">
        <x:f>IF(COUNT(BO738:BU738)=0,"",AVERAGE(BO738:BU738)*4)</x:f>
      </x:c>
      <x:c r="CK738" s="178" t="str">
        <x:f>IF(COUNT(BV738:CB738)=0,"",AVERAGE(BV738:CB738)*4)</x:f>
      </x:c>
      <x:c r="CL738" s="178" t="str">
        <x:f>IF(C738="","",IF(COUNT(G738:CB738)&lt;74,"",(CC738*'تنظیمات وزن‌دهی'!$C$5+CD738*'تنظیمات وزن‌دهی'!$C$6+CE738*'تنظیمات وزن‌دهی'!$C$7+CF738*'تنظیمات وزن‌دهی'!$C$8+CG738*'تنظیمات وزن‌دهی'!$C$9+CH738*'تنظیمات وزن‌دهی'!$C$10+CI738*'تنظیمات وزن‌دهی'!$C$11+CJ738*'تنظیمات وزن‌دهی'!$C$12+CK738*'تنظیمات وزن‌دهی'!$C$13)/100))</x:f>
      </x:c>
      <x:c r="CM738" s="178" t="str">
        <x:f>IF(C738="","",IF(COUNT(G738:CB738)=0,"",IF(COUNT(G738:CB738)&lt;74,"موقت - اطلاعات ناقص",IF(CL738&gt;=17,"عالی",IF(CL738&gt;=14,"خوب",IF(CL738&gt;=10,"متوسط","ضعیف"))))))</x:f>
      </x:c>
      <x:c r="CN738" s="178" t="n">
        <x:v>2</x:v>
      </x:c>
      <x:c r="CO738" s="142" t="n">
        <x:f>IF(C738="","",COUNT(G738:CB738)/74)</x:f>
        <x:v>0</x:v>
      </x:c>
      <x:c r="CP738" s="245"/>
    </x:row>
    <x:row r="739">
      <x:c r="A739" s="165" t="n">
        <x:v>735</x:v>
      </x:c>
      <x:c r="B739" s="233" t="str">
        <x:v>شهریور</x:v>
      </x:c>
      <x:c r="C739" s="233" t="n">
        <x:f>IF('دانش‌آموزان'!E66="","",'دانش‌آموزان'!B66)</x:f>
        <x:v>62</x:v>
      </x:c>
      <x:c r="D739" s="233" t="str">
        <x:f>IF('دانش‌آموزان'!C66="","",'دانش‌آموزان'!C66)</x:f>
        <x:v>4000000624</x:v>
      </x:c>
      <x:c r="E739" s="233" t="str">
        <x:f>IF('دانش‌آموزان'!E66="","",'دانش‌آموزان'!E66&amp;" "&amp;'دانش‌آموزان'!F66)</x:f>
        <x:v>فاطمه اکبری</x:v>
      </x:c>
      <x:c r="F739" s="166" t="str">
        <x:f>IF('دانش‌آموزان'!I66="","",'دانش‌آموزان'!I66)</x:f>
        <x:v>sample-7-c</x:v>
      </x:c>
      <x:c r="G739" s="114"/>
      <x:c r="H739" s="115"/>
      <x:c r="I739" s="115"/>
      <x:c r="J739" s="115"/>
      <x:c r="K739" s="115"/>
      <x:c r="L739" s="115"/>
      <x:c r="M739" s="115"/>
      <x:c r="N739" s="115"/>
      <x:c r="O739" s="115"/>
      <x:c r="P739" s="115"/>
      <x:c r="Q739" s="115"/>
      <x:c r="R739" s="115"/>
      <x:c r="S739" s="115"/>
      <x:c r="T739" s="115"/>
      <x:c r="U739" s="115"/>
      <x:c r="V739" s="115"/>
      <x:c r="W739" s="115"/>
      <x:c r="X739" s="115"/>
      <x:c r="Y739" s="115"/>
      <x:c r="Z739" s="115"/>
      <x:c r="AA739" s="115"/>
      <x:c r="AB739" s="115"/>
      <x:c r="AC739" s="115"/>
      <x:c r="AD739" s="115"/>
      <x:c r="AE739" s="115"/>
      <x:c r="AF739" s="115"/>
      <x:c r="AG739" s="115"/>
      <x:c r="AH739" s="115"/>
      <x:c r="AI739" s="115"/>
      <x:c r="AJ739" s="115"/>
      <x:c r="AK739" s="115"/>
      <x:c r="AL739" s="115"/>
      <x:c r="AM739" s="115"/>
      <x:c r="AN739" s="115"/>
      <x:c r="AO739" s="115"/>
      <x:c r="AP739" s="115"/>
      <x:c r="AQ739" s="115"/>
      <x:c r="AR739" s="115"/>
      <x:c r="AS739" s="115"/>
      <x:c r="AT739" s="115"/>
      <x:c r="AU739" s="115"/>
      <x:c r="AV739" s="115"/>
      <x:c r="AW739" s="115"/>
      <x:c r="AX739" s="115"/>
      <x:c r="AY739" s="115"/>
      <x:c r="AZ739" s="115"/>
      <x:c r="BA739" s="115"/>
      <x:c r="BB739" s="115"/>
      <x:c r="BC739" s="115"/>
      <x:c r="BD739" s="115"/>
      <x:c r="BE739" s="115"/>
      <x:c r="BF739" s="115"/>
      <x:c r="BG739" s="115"/>
      <x:c r="BH739" s="115"/>
      <x:c r="BI739" s="115"/>
      <x:c r="BJ739" s="115"/>
      <x:c r="BK739" s="115"/>
      <x:c r="BL739" s="115"/>
      <x:c r="BM739" s="115"/>
      <x:c r="BN739" s="115"/>
      <x:c r="BO739" s="115"/>
      <x:c r="BP739" s="115"/>
      <x:c r="BQ739" s="115"/>
      <x:c r="BR739" s="115"/>
      <x:c r="BS739" s="115"/>
      <x:c r="BT739" s="115"/>
      <x:c r="BU739" s="115"/>
      <x:c r="BV739" s="115"/>
      <x:c r="BW739" s="115"/>
      <x:c r="BX739" s="115"/>
      <x:c r="BY739" s="115"/>
      <x:c r="BZ739" s="115"/>
      <x:c r="CA739" s="115"/>
      <x:c r="CB739" s="116"/>
      <x:c r="CC739" s="141" t="str">
        <x:f>IF(COUNT(G739:P739)=0,"",AVERAGE(G739:P739)*4)</x:f>
      </x:c>
      <x:c r="CD739" s="178" t="str">
        <x:f>IF(COUNT(Q739:Z739)=0,"",AVERAGE(Q739:Z739)*4)</x:f>
      </x:c>
      <x:c r="CE739" s="178" t="str">
        <x:f>IF(COUNT(AA739:AJ739)=0,"",AVERAGE(AA739:AJ739)*4)</x:f>
      </x:c>
      <x:c r="CF739" s="178" t="str">
        <x:f>IF(COUNT(AK739:AR739)=0,"",AVERAGE(AK739:AR739)*4)</x:f>
      </x:c>
      <x:c r="CG739" s="178" t="str">
        <x:f>IF(COUNT(AS739:AY739)=0,"",AVERAGE(AS739:AY739)*4)</x:f>
      </x:c>
      <x:c r="CH739" s="178" t="str">
        <x:f>IF(COUNT(AZ739:BG739)=0,"",AVERAGE(AZ739:BG739)*4)</x:f>
      </x:c>
      <x:c r="CI739" s="178" t="str">
        <x:f>IF(COUNT(BH739:BN739)=0,"",AVERAGE(BH739:BN739)*4)</x:f>
      </x:c>
      <x:c r="CJ739" s="178" t="str">
        <x:f>IF(COUNT(BO739:BU739)=0,"",AVERAGE(BO739:BU739)*4)</x:f>
      </x:c>
      <x:c r="CK739" s="178" t="str">
        <x:f>IF(COUNT(BV739:CB739)=0,"",AVERAGE(BV739:CB739)*4)</x:f>
      </x:c>
      <x:c r="CL739" s="178" t="str">
        <x:f>IF(C739="","",IF(COUNT(G739:CB739)&lt;74,"",(CC739*'تنظیمات وزن‌دهی'!$C$5+CD739*'تنظیمات وزن‌دهی'!$C$6+CE739*'تنظیمات وزن‌دهی'!$C$7+CF739*'تنظیمات وزن‌دهی'!$C$8+CG739*'تنظیمات وزن‌دهی'!$C$9+CH739*'تنظیمات وزن‌دهی'!$C$10+CI739*'تنظیمات وزن‌دهی'!$C$11+CJ739*'تنظیمات وزن‌دهی'!$C$12+CK739*'تنظیمات وزن‌دهی'!$C$13)/100))</x:f>
      </x:c>
      <x:c r="CM739" s="178" t="str">
        <x:f>IF(C739="","",IF(COUNT(G739:CB739)=0,"",IF(COUNT(G739:CB739)&lt;74,"موقت - اطلاعات ناقص",IF(CL739&gt;=17,"عالی",IF(CL739&gt;=14,"خوب",IF(CL739&gt;=10,"متوسط","ضعیف"))))))</x:f>
      </x:c>
      <x:c r="CN739" s="178" t="n">
        <x:v>3</x:v>
      </x:c>
      <x:c r="CO739" s="142" t="n">
        <x:f>IF(C739="","",COUNT(G739:CB739)/74)</x:f>
        <x:v>0</x:v>
      </x:c>
      <x:c r="CP739" s="245"/>
    </x:row>
    <x:row r="740">
      <x:c r="A740" s="165" t="n">
        <x:v>736</x:v>
      </x:c>
      <x:c r="B740" s="233" t="str">
        <x:v>مهر</x:v>
      </x:c>
      <x:c r="C740" s="233" t="n">
        <x:f>IF('دانش‌آموزان'!E66="","",'دانش‌آموزان'!B66)</x:f>
        <x:v>62</x:v>
      </x:c>
      <x:c r="D740" s="233" t="str">
        <x:f>IF('دانش‌آموزان'!C66="","",'دانش‌آموزان'!C66)</x:f>
        <x:v>4000000624</x:v>
      </x:c>
      <x:c r="E740" s="233" t="str">
        <x:f>IF('دانش‌آموزان'!E66="","",'دانش‌آموزان'!E66&amp;" "&amp;'دانش‌آموزان'!F66)</x:f>
        <x:v>فاطمه اکبری</x:v>
      </x:c>
      <x:c r="F740" s="166" t="str">
        <x:f>IF('دانش‌آموزان'!I66="","",'دانش‌آموزان'!I66)</x:f>
        <x:v>sample-7-c</x:v>
      </x:c>
      <x:c r="G740" s="114"/>
      <x:c r="H740" s="115"/>
      <x:c r="I740" s="115"/>
      <x:c r="J740" s="115"/>
      <x:c r="K740" s="115"/>
      <x:c r="L740" s="115"/>
      <x:c r="M740" s="115"/>
      <x:c r="N740" s="115"/>
      <x:c r="O740" s="115"/>
      <x:c r="P740" s="115"/>
      <x:c r="Q740" s="115"/>
      <x:c r="R740" s="115"/>
      <x:c r="S740" s="115"/>
      <x:c r="T740" s="115"/>
      <x:c r="U740" s="115"/>
      <x:c r="V740" s="115"/>
      <x:c r="W740" s="115"/>
      <x:c r="X740" s="115"/>
      <x:c r="Y740" s="115"/>
      <x:c r="Z740" s="115"/>
      <x:c r="AA740" s="115"/>
      <x:c r="AB740" s="115"/>
      <x:c r="AC740" s="115"/>
      <x:c r="AD740" s="115"/>
      <x:c r="AE740" s="115"/>
      <x:c r="AF740" s="115"/>
      <x:c r="AG740" s="115"/>
      <x:c r="AH740" s="115"/>
      <x:c r="AI740" s="115"/>
      <x:c r="AJ740" s="115"/>
      <x:c r="AK740" s="115"/>
      <x:c r="AL740" s="115"/>
      <x:c r="AM740" s="115"/>
      <x:c r="AN740" s="115"/>
      <x:c r="AO740" s="115"/>
      <x:c r="AP740" s="115"/>
      <x:c r="AQ740" s="115"/>
      <x:c r="AR740" s="115"/>
      <x:c r="AS740" s="115"/>
      <x:c r="AT740" s="115"/>
      <x:c r="AU740" s="115"/>
      <x:c r="AV740" s="115"/>
      <x:c r="AW740" s="115"/>
      <x:c r="AX740" s="115"/>
      <x:c r="AY740" s="115"/>
      <x:c r="AZ740" s="115"/>
      <x:c r="BA740" s="115"/>
      <x:c r="BB740" s="115"/>
      <x:c r="BC740" s="115"/>
      <x:c r="BD740" s="115"/>
      <x:c r="BE740" s="115"/>
      <x:c r="BF740" s="115"/>
      <x:c r="BG740" s="115"/>
      <x:c r="BH740" s="115"/>
      <x:c r="BI740" s="115"/>
      <x:c r="BJ740" s="115"/>
      <x:c r="BK740" s="115"/>
      <x:c r="BL740" s="115"/>
      <x:c r="BM740" s="115"/>
      <x:c r="BN740" s="115"/>
      <x:c r="BO740" s="115"/>
      <x:c r="BP740" s="115"/>
      <x:c r="BQ740" s="115"/>
      <x:c r="BR740" s="115"/>
      <x:c r="BS740" s="115"/>
      <x:c r="BT740" s="115"/>
      <x:c r="BU740" s="115"/>
      <x:c r="BV740" s="115"/>
      <x:c r="BW740" s="115"/>
      <x:c r="BX740" s="115"/>
      <x:c r="BY740" s="115"/>
      <x:c r="BZ740" s="115"/>
      <x:c r="CA740" s="115"/>
      <x:c r="CB740" s="116"/>
      <x:c r="CC740" s="141" t="str">
        <x:f>IF(COUNT(G740:P740)=0,"",AVERAGE(G740:P740)*4)</x:f>
      </x:c>
      <x:c r="CD740" s="178" t="str">
        <x:f>IF(COUNT(Q740:Z740)=0,"",AVERAGE(Q740:Z740)*4)</x:f>
      </x:c>
      <x:c r="CE740" s="178" t="str">
        <x:f>IF(COUNT(AA740:AJ740)=0,"",AVERAGE(AA740:AJ740)*4)</x:f>
      </x:c>
      <x:c r="CF740" s="178" t="str">
        <x:f>IF(COUNT(AK740:AR740)=0,"",AVERAGE(AK740:AR740)*4)</x:f>
      </x:c>
      <x:c r="CG740" s="178" t="str">
        <x:f>IF(COUNT(AS740:AY740)=0,"",AVERAGE(AS740:AY740)*4)</x:f>
      </x:c>
      <x:c r="CH740" s="178" t="str">
        <x:f>IF(COUNT(AZ740:BG740)=0,"",AVERAGE(AZ740:BG740)*4)</x:f>
      </x:c>
      <x:c r="CI740" s="178" t="str">
        <x:f>IF(COUNT(BH740:BN740)=0,"",AVERAGE(BH740:BN740)*4)</x:f>
      </x:c>
      <x:c r="CJ740" s="178" t="str">
        <x:f>IF(COUNT(BO740:BU740)=0,"",AVERAGE(BO740:BU740)*4)</x:f>
      </x:c>
      <x:c r="CK740" s="178" t="str">
        <x:f>IF(COUNT(BV740:CB740)=0,"",AVERAGE(BV740:CB740)*4)</x:f>
      </x:c>
      <x:c r="CL740" s="178" t="str">
        <x:f>IF(C740="","",IF(COUNT(G740:CB740)&lt;74,"",(CC740*'تنظیمات وزن‌دهی'!$C$5+CD740*'تنظیمات وزن‌دهی'!$C$6+CE740*'تنظیمات وزن‌دهی'!$C$7+CF740*'تنظیمات وزن‌دهی'!$C$8+CG740*'تنظیمات وزن‌دهی'!$C$9+CH740*'تنظیمات وزن‌دهی'!$C$10+CI740*'تنظیمات وزن‌دهی'!$C$11+CJ740*'تنظیمات وزن‌دهی'!$C$12+CK740*'تنظیمات وزن‌دهی'!$C$13)/100))</x:f>
      </x:c>
      <x:c r="CM740" s="178" t="str">
        <x:f>IF(C740="","",IF(COUNT(G740:CB740)=0,"",IF(COUNT(G740:CB740)&lt;74,"موقت - اطلاعات ناقص",IF(CL740&gt;=17,"عالی",IF(CL740&gt;=14,"خوب",IF(CL740&gt;=10,"متوسط","ضعیف"))))))</x:f>
      </x:c>
      <x:c r="CN740" s="178" t="n">
        <x:v>4</x:v>
      </x:c>
      <x:c r="CO740" s="142" t="n">
        <x:f>IF(C740="","",COUNT(G740:CB740)/74)</x:f>
        <x:v>0</x:v>
      </x:c>
      <x:c r="CP740" s="245"/>
    </x:row>
    <x:row r="741">
      <x:c r="A741" s="165" t="n">
        <x:v>737</x:v>
      </x:c>
      <x:c r="B741" s="233" t="str">
        <x:v>آبان</x:v>
      </x:c>
      <x:c r="C741" s="233" t="n">
        <x:f>IF('دانش‌آموزان'!E66="","",'دانش‌آموزان'!B66)</x:f>
        <x:v>62</x:v>
      </x:c>
      <x:c r="D741" s="233" t="str">
        <x:f>IF('دانش‌آموزان'!C66="","",'دانش‌آموزان'!C66)</x:f>
        <x:v>4000000624</x:v>
      </x:c>
      <x:c r="E741" s="233" t="str">
        <x:f>IF('دانش‌آموزان'!E66="","",'دانش‌آموزان'!E66&amp;" "&amp;'دانش‌آموزان'!F66)</x:f>
        <x:v>فاطمه اکبری</x:v>
      </x:c>
      <x:c r="F741" s="166" t="str">
        <x:f>IF('دانش‌آموزان'!I66="","",'دانش‌آموزان'!I66)</x:f>
        <x:v>sample-7-c</x:v>
      </x:c>
      <x:c r="G741" s="114"/>
      <x:c r="H741" s="115"/>
      <x:c r="I741" s="115"/>
      <x:c r="J741" s="115"/>
      <x:c r="K741" s="115"/>
      <x:c r="L741" s="115"/>
      <x:c r="M741" s="115"/>
      <x:c r="N741" s="115"/>
      <x:c r="O741" s="115"/>
      <x:c r="P741" s="115"/>
      <x:c r="Q741" s="115"/>
      <x:c r="R741" s="115"/>
      <x:c r="S741" s="115"/>
      <x:c r="T741" s="115"/>
      <x:c r="U741" s="115"/>
      <x:c r="V741" s="115"/>
      <x:c r="W741" s="115"/>
      <x:c r="X741" s="115"/>
      <x:c r="Y741" s="115"/>
      <x:c r="Z741" s="115"/>
      <x:c r="AA741" s="115"/>
      <x:c r="AB741" s="115"/>
      <x:c r="AC741" s="115"/>
      <x:c r="AD741" s="115"/>
      <x:c r="AE741" s="115"/>
      <x:c r="AF741" s="115"/>
      <x:c r="AG741" s="115"/>
      <x:c r="AH741" s="115"/>
      <x:c r="AI741" s="115"/>
      <x:c r="AJ741" s="115"/>
      <x:c r="AK741" s="115"/>
      <x:c r="AL741" s="115"/>
      <x:c r="AM741" s="115"/>
      <x:c r="AN741" s="115"/>
      <x:c r="AO741" s="115"/>
      <x:c r="AP741" s="115"/>
      <x:c r="AQ741" s="115"/>
      <x:c r="AR741" s="115"/>
      <x:c r="AS741" s="115"/>
      <x:c r="AT741" s="115"/>
      <x:c r="AU741" s="115"/>
      <x:c r="AV741" s="115"/>
      <x:c r="AW741" s="115"/>
      <x:c r="AX741" s="115"/>
      <x:c r="AY741" s="115"/>
      <x:c r="AZ741" s="115"/>
      <x:c r="BA741" s="115"/>
      <x:c r="BB741" s="115"/>
      <x:c r="BC741" s="115"/>
      <x:c r="BD741" s="115"/>
      <x:c r="BE741" s="115"/>
      <x:c r="BF741" s="115"/>
      <x:c r="BG741" s="115"/>
      <x:c r="BH741" s="115"/>
      <x:c r="BI741" s="115"/>
      <x:c r="BJ741" s="115"/>
      <x:c r="BK741" s="115"/>
      <x:c r="BL741" s="115"/>
      <x:c r="BM741" s="115"/>
      <x:c r="BN741" s="115"/>
      <x:c r="BO741" s="115"/>
      <x:c r="BP741" s="115"/>
      <x:c r="BQ741" s="115"/>
      <x:c r="BR741" s="115"/>
      <x:c r="BS741" s="115"/>
      <x:c r="BT741" s="115"/>
      <x:c r="BU741" s="115"/>
      <x:c r="BV741" s="115"/>
      <x:c r="BW741" s="115"/>
      <x:c r="BX741" s="115"/>
      <x:c r="BY741" s="115"/>
      <x:c r="BZ741" s="115"/>
      <x:c r="CA741" s="115"/>
      <x:c r="CB741" s="116"/>
      <x:c r="CC741" s="141" t="str">
        <x:f>IF(COUNT(G741:P741)=0,"",AVERAGE(G741:P741)*4)</x:f>
      </x:c>
      <x:c r="CD741" s="178" t="str">
        <x:f>IF(COUNT(Q741:Z741)=0,"",AVERAGE(Q741:Z741)*4)</x:f>
      </x:c>
      <x:c r="CE741" s="178" t="str">
        <x:f>IF(COUNT(AA741:AJ741)=0,"",AVERAGE(AA741:AJ741)*4)</x:f>
      </x:c>
      <x:c r="CF741" s="178" t="str">
        <x:f>IF(COUNT(AK741:AR741)=0,"",AVERAGE(AK741:AR741)*4)</x:f>
      </x:c>
      <x:c r="CG741" s="178" t="str">
        <x:f>IF(COUNT(AS741:AY741)=0,"",AVERAGE(AS741:AY741)*4)</x:f>
      </x:c>
      <x:c r="CH741" s="178" t="str">
        <x:f>IF(COUNT(AZ741:BG741)=0,"",AVERAGE(AZ741:BG741)*4)</x:f>
      </x:c>
      <x:c r="CI741" s="178" t="str">
        <x:f>IF(COUNT(BH741:BN741)=0,"",AVERAGE(BH741:BN741)*4)</x:f>
      </x:c>
      <x:c r="CJ741" s="178" t="str">
        <x:f>IF(COUNT(BO741:BU741)=0,"",AVERAGE(BO741:BU741)*4)</x:f>
      </x:c>
      <x:c r="CK741" s="178" t="str">
        <x:f>IF(COUNT(BV741:CB741)=0,"",AVERAGE(BV741:CB741)*4)</x:f>
      </x:c>
      <x:c r="CL741" s="178" t="str">
        <x:f>IF(C741="","",IF(COUNT(G741:CB741)&lt;74,"",(CC741*'تنظیمات وزن‌دهی'!$C$5+CD741*'تنظیمات وزن‌دهی'!$C$6+CE741*'تنظیمات وزن‌دهی'!$C$7+CF741*'تنظیمات وزن‌دهی'!$C$8+CG741*'تنظیمات وزن‌دهی'!$C$9+CH741*'تنظیمات وزن‌دهی'!$C$10+CI741*'تنظیمات وزن‌دهی'!$C$11+CJ741*'تنظیمات وزن‌دهی'!$C$12+CK741*'تنظیمات وزن‌دهی'!$C$13)/100))</x:f>
      </x:c>
      <x:c r="CM741" s="178" t="str">
        <x:f>IF(C741="","",IF(COUNT(G741:CB741)=0,"",IF(COUNT(G741:CB741)&lt;74,"موقت - اطلاعات ناقص",IF(CL741&gt;=17,"عالی",IF(CL741&gt;=14,"خوب",IF(CL741&gt;=10,"متوسط","ضعیف"))))))</x:f>
      </x:c>
      <x:c r="CN741" s="178" t="n">
        <x:v>5</x:v>
      </x:c>
      <x:c r="CO741" s="142" t="n">
        <x:f>IF(C741="","",COUNT(G741:CB741)/74)</x:f>
        <x:v>0</x:v>
      </x:c>
      <x:c r="CP741" s="245"/>
    </x:row>
    <x:row r="742">
      <x:c r="A742" s="165" t="n">
        <x:v>738</x:v>
      </x:c>
      <x:c r="B742" s="233" t="str">
        <x:v>آذر</x:v>
      </x:c>
      <x:c r="C742" s="233" t="n">
        <x:f>IF('دانش‌آموزان'!E66="","",'دانش‌آموزان'!B66)</x:f>
        <x:v>62</x:v>
      </x:c>
      <x:c r="D742" s="233" t="str">
        <x:f>IF('دانش‌آموزان'!C66="","",'دانش‌آموزان'!C66)</x:f>
        <x:v>4000000624</x:v>
      </x:c>
      <x:c r="E742" s="233" t="str">
        <x:f>IF('دانش‌آموزان'!E66="","",'دانش‌آموزان'!E66&amp;" "&amp;'دانش‌آموزان'!F66)</x:f>
        <x:v>فاطمه اکبری</x:v>
      </x:c>
      <x:c r="F742" s="166" t="str">
        <x:f>IF('دانش‌آموزان'!I66="","",'دانش‌آموزان'!I66)</x:f>
        <x:v>sample-7-c</x:v>
      </x:c>
      <x:c r="G742" s="114"/>
      <x:c r="H742" s="115"/>
      <x:c r="I742" s="115"/>
      <x:c r="J742" s="115"/>
      <x:c r="K742" s="115"/>
      <x:c r="L742" s="115"/>
      <x:c r="M742" s="115"/>
      <x:c r="N742" s="115"/>
      <x:c r="O742" s="115"/>
      <x:c r="P742" s="115"/>
      <x:c r="Q742" s="115"/>
      <x:c r="R742" s="115"/>
      <x:c r="S742" s="115"/>
      <x:c r="T742" s="115"/>
      <x:c r="U742" s="115"/>
      <x:c r="V742" s="115"/>
      <x:c r="W742" s="115"/>
      <x:c r="X742" s="115"/>
      <x:c r="Y742" s="115"/>
      <x:c r="Z742" s="115"/>
      <x:c r="AA742" s="115"/>
      <x:c r="AB742" s="115"/>
      <x:c r="AC742" s="115"/>
      <x:c r="AD742" s="115"/>
      <x:c r="AE742" s="115"/>
      <x:c r="AF742" s="115"/>
      <x:c r="AG742" s="115"/>
      <x:c r="AH742" s="115"/>
      <x:c r="AI742" s="115"/>
      <x:c r="AJ742" s="115"/>
      <x:c r="AK742" s="115"/>
      <x:c r="AL742" s="115"/>
      <x:c r="AM742" s="115"/>
      <x:c r="AN742" s="115"/>
      <x:c r="AO742" s="115"/>
      <x:c r="AP742" s="115"/>
      <x:c r="AQ742" s="115"/>
      <x:c r="AR742" s="115"/>
      <x:c r="AS742" s="115"/>
      <x:c r="AT742" s="115"/>
      <x:c r="AU742" s="115"/>
      <x:c r="AV742" s="115"/>
      <x:c r="AW742" s="115"/>
      <x:c r="AX742" s="115"/>
      <x:c r="AY742" s="115"/>
      <x:c r="AZ742" s="115"/>
      <x:c r="BA742" s="115"/>
      <x:c r="BB742" s="115"/>
      <x:c r="BC742" s="115"/>
      <x:c r="BD742" s="115"/>
      <x:c r="BE742" s="115"/>
      <x:c r="BF742" s="115"/>
      <x:c r="BG742" s="115"/>
      <x:c r="BH742" s="115"/>
      <x:c r="BI742" s="115"/>
      <x:c r="BJ742" s="115"/>
      <x:c r="BK742" s="115"/>
      <x:c r="BL742" s="115"/>
      <x:c r="BM742" s="115"/>
      <x:c r="BN742" s="115"/>
      <x:c r="BO742" s="115"/>
      <x:c r="BP742" s="115"/>
      <x:c r="BQ742" s="115"/>
      <x:c r="BR742" s="115"/>
      <x:c r="BS742" s="115"/>
      <x:c r="BT742" s="115"/>
      <x:c r="BU742" s="115"/>
      <x:c r="BV742" s="115"/>
      <x:c r="BW742" s="115"/>
      <x:c r="BX742" s="115"/>
      <x:c r="BY742" s="115"/>
      <x:c r="BZ742" s="115"/>
      <x:c r="CA742" s="115"/>
      <x:c r="CB742" s="116"/>
      <x:c r="CC742" s="141" t="str">
        <x:f>IF(COUNT(G742:P742)=0,"",AVERAGE(G742:P742)*4)</x:f>
      </x:c>
      <x:c r="CD742" s="178" t="str">
        <x:f>IF(COUNT(Q742:Z742)=0,"",AVERAGE(Q742:Z742)*4)</x:f>
      </x:c>
      <x:c r="CE742" s="178" t="str">
        <x:f>IF(COUNT(AA742:AJ742)=0,"",AVERAGE(AA742:AJ742)*4)</x:f>
      </x:c>
      <x:c r="CF742" s="178" t="str">
        <x:f>IF(COUNT(AK742:AR742)=0,"",AVERAGE(AK742:AR742)*4)</x:f>
      </x:c>
      <x:c r="CG742" s="178" t="str">
        <x:f>IF(COUNT(AS742:AY742)=0,"",AVERAGE(AS742:AY742)*4)</x:f>
      </x:c>
      <x:c r="CH742" s="178" t="str">
        <x:f>IF(COUNT(AZ742:BG742)=0,"",AVERAGE(AZ742:BG742)*4)</x:f>
      </x:c>
      <x:c r="CI742" s="178" t="str">
        <x:f>IF(COUNT(BH742:BN742)=0,"",AVERAGE(BH742:BN742)*4)</x:f>
      </x:c>
      <x:c r="CJ742" s="178" t="str">
        <x:f>IF(COUNT(BO742:BU742)=0,"",AVERAGE(BO742:BU742)*4)</x:f>
      </x:c>
      <x:c r="CK742" s="178" t="str">
        <x:f>IF(COUNT(BV742:CB742)=0,"",AVERAGE(BV742:CB742)*4)</x:f>
      </x:c>
      <x:c r="CL742" s="178" t="str">
        <x:f>IF(C742="","",IF(COUNT(G742:CB742)&lt;74,"",(CC742*'تنظیمات وزن‌دهی'!$C$5+CD742*'تنظیمات وزن‌دهی'!$C$6+CE742*'تنظیمات وزن‌دهی'!$C$7+CF742*'تنظیمات وزن‌دهی'!$C$8+CG742*'تنظیمات وزن‌دهی'!$C$9+CH742*'تنظیمات وزن‌دهی'!$C$10+CI742*'تنظیمات وزن‌دهی'!$C$11+CJ742*'تنظیمات وزن‌دهی'!$C$12+CK742*'تنظیمات وزن‌دهی'!$C$13)/100))</x:f>
      </x:c>
      <x:c r="CM742" s="178" t="str">
        <x:f>IF(C742="","",IF(COUNT(G742:CB742)=0,"",IF(COUNT(G742:CB742)&lt;74,"موقت - اطلاعات ناقص",IF(CL742&gt;=17,"عالی",IF(CL742&gt;=14,"خوب",IF(CL742&gt;=10,"متوسط","ضعیف"))))))</x:f>
      </x:c>
      <x:c r="CN742" s="178" t="n">
        <x:v>6</x:v>
      </x:c>
      <x:c r="CO742" s="142" t="n">
        <x:f>IF(C742="","",COUNT(G742:CB742)/74)</x:f>
        <x:v>0</x:v>
      </x:c>
      <x:c r="CP742" s="245"/>
    </x:row>
    <x:row r="743">
      <x:c r="A743" s="165" t="n">
        <x:v>739</x:v>
      </x:c>
      <x:c r="B743" s="233" t="str">
        <x:v>دی</x:v>
      </x:c>
      <x:c r="C743" s="233" t="n">
        <x:f>IF('دانش‌آموزان'!E66="","",'دانش‌آموزان'!B66)</x:f>
        <x:v>62</x:v>
      </x:c>
      <x:c r="D743" s="233" t="str">
        <x:f>IF('دانش‌آموزان'!C66="","",'دانش‌آموزان'!C66)</x:f>
        <x:v>4000000624</x:v>
      </x:c>
      <x:c r="E743" s="233" t="str">
        <x:f>IF('دانش‌آموزان'!E66="","",'دانش‌آموزان'!E66&amp;" "&amp;'دانش‌آموزان'!F66)</x:f>
        <x:v>فاطمه اکبری</x:v>
      </x:c>
      <x:c r="F743" s="166" t="str">
        <x:f>IF('دانش‌آموزان'!I66="","",'دانش‌آموزان'!I66)</x:f>
        <x:v>sample-7-c</x:v>
      </x:c>
      <x:c r="G743" s="114"/>
      <x:c r="H743" s="115"/>
      <x:c r="I743" s="115"/>
      <x:c r="J743" s="115"/>
      <x:c r="K743" s="115"/>
      <x:c r="L743" s="115"/>
      <x:c r="M743" s="115"/>
      <x:c r="N743" s="115"/>
      <x:c r="O743" s="115"/>
      <x:c r="P743" s="115"/>
      <x:c r="Q743" s="115"/>
      <x:c r="R743" s="115"/>
      <x:c r="S743" s="115"/>
      <x:c r="T743" s="115"/>
      <x:c r="U743" s="115"/>
      <x:c r="V743" s="115"/>
      <x:c r="W743" s="115"/>
      <x:c r="X743" s="115"/>
      <x:c r="Y743" s="115"/>
      <x:c r="Z743" s="115"/>
      <x:c r="AA743" s="115"/>
      <x:c r="AB743" s="115"/>
      <x:c r="AC743" s="115"/>
      <x:c r="AD743" s="115"/>
      <x:c r="AE743" s="115"/>
      <x:c r="AF743" s="115"/>
      <x:c r="AG743" s="115"/>
      <x:c r="AH743" s="115"/>
      <x:c r="AI743" s="115"/>
      <x:c r="AJ743" s="115"/>
      <x:c r="AK743" s="115"/>
      <x:c r="AL743" s="115"/>
      <x:c r="AM743" s="115"/>
      <x:c r="AN743" s="115"/>
      <x:c r="AO743" s="115"/>
      <x:c r="AP743" s="115"/>
      <x:c r="AQ743" s="115"/>
      <x:c r="AR743" s="115"/>
      <x:c r="AS743" s="115"/>
      <x:c r="AT743" s="115"/>
      <x:c r="AU743" s="115"/>
      <x:c r="AV743" s="115"/>
      <x:c r="AW743" s="115"/>
      <x:c r="AX743" s="115"/>
      <x:c r="AY743" s="115"/>
      <x:c r="AZ743" s="115"/>
      <x:c r="BA743" s="115"/>
      <x:c r="BB743" s="115"/>
      <x:c r="BC743" s="115"/>
      <x:c r="BD743" s="115"/>
      <x:c r="BE743" s="115"/>
      <x:c r="BF743" s="115"/>
      <x:c r="BG743" s="115"/>
      <x:c r="BH743" s="115"/>
      <x:c r="BI743" s="115"/>
      <x:c r="BJ743" s="115"/>
      <x:c r="BK743" s="115"/>
      <x:c r="BL743" s="115"/>
      <x:c r="BM743" s="115"/>
      <x:c r="BN743" s="115"/>
      <x:c r="BO743" s="115"/>
      <x:c r="BP743" s="115"/>
      <x:c r="BQ743" s="115"/>
      <x:c r="BR743" s="115"/>
      <x:c r="BS743" s="115"/>
      <x:c r="BT743" s="115"/>
      <x:c r="BU743" s="115"/>
      <x:c r="BV743" s="115"/>
      <x:c r="BW743" s="115"/>
      <x:c r="BX743" s="115"/>
      <x:c r="BY743" s="115"/>
      <x:c r="BZ743" s="115"/>
      <x:c r="CA743" s="115"/>
      <x:c r="CB743" s="116"/>
      <x:c r="CC743" s="141" t="str">
        <x:f>IF(COUNT(G743:P743)=0,"",AVERAGE(G743:P743)*4)</x:f>
      </x:c>
      <x:c r="CD743" s="178" t="str">
        <x:f>IF(COUNT(Q743:Z743)=0,"",AVERAGE(Q743:Z743)*4)</x:f>
      </x:c>
      <x:c r="CE743" s="178" t="str">
        <x:f>IF(COUNT(AA743:AJ743)=0,"",AVERAGE(AA743:AJ743)*4)</x:f>
      </x:c>
      <x:c r="CF743" s="178" t="str">
        <x:f>IF(COUNT(AK743:AR743)=0,"",AVERAGE(AK743:AR743)*4)</x:f>
      </x:c>
      <x:c r="CG743" s="178" t="str">
        <x:f>IF(COUNT(AS743:AY743)=0,"",AVERAGE(AS743:AY743)*4)</x:f>
      </x:c>
      <x:c r="CH743" s="178" t="str">
        <x:f>IF(COUNT(AZ743:BG743)=0,"",AVERAGE(AZ743:BG743)*4)</x:f>
      </x:c>
      <x:c r="CI743" s="178" t="str">
        <x:f>IF(COUNT(BH743:BN743)=0,"",AVERAGE(BH743:BN743)*4)</x:f>
      </x:c>
      <x:c r="CJ743" s="178" t="str">
        <x:f>IF(COUNT(BO743:BU743)=0,"",AVERAGE(BO743:BU743)*4)</x:f>
      </x:c>
      <x:c r="CK743" s="178" t="str">
        <x:f>IF(COUNT(BV743:CB743)=0,"",AVERAGE(BV743:CB743)*4)</x:f>
      </x:c>
      <x:c r="CL743" s="178" t="str">
        <x:f>IF(C743="","",IF(COUNT(G743:CB743)&lt;74,"",(CC743*'تنظیمات وزن‌دهی'!$C$5+CD743*'تنظیمات وزن‌دهی'!$C$6+CE743*'تنظیمات وزن‌دهی'!$C$7+CF743*'تنظیمات وزن‌دهی'!$C$8+CG743*'تنظیمات وزن‌دهی'!$C$9+CH743*'تنظیمات وزن‌دهی'!$C$10+CI743*'تنظیمات وزن‌دهی'!$C$11+CJ743*'تنظیمات وزن‌دهی'!$C$12+CK743*'تنظیمات وزن‌دهی'!$C$13)/100))</x:f>
      </x:c>
      <x:c r="CM743" s="178" t="str">
        <x:f>IF(C743="","",IF(COUNT(G743:CB743)=0,"",IF(COUNT(G743:CB743)&lt;74,"موقت - اطلاعات ناقص",IF(CL743&gt;=17,"عالی",IF(CL743&gt;=14,"خوب",IF(CL743&gt;=10,"متوسط","ضعیف"))))))</x:f>
      </x:c>
      <x:c r="CN743" s="178" t="n">
        <x:v>7</x:v>
      </x:c>
      <x:c r="CO743" s="142" t="n">
        <x:f>IF(C743="","",COUNT(G743:CB743)/74)</x:f>
        <x:v>0</x:v>
      </x:c>
      <x:c r="CP743" s="245"/>
    </x:row>
    <x:row r="744">
      <x:c r="A744" s="165" t="n">
        <x:v>740</x:v>
      </x:c>
      <x:c r="B744" s="233" t="str">
        <x:v>بهمن</x:v>
      </x:c>
      <x:c r="C744" s="233" t="n">
        <x:f>IF('دانش‌آموزان'!E66="","",'دانش‌آموزان'!B66)</x:f>
        <x:v>62</x:v>
      </x:c>
      <x:c r="D744" s="233" t="str">
        <x:f>IF('دانش‌آموزان'!C66="","",'دانش‌آموزان'!C66)</x:f>
        <x:v>4000000624</x:v>
      </x:c>
      <x:c r="E744" s="233" t="str">
        <x:f>IF('دانش‌آموزان'!E66="","",'دانش‌آموزان'!E66&amp;" "&amp;'دانش‌آموزان'!F66)</x:f>
        <x:v>فاطمه اکبری</x:v>
      </x:c>
      <x:c r="F744" s="166" t="str">
        <x:f>IF('دانش‌آموزان'!I66="","",'دانش‌آموزان'!I66)</x:f>
        <x:v>sample-7-c</x:v>
      </x:c>
      <x:c r="G744" s="114"/>
      <x:c r="H744" s="115"/>
      <x:c r="I744" s="115"/>
      <x:c r="J744" s="115"/>
      <x:c r="K744" s="115"/>
      <x:c r="L744" s="115"/>
      <x:c r="M744" s="115"/>
      <x:c r="N744" s="115"/>
      <x:c r="O744" s="115"/>
      <x:c r="P744" s="115"/>
      <x:c r="Q744" s="115"/>
      <x:c r="R744" s="115"/>
      <x:c r="S744" s="115"/>
      <x:c r="T744" s="115"/>
      <x:c r="U744" s="115"/>
      <x:c r="V744" s="115"/>
      <x:c r="W744" s="115"/>
      <x:c r="X744" s="115"/>
      <x:c r="Y744" s="115"/>
      <x:c r="Z744" s="115"/>
      <x:c r="AA744" s="115"/>
      <x:c r="AB744" s="115"/>
      <x:c r="AC744" s="115"/>
      <x:c r="AD744" s="115"/>
      <x:c r="AE744" s="115"/>
      <x:c r="AF744" s="115"/>
      <x:c r="AG744" s="115"/>
      <x:c r="AH744" s="115"/>
      <x:c r="AI744" s="115"/>
      <x:c r="AJ744" s="115"/>
      <x:c r="AK744" s="115"/>
      <x:c r="AL744" s="115"/>
      <x:c r="AM744" s="115"/>
      <x:c r="AN744" s="115"/>
      <x:c r="AO744" s="115"/>
      <x:c r="AP744" s="115"/>
      <x:c r="AQ744" s="115"/>
      <x:c r="AR744" s="115"/>
      <x:c r="AS744" s="115"/>
      <x:c r="AT744" s="115"/>
      <x:c r="AU744" s="115"/>
      <x:c r="AV744" s="115"/>
      <x:c r="AW744" s="115"/>
      <x:c r="AX744" s="115"/>
      <x:c r="AY744" s="115"/>
      <x:c r="AZ744" s="115"/>
      <x:c r="BA744" s="115"/>
      <x:c r="BB744" s="115"/>
      <x:c r="BC744" s="115"/>
      <x:c r="BD744" s="115"/>
      <x:c r="BE744" s="115"/>
      <x:c r="BF744" s="115"/>
      <x:c r="BG744" s="115"/>
      <x:c r="BH744" s="115"/>
      <x:c r="BI744" s="115"/>
      <x:c r="BJ744" s="115"/>
      <x:c r="BK744" s="115"/>
      <x:c r="BL744" s="115"/>
      <x:c r="BM744" s="115"/>
      <x:c r="BN744" s="115"/>
      <x:c r="BO744" s="115"/>
      <x:c r="BP744" s="115"/>
      <x:c r="BQ744" s="115"/>
      <x:c r="BR744" s="115"/>
      <x:c r="BS744" s="115"/>
      <x:c r="BT744" s="115"/>
      <x:c r="BU744" s="115"/>
      <x:c r="BV744" s="115"/>
      <x:c r="BW744" s="115"/>
      <x:c r="BX744" s="115"/>
      <x:c r="BY744" s="115"/>
      <x:c r="BZ744" s="115"/>
      <x:c r="CA744" s="115"/>
      <x:c r="CB744" s="116"/>
      <x:c r="CC744" s="141" t="str">
        <x:f>IF(COUNT(G744:P744)=0,"",AVERAGE(G744:P744)*4)</x:f>
      </x:c>
      <x:c r="CD744" s="178" t="str">
        <x:f>IF(COUNT(Q744:Z744)=0,"",AVERAGE(Q744:Z744)*4)</x:f>
      </x:c>
      <x:c r="CE744" s="178" t="str">
        <x:f>IF(COUNT(AA744:AJ744)=0,"",AVERAGE(AA744:AJ744)*4)</x:f>
      </x:c>
      <x:c r="CF744" s="178" t="str">
        <x:f>IF(COUNT(AK744:AR744)=0,"",AVERAGE(AK744:AR744)*4)</x:f>
      </x:c>
      <x:c r="CG744" s="178" t="str">
        <x:f>IF(COUNT(AS744:AY744)=0,"",AVERAGE(AS744:AY744)*4)</x:f>
      </x:c>
      <x:c r="CH744" s="178" t="str">
        <x:f>IF(COUNT(AZ744:BG744)=0,"",AVERAGE(AZ744:BG744)*4)</x:f>
      </x:c>
      <x:c r="CI744" s="178" t="str">
        <x:f>IF(COUNT(BH744:BN744)=0,"",AVERAGE(BH744:BN744)*4)</x:f>
      </x:c>
      <x:c r="CJ744" s="178" t="str">
        <x:f>IF(COUNT(BO744:BU744)=0,"",AVERAGE(BO744:BU744)*4)</x:f>
      </x:c>
      <x:c r="CK744" s="178" t="str">
        <x:f>IF(COUNT(BV744:CB744)=0,"",AVERAGE(BV744:CB744)*4)</x:f>
      </x:c>
      <x:c r="CL744" s="178" t="str">
        <x:f>IF(C744="","",IF(COUNT(G744:CB744)&lt;74,"",(CC744*'تنظیمات وزن‌دهی'!$C$5+CD744*'تنظیمات وزن‌دهی'!$C$6+CE744*'تنظیمات وزن‌دهی'!$C$7+CF744*'تنظیمات وزن‌دهی'!$C$8+CG744*'تنظیمات وزن‌دهی'!$C$9+CH744*'تنظیمات وزن‌دهی'!$C$10+CI744*'تنظیمات وزن‌دهی'!$C$11+CJ744*'تنظیمات وزن‌دهی'!$C$12+CK744*'تنظیمات وزن‌دهی'!$C$13)/100))</x:f>
      </x:c>
      <x:c r="CM744" s="178" t="str">
        <x:f>IF(C744="","",IF(COUNT(G744:CB744)=0,"",IF(COUNT(G744:CB744)&lt;74,"موقت - اطلاعات ناقص",IF(CL744&gt;=17,"عالی",IF(CL744&gt;=14,"خوب",IF(CL744&gt;=10,"متوسط","ضعیف"))))))</x:f>
      </x:c>
      <x:c r="CN744" s="178" t="n">
        <x:v>8</x:v>
      </x:c>
      <x:c r="CO744" s="142" t="n">
        <x:f>IF(C744="","",COUNT(G744:CB744)/74)</x:f>
        <x:v>0</x:v>
      </x:c>
      <x:c r="CP744" s="245"/>
    </x:row>
    <x:row r="745">
      <x:c r="A745" s="165" t="n">
        <x:v>741</x:v>
      </x:c>
      <x:c r="B745" s="233" t="str">
        <x:v>اسفند</x:v>
      </x:c>
      <x:c r="C745" s="233" t="n">
        <x:f>IF('دانش‌آموزان'!E66="","",'دانش‌آموزان'!B66)</x:f>
        <x:v>62</x:v>
      </x:c>
      <x:c r="D745" s="233" t="str">
        <x:f>IF('دانش‌آموزان'!C66="","",'دانش‌آموزان'!C66)</x:f>
        <x:v>4000000624</x:v>
      </x:c>
      <x:c r="E745" s="233" t="str">
        <x:f>IF('دانش‌آموزان'!E66="","",'دانش‌آموزان'!E66&amp;" "&amp;'دانش‌آموزان'!F66)</x:f>
        <x:v>فاطمه اکبری</x:v>
      </x:c>
      <x:c r="F745" s="166" t="str">
        <x:f>IF('دانش‌آموزان'!I66="","",'دانش‌آموزان'!I66)</x:f>
        <x:v>sample-7-c</x:v>
      </x:c>
      <x:c r="G745" s="114"/>
      <x:c r="H745" s="115"/>
      <x:c r="I745" s="115"/>
      <x:c r="J745" s="115"/>
      <x:c r="K745" s="115"/>
      <x:c r="L745" s="115"/>
      <x:c r="M745" s="115"/>
      <x:c r="N745" s="115"/>
      <x:c r="O745" s="115"/>
      <x:c r="P745" s="115"/>
      <x:c r="Q745" s="115"/>
      <x:c r="R745" s="115"/>
      <x:c r="S745" s="115"/>
      <x:c r="T745" s="115"/>
      <x:c r="U745" s="115"/>
      <x:c r="V745" s="115"/>
      <x:c r="W745" s="115"/>
      <x:c r="X745" s="115"/>
      <x:c r="Y745" s="115"/>
      <x:c r="Z745" s="115"/>
      <x:c r="AA745" s="115"/>
      <x:c r="AB745" s="115"/>
      <x:c r="AC745" s="115"/>
      <x:c r="AD745" s="115"/>
      <x:c r="AE745" s="115"/>
      <x:c r="AF745" s="115"/>
      <x:c r="AG745" s="115"/>
      <x:c r="AH745" s="115"/>
      <x:c r="AI745" s="115"/>
      <x:c r="AJ745" s="115"/>
      <x:c r="AK745" s="115"/>
      <x:c r="AL745" s="115"/>
      <x:c r="AM745" s="115"/>
      <x:c r="AN745" s="115"/>
      <x:c r="AO745" s="115"/>
      <x:c r="AP745" s="115"/>
      <x:c r="AQ745" s="115"/>
      <x:c r="AR745" s="115"/>
      <x:c r="AS745" s="115"/>
      <x:c r="AT745" s="115"/>
      <x:c r="AU745" s="115"/>
      <x:c r="AV745" s="115"/>
      <x:c r="AW745" s="115"/>
      <x:c r="AX745" s="115"/>
      <x:c r="AY745" s="115"/>
      <x:c r="AZ745" s="115"/>
      <x:c r="BA745" s="115"/>
      <x:c r="BB745" s="115"/>
      <x:c r="BC745" s="115"/>
      <x:c r="BD745" s="115"/>
      <x:c r="BE745" s="115"/>
      <x:c r="BF745" s="115"/>
      <x:c r="BG745" s="115"/>
      <x:c r="BH745" s="115"/>
      <x:c r="BI745" s="115"/>
      <x:c r="BJ745" s="115"/>
      <x:c r="BK745" s="115"/>
      <x:c r="BL745" s="115"/>
      <x:c r="BM745" s="115"/>
      <x:c r="BN745" s="115"/>
      <x:c r="BO745" s="115"/>
      <x:c r="BP745" s="115"/>
      <x:c r="BQ745" s="115"/>
      <x:c r="BR745" s="115"/>
      <x:c r="BS745" s="115"/>
      <x:c r="BT745" s="115"/>
      <x:c r="BU745" s="115"/>
      <x:c r="BV745" s="115"/>
      <x:c r="BW745" s="115"/>
      <x:c r="BX745" s="115"/>
      <x:c r="BY745" s="115"/>
      <x:c r="BZ745" s="115"/>
      <x:c r="CA745" s="115"/>
      <x:c r="CB745" s="116"/>
      <x:c r="CC745" s="141" t="str">
        <x:f>IF(COUNT(G745:P745)=0,"",AVERAGE(G745:P745)*4)</x:f>
      </x:c>
      <x:c r="CD745" s="178" t="str">
        <x:f>IF(COUNT(Q745:Z745)=0,"",AVERAGE(Q745:Z745)*4)</x:f>
      </x:c>
      <x:c r="CE745" s="178" t="str">
        <x:f>IF(COUNT(AA745:AJ745)=0,"",AVERAGE(AA745:AJ745)*4)</x:f>
      </x:c>
      <x:c r="CF745" s="178" t="str">
        <x:f>IF(COUNT(AK745:AR745)=0,"",AVERAGE(AK745:AR745)*4)</x:f>
      </x:c>
      <x:c r="CG745" s="178" t="str">
        <x:f>IF(COUNT(AS745:AY745)=0,"",AVERAGE(AS745:AY745)*4)</x:f>
      </x:c>
      <x:c r="CH745" s="178" t="str">
        <x:f>IF(COUNT(AZ745:BG745)=0,"",AVERAGE(AZ745:BG745)*4)</x:f>
      </x:c>
      <x:c r="CI745" s="178" t="str">
        <x:f>IF(COUNT(BH745:BN745)=0,"",AVERAGE(BH745:BN745)*4)</x:f>
      </x:c>
      <x:c r="CJ745" s="178" t="str">
        <x:f>IF(COUNT(BO745:BU745)=0,"",AVERAGE(BO745:BU745)*4)</x:f>
      </x:c>
      <x:c r="CK745" s="178" t="str">
        <x:f>IF(COUNT(BV745:CB745)=0,"",AVERAGE(BV745:CB745)*4)</x:f>
      </x:c>
      <x:c r="CL745" s="178" t="str">
        <x:f>IF(C745="","",IF(COUNT(G745:CB745)&lt;74,"",(CC745*'تنظیمات وزن‌دهی'!$C$5+CD745*'تنظیمات وزن‌دهی'!$C$6+CE745*'تنظیمات وزن‌دهی'!$C$7+CF745*'تنظیمات وزن‌دهی'!$C$8+CG745*'تنظیمات وزن‌دهی'!$C$9+CH745*'تنظیمات وزن‌دهی'!$C$10+CI745*'تنظیمات وزن‌دهی'!$C$11+CJ745*'تنظیمات وزن‌دهی'!$C$12+CK745*'تنظیمات وزن‌دهی'!$C$13)/100))</x:f>
      </x:c>
      <x:c r="CM745" s="178" t="str">
        <x:f>IF(C745="","",IF(COUNT(G745:CB745)=0,"",IF(COUNT(G745:CB745)&lt;74,"موقت - اطلاعات ناقص",IF(CL745&gt;=17,"عالی",IF(CL745&gt;=14,"خوب",IF(CL745&gt;=10,"متوسط","ضعیف"))))))</x:f>
      </x:c>
      <x:c r="CN745" s="178" t="n">
        <x:v>9</x:v>
      </x:c>
      <x:c r="CO745" s="142" t="n">
        <x:f>IF(C745="","",COUNT(G745:CB745)/74)</x:f>
        <x:v>0</x:v>
      </x:c>
      <x:c r="CP745" s="245"/>
    </x:row>
    <x:row r="746">
      <x:c r="A746" s="165" t="n">
        <x:v>742</x:v>
      </x:c>
      <x:c r="B746" s="233" t="str">
        <x:v>فروردین</x:v>
      </x:c>
      <x:c r="C746" s="233" t="n">
        <x:f>IF('دانش‌آموزان'!E66="","",'دانش‌آموزان'!B66)</x:f>
        <x:v>62</x:v>
      </x:c>
      <x:c r="D746" s="233" t="str">
        <x:f>IF('دانش‌آموزان'!C66="","",'دانش‌آموزان'!C66)</x:f>
        <x:v>4000000624</x:v>
      </x:c>
      <x:c r="E746" s="233" t="str">
        <x:f>IF('دانش‌آموزان'!E66="","",'دانش‌آموزان'!E66&amp;" "&amp;'دانش‌آموزان'!F66)</x:f>
        <x:v>فاطمه اکبری</x:v>
      </x:c>
      <x:c r="F746" s="166" t="str">
        <x:f>IF('دانش‌آموزان'!I66="","",'دانش‌آموزان'!I66)</x:f>
        <x:v>sample-7-c</x:v>
      </x:c>
      <x:c r="G746" s="114"/>
      <x:c r="H746" s="115"/>
      <x:c r="I746" s="115"/>
      <x:c r="J746" s="115"/>
      <x:c r="K746" s="115"/>
      <x:c r="L746" s="115"/>
      <x:c r="M746" s="115"/>
      <x:c r="N746" s="115"/>
      <x:c r="O746" s="115"/>
      <x:c r="P746" s="115"/>
      <x:c r="Q746" s="115"/>
      <x:c r="R746" s="115"/>
      <x:c r="S746" s="115"/>
      <x:c r="T746" s="115"/>
      <x:c r="U746" s="115"/>
      <x:c r="V746" s="115"/>
      <x:c r="W746" s="115"/>
      <x:c r="X746" s="115"/>
      <x:c r="Y746" s="115"/>
      <x:c r="Z746" s="115"/>
      <x:c r="AA746" s="115"/>
      <x:c r="AB746" s="115"/>
      <x:c r="AC746" s="115"/>
      <x:c r="AD746" s="115"/>
      <x:c r="AE746" s="115"/>
      <x:c r="AF746" s="115"/>
      <x:c r="AG746" s="115"/>
      <x:c r="AH746" s="115"/>
      <x:c r="AI746" s="115"/>
      <x:c r="AJ746" s="115"/>
      <x:c r="AK746" s="115"/>
      <x:c r="AL746" s="115"/>
      <x:c r="AM746" s="115"/>
      <x:c r="AN746" s="115"/>
      <x:c r="AO746" s="115"/>
      <x:c r="AP746" s="115"/>
      <x:c r="AQ746" s="115"/>
      <x:c r="AR746" s="115"/>
      <x:c r="AS746" s="115"/>
      <x:c r="AT746" s="115"/>
      <x:c r="AU746" s="115"/>
      <x:c r="AV746" s="115"/>
      <x:c r="AW746" s="115"/>
      <x:c r="AX746" s="115"/>
      <x:c r="AY746" s="115"/>
      <x:c r="AZ746" s="115"/>
      <x:c r="BA746" s="115"/>
      <x:c r="BB746" s="115"/>
      <x:c r="BC746" s="115"/>
      <x:c r="BD746" s="115"/>
      <x:c r="BE746" s="115"/>
      <x:c r="BF746" s="115"/>
      <x:c r="BG746" s="115"/>
      <x:c r="BH746" s="115"/>
      <x:c r="BI746" s="115"/>
      <x:c r="BJ746" s="115"/>
      <x:c r="BK746" s="115"/>
      <x:c r="BL746" s="115"/>
      <x:c r="BM746" s="115"/>
      <x:c r="BN746" s="115"/>
      <x:c r="BO746" s="115"/>
      <x:c r="BP746" s="115"/>
      <x:c r="BQ746" s="115"/>
      <x:c r="BR746" s="115"/>
      <x:c r="BS746" s="115"/>
      <x:c r="BT746" s="115"/>
      <x:c r="BU746" s="115"/>
      <x:c r="BV746" s="115"/>
      <x:c r="BW746" s="115"/>
      <x:c r="BX746" s="115"/>
      <x:c r="BY746" s="115"/>
      <x:c r="BZ746" s="115"/>
      <x:c r="CA746" s="115"/>
      <x:c r="CB746" s="116"/>
      <x:c r="CC746" s="141" t="str">
        <x:f>IF(COUNT(G746:P746)=0,"",AVERAGE(G746:P746)*4)</x:f>
      </x:c>
      <x:c r="CD746" s="178" t="str">
        <x:f>IF(COUNT(Q746:Z746)=0,"",AVERAGE(Q746:Z746)*4)</x:f>
      </x:c>
      <x:c r="CE746" s="178" t="str">
        <x:f>IF(COUNT(AA746:AJ746)=0,"",AVERAGE(AA746:AJ746)*4)</x:f>
      </x:c>
      <x:c r="CF746" s="178" t="str">
        <x:f>IF(COUNT(AK746:AR746)=0,"",AVERAGE(AK746:AR746)*4)</x:f>
      </x:c>
      <x:c r="CG746" s="178" t="str">
        <x:f>IF(COUNT(AS746:AY746)=0,"",AVERAGE(AS746:AY746)*4)</x:f>
      </x:c>
      <x:c r="CH746" s="178" t="str">
        <x:f>IF(COUNT(AZ746:BG746)=0,"",AVERAGE(AZ746:BG746)*4)</x:f>
      </x:c>
      <x:c r="CI746" s="178" t="str">
        <x:f>IF(COUNT(BH746:BN746)=0,"",AVERAGE(BH746:BN746)*4)</x:f>
      </x:c>
      <x:c r="CJ746" s="178" t="str">
        <x:f>IF(COUNT(BO746:BU746)=0,"",AVERAGE(BO746:BU746)*4)</x:f>
      </x:c>
      <x:c r="CK746" s="178" t="str">
        <x:f>IF(COUNT(BV746:CB746)=0,"",AVERAGE(BV746:CB746)*4)</x:f>
      </x:c>
      <x:c r="CL746" s="178" t="str">
        <x:f>IF(C746="","",IF(COUNT(G746:CB746)&lt;74,"",(CC746*'تنظیمات وزن‌دهی'!$C$5+CD746*'تنظیمات وزن‌دهی'!$C$6+CE746*'تنظیمات وزن‌دهی'!$C$7+CF746*'تنظیمات وزن‌دهی'!$C$8+CG746*'تنظیمات وزن‌دهی'!$C$9+CH746*'تنظیمات وزن‌دهی'!$C$10+CI746*'تنظیمات وزن‌دهی'!$C$11+CJ746*'تنظیمات وزن‌دهی'!$C$12+CK746*'تنظیمات وزن‌دهی'!$C$13)/100))</x:f>
      </x:c>
      <x:c r="CM746" s="178" t="str">
        <x:f>IF(C746="","",IF(COUNT(G746:CB746)=0,"",IF(COUNT(G746:CB746)&lt;74,"موقت - اطلاعات ناقص",IF(CL746&gt;=17,"عالی",IF(CL746&gt;=14,"خوب",IF(CL746&gt;=10,"متوسط","ضعیف"))))))</x:f>
      </x:c>
      <x:c r="CN746" s="178" t="n">
        <x:v>10</x:v>
      </x:c>
      <x:c r="CO746" s="142" t="n">
        <x:f>IF(C746="","",COUNT(G746:CB746)/74)</x:f>
        <x:v>0</x:v>
      </x:c>
      <x:c r="CP746" s="245"/>
    </x:row>
    <x:row r="747">
      <x:c r="A747" s="165" t="n">
        <x:v>743</x:v>
      </x:c>
      <x:c r="B747" s="233" t="str">
        <x:v>اردیبهشت</x:v>
      </x:c>
      <x:c r="C747" s="233" t="n">
        <x:f>IF('دانش‌آموزان'!E66="","",'دانش‌آموزان'!B66)</x:f>
        <x:v>62</x:v>
      </x:c>
      <x:c r="D747" s="233" t="str">
        <x:f>IF('دانش‌آموزان'!C66="","",'دانش‌آموزان'!C66)</x:f>
        <x:v>4000000624</x:v>
      </x:c>
      <x:c r="E747" s="233" t="str">
        <x:f>IF('دانش‌آموزان'!E66="","",'دانش‌آموزان'!E66&amp;" "&amp;'دانش‌آموزان'!F66)</x:f>
        <x:v>فاطمه اکبری</x:v>
      </x:c>
      <x:c r="F747" s="166" t="str">
        <x:f>IF('دانش‌آموزان'!I66="","",'دانش‌آموزان'!I66)</x:f>
        <x:v>sample-7-c</x:v>
      </x:c>
      <x:c r="G747" s="114"/>
      <x:c r="H747" s="115"/>
      <x:c r="I747" s="115"/>
      <x:c r="J747" s="115"/>
      <x:c r="K747" s="115"/>
      <x:c r="L747" s="115"/>
      <x:c r="M747" s="115"/>
      <x:c r="N747" s="115"/>
      <x:c r="O747" s="115"/>
      <x:c r="P747" s="115"/>
      <x:c r="Q747" s="115"/>
      <x:c r="R747" s="115"/>
      <x:c r="S747" s="115"/>
      <x:c r="T747" s="115"/>
      <x:c r="U747" s="115"/>
      <x:c r="V747" s="115"/>
      <x:c r="W747" s="115"/>
      <x:c r="X747" s="115"/>
      <x:c r="Y747" s="115"/>
      <x:c r="Z747" s="115"/>
      <x:c r="AA747" s="115"/>
      <x:c r="AB747" s="115"/>
      <x:c r="AC747" s="115"/>
      <x:c r="AD747" s="115"/>
      <x:c r="AE747" s="115"/>
      <x:c r="AF747" s="115"/>
      <x:c r="AG747" s="115"/>
      <x:c r="AH747" s="115"/>
      <x:c r="AI747" s="115"/>
      <x:c r="AJ747" s="115"/>
      <x:c r="AK747" s="115"/>
      <x:c r="AL747" s="115"/>
      <x:c r="AM747" s="115"/>
      <x:c r="AN747" s="115"/>
      <x:c r="AO747" s="115"/>
      <x:c r="AP747" s="115"/>
      <x:c r="AQ747" s="115"/>
      <x:c r="AR747" s="115"/>
      <x:c r="AS747" s="115"/>
      <x:c r="AT747" s="115"/>
      <x:c r="AU747" s="115"/>
      <x:c r="AV747" s="115"/>
      <x:c r="AW747" s="115"/>
      <x:c r="AX747" s="115"/>
      <x:c r="AY747" s="115"/>
      <x:c r="AZ747" s="115"/>
      <x:c r="BA747" s="115"/>
      <x:c r="BB747" s="115"/>
      <x:c r="BC747" s="115"/>
      <x:c r="BD747" s="115"/>
      <x:c r="BE747" s="115"/>
      <x:c r="BF747" s="115"/>
      <x:c r="BG747" s="115"/>
      <x:c r="BH747" s="115"/>
      <x:c r="BI747" s="115"/>
      <x:c r="BJ747" s="115"/>
      <x:c r="BK747" s="115"/>
      <x:c r="BL747" s="115"/>
      <x:c r="BM747" s="115"/>
      <x:c r="BN747" s="115"/>
      <x:c r="BO747" s="115"/>
      <x:c r="BP747" s="115"/>
      <x:c r="BQ747" s="115"/>
      <x:c r="BR747" s="115"/>
      <x:c r="BS747" s="115"/>
      <x:c r="BT747" s="115"/>
      <x:c r="BU747" s="115"/>
      <x:c r="BV747" s="115"/>
      <x:c r="BW747" s="115"/>
      <x:c r="BX747" s="115"/>
      <x:c r="BY747" s="115"/>
      <x:c r="BZ747" s="115"/>
      <x:c r="CA747" s="115"/>
      <x:c r="CB747" s="116"/>
      <x:c r="CC747" s="141" t="str">
        <x:f>IF(COUNT(G747:P747)=0,"",AVERAGE(G747:P747)*4)</x:f>
      </x:c>
      <x:c r="CD747" s="178" t="str">
        <x:f>IF(COUNT(Q747:Z747)=0,"",AVERAGE(Q747:Z747)*4)</x:f>
      </x:c>
      <x:c r="CE747" s="178" t="str">
        <x:f>IF(COUNT(AA747:AJ747)=0,"",AVERAGE(AA747:AJ747)*4)</x:f>
      </x:c>
      <x:c r="CF747" s="178" t="str">
        <x:f>IF(COUNT(AK747:AR747)=0,"",AVERAGE(AK747:AR747)*4)</x:f>
      </x:c>
      <x:c r="CG747" s="178" t="str">
        <x:f>IF(COUNT(AS747:AY747)=0,"",AVERAGE(AS747:AY747)*4)</x:f>
      </x:c>
      <x:c r="CH747" s="178" t="str">
        <x:f>IF(COUNT(AZ747:BG747)=0,"",AVERAGE(AZ747:BG747)*4)</x:f>
      </x:c>
      <x:c r="CI747" s="178" t="str">
        <x:f>IF(COUNT(BH747:BN747)=0,"",AVERAGE(BH747:BN747)*4)</x:f>
      </x:c>
      <x:c r="CJ747" s="178" t="str">
        <x:f>IF(COUNT(BO747:BU747)=0,"",AVERAGE(BO747:BU747)*4)</x:f>
      </x:c>
      <x:c r="CK747" s="178" t="str">
        <x:f>IF(COUNT(BV747:CB747)=0,"",AVERAGE(BV747:CB747)*4)</x:f>
      </x:c>
      <x:c r="CL747" s="178" t="str">
        <x:f>IF(C747="","",IF(COUNT(G747:CB747)&lt;74,"",(CC747*'تنظیمات وزن‌دهی'!$C$5+CD747*'تنظیمات وزن‌دهی'!$C$6+CE747*'تنظیمات وزن‌دهی'!$C$7+CF747*'تنظیمات وزن‌دهی'!$C$8+CG747*'تنظیمات وزن‌دهی'!$C$9+CH747*'تنظیمات وزن‌دهی'!$C$10+CI747*'تنظیمات وزن‌دهی'!$C$11+CJ747*'تنظیمات وزن‌دهی'!$C$12+CK747*'تنظیمات وزن‌دهی'!$C$13)/100))</x:f>
      </x:c>
      <x:c r="CM747" s="178" t="str">
        <x:f>IF(C747="","",IF(COUNT(G747:CB747)=0,"",IF(COUNT(G747:CB747)&lt;74,"موقت - اطلاعات ناقص",IF(CL747&gt;=17,"عالی",IF(CL747&gt;=14,"خوب",IF(CL747&gt;=10,"متوسط","ضعیف"))))))</x:f>
      </x:c>
      <x:c r="CN747" s="178" t="n">
        <x:v>11</x:v>
      </x:c>
      <x:c r="CO747" s="142" t="n">
        <x:f>IF(C747="","",COUNT(G747:CB747)/74)</x:f>
        <x:v>0</x:v>
      </x:c>
      <x:c r="CP747" s="245"/>
    </x:row>
    <x:row r="748">
      <x:c r="A748" s="165" t="n">
        <x:v>744</x:v>
      </x:c>
      <x:c r="B748" s="233" t="str">
        <x:v>خرداد</x:v>
      </x:c>
      <x:c r="C748" s="233" t="n">
        <x:f>IF('دانش‌آموزان'!E66="","",'دانش‌آموزان'!B66)</x:f>
        <x:v>62</x:v>
      </x:c>
      <x:c r="D748" s="233" t="str">
        <x:f>IF('دانش‌آموزان'!C66="","",'دانش‌آموزان'!C66)</x:f>
        <x:v>4000000624</x:v>
      </x:c>
      <x:c r="E748" s="233" t="str">
        <x:f>IF('دانش‌آموزان'!E66="","",'دانش‌آموزان'!E66&amp;" "&amp;'دانش‌آموزان'!F66)</x:f>
        <x:v>فاطمه اکبری</x:v>
      </x:c>
      <x:c r="F748" s="166" t="str">
        <x:f>IF('دانش‌آموزان'!I66="","",'دانش‌آموزان'!I66)</x:f>
        <x:v>sample-7-c</x:v>
      </x:c>
      <x:c r="G748" s="114"/>
      <x:c r="H748" s="115"/>
      <x:c r="I748" s="115"/>
      <x:c r="J748" s="115"/>
      <x:c r="K748" s="115"/>
      <x:c r="L748" s="115"/>
      <x:c r="M748" s="115"/>
      <x:c r="N748" s="115"/>
      <x:c r="O748" s="115"/>
      <x:c r="P748" s="115"/>
      <x:c r="Q748" s="115"/>
      <x:c r="R748" s="115"/>
      <x:c r="S748" s="115"/>
      <x:c r="T748" s="115"/>
      <x:c r="U748" s="115"/>
      <x:c r="V748" s="115"/>
      <x:c r="W748" s="115"/>
      <x:c r="X748" s="115"/>
      <x:c r="Y748" s="115"/>
      <x:c r="Z748" s="115"/>
      <x:c r="AA748" s="115"/>
      <x:c r="AB748" s="115"/>
      <x:c r="AC748" s="115"/>
      <x:c r="AD748" s="115"/>
      <x:c r="AE748" s="115"/>
      <x:c r="AF748" s="115"/>
      <x:c r="AG748" s="115"/>
      <x:c r="AH748" s="115"/>
      <x:c r="AI748" s="115"/>
      <x:c r="AJ748" s="115"/>
      <x:c r="AK748" s="115"/>
      <x:c r="AL748" s="115"/>
      <x:c r="AM748" s="115"/>
      <x:c r="AN748" s="115"/>
      <x:c r="AO748" s="115"/>
      <x:c r="AP748" s="115"/>
      <x:c r="AQ748" s="115"/>
      <x:c r="AR748" s="115"/>
      <x:c r="AS748" s="115"/>
      <x:c r="AT748" s="115"/>
      <x:c r="AU748" s="115"/>
      <x:c r="AV748" s="115"/>
      <x:c r="AW748" s="115"/>
      <x:c r="AX748" s="115"/>
      <x:c r="AY748" s="115"/>
      <x:c r="AZ748" s="115"/>
      <x:c r="BA748" s="115"/>
      <x:c r="BB748" s="115"/>
      <x:c r="BC748" s="115"/>
      <x:c r="BD748" s="115"/>
      <x:c r="BE748" s="115"/>
      <x:c r="BF748" s="115"/>
      <x:c r="BG748" s="115"/>
      <x:c r="BH748" s="115"/>
      <x:c r="BI748" s="115"/>
      <x:c r="BJ748" s="115"/>
      <x:c r="BK748" s="115"/>
      <x:c r="BL748" s="115"/>
      <x:c r="BM748" s="115"/>
      <x:c r="BN748" s="115"/>
      <x:c r="BO748" s="115"/>
      <x:c r="BP748" s="115"/>
      <x:c r="BQ748" s="115"/>
      <x:c r="BR748" s="115"/>
      <x:c r="BS748" s="115"/>
      <x:c r="BT748" s="115"/>
      <x:c r="BU748" s="115"/>
      <x:c r="BV748" s="115"/>
      <x:c r="BW748" s="115"/>
      <x:c r="BX748" s="115"/>
      <x:c r="BY748" s="115"/>
      <x:c r="BZ748" s="115"/>
      <x:c r="CA748" s="115"/>
      <x:c r="CB748" s="116"/>
      <x:c r="CC748" s="141" t="str">
        <x:f>IF(COUNT(G748:P748)=0,"",AVERAGE(G748:P748)*4)</x:f>
      </x:c>
      <x:c r="CD748" s="178" t="str">
        <x:f>IF(COUNT(Q748:Z748)=0,"",AVERAGE(Q748:Z748)*4)</x:f>
      </x:c>
      <x:c r="CE748" s="178" t="str">
        <x:f>IF(COUNT(AA748:AJ748)=0,"",AVERAGE(AA748:AJ748)*4)</x:f>
      </x:c>
      <x:c r="CF748" s="178" t="str">
        <x:f>IF(COUNT(AK748:AR748)=0,"",AVERAGE(AK748:AR748)*4)</x:f>
      </x:c>
      <x:c r="CG748" s="178" t="str">
        <x:f>IF(COUNT(AS748:AY748)=0,"",AVERAGE(AS748:AY748)*4)</x:f>
      </x:c>
      <x:c r="CH748" s="178" t="str">
        <x:f>IF(COUNT(AZ748:BG748)=0,"",AVERAGE(AZ748:BG748)*4)</x:f>
      </x:c>
      <x:c r="CI748" s="178" t="str">
        <x:f>IF(COUNT(BH748:BN748)=0,"",AVERAGE(BH748:BN748)*4)</x:f>
      </x:c>
      <x:c r="CJ748" s="178" t="str">
        <x:f>IF(COUNT(BO748:BU748)=0,"",AVERAGE(BO748:BU748)*4)</x:f>
      </x:c>
      <x:c r="CK748" s="178" t="str">
        <x:f>IF(COUNT(BV748:CB748)=0,"",AVERAGE(BV748:CB748)*4)</x:f>
      </x:c>
      <x:c r="CL748" s="178" t="str">
        <x:f>IF(C748="","",IF(COUNT(G748:CB748)&lt;74,"",(CC748*'تنظیمات وزن‌دهی'!$C$5+CD748*'تنظیمات وزن‌دهی'!$C$6+CE748*'تنظیمات وزن‌دهی'!$C$7+CF748*'تنظیمات وزن‌دهی'!$C$8+CG748*'تنظیمات وزن‌دهی'!$C$9+CH748*'تنظیمات وزن‌دهی'!$C$10+CI748*'تنظیمات وزن‌دهی'!$C$11+CJ748*'تنظیمات وزن‌دهی'!$C$12+CK748*'تنظیمات وزن‌دهی'!$C$13)/100))</x:f>
      </x:c>
      <x:c r="CM748" s="178" t="str">
        <x:f>IF(C748="","",IF(COUNT(G748:CB748)=0,"",IF(COUNT(G748:CB748)&lt;74,"موقت - اطلاعات ناقص",IF(CL748&gt;=17,"عالی",IF(CL748&gt;=14,"خوب",IF(CL748&gt;=10,"متوسط","ضعیف"))))))</x:f>
      </x:c>
      <x:c r="CN748" s="178" t="n">
        <x:v>12</x:v>
      </x:c>
      <x:c r="CO748" s="142" t="n">
        <x:f>IF(C748="","",COUNT(G748:CB748)/74)</x:f>
        <x:v>0</x:v>
      </x:c>
      <x:c r="CP748" s="245"/>
    </x:row>
    <x:row r="749">
      <x:c r="A749" s="165" t="n">
        <x:v>745</x:v>
      </x:c>
      <x:c r="B749" s="233" t="str">
        <x:v>تیر</x:v>
      </x:c>
      <x:c r="C749" s="233" t="n">
        <x:f>IF('دانش‌آموزان'!E67="","",'دانش‌آموزان'!B67)</x:f>
        <x:v>63</x:v>
      </x:c>
      <x:c r="D749" s="233" t="str">
        <x:f>IF('دانش‌آموزان'!C67="","",'دانش‌آموزان'!C67)</x:f>
        <x:v>4000000632</x:v>
      </x:c>
      <x:c r="E749" s="233" t="str">
        <x:f>IF('دانش‌آموزان'!E67="","",'دانش‌آموزان'!E67&amp;" "&amp;'دانش‌آموزان'!F67)</x:f>
        <x:v>امیرحسین طاهری</x:v>
      </x:c>
      <x:c r="F749" s="166" t="str">
        <x:f>IF('دانش‌آموزان'!I67="","",'دانش‌آموزان'!I67)</x:f>
        <x:v>sample-7-c</x:v>
      </x:c>
      <x:c r="G749" s="114" t="n">
        <x:v>5</x:v>
      </x:c>
      <x:c r="H749" s="115" t="n">
        <x:v>4</x:v>
      </x:c>
      <x:c r="I749" s="115" t="n">
        <x:v>5</x:v>
      </x:c>
      <x:c r="J749" s="115" t="n">
        <x:v>3</x:v>
      </x:c>
      <x:c r="K749" s="115" t="n">
        <x:v>5</x:v>
      </x:c>
      <x:c r="L749" s="115" t="n">
        <x:v>3</x:v>
      </x:c>
      <x:c r="M749" s="115" t="n">
        <x:v>4</x:v>
      </x:c>
      <x:c r="N749" s="115" t="n">
        <x:v>3</x:v>
      </x:c>
      <x:c r="O749" s="115" t="n">
        <x:v>4</x:v>
      </x:c>
      <x:c r="P749" s="115" t="n">
        <x:v>2</x:v>
      </x:c>
      <x:c r="Q749" s="115" t="n">
        <x:v>4</x:v>
      </x:c>
      <x:c r="R749" s="115" t="n">
        <x:v>5</x:v>
      </x:c>
      <x:c r="S749" s="115" t="n">
        <x:v>4</x:v>
      </x:c>
      <x:c r="T749" s="115" t="n">
        <x:v>5</x:v>
      </x:c>
      <x:c r="U749" s="115" t="n">
        <x:v>3</x:v>
      </x:c>
      <x:c r="V749" s="115" t="n">
        <x:v>5</x:v>
      </x:c>
      <x:c r="W749" s="115" t="n">
        <x:v>3</x:v>
      </x:c>
      <x:c r="X749" s="115" t="n">
        <x:v>4</x:v>
      </x:c>
      <x:c r="Y749" s="115" t="n">
        <x:v>3</x:v>
      </x:c>
      <x:c r="Z749" s="115" t="n">
        <x:v>4</x:v>
      </x:c>
      <x:c r="AA749" s="115" t="n">
        <x:v>2</x:v>
      </x:c>
      <x:c r="AB749" s="115" t="n">
        <x:v>4</x:v>
      </x:c>
      <x:c r="AC749" s="115" t="n">
        <x:v>5</x:v>
      </x:c>
      <x:c r="AD749" s="115" t="n">
        <x:v>4</x:v>
      </x:c>
      <x:c r="AE749" s="115" t="n">
        <x:v>5</x:v>
      </x:c>
      <x:c r="AF749" s="115" t="n">
        <x:v>3</x:v>
      </x:c>
      <x:c r="AG749" s="115" t="n">
        <x:v>5</x:v>
      </x:c>
      <x:c r="AH749" s="115" t="n">
        <x:v>3</x:v>
      </x:c>
      <x:c r="AI749" s="115" t="n">
        <x:v>4</x:v>
      </x:c>
      <x:c r="AJ749" s="115" t="n">
        <x:v>3</x:v>
      </x:c>
      <x:c r="AK749" s="115" t="n">
        <x:v>4</x:v>
      </x:c>
      <x:c r="AL749" s="115" t="n">
        <x:v>2</x:v>
      </x:c>
      <x:c r="AM749" s="115" t="n">
        <x:v>4</x:v>
      </x:c>
      <x:c r="AN749" s="115" t="n">
        <x:v>5</x:v>
      </x:c>
      <x:c r="AO749" s="115" t="n">
        <x:v>4</x:v>
      </x:c>
      <x:c r="AP749" s="115" t="n">
        <x:v>5</x:v>
      </x:c>
      <x:c r="AQ749" s="115" t="n">
        <x:v>3</x:v>
      </x:c>
      <x:c r="AR749" s="115" t="n">
        <x:v>5</x:v>
      </x:c>
      <x:c r="AS749" s="115" t="n">
        <x:v>3</x:v>
      </x:c>
      <x:c r="AT749" s="115" t="n">
        <x:v>4</x:v>
      </x:c>
      <x:c r="AU749" s="115" t="n">
        <x:v>3</x:v>
      </x:c>
      <x:c r="AV749" s="115" t="n">
        <x:v>4</x:v>
      </x:c>
      <x:c r="AW749" s="115" t="n">
        <x:v>2</x:v>
      </x:c>
      <x:c r="AX749" s="115" t="n">
        <x:v>4</x:v>
      </x:c>
      <x:c r="AY749" s="115" t="n">
        <x:v>5</x:v>
      </x:c>
      <x:c r="AZ749" s="115" t="n">
        <x:v>4</x:v>
      </x:c>
      <x:c r="BA749" s="115" t="n">
        <x:v>5</x:v>
      </x:c>
      <x:c r="BB749" s="115" t="n">
        <x:v>3</x:v>
      </x:c>
      <x:c r="BC749" s="115" t="n">
        <x:v>5</x:v>
      </x:c>
      <x:c r="BD749" s="115" t="n">
        <x:v>3</x:v>
      </x:c>
      <x:c r="BE749" s="115" t="n">
        <x:v>4</x:v>
      </x:c>
      <x:c r="BF749" s="115" t="n">
        <x:v>3</x:v>
      </x:c>
      <x:c r="BG749" s="115" t="n">
        <x:v>4</x:v>
      </x:c>
      <x:c r="BH749" s="115" t="n">
        <x:v>2</x:v>
      </x:c>
      <x:c r="BI749" s="115" t="n">
        <x:v>4</x:v>
      </x:c>
      <x:c r="BJ749" s="115" t="n">
        <x:v>5</x:v>
      </x:c>
      <x:c r="BK749" s="115" t="n">
        <x:v>4</x:v>
      </x:c>
      <x:c r="BL749" s="115" t="n">
        <x:v>5</x:v>
      </x:c>
      <x:c r="BM749" s="115" t="n">
        <x:v>3</x:v>
      </x:c>
      <x:c r="BN749" s="115" t="n">
        <x:v>5</x:v>
      </x:c>
      <x:c r="BO749" s="115" t="n">
        <x:v>3</x:v>
      </x:c>
      <x:c r="BP749" s="115" t="n">
        <x:v>4</x:v>
      </x:c>
      <x:c r="BQ749" s="115" t="n">
        <x:v>3</x:v>
      </x:c>
      <x:c r="BR749" s="115" t="n">
        <x:v>4</x:v>
      </x:c>
      <x:c r="BS749" s="115" t="n">
        <x:v>2</x:v>
      </x:c>
      <x:c r="BT749" s="115" t="n">
        <x:v>4</x:v>
      </x:c>
      <x:c r="BU749" s="115" t="n">
        <x:v>5</x:v>
      </x:c>
      <x:c r="BV749" s="115" t="n">
        <x:v>4</x:v>
      </x:c>
      <x:c r="BW749" s="115" t="n">
        <x:v>5</x:v>
      </x:c>
      <x:c r="BX749" s="115" t="n">
        <x:v>3</x:v>
      </x:c>
      <x:c r="BY749" s="115" t="n">
        <x:v>5</x:v>
      </x:c>
      <x:c r="BZ749" s="115" t="n">
        <x:v>3</x:v>
      </x:c>
      <x:c r="CA749" s="115" t="n">
        <x:v>4</x:v>
      </x:c>
      <x:c r="CB749" s="116" t="n">
        <x:v>3</x:v>
      </x:c>
      <x:c r="CC749" s="141" t="n">
        <x:f>IF(COUNT(G749:P749)=0,"",AVERAGE(G749:P749)*4)</x:f>
        <x:v>15.2</x:v>
      </x:c>
      <x:c r="CD749" s="178" t="n">
        <x:f>IF(COUNT(Q749:Z749)=0,"",AVERAGE(Q749:Z749)*4)</x:f>
        <x:v>16</x:v>
      </x:c>
      <x:c r="CE749" s="178" t="n">
        <x:f>IF(COUNT(AA749:AJ749)=0,"",AVERAGE(AA749:AJ749)*4)</x:f>
        <x:v>15.2</x:v>
      </x:c>
      <x:c r="CF749" s="178" t="n">
        <x:f>IF(COUNT(AK749:AR749)=0,"",AVERAGE(AK749:AR749)*4)</x:f>
        <x:v>16</x:v>
      </x:c>
      <x:c r="CG749" s="178" t="n">
        <x:f>IF(COUNT(AS749:AY749)=0,"",AVERAGE(AS749:AY749)*4)</x:f>
        <x:v>14.285714285714286</x:v>
      </x:c>
      <x:c r="CH749" s="178" t="n">
        <x:f>IF(COUNT(AZ749:BG749)=0,"",AVERAGE(AZ749:BG749)*4)</x:f>
        <x:v>15.5</x:v>
      </x:c>
      <x:c r="CI749" s="178" t="n">
        <x:f>IF(COUNT(BH749:BN749)=0,"",AVERAGE(BH749:BN749)*4)</x:f>
        <x:v>16</x:v>
      </x:c>
      <x:c r="CJ749" s="178" t="n">
        <x:f>IF(COUNT(BO749:BU749)=0,"",AVERAGE(BO749:BU749)*4)</x:f>
        <x:v>14.285714285714286</x:v>
      </x:c>
      <x:c r="CK749" s="178" t="n">
        <x:f>IF(COUNT(BV749:CB749)=0,"",AVERAGE(BV749:CB749)*4)</x:f>
        <x:v>15.428571428571429</x:v>
      </x:c>
      <x:c r="CL749" s="178" t="n">
        <x:f>IF(C749="","",IF(COUNT(G749:CB749)&lt;74,"",(CC749*'تنظیمات وزن‌دهی'!$C$5+CD749*'تنظیمات وزن‌دهی'!$C$6+CE749*'تنظیمات وزن‌دهی'!$C$7+CF749*'تنظیمات وزن‌دهی'!$C$8+CG749*'تنظیمات وزن‌دهی'!$C$9+CH749*'تنظیمات وزن‌دهی'!$C$10+CI749*'تنظیمات وزن‌دهی'!$C$11+CJ749*'تنظیمات وزن‌دهی'!$C$12+CK749*'تنظیمات وزن‌دهی'!$C$13)/100))</x:f>
        <x:v>15.417142857142858</x:v>
      </x:c>
      <x:c r="CM749" s="178" t="str">
        <x:f>IF(C749="","",IF(COUNT(G749:CB749)=0,"",IF(COUNT(G749:CB749)&lt;74,"موقت - اطلاعات ناقص",IF(CL749&gt;=17,"عالی",IF(CL749&gt;=14,"خوب",IF(CL749&gt;=10,"متوسط","ضعیف"))))))</x:f>
        <x:v>خوب</x:v>
      </x:c>
      <x:c r="CN749" s="178" t="n">
        <x:v>1</x:v>
      </x:c>
      <x:c r="CO749" s="142" t="n">
        <x:f>IF(C749="","",COUNT(G749:CB749)/74)</x:f>
        <x:v>1</x:v>
      </x:c>
      <x:c r="CP749" s="245" t="str">
        <x:v>داده نمونه کامل برای ماه تیر - دانش‌آموز شماره 63</x:v>
      </x:c>
    </x:row>
    <x:row r="750">
      <x:c r="A750" s="165" t="n">
        <x:v>746</x:v>
      </x:c>
      <x:c r="B750" s="233" t="str">
        <x:v>مرداد</x:v>
      </x:c>
      <x:c r="C750" s="233" t="n">
        <x:f>IF('دانش‌آموزان'!E67="","",'دانش‌آموزان'!B67)</x:f>
        <x:v>63</x:v>
      </x:c>
      <x:c r="D750" s="233" t="str">
        <x:f>IF('دانش‌آموزان'!C67="","",'دانش‌آموزان'!C67)</x:f>
        <x:v>4000000632</x:v>
      </x:c>
      <x:c r="E750" s="233" t="str">
        <x:f>IF('دانش‌آموزان'!E67="","",'دانش‌آموزان'!E67&amp;" "&amp;'دانش‌آموزان'!F67)</x:f>
        <x:v>امیرحسین طاهری</x:v>
      </x:c>
      <x:c r="F750" s="166" t="str">
        <x:f>IF('دانش‌آموزان'!I67="","",'دانش‌آموزان'!I67)</x:f>
        <x:v>sample-7-c</x:v>
      </x:c>
      <x:c r="G750" s="114"/>
      <x:c r="H750" s="115"/>
      <x:c r="I750" s="115"/>
      <x:c r="J750" s="115"/>
      <x:c r="K750" s="115"/>
      <x:c r="L750" s="115"/>
      <x:c r="M750" s="115"/>
      <x:c r="N750" s="115"/>
      <x:c r="O750" s="115"/>
      <x:c r="P750" s="115"/>
      <x:c r="Q750" s="115"/>
      <x:c r="R750" s="115"/>
      <x:c r="S750" s="115"/>
      <x:c r="T750" s="115"/>
      <x:c r="U750" s="115"/>
      <x:c r="V750" s="115"/>
      <x:c r="W750" s="115"/>
      <x:c r="X750" s="115"/>
      <x:c r="Y750" s="115"/>
      <x:c r="Z750" s="115"/>
      <x:c r="AA750" s="115"/>
      <x:c r="AB750" s="115"/>
      <x:c r="AC750" s="115"/>
      <x:c r="AD750" s="115"/>
      <x:c r="AE750" s="115"/>
      <x:c r="AF750" s="115"/>
      <x:c r="AG750" s="115"/>
      <x:c r="AH750" s="115"/>
      <x:c r="AI750" s="115"/>
      <x:c r="AJ750" s="115"/>
      <x:c r="AK750" s="115"/>
      <x:c r="AL750" s="115"/>
      <x:c r="AM750" s="115"/>
      <x:c r="AN750" s="115"/>
      <x:c r="AO750" s="115"/>
      <x:c r="AP750" s="115"/>
      <x:c r="AQ750" s="115"/>
      <x:c r="AR750" s="115"/>
      <x:c r="AS750" s="115"/>
      <x:c r="AT750" s="115"/>
      <x:c r="AU750" s="115"/>
      <x:c r="AV750" s="115"/>
      <x:c r="AW750" s="115"/>
      <x:c r="AX750" s="115"/>
      <x:c r="AY750" s="115"/>
      <x:c r="AZ750" s="115"/>
      <x:c r="BA750" s="115"/>
      <x:c r="BB750" s="115"/>
      <x:c r="BC750" s="115"/>
      <x:c r="BD750" s="115"/>
      <x:c r="BE750" s="115"/>
      <x:c r="BF750" s="115"/>
      <x:c r="BG750" s="115"/>
      <x:c r="BH750" s="115"/>
      <x:c r="BI750" s="115"/>
      <x:c r="BJ750" s="115"/>
      <x:c r="BK750" s="115"/>
      <x:c r="BL750" s="115"/>
      <x:c r="BM750" s="115"/>
      <x:c r="BN750" s="115"/>
      <x:c r="BO750" s="115"/>
      <x:c r="BP750" s="115"/>
      <x:c r="BQ750" s="115"/>
      <x:c r="BR750" s="115"/>
      <x:c r="BS750" s="115"/>
      <x:c r="BT750" s="115"/>
      <x:c r="BU750" s="115"/>
      <x:c r="BV750" s="115"/>
      <x:c r="BW750" s="115"/>
      <x:c r="BX750" s="115"/>
      <x:c r="BY750" s="115"/>
      <x:c r="BZ750" s="115"/>
      <x:c r="CA750" s="115"/>
      <x:c r="CB750" s="116"/>
      <x:c r="CC750" s="141" t="str">
        <x:f>IF(COUNT(G750:P750)=0,"",AVERAGE(G750:P750)*4)</x:f>
      </x:c>
      <x:c r="CD750" s="178" t="str">
        <x:f>IF(COUNT(Q750:Z750)=0,"",AVERAGE(Q750:Z750)*4)</x:f>
      </x:c>
      <x:c r="CE750" s="178" t="str">
        <x:f>IF(COUNT(AA750:AJ750)=0,"",AVERAGE(AA750:AJ750)*4)</x:f>
      </x:c>
      <x:c r="CF750" s="178" t="str">
        <x:f>IF(COUNT(AK750:AR750)=0,"",AVERAGE(AK750:AR750)*4)</x:f>
      </x:c>
      <x:c r="CG750" s="178" t="str">
        <x:f>IF(COUNT(AS750:AY750)=0,"",AVERAGE(AS750:AY750)*4)</x:f>
      </x:c>
      <x:c r="CH750" s="178" t="str">
        <x:f>IF(COUNT(AZ750:BG750)=0,"",AVERAGE(AZ750:BG750)*4)</x:f>
      </x:c>
      <x:c r="CI750" s="178" t="str">
        <x:f>IF(COUNT(BH750:BN750)=0,"",AVERAGE(BH750:BN750)*4)</x:f>
      </x:c>
      <x:c r="CJ750" s="178" t="str">
        <x:f>IF(COUNT(BO750:BU750)=0,"",AVERAGE(BO750:BU750)*4)</x:f>
      </x:c>
      <x:c r="CK750" s="178" t="str">
        <x:f>IF(COUNT(BV750:CB750)=0,"",AVERAGE(BV750:CB750)*4)</x:f>
      </x:c>
      <x:c r="CL750" s="178" t="str">
        <x:f>IF(C750="","",IF(COUNT(G750:CB750)&lt;74,"",(CC750*'تنظیمات وزن‌دهی'!$C$5+CD750*'تنظیمات وزن‌دهی'!$C$6+CE750*'تنظیمات وزن‌دهی'!$C$7+CF750*'تنظیمات وزن‌دهی'!$C$8+CG750*'تنظیمات وزن‌دهی'!$C$9+CH750*'تنظیمات وزن‌دهی'!$C$10+CI750*'تنظیمات وزن‌دهی'!$C$11+CJ750*'تنظیمات وزن‌دهی'!$C$12+CK750*'تنظیمات وزن‌دهی'!$C$13)/100))</x:f>
      </x:c>
      <x:c r="CM750" s="178" t="str">
        <x:f>IF(C750="","",IF(COUNT(G750:CB750)=0,"",IF(COUNT(G750:CB750)&lt;74,"موقت - اطلاعات ناقص",IF(CL750&gt;=17,"عالی",IF(CL750&gt;=14,"خوب",IF(CL750&gt;=10,"متوسط","ضعیف"))))))</x:f>
      </x:c>
      <x:c r="CN750" s="178" t="n">
        <x:v>2</x:v>
      </x:c>
      <x:c r="CO750" s="142" t="n">
        <x:f>IF(C750="","",COUNT(G750:CB750)/74)</x:f>
        <x:v>0</x:v>
      </x:c>
      <x:c r="CP750" s="245"/>
    </x:row>
    <x:row r="751">
      <x:c r="A751" s="165" t="n">
        <x:v>747</x:v>
      </x:c>
      <x:c r="B751" s="233" t="str">
        <x:v>شهریور</x:v>
      </x:c>
      <x:c r="C751" s="233" t="n">
        <x:f>IF('دانش‌آموزان'!E67="","",'دانش‌آموزان'!B67)</x:f>
        <x:v>63</x:v>
      </x:c>
      <x:c r="D751" s="233" t="str">
        <x:f>IF('دانش‌آموزان'!C67="","",'دانش‌آموزان'!C67)</x:f>
        <x:v>4000000632</x:v>
      </x:c>
      <x:c r="E751" s="233" t="str">
        <x:f>IF('دانش‌آموزان'!E67="","",'دانش‌آموزان'!E67&amp;" "&amp;'دانش‌آموزان'!F67)</x:f>
        <x:v>امیرحسین طاهری</x:v>
      </x:c>
      <x:c r="F751" s="166" t="str">
        <x:f>IF('دانش‌آموزان'!I67="","",'دانش‌آموزان'!I67)</x:f>
        <x:v>sample-7-c</x:v>
      </x:c>
      <x:c r="G751" s="114"/>
      <x:c r="H751" s="115"/>
      <x:c r="I751" s="115"/>
      <x:c r="J751" s="115"/>
      <x:c r="K751" s="115"/>
      <x:c r="L751" s="115"/>
      <x:c r="M751" s="115"/>
      <x:c r="N751" s="115"/>
      <x:c r="O751" s="115"/>
      <x:c r="P751" s="115"/>
      <x:c r="Q751" s="115"/>
      <x:c r="R751" s="115"/>
      <x:c r="S751" s="115"/>
      <x:c r="T751" s="115"/>
      <x:c r="U751" s="115"/>
      <x:c r="V751" s="115"/>
      <x:c r="W751" s="115"/>
      <x:c r="X751" s="115"/>
      <x:c r="Y751" s="115"/>
      <x:c r="Z751" s="115"/>
      <x:c r="AA751" s="115"/>
      <x:c r="AB751" s="115"/>
      <x:c r="AC751" s="115"/>
      <x:c r="AD751" s="115"/>
      <x:c r="AE751" s="115"/>
      <x:c r="AF751" s="115"/>
      <x:c r="AG751" s="115"/>
      <x:c r="AH751" s="115"/>
      <x:c r="AI751" s="115"/>
      <x:c r="AJ751" s="115"/>
      <x:c r="AK751" s="115"/>
      <x:c r="AL751" s="115"/>
      <x:c r="AM751" s="115"/>
      <x:c r="AN751" s="115"/>
      <x:c r="AO751" s="115"/>
      <x:c r="AP751" s="115"/>
      <x:c r="AQ751" s="115"/>
      <x:c r="AR751" s="115"/>
      <x:c r="AS751" s="115"/>
      <x:c r="AT751" s="115"/>
      <x:c r="AU751" s="115"/>
      <x:c r="AV751" s="115"/>
      <x:c r="AW751" s="115"/>
      <x:c r="AX751" s="115"/>
      <x:c r="AY751" s="115"/>
      <x:c r="AZ751" s="115"/>
      <x:c r="BA751" s="115"/>
      <x:c r="BB751" s="115"/>
      <x:c r="BC751" s="115"/>
      <x:c r="BD751" s="115"/>
      <x:c r="BE751" s="115"/>
      <x:c r="BF751" s="115"/>
      <x:c r="BG751" s="115"/>
      <x:c r="BH751" s="115"/>
      <x:c r="BI751" s="115"/>
      <x:c r="BJ751" s="115"/>
      <x:c r="BK751" s="115"/>
      <x:c r="BL751" s="115"/>
      <x:c r="BM751" s="115"/>
      <x:c r="BN751" s="115"/>
      <x:c r="BO751" s="115"/>
      <x:c r="BP751" s="115"/>
      <x:c r="BQ751" s="115"/>
      <x:c r="BR751" s="115"/>
      <x:c r="BS751" s="115"/>
      <x:c r="BT751" s="115"/>
      <x:c r="BU751" s="115"/>
      <x:c r="BV751" s="115"/>
      <x:c r="BW751" s="115"/>
      <x:c r="BX751" s="115"/>
      <x:c r="BY751" s="115"/>
      <x:c r="BZ751" s="115"/>
      <x:c r="CA751" s="115"/>
      <x:c r="CB751" s="116"/>
      <x:c r="CC751" s="141" t="str">
        <x:f>IF(COUNT(G751:P751)=0,"",AVERAGE(G751:P751)*4)</x:f>
      </x:c>
      <x:c r="CD751" s="178" t="str">
        <x:f>IF(COUNT(Q751:Z751)=0,"",AVERAGE(Q751:Z751)*4)</x:f>
      </x:c>
      <x:c r="CE751" s="178" t="str">
        <x:f>IF(COUNT(AA751:AJ751)=0,"",AVERAGE(AA751:AJ751)*4)</x:f>
      </x:c>
      <x:c r="CF751" s="178" t="str">
        <x:f>IF(COUNT(AK751:AR751)=0,"",AVERAGE(AK751:AR751)*4)</x:f>
      </x:c>
      <x:c r="CG751" s="178" t="str">
        <x:f>IF(COUNT(AS751:AY751)=0,"",AVERAGE(AS751:AY751)*4)</x:f>
      </x:c>
      <x:c r="CH751" s="178" t="str">
        <x:f>IF(COUNT(AZ751:BG751)=0,"",AVERAGE(AZ751:BG751)*4)</x:f>
      </x:c>
      <x:c r="CI751" s="178" t="str">
        <x:f>IF(COUNT(BH751:BN751)=0,"",AVERAGE(BH751:BN751)*4)</x:f>
      </x:c>
      <x:c r="CJ751" s="178" t="str">
        <x:f>IF(COUNT(BO751:BU751)=0,"",AVERAGE(BO751:BU751)*4)</x:f>
      </x:c>
      <x:c r="CK751" s="178" t="str">
        <x:f>IF(COUNT(BV751:CB751)=0,"",AVERAGE(BV751:CB751)*4)</x:f>
      </x:c>
      <x:c r="CL751" s="178" t="str">
        <x:f>IF(C751="","",IF(COUNT(G751:CB751)&lt;74,"",(CC751*'تنظیمات وزن‌دهی'!$C$5+CD751*'تنظیمات وزن‌دهی'!$C$6+CE751*'تنظیمات وزن‌دهی'!$C$7+CF751*'تنظیمات وزن‌دهی'!$C$8+CG751*'تنظیمات وزن‌دهی'!$C$9+CH751*'تنظیمات وزن‌دهی'!$C$10+CI751*'تنظیمات وزن‌دهی'!$C$11+CJ751*'تنظیمات وزن‌دهی'!$C$12+CK751*'تنظیمات وزن‌دهی'!$C$13)/100))</x:f>
      </x:c>
      <x:c r="CM751" s="178" t="str">
        <x:f>IF(C751="","",IF(COUNT(G751:CB751)=0,"",IF(COUNT(G751:CB751)&lt;74,"موقت - اطلاعات ناقص",IF(CL751&gt;=17,"عالی",IF(CL751&gt;=14,"خوب",IF(CL751&gt;=10,"متوسط","ضعیف"))))))</x:f>
      </x:c>
      <x:c r="CN751" s="178" t="n">
        <x:v>3</x:v>
      </x:c>
      <x:c r="CO751" s="142" t="n">
        <x:f>IF(C751="","",COUNT(G751:CB751)/74)</x:f>
        <x:v>0</x:v>
      </x:c>
      <x:c r="CP751" s="245"/>
    </x:row>
    <x:row r="752">
      <x:c r="A752" s="165" t="n">
        <x:v>748</x:v>
      </x:c>
      <x:c r="B752" s="233" t="str">
        <x:v>مهر</x:v>
      </x:c>
      <x:c r="C752" s="233" t="n">
        <x:f>IF('دانش‌آموزان'!E67="","",'دانش‌آموزان'!B67)</x:f>
        <x:v>63</x:v>
      </x:c>
      <x:c r="D752" s="233" t="str">
        <x:f>IF('دانش‌آموزان'!C67="","",'دانش‌آموزان'!C67)</x:f>
        <x:v>4000000632</x:v>
      </x:c>
      <x:c r="E752" s="233" t="str">
        <x:f>IF('دانش‌آموزان'!E67="","",'دانش‌آموزان'!E67&amp;" "&amp;'دانش‌آموزان'!F67)</x:f>
        <x:v>امیرحسین طاهری</x:v>
      </x:c>
      <x:c r="F752" s="166" t="str">
        <x:f>IF('دانش‌آموزان'!I67="","",'دانش‌آموزان'!I67)</x:f>
        <x:v>sample-7-c</x:v>
      </x:c>
      <x:c r="G752" s="114"/>
      <x:c r="H752" s="115"/>
      <x:c r="I752" s="115"/>
      <x:c r="J752" s="115"/>
      <x:c r="K752" s="115"/>
      <x:c r="L752" s="115"/>
      <x:c r="M752" s="115"/>
      <x:c r="N752" s="115"/>
      <x:c r="O752" s="115"/>
      <x:c r="P752" s="115"/>
      <x:c r="Q752" s="115"/>
      <x:c r="R752" s="115"/>
      <x:c r="S752" s="115"/>
      <x:c r="T752" s="115"/>
      <x:c r="U752" s="115"/>
      <x:c r="V752" s="115"/>
      <x:c r="W752" s="115"/>
      <x:c r="X752" s="115"/>
      <x:c r="Y752" s="115"/>
      <x:c r="Z752" s="115"/>
      <x:c r="AA752" s="115"/>
      <x:c r="AB752" s="115"/>
      <x:c r="AC752" s="115"/>
      <x:c r="AD752" s="115"/>
      <x:c r="AE752" s="115"/>
      <x:c r="AF752" s="115"/>
      <x:c r="AG752" s="115"/>
      <x:c r="AH752" s="115"/>
      <x:c r="AI752" s="115"/>
      <x:c r="AJ752" s="115"/>
      <x:c r="AK752" s="115"/>
      <x:c r="AL752" s="115"/>
      <x:c r="AM752" s="115"/>
      <x:c r="AN752" s="115"/>
      <x:c r="AO752" s="115"/>
      <x:c r="AP752" s="115"/>
      <x:c r="AQ752" s="115"/>
      <x:c r="AR752" s="115"/>
      <x:c r="AS752" s="115"/>
      <x:c r="AT752" s="115"/>
      <x:c r="AU752" s="115"/>
      <x:c r="AV752" s="115"/>
      <x:c r="AW752" s="115"/>
      <x:c r="AX752" s="115"/>
      <x:c r="AY752" s="115"/>
      <x:c r="AZ752" s="115"/>
      <x:c r="BA752" s="115"/>
      <x:c r="BB752" s="115"/>
      <x:c r="BC752" s="115"/>
      <x:c r="BD752" s="115"/>
      <x:c r="BE752" s="115"/>
      <x:c r="BF752" s="115"/>
      <x:c r="BG752" s="115"/>
      <x:c r="BH752" s="115"/>
      <x:c r="BI752" s="115"/>
      <x:c r="BJ752" s="115"/>
      <x:c r="BK752" s="115"/>
      <x:c r="BL752" s="115"/>
      <x:c r="BM752" s="115"/>
      <x:c r="BN752" s="115"/>
      <x:c r="BO752" s="115"/>
      <x:c r="BP752" s="115"/>
      <x:c r="BQ752" s="115"/>
      <x:c r="BR752" s="115"/>
      <x:c r="BS752" s="115"/>
      <x:c r="BT752" s="115"/>
      <x:c r="BU752" s="115"/>
      <x:c r="BV752" s="115"/>
      <x:c r="BW752" s="115"/>
      <x:c r="BX752" s="115"/>
      <x:c r="BY752" s="115"/>
      <x:c r="BZ752" s="115"/>
      <x:c r="CA752" s="115"/>
      <x:c r="CB752" s="116"/>
      <x:c r="CC752" s="141" t="str">
        <x:f>IF(COUNT(G752:P752)=0,"",AVERAGE(G752:P752)*4)</x:f>
      </x:c>
      <x:c r="CD752" s="178" t="str">
        <x:f>IF(COUNT(Q752:Z752)=0,"",AVERAGE(Q752:Z752)*4)</x:f>
      </x:c>
      <x:c r="CE752" s="178" t="str">
        <x:f>IF(COUNT(AA752:AJ752)=0,"",AVERAGE(AA752:AJ752)*4)</x:f>
      </x:c>
      <x:c r="CF752" s="178" t="str">
        <x:f>IF(COUNT(AK752:AR752)=0,"",AVERAGE(AK752:AR752)*4)</x:f>
      </x:c>
      <x:c r="CG752" s="178" t="str">
        <x:f>IF(COUNT(AS752:AY752)=0,"",AVERAGE(AS752:AY752)*4)</x:f>
      </x:c>
      <x:c r="CH752" s="178" t="str">
        <x:f>IF(COUNT(AZ752:BG752)=0,"",AVERAGE(AZ752:BG752)*4)</x:f>
      </x:c>
      <x:c r="CI752" s="178" t="str">
        <x:f>IF(COUNT(BH752:BN752)=0,"",AVERAGE(BH752:BN752)*4)</x:f>
      </x:c>
      <x:c r="CJ752" s="178" t="str">
        <x:f>IF(COUNT(BO752:BU752)=0,"",AVERAGE(BO752:BU752)*4)</x:f>
      </x:c>
      <x:c r="CK752" s="178" t="str">
        <x:f>IF(COUNT(BV752:CB752)=0,"",AVERAGE(BV752:CB752)*4)</x:f>
      </x:c>
      <x:c r="CL752" s="178" t="str">
        <x:f>IF(C752="","",IF(COUNT(G752:CB752)&lt;74,"",(CC752*'تنظیمات وزن‌دهی'!$C$5+CD752*'تنظیمات وزن‌دهی'!$C$6+CE752*'تنظیمات وزن‌دهی'!$C$7+CF752*'تنظیمات وزن‌دهی'!$C$8+CG752*'تنظیمات وزن‌دهی'!$C$9+CH752*'تنظیمات وزن‌دهی'!$C$10+CI752*'تنظیمات وزن‌دهی'!$C$11+CJ752*'تنظیمات وزن‌دهی'!$C$12+CK752*'تنظیمات وزن‌دهی'!$C$13)/100))</x:f>
      </x:c>
      <x:c r="CM752" s="178" t="str">
        <x:f>IF(C752="","",IF(COUNT(G752:CB752)=0,"",IF(COUNT(G752:CB752)&lt;74,"موقت - اطلاعات ناقص",IF(CL752&gt;=17,"عالی",IF(CL752&gt;=14,"خوب",IF(CL752&gt;=10,"متوسط","ضعیف"))))))</x:f>
      </x:c>
      <x:c r="CN752" s="178" t="n">
        <x:v>4</x:v>
      </x:c>
      <x:c r="CO752" s="142" t="n">
        <x:f>IF(C752="","",COUNT(G752:CB752)/74)</x:f>
        <x:v>0</x:v>
      </x:c>
      <x:c r="CP752" s="245"/>
    </x:row>
    <x:row r="753">
      <x:c r="A753" s="165" t="n">
        <x:v>749</x:v>
      </x:c>
      <x:c r="B753" s="233" t="str">
        <x:v>آبان</x:v>
      </x:c>
      <x:c r="C753" s="233" t="n">
        <x:f>IF('دانش‌آموزان'!E67="","",'دانش‌آموزان'!B67)</x:f>
        <x:v>63</x:v>
      </x:c>
      <x:c r="D753" s="233" t="str">
        <x:f>IF('دانش‌آموزان'!C67="","",'دانش‌آموزان'!C67)</x:f>
        <x:v>4000000632</x:v>
      </x:c>
      <x:c r="E753" s="233" t="str">
        <x:f>IF('دانش‌آموزان'!E67="","",'دانش‌آموزان'!E67&amp;" "&amp;'دانش‌آموزان'!F67)</x:f>
        <x:v>امیرحسین طاهری</x:v>
      </x:c>
      <x:c r="F753" s="166" t="str">
        <x:f>IF('دانش‌آموزان'!I67="","",'دانش‌آموزان'!I67)</x:f>
        <x:v>sample-7-c</x:v>
      </x:c>
      <x:c r="G753" s="114"/>
      <x:c r="H753" s="115"/>
      <x:c r="I753" s="115"/>
      <x:c r="J753" s="115"/>
      <x:c r="K753" s="115"/>
      <x:c r="L753" s="115"/>
      <x:c r="M753" s="115"/>
      <x:c r="N753" s="115"/>
      <x:c r="O753" s="115"/>
      <x:c r="P753" s="115"/>
      <x:c r="Q753" s="115"/>
      <x:c r="R753" s="115"/>
      <x:c r="S753" s="115"/>
      <x:c r="T753" s="115"/>
      <x:c r="U753" s="115"/>
      <x:c r="V753" s="115"/>
      <x:c r="W753" s="115"/>
      <x:c r="X753" s="115"/>
      <x:c r="Y753" s="115"/>
      <x:c r="Z753" s="115"/>
      <x:c r="AA753" s="115"/>
      <x:c r="AB753" s="115"/>
      <x:c r="AC753" s="115"/>
      <x:c r="AD753" s="115"/>
      <x:c r="AE753" s="115"/>
      <x:c r="AF753" s="115"/>
      <x:c r="AG753" s="115"/>
      <x:c r="AH753" s="115"/>
      <x:c r="AI753" s="115"/>
      <x:c r="AJ753" s="115"/>
      <x:c r="AK753" s="115"/>
      <x:c r="AL753" s="115"/>
      <x:c r="AM753" s="115"/>
      <x:c r="AN753" s="115"/>
      <x:c r="AO753" s="115"/>
      <x:c r="AP753" s="115"/>
      <x:c r="AQ753" s="115"/>
      <x:c r="AR753" s="115"/>
      <x:c r="AS753" s="115"/>
      <x:c r="AT753" s="115"/>
      <x:c r="AU753" s="115"/>
      <x:c r="AV753" s="115"/>
      <x:c r="AW753" s="115"/>
      <x:c r="AX753" s="115"/>
      <x:c r="AY753" s="115"/>
      <x:c r="AZ753" s="115"/>
      <x:c r="BA753" s="115"/>
      <x:c r="BB753" s="115"/>
      <x:c r="BC753" s="115"/>
      <x:c r="BD753" s="115"/>
      <x:c r="BE753" s="115"/>
      <x:c r="BF753" s="115"/>
      <x:c r="BG753" s="115"/>
      <x:c r="BH753" s="115"/>
      <x:c r="BI753" s="115"/>
      <x:c r="BJ753" s="115"/>
      <x:c r="BK753" s="115"/>
      <x:c r="BL753" s="115"/>
      <x:c r="BM753" s="115"/>
      <x:c r="BN753" s="115"/>
      <x:c r="BO753" s="115"/>
      <x:c r="BP753" s="115"/>
      <x:c r="BQ753" s="115"/>
      <x:c r="BR753" s="115"/>
      <x:c r="BS753" s="115"/>
      <x:c r="BT753" s="115"/>
      <x:c r="BU753" s="115"/>
      <x:c r="BV753" s="115"/>
      <x:c r="BW753" s="115"/>
      <x:c r="BX753" s="115"/>
      <x:c r="BY753" s="115"/>
      <x:c r="BZ753" s="115"/>
      <x:c r="CA753" s="115"/>
      <x:c r="CB753" s="116"/>
      <x:c r="CC753" s="141" t="str">
        <x:f>IF(COUNT(G753:P753)=0,"",AVERAGE(G753:P753)*4)</x:f>
      </x:c>
      <x:c r="CD753" s="178" t="str">
        <x:f>IF(COUNT(Q753:Z753)=0,"",AVERAGE(Q753:Z753)*4)</x:f>
      </x:c>
      <x:c r="CE753" s="178" t="str">
        <x:f>IF(COUNT(AA753:AJ753)=0,"",AVERAGE(AA753:AJ753)*4)</x:f>
      </x:c>
      <x:c r="CF753" s="178" t="str">
        <x:f>IF(COUNT(AK753:AR753)=0,"",AVERAGE(AK753:AR753)*4)</x:f>
      </x:c>
      <x:c r="CG753" s="178" t="str">
        <x:f>IF(COUNT(AS753:AY753)=0,"",AVERAGE(AS753:AY753)*4)</x:f>
      </x:c>
      <x:c r="CH753" s="178" t="str">
        <x:f>IF(COUNT(AZ753:BG753)=0,"",AVERAGE(AZ753:BG753)*4)</x:f>
      </x:c>
      <x:c r="CI753" s="178" t="str">
        <x:f>IF(COUNT(BH753:BN753)=0,"",AVERAGE(BH753:BN753)*4)</x:f>
      </x:c>
      <x:c r="CJ753" s="178" t="str">
        <x:f>IF(COUNT(BO753:BU753)=0,"",AVERAGE(BO753:BU753)*4)</x:f>
      </x:c>
      <x:c r="CK753" s="178" t="str">
        <x:f>IF(COUNT(BV753:CB753)=0,"",AVERAGE(BV753:CB753)*4)</x:f>
      </x:c>
      <x:c r="CL753" s="178" t="str">
        <x:f>IF(C753="","",IF(COUNT(G753:CB753)&lt;74,"",(CC753*'تنظیمات وزن‌دهی'!$C$5+CD753*'تنظیمات وزن‌دهی'!$C$6+CE753*'تنظیمات وزن‌دهی'!$C$7+CF753*'تنظیمات وزن‌دهی'!$C$8+CG753*'تنظیمات وزن‌دهی'!$C$9+CH753*'تنظیمات وزن‌دهی'!$C$10+CI753*'تنظیمات وزن‌دهی'!$C$11+CJ753*'تنظیمات وزن‌دهی'!$C$12+CK753*'تنظیمات وزن‌دهی'!$C$13)/100))</x:f>
      </x:c>
      <x:c r="CM753" s="178" t="str">
        <x:f>IF(C753="","",IF(COUNT(G753:CB753)=0,"",IF(COUNT(G753:CB753)&lt;74,"موقت - اطلاعات ناقص",IF(CL753&gt;=17,"عالی",IF(CL753&gt;=14,"خوب",IF(CL753&gt;=10,"متوسط","ضعیف"))))))</x:f>
      </x:c>
      <x:c r="CN753" s="178" t="n">
        <x:v>5</x:v>
      </x:c>
      <x:c r="CO753" s="142" t="n">
        <x:f>IF(C753="","",COUNT(G753:CB753)/74)</x:f>
        <x:v>0</x:v>
      </x:c>
      <x:c r="CP753" s="245"/>
    </x:row>
    <x:row r="754">
      <x:c r="A754" s="165" t="n">
        <x:v>750</x:v>
      </x:c>
      <x:c r="B754" s="233" t="str">
        <x:v>آذر</x:v>
      </x:c>
      <x:c r="C754" s="233" t="n">
        <x:f>IF('دانش‌آموزان'!E67="","",'دانش‌آموزان'!B67)</x:f>
        <x:v>63</x:v>
      </x:c>
      <x:c r="D754" s="233" t="str">
        <x:f>IF('دانش‌آموزان'!C67="","",'دانش‌آموزان'!C67)</x:f>
        <x:v>4000000632</x:v>
      </x:c>
      <x:c r="E754" s="233" t="str">
        <x:f>IF('دانش‌آموزان'!E67="","",'دانش‌آموزان'!E67&amp;" "&amp;'دانش‌آموزان'!F67)</x:f>
        <x:v>امیرحسین طاهری</x:v>
      </x:c>
      <x:c r="F754" s="166" t="str">
        <x:f>IF('دانش‌آموزان'!I67="","",'دانش‌آموزان'!I67)</x:f>
        <x:v>sample-7-c</x:v>
      </x:c>
      <x:c r="G754" s="114"/>
      <x:c r="H754" s="115"/>
      <x:c r="I754" s="115"/>
      <x:c r="J754" s="115"/>
      <x:c r="K754" s="115"/>
      <x:c r="L754" s="115"/>
      <x:c r="M754" s="115"/>
      <x:c r="N754" s="115"/>
      <x:c r="O754" s="115"/>
      <x:c r="P754" s="115"/>
      <x:c r="Q754" s="115"/>
      <x:c r="R754" s="115"/>
      <x:c r="S754" s="115"/>
      <x:c r="T754" s="115"/>
      <x:c r="U754" s="115"/>
      <x:c r="V754" s="115"/>
      <x:c r="W754" s="115"/>
      <x:c r="X754" s="115"/>
      <x:c r="Y754" s="115"/>
      <x:c r="Z754" s="115"/>
      <x:c r="AA754" s="115"/>
      <x:c r="AB754" s="115"/>
      <x:c r="AC754" s="115"/>
      <x:c r="AD754" s="115"/>
      <x:c r="AE754" s="115"/>
      <x:c r="AF754" s="115"/>
      <x:c r="AG754" s="115"/>
      <x:c r="AH754" s="115"/>
      <x:c r="AI754" s="115"/>
      <x:c r="AJ754" s="115"/>
      <x:c r="AK754" s="115"/>
      <x:c r="AL754" s="115"/>
      <x:c r="AM754" s="115"/>
      <x:c r="AN754" s="115"/>
      <x:c r="AO754" s="115"/>
      <x:c r="AP754" s="115"/>
      <x:c r="AQ754" s="115"/>
      <x:c r="AR754" s="115"/>
      <x:c r="AS754" s="115"/>
      <x:c r="AT754" s="115"/>
      <x:c r="AU754" s="115"/>
      <x:c r="AV754" s="115"/>
      <x:c r="AW754" s="115"/>
      <x:c r="AX754" s="115"/>
      <x:c r="AY754" s="115"/>
      <x:c r="AZ754" s="115"/>
      <x:c r="BA754" s="115"/>
      <x:c r="BB754" s="115"/>
      <x:c r="BC754" s="115"/>
      <x:c r="BD754" s="115"/>
      <x:c r="BE754" s="115"/>
      <x:c r="BF754" s="115"/>
      <x:c r="BG754" s="115"/>
      <x:c r="BH754" s="115"/>
      <x:c r="BI754" s="115"/>
      <x:c r="BJ754" s="115"/>
      <x:c r="BK754" s="115"/>
      <x:c r="BL754" s="115"/>
      <x:c r="BM754" s="115"/>
      <x:c r="BN754" s="115"/>
      <x:c r="BO754" s="115"/>
      <x:c r="BP754" s="115"/>
      <x:c r="BQ754" s="115"/>
      <x:c r="BR754" s="115"/>
      <x:c r="BS754" s="115"/>
      <x:c r="BT754" s="115"/>
      <x:c r="BU754" s="115"/>
      <x:c r="BV754" s="115"/>
      <x:c r="BW754" s="115"/>
      <x:c r="BX754" s="115"/>
      <x:c r="BY754" s="115"/>
      <x:c r="BZ754" s="115"/>
      <x:c r="CA754" s="115"/>
      <x:c r="CB754" s="116"/>
      <x:c r="CC754" s="141" t="str">
        <x:f>IF(COUNT(G754:P754)=0,"",AVERAGE(G754:P754)*4)</x:f>
      </x:c>
      <x:c r="CD754" s="178" t="str">
        <x:f>IF(COUNT(Q754:Z754)=0,"",AVERAGE(Q754:Z754)*4)</x:f>
      </x:c>
      <x:c r="CE754" s="178" t="str">
        <x:f>IF(COUNT(AA754:AJ754)=0,"",AVERAGE(AA754:AJ754)*4)</x:f>
      </x:c>
      <x:c r="CF754" s="178" t="str">
        <x:f>IF(COUNT(AK754:AR754)=0,"",AVERAGE(AK754:AR754)*4)</x:f>
      </x:c>
      <x:c r="CG754" s="178" t="str">
        <x:f>IF(COUNT(AS754:AY754)=0,"",AVERAGE(AS754:AY754)*4)</x:f>
      </x:c>
      <x:c r="CH754" s="178" t="str">
        <x:f>IF(COUNT(AZ754:BG754)=0,"",AVERAGE(AZ754:BG754)*4)</x:f>
      </x:c>
      <x:c r="CI754" s="178" t="str">
        <x:f>IF(COUNT(BH754:BN754)=0,"",AVERAGE(BH754:BN754)*4)</x:f>
      </x:c>
      <x:c r="CJ754" s="178" t="str">
        <x:f>IF(COUNT(BO754:BU754)=0,"",AVERAGE(BO754:BU754)*4)</x:f>
      </x:c>
      <x:c r="CK754" s="178" t="str">
        <x:f>IF(COUNT(BV754:CB754)=0,"",AVERAGE(BV754:CB754)*4)</x:f>
      </x:c>
      <x:c r="CL754" s="178" t="str">
        <x:f>IF(C754="","",IF(COUNT(G754:CB754)&lt;74,"",(CC754*'تنظیمات وزن‌دهی'!$C$5+CD754*'تنظیمات وزن‌دهی'!$C$6+CE754*'تنظیمات وزن‌دهی'!$C$7+CF754*'تنظیمات وزن‌دهی'!$C$8+CG754*'تنظیمات وزن‌دهی'!$C$9+CH754*'تنظیمات وزن‌دهی'!$C$10+CI754*'تنظیمات وزن‌دهی'!$C$11+CJ754*'تنظیمات وزن‌دهی'!$C$12+CK754*'تنظیمات وزن‌دهی'!$C$13)/100))</x:f>
      </x:c>
      <x:c r="CM754" s="178" t="str">
        <x:f>IF(C754="","",IF(COUNT(G754:CB754)=0,"",IF(COUNT(G754:CB754)&lt;74,"موقت - اطلاعات ناقص",IF(CL754&gt;=17,"عالی",IF(CL754&gt;=14,"خوب",IF(CL754&gt;=10,"متوسط","ضعیف"))))))</x:f>
      </x:c>
      <x:c r="CN754" s="178" t="n">
        <x:v>6</x:v>
      </x:c>
      <x:c r="CO754" s="142" t="n">
        <x:f>IF(C754="","",COUNT(G754:CB754)/74)</x:f>
        <x:v>0</x:v>
      </x:c>
      <x:c r="CP754" s="245"/>
    </x:row>
    <x:row r="755">
      <x:c r="A755" s="165" t="n">
        <x:v>751</x:v>
      </x:c>
      <x:c r="B755" s="233" t="str">
        <x:v>دی</x:v>
      </x:c>
      <x:c r="C755" s="233" t="n">
        <x:f>IF('دانش‌آموزان'!E67="","",'دانش‌آموزان'!B67)</x:f>
        <x:v>63</x:v>
      </x:c>
      <x:c r="D755" s="233" t="str">
        <x:f>IF('دانش‌آموزان'!C67="","",'دانش‌آموزان'!C67)</x:f>
        <x:v>4000000632</x:v>
      </x:c>
      <x:c r="E755" s="233" t="str">
        <x:f>IF('دانش‌آموزان'!E67="","",'دانش‌آموزان'!E67&amp;" "&amp;'دانش‌آموزان'!F67)</x:f>
        <x:v>امیرحسین طاهری</x:v>
      </x:c>
      <x:c r="F755" s="166" t="str">
        <x:f>IF('دانش‌آموزان'!I67="","",'دانش‌آموزان'!I67)</x:f>
        <x:v>sample-7-c</x:v>
      </x:c>
      <x:c r="G755" s="114"/>
      <x:c r="H755" s="115"/>
      <x:c r="I755" s="115"/>
      <x:c r="J755" s="115"/>
      <x:c r="K755" s="115"/>
      <x:c r="L755" s="115"/>
      <x:c r="M755" s="115"/>
      <x:c r="N755" s="115"/>
      <x:c r="O755" s="115"/>
      <x:c r="P755" s="115"/>
      <x:c r="Q755" s="115"/>
      <x:c r="R755" s="115"/>
      <x:c r="S755" s="115"/>
      <x:c r="T755" s="115"/>
      <x:c r="U755" s="115"/>
      <x:c r="V755" s="115"/>
      <x:c r="W755" s="115"/>
      <x:c r="X755" s="115"/>
      <x:c r="Y755" s="115"/>
      <x:c r="Z755" s="115"/>
      <x:c r="AA755" s="115"/>
      <x:c r="AB755" s="115"/>
      <x:c r="AC755" s="115"/>
      <x:c r="AD755" s="115"/>
      <x:c r="AE755" s="115"/>
      <x:c r="AF755" s="115"/>
      <x:c r="AG755" s="115"/>
      <x:c r="AH755" s="115"/>
      <x:c r="AI755" s="115"/>
      <x:c r="AJ755" s="115"/>
      <x:c r="AK755" s="115"/>
      <x:c r="AL755" s="115"/>
      <x:c r="AM755" s="115"/>
      <x:c r="AN755" s="115"/>
      <x:c r="AO755" s="115"/>
      <x:c r="AP755" s="115"/>
      <x:c r="AQ755" s="115"/>
      <x:c r="AR755" s="115"/>
      <x:c r="AS755" s="115"/>
      <x:c r="AT755" s="115"/>
      <x:c r="AU755" s="115"/>
      <x:c r="AV755" s="115"/>
      <x:c r="AW755" s="115"/>
      <x:c r="AX755" s="115"/>
      <x:c r="AY755" s="115"/>
      <x:c r="AZ755" s="115"/>
      <x:c r="BA755" s="115"/>
      <x:c r="BB755" s="115"/>
      <x:c r="BC755" s="115"/>
      <x:c r="BD755" s="115"/>
      <x:c r="BE755" s="115"/>
      <x:c r="BF755" s="115"/>
      <x:c r="BG755" s="115"/>
      <x:c r="BH755" s="115"/>
      <x:c r="BI755" s="115"/>
      <x:c r="BJ755" s="115"/>
      <x:c r="BK755" s="115"/>
      <x:c r="BL755" s="115"/>
      <x:c r="BM755" s="115"/>
      <x:c r="BN755" s="115"/>
      <x:c r="BO755" s="115"/>
      <x:c r="BP755" s="115"/>
      <x:c r="BQ755" s="115"/>
      <x:c r="BR755" s="115"/>
      <x:c r="BS755" s="115"/>
      <x:c r="BT755" s="115"/>
      <x:c r="BU755" s="115"/>
      <x:c r="BV755" s="115"/>
      <x:c r="BW755" s="115"/>
      <x:c r="BX755" s="115"/>
      <x:c r="BY755" s="115"/>
      <x:c r="BZ755" s="115"/>
      <x:c r="CA755" s="115"/>
      <x:c r="CB755" s="116"/>
      <x:c r="CC755" s="141" t="str">
        <x:f>IF(COUNT(G755:P755)=0,"",AVERAGE(G755:P755)*4)</x:f>
      </x:c>
      <x:c r="CD755" s="178" t="str">
        <x:f>IF(COUNT(Q755:Z755)=0,"",AVERAGE(Q755:Z755)*4)</x:f>
      </x:c>
      <x:c r="CE755" s="178" t="str">
        <x:f>IF(COUNT(AA755:AJ755)=0,"",AVERAGE(AA755:AJ755)*4)</x:f>
      </x:c>
      <x:c r="CF755" s="178" t="str">
        <x:f>IF(COUNT(AK755:AR755)=0,"",AVERAGE(AK755:AR755)*4)</x:f>
      </x:c>
      <x:c r="CG755" s="178" t="str">
        <x:f>IF(COUNT(AS755:AY755)=0,"",AVERAGE(AS755:AY755)*4)</x:f>
      </x:c>
      <x:c r="CH755" s="178" t="str">
        <x:f>IF(COUNT(AZ755:BG755)=0,"",AVERAGE(AZ755:BG755)*4)</x:f>
      </x:c>
      <x:c r="CI755" s="178" t="str">
        <x:f>IF(COUNT(BH755:BN755)=0,"",AVERAGE(BH755:BN755)*4)</x:f>
      </x:c>
      <x:c r="CJ755" s="178" t="str">
        <x:f>IF(COUNT(BO755:BU755)=0,"",AVERAGE(BO755:BU755)*4)</x:f>
      </x:c>
      <x:c r="CK755" s="178" t="str">
        <x:f>IF(COUNT(BV755:CB755)=0,"",AVERAGE(BV755:CB755)*4)</x:f>
      </x:c>
      <x:c r="CL755" s="178" t="str">
        <x:f>IF(C755="","",IF(COUNT(G755:CB755)&lt;74,"",(CC755*'تنظیمات وزن‌دهی'!$C$5+CD755*'تنظیمات وزن‌دهی'!$C$6+CE755*'تنظیمات وزن‌دهی'!$C$7+CF755*'تنظیمات وزن‌دهی'!$C$8+CG755*'تنظیمات وزن‌دهی'!$C$9+CH755*'تنظیمات وزن‌دهی'!$C$10+CI755*'تنظیمات وزن‌دهی'!$C$11+CJ755*'تنظیمات وزن‌دهی'!$C$12+CK755*'تنظیمات وزن‌دهی'!$C$13)/100))</x:f>
      </x:c>
      <x:c r="CM755" s="178" t="str">
        <x:f>IF(C755="","",IF(COUNT(G755:CB755)=0,"",IF(COUNT(G755:CB755)&lt;74,"موقت - اطلاعات ناقص",IF(CL755&gt;=17,"عالی",IF(CL755&gt;=14,"خوب",IF(CL755&gt;=10,"متوسط","ضعیف"))))))</x:f>
      </x:c>
      <x:c r="CN755" s="178" t="n">
        <x:v>7</x:v>
      </x:c>
      <x:c r="CO755" s="142" t="n">
        <x:f>IF(C755="","",COUNT(G755:CB755)/74)</x:f>
        <x:v>0</x:v>
      </x:c>
      <x:c r="CP755" s="245"/>
    </x:row>
    <x:row r="756">
      <x:c r="A756" s="165" t="n">
        <x:v>752</x:v>
      </x:c>
      <x:c r="B756" s="233" t="str">
        <x:v>بهمن</x:v>
      </x:c>
      <x:c r="C756" s="233" t="n">
        <x:f>IF('دانش‌آموزان'!E67="","",'دانش‌آموزان'!B67)</x:f>
        <x:v>63</x:v>
      </x:c>
      <x:c r="D756" s="233" t="str">
        <x:f>IF('دانش‌آموزان'!C67="","",'دانش‌آموزان'!C67)</x:f>
        <x:v>4000000632</x:v>
      </x:c>
      <x:c r="E756" s="233" t="str">
        <x:f>IF('دانش‌آموزان'!E67="","",'دانش‌آموزان'!E67&amp;" "&amp;'دانش‌آموزان'!F67)</x:f>
        <x:v>امیرحسین طاهری</x:v>
      </x:c>
      <x:c r="F756" s="166" t="str">
        <x:f>IF('دانش‌آموزان'!I67="","",'دانش‌آموزان'!I67)</x:f>
        <x:v>sample-7-c</x:v>
      </x:c>
      <x:c r="G756" s="114"/>
      <x:c r="H756" s="115"/>
      <x:c r="I756" s="115"/>
      <x:c r="J756" s="115"/>
      <x:c r="K756" s="115"/>
      <x:c r="L756" s="115"/>
      <x:c r="M756" s="115"/>
      <x:c r="N756" s="115"/>
      <x:c r="O756" s="115"/>
      <x:c r="P756" s="115"/>
      <x:c r="Q756" s="115"/>
      <x:c r="R756" s="115"/>
      <x:c r="S756" s="115"/>
      <x:c r="T756" s="115"/>
      <x:c r="U756" s="115"/>
      <x:c r="V756" s="115"/>
      <x:c r="W756" s="115"/>
      <x:c r="X756" s="115"/>
      <x:c r="Y756" s="115"/>
      <x:c r="Z756" s="115"/>
      <x:c r="AA756" s="115"/>
      <x:c r="AB756" s="115"/>
      <x:c r="AC756" s="115"/>
      <x:c r="AD756" s="115"/>
      <x:c r="AE756" s="115"/>
      <x:c r="AF756" s="115"/>
      <x:c r="AG756" s="115"/>
      <x:c r="AH756" s="115"/>
      <x:c r="AI756" s="115"/>
      <x:c r="AJ756" s="115"/>
      <x:c r="AK756" s="115"/>
      <x:c r="AL756" s="115"/>
      <x:c r="AM756" s="115"/>
      <x:c r="AN756" s="115"/>
      <x:c r="AO756" s="115"/>
      <x:c r="AP756" s="115"/>
      <x:c r="AQ756" s="115"/>
      <x:c r="AR756" s="115"/>
      <x:c r="AS756" s="115"/>
      <x:c r="AT756" s="115"/>
      <x:c r="AU756" s="115"/>
      <x:c r="AV756" s="115"/>
      <x:c r="AW756" s="115"/>
      <x:c r="AX756" s="115"/>
      <x:c r="AY756" s="115"/>
      <x:c r="AZ756" s="115"/>
      <x:c r="BA756" s="115"/>
      <x:c r="BB756" s="115"/>
      <x:c r="BC756" s="115"/>
      <x:c r="BD756" s="115"/>
      <x:c r="BE756" s="115"/>
      <x:c r="BF756" s="115"/>
      <x:c r="BG756" s="115"/>
      <x:c r="BH756" s="115"/>
      <x:c r="BI756" s="115"/>
      <x:c r="BJ756" s="115"/>
      <x:c r="BK756" s="115"/>
      <x:c r="BL756" s="115"/>
      <x:c r="BM756" s="115"/>
      <x:c r="BN756" s="115"/>
      <x:c r="BO756" s="115"/>
      <x:c r="BP756" s="115"/>
      <x:c r="BQ756" s="115"/>
      <x:c r="BR756" s="115"/>
      <x:c r="BS756" s="115"/>
      <x:c r="BT756" s="115"/>
      <x:c r="BU756" s="115"/>
      <x:c r="BV756" s="115"/>
      <x:c r="BW756" s="115"/>
      <x:c r="BX756" s="115"/>
      <x:c r="BY756" s="115"/>
      <x:c r="BZ756" s="115"/>
      <x:c r="CA756" s="115"/>
      <x:c r="CB756" s="116"/>
      <x:c r="CC756" s="141" t="str">
        <x:f>IF(COUNT(G756:P756)=0,"",AVERAGE(G756:P756)*4)</x:f>
      </x:c>
      <x:c r="CD756" s="178" t="str">
        <x:f>IF(COUNT(Q756:Z756)=0,"",AVERAGE(Q756:Z756)*4)</x:f>
      </x:c>
      <x:c r="CE756" s="178" t="str">
        <x:f>IF(COUNT(AA756:AJ756)=0,"",AVERAGE(AA756:AJ756)*4)</x:f>
      </x:c>
      <x:c r="CF756" s="178" t="str">
        <x:f>IF(COUNT(AK756:AR756)=0,"",AVERAGE(AK756:AR756)*4)</x:f>
      </x:c>
      <x:c r="CG756" s="178" t="str">
        <x:f>IF(COUNT(AS756:AY756)=0,"",AVERAGE(AS756:AY756)*4)</x:f>
      </x:c>
      <x:c r="CH756" s="178" t="str">
        <x:f>IF(COUNT(AZ756:BG756)=0,"",AVERAGE(AZ756:BG756)*4)</x:f>
      </x:c>
      <x:c r="CI756" s="178" t="str">
        <x:f>IF(COUNT(BH756:BN756)=0,"",AVERAGE(BH756:BN756)*4)</x:f>
      </x:c>
      <x:c r="CJ756" s="178" t="str">
        <x:f>IF(COUNT(BO756:BU756)=0,"",AVERAGE(BO756:BU756)*4)</x:f>
      </x:c>
      <x:c r="CK756" s="178" t="str">
        <x:f>IF(COUNT(BV756:CB756)=0,"",AVERAGE(BV756:CB756)*4)</x:f>
      </x:c>
      <x:c r="CL756" s="178" t="str">
        <x:f>IF(C756="","",IF(COUNT(G756:CB756)&lt;74,"",(CC756*'تنظیمات وزن‌دهی'!$C$5+CD756*'تنظیمات وزن‌دهی'!$C$6+CE756*'تنظیمات وزن‌دهی'!$C$7+CF756*'تنظیمات وزن‌دهی'!$C$8+CG756*'تنظیمات وزن‌دهی'!$C$9+CH756*'تنظیمات وزن‌دهی'!$C$10+CI756*'تنظیمات وزن‌دهی'!$C$11+CJ756*'تنظیمات وزن‌دهی'!$C$12+CK756*'تنظیمات وزن‌دهی'!$C$13)/100))</x:f>
      </x:c>
      <x:c r="CM756" s="178" t="str">
        <x:f>IF(C756="","",IF(COUNT(G756:CB756)=0,"",IF(COUNT(G756:CB756)&lt;74,"موقت - اطلاعات ناقص",IF(CL756&gt;=17,"عالی",IF(CL756&gt;=14,"خوب",IF(CL756&gt;=10,"متوسط","ضعیف"))))))</x:f>
      </x:c>
      <x:c r="CN756" s="178" t="n">
        <x:v>8</x:v>
      </x:c>
      <x:c r="CO756" s="142" t="n">
        <x:f>IF(C756="","",COUNT(G756:CB756)/74)</x:f>
        <x:v>0</x:v>
      </x:c>
      <x:c r="CP756" s="245"/>
    </x:row>
    <x:row r="757">
      <x:c r="A757" s="165" t="n">
        <x:v>753</x:v>
      </x:c>
      <x:c r="B757" s="233" t="str">
        <x:v>اسفند</x:v>
      </x:c>
      <x:c r="C757" s="233" t="n">
        <x:f>IF('دانش‌آموزان'!E67="","",'دانش‌آموزان'!B67)</x:f>
        <x:v>63</x:v>
      </x:c>
      <x:c r="D757" s="233" t="str">
        <x:f>IF('دانش‌آموزان'!C67="","",'دانش‌آموزان'!C67)</x:f>
        <x:v>4000000632</x:v>
      </x:c>
      <x:c r="E757" s="233" t="str">
        <x:f>IF('دانش‌آموزان'!E67="","",'دانش‌آموزان'!E67&amp;" "&amp;'دانش‌آموزان'!F67)</x:f>
        <x:v>امیرحسین طاهری</x:v>
      </x:c>
      <x:c r="F757" s="166" t="str">
        <x:f>IF('دانش‌آموزان'!I67="","",'دانش‌آموزان'!I67)</x:f>
        <x:v>sample-7-c</x:v>
      </x:c>
      <x:c r="G757" s="114"/>
      <x:c r="H757" s="115"/>
      <x:c r="I757" s="115"/>
      <x:c r="J757" s="115"/>
      <x:c r="K757" s="115"/>
      <x:c r="L757" s="115"/>
      <x:c r="M757" s="115"/>
      <x:c r="N757" s="115"/>
      <x:c r="O757" s="115"/>
      <x:c r="P757" s="115"/>
      <x:c r="Q757" s="115"/>
      <x:c r="R757" s="115"/>
      <x:c r="S757" s="115"/>
      <x:c r="T757" s="115"/>
      <x:c r="U757" s="115"/>
      <x:c r="V757" s="115"/>
      <x:c r="W757" s="115"/>
      <x:c r="X757" s="115"/>
      <x:c r="Y757" s="115"/>
      <x:c r="Z757" s="115"/>
      <x:c r="AA757" s="115"/>
      <x:c r="AB757" s="115"/>
      <x:c r="AC757" s="115"/>
      <x:c r="AD757" s="115"/>
      <x:c r="AE757" s="115"/>
      <x:c r="AF757" s="115"/>
      <x:c r="AG757" s="115"/>
      <x:c r="AH757" s="115"/>
      <x:c r="AI757" s="115"/>
      <x:c r="AJ757" s="115"/>
      <x:c r="AK757" s="115"/>
      <x:c r="AL757" s="115"/>
      <x:c r="AM757" s="115"/>
      <x:c r="AN757" s="115"/>
      <x:c r="AO757" s="115"/>
      <x:c r="AP757" s="115"/>
      <x:c r="AQ757" s="115"/>
      <x:c r="AR757" s="115"/>
      <x:c r="AS757" s="115"/>
      <x:c r="AT757" s="115"/>
      <x:c r="AU757" s="115"/>
      <x:c r="AV757" s="115"/>
      <x:c r="AW757" s="115"/>
      <x:c r="AX757" s="115"/>
      <x:c r="AY757" s="115"/>
      <x:c r="AZ757" s="115"/>
      <x:c r="BA757" s="115"/>
      <x:c r="BB757" s="115"/>
      <x:c r="BC757" s="115"/>
      <x:c r="BD757" s="115"/>
      <x:c r="BE757" s="115"/>
      <x:c r="BF757" s="115"/>
      <x:c r="BG757" s="115"/>
      <x:c r="BH757" s="115"/>
      <x:c r="BI757" s="115"/>
      <x:c r="BJ757" s="115"/>
      <x:c r="BK757" s="115"/>
      <x:c r="BL757" s="115"/>
      <x:c r="BM757" s="115"/>
      <x:c r="BN757" s="115"/>
      <x:c r="BO757" s="115"/>
      <x:c r="BP757" s="115"/>
      <x:c r="BQ757" s="115"/>
      <x:c r="BR757" s="115"/>
      <x:c r="BS757" s="115"/>
      <x:c r="BT757" s="115"/>
      <x:c r="BU757" s="115"/>
      <x:c r="BV757" s="115"/>
      <x:c r="BW757" s="115"/>
      <x:c r="BX757" s="115"/>
      <x:c r="BY757" s="115"/>
      <x:c r="BZ757" s="115"/>
      <x:c r="CA757" s="115"/>
      <x:c r="CB757" s="116"/>
      <x:c r="CC757" s="141" t="str">
        <x:f>IF(COUNT(G757:P757)=0,"",AVERAGE(G757:P757)*4)</x:f>
      </x:c>
      <x:c r="CD757" s="178" t="str">
        <x:f>IF(COUNT(Q757:Z757)=0,"",AVERAGE(Q757:Z757)*4)</x:f>
      </x:c>
      <x:c r="CE757" s="178" t="str">
        <x:f>IF(COUNT(AA757:AJ757)=0,"",AVERAGE(AA757:AJ757)*4)</x:f>
      </x:c>
      <x:c r="CF757" s="178" t="str">
        <x:f>IF(COUNT(AK757:AR757)=0,"",AVERAGE(AK757:AR757)*4)</x:f>
      </x:c>
      <x:c r="CG757" s="178" t="str">
        <x:f>IF(COUNT(AS757:AY757)=0,"",AVERAGE(AS757:AY757)*4)</x:f>
      </x:c>
      <x:c r="CH757" s="178" t="str">
        <x:f>IF(COUNT(AZ757:BG757)=0,"",AVERAGE(AZ757:BG757)*4)</x:f>
      </x:c>
      <x:c r="CI757" s="178" t="str">
        <x:f>IF(COUNT(BH757:BN757)=0,"",AVERAGE(BH757:BN757)*4)</x:f>
      </x:c>
      <x:c r="CJ757" s="178" t="str">
        <x:f>IF(COUNT(BO757:BU757)=0,"",AVERAGE(BO757:BU757)*4)</x:f>
      </x:c>
      <x:c r="CK757" s="178" t="str">
        <x:f>IF(COUNT(BV757:CB757)=0,"",AVERAGE(BV757:CB757)*4)</x:f>
      </x:c>
      <x:c r="CL757" s="178" t="str">
        <x:f>IF(C757="","",IF(COUNT(G757:CB757)&lt;74,"",(CC757*'تنظیمات وزن‌دهی'!$C$5+CD757*'تنظیمات وزن‌دهی'!$C$6+CE757*'تنظیمات وزن‌دهی'!$C$7+CF757*'تنظیمات وزن‌دهی'!$C$8+CG757*'تنظیمات وزن‌دهی'!$C$9+CH757*'تنظیمات وزن‌دهی'!$C$10+CI757*'تنظیمات وزن‌دهی'!$C$11+CJ757*'تنظیمات وزن‌دهی'!$C$12+CK757*'تنظیمات وزن‌دهی'!$C$13)/100))</x:f>
      </x:c>
      <x:c r="CM757" s="178" t="str">
        <x:f>IF(C757="","",IF(COUNT(G757:CB757)=0,"",IF(COUNT(G757:CB757)&lt;74,"موقت - اطلاعات ناقص",IF(CL757&gt;=17,"عالی",IF(CL757&gt;=14,"خوب",IF(CL757&gt;=10,"متوسط","ضعیف"))))))</x:f>
      </x:c>
      <x:c r="CN757" s="178" t="n">
        <x:v>9</x:v>
      </x:c>
      <x:c r="CO757" s="142" t="n">
        <x:f>IF(C757="","",COUNT(G757:CB757)/74)</x:f>
        <x:v>0</x:v>
      </x:c>
      <x:c r="CP757" s="245"/>
    </x:row>
    <x:row r="758">
      <x:c r="A758" s="165" t="n">
        <x:v>754</x:v>
      </x:c>
      <x:c r="B758" s="233" t="str">
        <x:v>فروردین</x:v>
      </x:c>
      <x:c r="C758" s="233" t="n">
        <x:f>IF('دانش‌آموزان'!E67="","",'دانش‌آموزان'!B67)</x:f>
        <x:v>63</x:v>
      </x:c>
      <x:c r="D758" s="233" t="str">
        <x:f>IF('دانش‌آموزان'!C67="","",'دانش‌آموزان'!C67)</x:f>
        <x:v>4000000632</x:v>
      </x:c>
      <x:c r="E758" s="233" t="str">
        <x:f>IF('دانش‌آموزان'!E67="","",'دانش‌آموزان'!E67&amp;" "&amp;'دانش‌آموزان'!F67)</x:f>
        <x:v>امیرحسین طاهری</x:v>
      </x:c>
      <x:c r="F758" s="166" t="str">
        <x:f>IF('دانش‌آموزان'!I67="","",'دانش‌آموزان'!I67)</x:f>
        <x:v>sample-7-c</x:v>
      </x:c>
      <x:c r="G758" s="114"/>
      <x:c r="H758" s="115"/>
      <x:c r="I758" s="115"/>
      <x:c r="J758" s="115"/>
      <x:c r="K758" s="115"/>
      <x:c r="L758" s="115"/>
      <x:c r="M758" s="115"/>
      <x:c r="N758" s="115"/>
      <x:c r="O758" s="115"/>
      <x:c r="P758" s="115"/>
      <x:c r="Q758" s="115"/>
      <x:c r="R758" s="115"/>
      <x:c r="S758" s="115"/>
      <x:c r="T758" s="115"/>
      <x:c r="U758" s="115"/>
      <x:c r="V758" s="115"/>
      <x:c r="W758" s="115"/>
      <x:c r="X758" s="115"/>
      <x:c r="Y758" s="115"/>
      <x:c r="Z758" s="115"/>
      <x:c r="AA758" s="115"/>
      <x:c r="AB758" s="115"/>
      <x:c r="AC758" s="115"/>
      <x:c r="AD758" s="115"/>
      <x:c r="AE758" s="115"/>
      <x:c r="AF758" s="115"/>
      <x:c r="AG758" s="115"/>
      <x:c r="AH758" s="115"/>
      <x:c r="AI758" s="115"/>
      <x:c r="AJ758" s="115"/>
      <x:c r="AK758" s="115"/>
      <x:c r="AL758" s="115"/>
      <x:c r="AM758" s="115"/>
      <x:c r="AN758" s="115"/>
      <x:c r="AO758" s="115"/>
      <x:c r="AP758" s="115"/>
      <x:c r="AQ758" s="115"/>
      <x:c r="AR758" s="115"/>
      <x:c r="AS758" s="115"/>
      <x:c r="AT758" s="115"/>
      <x:c r="AU758" s="115"/>
      <x:c r="AV758" s="115"/>
      <x:c r="AW758" s="115"/>
      <x:c r="AX758" s="115"/>
      <x:c r="AY758" s="115"/>
      <x:c r="AZ758" s="115"/>
      <x:c r="BA758" s="115"/>
      <x:c r="BB758" s="115"/>
      <x:c r="BC758" s="115"/>
      <x:c r="BD758" s="115"/>
      <x:c r="BE758" s="115"/>
      <x:c r="BF758" s="115"/>
      <x:c r="BG758" s="115"/>
      <x:c r="BH758" s="115"/>
      <x:c r="BI758" s="115"/>
      <x:c r="BJ758" s="115"/>
      <x:c r="BK758" s="115"/>
      <x:c r="BL758" s="115"/>
      <x:c r="BM758" s="115"/>
      <x:c r="BN758" s="115"/>
      <x:c r="BO758" s="115"/>
      <x:c r="BP758" s="115"/>
      <x:c r="BQ758" s="115"/>
      <x:c r="BR758" s="115"/>
      <x:c r="BS758" s="115"/>
      <x:c r="BT758" s="115"/>
      <x:c r="BU758" s="115"/>
      <x:c r="BV758" s="115"/>
      <x:c r="BW758" s="115"/>
      <x:c r="BX758" s="115"/>
      <x:c r="BY758" s="115"/>
      <x:c r="BZ758" s="115"/>
      <x:c r="CA758" s="115"/>
      <x:c r="CB758" s="116"/>
      <x:c r="CC758" s="141" t="str">
        <x:f>IF(COUNT(G758:P758)=0,"",AVERAGE(G758:P758)*4)</x:f>
      </x:c>
      <x:c r="CD758" s="178" t="str">
        <x:f>IF(COUNT(Q758:Z758)=0,"",AVERAGE(Q758:Z758)*4)</x:f>
      </x:c>
      <x:c r="CE758" s="178" t="str">
        <x:f>IF(COUNT(AA758:AJ758)=0,"",AVERAGE(AA758:AJ758)*4)</x:f>
      </x:c>
      <x:c r="CF758" s="178" t="str">
        <x:f>IF(COUNT(AK758:AR758)=0,"",AVERAGE(AK758:AR758)*4)</x:f>
      </x:c>
      <x:c r="CG758" s="178" t="str">
        <x:f>IF(COUNT(AS758:AY758)=0,"",AVERAGE(AS758:AY758)*4)</x:f>
      </x:c>
      <x:c r="CH758" s="178" t="str">
        <x:f>IF(COUNT(AZ758:BG758)=0,"",AVERAGE(AZ758:BG758)*4)</x:f>
      </x:c>
      <x:c r="CI758" s="178" t="str">
        <x:f>IF(COUNT(BH758:BN758)=0,"",AVERAGE(BH758:BN758)*4)</x:f>
      </x:c>
      <x:c r="CJ758" s="178" t="str">
        <x:f>IF(COUNT(BO758:BU758)=0,"",AVERAGE(BO758:BU758)*4)</x:f>
      </x:c>
      <x:c r="CK758" s="178" t="str">
        <x:f>IF(COUNT(BV758:CB758)=0,"",AVERAGE(BV758:CB758)*4)</x:f>
      </x:c>
      <x:c r="CL758" s="178" t="str">
        <x:f>IF(C758="","",IF(COUNT(G758:CB758)&lt;74,"",(CC758*'تنظیمات وزن‌دهی'!$C$5+CD758*'تنظیمات وزن‌دهی'!$C$6+CE758*'تنظیمات وزن‌دهی'!$C$7+CF758*'تنظیمات وزن‌دهی'!$C$8+CG758*'تنظیمات وزن‌دهی'!$C$9+CH758*'تنظیمات وزن‌دهی'!$C$10+CI758*'تنظیمات وزن‌دهی'!$C$11+CJ758*'تنظیمات وزن‌دهی'!$C$12+CK758*'تنظیمات وزن‌دهی'!$C$13)/100))</x:f>
      </x:c>
      <x:c r="CM758" s="178" t="str">
        <x:f>IF(C758="","",IF(COUNT(G758:CB758)=0,"",IF(COUNT(G758:CB758)&lt;74,"موقت - اطلاعات ناقص",IF(CL758&gt;=17,"عالی",IF(CL758&gt;=14,"خوب",IF(CL758&gt;=10,"متوسط","ضعیف"))))))</x:f>
      </x:c>
      <x:c r="CN758" s="178" t="n">
        <x:v>10</x:v>
      </x:c>
      <x:c r="CO758" s="142" t="n">
        <x:f>IF(C758="","",COUNT(G758:CB758)/74)</x:f>
        <x:v>0</x:v>
      </x:c>
      <x:c r="CP758" s="245"/>
    </x:row>
    <x:row r="759">
      <x:c r="A759" s="165" t="n">
        <x:v>755</x:v>
      </x:c>
      <x:c r="B759" s="233" t="str">
        <x:v>اردیبهشت</x:v>
      </x:c>
      <x:c r="C759" s="233" t="n">
        <x:f>IF('دانش‌آموزان'!E67="","",'دانش‌آموزان'!B67)</x:f>
        <x:v>63</x:v>
      </x:c>
      <x:c r="D759" s="233" t="str">
        <x:f>IF('دانش‌آموزان'!C67="","",'دانش‌آموزان'!C67)</x:f>
        <x:v>4000000632</x:v>
      </x:c>
      <x:c r="E759" s="233" t="str">
        <x:f>IF('دانش‌آموزان'!E67="","",'دانش‌آموزان'!E67&amp;" "&amp;'دانش‌آموزان'!F67)</x:f>
        <x:v>امیرحسین طاهری</x:v>
      </x:c>
      <x:c r="F759" s="166" t="str">
        <x:f>IF('دانش‌آموزان'!I67="","",'دانش‌آموزان'!I67)</x:f>
        <x:v>sample-7-c</x:v>
      </x:c>
      <x:c r="G759" s="114"/>
      <x:c r="H759" s="115"/>
      <x:c r="I759" s="115"/>
      <x:c r="J759" s="115"/>
      <x:c r="K759" s="115"/>
      <x:c r="L759" s="115"/>
      <x:c r="M759" s="115"/>
      <x:c r="N759" s="115"/>
      <x:c r="O759" s="115"/>
      <x:c r="P759" s="115"/>
      <x:c r="Q759" s="115"/>
      <x:c r="R759" s="115"/>
      <x:c r="S759" s="115"/>
      <x:c r="T759" s="115"/>
      <x:c r="U759" s="115"/>
      <x:c r="V759" s="115"/>
      <x:c r="W759" s="115"/>
      <x:c r="X759" s="115"/>
      <x:c r="Y759" s="115"/>
      <x:c r="Z759" s="115"/>
      <x:c r="AA759" s="115"/>
      <x:c r="AB759" s="115"/>
      <x:c r="AC759" s="115"/>
      <x:c r="AD759" s="115"/>
      <x:c r="AE759" s="115"/>
      <x:c r="AF759" s="115"/>
      <x:c r="AG759" s="115"/>
      <x:c r="AH759" s="115"/>
      <x:c r="AI759" s="115"/>
      <x:c r="AJ759" s="115"/>
      <x:c r="AK759" s="115"/>
      <x:c r="AL759" s="115"/>
      <x:c r="AM759" s="115"/>
      <x:c r="AN759" s="115"/>
      <x:c r="AO759" s="115"/>
      <x:c r="AP759" s="115"/>
      <x:c r="AQ759" s="115"/>
      <x:c r="AR759" s="115"/>
      <x:c r="AS759" s="115"/>
      <x:c r="AT759" s="115"/>
      <x:c r="AU759" s="115"/>
      <x:c r="AV759" s="115"/>
      <x:c r="AW759" s="115"/>
      <x:c r="AX759" s="115"/>
      <x:c r="AY759" s="115"/>
      <x:c r="AZ759" s="115"/>
      <x:c r="BA759" s="115"/>
      <x:c r="BB759" s="115"/>
      <x:c r="BC759" s="115"/>
      <x:c r="BD759" s="115"/>
      <x:c r="BE759" s="115"/>
      <x:c r="BF759" s="115"/>
      <x:c r="BG759" s="115"/>
      <x:c r="BH759" s="115"/>
      <x:c r="BI759" s="115"/>
      <x:c r="BJ759" s="115"/>
      <x:c r="BK759" s="115"/>
      <x:c r="BL759" s="115"/>
      <x:c r="BM759" s="115"/>
      <x:c r="BN759" s="115"/>
      <x:c r="BO759" s="115"/>
      <x:c r="BP759" s="115"/>
      <x:c r="BQ759" s="115"/>
      <x:c r="BR759" s="115"/>
      <x:c r="BS759" s="115"/>
      <x:c r="BT759" s="115"/>
      <x:c r="BU759" s="115"/>
      <x:c r="BV759" s="115"/>
      <x:c r="BW759" s="115"/>
      <x:c r="BX759" s="115"/>
      <x:c r="BY759" s="115"/>
      <x:c r="BZ759" s="115"/>
      <x:c r="CA759" s="115"/>
      <x:c r="CB759" s="116"/>
      <x:c r="CC759" s="141" t="str">
        <x:f>IF(COUNT(G759:P759)=0,"",AVERAGE(G759:P759)*4)</x:f>
      </x:c>
      <x:c r="CD759" s="178" t="str">
        <x:f>IF(COUNT(Q759:Z759)=0,"",AVERAGE(Q759:Z759)*4)</x:f>
      </x:c>
      <x:c r="CE759" s="178" t="str">
        <x:f>IF(COUNT(AA759:AJ759)=0,"",AVERAGE(AA759:AJ759)*4)</x:f>
      </x:c>
      <x:c r="CF759" s="178" t="str">
        <x:f>IF(COUNT(AK759:AR759)=0,"",AVERAGE(AK759:AR759)*4)</x:f>
      </x:c>
      <x:c r="CG759" s="178" t="str">
        <x:f>IF(COUNT(AS759:AY759)=0,"",AVERAGE(AS759:AY759)*4)</x:f>
      </x:c>
      <x:c r="CH759" s="178" t="str">
        <x:f>IF(COUNT(AZ759:BG759)=0,"",AVERAGE(AZ759:BG759)*4)</x:f>
      </x:c>
      <x:c r="CI759" s="178" t="str">
        <x:f>IF(COUNT(BH759:BN759)=0,"",AVERAGE(BH759:BN759)*4)</x:f>
      </x:c>
      <x:c r="CJ759" s="178" t="str">
        <x:f>IF(COUNT(BO759:BU759)=0,"",AVERAGE(BO759:BU759)*4)</x:f>
      </x:c>
      <x:c r="CK759" s="178" t="str">
        <x:f>IF(COUNT(BV759:CB759)=0,"",AVERAGE(BV759:CB759)*4)</x:f>
      </x:c>
      <x:c r="CL759" s="178" t="str">
        <x:f>IF(C759="","",IF(COUNT(G759:CB759)&lt;74,"",(CC759*'تنظیمات وزن‌دهی'!$C$5+CD759*'تنظیمات وزن‌دهی'!$C$6+CE759*'تنظیمات وزن‌دهی'!$C$7+CF759*'تنظیمات وزن‌دهی'!$C$8+CG759*'تنظیمات وزن‌دهی'!$C$9+CH759*'تنظیمات وزن‌دهی'!$C$10+CI759*'تنظیمات وزن‌دهی'!$C$11+CJ759*'تنظیمات وزن‌دهی'!$C$12+CK759*'تنظیمات وزن‌دهی'!$C$13)/100))</x:f>
      </x:c>
      <x:c r="CM759" s="178" t="str">
        <x:f>IF(C759="","",IF(COUNT(G759:CB759)=0,"",IF(COUNT(G759:CB759)&lt;74,"موقت - اطلاعات ناقص",IF(CL759&gt;=17,"عالی",IF(CL759&gt;=14,"خوب",IF(CL759&gt;=10,"متوسط","ضعیف"))))))</x:f>
      </x:c>
      <x:c r="CN759" s="178" t="n">
        <x:v>11</x:v>
      </x:c>
      <x:c r="CO759" s="142" t="n">
        <x:f>IF(C759="","",COUNT(G759:CB759)/74)</x:f>
        <x:v>0</x:v>
      </x:c>
      <x:c r="CP759" s="245"/>
    </x:row>
    <x:row r="760">
      <x:c r="A760" s="165" t="n">
        <x:v>756</x:v>
      </x:c>
      <x:c r="B760" s="233" t="str">
        <x:v>خرداد</x:v>
      </x:c>
      <x:c r="C760" s="233" t="n">
        <x:f>IF('دانش‌آموزان'!E67="","",'دانش‌آموزان'!B67)</x:f>
        <x:v>63</x:v>
      </x:c>
      <x:c r="D760" s="233" t="str">
        <x:f>IF('دانش‌آموزان'!C67="","",'دانش‌آموزان'!C67)</x:f>
        <x:v>4000000632</x:v>
      </x:c>
      <x:c r="E760" s="233" t="str">
        <x:f>IF('دانش‌آموزان'!E67="","",'دانش‌آموزان'!E67&amp;" "&amp;'دانش‌آموزان'!F67)</x:f>
        <x:v>امیرحسین طاهری</x:v>
      </x:c>
      <x:c r="F760" s="166" t="str">
        <x:f>IF('دانش‌آموزان'!I67="","",'دانش‌آموزان'!I67)</x:f>
        <x:v>sample-7-c</x:v>
      </x:c>
      <x:c r="G760" s="114"/>
      <x:c r="H760" s="115"/>
      <x:c r="I760" s="115"/>
      <x:c r="J760" s="115"/>
      <x:c r="K760" s="115"/>
      <x:c r="L760" s="115"/>
      <x:c r="M760" s="115"/>
      <x:c r="N760" s="115"/>
      <x:c r="O760" s="115"/>
      <x:c r="P760" s="115"/>
      <x:c r="Q760" s="115"/>
      <x:c r="R760" s="115"/>
      <x:c r="S760" s="115"/>
      <x:c r="T760" s="115"/>
      <x:c r="U760" s="115"/>
      <x:c r="V760" s="115"/>
      <x:c r="W760" s="115"/>
      <x:c r="X760" s="115"/>
      <x:c r="Y760" s="115"/>
      <x:c r="Z760" s="115"/>
      <x:c r="AA760" s="115"/>
      <x:c r="AB760" s="115"/>
      <x:c r="AC760" s="115"/>
      <x:c r="AD760" s="115"/>
      <x:c r="AE760" s="115"/>
      <x:c r="AF760" s="115"/>
      <x:c r="AG760" s="115"/>
      <x:c r="AH760" s="115"/>
      <x:c r="AI760" s="115"/>
      <x:c r="AJ760" s="115"/>
      <x:c r="AK760" s="115"/>
      <x:c r="AL760" s="115"/>
      <x:c r="AM760" s="115"/>
      <x:c r="AN760" s="115"/>
      <x:c r="AO760" s="115"/>
      <x:c r="AP760" s="115"/>
      <x:c r="AQ760" s="115"/>
      <x:c r="AR760" s="115"/>
      <x:c r="AS760" s="115"/>
      <x:c r="AT760" s="115"/>
      <x:c r="AU760" s="115"/>
      <x:c r="AV760" s="115"/>
      <x:c r="AW760" s="115"/>
      <x:c r="AX760" s="115"/>
      <x:c r="AY760" s="115"/>
      <x:c r="AZ760" s="115"/>
      <x:c r="BA760" s="115"/>
      <x:c r="BB760" s="115"/>
      <x:c r="BC760" s="115"/>
      <x:c r="BD760" s="115"/>
      <x:c r="BE760" s="115"/>
      <x:c r="BF760" s="115"/>
      <x:c r="BG760" s="115"/>
      <x:c r="BH760" s="115"/>
      <x:c r="BI760" s="115"/>
      <x:c r="BJ760" s="115"/>
      <x:c r="BK760" s="115"/>
      <x:c r="BL760" s="115"/>
      <x:c r="BM760" s="115"/>
      <x:c r="BN760" s="115"/>
      <x:c r="BO760" s="115"/>
      <x:c r="BP760" s="115"/>
      <x:c r="BQ760" s="115"/>
      <x:c r="BR760" s="115"/>
      <x:c r="BS760" s="115"/>
      <x:c r="BT760" s="115"/>
      <x:c r="BU760" s="115"/>
      <x:c r="BV760" s="115"/>
      <x:c r="BW760" s="115"/>
      <x:c r="BX760" s="115"/>
      <x:c r="BY760" s="115"/>
      <x:c r="BZ760" s="115"/>
      <x:c r="CA760" s="115"/>
      <x:c r="CB760" s="116"/>
      <x:c r="CC760" s="141" t="str">
        <x:f>IF(COUNT(G760:P760)=0,"",AVERAGE(G760:P760)*4)</x:f>
      </x:c>
      <x:c r="CD760" s="178" t="str">
        <x:f>IF(COUNT(Q760:Z760)=0,"",AVERAGE(Q760:Z760)*4)</x:f>
      </x:c>
      <x:c r="CE760" s="178" t="str">
        <x:f>IF(COUNT(AA760:AJ760)=0,"",AVERAGE(AA760:AJ760)*4)</x:f>
      </x:c>
      <x:c r="CF760" s="178" t="str">
        <x:f>IF(COUNT(AK760:AR760)=0,"",AVERAGE(AK760:AR760)*4)</x:f>
      </x:c>
      <x:c r="CG760" s="178" t="str">
        <x:f>IF(COUNT(AS760:AY760)=0,"",AVERAGE(AS760:AY760)*4)</x:f>
      </x:c>
      <x:c r="CH760" s="178" t="str">
        <x:f>IF(COUNT(AZ760:BG760)=0,"",AVERAGE(AZ760:BG760)*4)</x:f>
      </x:c>
      <x:c r="CI760" s="178" t="str">
        <x:f>IF(COUNT(BH760:BN760)=0,"",AVERAGE(BH760:BN760)*4)</x:f>
      </x:c>
      <x:c r="CJ760" s="178" t="str">
        <x:f>IF(COUNT(BO760:BU760)=0,"",AVERAGE(BO760:BU760)*4)</x:f>
      </x:c>
      <x:c r="CK760" s="178" t="str">
        <x:f>IF(COUNT(BV760:CB760)=0,"",AVERAGE(BV760:CB760)*4)</x:f>
      </x:c>
      <x:c r="CL760" s="178" t="str">
        <x:f>IF(C760="","",IF(COUNT(G760:CB760)&lt;74,"",(CC760*'تنظیمات وزن‌دهی'!$C$5+CD760*'تنظیمات وزن‌دهی'!$C$6+CE760*'تنظیمات وزن‌دهی'!$C$7+CF760*'تنظیمات وزن‌دهی'!$C$8+CG760*'تنظیمات وزن‌دهی'!$C$9+CH760*'تنظیمات وزن‌دهی'!$C$10+CI760*'تنظیمات وزن‌دهی'!$C$11+CJ760*'تنظیمات وزن‌دهی'!$C$12+CK760*'تنظیمات وزن‌دهی'!$C$13)/100))</x:f>
      </x:c>
      <x:c r="CM760" s="178" t="str">
        <x:f>IF(C760="","",IF(COUNT(G760:CB760)=0,"",IF(COUNT(G760:CB760)&lt;74,"موقت - اطلاعات ناقص",IF(CL760&gt;=17,"عالی",IF(CL760&gt;=14,"خوب",IF(CL760&gt;=10,"متوسط","ضعیف"))))))</x:f>
      </x:c>
      <x:c r="CN760" s="178" t="n">
        <x:v>12</x:v>
      </x:c>
      <x:c r="CO760" s="142" t="n">
        <x:f>IF(C760="","",COUNT(G760:CB760)/74)</x:f>
        <x:v>0</x:v>
      </x:c>
      <x:c r="CP760" s="245"/>
    </x:row>
    <x:row r="761">
      <x:c r="A761" s="165" t="n">
        <x:v>757</x:v>
      </x:c>
      <x:c r="B761" s="233" t="str">
        <x:v>تیر</x:v>
      </x:c>
      <x:c r="C761" s="233" t="n">
        <x:f>IF('دانش‌آموزان'!E68="","",'دانش‌آموزان'!B68)</x:f>
        <x:v>64</x:v>
      </x:c>
      <x:c r="D761" s="233" t="str">
        <x:f>IF('دانش‌آموزان'!C68="","",'دانش‌آموزان'!C68)</x:f>
        <x:v>4000000640</x:v>
      </x:c>
      <x:c r="E761" s="233" t="str">
        <x:f>IF('دانش‌آموزان'!E68="","",'دانش‌آموزان'!E68&amp;" "&amp;'دانش‌آموزان'!F68)</x:f>
        <x:v>زهرا محمدی</x:v>
      </x:c>
      <x:c r="F761" s="166" t="str">
        <x:f>IF('دانش‌آموزان'!I68="","",'دانش‌آموزان'!I68)</x:f>
        <x:v>sample-7-c</x:v>
      </x:c>
      <x:c r="G761" s="114" t="n">
        <x:v>3</x:v>
      </x:c>
      <x:c r="H761" s="115" t="n">
        <x:v>4</x:v>
      </x:c>
      <x:c r="I761" s="115" t="n">
        <x:v>3</x:v>
      </x:c>
      <x:c r="J761" s="115" t="n">
        <x:v>4</x:v>
      </x:c>
      <x:c r="K761" s="115" t="n">
        <x:v>2</x:v>
      </x:c>
      <x:c r="L761" s="115" t="n">
        <x:v>4</x:v>
      </x:c>
      <x:c r="M761" s="115" t="n">
        <x:v>5</x:v>
      </x:c>
      <x:c r="N761" s="115" t="n">
        <x:v>4</x:v>
      </x:c>
      <x:c r="O761" s="115" t="n">
        <x:v>5</x:v>
      </x:c>
      <x:c r="P761" s="115" t="n">
        <x:v>3</x:v>
      </x:c>
      <x:c r="Q761" s="115" t="n">
        <x:v>5</x:v>
      </x:c>
      <x:c r="R761" s="115" t="n">
        <x:v>3</x:v>
      </x:c>
      <x:c r="S761" s="115" t="n">
        <x:v>4</x:v>
      </x:c>
      <x:c r="T761" s="115" t="n">
        <x:v>3</x:v>
      </x:c>
      <x:c r="U761" s="115" t="n">
        <x:v>4</x:v>
      </x:c>
      <x:c r="V761" s="115" t="n">
        <x:v>2</x:v>
      </x:c>
      <x:c r="W761" s="115" t="n">
        <x:v>4</x:v>
      </x:c>
      <x:c r="X761" s="115" t="n">
        <x:v>5</x:v>
      </x:c>
      <x:c r="Y761" s="115" t="n">
        <x:v>4</x:v>
      </x:c>
      <x:c r="Z761" s="115" t="n">
        <x:v>5</x:v>
      </x:c>
      <x:c r="AA761" s="115" t="n">
        <x:v>3</x:v>
      </x:c>
      <x:c r="AB761" s="115" t="n">
        <x:v>5</x:v>
      </x:c>
      <x:c r="AC761" s="115" t="n">
        <x:v>3</x:v>
      </x:c>
      <x:c r="AD761" s="115" t="n">
        <x:v>4</x:v>
      </x:c>
      <x:c r="AE761" s="115" t="n">
        <x:v>3</x:v>
      </x:c>
      <x:c r="AF761" s="115" t="n">
        <x:v>4</x:v>
      </x:c>
      <x:c r="AG761" s="115" t="n">
        <x:v>2</x:v>
      </x:c>
      <x:c r="AH761" s="115" t="n">
        <x:v>4</x:v>
      </x:c>
      <x:c r="AI761" s="115" t="n">
        <x:v>5</x:v>
      </x:c>
      <x:c r="AJ761" s="115" t="n">
        <x:v>4</x:v>
      </x:c>
      <x:c r="AK761" s="115" t="n">
        <x:v>5</x:v>
      </x:c>
      <x:c r="AL761" s="115" t="n">
        <x:v>3</x:v>
      </x:c>
      <x:c r="AM761" s="115" t="n">
        <x:v>5</x:v>
      </x:c>
      <x:c r="AN761" s="115" t="n">
        <x:v>3</x:v>
      </x:c>
      <x:c r="AO761" s="115" t="n">
        <x:v>4</x:v>
      </x:c>
      <x:c r="AP761" s="115" t="n">
        <x:v>3</x:v>
      </x:c>
      <x:c r="AQ761" s="115" t="n">
        <x:v>4</x:v>
      </x:c>
      <x:c r="AR761" s="115" t="n">
        <x:v>2</x:v>
      </x:c>
      <x:c r="AS761" s="115" t="n">
        <x:v>4</x:v>
      </x:c>
      <x:c r="AT761" s="115" t="n">
        <x:v>5</x:v>
      </x:c>
      <x:c r="AU761" s="115" t="n">
        <x:v>4</x:v>
      </x:c>
      <x:c r="AV761" s="115" t="n">
        <x:v>5</x:v>
      </x:c>
      <x:c r="AW761" s="115" t="n">
        <x:v>3</x:v>
      </x:c>
      <x:c r="AX761" s="115" t="n">
        <x:v>5</x:v>
      </x:c>
      <x:c r="AY761" s="115" t="n">
        <x:v>3</x:v>
      </x:c>
      <x:c r="AZ761" s="115" t="n">
        <x:v>4</x:v>
      </x:c>
      <x:c r="BA761" s="115" t="n">
        <x:v>3</x:v>
      </x:c>
      <x:c r="BB761" s="115" t="n">
        <x:v>4</x:v>
      </x:c>
      <x:c r="BC761" s="115" t="n">
        <x:v>2</x:v>
      </x:c>
      <x:c r="BD761" s="115" t="n">
        <x:v>4</x:v>
      </x:c>
      <x:c r="BE761" s="115" t="n">
        <x:v>5</x:v>
      </x:c>
      <x:c r="BF761" s="115" t="n">
        <x:v>4</x:v>
      </x:c>
      <x:c r="BG761" s="115" t="n">
        <x:v>5</x:v>
      </x:c>
      <x:c r="BH761" s="115" t="n">
        <x:v>3</x:v>
      </x:c>
      <x:c r="BI761" s="115" t="n">
        <x:v>5</x:v>
      </x:c>
      <x:c r="BJ761" s="115" t="n">
        <x:v>3</x:v>
      </x:c>
      <x:c r="BK761" s="115" t="n">
        <x:v>4</x:v>
      </x:c>
      <x:c r="BL761" s="115" t="n">
        <x:v>3</x:v>
      </x:c>
      <x:c r="BM761" s="115" t="n">
        <x:v>4</x:v>
      </x:c>
      <x:c r="BN761" s="115" t="n">
        <x:v>2</x:v>
      </x:c>
      <x:c r="BO761" s="115" t="n">
        <x:v>4</x:v>
      </x:c>
      <x:c r="BP761" s="115" t="n">
        <x:v>5</x:v>
      </x:c>
      <x:c r="BQ761" s="115" t="n">
        <x:v>4</x:v>
      </x:c>
      <x:c r="BR761" s="115" t="n">
        <x:v>5</x:v>
      </x:c>
      <x:c r="BS761" s="115" t="n">
        <x:v>3</x:v>
      </x:c>
      <x:c r="BT761" s="115" t="n">
        <x:v>5</x:v>
      </x:c>
      <x:c r="BU761" s="115" t="n">
        <x:v>3</x:v>
      </x:c>
      <x:c r="BV761" s="115" t="n">
        <x:v>4</x:v>
      </x:c>
      <x:c r="BW761" s="115" t="n">
        <x:v>3</x:v>
      </x:c>
      <x:c r="BX761" s="115" t="n">
        <x:v>4</x:v>
      </x:c>
      <x:c r="BY761" s="115" t="n">
        <x:v>2</x:v>
      </x:c>
      <x:c r="BZ761" s="115" t="n">
        <x:v>4</x:v>
      </x:c>
      <x:c r="CA761" s="115" t="n">
        <x:v>5</x:v>
      </x:c>
      <x:c r="CB761" s="116" t="n">
        <x:v>4</x:v>
      </x:c>
      <x:c r="CC761" s="141" t="n">
        <x:f>IF(COUNT(G761:P761)=0,"",AVERAGE(G761:P761)*4)</x:f>
        <x:v>14.8</x:v>
      </x:c>
      <x:c r="CD761" s="178" t="n">
        <x:f>IF(COUNT(Q761:Z761)=0,"",AVERAGE(Q761:Z761)*4)</x:f>
        <x:v>15.6</x:v>
      </x:c>
      <x:c r="CE761" s="178" t="n">
        <x:f>IF(COUNT(AA761:AJ761)=0,"",AVERAGE(AA761:AJ761)*4)</x:f>
        <x:v>14.8</x:v>
      </x:c>
      <x:c r="CF761" s="178" t="n">
        <x:f>IF(COUNT(AK761:AR761)=0,"",AVERAGE(AK761:AR761)*4)</x:f>
        <x:v>14.5</x:v>
      </x:c>
      <x:c r="CG761" s="178" t="n">
        <x:f>IF(COUNT(AS761:AY761)=0,"",AVERAGE(AS761:AY761)*4)</x:f>
        <x:v>16.571428571428573</x:v>
      </x:c>
      <x:c r="CH761" s="178" t="n">
        <x:f>IF(COUNT(AZ761:BG761)=0,"",AVERAGE(AZ761:BG761)*4)</x:f>
        <x:v>15.5</x:v>
      </x:c>
      <x:c r="CI761" s="178" t="n">
        <x:f>IF(COUNT(BH761:BN761)=0,"",AVERAGE(BH761:BN761)*4)</x:f>
        <x:v>13.714285714285714</x:v>
      </x:c>
      <x:c r="CJ761" s="178" t="n">
        <x:f>IF(COUNT(BO761:BU761)=0,"",AVERAGE(BO761:BU761)*4)</x:f>
        <x:v>16.571428571428573</x:v>
      </x:c>
      <x:c r="CK761" s="178" t="n">
        <x:f>IF(COUNT(BV761:CB761)=0,"",AVERAGE(BV761:CB761)*4)</x:f>
        <x:v>14.857142857142858</x:v>
      </x:c>
      <x:c r="CL761" s="178" t="n">
        <x:f>IF(C761="","",IF(COUNT(G761:CB761)&lt;74,"",(CC761*'تنظیمات وزن‌دهی'!$C$5+CD761*'تنظیمات وزن‌دهی'!$C$6+CE761*'تنظیمات وزن‌دهی'!$C$7+CF761*'تنظیمات وزن‌دهی'!$C$8+CG761*'تنظیمات وزن‌دهی'!$C$9+CH761*'تنظیمات وزن‌دهی'!$C$10+CI761*'تنظیمات وزن‌دهی'!$C$11+CJ761*'تنظیمات وزن‌دهی'!$C$12+CK761*'تنظیمات وزن‌دهی'!$C$13)/100))</x:f>
        <x:v>15.089285714285715</x:v>
      </x:c>
      <x:c r="CM761" s="178" t="str">
        <x:f>IF(C761="","",IF(COUNT(G761:CB761)=0,"",IF(COUNT(G761:CB761)&lt;74,"موقت - اطلاعات ناقص",IF(CL761&gt;=17,"عالی",IF(CL761&gt;=14,"خوب",IF(CL761&gt;=10,"متوسط","ضعیف"))))))</x:f>
        <x:v>خوب</x:v>
      </x:c>
      <x:c r="CN761" s="178" t="n">
        <x:v>1</x:v>
      </x:c>
      <x:c r="CO761" s="142" t="n">
        <x:f>IF(C761="","",COUNT(G761:CB761)/74)</x:f>
        <x:v>1</x:v>
      </x:c>
      <x:c r="CP761" s="245" t="str">
        <x:v>داده نمونه کامل برای ماه تیر - دانش‌آموز شماره 64</x:v>
      </x:c>
    </x:row>
    <x:row r="762">
      <x:c r="A762" s="165" t="n">
        <x:v>758</x:v>
      </x:c>
      <x:c r="B762" s="233" t="str">
        <x:v>مرداد</x:v>
      </x:c>
      <x:c r="C762" s="233" t="n">
        <x:f>IF('دانش‌آموزان'!E68="","",'دانش‌آموزان'!B68)</x:f>
        <x:v>64</x:v>
      </x:c>
      <x:c r="D762" s="233" t="str">
        <x:f>IF('دانش‌آموزان'!C68="","",'دانش‌آموزان'!C68)</x:f>
        <x:v>4000000640</x:v>
      </x:c>
      <x:c r="E762" s="233" t="str">
        <x:f>IF('دانش‌آموزان'!E68="","",'دانش‌آموزان'!E68&amp;" "&amp;'دانش‌آموزان'!F68)</x:f>
        <x:v>زهرا محمدی</x:v>
      </x:c>
      <x:c r="F762" s="166" t="str">
        <x:f>IF('دانش‌آموزان'!I68="","",'دانش‌آموزان'!I68)</x:f>
        <x:v>sample-7-c</x:v>
      </x:c>
      <x:c r="G762" s="114"/>
      <x:c r="H762" s="115"/>
      <x:c r="I762" s="115"/>
      <x:c r="J762" s="115"/>
      <x:c r="K762" s="115"/>
      <x:c r="L762" s="115"/>
      <x:c r="M762" s="115"/>
      <x:c r="N762" s="115"/>
      <x:c r="O762" s="115"/>
      <x:c r="P762" s="115"/>
      <x:c r="Q762" s="115"/>
      <x:c r="R762" s="115"/>
      <x:c r="S762" s="115"/>
      <x:c r="T762" s="115"/>
      <x:c r="U762" s="115"/>
      <x:c r="V762" s="115"/>
      <x:c r="W762" s="115"/>
      <x:c r="X762" s="115"/>
      <x:c r="Y762" s="115"/>
      <x:c r="Z762" s="115"/>
      <x:c r="AA762" s="115"/>
      <x:c r="AB762" s="115"/>
      <x:c r="AC762" s="115"/>
      <x:c r="AD762" s="115"/>
      <x:c r="AE762" s="115"/>
      <x:c r="AF762" s="115"/>
      <x:c r="AG762" s="115"/>
      <x:c r="AH762" s="115"/>
      <x:c r="AI762" s="115"/>
      <x:c r="AJ762" s="115"/>
      <x:c r="AK762" s="115"/>
      <x:c r="AL762" s="115"/>
      <x:c r="AM762" s="115"/>
      <x:c r="AN762" s="115"/>
      <x:c r="AO762" s="115"/>
      <x:c r="AP762" s="115"/>
      <x:c r="AQ762" s="115"/>
      <x:c r="AR762" s="115"/>
      <x:c r="AS762" s="115"/>
      <x:c r="AT762" s="115"/>
      <x:c r="AU762" s="115"/>
      <x:c r="AV762" s="115"/>
      <x:c r="AW762" s="115"/>
      <x:c r="AX762" s="115"/>
      <x:c r="AY762" s="115"/>
      <x:c r="AZ762" s="115"/>
      <x:c r="BA762" s="115"/>
      <x:c r="BB762" s="115"/>
      <x:c r="BC762" s="115"/>
      <x:c r="BD762" s="115"/>
      <x:c r="BE762" s="115"/>
      <x:c r="BF762" s="115"/>
      <x:c r="BG762" s="115"/>
      <x:c r="BH762" s="115"/>
      <x:c r="BI762" s="115"/>
      <x:c r="BJ762" s="115"/>
      <x:c r="BK762" s="115"/>
      <x:c r="BL762" s="115"/>
      <x:c r="BM762" s="115"/>
      <x:c r="BN762" s="115"/>
      <x:c r="BO762" s="115"/>
      <x:c r="BP762" s="115"/>
      <x:c r="BQ762" s="115"/>
      <x:c r="BR762" s="115"/>
      <x:c r="BS762" s="115"/>
      <x:c r="BT762" s="115"/>
      <x:c r="BU762" s="115"/>
      <x:c r="BV762" s="115"/>
      <x:c r="BW762" s="115"/>
      <x:c r="BX762" s="115"/>
      <x:c r="BY762" s="115"/>
      <x:c r="BZ762" s="115"/>
      <x:c r="CA762" s="115"/>
      <x:c r="CB762" s="116"/>
      <x:c r="CC762" s="141" t="str">
        <x:f>IF(COUNT(G762:P762)=0,"",AVERAGE(G762:P762)*4)</x:f>
      </x:c>
      <x:c r="CD762" s="178" t="str">
        <x:f>IF(COUNT(Q762:Z762)=0,"",AVERAGE(Q762:Z762)*4)</x:f>
      </x:c>
      <x:c r="CE762" s="178" t="str">
        <x:f>IF(COUNT(AA762:AJ762)=0,"",AVERAGE(AA762:AJ762)*4)</x:f>
      </x:c>
      <x:c r="CF762" s="178" t="str">
        <x:f>IF(COUNT(AK762:AR762)=0,"",AVERAGE(AK762:AR762)*4)</x:f>
      </x:c>
      <x:c r="CG762" s="178" t="str">
        <x:f>IF(COUNT(AS762:AY762)=0,"",AVERAGE(AS762:AY762)*4)</x:f>
      </x:c>
      <x:c r="CH762" s="178" t="str">
        <x:f>IF(COUNT(AZ762:BG762)=0,"",AVERAGE(AZ762:BG762)*4)</x:f>
      </x:c>
      <x:c r="CI762" s="178" t="str">
        <x:f>IF(COUNT(BH762:BN762)=0,"",AVERAGE(BH762:BN762)*4)</x:f>
      </x:c>
      <x:c r="CJ762" s="178" t="str">
        <x:f>IF(COUNT(BO762:BU762)=0,"",AVERAGE(BO762:BU762)*4)</x:f>
      </x:c>
      <x:c r="CK762" s="178" t="str">
        <x:f>IF(COUNT(BV762:CB762)=0,"",AVERAGE(BV762:CB762)*4)</x:f>
      </x:c>
      <x:c r="CL762" s="178" t="str">
        <x:f>IF(C762="","",IF(COUNT(G762:CB762)&lt;74,"",(CC762*'تنظیمات وزن‌دهی'!$C$5+CD762*'تنظیمات وزن‌دهی'!$C$6+CE762*'تنظیمات وزن‌دهی'!$C$7+CF762*'تنظیمات وزن‌دهی'!$C$8+CG762*'تنظیمات وزن‌دهی'!$C$9+CH762*'تنظیمات وزن‌دهی'!$C$10+CI762*'تنظیمات وزن‌دهی'!$C$11+CJ762*'تنظیمات وزن‌دهی'!$C$12+CK762*'تنظیمات وزن‌دهی'!$C$13)/100))</x:f>
      </x:c>
      <x:c r="CM762" s="178" t="str">
        <x:f>IF(C762="","",IF(COUNT(G762:CB762)=0,"",IF(COUNT(G762:CB762)&lt;74,"موقت - اطلاعات ناقص",IF(CL762&gt;=17,"عالی",IF(CL762&gt;=14,"خوب",IF(CL762&gt;=10,"متوسط","ضعیف"))))))</x:f>
      </x:c>
      <x:c r="CN762" s="178" t="n">
        <x:v>2</x:v>
      </x:c>
      <x:c r="CO762" s="142" t="n">
        <x:f>IF(C762="","",COUNT(G762:CB762)/74)</x:f>
        <x:v>0</x:v>
      </x:c>
      <x:c r="CP762" s="245"/>
    </x:row>
    <x:row r="763">
      <x:c r="A763" s="165" t="n">
        <x:v>759</x:v>
      </x:c>
      <x:c r="B763" s="233" t="str">
        <x:v>شهریور</x:v>
      </x:c>
      <x:c r="C763" s="233" t="n">
        <x:f>IF('دانش‌آموزان'!E68="","",'دانش‌آموزان'!B68)</x:f>
        <x:v>64</x:v>
      </x:c>
      <x:c r="D763" s="233" t="str">
        <x:f>IF('دانش‌آموزان'!C68="","",'دانش‌آموزان'!C68)</x:f>
        <x:v>4000000640</x:v>
      </x:c>
      <x:c r="E763" s="233" t="str">
        <x:f>IF('دانش‌آموزان'!E68="","",'دانش‌آموزان'!E68&amp;" "&amp;'دانش‌آموزان'!F68)</x:f>
        <x:v>زهرا محمدی</x:v>
      </x:c>
      <x:c r="F763" s="166" t="str">
        <x:f>IF('دانش‌آموزان'!I68="","",'دانش‌آموزان'!I68)</x:f>
        <x:v>sample-7-c</x:v>
      </x:c>
      <x:c r="G763" s="114"/>
      <x:c r="H763" s="115"/>
      <x:c r="I763" s="115"/>
      <x:c r="J763" s="115"/>
      <x:c r="K763" s="115"/>
      <x:c r="L763" s="115"/>
      <x:c r="M763" s="115"/>
      <x:c r="N763" s="115"/>
      <x:c r="O763" s="115"/>
      <x:c r="P763" s="115"/>
      <x:c r="Q763" s="115"/>
      <x:c r="R763" s="115"/>
      <x:c r="S763" s="115"/>
      <x:c r="T763" s="115"/>
      <x:c r="U763" s="115"/>
      <x:c r="V763" s="115"/>
      <x:c r="W763" s="115"/>
      <x:c r="X763" s="115"/>
      <x:c r="Y763" s="115"/>
      <x:c r="Z763" s="115"/>
      <x:c r="AA763" s="115"/>
      <x:c r="AB763" s="115"/>
      <x:c r="AC763" s="115"/>
      <x:c r="AD763" s="115"/>
      <x:c r="AE763" s="115"/>
      <x:c r="AF763" s="115"/>
      <x:c r="AG763" s="115"/>
      <x:c r="AH763" s="115"/>
      <x:c r="AI763" s="115"/>
      <x:c r="AJ763" s="115"/>
      <x:c r="AK763" s="115"/>
      <x:c r="AL763" s="115"/>
      <x:c r="AM763" s="115"/>
      <x:c r="AN763" s="115"/>
      <x:c r="AO763" s="115"/>
      <x:c r="AP763" s="115"/>
      <x:c r="AQ763" s="115"/>
      <x:c r="AR763" s="115"/>
      <x:c r="AS763" s="115"/>
      <x:c r="AT763" s="115"/>
      <x:c r="AU763" s="115"/>
      <x:c r="AV763" s="115"/>
      <x:c r="AW763" s="115"/>
      <x:c r="AX763" s="115"/>
      <x:c r="AY763" s="115"/>
      <x:c r="AZ763" s="115"/>
      <x:c r="BA763" s="115"/>
      <x:c r="BB763" s="115"/>
      <x:c r="BC763" s="115"/>
      <x:c r="BD763" s="115"/>
      <x:c r="BE763" s="115"/>
      <x:c r="BF763" s="115"/>
      <x:c r="BG763" s="115"/>
      <x:c r="BH763" s="115"/>
      <x:c r="BI763" s="115"/>
      <x:c r="BJ763" s="115"/>
      <x:c r="BK763" s="115"/>
      <x:c r="BL763" s="115"/>
      <x:c r="BM763" s="115"/>
      <x:c r="BN763" s="115"/>
      <x:c r="BO763" s="115"/>
      <x:c r="BP763" s="115"/>
      <x:c r="BQ763" s="115"/>
      <x:c r="BR763" s="115"/>
      <x:c r="BS763" s="115"/>
      <x:c r="BT763" s="115"/>
      <x:c r="BU763" s="115"/>
      <x:c r="BV763" s="115"/>
      <x:c r="BW763" s="115"/>
      <x:c r="BX763" s="115"/>
      <x:c r="BY763" s="115"/>
      <x:c r="BZ763" s="115"/>
      <x:c r="CA763" s="115"/>
      <x:c r="CB763" s="116"/>
      <x:c r="CC763" s="141" t="str">
        <x:f>IF(COUNT(G763:P763)=0,"",AVERAGE(G763:P763)*4)</x:f>
      </x:c>
      <x:c r="CD763" s="178" t="str">
        <x:f>IF(COUNT(Q763:Z763)=0,"",AVERAGE(Q763:Z763)*4)</x:f>
      </x:c>
      <x:c r="CE763" s="178" t="str">
        <x:f>IF(COUNT(AA763:AJ763)=0,"",AVERAGE(AA763:AJ763)*4)</x:f>
      </x:c>
      <x:c r="CF763" s="178" t="str">
        <x:f>IF(COUNT(AK763:AR763)=0,"",AVERAGE(AK763:AR763)*4)</x:f>
      </x:c>
      <x:c r="CG763" s="178" t="str">
        <x:f>IF(COUNT(AS763:AY763)=0,"",AVERAGE(AS763:AY763)*4)</x:f>
      </x:c>
      <x:c r="CH763" s="178" t="str">
        <x:f>IF(COUNT(AZ763:BG763)=0,"",AVERAGE(AZ763:BG763)*4)</x:f>
      </x:c>
      <x:c r="CI763" s="178" t="str">
        <x:f>IF(COUNT(BH763:BN763)=0,"",AVERAGE(BH763:BN763)*4)</x:f>
      </x:c>
      <x:c r="CJ763" s="178" t="str">
        <x:f>IF(COUNT(BO763:BU763)=0,"",AVERAGE(BO763:BU763)*4)</x:f>
      </x:c>
      <x:c r="CK763" s="178" t="str">
        <x:f>IF(COUNT(BV763:CB763)=0,"",AVERAGE(BV763:CB763)*4)</x:f>
      </x:c>
      <x:c r="CL763" s="178" t="str">
        <x:f>IF(C763="","",IF(COUNT(G763:CB763)&lt;74,"",(CC763*'تنظیمات وزن‌دهی'!$C$5+CD763*'تنظیمات وزن‌دهی'!$C$6+CE763*'تنظیمات وزن‌دهی'!$C$7+CF763*'تنظیمات وزن‌دهی'!$C$8+CG763*'تنظیمات وزن‌دهی'!$C$9+CH763*'تنظیمات وزن‌دهی'!$C$10+CI763*'تنظیمات وزن‌دهی'!$C$11+CJ763*'تنظیمات وزن‌دهی'!$C$12+CK763*'تنظیمات وزن‌دهی'!$C$13)/100))</x:f>
      </x:c>
      <x:c r="CM763" s="178" t="str">
        <x:f>IF(C763="","",IF(COUNT(G763:CB763)=0,"",IF(COUNT(G763:CB763)&lt;74,"موقت - اطلاعات ناقص",IF(CL763&gt;=17,"عالی",IF(CL763&gt;=14,"خوب",IF(CL763&gt;=10,"متوسط","ضعیف"))))))</x:f>
      </x:c>
      <x:c r="CN763" s="178" t="n">
        <x:v>3</x:v>
      </x:c>
      <x:c r="CO763" s="142" t="n">
        <x:f>IF(C763="","",COUNT(G763:CB763)/74)</x:f>
        <x:v>0</x:v>
      </x:c>
      <x:c r="CP763" s="245"/>
    </x:row>
    <x:row r="764">
      <x:c r="A764" s="165" t="n">
        <x:v>760</x:v>
      </x:c>
      <x:c r="B764" s="233" t="str">
        <x:v>مهر</x:v>
      </x:c>
      <x:c r="C764" s="233" t="n">
        <x:f>IF('دانش‌آموزان'!E68="","",'دانش‌آموزان'!B68)</x:f>
        <x:v>64</x:v>
      </x:c>
      <x:c r="D764" s="233" t="str">
        <x:f>IF('دانش‌آموزان'!C68="","",'دانش‌آموزان'!C68)</x:f>
        <x:v>4000000640</x:v>
      </x:c>
      <x:c r="E764" s="233" t="str">
        <x:f>IF('دانش‌آموزان'!E68="","",'دانش‌آموزان'!E68&amp;" "&amp;'دانش‌آموزان'!F68)</x:f>
        <x:v>زهرا محمدی</x:v>
      </x:c>
      <x:c r="F764" s="166" t="str">
        <x:f>IF('دانش‌آموزان'!I68="","",'دانش‌آموزان'!I68)</x:f>
        <x:v>sample-7-c</x:v>
      </x:c>
      <x:c r="G764" s="114"/>
      <x:c r="H764" s="115"/>
      <x:c r="I764" s="115"/>
      <x:c r="J764" s="115"/>
      <x:c r="K764" s="115"/>
      <x:c r="L764" s="115"/>
      <x:c r="M764" s="115"/>
      <x:c r="N764" s="115"/>
      <x:c r="O764" s="115"/>
      <x:c r="P764" s="115"/>
      <x:c r="Q764" s="115"/>
      <x:c r="R764" s="115"/>
      <x:c r="S764" s="115"/>
      <x:c r="T764" s="115"/>
      <x:c r="U764" s="115"/>
      <x:c r="V764" s="115"/>
      <x:c r="W764" s="115"/>
      <x:c r="X764" s="115"/>
      <x:c r="Y764" s="115"/>
      <x:c r="Z764" s="115"/>
      <x:c r="AA764" s="115"/>
      <x:c r="AB764" s="115"/>
      <x:c r="AC764" s="115"/>
      <x:c r="AD764" s="115"/>
      <x:c r="AE764" s="115"/>
      <x:c r="AF764" s="115"/>
      <x:c r="AG764" s="115"/>
      <x:c r="AH764" s="115"/>
      <x:c r="AI764" s="115"/>
      <x:c r="AJ764" s="115"/>
      <x:c r="AK764" s="115"/>
      <x:c r="AL764" s="115"/>
      <x:c r="AM764" s="115"/>
      <x:c r="AN764" s="115"/>
      <x:c r="AO764" s="115"/>
      <x:c r="AP764" s="115"/>
      <x:c r="AQ764" s="115"/>
      <x:c r="AR764" s="115"/>
      <x:c r="AS764" s="115"/>
      <x:c r="AT764" s="115"/>
      <x:c r="AU764" s="115"/>
      <x:c r="AV764" s="115"/>
      <x:c r="AW764" s="115"/>
      <x:c r="AX764" s="115"/>
      <x:c r="AY764" s="115"/>
      <x:c r="AZ764" s="115"/>
      <x:c r="BA764" s="115"/>
      <x:c r="BB764" s="115"/>
      <x:c r="BC764" s="115"/>
      <x:c r="BD764" s="115"/>
      <x:c r="BE764" s="115"/>
      <x:c r="BF764" s="115"/>
      <x:c r="BG764" s="115"/>
      <x:c r="BH764" s="115"/>
      <x:c r="BI764" s="115"/>
      <x:c r="BJ764" s="115"/>
      <x:c r="BK764" s="115"/>
      <x:c r="BL764" s="115"/>
      <x:c r="BM764" s="115"/>
      <x:c r="BN764" s="115"/>
      <x:c r="BO764" s="115"/>
      <x:c r="BP764" s="115"/>
      <x:c r="BQ764" s="115"/>
      <x:c r="BR764" s="115"/>
      <x:c r="BS764" s="115"/>
      <x:c r="BT764" s="115"/>
      <x:c r="BU764" s="115"/>
      <x:c r="BV764" s="115"/>
      <x:c r="BW764" s="115"/>
      <x:c r="BX764" s="115"/>
      <x:c r="BY764" s="115"/>
      <x:c r="BZ764" s="115"/>
      <x:c r="CA764" s="115"/>
      <x:c r="CB764" s="116"/>
      <x:c r="CC764" s="141" t="str">
        <x:f>IF(COUNT(G764:P764)=0,"",AVERAGE(G764:P764)*4)</x:f>
      </x:c>
      <x:c r="CD764" s="178" t="str">
        <x:f>IF(COUNT(Q764:Z764)=0,"",AVERAGE(Q764:Z764)*4)</x:f>
      </x:c>
      <x:c r="CE764" s="178" t="str">
        <x:f>IF(COUNT(AA764:AJ764)=0,"",AVERAGE(AA764:AJ764)*4)</x:f>
      </x:c>
      <x:c r="CF764" s="178" t="str">
        <x:f>IF(COUNT(AK764:AR764)=0,"",AVERAGE(AK764:AR764)*4)</x:f>
      </x:c>
      <x:c r="CG764" s="178" t="str">
        <x:f>IF(COUNT(AS764:AY764)=0,"",AVERAGE(AS764:AY764)*4)</x:f>
      </x:c>
      <x:c r="CH764" s="178" t="str">
        <x:f>IF(COUNT(AZ764:BG764)=0,"",AVERAGE(AZ764:BG764)*4)</x:f>
      </x:c>
      <x:c r="CI764" s="178" t="str">
        <x:f>IF(COUNT(BH764:BN764)=0,"",AVERAGE(BH764:BN764)*4)</x:f>
      </x:c>
      <x:c r="CJ764" s="178" t="str">
        <x:f>IF(COUNT(BO764:BU764)=0,"",AVERAGE(BO764:BU764)*4)</x:f>
      </x:c>
      <x:c r="CK764" s="178" t="str">
        <x:f>IF(COUNT(BV764:CB764)=0,"",AVERAGE(BV764:CB764)*4)</x:f>
      </x:c>
      <x:c r="CL764" s="178" t="str">
        <x:f>IF(C764="","",IF(COUNT(G764:CB764)&lt;74,"",(CC764*'تنظیمات وزن‌دهی'!$C$5+CD764*'تنظیمات وزن‌دهی'!$C$6+CE764*'تنظیمات وزن‌دهی'!$C$7+CF764*'تنظیمات وزن‌دهی'!$C$8+CG764*'تنظیمات وزن‌دهی'!$C$9+CH764*'تنظیمات وزن‌دهی'!$C$10+CI764*'تنظیمات وزن‌دهی'!$C$11+CJ764*'تنظیمات وزن‌دهی'!$C$12+CK764*'تنظیمات وزن‌دهی'!$C$13)/100))</x:f>
      </x:c>
      <x:c r="CM764" s="178" t="str">
        <x:f>IF(C764="","",IF(COUNT(G764:CB764)=0,"",IF(COUNT(G764:CB764)&lt;74,"موقت - اطلاعات ناقص",IF(CL764&gt;=17,"عالی",IF(CL764&gt;=14,"خوب",IF(CL764&gt;=10,"متوسط","ضعیف"))))))</x:f>
      </x:c>
      <x:c r="CN764" s="178" t="n">
        <x:v>4</x:v>
      </x:c>
      <x:c r="CO764" s="142" t="n">
        <x:f>IF(C764="","",COUNT(G764:CB764)/74)</x:f>
        <x:v>0</x:v>
      </x:c>
      <x:c r="CP764" s="245"/>
    </x:row>
    <x:row r="765">
      <x:c r="A765" s="165" t="n">
        <x:v>761</x:v>
      </x:c>
      <x:c r="B765" s="233" t="str">
        <x:v>آبان</x:v>
      </x:c>
      <x:c r="C765" s="233" t="n">
        <x:f>IF('دانش‌آموزان'!E68="","",'دانش‌آموزان'!B68)</x:f>
        <x:v>64</x:v>
      </x:c>
      <x:c r="D765" s="233" t="str">
        <x:f>IF('دانش‌آموزان'!C68="","",'دانش‌آموزان'!C68)</x:f>
        <x:v>4000000640</x:v>
      </x:c>
      <x:c r="E765" s="233" t="str">
        <x:f>IF('دانش‌آموزان'!E68="","",'دانش‌آموزان'!E68&amp;" "&amp;'دانش‌آموزان'!F68)</x:f>
        <x:v>زهرا محمدی</x:v>
      </x:c>
      <x:c r="F765" s="166" t="str">
        <x:f>IF('دانش‌آموزان'!I68="","",'دانش‌آموزان'!I68)</x:f>
        <x:v>sample-7-c</x:v>
      </x:c>
      <x:c r="G765" s="114"/>
      <x:c r="H765" s="115"/>
      <x:c r="I765" s="115"/>
      <x:c r="J765" s="115"/>
      <x:c r="K765" s="115"/>
      <x:c r="L765" s="115"/>
      <x:c r="M765" s="115"/>
      <x:c r="N765" s="115"/>
      <x:c r="O765" s="115"/>
      <x:c r="P765" s="115"/>
      <x:c r="Q765" s="115"/>
      <x:c r="R765" s="115"/>
      <x:c r="S765" s="115"/>
      <x:c r="T765" s="115"/>
      <x:c r="U765" s="115"/>
      <x:c r="V765" s="115"/>
      <x:c r="W765" s="115"/>
      <x:c r="X765" s="115"/>
      <x:c r="Y765" s="115"/>
      <x:c r="Z765" s="115"/>
      <x:c r="AA765" s="115"/>
      <x:c r="AB765" s="115"/>
      <x:c r="AC765" s="115"/>
      <x:c r="AD765" s="115"/>
      <x:c r="AE765" s="115"/>
      <x:c r="AF765" s="115"/>
      <x:c r="AG765" s="115"/>
      <x:c r="AH765" s="115"/>
      <x:c r="AI765" s="115"/>
      <x:c r="AJ765" s="115"/>
      <x:c r="AK765" s="115"/>
      <x:c r="AL765" s="115"/>
      <x:c r="AM765" s="115"/>
      <x:c r="AN765" s="115"/>
      <x:c r="AO765" s="115"/>
      <x:c r="AP765" s="115"/>
      <x:c r="AQ765" s="115"/>
      <x:c r="AR765" s="115"/>
      <x:c r="AS765" s="115"/>
      <x:c r="AT765" s="115"/>
      <x:c r="AU765" s="115"/>
      <x:c r="AV765" s="115"/>
      <x:c r="AW765" s="115"/>
      <x:c r="AX765" s="115"/>
      <x:c r="AY765" s="115"/>
      <x:c r="AZ765" s="115"/>
      <x:c r="BA765" s="115"/>
      <x:c r="BB765" s="115"/>
      <x:c r="BC765" s="115"/>
      <x:c r="BD765" s="115"/>
      <x:c r="BE765" s="115"/>
      <x:c r="BF765" s="115"/>
      <x:c r="BG765" s="115"/>
      <x:c r="BH765" s="115"/>
      <x:c r="BI765" s="115"/>
      <x:c r="BJ765" s="115"/>
      <x:c r="BK765" s="115"/>
      <x:c r="BL765" s="115"/>
      <x:c r="BM765" s="115"/>
      <x:c r="BN765" s="115"/>
      <x:c r="BO765" s="115"/>
      <x:c r="BP765" s="115"/>
      <x:c r="BQ765" s="115"/>
      <x:c r="BR765" s="115"/>
      <x:c r="BS765" s="115"/>
      <x:c r="BT765" s="115"/>
      <x:c r="BU765" s="115"/>
      <x:c r="BV765" s="115"/>
      <x:c r="BW765" s="115"/>
      <x:c r="BX765" s="115"/>
      <x:c r="BY765" s="115"/>
      <x:c r="BZ765" s="115"/>
      <x:c r="CA765" s="115"/>
      <x:c r="CB765" s="116"/>
      <x:c r="CC765" s="141" t="str">
        <x:f>IF(COUNT(G765:P765)=0,"",AVERAGE(G765:P765)*4)</x:f>
      </x:c>
      <x:c r="CD765" s="178" t="str">
        <x:f>IF(COUNT(Q765:Z765)=0,"",AVERAGE(Q765:Z765)*4)</x:f>
      </x:c>
      <x:c r="CE765" s="178" t="str">
        <x:f>IF(COUNT(AA765:AJ765)=0,"",AVERAGE(AA765:AJ765)*4)</x:f>
      </x:c>
      <x:c r="CF765" s="178" t="str">
        <x:f>IF(COUNT(AK765:AR765)=0,"",AVERAGE(AK765:AR765)*4)</x:f>
      </x:c>
      <x:c r="CG765" s="178" t="str">
        <x:f>IF(COUNT(AS765:AY765)=0,"",AVERAGE(AS765:AY765)*4)</x:f>
      </x:c>
      <x:c r="CH765" s="178" t="str">
        <x:f>IF(COUNT(AZ765:BG765)=0,"",AVERAGE(AZ765:BG765)*4)</x:f>
      </x:c>
      <x:c r="CI765" s="178" t="str">
        <x:f>IF(COUNT(BH765:BN765)=0,"",AVERAGE(BH765:BN765)*4)</x:f>
      </x:c>
      <x:c r="CJ765" s="178" t="str">
        <x:f>IF(COUNT(BO765:BU765)=0,"",AVERAGE(BO765:BU765)*4)</x:f>
      </x:c>
      <x:c r="CK765" s="178" t="str">
        <x:f>IF(COUNT(BV765:CB765)=0,"",AVERAGE(BV765:CB765)*4)</x:f>
      </x:c>
      <x:c r="CL765" s="178" t="str">
        <x:f>IF(C765="","",IF(COUNT(G765:CB765)&lt;74,"",(CC765*'تنظیمات وزن‌دهی'!$C$5+CD765*'تنظیمات وزن‌دهی'!$C$6+CE765*'تنظیمات وزن‌دهی'!$C$7+CF765*'تنظیمات وزن‌دهی'!$C$8+CG765*'تنظیمات وزن‌دهی'!$C$9+CH765*'تنظیمات وزن‌دهی'!$C$10+CI765*'تنظیمات وزن‌دهی'!$C$11+CJ765*'تنظیمات وزن‌دهی'!$C$12+CK765*'تنظیمات وزن‌دهی'!$C$13)/100))</x:f>
      </x:c>
      <x:c r="CM765" s="178" t="str">
        <x:f>IF(C765="","",IF(COUNT(G765:CB765)=0,"",IF(COUNT(G765:CB765)&lt;74,"موقت - اطلاعات ناقص",IF(CL765&gt;=17,"عالی",IF(CL765&gt;=14,"خوب",IF(CL765&gt;=10,"متوسط","ضعیف"))))))</x:f>
      </x:c>
      <x:c r="CN765" s="178" t="n">
        <x:v>5</x:v>
      </x:c>
      <x:c r="CO765" s="142" t="n">
        <x:f>IF(C765="","",COUNT(G765:CB765)/74)</x:f>
        <x:v>0</x:v>
      </x:c>
      <x:c r="CP765" s="245"/>
    </x:row>
    <x:row r="766">
      <x:c r="A766" s="165" t="n">
        <x:v>762</x:v>
      </x:c>
      <x:c r="B766" s="233" t="str">
        <x:v>آذر</x:v>
      </x:c>
      <x:c r="C766" s="233" t="n">
        <x:f>IF('دانش‌آموزان'!E68="","",'دانش‌آموزان'!B68)</x:f>
        <x:v>64</x:v>
      </x:c>
      <x:c r="D766" s="233" t="str">
        <x:f>IF('دانش‌آموزان'!C68="","",'دانش‌آموزان'!C68)</x:f>
        <x:v>4000000640</x:v>
      </x:c>
      <x:c r="E766" s="233" t="str">
        <x:f>IF('دانش‌آموزان'!E68="","",'دانش‌آموزان'!E68&amp;" "&amp;'دانش‌آموزان'!F68)</x:f>
        <x:v>زهرا محمدی</x:v>
      </x:c>
      <x:c r="F766" s="166" t="str">
        <x:f>IF('دانش‌آموزان'!I68="","",'دانش‌آموزان'!I68)</x:f>
        <x:v>sample-7-c</x:v>
      </x:c>
      <x:c r="G766" s="114"/>
      <x:c r="H766" s="115"/>
      <x:c r="I766" s="115"/>
      <x:c r="J766" s="115"/>
      <x:c r="K766" s="115"/>
      <x:c r="L766" s="115"/>
      <x:c r="M766" s="115"/>
      <x:c r="N766" s="115"/>
      <x:c r="O766" s="115"/>
      <x:c r="P766" s="115"/>
      <x:c r="Q766" s="115"/>
      <x:c r="R766" s="115"/>
      <x:c r="S766" s="115"/>
      <x:c r="T766" s="115"/>
      <x:c r="U766" s="115"/>
      <x:c r="V766" s="115"/>
      <x:c r="W766" s="115"/>
      <x:c r="X766" s="115"/>
      <x:c r="Y766" s="115"/>
      <x:c r="Z766" s="115"/>
      <x:c r="AA766" s="115"/>
      <x:c r="AB766" s="115"/>
      <x:c r="AC766" s="115"/>
      <x:c r="AD766" s="115"/>
      <x:c r="AE766" s="115"/>
      <x:c r="AF766" s="115"/>
      <x:c r="AG766" s="115"/>
      <x:c r="AH766" s="115"/>
      <x:c r="AI766" s="115"/>
      <x:c r="AJ766" s="115"/>
      <x:c r="AK766" s="115"/>
      <x:c r="AL766" s="115"/>
      <x:c r="AM766" s="115"/>
      <x:c r="AN766" s="115"/>
      <x:c r="AO766" s="115"/>
      <x:c r="AP766" s="115"/>
      <x:c r="AQ766" s="115"/>
      <x:c r="AR766" s="115"/>
      <x:c r="AS766" s="115"/>
      <x:c r="AT766" s="115"/>
      <x:c r="AU766" s="115"/>
      <x:c r="AV766" s="115"/>
      <x:c r="AW766" s="115"/>
      <x:c r="AX766" s="115"/>
      <x:c r="AY766" s="115"/>
      <x:c r="AZ766" s="115"/>
      <x:c r="BA766" s="115"/>
      <x:c r="BB766" s="115"/>
      <x:c r="BC766" s="115"/>
      <x:c r="BD766" s="115"/>
      <x:c r="BE766" s="115"/>
      <x:c r="BF766" s="115"/>
      <x:c r="BG766" s="115"/>
      <x:c r="BH766" s="115"/>
      <x:c r="BI766" s="115"/>
      <x:c r="BJ766" s="115"/>
      <x:c r="BK766" s="115"/>
      <x:c r="BL766" s="115"/>
      <x:c r="BM766" s="115"/>
      <x:c r="BN766" s="115"/>
      <x:c r="BO766" s="115"/>
      <x:c r="BP766" s="115"/>
      <x:c r="BQ766" s="115"/>
      <x:c r="BR766" s="115"/>
      <x:c r="BS766" s="115"/>
      <x:c r="BT766" s="115"/>
      <x:c r="BU766" s="115"/>
      <x:c r="BV766" s="115"/>
      <x:c r="BW766" s="115"/>
      <x:c r="BX766" s="115"/>
      <x:c r="BY766" s="115"/>
      <x:c r="BZ766" s="115"/>
      <x:c r="CA766" s="115"/>
      <x:c r="CB766" s="116"/>
      <x:c r="CC766" s="141" t="str">
        <x:f>IF(COUNT(G766:P766)=0,"",AVERAGE(G766:P766)*4)</x:f>
      </x:c>
      <x:c r="CD766" s="178" t="str">
        <x:f>IF(COUNT(Q766:Z766)=0,"",AVERAGE(Q766:Z766)*4)</x:f>
      </x:c>
      <x:c r="CE766" s="178" t="str">
        <x:f>IF(COUNT(AA766:AJ766)=0,"",AVERAGE(AA766:AJ766)*4)</x:f>
      </x:c>
      <x:c r="CF766" s="178" t="str">
        <x:f>IF(COUNT(AK766:AR766)=0,"",AVERAGE(AK766:AR766)*4)</x:f>
      </x:c>
      <x:c r="CG766" s="178" t="str">
        <x:f>IF(COUNT(AS766:AY766)=0,"",AVERAGE(AS766:AY766)*4)</x:f>
      </x:c>
      <x:c r="CH766" s="178" t="str">
        <x:f>IF(COUNT(AZ766:BG766)=0,"",AVERAGE(AZ766:BG766)*4)</x:f>
      </x:c>
      <x:c r="CI766" s="178" t="str">
        <x:f>IF(COUNT(BH766:BN766)=0,"",AVERAGE(BH766:BN766)*4)</x:f>
      </x:c>
      <x:c r="CJ766" s="178" t="str">
        <x:f>IF(COUNT(BO766:BU766)=0,"",AVERAGE(BO766:BU766)*4)</x:f>
      </x:c>
      <x:c r="CK766" s="178" t="str">
        <x:f>IF(COUNT(BV766:CB766)=0,"",AVERAGE(BV766:CB766)*4)</x:f>
      </x:c>
      <x:c r="CL766" s="178" t="str">
        <x:f>IF(C766="","",IF(COUNT(G766:CB766)&lt;74,"",(CC766*'تنظیمات وزن‌دهی'!$C$5+CD766*'تنظیمات وزن‌دهی'!$C$6+CE766*'تنظیمات وزن‌دهی'!$C$7+CF766*'تنظیمات وزن‌دهی'!$C$8+CG766*'تنظیمات وزن‌دهی'!$C$9+CH766*'تنظیمات وزن‌دهی'!$C$10+CI766*'تنظیمات وزن‌دهی'!$C$11+CJ766*'تنظیمات وزن‌دهی'!$C$12+CK766*'تنظیمات وزن‌دهی'!$C$13)/100))</x:f>
      </x:c>
      <x:c r="CM766" s="178" t="str">
        <x:f>IF(C766="","",IF(COUNT(G766:CB766)=0,"",IF(COUNT(G766:CB766)&lt;74,"موقت - اطلاعات ناقص",IF(CL766&gt;=17,"عالی",IF(CL766&gt;=14,"خوب",IF(CL766&gt;=10,"متوسط","ضعیف"))))))</x:f>
      </x:c>
      <x:c r="CN766" s="178" t="n">
        <x:v>6</x:v>
      </x:c>
      <x:c r="CO766" s="142" t="n">
        <x:f>IF(C766="","",COUNT(G766:CB766)/74)</x:f>
        <x:v>0</x:v>
      </x:c>
      <x:c r="CP766" s="245"/>
    </x:row>
    <x:row r="767">
      <x:c r="A767" s="165" t="n">
        <x:v>763</x:v>
      </x:c>
      <x:c r="B767" s="233" t="str">
        <x:v>دی</x:v>
      </x:c>
      <x:c r="C767" s="233" t="n">
        <x:f>IF('دانش‌آموزان'!E68="","",'دانش‌آموزان'!B68)</x:f>
        <x:v>64</x:v>
      </x:c>
      <x:c r="D767" s="233" t="str">
        <x:f>IF('دانش‌آموزان'!C68="","",'دانش‌آموزان'!C68)</x:f>
        <x:v>4000000640</x:v>
      </x:c>
      <x:c r="E767" s="233" t="str">
        <x:f>IF('دانش‌آموزان'!E68="","",'دانش‌آموزان'!E68&amp;" "&amp;'دانش‌آموزان'!F68)</x:f>
        <x:v>زهرا محمدی</x:v>
      </x:c>
      <x:c r="F767" s="166" t="str">
        <x:f>IF('دانش‌آموزان'!I68="","",'دانش‌آموزان'!I68)</x:f>
        <x:v>sample-7-c</x:v>
      </x:c>
      <x:c r="G767" s="114"/>
      <x:c r="H767" s="115"/>
      <x:c r="I767" s="115"/>
      <x:c r="J767" s="115"/>
      <x:c r="K767" s="115"/>
      <x:c r="L767" s="115"/>
      <x:c r="M767" s="115"/>
      <x:c r="N767" s="115"/>
      <x:c r="O767" s="115"/>
      <x:c r="P767" s="115"/>
      <x:c r="Q767" s="115"/>
      <x:c r="R767" s="115"/>
      <x:c r="S767" s="115"/>
      <x:c r="T767" s="115"/>
      <x:c r="U767" s="115"/>
      <x:c r="V767" s="115"/>
      <x:c r="W767" s="115"/>
      <x:c r="X767" s="115"/>
      <x:c r="Y767" s="115"/>
      <x:c r="Z767" s="115"/>
      <x:c r="AA767" s="115"/>
      <x:c r="AB767" s="115"/>
      <x:c r="AC767" s="115"/>
      <x:c r="AD767" s="115"/>
      <x:c r="AE767" s="115"/>
      <x:c r="AF767" s="115"/>
      <x:c r="AG767" s="115"/>
      <x:c r="AH767" s="115"/>
      <x:c r="AI767" s="115"/>
      <x:c r="AJ767" s="115"/>
      <x:c r="AK767" s="115"/>
      <x:c r="AL767" s="115"/>
      <x:c r="AM767" s="115"/>
      <x:c r="AN767" s="115"/>
      <x:c r="AO767" s="115"/>
      <x:c r="AP767" s="115"/>
      <x:c r="AQ767" s="115"/>
      <x:c r="AR767" s="115"/>
      <x:c r="AS767" s="115"/>
      <x:c r="AT767" s="115"/>
      <x:c r="AU767" s="115"/>
      <x:c r="AV767" s="115"/>
      <x:c r="AW767" s="115"/>
      <x:c r="AX767" s="115"/>
      <x:c r="AY767" s="115"/>
      <x:c r="AZ767" s="115"/>
      <x:c r="BA767" s="115"/>
      <x:c r="BB767" s="115"/>
      <x:c r="BC767" s="115"/>
      <x:c r="BD767" s="115"/>
      <x:c r="BE767" s="115"/>
      <x:c r="BF767" s="115"/>
      <x:c r="BG767" s="115"/>
      <x:c r="BH767" s="115"/>
      <x:c r="BI767" s="115"/>
      <x:c r="BJ767" s="115"/>
      <x:c r="BK767" s="115"/>
      <x:c r="BL767" s="115"/>
      <x:c r="BM767" s="115"/>
      <x:c r="BN767" s="115"/>
      <x:c r="BO767" s="115"/>
      <x:c r="BP767" s="115"/>
      <x:c r="BQ767" s="115"/>
      <x:c r="BR767" s="115"/>
      <x:c r="BS767" s="115"/>
      <x:c r="BT767" s="115"/>
      <x:c r="BU767" s="115"/>
      <x:c r="BV767" s="115"/>
      <x:c r="BW767" s="115"/>
      <x:c r="BX767" s="115"/>
      <x:c r="BY767" s="115"/>
      <x:c r="BZ767" s="115"/>
      <x:c r="CA767" s="115"/>
      <x:c r="CB767" s="116"/>
      <x:c r="CC767" s="141" t="str">
        <x:f>IF(COUNT(G767:P767)=0,"",AVERAGE(G767:P767)*4)</x:f>
      </x:c>
      <x:c r="CD767" s="178" t="str">
        <x:f>IF(COUNT(Q767:Z767)=0,"",AVERAGE(Q767:Z767)*4)</x:f>
      </x:c>
      <x:c r="CE767" s="178" t="str">
        <x:f>IF(COUNT(AA767:AJ767)=0,"",AVERAGE(AA767:AJ767)*4)</x:f>
      </x:c>
      <x:c r="CF767" s="178" t="str">
        <x:f>IF(COUNT(AK767:AR767)=0,"",AVERAGE(AK767:AR767)*4)</x:f>
      </x:c>
      <x:c r="CG767" s="178" t="str">
        <x:f>IF(COUNT(AS767:AY767)=0,"",AVERAGE(AS767:AY767)*4)</x:f>
      </x:c>
      <x:c r="CH767" s="178" t="str">
        <x:f>IF(COUNT(AZ767:BG767)=0,"",AVERAGE(AZ767:BG767)*4)</x:f>
      </x:c>
      <x:c r="CI767" s="178" t="str">
        <x:f>IF(COUNT(BH767:BN767)=0,"",AVERAGE(BH767:BN767)*4)</x:f>
      </x:c>
      <x:c r="CJ767" s="178" t="str">
        <x:f>IF(COUNT(BO767:BU767)=0,"",AVERAGE(BO767:BU767)*4)</x:f>
      </x:c>
      <x:c r="CK767" s="178" t="str">
        <x:f>IF(COUNT(BV767:CB767)=0,"",AVERAGE(BV767:CB767)*4)</x:f>
      </x:c>
      <x:c r="CL767" s="178" t="str">
        <x:f>IF(C767="","",IF(COUNT(G767:CB767)&lt;74,"",(CC767*'تنظیمات وزن‌دهی'!$C$5+CD767*'تنظیمات وزن‌دهی'!$C$6+CE767*'تنظیمات وزن‌دهی'!$C$7+CF767*'تنظیمات وزن‌دهی'!$C$8+CG767*'تنظیمات وزن‌دهی'!$C$9+CH767*'تنظیمات وزن‌دهی'!$C$10+CI767*'تنظیمات وزن‌دهی'!$C$11+CJ767*'تنظیمات وزن‌دهی'!$C$12+CK767*'تنظیمات وزن‌دهی'!$C$13)/100))</x:f>
      </x:c>
      <x:c r="CM767" s="178" t="str">
        <x:f>IF(C767="","",IF(COUNT(G767:CB767)=0,"",IF(COUNT(G767:CB767)&lt;74,"موقت - اطلاعات ناقص",IF(CL767&gt;=17,"عالی",IF(CL767&gt;=14,"خوب",IF(CL767&gt;=10,"متوسط","ضعیف"))))))</x:f>
      </x:c>
      <x:c r="CN767" s="178" t="n">
        <x:v>7</x:v>
      </x:c>
      <x:c r="CO767" s="142" t="n">
        <x:f>IF(C767="","",COUNT(G767:CB767)/74)</x:f>
        <x:v>0</x:v>
      </x:c>
      <x:c r="CP767" s="245"/>
    </x:row>
    <x:row r="768">
      <x:c r="A768" s="165" t="n">
        <x:v>764</x:v>
      </x:c>
      <x:c r="B768" s="233" t="str">
        <x:v>بهمن</x:v>
      </x:c>
      <x:c r="C768" s="233" t="n">
        <x:f>IF('دانش‌آموزان'!E68="","",'دانش‌آموزان'!B68)</x:f>
        <x:v>64</x:v>
      </x:c>
      <x:c r="D768" s="233" t="str">
        <x:f>IF('دانش‌آموزان'!C68="","",'دانش‌آموزان'!C68)</x:f>
        <x:v>4000000640</x:v>
      </x:c>
      <x:c r="E768" s="233" t="str">
        <x:f>IF('دانش‌آموزان'!E68="","",'دانش‌آموزان'!E68&amp;" "&amp;'دانش‌آموزان'!F68)</x:f>
        <x:v>زهرا محمدی</x:v>
      </x:c>
      <x:c r="F768" s="166" t="str">
        <x:f>IF('دانش‌آموزان'!I68="","",'دانش‌آموزان'!I68)</x:f>
        <x:v>sample-7-c</x:v>
      </x:c>
      <x:c r="G768" s="114"/>
      <x:c r="H768" s="115"/>
      <x:c r="I768" s="115"/>
      <x:c r="J768" s="115"/>
      <x:c r="K768" s="115"/>
      <x:c r="L768" s="115"/>
      <x:c r="M768" s="115"/>
      <x:c r="N768" s="115"/>
      <x:c r="O768" s="115"/>
      <x:c r="P768" s="115"/>
      <x:c r="Q768" s="115"/>
      <x:c r="R768" s="115"/>
      <x:c r="S768" s="115"/>
      <x:c r="T768" s="115"/>
      <x:c r="U768" s="115"/>
      <x:c r="V768" s="115"/>
      <x:c r="W768" s="115"/>
      <x:c r="X768" s="115"/>
      <x:c r="Y768" s="115"/>
      <x:c r="Z768" s="115"/>
      <x:c r="AA768" s="115"/>
      <x:c r="AB768" s="115"/>
      <x:c r="AC768" s="115"/>
      <x:c r="AD768" s="115"/>
      <x:c r="AE768" s="115"/>
      <x:c r="AF768" s="115"/>
      <x:c r="AG768" s="115"/>
      <x:c r="AH768" s="115"/>
      <x:c r="AI768" s="115"/>
      <x:c r="AJ768" s="115"/>
      <x:c r="AK768" s="115"/>
      <x:c r="AL768" s="115"/>
      <x:c r="AM768" s="115"/>
      <x:c r="AN768" s="115"/>
      <x:c r="AO768" s="115"/>
      <x:c r="AP768" s="115"/>
      <x:c r="AQ768" s="115"/>
      <x:c r="AR768" s="115"/>
      <x:c r="AS768" s="115"/>
      <x:c r="AT768" s="115"/>
      <x:c r="AU768" s="115"/>
      <x:c r="AV768" s="115"/>
      <x:c r="AW768" s="115"/>
      <x:c r="AX768" s="115"/>
      <x:c r="AY768" s="115"/>
      <x:c r="AZ768" s="115"/>
      <x:c r="BA768" s="115"/>
      <x:c r="BB768" s="115"/>
      <x:c r="BC768" s="115"/>
      <x:c r="BD768" s="115"/>
      <x:c r="BE768" s="115"/>
      <x:c r="BF768" s="115"/>
      <x:c r="BG768" s="115"/>
      <x:c r="BH768" s="115"/>
      <x:c r="BI768" s="115"/>
      <x:c r="BJ768" s="115"/>
      <x:c r="BK768" s="115"/>
      <x:c r="BL768" s="115"/>
      <x:c r="BM768" s="115"/>
      <x:c r="BN768" s="115"/>
      <x:c r="BO768" s="115"/>
      <x:c r="BP768" s="115"/>
      <x:c r="BQ768" s="115"/>
      <x:c r="BR768" s="115"/>
      <x:c r="BS768" s="115"/>
      <x:c r="BT768" s="115"/>
      <x:c r="BU768" s="115"/>
      <x:c r="BV768" s="115"/>
      <x:c r="BW768" s="115"/>
      <x:c r="BX768" s="115"/>
      <x:c r="BY768" s="115"/>
      <x:c r="BZ768" s="115"/>
      <x:c r="CA768" s="115"/>
      <x:c r="CB768" s="116"/>
      <x:c r="CC768" s="141" t="str">
        <x:f>IF(COUNT(G768:P768)=0,"",AVERAGE(G768:P768)*4)</x:f>
      </x:c>
      <x:c r="CD768" s="178" t="str">
        <x:f>IF(COUNT(Q768:Z768)=0,"",AVERAGE(Q768:Z768)*4)</x:f>
      </x:c>
      <x:c r="CE768" s="178" t="str">
        <x:f>IF(COUNT(AA768:AJ768)=0,"",AVERAGE(AA768:AJ768)*4)</x:f>
      </x:c>
      <x:c r="CF768" s="178" t="str">
        <x:f>IF(COUNT(AK768:AR768)=0,"",AVERAGE(AK768:AR768)*4)</x:f>
      </x:c>
      <x:c r="CG768" s="178" t="str">
        <x:f>IF(COUNT(AS768:AY768)=0,"",AVERAGE(AS768:AY768)*4)</x:f>
      </x:c>
      <x:c r="CH768" s="178" t="str">
        <x:f>IF(COUNT(AZ768:BG768)=0,"",AVERAGE(AZ768:BG768)*4)</x:f>
      </x:c>
      <x:c r="CI768" s="178" t="str">
        <x:f>IF(COUNT(BH768:BN768)=0,"",AVERAGE(BH768:BN768)*4)</x:f>
      </x:c>
      <x:c r="CJ768" s="178" t="str">
        <x:f>IF(COUNT(BO768:BU768)=0,"",AVERAGE(BO768:BU768)*4)</x:f>
      </x:c>
      <x:c r="CK768" s="178" t="str">
        <x:f>IF(COUNT(BV768:CB768)=0,"",AVERAGE(BV768:CB768)*4)</x:f>
      </x:c>
      <x:c r="CL768" s="178" t="str">
        <x:f>IF(C768="","",IF(COUNT(G768:CB768)&lt;74,"",(CC768*'تنظیمات وزن‌دهی'!$C$5+CD768*'تنظیمات وزن‌دهی'!$C$6+CE768*'تنظیمات وزن‌دهی'!$C$7+CF768*'تنظیمات وزن‌دهی'!$C$8+CG768*'تنظیمات وزن‌دهی'!$C$9+CH768*'تنظیمات وزن‌دهی'!$C$10+CI768*'تنظیمات وزن‌دهی'!$C$11+CJ768*'تنظیمات وزن‌دهی'!$C$12+CK768*'تنظیمات وزن‌دهی'!$C$13)/100))</x:f>
      </x:c>
      <x:c r="CM768" s="178" t="str">
        <x:f>IF(C768="","",IF(COUNT(G768:CB768)=0,"",IF(COUNT(G768:CB768)&lt;74,"موقت - اطلاعات ناقص",IF(CL768&gt;=17,"عالی",IF(CL768&gt;=14,"خوب",IF(CL768&gt;=10,"متوسط","ضعیف"))))))</x:f>
      </x:c>
      <x:c r="CN768" s="178" t="n">
        <x:v>8</x:v>
      </x:c>
      <x:c r="CO768" s="142" t="n">
        <x:f>IF(C768="","",COUNT(G768:CB768)/74)</x:f>
        <x:v>0</x:v>
      </x:c>
      <x:c r="CP768" s="245"/>
    </x:row>
    <x:row r="769">
      <x:c r="A769" s="165" t="n">
        <x:v>765</x:v>
      </x:c>
      <x:c r="B769" s="233" t="str">
        <x:v>اسفند</x:v>
      </x:c>
      <x:c r="C769" s="233" t="n">
        <x:f>IF('دانش‌آموزان'!E68="","",'دانش‌آموزان'!B68)</x:f>
        <x:v>64</x:v>
      </x:c>
      <x:c r="D769" s="233" t="str">
        <x:f>IF('دانش‌آموزان'!C68="","",'دانش‌آموزان'!C68)</x:f>
        <x:v>4000000640</x:v>
      </x:c>
      <x:c r="E769" s="233" t="str">
        <x:f>IF('دانش‌آموزان'!E68="","",'دانش‌آموزان'!E68&amp;" "&amp;'دانش‌آموزان'!F68)</x:f>
        <x:v>زهرا محمدی</x:v>
      </x:c>
      <x:c r="F769" s="166" t="str">
        <x:f>IF('دانش‌آموزان'!I68="","",'دانش‌آموزان'!I68)</x:f>
        <x:v>sample-7-c</x:v>
      </x:c>
      <x:c r="G769" s="114"/>
      <x:c r="H769" s="115"/>
      <x:c r="I769" s="115"/>
      <x:c r="J769" s="115"/>
      <x:c r="K769" s="115"/>
      <x:c r="L769" s="115"/>
      <x:c r="M769" s="115"/>
      <x:c r="N769" s="115"/>
      <x:c r="O769" s="115"/>
      <x:c r="P769" s="115"/>
      <x:c r="Q769" s="115"/>
      <x:c r="R769" s="115"/>
      <x:c r="S769" s="115"/>
      <x:c r="T769" s="115"/>
      <x:c r="U769" s="115"/>
      <x:c r="V769" s="115"/>
      <x:c r="W769" s="115"/>
      <x:c r="X769" s="115"/>
      <x:c r="Y769" s="115"/>
      <x:c r="Z769" s="115"/>
      <x:c r="AA769" s="115"/>
      <x:c r="AB769" s="115"/>
      <x:c r="AC769" s="115"/>
      <x:c r="AD769" s="115"/>
      <x:c r="AE769" s="115"/>
      <x:c r="AF769" s="115"/>
      <x:c r="AG769" s="115"/>
      <x:c r="AH769" s="115"/>
      <x:c r="AI769" s="115"/>
      <x:c r="AJ769" s="115"/>
      <x:c r="AK769" s="115"/>
      <x:c r="AL769" s="115"/>
      <x:c r="AM769" s="115"/>
      <x:c r="AN769" s="115"/>
      <x:c r="AO769" s="115"/>
      <x:c r="AP769" s="115"/>
      <x:c r="AQ769" s="115"/>
      <x:c r="AR769" s="115"/>
      <x:c r="AS769" s="115"/>
      <x:c r="AT769" s="115"/>
      <x:c r="AU769" s="115"/>
      <x:c r="AV769" s="115"/>
      <x:c r="AW769" s="115"/>
      <x:c r="AX769" s="115"/>
      <x:c r="AY769" s="115"/>
      <x:c r="AZ769" s="115"/>
      <x:c r="BA769" s="115"/>
      <x:c r="BB769" s="115"/>
      <x:c r="BC769" s="115"/>
      <x:c r="BD769" s="115"/>
      <x:c r="BE769" s="115"/>
      <x:c r="BF769" s="115"/>
      <x:c r="BG769" s="115"/>
      <x:c r="BH769" s="115"/>
      <x:c r="BI769" s="115"/>
      <x:c r="BJ769" s="115"/>
      <x:c r="BK769" s="115"/>
      <x:c r="BL769" s="115"/>
      <x:c r="BM769" s="115"/>
      <x:c r="BN769" s="115"/>
      <x:c r="BO769" s="115"/>
      <x:c r="BP769" s="115"/>
      <x:c r="BQ769" s="115"/>
      <x:c r="BR769" s="115"/>
      <x:c r="BS769" s="115"/>
      <x:c r="BT769" s="115"/>
      <x:c r="BU769" s="115"/>
      <x:c r="BV769" s="115"/>
      <x:c r="BW769" s="115"/>
      <x:c r="BX769" s="115"/>
      <x:c r="BY769" s="115"/>
      <x:c r="BZ769" s="115"/>
      <x:c r="CA769" s="115"/>
      <x:c r="CB769" s="116"/>
      <x:c r="CC769" s="141" t="str">
        <x:f>IF(COUNT(G769:P769)=0,"",AVERAGE(G769:P769)*4)</x:f>
      </x:c>
      <x:c r="CD769" s="178" t="str">
        <x:f>IF(COUNT(Q769:Z769)=0,"",AVERAGE(Q769:Z769)*4)</x:f>
      </x:c>
      <x:c r="CE769" s="178" t="str">
        <x:f>IF(COUNT(AA769:AJ769)=0,"",AVERAGE(AA769:AJ769)*4)</x:f>
      </x:c>
      <x:c r="CF769" s="178" t="str">
        <x:f>IF(COUNT(AK769:AR769)=0,"",AVERAGE(AK769:AR769)*4)</x:f>
      </x:c>
      <x:c r="CG769" s="178" t="str">
        <x:f>IF(COUNT(AS769:AY769)=0,"",AVERAGE(AS769:AY769)*4)</x:f>
      </x:c>
      <x:c r="CH769" s="178" t="str">
        <x:f>IF(COUNT(AZ769:BG769)=0,"",AVERAGE(AZ769:BG769)*4)</x:f>
      </x:c>
      <x:c r="CI769" s="178" t="str">
        <x:f>IF(COUNT(BH769:BN769)=0,"",AVERAGE(BH769:BN769)*4)</x:f>
      </x:c>
      <x:c r="CJ769" s="178" t="str">
        <x:f>IF(COUNT(BO769:BU769)=0,"",AVERAGE(BO769:BU769)*4)</x:f>
      </x:c>
      <x:c r="CK769" s="178" t="str">
        <x:f>IF(COUNT(BV769:CB769)=0,"",AVERAGE(BV769:CB769)*4)</x:f>
      </x:c>
      <x:c r="CL769" s="178" t="str">
        <x:f>IF(C769="","",IF(COUNT(G769:CB769)&lt;74,"",(CC769*'تنظیمات وزن‌دهی'!$C$5+CD769*'تنظیمات وزن‌دهی'!$C$6+CE769*'تنظیمات وزن‌دهی'!$C$7+CF769*'تنظیمات وزن‌دهی'!$C$8+CG769*'تنظیمات وزن‌دهی'!$C$9+CH769*'تنظیمات وزن‌دهی'!$C$10+CI769*'تنظیمات وزن‌دهی'!$C$11+CJ769*'تنظیمات وزن‌دهی'!$C$12+CK769*'تنظیمات وزن‌دهی'!$C$13)/100))</x:f>
      </x:c>
      <x:c r="CM769" s="178" t="str">
        <x:f>IF(C769="","",IF(COUNT(G769:CB769)=0,"",IF(COUNT(G769:CB769)&lt;74,"موقت - اطلاعات ناقص",IF(CL769&gt;=17,"عالی",IF(CL769&gt;=14,"خوب",IF(CL769&gt;=10,"متوسط","ضعیف"))))))</x:f>
      </x:c>
      <x:c r="CN769" s="178" t="n">
        <x:v>9</x:v>
      </x:c>
      <x:c r="CO769" s="142" t="n">
        <x:f>IF(C769="","",COUNT(G769:CB769)/74)</x:f>
        <x:v>0</x:v>
      </x:c>
      <x:c r="CP769" s="245"/>
    </x:row>
    <x:row r="770">
      <x:c r="A770" s="165" t="n">
        <x:v>766</x:v>
      </x:c>
      <x:c r="B770" s="233" t="str">
        <x:v>فروردین</x:v>
      </x:c>
      <x:c r="C770" s="233" t="n">
        <x:f>IF('دانش‌آموزان'!E68="","",'دانش‌آموزان'!B68)</x:f>
        <x:v>64</x:v>
      </x:c>
      <x:c r="D770" s="233" t="str">
        <x:f>IF('دانش‌آموزان'!C68="","",'دانش‌آموزان'!C68)</x:f>
        <x:v>4000000640</x:v>
      </x:c>
      <x:c r="E770" s="233" t="str">
        <x:f>IF('دانش‌آموزان'!E68="","",'دانش‌آموزان'!E68&amp;" "&amp;'دانش‌آموزان'!F68)</x:f>
        <x:v>زهرا محمدی</x:v>
      </x:c>
      <x:c r="F770" s="166" t="str">
        <x:f>IF('دانش‌آموزان'!I68="","",'دانش‌آموزان'!I68)</x:f>
        <x:v>sample-7-c</x:v>
      </x:c>
      <x:c r="G770" s="114"/>
      <x:c r="H770" s="115"/>
      <x:c r="I770" s="115"/>
      <x:c r="J770" s="115"/>
      <x:c r="K770" s="115"/>
      <x:c r="L770" s="115"/>
      <x:c r="M770" s="115"/>
      <x:c r="N770" s="115"/>
      <x:c r="O770" s="115"/>
      <x:c r="P770" s="115"/>
      <x:c r="Q770" s="115"/>
      <x:c r="R770" s="115"/>
      <x:c r="S770" s="115"/>
      <x:c r="T770" s="115"/>
      <x:c r="U770" s="115"/>
      <x:c r="V770" s="115"/>
      <x:c r="W770" s="115"/>
      <x:c r="X770" s="115"/>
      <x:c r="Y770" s="115"/>
      <x:c r="Z770" s="115"/>
      <x:c r="AA770" s="115"/>
      <x:c r="AB770" s="115"/>
      <x:c r="AC770" s="115"/>
      <x:c r="AD770" s="115"/>
      <x:c r="AE770" s="115"/>
      <x:c r="AF770" s="115"/>
      <x:c r="AG770" s="115"/>
      <x:c r="AH770" s="115"/>
      <x:c r="AI770" s="115"/>
      <x:c r="AJ770" s="115"/>
      <x:c r="AK770" s="115"/>
      <x:c r="AL770" s="115"/>
      <x:c r="AM770" s="115"/>
      <x:c r="AN770" s="115"/>
      <x:c r="AO770" s="115"/>
      <x:c r="AP770" s="115"/>
      <x:c r="AQ770" s="115"/>
      <x:c r="AR770" s="115"/>
      <x:c r="AS770" s="115"/>
      <x:c r="AT770" s="115"/>
      <x:c r="AU770" s="115"/>
      <x:c r="AV770" s="115"/>
      <x:c r="AW770" s="115"/>
      <x:c r="AX770" s="115"/>
      <x:c r="AY770" s="115"/>
      <x:c r="AZ770" s="115"/>
      <x:c r="BA770" s="115"/>
      <x:c r="BB770" s="115"/>
      <x:c r="BC770" s="115"/>
      <x:c r="BD770" s="115"/>
      <x:c r="BE770" s="115"/>
      <x:c r="BF770" s="115"/>
      <x:c r="BG770" s="115"/>
      <x:c r="BH770" s="115"/>
      <x:c r="BI770" s="115"/>
      <x:c r="BJ770" s="115"/>
      <x:c r="BK770" s="115"/>
      <x:c r="BL770" s="115"/>
      <x:c r="BM770" s="115"/>
      <x:c r="BN770" s="115"/>
      <x:c r="BO770" s="115"/>
      <x:c r="BP770" s="115"/>
      <x:c r="BQ770" s="115"/>
      <x:c r="BR770" s="115"/>
      <x:c r="BS770" s="115"/>
      <x:c r="BT770" s="115"/>
      <x:c r="BU770" s="115"/>
      <x:c r="BV770" s="115"/>
      <x:c r="BW770" s="115"/>
      <x:c r="BX770" s="115"/>
      <x:c r="BY770" s="115"/>
      <x:c r="BZ770" s="115"/>
      <x:c r="CA770" s="115"/>
      <x:c r="CB770" s="116"/>
      <x:c r="CC770" s="141" t="str">
        <x:f>IF(COUNT(G770:P770)=0,"",AVERAGE(G770:P770)*4)</x:f>
      </x:c>
      <x:c r="CD770" s="178" t="str">
        <x:f>IF(COUNT(Q770:Z770)=0,"",AVERAGE(Q770:Z770)*4)</x:f>
      </x:c>
      <x:c r="CE770" s="178" t="str">
        <x:f>IF(COUNT(AA770:AJ770)=0,"",AVERAGE(AA770:AJ770)*4)</x:f>
      </x:c>
      <x:c r="CF770" s="178" t="str">
        <x:f>IF(COUNT(AK770:AR770)=0,"",AVERAGE(AK770:AR770)*4)</x:f>
      </x:c>
      <x:c r="CG770" s="178" t="str">
        <x:f>IF(COUNT(AS770:AY770)=0,"",AVERAGE(AS770:AY770)*4)</x:f>
      </x:c>
      <x:c r="CH770" s="178" t="str">
        <x:f>IF(COUNT(AZ770:BG770)=0,"",AVERAGE(AZ770:BG770)*4)</x:f>
      </x:c>
      <x:c r="CI770" s="178" t="str">
        <x:f>IF(COUNT(BH770:BN770)=0,"",AVERAGE(BH770:BN770)*4)</x:f>
      </x:c>
      <x:c r="CJ770" s="178" t="str">
        <x:f>IF(COUNT(BO770:BU770)=0,"",AVERAGE(BO770:BU770)*4)</x:f>
      </x:c>
      <x:c r="CK770" s="178" t="str">
        <x:f>IF(COUNT(BV770:CB770)=0,"",AVERAGE(BV770:CB770)*4)</x:f>
      </x:c>
      <x:c r="CL770" s="178" t="str">
        <x:f>IF(C770="","",IF(COUNT(G770:CB770)&lt;74,"",(CC770*'تنظیمات وزن‌دهی'!$C$5+CD770*'تنظیمات وزن‌دهی'!$C$6+CE770*'تنظیمات وزن‌دهی'!$C$7+CF770*'تنظیمات وزن‌دهی'!$C$8+CG770*'تنظیمات وزن‌دهی'!$C$9+CH770*'تنظیمات وزن‌دهی'!$C$10+CI770*'تنظیمات وزن‌دهی'!$C$11+CJ770*'تنظیمات وزن‌دهی'!$C$12+CK770*'تنظیمات وزن‌دهی'!$C$13)/100))</x:f>
      </x:c>
      <x:c r="CM770" s="178" t="str">
        <x:f>IF(C770="","",IF(COUNT(G770:CB770)=0,"",IF(COUNT(G770:CB770)&lt;74,"موقت - اطلاعات ناقص",IF(CL770&gt;=17,"عالی",IF(CL770&gt;=14,"خوب",IF(CL770&gt;=10,"متوسط","ضعیف"))))))</x:f>
      </x:c>
      <x:c r="CN770" s="178" t="n">
        <x:v>10</x:v>
      </x:c>
      <x:c r="CO770" s="142" t="n">
        <x:f>IF(C770="","",COUNT(G770:CB770)/74)</x:f>
        <x:v>0</x:v>
      </x:c>
      <x:c r="CP770" s="245"/>
    </x:row>
    <x:row r="771">
      <x:c r="A771" s="165" t="n">
        <x:v>767</x:v>
      </x:c>
      <x:c r="B771" s="233" t="str">
        <x:v>اردیبهشت</x:v>
      </x:c>
      <x:c r="C771" s="233" t="n">
        <x:f>IF('دانش‌آموزان'!E68="","",'دانش‌آموزان'!B68)</x:f>
        <x:v>64</x:v>
      </x:c>
      <x:c r="D771" s="233" t="str">
        <x:f>IF('دانش‌آموزان'!C68="","",'دانش‌آموزان'!C68)</x:f>
        <x:v>4000000640</x:v>
      </x:c>
      <x:c r="E771" s="233" t="str">
        <x:f>IF('دانش‌آموزان'!E68="","",'دانش‌آموزان'!E68&amp;" "&amp;'دانش‌آموزان'!F68)</x:f>
        <x:v>زهرا محمدی</x:v>
      </x:c>
      <x:c r="F771" s="166" t="str">
        <x:f>IF('دانش‌آموزان'!I68="","",'دانش‌آموزان'!I68)</x:f>
        <x:v>sample-7-c</x:v>
      </x:c>
      <x:c r="G771" s="114"/>
      <x:c r="H771" s="115"/>
      <x:c r="I771" s="115"/>
      <x:c r="J771" s="115"/>
      <x:c r="K771" s="115"/>
      <x:c r="L771" s="115"/>
      <x:c r="M771" s="115"/>
      <x:c r="N771" s="115"/>
      <x:c r="O771" s="115"/>
      <x:c r="P771" s="115"/>
      <x:c r="Q771" s="115"/>
      <x:c r="R771" s="115"/>
      <x:c r="S771" s="115"/>
      <x:c r="T771" s="115"/>
      <x:c r="U771" s="115"/>
      <x:c r="V771" s="115"/>
      <x:c r="W771" s="115"/>
      <x:c r="X771" s="115"/>
      <x:c r="Y771" s="115"/>
      <x:c r="Z771" s="115"/>
      <x:c r="AA771" s="115"/>
      <x:c r="AB771" s="115"/>
      <x:c r="AC771" s="115"/>
      <x:c r="AD771" s="115"/>
      <x:c r="AE771" s="115"/>
      <x:c r="AF771" s="115"/>
      <x:c r="AG771" s="115"/>
      <x:c r="AH771" s="115"/>
      <x:c r="AI771" s="115"/>
      <x:c r="AJ771" s="115"/>
      <x:c r="AK771" s="115"/>
      <x:c r="AL771" s="115"/>
      <x:c r="AM771" s="115"/>
      <x:c r="AN771" s="115"/>
      <x:c r="AO771" s="115"/>
      <x:c r="AP771" s="115"/>
      <x:c r="AQ771" s="115"/>
      <x:c r="AR771" s="115"/>
      <x:c r="AS771" s="115"/>
      <x:c r="AT771" s="115"/>
      <x:c r="AU771" s="115"/>
      <x:c r="AV771" s="115"/>
      <x:c r="AW771" s="115"/>
      <x:c r="AX771" s="115"/>
      <x:c r="AY771" s="115"/>
      <x:c r="AZ771" s="115"/>
      <x:c r="BA771" s="115"/>
      <x:c r="BB771" s="115"/>
      <x:c r="BC771" s="115"/>
      <x:c r="BD771" s="115"/>
      <x:c r="BE771" s="115"/>
      <x:c r="BF771" s="115"/>
      <x:c r="BG771" s="115"/>
      <x:c r="BH771" s="115"/>
      <x:c r="BI771" s="115"/>
      <x:c r="BJ771" s="115"/>
      <x:c r="BK771" s="115"/>
      <x:c r="BL771" s="115"/>
      <x:c r="BM771" s="115"/>
      <x:c r="BN771" s="115"/>
      <x:c r="BO771" s="115"/>
      <x:c r="BP771" s="115"/>
      <x:c r="BQ771" s="115"/>
      <x:c r="BR771" s="115"/>
      <x:c r="BS771" s="115"/>
      <x:c r="BT771" s="115"/>
      <x:c r="BU771" s="115"/>
      <x:c r="BV771" s="115"/>
      <x:c r="BW771" s="115"/>
      <x:c r="BX771" s="115"/>
      <x:c r="BY771" s="115"/>
      <x:c r="BZ771" s="115"/>
      <x:c r="CA771" s="115"/>
      <x:c r="CB771" s="116"/>
      <x:c r="CC771" s="141" t="str">
        <x:f>IF(COUNT(G771:P771)=0,"",AVERAGE(G771:P771)*4)</x:f>
      </x:c>
      <x:c r="CD771" s="178" t="str">
        <x:f>IF(COUNT(Q771:Z771)=0,"",AVERAGE(Q771:Z771)*4)</x:f>
      </x:c>
      <x:c r="CE771" s="178" t="str">
        <x:f>IF(COUNT(AA771:AJ771)=0,"",AVERAGE(AA771:AJ771)*4)</x:f>
      </x:c>
      <x:c r="CF771" s="178" t="str">
        <x:f>IF(COUNT(AK771:AR771)=0,"",AVERAGE(AK771:AR771)*4)</x:f>
      </x:c>
      <x:c r="CG771" s="178" t="str">
        <x:f>IF(COUNT(AS771:AY771)=0,"",AVERAGE(AS771:AY771)*4)</x:f>
      </x:c>
      <x:c r="CH771" s="178" t="str">
        <x:f>IF(COUNT(AZ771:BG771)=0,"",AVERAGE(AZ771:BG771)*4)</x:f>
      </x:c>
      <x:c r="CI771" s="178" t="str">
        <x:f>IF(COUNT(BH771:BN771)=0,"",AVERAGE(BH771:BN771)*4)</x:f>
      </x:c>
      <x:c r="CJ771" s="178" t="str">
        <x:f>IF(COUNT(BO771:BU771)=0,"",AVERAGE(BO771:BU771)*4)</x:f>
      </x:c>
      <x:c r="CK771" s="178" t="str">
        <x:f>IF(COUNT(BV771:CB771)=0,"",AVERAGE(BV771:CB771)*4)</x:f>
      </x:c>
      <x:c r="CL771" s="178" t="str">
        <x:f>IF(C771="","",IF(COUNT(G771:CB771)&lt;74,"",(CC771*'تنظیمات وزن‌دهی'!$C$5+CD771*'تنظیمات وزن‌دهی'!$C$6+CE771*'تنظیمات وزن‌دهی'!$C$7+CF771*'تنظیمات وزن‌دهی'!$C$8+CG771*'تنظیمات وزن‌دهی'!$C$9+CH771*'تنظیمات وزن‌دهی'!$C$10+CI771*'تنظیمات وزن‌دهی'!$C$11+CJ771*'تنظیمات وزن‌دهی'!$C$12+CK771*'تنظیمات وزن‌دهی'!$C$13)/100))</x:f>
      </x:c>
      <x:c r="CM771" s="178" t="str">
        <x:f>IF(C771="","",IF(COUNT(G771:CB771)=0,"",IF(COUNT(G771:CB771)&lt;74,"موقت - اطلاعات ناقص",IF(CL771&gt;=17,"عالی",IF(CL771&gt;=14,"خوب",IF(CL771&gt;=10,"متوسط","ضعیف"))))))</x:f>
      </x:c>
      <x:c r="CN771" s="178" t="n">
        <x:v>11</x:v>
      </x:c>
      <x:c r="CO771" s="142" t="n">
        <x:f>IF(C771="","",COUNT(G771:CB771)/74)</x:f>
        <x:v>0</x:v>
      </x:c>
      <x:c r="CP771" s="245"/>
    </x:row>
    <x:row r="772">
      <x:c r="A772" s="165" t="n">
        <x:v>768</x:v>
      </x:c>
      <x:c r="B772" s="233" t="str">
        <x:v>خرداد</x:v>
      </x:c>
      <x:c r="C772" s="233" t="n">
        <x:f>IF('دانش‌آموزان'!E68="","",'دانش‌آموزان'!B68)</x:f>
        <x:v>64</x:v>
      </x:c>
      <x:c r="D772" s="233" t="str">
        <x:f>IF('دانش‌آموزان'!C68="","",'دانش‌آموزان'!C68)</x:f>
        <x:v>4000000640</x:v>
      </x:c>
      <x:c r="E772" s="233" t="str">
        <x:f>IF('دانش‌آموزان'!E68="","",'دانش‌آموزان'!E68&amp;" "&amp;'دانش‌آموزان'!F68)</x:f>
        <x:v>زهرا محمدی</x:v>
      </x:c>
      <x:c r="F772" s="166" t="str">
        <x:f>IF('دانش‌آموزان'!I68="","",'دانش‌آموزان'!I68)</x:f>
        <x:v>sample-7-c</x:v>
      </x:c>
      <x:c r="G772" s="114"/>
      <x:c r="H772" s="115"/>
      <x:c r="I772" s="115"/>
      <x:c r="J772" s="115"/>
      <x:c r="K772" s="115"/>
      <x:c r="L772" s="115"/>
      <x:c r="M772" s="115"/>
      <x:c r="N772" s="115"/>
      <x:c r="O772" s="115"/>
      <x:c r="P772" s="115"/>
      <x:c r="Q772" s="115"/>
      <x:c r="R772" s="115"/>
      <x:c r="S772" s="115"/>
      <x:c r="T772" s="115"/>
      <x:c r="U772" s="115"/>
      <x:c r="V772" s="115"/>
      <x:c r="W772" s="115"/>
      <x:c r="X772" s="115"/>
      <x:c r="Y772" s="115"/>
      <x:c r="Z772" s="115"/>
      <x:c r="AA772" s="115"/>
      <x:c r="AB772" s="115"/>
      <x:c r="AC772" s="115"/>
      <x:c r="AD772" s="115"/>
      <x:c r="AE772" s="115"/>
      <x:c r="AF772" s="115"/>
      <x:c r="AG772" s="115"/>
      <x:c r="AH772" s="115"/>
      <x:c r="AI772" s="115"/>
      <x:c r="AJ772" s="115"/>
      <x:c r="AK772" s="115"/>
      <x:c r="AL772" s="115"/>
      <x:c r="AM772" s="115"/>
      <x:c r="AN772" s="115"/>
      <x:c r="AO772" s="115"/>
      <x:c r="AP772" s="115"/>
      <x:c r="AQ772" s="115"/>
      <x:c r="AR772" s="115"/>
      <x:c r="AS772" s="115"/>
      <x:c r="AT772" s="115"/>
      <x:c r="AU772" s="115"/>
      <x:c r="AV772" s="115"/>
      <x:c r="AW772" s="115"/>
      <x:c r="AX772" s="115"/>
      <x:c r="AY772" s="115"/>
      <x:c r="AZ772" s="115"/>
      <x:c r="BA772" s="115"/>
      <x:c r="BB772" s="115"/>
      <x:c r="BC772" s="115"/>
      <x:c r="BD772" s="115"/>
      <x:c r="BE772" s="115"/>
      <x:c r="BF772" s="115"/>
      <x:c r="BG772" s="115"/>
      <x:c r="BH772" s="115"/>
      <x:c r="BI772" s="115"/>
      <x:c r="BJ772" s="115"/>
      <x:c r="BK772" s="115"/>
      <x:c r="BL772" s="115"/>
      <x:c r="BM772" s="115"/>
      <x:c r="BN772" s="115"/>
      <x:c r="BO772" s="115"/>
      <x:c r="BP772" s="115"/>
      <x:c r="BQ772" s="115"/>
      <x:c r="BR772" s="115"/>
      <x:c r="BS772" s="115"/>
      <x:c r="BT772" s="115"/>
      <x:c r="BU772" s="115"/>
      <x:c r="BV772" s="115"/>
      <x:c r="BW772" s="115"/>
      <x:c r="BX772" s="115"/>
      <x:c r="BY772" s="115"/>
      <x:c r="BZ772" s="115"/>
      <x:c r="CA772" s="115"/>
      <x:c r="CB772" s="116"/>
      <x:c r="CC772" s="141" t="str">
        <x:f>IF(COUNT(G772:P772)=0,"",AVERAGE(G772:P772)*4)</x:f>
      </x:c>
      <x:c r="CD772" s="178" t="str">
        <x:f>IF(COUNT(Q772:Z772)=0,"",AVERAGE(Q772:Z772)*4)</x:f>
      </x:c>
      <x:c r="CE772" s="178" t="str">
        <x:f>IF(COUNT(AA772:AJ772)=0,"",AVERAGE(AA772:AJ772)*4)</x:f>
      </x:c>
      <x:c r="CF772" s="178" t="str">
        <x:f>IF(COUNT(AK772:AR772)=0,"",AVERAGE(AK772:AR772)*4)</x:f>
      </x:c>
      <x:c r="CG772" s="178" t="str">
        <x:f>IF(COUNT(AS772:AY772)=0,"",AVERAGE(AS772:AY772)*4)</x:f>
      </x:c>
      <x:c r="CH772" s="178" t="str">
        <x:f>IF(COUNT(AZ772:BG772)=0,"",AVERAGE(AZ772:BG772)*4)</x:f>
      </x:c>
      <x:c r="CI772" s="178" t="str">
        <x:f>IF(COUNT(BH772:BN772)=0,"",AVERAGE(BH772:BN772)*4)</x:f>
      </x:c>
      <x:c r="CJ772" s="178" t="str">
        <x:f>IF(COUNT(BO772:BU772)=0,"",AVERAGE(BO772:BU772)*4)</x:f>
      </x:c>
      <x:c r="CK772" s="178" t="str">
        <x:f>IF(COUNT(BV772:CB772)=0,"",AVERAGE(BV772:CB772)*4)</x:f>
      </x:c>
      <x:c r="CL772" s="178" t="str">
        <x:f>IF(C772="","",IF(COUNT(G772:CB772)&lt;74,"",(CC772*'تنظیمات وزن‌دهی'!$C$5+CD772*'تنظیمات وزن‌دهی'!$C$6+CE772*'تنظیمات وزن‌دهی'!$C$7+CF772*'تنظیمات وزن‌دهی'!$C$8+CG772*'تنظیمات وزن‌دهی'!$C$9+CH772*'تنظیمات وزن‌دهی'!$C$10+CI772*'تنظیمات وزن‌دهی'!$C$11+CJ772*'تنظیمات وزن‌دهی'!$C$12+CK772*'تنظیمات وزن‌دهی'!$C$13)/100))</x:f>
      </x:c>
      <x:c r="CM772" s="178" t="str">
        <x:f>IF(C772="","",IF(COUNT(G772:CB772)=0,"",IF(COUNT(G772:CB772)&lt;74,"موقت - اطلاعات ناقص",IF(CL772&gt;=17,"عالی",IF(CL772&gt;=14,"خوب",IF(CL772&gt;=10,"متوسط","ضعیف"))))))</x:f>
      </x:c>
      <x:c r="CN772" s="178" t="n">
        <x:v>12</x:v>
      </x:c>
      <x:c r="CO772" s="142" t="n">
        <x:f>IF(C772="","",COUNT(G772:CB772)/74)</x:f>
        <x:v>0</x:v>
      </x:c>
      <x:c r="CP772" s="245"/>
    </x:row>
    <x:row r="773">
      <x:c r="A773" s="165" t="n">
        <x:v>769</x:v>
      </x:c>
      <x:c r="B773" s="233" t="str">
        <x:v>تیر</x:v>
      </x:c>
      <x:c r="C773" s="233" t="n">
        <x:f>IF('دانش‌آموزان'!E69="","",'دانش‌آموزان'!B69)</x:f>
        <x:v>65</x:v>
      </x:c>
      <x:c r="D773" s="233" t="str">
        <x:f>IF('دانش‌آموزان'!C69="","",'دانش‌آموزان'!C69)</x:f>
        <x:v>4000000659</x:v>
      </x:c>
      <x:c r="E773" s="233" t="str">
        <x:f>IF('دانش‌آموزان'!E69="","",'دانش‌آموزان'!E69&amp;" "&amp;'دانش‌آموزان'!F69)</x:f>
        <x:v>محمد قاسمی</x:v>
      </x:c>
      <x:c r="F773" s="166" t="str">
        <x:f>IF('دانش‌آموزان'!I69="","",'دانش‌آموزان'!I69)</x:f>
        <x:v>sample-7-c</x:v>
      </x:c>
      <x:c r="G773" s="114" t="n">
        <x:v>4</x:v>
      </x:c>
      <x:c r="H773" s="115" t="n">
        <x:v>5</x:v>
      </x:c>
      <x:c r="I773" s="115" t="n">
        <x:v>4</x:v>
      </x:c>
      <x:c r="J773" s="115" t="n">
        <x:v>5</x:v>
      </x:c>
      <x:c r="K773" s="115" t="n">
        <x:v>3</x:v>
      </x:c>
      <x:c r="L773" s="115" t="n">
        <x:v>5</x:v>
      </x:c>
      <x:c r="M773" s="115" t="n">
        <x:v>3</x:v>
      </x:c>
      <x:c r="N773" s="115" t="n">
        <x:v>4</x:v>
      </x:c>
      <x:c r="O773" s="115" t="n">
        <x:v>3</x:v>
      </x:c>
      <x:c r="P773" s="115" t="n">
        <x:v>4</x:v>
      </x:c>
      <x:c r="Q773" s="115" t="n">
        <x:v>2</x:v>
      </x:c>
      <x:c r="R773" s="115" t="n">
        <x:v>4</x:v>
      </x:c>
      <x:c r="S773" s="115" t="n">
        <x:v>5</x:v>
      </x:c>
      <x:c r="T773" s="115" t="n">
        <x:v>4</x:v>
      </x:c>
      <x:c r="U773" s="115" t="n">
        <x:v>5</x:v>
      </x:c>
      <x:c r="V773" s="115" t="n">
        <x:v>3</x:v>
      </x:c>
      <x:c r="W773" s="115" t="n">
        <x:v>5</x:v>
      </x:c>
      <x:c r="X773" s="115" t="n">
        <x:v>3</x:v>
      </x:c>
      <x:c r="Y773" s="115" t="n">
        <x:v>4</x:v>
      </x:c>
      <x:c r="Z773" s="115" t="n">
        <x:v>3</x:v>
      </x:c>
      <x:c r="AA773" s="115" t="n">
        <x:v>4</x:v>
      </x:c>
      <x:c r="AB773" s="115" t="n">
        <x:v>2</x:v>
      </x:c>
      <x:c r="AC773" s="115" t="n">
        <x:v>4</x:v>
      </x:c>
      <x:c r="AD773" s="115" t="n">
        <x:v>5</x:v>
      </x:c>
      <x:c r="AE773" s="115" t="n">
        <x:v>4</x:v>
      </x:c>
      <x:c r="AF773" s="115" t="n">
        <x:v>5</x:v>
      </x:c>
      <x:c r="AG773" s="115" t="n">
        <x:v>3</x:v>
      </x:c>
      <x:c r="AH773" s="115" t="n">
        <x:v>5</x:v>
      </x:c>
      <x:c r="AI773" s="115" t="n">
        <x:v>3</x:v>
      </x:c>
      <x:c r="AJ773" s="115" t="n">
        <x:v>4</x:v>
      </x:c>
      <x:c r="AK773" s="115" t="n">
        <x:v>3</x:v>
      </x:c>
      <x:c r="AL773" s="115" t="n">
        <x:v>4</x:v>
      </x:c>
      <x:c r="AM773" s="115" t="n">
        <x:v>2</x:v>
      </x:c>
      <x:c r="AN773" s="115" t="n">
        <x:v>4</x:v>
      </x:c>
      <x:c r="AO773" s="115" t="n">
        <x:v>5</x:v>
      </x:c>
      <x:c r="AP773" s="115" t="n">
        <x:v>4</x:v>
      </x:c>
      <x:c r="AQ773" s="115" t="n">
        <x:v>5</x:v>
      </x:c>
      <x:c r="AR773" s="115" t="n">
        <x:v>3</x:v>
      </x:c>
      <x:c r="AS773" s="115" t="n">
        <x:v>5</x:v>
      </x:c>
      <x:c r="AT773" s="115" t="n">
        <x:v>3</x:v>
      </x:c>
      <x:c r="AU773" s="115" t="n">
        <x:v>4</x:v>
      </x:c>
      <x:c r="AV773" s="115" t="n">
        <x:v>3</x:v>
      </x:c>
      <x:c r="AW773" s="115" t="n">
        <x:v>4</x:v>
      </x:c>
      <x:c r="AX773" s="115" t="n">
        <x:v>2</x:v>
      </x:c>
      <x:c r="AY773" s="115" t="n">
        <x:v>4</x:v>
      </x:c>
      <x:c r="AZ773" s="115" t="n">
        <x:v>5</x:v>
      </x:c>
      <x:c r="BA773" s="115" t="n">
        <x:v>4</x:v>
      </x:c>
      <x:c r="BB773" s="115" t="n">
        <x:v>5</x:v>
      </x:c>
      <x:c r="BC773" s="115" t="n">
        <x:v>3</x:v>
      </x:c>
      <x:c r="BD773" s="115" t="n">
        <x:v>5</x:v>
      </x:c>
      <x:c r="BE773" s="115" t="n">
        <x:v>3</x:v>
      </x:c>
      <x:c r="BF773" s="115" t="n">
        <x:v>4</x:v>
      </x:c>
      <x:c r="BG773" s="115" t="n">
        <x:v>3</x:v>
      </x:c>
      <x:c r="BH773" s="115" t="n">
        <x:v>4</x:v>
      </x:c>
      <x:c r="BI773" s="115" t="n">
        <x:v>2</x:v>
      </x:c>
      <x:c r="BJ773" s="115" t="n">
        <x:v>4</x:v>
      </x:c>
      <x:c r="BK773" s="115" t="n">
        <x:v>5</x:v>
      </x:c>
      <x:c r="BL773" s="115" t="n">
        <x:v>4</x:v>
      </x:c>
      <x:c r="BM773" s="115" t="n">
        <x:v>5</x:v>
      </x:c>
      <x:c r="BN773" s="115" t="n">
        <x:v>3</x:v>
      </x:c>
      <x:c r="BO773" s="115" t="n">
        <x:v>5</x:v>
      </x:c>
      <x:c r="BP773" s="115" t="n">
        <x:v>3</x:v>
      </x:c>
      <x:c r="BQ773" s="115" t="n">
        <x:v>4</x:v>
      </x:c>
      <x:c r="BR773" s="115" t="n">
        <x:v>3</x:v>
      </x:c>
      <x:c r="BS773" s="115" t="n">
        <x:v>4</x:v>
      </x:c>
      <x:c r="BT773" s="115" t="n">
        <x:v>2</x:v>
      </x:c>
      <x:c r="BU773" s="115" t="n">
        <x:v>4</x:v>
      </x:c>
      <x:c r="BV773" s="115" t="n">
        <x:v>5</x:v>
      </x:c>
      <x:c r="BW773" s="115" t="n">
        <x:v>4</x:v>
      </x:c>
      <x:c r="BX773" s="115" t="n">
        <x:v>5</x:v>
      </x:c>
      <x:c r="BY773" s="115" t="n">
        <x:v>3</x:v>
      </x:c>
      <x:c r="BZ773" s="115" t="n">
        <x:v>5</x:v>
      </x:c>
      <x:c r="CA773" s="115" t="n">
        <x:v>3</x:v>
      </x:c>
      <x:c r="CB773" s="116" t="n">
        <x:v>4</x:v>
      </x:c>
      <x:c r="CC773" s="141" t="n">
        <x:f>IF(COUNT(G773:P773)=0,"",AVERAGE(G773:P773)*4)</x:f>
        <x:v>16</x:v>
      </x:c>
      <x:c r="CD773" s="178" t="n">
        <x:f>IF(COUNT(Q773:Z773)=0,"",AVERAGE(Q773:Z773)*4)</x:f>
        <x:v>15.2</x:v>
      </x:c>
      <x:c r="CE773" s="178" t="n">
        <x:f>IF(COUNT(AA773:AJ773)=0,"",AVERAGE(AA773:AJ773)*4)</x:f>
        <x:v>15.6</x:v>
      </x:c>
      <x:c r="CF773" s="178" t="n">
        <x:f>IF(COUNT(AK773:AR773)=0,"",AVERAGE(AK773:AR773)*4)</x:f>
        <x:v>15</x:v>
      </x:c>
      <x:c r="CG773" s="178" t="n">
        <x:f>IF(COUNT(AS773:AY773)=0,"",AVERAGE(AS773:AY773)*4)</x:f>
        <x:v>14.285714285714286</x:v>
      </x:c>
      <x:c r="CH773" s="178" t="n">
        <x:f>IF(COUNT(AZ773:BG773)=0,"",AVERAGE(AZ773:BG773)*4)</x:f>
        <x:v>16</x:v>
      </x:c>
      <x:c r="CI773" s="178" t="n">
        <x:f>IF(COUNT(BH773:BN773)=0,"",AVERAGE(BH773:BN773)*4)</x:f>
        <x:v>15.428571428571429</x:v>
      </x:c>
      <x:c r="CJ773" s="178" t="n">
        <x:f>IF(COUNT(BO773:BU773)=0,"",AVERAGE(BO773:BU773)*4)</x:f>
        <x:v>14.285714285714286</x:v>
      </x:c>
      <x:c r="CK773" s="178" t="n">
        <x:f>IF(COUNT(BV773:CB773)=0,"",AVERAGE(BV773:CB773)*4)</x:f>
        <x:v>16.571428571428573</x:v>
      </x:c>
      <x:c r="CL773" s="178" t="n">
        <x:f>IF(C773="","",IF(COUNT(G773:CB773)&lt;74,"",(CC773*'تنظیمات وزن‌دهی'!$C$5+CD773*'تنظیمات وزن‌دهی'!$C$6+CE773*'تنظیمات وزن‌دهی'!$C$7+CF773*'تنظیمات وزن‌دهی'!$C$8+CG773*'تنظیمات وزن‌دهی'!$C$9+CH773*'تنظیمات وزن‌دهی'!$C$10+CI773*'تنظیمات وزن‌دهی'!$C$11+CJ773*'تنظیمات وزن‌دهی'!$C$12+CK773*'تنظیمات وزن‌دهی'!$C$13)/100))</x:f>
        <x:v>15.447142857142858</x:v>
      </x:c>
      <x:c r="CM773" s="178" t="str">
        <x:f>IF(C773="","",IF(COUNT(G773:CB773)=0,"",IF(COUNT(G773:CB773)&lt;74,"موقت - اطلاعات ناقص",IF(CL773&gt;=17,"عالی",IF(CL773&gt;=14,"خوب",IF(CL773&gt;=10,"متوسط","ضعیف"))))))</x:f>
        <x:v>خوب</x:v>
      </x:c>
      <x:c r="CN773" s="178" t="n">
        <x:v>1</x:v>
      </x:c>
      <x:c r="CO773" s="142" t="n">
        <x:f>IF(C773="","",COUNT(G773:CB773)/74)</x:f>
        <x:v>1</x:v>
      </x:c>
      <x:c r="CP773" s="245" t="str">
        <x:v>داده نمونه کامل برای ماه تیر - دانش‌آموز شماره 65</x:v>
      </x:c>
    </x:row>
    <x:row r="774">
      <x:c r="A774" s="165" t="n">
        <x:v>770</x:v>
      </x:c>
      <x:c r="B774" s="233" t="str">
        <x:v>مرداد</x:v>
      </x:c>
      <x:c r="C774" s="233" t="n">
        <x:f>IF('دانش‌آموزان'!E69="","",'دانش‌آموزان'!B69)</x:f>
        <x:v>65</x:v>
      </x:c>
      <x:c r="D774" s="233" t="str">
        <x:f>IF('دانش‌آموزان'!C69="","",'دانش‌آموزان'!C69)</x:f>
        <x:v>4000000659</x:v>
      </x:c>
      <x:c r="E774" s="233" t="str">
        <x:f>IF('دانش‌آموزان'!E69="","",'دانش‌آموزان'!E69&amp;" "&amp;'دانش‌آموزان'!F69)</x:f>
        <x:v>محمد قاسمی</x:v>
      </x:c>
      <x:c r="F774" s="166" t="str">
        <x:f>IF('دانش‌آموزان'!I69="","",'دانش‌آموزان'!I69)</x:f>
        <x:v>sample-7-c</x:v>
      </x:c>
      <x:c r="G774" s="114"/>
      <x:c r="H774" s="115"/>
      <x:c r="I774" s="115"/>
      <x:c r="J774" s="115"/>
      <x:c r="K774" s="115"/>
      <x:c r="L774" s="115"/>
      <x:c r="M774" s="115"/>
      <x:c r="N774" s="115"/>
      <x:c r="O774" s="115"/>
      <x:c r="P774" s="115"/>
      <x:c r="Q774" s="115"/>
      <x:c r="R774" s="115"/>
      <x:c r="S774" s="115"/>
      <x:c r="T774" s="115"/>
      <x:c r="U774" s="115"/>
      <x:c r="V774" s="115"/>
      <x:c r="W774" s="115"/>
      <x:c r="X774" s="115"/>
      <x:c r="Y774" s="115"/>
      <x:c r="Z774" s="115"/>
      <x:c r="AA774" s="115"/>
      <x:c r="AB774" s="115"/>
      <x:c r="AC774" s="115"/>
      <x:c r="AD774" s="115"/>
      <x:c r="AE774" s="115"/>
      <x:c r="AF774" s="115"/>
      <x:c r="AG774" s="115"/>
      <x:c r="AH774" s="115"/>
      <x:c r="AI774" s="115"/>
      <x:c r="AJ774" s="115"/>
      <x:c r="AK774" s="115"/>
      <x:c r="AL774" s="115"/>
      <x:c r="AM774" s="115"/>
      <x:c r="AN774" s="115"/>
      <x:c r="AO774" s="115"/>
      <x:c r="AP774" s="115"/>
      <x:c r="AQ774" s="115"/>
      <x:c r="AR774" s="115"/>
      <x:c r="AS774" s="115"/>
      <x:c r="AT774" s="115"/>
      <x:c r="AU774" s="115"/>
      <x:c r="AV774" s="115"/>
      <x:c r="AW774" s="115"/>
      <x:c r="AX774" s="115"/>
      <x:c r="AY774" s="115"/>
      <x:c r="AZ774" s="115"/>
      <x:c r="BA774" s="115"/>
      <x:c r="BB774" s="115"/>
      <x:c r="BC774" s="115"/>
      <x:c r="BD774" s="115"/>
      <x:c r="BE774" s="115"/>
      <x:c r="BF774" s="115"/>
      <x:c r="BG774" s="115"/>
      <x:c r="BH774" s="115"/>
      <x:c r="BI774" s="115"/>
      <x:c r="BJ774" s="115"/>
      <x:c r="BK774" s="115"/>
      <x:c r="BL774" s="115"/>
      <x:c r="BM774" s="115"/>
      <x:c r="BN774" s="115"/>
      <x:c r="BO774" s="115"/>
      <x:c r="BP774" s="115"/>
      <x:c r="BQ774" s="115"/>
      <x:c r="BR774" s="115"/>
      <x:c r="BS774" s="115"/>
      <x:c r="BT774" s="115"/>
      <x:c r="BU774" s="115"/>
      <x:c r="BV774" s="115"/>
      <x:c r="BW774" s="115"/>
      <x:c r="BX774" s="115"/>
      <x:c r="BY774" s="115"/>
      <x:c r="BZ774" s="115"/>
      <x:c r="CA774" s="115"/>
      <x:c r="CB774" s="116"/>
      <x:c r="CC774" s="141" t="str">
        <x:f>IF(COUNT(G774:P774)=0,"",AVERAGE(G774:P774)*4)</x:f>
      </x:c>
      <x:c r="CD774" s="178" t="str">
        <x:f>IF(COUNT(Q774:Z774)=0,"",AVERAGE(Q774:Z774)*4)</x:f>
      </x:c>
      <x:c r="CE774" s="178" t="str">
        <x:f>IF(COUNT(AA774:AJ774)=0,"",AVERAGE(AA774:AJ774)*4)</x:f>
      </x:c>
      <x:c r="CF774" s="178" t="str">
        <x:f>IF(COUNT(AK774:AR774)=0,"",AVERAGE(AK774:AR774)*4)</x:f>
      </x:c>
      <x:c r="CG774" s="178" t="str">
        <x:f>IF(COUNT(AS774:AY774)=0,"",AVERAGE(AS774:AY774)*4)</x:f>
      </x:c>
      <x:c r="CH774" s="178" t="str">
        <x:f>IF(COUNT(AZ774:BG774)=0,"",AVERAGE(AZ774:BG774)*4)</x:f>
      </x:c>
      <x:c r="CI774" s="178" t="str">
        <x:f>IF(COUNT(BH774:BN774)=0,"",AVERAGE(BH774:BN774)*4)</x:f>
      </x:c>
      <x:c r="CJ774" s="178" t="str">
        <x:f>IF(COUNT(BO774:BU774)=0,"",AVERAGE(BO774:BU774)*4)</x:f>
      </x:c>
      <x:c r="CK774" s="178" t="str">
        <x:f>IF(COUNT(BV774:CB774)=0,"",AVERAGE(BV774:CB774)*4)</x:f>
      </x:c>
      <x:c r="CL774" s="178" t="str">
        <x:f>IF(C774="","",IF(COUNT(G774:CB774)&lt;74,"",(CC774*'تنظیمات وزن‌دهی'!$C$5+CD774*'تنظیمات وزن‌دهی'!$C$6+CE774*'تنظیمات وزن‌دهی'!$C$7+CF774*'تنظیمات وزن‌دهی'!$C$8+CG774*'تنظیمات وزن‌دهی'!$C$9+CH774*'تنظیمات وزن‌دهی'!$C$10+CI774*'تنظیمات وزن‌دهی'!$C$11+CJ774*'تنظیمات وزن‌دهی'!$C$12+CK774*'تنظیمات وزن‌دهی'!$C$13)/100))</x:f>
      </x:c>
      <x:c r="CM774" s="178" t="str">
        <x:f>IF(C774="","",IF(COUNT(G774:CB774)=0,"",IF(COUNT(G774:CB774)&lt;74,"موقت - اطلاعات ناقص",IF(CL774&gt;=17,"عالی",IF(CL774&gt;=14,"خوب",IF(CL774&gt;=10,"متوسط","ضعیف"))))))</x:f>
      </x:c>
      <x:c r="CN774" s="178" t="n">
        <x:v>2</x:v>
      </x:c>
      <x:c r="CO774" s="142" t="n">
        <x:f>IF(C774="","",COUNT(G774:CB774)/74)</x:f>
        <x:v>0</x:v>
      </x:c>
      <x:c r="CP774" s="245"/>
    </x:row>
    <x:row r="775">
      <x:c r="A775" s="165" t="n">
        <x:v>771</x:v>
      </x:c>
      <x:c r="B775" s="233" t="str">
        <x:v>شهریور</x:v>
      </x:c>
      <x:c r="C775" s="233" t="n">
        <x:f>IF('دانش‌آموزان'!E69="","",'دانش‌آموزان'!B69)</x:f>
        <x:v>65</x:v>
      </x:c>
      <x:c r="D775" s="233" t="str">
        <x:f>IF('دانش‌آموزان'!C69="","",'دانش‌آموزان'!C69)</x:f>
        <x:v>4000000659</x:v>
      </x:c>
      <x:c r="E775" s="233" t="str">
        <x:f>IF('دانش‌آموزان'!E69="","",'دانش‌آموزان'!E69&amp;" "&amp;'دانش‌آموزان'!F69)</x:f>
        <x:v>محمد قاسمی</x:v>
      </x:c>
      <x:c r="F775" s="166" t="str">
        <x:f>IF('دانش‌آموزان'!I69="","",'دانش‌آموزان'!I69)</x:f>
        <x:v>sample-7-c</x:v>
      </x:c>
      <x:c r="G775" s="114"/>
      <x:c r="H775" s="115"/>
      <x:c r="I775" s="115"/>
      <x:c r="J775" s="115"/>
      <x:c r="K775" s="115"/>
      <x:c r="L775" s="115"/>
      <x:c r="M775" s="115"/>
      <x:c r="N775" s="115"/>
      <x:c r="O775" s="115"/>
      <x:c r="P775" s="115"/>
      <x:c r="Q775" s="115"/>
      <x:c r="R775" s="115"/>
      <x:c r="S775" s="115"/>
      <x:c r="T775" s="115"/>
      <x:c r="U775" s="115"/>
      <x:c r="V775" s="115"/>
      <x:c r="W775" s="115"/>
      <x:c r="X775" s="115"/>
      <x:c r="Y775" s="115"/>
      <x:c r="Z775" s="115"/>
      <x:c r="AA775" s="115"/>
      <x:c r="AB775" s="115"/>
      <x:c r="AC775" s="115"/>
      <x:c r="AD775" s="115"/>
      <x:c r="AE775" s="115"/>
      <x:c r="AF775" s="115"/>
      <x:c r="AG775" s="115"/>
      <x:c r="AH775" s="115"/>
      <x:c r="AI775" s="115"/>
      <x:c r="AJ775" s="115"/>
      <x:c r="AK775" s="115"/>
      <x:c r="AL775" s="115"/>
      <x:c r="AM775" s="115"/>
      <x:c r="AN775" s="115"/>
      <x:c r="AO775" s="115"/>
      <x:c r="AP775" s="115"/>
      <x:c r="AQ775" s="115"/>
      <x:c r="AR775" s="115"/>
      <x:c r="AS775" s="115"/>
      <x:c r="AT775" s="115"/>
      <x:c r="AU775" s="115"/>
      <x:c r="AV775" s="115"/>
      <x:c r="AW775" s="115"/>
      <x:c r="AX775" s="115"/>
      <x:c r="AY775" s="115"/>
      <x:c r="AZ775" s="115"/>
      <x:c r="BA775" s="115"/>
      <x:c r="BB775" s="115"/>
      <x:c r="BC775" s="115"/>
      <x:c r="BD775" s="115"/>
      <x:c r="BE775" s="115"/>
      <x:c r="BF775" s="115"/>
      <x:c r="BG775" s="115"/>
      <x:c r="BH775" s="115"/>
      <x:c r="BI775" s="115"/>
      <x:c r="BJ775" s="115"/>
      <x:c r="BK775" s="115"/>
      <x:c r="BL775" s="115"/>
      <x:c r="BM775" s="115"/>
      <x:c r="BN775" s="115"/>
      <x:c r="BO775" s="115"/>
      <x:c r="BP775" s="115"/>
      <x:c r="BQ775" s="115"/>
      <x:c r="BR775" s="115"/>
      <x:c r="BS775" s="115"/>
      <x:c r="BT775" s="115"/>
      <x:c r="BU775" s="115"/>
      <x:c r="BV775" s="115"/>
      <x:c r="BW775" s="115"/>
      <x:c r="BX775" s="115"/>
      <x:c r="BY775" s="115"/>
      <x:c r="BZ775" s="115"/>
      <x:c r="CA775" s="115"/>
      <x:c r="CB775" s="116"/>
      <x:c r="CC775" s="141" t="str">
        <x:f>IF(COUNT(G775:P775)=0,"",AVERAGE(G775:P775)*4)</x:f>
      </x:c>
      <x:c r="CD775" s="178" t="str">
        <x:f>IF(COUNT(Q775:Z775)=0,"",AVERAGE(Q775:Z775)*4)</x:f>
      </x:c>
      <x:c r="CE775" s="178" t="str">
        <x:f>IF(COUNT(AA775:AJ775)=0,"",AVERAGE(AA775:AJ775)*4)</x:f>
      </x:c>
      <x:c r="CF775" s="178" t="str">
        <x:f>IF(COUNT(AK775:AR775)=0,"",AVERAGE(AK775:AR775)*4)</x:f>
      </x:c>
      <x:c r="CG775" s="178" t="str">
        <x:f>IF(COUNT(AS775:AY775)=0,"",AVERAGE(AS775:AY775)*4)</x:f>
      </x:c>
      <x:c r="CH775" s="178" t="str">
        <x:f>IF(COUNT(AZ775:BG775)=0,"",AVERAGE(AZ775:BG775)*4)</x:f>
      </x:c>
      <x:c r="CI775" s="178" t="str">
        <x:f>IF(COUNT(BH775:BN775)=0,"",AVERAGE(BH775:BN775)*4)</x:f>
      </x:c>
      <x:c r="CJ775" s="178" t="str">
        <x:f>IF(COUNT(BO775:BU775)=0,"",AVERAGE(BO775:BU775)*4)</x:f>
      </x:c>
      <x:c r="CK775" s="178" t="str">
        <x:f>IF(COUNT(BV775:CB775)=0,"",AVERAGE(BV775:CB775)*4)</x:f>
      </x:c>
      <x:c r="CL775" s="178" t="str">
        <x:f>IF(C775="","",IF(COUNT(G775:CB775)&lt;74,"",(CC775*'تنظیمات وزن‌دهی'!$C$5+CD775*'تنظیمات وزن‌دهی'!$C$6+CE775*'تنظیمات وزن‌دهی'!$C$7+CF775*'تنظیمات وزن‌دهی'!$C$8+CG775*'تنظیمات وزن‌دهی'!$C$9+CH775*'تنظیمات وزن‌دهی'!$C$10+CI775*'تنظیمات وزن‌دهی'!$C$11+CJ775*'تنظیمات وزن‌دهی'!$C$12+CK775*'تنظیمات وزن‌دهی'!$C$13)/100))</x:f>
      </x:c>
      <x:c r="CM775" s="178" t="str">
        <x:f>IF(C775="","",IF(COUNT(G775:CB775)=0,"",IF(COUNT(G775:CB775)&lt;74,"موقت - اطلاعات ناقص",IF(CL775&gt;=17,"عالی",IF(CL775&gt;=14,"خوب",IF(CL775&gt;=10,"متوسط","ضعیف"))))))</x:f>
      </x:c>
      <x:c r="CN775" s="178" t="n">
        <x:v>3</x:v>
      </x:c>
      <x:c r="CO775" s="142" t="n">
        <x:f>IF(C775="","",COUNT(G775:CB775)/74)</x:f>
        <x:v>0</x:v>
      </x:c>
      <x:c r="CP775" s="245"/>
    </x:row>
    <x:row r="776">
      <x:c r="A776" s="165" t="n">
        <x:v>772</x:v>
      </x:c>
      <x:c r="B776" s="233" t="str">
        <x:v>مهر</x:v>
      </x:c>
      <x:c r="C776" s="233" t="n">
        <x:f>IF('دانش‌آموزان'!E69="","",'دانش‌آموزان'!B69)</x:f>
        <x:v>65</x:v>
      </x:c>
      <x:c r="D776" s="233" t="str">
        <x:f>IF('دانش‌آموزان'!C69="","",'دانش‌آموزان'!C69)</x:f>
        <x:v>4000000659</x:v>
      </x:c>
      <x:c r="E776" s="233" t="str">
        <x:f>IF('دانش‌آموزان'!E69="","",'دانش‌آموزان'!E69&amp;" "&amp;'دانش‌آموزان'!F69)</x:f>
        <x:v>محمد قاسمی</x:v>
      </x:c>
      <x:c r="F776" s="166" t="str">
        <x:f>IF('دانش‌آموزان'!I69="","",'دانش‌آموزان'!I69)</x:f>
        <x:v>sample-7-c</x:v>
      </x:c>
      <x:c r="G776" s="114"/>
      <x:c r="H776" s="115"/>
      <x:c r="I776" s="115"/>
      <x:c r="J776" s="115"/>
      <x:c r="K776" s="115"/>
      <x:c r="L776" s="115"/>
      <x:c r="M776" s="115"/>
      <x:c r="N776" s="115"/>
      <x:c r="O776" s="115"/>
      <x:c r="P776" s="115"/>
      <x:c r="Q776" s="115"/>
      <x:c r="R776" s="115"/>
      <x:c r="S776" s="115"/>
      <x:c r="T776" s="115"/>
      <x:c r="U776" s="115"/>
      <x:c r="V776" s="115"/>
      <x:c r="W776" s="115"/>
      <x:c r="X776" s="115"/>
      <x:c r="Y776" s="115"/>
      <x:c r="Z776" s="115"/>
      <x:c r="AA776" s="115"/>
      <x:c r="AB776" s="115"/>
      <x:c r="AC776" s="115"/>
      <x:c r="AD776" s="115"/>
      <x:c r="AE776" s="115"/>
      <x:c r="AF776" s="115"/>
      <x:c r="AG776" s="115"/>
      <x:c r="AH776" s="115"/>
      <x:c r="AI776" s="115"/>
      <x:c r="AJ776" s="115"/>
      <x:c r="AK776" s="115"/>
      <x:c r="AL776" s="115"/>
      <x:c r="AM776" s="115"/>
      <x:c r="AN776" s="115"/>
      <x:c r="AO776" s="115"/>
      <x:c r="AP776" s="115"/>
      <x:c r="AQ776" s="115"/>
      <x:c r="AR776" s="115"/>
      <x:c r="AS776" s="115"/>
      <x:c r="AT776" s="115"/>
      <x:c r="AU776" s="115"/>
      <x:c r="AV776" s="115"/>
      <x:c r="AW776" s="115"/>
      <x:c r="AX776" s="115"/>
      <x:c r="AY776" s="115"/>
      <x:c r="AZ776" s="115"/>
      <x:c r="BA776" s="115"/>
      <x:c r="BB776" s="115"/>
      <x:c r="BC776" s="115"/>
      <x:c r="BD776" s="115"/>
      <x:c r="BE776" s="115"/>
      <x:c r="BF776" s="115"/>
      <x:c r="BG776" s="115"/>
      <x:c r="BH776" s="115"/>
      <x:c r="BI776" s="115"/>
      <x:c r="BJ776" s="115"/>
      <x:c r="BK776" s="115"/>
      <x:c r="BL776" s="115"/>
      <x:c r="BM776" s="115"/>
      <x:c r="BN776" s="115"/>
      <x:c r="BO776" s="115"/>
      <x:c r="BP776" s="115"/>
      <x:c r="BQ776" s="115"/>
      <x:c r="BR776" s="115"/>
      <x:c r="BS776" s="115"/>
      <x:c r="BT776" s="115"/>
      <x:c r="BU776" s="115"/>
      <x:c r="BV776" s="115"/>
      <x:c r="BW776" s="115"/>
      <x:c r="BX776" s="115"/>
      <x:c r="BY776" s="115"/>
      <x:c r="BZ776" s="115"/>
      <x:c r="CA776" s="115"/>
      <x:c r="CB776" s="116"/>
      <x:c r="CC776" s="141" t="str">
        <x:f>IF(COUNT(G776:P776)=0,"",AVERAGE(G776:P776)*4)</x:f>
      </x:c>
      <x:c r="CD776" s="178" t="str">
        <x:f>IF(COUNT(Q776:Z776)=0,"",AVERAGE(Q776:Z776)*4)</x:f>
      </x:c>
      <x:c r="CE776" s="178" t="str">
        <x:f>IF(COUNT(AA776:AJ776)=0,"",AVERAGE(AA776:AJ776)*4)</x:f>
      </x:c>
      <x:c r="CF776" s="178" t="str">
        <x:f>IF(COUNT(AK776:AR776)=0,"",AVERAGE(AK776:AR776)*4)</x:f>
      </x:c>
      <x:c r="CG776" s="178" t="str">
        <x:f>IF(COUNT(AS776:AY776)=0,"",AVERAGE(AS776:AY776)*4)</x:f>
      </x:c>
      <x:c r="CH776" s="178" t="str">
        <x:f>IF(COUNT(AZ776:BG776)=0,"",AVERAGE(AZ776:BG776)*4)</x:f>
      </x:c>
      <x:c r="CI776" s="178" t="str">
        <x:f>IF(COUNT(BH776:BN776)=0,"",AVERAGE(BH776:BN776)*4)</x:f>
      </x:c>
      <x:c r="CJ776" s="178" t="str">
        <x:f>IF(COUNT(BO776:BU776)=0,"",AVERAGE(BO776:BU776)*4)</x:f>
      </x:c>
      <x:c r="CK776" s="178" t="str">
        <x:f>IF(COUNT(BV776:CB776)=0,"",AVERAGE(BV776:CB776)*4)</x:f>
      </x:c>
      <x:c r="CL776" s="178" t="str">
        <x:f>IF(C776="","",IF(COUNT(G776:CB776)&lt;74,"",(CC776*'تنظیمات وزن‌دهی'!$C$5+CD776*'تنظیمات وزن‌دهی'!$C$6+CE776*'تنظیمات وزن‌دهی'!$C$7+CF776*'تنظیمات وزن‌دهی'!$C$8+CG776*'تنظیمات وزن‌دهی'!$C$9+CH776*'تنظیمات وزن‌دهی'!$C$10+CI776*'تنظیمات وزن‌دهی'!$C$11+CJ776*'تنظیمات وزن‌دهی'!$C$12+CK776*'تنظیمات وزن‌دهی'!$C$13)/100))</x:f>
      </x:c>
      <x:c r="CM776" s="178" t="str">
        <x:f>IF(C776="","",IF(COUNT(G776:CB776)=0,"",IF(COUNT(G776:CB776)&lt;74,"موقت - اطلاعات ناقص",IF(CL776&gt;=17,"عالی",IF(CL776&gt;=14,"خوب",IF(CL776&gt;=10,"متوسط","ضعیف"))))))</x:f>
      </x:c>
      <x:c r="CN776" s="178" t="n">
        <x:v>4</x:v>
      </x:c>
      <x:c r="CO776" s="142" t="n">
        <x:f>IF(C776="","",COUNT(G776:CB776)/74)</x:f>
        <x:v>0</x:v>
      </x:c>
      <x:c r="CP776" s="245"/>
    </x:row>
    <x:row r="777">
      <x:c r="A777" s="165" t="n">
        <x:v>773</x:v>
      </x:c>
      <x:c r="B777" s="233" t="str">
        <x:v>آبان</x:v>
      </x:c>
      <x:c r="C777" s="233" t="n">
        <x:f>IF('دانش‌آموزان'!E69="","",'دانش‌آموزان'!B69)</x:f>
        <x:v>65</x:v>
      </x:c>
      <x:c r="D777" s="233" t="str">
        <x:f>IF('دانش‌آموزان'!C69="","",'دانش‌آموزان'!C69)</x:f>
        <x:v>4000000659</x:v>
      </x:c>
      <x:c r="E777" s="233" t="str">
        <x:f>IF('دانش‌آموزان'!E69="","",'دانش‌آموزان'!E69&amp;" "&amp;'دانش‌آموزان'!F69)</x:f>
        <x:v>محمد قاسمی</x:v>
      </x:c>
      <x:c r="F777" s="166" t="str">
        <x:f>IF('دانش‌آموزان'!I69="","",'دانش‌آموزان'!I69)</x:f>
        <x:v>sample-7-c</x:v>
      </x:c>
      <x:c r="G777" s="114"/>
      <x:c r="H777" s="115"/>
      <x:c r="I777" s="115"/>
      <x:c r="J777" s="115"/>
      <x:c r="K777" s="115"/>
      <x:c r="L777" s="115"/>
      <x:c r="M777" s="115"/>
      <x:c r="N777" s="115"/>
      <x:c r="O777" s="115"/>
      <x:c r="P777" s="115"/>
      <x:c r="Q777" s="115"/>
      <x:c r="R777" s="115"/>
      <x:c r="S777" s="115"/>
      <x:c r="T777" s="115"/>
      <x:c r="U777" s="115"/>
      <x:c r="V777" s="115"/>
      <x:c r="W777" s="115"/>
      <x:c r="X777" s="115"/>
      <x:c r="Y777" s="115"/>
      <x:c r="Z777" s="115"/>
      <x:c r="AA777" s="115"/>
      <x:c r="AB777" s="115"/>
      <x:c r="AC777" s="115"/>
      <x:c r="AD777" s="115"/>
      <x:c r="AE777" s="115"/>
      <x:c r="AF777" s="115"/>
      <x:c r="AG777" s="115"/>
      <x:c r="AH777" s="115"/>
      <x:c r="AI777" s="115"/>
      <x:c r="AJ777" s="115"/>
      <x:c r="AK777" s="115"/>
      <x:c r="AL777" s="115"/>
      <x:c r="AM777" s="115"/>
      <x:c r="AN777" s="115"/>
      <x:c r="AO777" s="115"/>
      <x:c r="AP777" s="115"/>
      <x:c r="AQ777" s="115"/>
      <x:c r="AR777" s="115"/>
      <x:c r="AS777" s="115"/>
      <x:c r="AT777" s="115"/>
      <x:c r="AU777" s="115"/>
      <x:c r="AV777" s="115"/>
      <x:c r="AW777" s="115"/>
      <x:c r="AX777" s="115"/>
      <x:c r="AY777" s="115"/>
      <x:c r="AZ777" s="115"/>
      <x:c r="BA777" s="115"/>
      <x:c r="BB777" s="115"/>
      <x:c r="BC777" s="115"/>
      <x:c r="BD777" s="115"/>
      <x:c r="BE777" s="115"/>
      <x:c r="BF777" s="115"/>
      <x:c r="BG777" s="115"/>
      <x:c r="BH777" s="115"/>
      <x:c r="BI777" s="115"/>
      <x:c r="BJ777" s="115"/>
      <x:c r="BK777" s="115"/>
      <x:c r="BL777" s="115"/>
      <x:c r="BM777" s="115"/>
      <x:c r="BN777" s="115"/>
      <x:c r="BO777" s="115"/>
      <x:c r="BP777" s="115"/>
      <x:c r="BQ777" s="115"/>
      <x:c r="BR777" s="115"/>
      <x:c r="BS777" s="115"/>
      <x:c r="BT777" s="115"/>
      <x:c r="BU777" s="115"/>
      <x:c r="BV777" s="115"/>
      <x:c r="BW777" s="115"/>
      <x:c r="BX777" s="115"/>
      <x:c r="BY777" s="115"/>
      <x:c r="BZ777" s="115"/>
      <x:c r="CA777" s="115"/>
      <x:c r="CB777" s="116"/>
      <x:c r="CC777" s="141" t="str">
        <x:f>IF(COUNT(G777:P777)=0,"",AVERAGE(G777:P777)*4)</x:f>
      </x:c>
      <x:c r="CD777" s="178" t="str">
        <x:f>IF(COUNT(Q777:Z777)=0,"",AVERAGE(Q777:Z777)*4)</x:f>
      </x:c>
      <x:c r="CE777" s="178" t="str">
        <x:f>IF(COUNT(AA777:AJ777)=0,"",AVERAGE(AA777:AJ777)*4)</x:f>
      </x:c>
      <x:c r="CF777" s="178" t="str">
        <x:f>IF(COUNT(AK777:AR777)=0,"",AVERAGE(AK777:AR777)*4)</x:f>
      </x:c>
      <x:c r="CG777" s="178" t="str">
        <x:f>IF(COUNT(AS777:AY777)=0,"",AVERAGE(AS777:AY777)*4)</x:f>
      </x:c>
      <x:c r="CH777" s="178" t="str">
        <x:f>IF(COUNT(AZ777:BG777)=0,"",AVERAGE(AZ777:BG777)*4)</x:f>
      </x:c>
      <x:c r="CI777" s="178" t="str">
        <x:f>IF(COUNT(BH777:BN777)=0,"",AVERAGE(BH777:BN777)*4)</x:f>
      </x:c>
      <x:c r="CJ777" s="178" t="str">
        <x:f>IF(COUNT(BO777:BU777)=0,"",AVERAGE(BO777:BU777)*4)</x:f>
      </x:c>
      <x:c r="CK777" s="178" t="str">
        <x:f>IF(COUNT(BV777:CB777)=0,"",AVERAGE(BV777:CB777)*4)</x:f>
      </x:c>
      <x:c r="CL777" s="178" t="str">
        <x:f>IF(C777="","",IF(COUNT(G777:CB777)&lt;74,"",(CC777*'تنظیمات وزن‌دهی'!$C$5+CD777*'تنظیمات وزن‌دهی'!$C$6+CE777*'تنظیمات وزن‌دهی'!$C$7+CF777*'تنظیمات وزن‌دهی'!$C$8+CG777*'تنظیمات وزن‌دهی'!$C$9+CH777*'تنظیمات وزن‌دهی'!$C$10+CI777*'تنظیمات وزن‌دهی'!$C$11+CJ777*'تنظیمات وزن‌دهی'!$C$12+CK777*'تنظیمات وزن‌دهی'!$C$13)/100))</x:f>
      </x:c>
      <x:c r="CM777" s="178" t="str">
        <x:f>IF(C777="","",IF(COUNT(G777:CB777)=0,"",IF(COUNT(G777:CB777)&lt;74,"موقت - اطلاعات ناقص",IF(CL777&gt;=17,"عالی",IF(CL777&gt;=14,"خوب",IF(CL777&gt;=10,"متوسط","ضعیف"))))))</x:f>
      </x:c>
      <x:c r="CN777" s="178" t="n">
        <x:v>5</x:v>
      </x:c>
      <x:c r="CO777" s="142" t="n">
        <x:f>IF(C777="","",COUNT(G777:CB777)/74)</x:f>
        <x:v>0</x:v>
      </x:c>
      <x:c r="CP777" s="245"/>
    </x:row>
    <x:row r="778">
      <x:c r="A778" s="165" t="n">
        <x:v>774</x:v>
      </x:c>
      <x:c r="B778" s="233" t="str">
        <x:v>آذر</x:v>
      </x:c>
      <x:c r="C778" s="233" t="n">
        <x:f>IF('دانش‌آموزان'!E69="","",'دانش‌آموزان'!B69)</x:f>
        <x:v>65</x:v>
      </x:c>
      <x:c r="D778" s="233" t="str">
        <x:f>IF('دانش‌آموزان'!C69="","",'دانش‌آموزان'!C69)</x:f>
        <x:v>4000000659</x:v>
      </x:c>
      <x:c r="E778" s="233" t="str">
        <x:f>IF('دانش‌آموزان'!E69="","",'دانش‌آموزان'!E69&amp;" "&amp;'دانش‌آموزان'!F69)</x:f>
        <x:v>محمد قاسمی</x:v>
      </x:c>
      <x:c r="F778" s="166" t="str">
        <x:f>IF('دانش‌آموزان'!I69="","",'دانش‌آموزان'!I69)</x:f>
        <x:v>sample-7-c</x:v>
      </x:c>
      <x:c r="G778" s="114"/>
      <x:c r="H778" s="115"/>
      <x:c r="I778" s="115"/>
      <x:c r="J778" s="115"/>
      <x:c r="K778" s="115"/>
      <x:c r="L778" s="115"/>
      <x:c r="M778" s="115"/>
      <x:c r="N778" s="115"/>
      <x:c r="O778" s="115"/>
      <x:c r="P778" s="115"/>
      <x:c r="Q778" s="115"/>
      <x:c r="R778" s="115"/>
      <x:c r="S778" s="115"/>
      <x:c r="T778" s="115"/>
      <x:c r="U778" s="115"/>
      <x:c r="V778" s="115"/>
      <x:c r="W778" s="115"/>
      <x:c r="X778" s="115"/>
      <x:c r="Y778" s="115"/>
      <x:c r="Z778" s="115"/>
      <x:c r="AA778" s="115"/>
      <x:c r="AB778" s="115"/>
      <x:c r="AC778" s="115"/>
      <x:c r="AD778" s="115"/>
      <x:c r="AE778" s="115"/>
      <x:c r="AF778" s="115"/>
      <x:c r="AG778" s="115"/>
      <x:c r="AH778" s="115"/>
      <x:c r="AI778" s="115"/>
      <x:c r="AJ778" s="115"/>
      <x:c r="AK778" s="115"/>
      <x:c r="AL778" s="115"/>
      <x:c r="AM778" s="115"/>
      <x:c r="AN778" s="115"/>
      <x:c r="AO778" s="115"/>
      <x:c r="AP778" s="115"/>
      <x:c r="AQ778" s="115"/>
      <x:c r="AR778" s="115"/>
      <x:c r="AS778" s="115"/>
      <x:c r="AT778" s="115"/>
      <x:c r="AU778" s="115"/>
      <x:c r="AV778" s="115"/>
      <x:c r="AW778" s="115"/>
      <x:c r="AX778" s="115"/>
      <x:c r="AY778" s="115"/>
      <x:c r="AZ778" s="115"/>
      <x:c r="BA778" s="115"/>
      <x:c r="BB778" s="115"/>
      <x:c r="BC778" s="115"/>
      <x:c r="BD778" s="115"/>
      <x:c r="BE778" s="115"/>
      <x:c r="BF778" s="115"/>
      <x:c r="BG778" s="115"/>
      <x:c r="BH778" s="115"/>
      <x:c r="BI778" s="115"/>
      <x:c r="BJ778" s="115"/>
      <x:c r="BK778" s="115"/>
      <x:c r="BL778" s="115"/>
      <x:c r="BM778" s="115"/>
      <x:c r="BN778" s="115"/>
      <x:c r="BO778" s="115"/>
      <x:c r="BP778" s="115"/>
      <x:c r="BQ778" s="115"/>
      <x:c r="BR778" s="115"/>
      <x:c r="BS778" s="115"/>
      <x:c r="BT778" s="115"/>
      <x:c r="BU778" s="115"/>
      <x:c r="BV778" s="115"/>
      <x:c r="BW778" s="115"/>
      <x:c r="BX778" s="115"/>
      <x:c r="BY778" s="115"/>
      <x:c r="BZ778" s="115"/>
      <x:c r="CA778" s="115"/>
      <x:c r="CB778" s="116"/>
      <x:c r="CC778" s="141" t="str">
        <x:f>IF(COUNT(G778:P778)=0,"",AVERAGE(G778:P778)*4)</x:f>
      </x:c>
      <x:c r="CD778" s="178" t="str">
        <x:f>IF(COUNT(Q778:Z778)=0,"",AVERAGE(Q778:Z778)*4)</x:f>
      </x:c>
      <x:c r="CE778" s="178" t="str">
        <x:f>IF(COUNT(AA778:AJ778)=0,"",AVERAGE(AA778:AJ778)*4)</x:f>
      </x:c>
      <x:c r="CF778" s="178" t="str">
        <x:f>IF(COUNT(AK778:AR778)=0,"",AVERAGE(AK778:AR778)*4)</x:f>
      </x:c>
      <x:c r="CG778" s="178" t="str">
        <x:f>IF(COUNT(AS778:AY778)=0,"",AVERAGE(AS778:AY778)*4)</x:f>
      </x:c>
      <x:c r="CH778" s="178" t="str">
        <x:f>IF(COUNT(AZ778:BG778)=0,"",AVERAGE(AZ778:BG778)*4)</x:f>
      </x:c>
      <x:c r="CI778" s="178" t="str">
        <x:f>IF(COUNT(BH778:BN778)=0,"",AVERAGE(BH778:BN778)*4)</x:f>
      </x:c>
      <x:c r="CJ778" s="178" t="str">
        <x:f>IF(COUNT(BO778:BU778)=0,"",AVERAGE(BO778:BU778)*4)</x:f>
      </x:c>
      <x:c r="CK778" s="178" t="str">
        <x:f>IF(COUNT(BV778:CB778)=0,"",AVERAGE(BV778:CB778)*4)</x:f>
      </x:c>
      <x:c r="CL778" s="178" t="str">
        <x:f>IF(C778="","",IF(COUNT(G778:CB778)&lt;74,"",(CC778*'تنظیمات وزن‌دهی'!$C$5+CD778*'تنظیمات وزن‌دهی'!$C$6+CE778*'تنظیمات وزن‌دهی'!$C$7+CF778*'تنظیمات وزن‌دهی'!$C$8+CG778*'تنظیمات وزن‌دهی'!$C$9+CH778*'تنظیمات وزن‌دهی'!$C$10+CI778*'تنظیمات وزن‌دهی'!$C$11+CJ778*'تنظیمات وزن‌دهی'!$C$12+CK778*'تنظیمات وزن‌دهی'!$C$13)/100))</x:f>
      </x:c>
      <x:c r="CM778" s="178" t="str">
        <x:f>IF(C778="","",IF(COUNT(G778:CB778)=0,"",IF(COUNT(G778:CB778)&lt;74,"موقت - اطلاعات ناقص",IF(CL778&gt;=17,"عالی",IF(CL778&gt;=14,"خوب",IF(CL778&gt;=10,"متوسط","ضعیف"))))))</x:f>
      </x:c>
      <x:c r="CN778" s="178" t="n">
        <x:v>6</x:v>
      </x:c>
      <x:c r="CO778" s="142" t="n">
        <x:f>IF(C778="","",COUNT(G778:CB778)/74)</x:f>
        <x:v>0</x:v>
      </x:c>
      <x:c r="CP778" s="245"/>
    </x:row>
    <x:row r="779">
      <x:c r="A779" s="165" t="n">
        <x:v>775</x:v>
      </x:c>
      <x:c r="B779" s="233" t="str">
        <x:v>دی</x:v>
      </x:c>
      <x:c r="C779" s="233" t="n">
        <x:f>IF('دانش‌آموزان'!E69="","",'دانش‌آموزان'!B69)</x:f>
        <x:v>65</x:v>
      </x:c>
      <x:c r="D779" s="233" t="str">
        <x:f>IF('دانش‌آموزان'!C69="","",'دانش‌آموزان'!C69)</x:f>
        <x:v>4000000659</x:v>
      </x:c>
      <x:c r="E779" s="233" t="str">
        <x:f>IF('دانش‌آموزان'!E69="","",'دانش‌آموزان'!E69&amp;" "&amp;'دانش‌آموزان'!F69)</x:f>
        <x:v>محمد قاسمی</x:v>
      </x:c>
      <x:c r="F779" s="166" t="str">
        <x:f>IF('دانش‌آموزان'!I69="","",'دانش‌آموزان'!I69)</x:f>
        <x:v>sample-7-c</x:v>
      </x:c>
      <x:c r="G779" s="114"/>
      <x:c r="H779" s="115"/>
      <x:c r="I779" s="115"/>
      <x:c r="J779" s="115"/>
      <x:c r="K779" s="115"/>
      <x:c r="L779" s="115"/>
      <x:c r="M779" s="115"/>
      <x:c r="N779" s="115"/>
      <x:c r="O779" s="115"/>
      <x:c r="P779" s="115"/>
      <x:c r="Q779" s="115"/>
      <x:c r="R779" s="115"/>
      <x:c r="S779" s="115"/>
      <x:c r="T779" s="115"/>
      <x:c r="U779" s="115"/>
      <x:c r="V779" s="115"/>
      <x:c r="W779" s="115"/>
      <x:c r="X779" s="115"/>
      <x:c r="Y779" s="115"/>
      <x:c r="Z779" s="115"/>
      <x:c r="AA779" s="115"/>
      <x:c r="AB779" s="115"/>
      <x:c r="AC779" s="115"/>
      <x:c r="AD779" s="115"/>
      <x:c r="AE779" s="115"/>
      <x:c r="AF779" s="115"/>
      <x:c r="AG779" s="115"/>
      <x:c r="AH779" s="115"/>
      <x:c r="AI779" s="115"/>
      <x:c r="AJ779" s="115"/>
      <x:c r="AK779" s="115"/>
      <x:c r="AL779" s="115"/>
      <x:c r="AM779" s="115"/>
      <x:c r="AN779" s="115"/>
      <x:c r="AO779" s="115"/>
      <x:c r="AP779" s="115"/>
      <x:c r="AQ779" s="115"/>
      <x:c r="AR779" s="115"/>
      <x:c r="AS779" s="115"/>
      <x:c r="AT779" s="115"/>
      <x:c r="AU779" s="115"/>
      <x:c r="AV779" s="115"/>
      <x:c r="AW779" s="115"/>
      <x:c r="AX779" s="115"/>
      <x:c r="AY779" s="115"/>
      <x:c r="AZ779" s="115"/>
      <x:c r="BA779" s="115"/>
      <x:c r="BB779" s="115"/>
      <x:c r="BC779" s="115"/>
      <x:c r="BD779" s="115"/>
      <x:c r="BE779" s="115"/>
      <x:c r="BF779" s="115"/>
      <x:c r="BG779" s="115"/>
      <x:c r="BH779" s="115"/>
      <x:c r="BI779" s="115"/>
      <x:c r="BJ779" s="115"/>
      <x:c r="BK779" s="115"/>
      <x:c r="BL779" s="115"/>
      <x:c r="BM779" s="115"/>
      <x:c r="BN779" s="115"/>
      <x:c r="BO779" s="115"/>
      <x:c r="BP779" s="115"/>
      <x:c r="BQ779" s="115"/>
      <x:c r="BR779" s="115"/>
      <x:c r="BS779" s="115"/>
      <x:c r="BT779" s="115"/>
      <x:c r="BU779" s="115"/>
      <x:c r="BV779" s="115"/>
      <x:c r="BW779" s="115"/>
      <x:c r="BX779" s="115"/>
      <x:c r="BY779" s="115"/>
      <x:c r="BZ779" s="115"/>
      <x:c r="CA779" s="115"/>
      <x:c r="CB779" s="116"/>
      <x:c r="CC779" s="141" t="str">
        <x:f>IF(COUNT(G779:P779)=0,"",AVERAGE(G779:P779)*4)</x:f>
      </x:c>
      <x:c r="CD779" s="178" t="str">
        <x:f>IF(COUNT(Q779:Z779)=0,"",AVERAGE(Q779:Z779)*4)</x:f>
      </x:c>
      <x:c r="CE779" s="178" t="str">
        <x:f>IF(COUNT(AA779:AJ779)=0,"",AVERAGE(AA779:AJ779)*4)</x:f>
      </x:c>
      <x:c r="CF779" s="178" t="str">
        <x:f>IF(COUNT(AK779:AR779)=0,"",AVERAGE(AK779:AR779)*4)</x:f>
      </x:c>
      <x:c r="CG779" s="178" t="str">
        <x:f>IF(COUNT(AS779:AY779)=0,"",AVERAGE(AS779:AY779)*4)</x:f>
      </x:c>
      <x:c r="CH779" s="178" t="str">
        <x:f>IF(COUNT(AZ779:BG779)=0,"",AVERAGE(AZ779:BG779)*4)</x:f>
      </x:c>
      <x:c r="CI779" s="178" t="str">
        <x:f>IF(COUNT(BH779:BN779)=0,"",AVERAGE(BH779:BN779)*4)</x:f>
      </x:c>
      <x:c r="CJ779" s="178" t="str">
        <x:f>IF(COUNT(BO779:BU779)=0,"",AVERAGE(BO779:BU779)*4)</x:f>
      </x:c>
      <x:c r="CK779" s="178" t="str">
        <x:f>IF(COUNT(BV779:CB779)=0,"",AVERAGE(BV779:CB779)*4)</x:f>
      </x:c>
      <x:c r="CL779" s="178" t="str">
        <x:f>IF(C779="","",IF(COUNT(G779:CB779)&lt;74,"",(CC779*'تنظیمات وزن‌دهی'!$C$5+CD779*'تنظیمات وزن‌دهی'!$C$6+CE779*'تنظیمات وزن‌دهی'!$C$7+CF779*'تنظیمات وزن‌دهی'!$C$8+CG779*'تنظیمات وزن‌دهی'!$C$9+CH779*'تنظیمات وزن‌دهی'!$C$10+CI779*'تنظیمات وزن‌دهی'!$C$11+CJ779*'تنظیمات وزن‌دهی'!$C$12+CK779*'تنظیمات وزن‌دهی'!$C$13)/100))</x:f>
      </x:c>
      <x:c r="CM779" s="178" t="str">
        <x:f>IF(C779="","",IF(COUNT(G779:CB779)=0,"",IF(COUNT(G779:CB779)&lt;74,"موقت - اطلاعات ناقص",IF(CL779&gt;=17,"عالی",IF(CL779&gt;=14,"خوب",IF(CL779&gt;=10,"متوسط","ضعیف"))))))</x:f>
      </x:c>
      <x:c r="CN779" s="178" t="n">
        <x:v>7</x:v>
      </x:c>
      <x:c r="CO779" s="142" t="n">
        <x:f>IF(C779="","",COUNT(G779:CB779)/74)</x:f>
        <x:v>0</x:v>
      </x:c>
      <x:c r="CP779" s="245"/>
    </x:row>
    <x:row r="780">
      <x:c r="A780" s="165" t="n">
        <x:v>776</x:v>
      </x:c>
      <x:c r="B780" s="233" t="str">
        <x:v>بهمن</x:v>
      </x:c>
      <x:c r="C780" s="233" t="n">
        <x:f>IF('دانش‌آموزان'!E69="","",'دانش‌آموزان'!B69)</x:f>
        <x:v>65</x:v>
      </x:c>
      <x:c r="D780" s="233" t="str">
        <x:f>IF('دانش‌آموزان'!C69="","",'دانش‌آموزان'!C69)</x:f>
        <x:v>4000000659</x:v>
      </x:c>
      <x:c r="E780" s="233" t="str">
        <x:f>IF('دانش‌آموزان'!E69="","",'دانش‌آموزان'!E69&amp;" "&amp;'دانش‌آموزان'!F69)</x:f>
        <x:v>محمد قاسمی</x:v>
      </x:c>
      <x:c r="F780" s="166" t="str">
        <x:f>IF('دانش‌آموزان'!I69="","",'دانش‌آموزان'!I69)</x:f>
        <x:v>sample-7-c</x:v>
      </x:c>
      <x:c r="G780" s="114"/>
      <x:c r="H780" s="115"/>
      <x:c r="I780" s="115"/>
      <x:c r="J780" s="115"/>
      <x:c r="K780" s="115"/>
      <x:c r="L780" s="115"/>
      <x:c r="M780" s="115"/>
      <x:c r="N780" s="115"/>
      <x:c r="O780" s="115"/>
      <x:c r="P780" s="115"/>
      <x:c r="Q780" s="115"/>
      <x:c r="R780" s="115"/>
      <x:c r="S780" s="115"/>
      <x:c r="T780" s="115"/>
      <x:c r="U780" s="115"/>
      <x:c r="V780" s="115"/>
      <x:c r="W780" s="115"/>
      <x:c r="X780" s="115"/>
      <x:c r="Y780" s="115"/>
      <x:c r="Z780" s="115"/>
      <x:c r="AA780" s="115"/>
      <x:c r="AB780" s="115"/>
      <x:c r="AC780" s="115"/>
      <x:c r="AD780" s="115"/>
      <x:c r="AE780" s="115"/>
      <x:c r="AF780" s="115"/>
      <x:c r="AG780" s="115"/>
      <x:c r="AH780" s="115"/>
      <x:c r="AI780" s="115"/>
      <x:c r="AJ780" s="115"/>
      <x:c r="AK780" s="115"/>
      <x:c r="AL780" s="115"/>
      <x:c r="AM780" s="115"/>
      <x:c r="AN780" s="115"/>
      <x:c r="AO780" s="115"/>
      <x:c r="AP780" s="115"/>
      <x:c r="AQ780" s="115"/>
      <x:c r="AR780" s="115"/>
      <x:c r="AS780" s="115"/>
      <x:c r="AT780" s="115"/>
      <x:c r="AU780" s="115"/>
      <x:c r="AV780" s="115"/>
      <x:c r="AW780" s="115"/>
      <x:c r="AX780" s="115"/>
      <x:c r="AY780" s="115"/>
      <x:c r="AZ780" s="115"/>
      <x:c r="BA780" s="115"/>
      <x:c r="BB780" s="115"/>
      <x:c r="BC780" s="115"/>
      <x:c r="BD780" s="115"/>
      <x:c r="BE780" s="115"/>
      <x:c r="BF780" s="115"/>
      <x:c r="BG780" s="115"/>
      <x:c r="BH780" s="115"/>
      <x:c r="BI780" s="115"/>
      <x:c r="BJ780" s="115"/>
      <x:c r="BK780" s="115"/>
      <x:c r="BL780" s="115"/>
      <x:c r="BM780" s="115"/>
      <x:c r="BN780" s="115"/>
      <x:c r="BO780" s="115"/>
      <x:c r="BP780" s="115"/>
      <x:c r="BQ780" s="115"/>
      <x:c r="BR780" s="115"/>
      <x:c r="BS780" s="115"/>
      <x:c r="BT780" s="115"/>
      <x:c r="BU780" s="115"/>
      <x:c r="BV780" s="115"/>
      <x:c r="BW780" s="115"/>
      <x:c r="BX780" s="115"/>
      <x:c r="BY780" s="115"/>
      <x:c r="BZ780" s="115"/>
      <x:c r="CA780" s="115"/>
      <x:c r="CB780" s="116"/>
      <x:c r="CC780" s="141" t="str">
        <x:f>IF(COUNT(G780:P780)=0,"",AVERAGE(G780:P780)*4)</x:f>
      </x:c>
      <x:c r="CD780" s="178" t="str">
        <x:f>IF(COUNT(Q780:Z780)=0,"",AVERAGE(Q780:Z780)*4)</x:f>
      </x:c>
      <x:c r="CE780" s="178" t="str">
        <x:f>IF(COUNT(AA780:AJ780)=0,"",AVERAGE(AA780:AJ780)*4)</x:f>
      </x:c>
      <x:c r="CF780" s="178" t="str">
        <x:f>IF(COUNT(AK780:AR780)=0,"",AVERAGE(AK780:AR780)*4)</x:f>
      </x:c>
      <x:c r="CG780" s="178" t="str">
        <x:f>IF(COUNT(AS780:AY780)=0,"",AVERAGE(AS780:AY780)*4)</x:f>
      </x:c>
      <x:c r="CH780" s="178" t="str">
        <x:f>IF(COUNT(AZ780:BG780)=0,"",AVERAGE(AZ780:BG780)*4)</x:f>
      </x:c>
      <x:c r="CI780" s="178" t="str">
        <x:f>IF(COUNT(BH780:BN780)=0,"",AVERAGE(BH780:BN780)*4)</x:f>
      </x:c>
      <x:c r="CJ780" s="178" t="str">
        <x:f>IF(COUNT(BO780:BU780)=0,"",AVERAGE(BO780:BU780)*4)</x:f>
      </x:c>
      <x:c r="CK780" s="178" t="str">
        <x:f>IF(COUNT(BV780:CB780)=0,"",AVERAGE(BV780:CB780)*4)</x:f>
      </x:c>
      <x:c r="CL780" s="178" t="str">
        <x:f>IF(C780="","",IF(COUNT(G780:CB780)&lt;74,"",(CC780*'تنظیمات وزن‌دهی'!$C$5+CD780*'تنظیمات وزن‌دهی'!$C$6+CE780*'تنظیمات وزن‌دهی'!$C$7+CF780*'تنظیمات وزن‌دهی'!$C$8+CG780*'تنظیمات وزن‌دهی'!$C$9+CH780*'تنظیمات وزن‌دهی'!$C$10+CI780*'تنظیمات وزن‌دهی'!$C$11+CJ780*'تنظیمات وزن‌دهی'!$C$12+CK780*'تنظیمات وزن‌دهی'!$C$13)/100))</x:f>
      </x:c>
      <x:c r="CM780" s="178" t="str">
        <x:f>IF(C780="","",IF(COUNT(G780:CB780)=0,"",IF(COUNT(G780:CB780)&lt;74,"موقت - اطلاعات ناقص",IF(CL780&gt;=17,"عالی",IF(CL780&gt;=14,"خوب",IF(CL780&gt;=10,"متوسط","ضعیف"))))))</x:f>
      </x:c>
      <x:c r="CN780" s="178" t="n">
        <x:v>8</x:v>
      </x:c>
      <x:c r="CO780" s="142" t="n">
        <x:f>IF(C780="","",COUNT(G780:CB780)/74)</x:f>
        <x:v>0</x:v>
      </x:c>
      <x:c r="CP780" s="245"/>
    </x:row>
    <x:row r="781">
      <x:c r="A781" s="165" t="n">
        <x:v>777</x:v>
      </x:c>
      <x:c r="B781" s="233" t="str">
        <x:v>اسفند</x:v>
      </x:c>
      <x:c r="C781" s="233" t="n">
        <x:f>IF('دانش‌آموزان'!E69="","",'دانش‌آموزان'!B69)</x:f>
        <x:v>65</x:v>
      </x:c>
      <x:c r="D781" s="233" t="str">
        <x:f>IF('دانش‌آموزان'!C69="","",'دانش‌آموزان'!C69)</x:f>
        <x:v>4000000659</x:v>
      </x:c>
      <x:c r="E781" s="233" t="str">
        <x:f>IF('دانش‌آموزان'!E69="","",'دانش‌آموزان'!E69&amp;" "&amp;'دانش‌آموزان'!F69)</x:f>
        <x:v>محمد قاسمی</x:v>
      </x:c>
      <x:c r="F781" s="166" t="str">
        <x:f>IF('دانش‌آموزان'!I69="","",'دانش‌آموزان'!I69)</x:f>
        <x:v>sample-7-c</x:v>
      </x:c>
      <x:c r="G781" s="114"/>
      <x:c r="H781" s="115"/>
      <x:c r="I781" s="115"/>
      <x:c r="J781" s="115"/>
      <x:c r="K781" s="115"/>
      <x:c r="L781" s="115"/>
      <x:c r="M781" s="115"/>
      <x:c r="N781" s="115"/>
      <x:c r="O781" s="115"/>
      <x:c r="P781" s="115"/>
      <x:c r="Q781" s="115"/>
      <x:c r="R781" s="115"/>
      <x:c r="S781" s="115"/>
      <x:c r="T781" s="115"/>
      <x:c r="U781" s="115"/>
      <x:c r="V781" s="115"/>
      <x:c r="W781" s="115"/>
      <x:c r="X781" s="115"/>
      <x:c r="Y781" s="115"/>
      <x:c r="Z781" s="115"/>
      <x:c r="AA781" s="115"/>
      <x:c r="AB781" s="115"/>
      <x:c r="AC781" s="115"/>
      <x:c r="AD781" s="115"/>
      <x:c r="AE781" s="115"/>
      <x:c r="AF781" s="115"/>
      <x:c r="AG781" s="115"/>
      <x:c r="AH781" s="115"/>
      <x:c r="AI781" s="115"/>
      <x:c r="AJ781" s="115"/>
      <x:c r="AK781" s="115"/>
      <x:c r="AL781" s="115"/>
      <x:c r="AM781" s="115"/>
      <x:c r="AN781" s="115"/>
      <x:c r="AO781" s="115"/>
      <x:c r="AP781" s="115"/>
      <x:c r="AQ781" s="115"/>
      <x:c r="AR781" s="115"/>
      <x:c r="AS781" s="115"/>
      <x:c r="AT781" s="115"/>
      <x:c r="AU781" s="115"/>
      <x:c r="AV781" s="115"/>
      <x:c r="AW781" s="115"/>
      <x:c r="AX781" s="115"/>
      <x:c r="AY781" s="115"/>
      <x:c r="AZ781" s="115"/>
      <x:c r="BA781" s="115"/>
      <x:c r="BB781" s="115"/>
      <x:c r="BC781" s="115"/>
      <x:c r="BD781" s="115"/>
      <x:c r="BE781" s="115"/>
      <x:c r="BF781" s="115"/>
      <x:c r="BG781" s="115"/>
      <x:c r="BH781" s="115"/>
      <x:c r="BI781" s="115"/>
      <x:c r="BJ781" s="115"/>
      <x:c r="BK781" s="115"/>
      <x:c r="BL781" s="115"/>
      <x:c r="BM781" s="115"/>
      <x:c r="BN781" s="115"/>
      <x:c r="BO781" s="115"/>
      <x:c r="BP781" s="115"/>
      <x:c r="BQ781" s="115"/>
      <x:c r="BR781" s="115"/>
      <x:c r="BS781" s="115"/>
      <x:c r="BT781" s="115"/>
      <x:c r="BU781" s="115"/>
      <x:c r="BV781" s="115"/>
      <x:c r="BW781" s="115"/>
      <x:c r="BX781" s="115"/>
      <x:c r="BY781" s="115"/>
      <x:c r="BZ781" s="115"/>
      <x:c r="CA781" s="115"/>
      <x:c r="CB781" s="116"/>
      <x:c r="CC781" s="141" t="str">
        <x:f>IF(COUNT(G781:P781)=0,"",AVERAGE(G781:P781)*4)</x:f>
      </x:c>
      <x:c r="CD781" s="178" t="str">
        <x:f>IF(COUNT(Q781:Z781)=0,"",AVERAGE(Q781:Z781)*4)</x:f>
      </x:c>
      <x:c r="CE781" s="178" t="str">
        <x:f>IF(COUNT(AA781:AJ781)=0,"",AVERAGE(AA781:AJ781)*4)</x:f>
      </x:c>
      <x:c r="CF781" s="178" t="str">
        <x:f>IF(COUNT(AK781:AR781)=0,"",AVERAGE(AK781:AR781)*4)</x:f>
      </x:c>
      <x:c r="CG781" s="178" t="str">
        <x:f>IF(COUNT(AS781:AY781)=0,"",AVERAGE(AS781:AY781)*4)</x:f>
      </x:c>
      <x:c r="CH781" s="178" t="str">
        <x:f>IF(COUNT(AZ781:BG781)=0,"",AVERAGE(AZ781:BG781)*4)</x:f>
      </x:c>
      <x:c r="CI781" s="178" t="str">
        <x:f>IF(COUNT(BH781:BN781)=0,"",AVERAGE(BH781:BN781)*4)</x:f>
      </x:c>
      <x:c r="CJ781" s="178" t="str">
        <x:f>IF(COUNT(BO781:BU781)=0,"",AVERAGE(BO781:BU781)*4)</x:f>
      </x:c>
      <x:c r="CK781" s="178" t="str">
        <x:f>IF(COUNT(BV781:CB781)=0,"",AVERAGE(BV781:CB781)*4)</x:f>
      </x:c>
      <x:c r="CL781" s="178" t="str">
        <x:f>IF(C781="","",IF(COUNT(G781:CB781)&lt;74,"",(CC781*'تنظیمات وزن‌دهی'!$C$5+CD781*'تنظیمات وزن‌دهی'!$C$6+CE781*'تنظیمات وزن‌دهی'!$C$7+CF781*'تنظیمات وزن‌دهی'!$C$8+CG781*'تنظیمات وزن‌دهی'!$C$9+CH781*'تنظیمات وزن‌دهی'!$C$10+CI781*'تنظیمات وزن‌دهی'!$C$11+CJ781*'تنظیمات وزن‌دهی'!$C$12+CK781*'تنظیمات وزن‌دهی'!$C$13)/100))</x:f>
      </x:c>
      <x:c r="CM781" s="178" t="str">
        <x:f>IF(C781="","",IF(COUNT(G781:CB781)=0,"",IF(COUNT(G781:CB781)&lt;74,"موقت - اطلاعات ناقص",IF(CL781&gt;=17,"عالی",IF(CL781&gt;=14,"خوب",IF(CL781&gt;=10,"متوسط","ضعیف"))))))</x:f>
      </x:c>
      <x:c r="CN781" s="178" t="n">
        <x:v>9</x:v>
      </x:c>
      <x:c r="CO781" s="142" t="n">
        <x:f>IF(C781="","",COUNT(G781:CB781)/74)</x:f>
        <x:v>0</x:v>
      </x:c>
      <x:c r="CP781" s="245"/>
    </x:row>
    <x:row r="782">
      <x:c r="A782" s="165" t="n">
        <x:v>778</x:v>
      </x:c>
      <x:c r="B782" s="233" t="str">
        <x:v>فروردین</x:v>
      </x:c>
      <x:c r="C782" s="233" t="n">
        <x:f>IF('دانش‌آموزان'!E69="","",'دانش‌آموزان'!B69)</x:f>
        <x:v>65</x:v>
      </x:c>
      <x:c r="D782" s="233" t="str">
        <x:f>IF('دانش‌آموزان'!C69="","",'دانش‌آموزان'!C69)</x:f>
        <x:v>4000000659</x:v>
      </x:c>
      <x:c r="E782" s="233" t="str">
        <x:f>IF('دانش‌آموزان'!E69="","",'دانش‌آموزان'!E69&amp;" "&amp;'دانش‌آموزان'!F69)</x:f>
        <x:v>محمد قاسمی</x:v>
      </x:c>
      <x:c r="F782" s="166" t="str">
        <x:f>IF('دانش‌آموزان'!I69="","",'دانش‌آموزان'!I69)</x:f>
        <x:v>sample-7-c</x:v>
      </x:c>
      <x:c r="G782" s="114"/>
      <x:c r="H782" s="115"/>
      <x:c r="I782" s="115"/>
      <x:c r="J782" s="115"/>
      <x:c r="K782" s="115"/>
      <x:c r="L782" s="115"/>
      <x:c r="M782" s="115"/>
      <x:c r="N782" s="115"/>
      <x:c r="O782" s="115"/>
      <x:c r="P782" s="115"/>
      <x:c r="Q782" s="115"/>
      <x:c r="R782" s="115"/>
      <x:c r="S782" s="115"/>
      <x:c r="T782" s="115"/>
      <x:c r="U782" s="115"/>
      <x:c r="V782" s="115"/>
      <x:c r="W782" s="115"/>
      <x:c r="X782" s="115"/>
      <x:c r="Y782" s="115"/>
      <x:c r="Z782" s="115"/>
      <x:c r="AA782" s="115"/>
      <x:c r="AB782" s="115"/>
      <x:c r="AC782" s="115"/>
      <x:c r="AD782" s="115"/>
      <x:c r="AE782" s="115"/>
      <x:c r="AF782" s="115"/>
      <x:c r="AG782" s="115"/>
      <x:c r="AH782" s="115"/>
      <x:c r="AI782" s="115"/>
      <x:c r="AJ782" s="115"/>
      <x:c r="AK782" s="115"/>
      <x:c r="AL782" s="115"/>
      <x:c r="AM782" s="115"/>
      <x:c r="AN782" s="115"/>
      <x:c r="AO782" s="115"/>
      <x:c r="AP782" s="115"/>
      <x:c r="AQ782" s="115"/>
      <x:c r="AR782" s="115"/>
      <x:c r="AS782" s="115"/>
      <x:c r="AT782" s="115"/>
      <x:c r="AU782" s="115"/>
      <x:c r="AV782" s="115"/>
      <x:c r="AW782" s="115"/>
      <x:c r="AX782" s="115"/>
      <x:c r="AY782" s="115"/>
      <x:c r="AZ782" s="115"/>
      <x:c r="BA782" s="115"/>
      <x:c r="BB782" s="115"/>
      <x:c r="BC782" s="115"/>
      <x:c r="BD782" s="115"/>
      <x:c r="BE782" s="115"/>
      <x:c r="BF782" s="115"/>
      <x:c r="BG782" s="115"/>
      <x:c r="BH782" s="115"/>
      <x:c r="BI782" s="115"/>
      <x:c r="BJ782" s="115"/>
      <x:c r="BK782" s="115"/>
      <x:c r="BL782" s="115"/>
      <x:c r="BM782" s="115"/>
      <x:c r="BN782" s="115"/>
      <x:c r="BO782" s="115"/>
      <x:c r="BP782" s="115"/>
      <x:c r="BQ782" s="115"/>
      <x:c r="BR782" s="115"/>
      <x:c r="BS782" s="115"/>
      <x:c r="BT782" s="115"/>
      <x:c r="BU782" s="115"/>
      <x:c r="BV782" s="115"/>
      <x:c r="BW782" s="115"/>
      <x:c r="BX782" s="115"/>
      <x:c r="BY782" s="115"/>
      <x:c r="BZ782" s="115"/>
      <x:c r="CA782" s="115"/>
      <x:c r="CB782" s="116"/>
      <x:c r="CC782" s="141" t="str">
        <x:f>IF(COUNT(G782:P782)=0,"",AVERAGE(G782:P782)*4)</x:f>
      </x:c>
      <x:c r="CD782" s="178" t="str">
        <x:f>IF(COUNT(Q782:Z782)=0,"",AVERAGE(Q782:Z782)*4)</x:f>
      </x:c>
      <x:c r="CE782" s="178" t="str">
        <x:f>IF(COUNT(AA782:AJ782)=0,"",AVERAGE(AA782:AJ782)*4)</x:f>
      </x:c>
      <x:c r="CF782" s="178" t="str">
        <x:f>IF(COUNT(AK782:AR782)=0,"",AVERAGE(AK782:AR782)*4)</x:f>
      </x:c>
      <x:c r="CG782" s="178" t="str">
        <x:f>IF(COUNT(AS782:AY782)=0,"",AVERAGE(AS782:AY782)*4)</x:f>
      </x:c>
      <x:c r="CH782" s="178" t="str">
        <x:f>IF(COUNT(AZ782:BG782)=0,"",AVERAGE(AZ782:BG782)*4)</x:f>
      </x:c>
      <x:c r="CI782" s="178" t="str">
        <x:f>IF(COUNT(BH782:BN782)=0,"",AVERAGE(BH782:BN782)*4)</x:f>
      </x:c>
      <x:c r="CJ782" s="178" t="str">
        <x:f>IF(COUNT(BO782:BU782)=0,"",AVERAGE(BO782:BU782)*4)</x:f>
      </x:c>
      <x:c r="CK782" s="178" t="str">
        <x:f>IF(COUNT(BV782:CB782)=0,"",AVERAGE(BV782:CB782)*4)</x:f>
      </x:c>
      <x:c r="CL782" s="178" t="str">
        <x:f>IF(C782="","",IF(COUNT(G782:CB782)&lt;74,"",(CC782*'تنظیمات وزن‌دهی'!$C$5+CD782*'تنظیمات وزن‌دهی'!$C$6+CE782*'تنظیمات وزن‌دهی'!$C$7+CF782*'تنظیمات وزن‌دهی'!$C$8+CG782*'تنظیمات وزن‌دهی'!$C$9+CH782*'تنظیمات وزن‌دهی'!$C$10+CI782*'تنظیمات وزن‌دهی'!$C$11+CJ782*'تنظیمات وزن‌دهی'!$C$12+CK782*'تنظیمات وزن‌دهی'!$C$13)/100))</x:f>
      </x:c>
      <x:c r="CM782" s="178" t="str">
        <x:f>IF(C782="","",IF(COUNT(G782:CB782)=0,"",IF(COUNT(G782:CB782)&lt;74,"موقت - اطلاعات ناقص",IF(CL782&gt;=17,"عالی",IF(CL782&gt;=14,"خوب",IF(CL782&gt;=10,"متوسط","ضعیف"))))))</x:f>
      </x:c>
      <x:c r="CN782" s="178" t="n">
        <x:v>10</x:v>
      </x:c>
      <x:c r="CO782" s="142" t="n">
        <x:f>IF(C782="","",COUNT(G782:CB782)/74)</x:f>
        <x:v>0</x:v>
      </x:c>
      <x:c r="CP782" s="245"/>
    </x:row>
    <x:row r="783">
      <x:c r="A783" s="165" t="n">
        <x:v>779</x:v>
      </x:c>
      <x:c r="B783" s="233" t="str">
        <x:v>اردیبهشت</x:v>
      </x:c>
      <x:c r="C783" s="233" t="n">
        <x:f>IF('دانش‌آموزان'!E69="","",'دانش‌آموزان'!B69)</x:f>
        <x:v>65</x:v>
      </x:c>
      <x:c r="D783" s="233" t="str">
        <x:f>IF('دانش‌آموزان'!C69="","",'دانش‌آموزان'!C69)</x:f>
        <x:v>4000000659</x:v>
      </x:c>
      <x:c r="E783" s="233" t="str">
        <x:f>IF('دانش‌آموزان'!E69="","",'دانش‌آموزان'!E69&amp;" "&amp;'دانش‌آموزان'!F69)</x:f>
        <x:v>محمد قاسمی</x:v>
      </x:c>
      <x:c r="F783" s="166" t="str">
        <x:f>IF('دانش‌آموزان'!I69="","",'دانش‌آموزان'!I69)</x:f>
        <x:v>sample-7-c</x:v>
      </x:c>
      <x:c r="G783" s="114"/>
      <x:c r="H783" s="115"/>
      <x:c r="I783" s="115"/>
      <x:c r="J783" s="115"/>
      <x:c r="K783" s="115"/>
      <x:c r="L783" s="115"/>
      <x:c r="M783" s="115"/>
      <x:c r="N783" s="115"/>
      <x:c r="O783" s="115"/>
      <x:c r="P783" s="115"/>
      <x:c r="Q783" s="115"/>
      <x:c r="R783" s="115"/>
      <x:c r="S783" s="115"/>
      <x:c r="T783" s="115"/>
      <x:c r="U783" s="115"/>
      <x:c r="V783" s="115"/>
      <x:c r="W783" s="115"/>
      <x:c r="X783" s="115"/>
      <x:c r="Y783" s="115"/>
      <x:c r="Z783" s="115"/>
      <x:c r="AA783" s="115"/>
      <x:c r="AB783" s="115"/>
      <x:c r="AC783" s="115"/>
      <x:c r="AD783" s="115"/>
      <x:c r="AE783" s="115"/>
      <x:c r="AF783" s="115"/>
      <x:c r="AG783" s="115"/>
      <x:c r="AH783" s="115"/>
      <x:c r="AI783" s="115"/>
      <x:c r="AJ783" s="115"/>
      <x:c r="AK783" s="115"/>
      <x:c r="AL783" s="115"/>
      <x:c r="AM783" s="115"/>
      <x:c r="AN783" s="115"/>
      <x:c r="AO783" s="115"/>
      <x:c r="AP783" s="115"/>
      <x:c r="AQ783" s="115"/>
      <x:c r="AR783" s="115"/>
      <x:c r="AS783" s="115"/>
      <x:c r="AT783" s="115"/>
      <x:c r="AU783" s="115"/>
      <x:c r="AV783" s="115"/>
      <x:c r="AW783" s="115"/>
      <x:c r="AX783" s="115"/>
      <x:c r="AY783" s="115"/>
      <x:c r="AZ783" s="115"/>
      <x:c r="BA783" s="115"/>
      <x:c r="BB783" s="115"/>
      <x:c r="BC783" s="115"/>
      <x:c r="BD783" s="115"/>
      <x:c r="BE783" s="115"/>
      <x:c r="BF783" s="115"/>
      <x:c r="BG783" s="115"/>
      <x:c r="BH783" s="115"/>
      <x:c r="BI783" s="115"/>
      <x:c r="BJ783" s="115"/>
      <x:c r="BK783" s="115"/>
      <x:c r="BL783" s="115"/>
      <x:c r="BM783" s="115"/>
      <x:c r="BN783" s="115"/>
      <x:c r="BO783" s="115"/>
      <x:c r="BP783" s="115"/>
      <x:c r="BQ783" s="115"/>
      <x:c r="BR783" s="115"/>
      <x:c r="BS783" s="115"/>
      <x:c r="BT783" s="115"/>
      <x:c r="BU783" s="115"/>
      <x:c r="BV783" s="115"/>
      <x:c r="BW783" s="115"/>
      <x:c r="BX783" s="115"/>
      <x:c r="BY783" s="115"/>
      <x:c r="BZ783" s="115"/>
      <x:c r="CA783" s="115"/>
      <x:c r="CB783" s="116"/>
      <x:c r="CC783" s="141" t="str">
        <x:f>IF(COUNT(G783:P783)=0,"",AVERAGE(G783:P783)*4)</x:f>
      </x:c>
      <x:c r="CD783" s="178" t="str">
        <x:f>IF(COUNT(Q783:Z783)=0,"",AVERAGE(Q783:Z783)*4)</x:f>
      </x:c>
      <x:c r="CE783" s="178" t="str">
        <x:f>IF(COUNT(AA783:AJ783)=0,"",AVERAGE(AA783:AJ783)*4)</x:f>
      </x:c>
      <x:c r="CF783" s="178" t="str">
        <x:f>IF(COUNT(AK783:AR783)=0,"",AVERAGE(AK783:AR783)*4)</x:f>
      </x:c>
      <x:c r="CG783" s="178" t="str">
        <x:f>IF(COUNT(AS783:AY783)=0,"",AVERAGE(AS783:AY783)*4)</x:f>
      </x:c>
      <x:c r="CH783" s="178" t="str">
        <x:f>IF(COUNT(AZ783:BG783)=0,"",AVERAGE(AZ783:BG783)*4)</x:f>
      </x:c>
      <x:c r="CI783" s="178" t="str">
        <x:f>IF(COUNT(BH783:BN783)=0,"",AVERAGE(BH783:BN783)*4)</x:f>
      </x:c>
      <x:c r="CJ783" s="178" t="str">
        <x:f>IF(COUNT(BO783:BU783)=0,"",AVERAGE(BO783:BU783)*4)</x:f>
      </x:c>
      <x:c r="CK783" s="178" t="str">
        <x:f>IF(COUNT(BV783:CB783)=0,"",AVERAGE(BV783:CB783)*4)</x:f>
      </x:c>
      <x:c r="CL783" s="178" t="str">
        <x:f>IF(C783="","",IF(COUNT(G783:CB783)&lt;74,"",(CC783*'تنظیمات وزن‌دهی'!$C$5+CD783*'تنظیمات وزن‌دهی'!$C$6+CE783*'تنظیمات وزن‌دهی'!$C$7+CF783*'تنظیمات وزن‌دهی'!$C$8+CG783*'تنظیمات وزن‌دهی'!$C$9+CH783*'تنظیمات وزن‌دهی'!$C$10+CI783*'تنظیمات وزن‌دهی'!$C$11+CJ783*'تنظیمات وزن‌دهی'!$C$12+CK783*'تنظیمات وزن‌دهی'!$C$13)/100))</x:f>
      </x:c>
      <x:c r="CM783" s="178" t="str">
        <x:f>IF(C783="","",IF(COUNT(G783:CB783)=0,"",IF(COUNT(G783:CB783)&lt;74,"موقت - اطلاعات ناقص",IF(CL783&gt;=17,"عالی",IF(CL783&gt;=14,"خوب",IF(CL783&gt;=10,"متوسط","ضعیف"))))))</x:f>
      </x:c>
      <x:c r="CN783" s="178" t="n">
        <x:v>11</x:v>
      </x:c>
      <x:c r="CO783" s="142" t="n">
        <x:f>IF(C783="","",COUNT(G783:CB783)/74)</x:f>
        <x:v>0</x:v>
      </x:c>
      <x:c r="CP783" s="245"/>
    </x:row>
    <x:row r="784">
      <x:c r="A784" s="165" t="n">
        <x:v>780</x:v>
      </x:c>
      <x:c r="B784" s="233" t="str">
        <x:v>خرداد</x:v>
      </x:c>
      <x:c r="C784" s="233" t="n">
        <x:f>IF('دانش‌آموزان'!E69="","",'دانش‌آموزان'!B69)</x:f>
        <x:v>65</x:v>
      </x:c>
      <x:c r="D784" s="233" t="str">
        <x:f>IF('دانش‌آموزان'!C69="","",'دانش‌آموزان'!C69)</x:f>
        <x:v>4000000659</x:v>
      </x:c>
      <x:c r="E784" s="233" t="str">
        <x:f>IF('دانش‌آموزان'!E69="","",'دانش‌آموزان'!E69&amp;" "&amp;'دانش‌آموزان'!F69)</x:f>
        <x:v>محمد قاسمی</x:v>
      </x:c>
      <x:c r="F784" s="166" t="str">
        <x:f>IF('دانش‌آموزان'!I69="","",'دانش‌آموزان'!I69)</x:f>
        <x:v>sample-7-c</x:v>
      </x:c>
      <x:c r="G784" s="114"/>
      <x:c r="H784" s="115"/>
      <x:c r="I784" s="115"/>
      <x:c r="J784" s="115"/>
      <x:c r="K784" s="115"/>
      <x:c r="L784" s="115"/>
      <x:c r="M784" s="115"/>
      <x:c r="N784" s="115"/>
      <x:c r="O784" s="115"/>
      <x:c r="P784" s="115"/>
      <x:c r="Q784" s="115"/>
      <x:c r="R784" s="115"/>
      <x:c r="S784" s="115"/>
      <x:c r="T784" s="115"/>
      <x:c r="U784" s="115"/>
      <x:c r="V784" s="115"/>
      <x:c r="W784" s="115"/>
      <x:c r="X784" s="115"/>
      <x:c r="Y784" s="115"/>
      <x:c r="Z784" s="115"/>
      <x:c r="AA784" s="115"/>
      <x:c r="AB784" s="115"/>
      <x:c r="AC784" s="115"/>
      <x:c r="AD784" s="115"/>
      <x:c r="AE784" s="115"/>
      <x:c r="AF784" s="115"/>
      <x:c r="AG784" s="115"/>
      <x:c r="AH784" s="115"/>
      <x:c r="AI784" s="115"/>
      <x:c r="AJ784" s="115"/>
      <x:c r="AK784" s="115"/>
      <x:c r="AL784" s="115"/>
      <x:c r="AM784" s="115"/>
      <x:c r="AN784" s="115"/>
      <x:c r="AO784" s="115"/>
      <x:c r="AP784" s="115"/>
      <x:c r="AQ784" s="115"/>
      <x:c r="AR784" s="115"/>
      <x:c r="AS784" s="115"/>
      <x:c r="AT784" s="115"/>
      <x:c r="AU784" s="115"/>
      <x:c r="AV784" s="115"/>
      <x:c r="AW784" s="115"/>
      <x:c r="AX784" s="115"/>
      <x:c r="AY784" s="115"/>
      <x:c r="AZ784" s="115"/>
      <x:c r="BA784" s="115"/>
      <x:c r="BB784" s="115"/>
      <x:c r="BC784" s="115"/>
      <x:c r="BD784" s="115"/>
      <x:c r="BE784" s="115"/>
      <x:c r="BF784" s="115"/>
      <x:c r="BG784" s="115"/>
      <x:c r="BH784" s="115"/>
      <x:c r="BI784" s="115"/>
      <x:c r="BJ784" s="115"/>
      <x:c r="BK784" s="115"/>
      <x:c r="BL784" s="115"/>
      <x:c r="BM784" s="115"/>
      <x:c r="BN784" s="115"/>
      <x:c r="BO784" s="115"/>
      <x:c r="BP784" s="115"/>
      <x:c r="BQ784" s="115"/>
      <x:c r="BR784" s="115"/>
      <x:c r="BS784" s="115"/>
      <x:c r="BT784" s="115"/>
      <x:c r="BU784" s="115"/>
      <x:c r="BV784" s="115"/>
      <x:c r="BW784" s="115"/>
      <x:c r="BX784" s="115"/>
      <x:c r="BY784" s="115"/>
      <x:c r="BZ784" s="115"/>
      <x:c r="CA784" s="115"/>
      <x:c r="CB784" s="116"/>
      <x:c r="CC784" s="141" t="str">
        <x:f>IF(COUNT(G784:P784)=0,"",AVERAGE(G784:P784)*4)</x:f>
      </x:c>
      <x:c r="CD784" s="178" t="str">
        <x:f>IF(COUNT(Q784:Z784)=0,"",AVERAGE(Q784:Z784)*4)</x:f>
      </x:c>
      <x:c r="CE784" s="178" t="str">
        <x:f>IF(COUNT(AA784:AJ784)=0,"",AVERAGE(AA784:AJ784)*4)</x:f>
      </x:c>
      <x:c r="CF784" s="178" t="str">
        <x:f>IF(COUNT(AK784:AR784)=0,"",AVERAGE(AK784:AR784)*4)</x:f>
      </x:c>
      <x:c r="CG784" s="178" t="str">
        <x:f>IF(COUNT(AS784:AY784)=0,"",AVERAGE(AS784:AY784)*4)</x:f>
      </x:c>
      <x:c r="CH784" s="178" t="str">
        <x:f>IF(COUNT(AZ784:BG784)=0,"",AVERAGE(AZ784:BG784)*4)</x:f>
      </x:c>
      <x:c r="CI784" s="178" t="str">
        <x:f>IF(COUNT(BH784:BN784)=0,"",AVERAGE(BH784:BN784)*4)</x:f>
      </x:c>
      <x:c r="CJ784" s="178" t="str">
        <x:f>IF(COUNT(BO784:BU784)=0,"",AVERAGE(BO784:BU784)*4)</x:f>
      </x:c>
      <x:c r="CK784" s="178" t="str">
        <x:f>IF(COUNT(BV784:CB784)=0,"",AVERAGE(BV784:CB784)*4)</x:f>
      </x:c>
      <x:c r="CL784" s="178" t="str">
        <x:f>IF(C784="","",IF(COUNT(G784:CB784)&lt;74,"",(CC784*'تنظیمات وزن‌دهی'!$C$5+CD784*'تنظیمات وزن‌دهی'!$C$6+CE784*'تنظیمات وزن‌دهی'!$C$7+CF784*'تنظیمات وزن‌دهی'!$C$8+CG784*'تنظیمات وزن‌دهی'!$C$9+CH784*'تنظیمات وزن‌دهی'!$C$10+CI784*'تنظیمات وزن‌دهی'!$C$11+CJ784*'تنظیمات وزن‌دهی'!$C$12+CK784*'تنظیمات وزن‌دهی'!$C$13)/100))</x:f>
      </x:c>
      <x:c r="CM784" s="178" t="str">
        <x:f>IF(C784="","",IF(COUNT(G784:CB784)=0,"",IF(COUNT(G784:CB784)&lt;74,"موقت - اطلاعات ناقص",IF(CL784&gt;=17,"عالی",IF(CL784&gt;=14,"خوب",IF(CL784&gt;=10,"متوسط","ضعیف"))))))</x:f>
      </x:c>
      <x:c r="CN784" s="178" t="n">
        <x:v>12</x:v>
      </x:c>
      <x:c r="CO784" s="142" t="n">
        <x:f>IF(C784="","",COUNT(G784:CB784)/74)</x:f>
        <x:v>0</x:v>
      </x:c>
      <x:c r="CP784" s="245"/>
    </x:row>
    <x:row r="785">
      <x:c r="A785" s="165" t="n">
        <x:v>781</x:v>
      </x:c>
      <x:c r="B785" s="233" t="str">
        <x:v>تیر</x:v>
      </x:c>
      <x:c r="C785" s="233" t="n">
        <x:f>IF('دانش‌آموزان'!E70="","",'دانش‌آموزان'!B70)</x:f>
        <x:v>66</x:v>
      </x:c>
      <x:c r="D785" s="233" t="str">
        <x:f>IF('دانش‌آموزان'!C70="","",'دانش‌آموزان'!C70)</x:f>
        <x:v>4000000667</x:v>
      </x:c>
      <x:c r="E785" s="233" t="str">
        <x:f>IF('دانش‌آموزان'!E70="","",'دانش‌آموزان'!E70&amp;" "&amp;'دانش‌آموزان'!F70)</x:f>
        <x:v>سارا خلیلی</x:v>
      </x:c>
      <x:c r="F785" s="166" t="str">
        <x:f>IF('دانش‌آموزان'!I70="","",'دانش‌آموزان'!I70)</x:f>
        <x:v>sample-7-c</x:v>
      </x:c>
      <x:c r="G785" s="114" t="n">
        <x:v>5</x:v>
      </x:c>
      <x:c r="H785" s="115" t="n">
        <x:v>3</x:v>
      </x:c>
      <x:c r="I785" s="115" t="n">
        <x:v>4</x:v>
      </x:c>
      <x:c r="J785" s="115" t="n">
        <x:v>3</x:v>
      </x:c>
      <x:c r="K785" s="115" t="n">
        <x:v>4</x:v>
      </x:c>
      <x:c r="L785" s="115" t="n">
        <x:v>2</x:v>
      </x:c>
      <x:c r="M785" s="115" t="n">
        <x:v>4</x:v>
      </x:c>
      <x:c r="N785" s="115" t="n">
        <x:v>5</x:v>
      </x:c>
      <x:c r="O785" s="115" t="n">
        <x:v>4</x:v>
      </x:c>
      <x:c r="P785" s="115" t="n">
        <x:v>5</x:v>
      </x:c>
      <x:c r="Q785" s="115" t="n">
        <x:v>3</x:v>
      </x:c>
      <x:c r="R785" s="115" t="n">
        <x:v>5</x:v>
      </x:c>
      <x:c r="S785" s="115" t="n">
        <x:v>3</x:v>
      </x:c>
      <x:c r="T785" s="115" t="n">
        <x:v>4</x:v>
      </x:c>
      <x:c r="U785" s="115" t="n">
        <x:v>3</x:v>
      </x:c>
      <x:c r="V785" s="115" t="n">
        <x:v>4</x:v>
      </x:c>
      <x:c r="W785" s="115" t="n">
        <x:v>2</x:v>
      </x:c>
      <x:c r="X785" s="115" t="n">
        <x:v>4</x:v>
      </x:c>
      <x:c r="Y785" s="115" t="n">
        <x:v>5</x:v>
      </x:c>
      <x:c r="Z785" s="115" t="n">
        <x:v>4</x:v>
      </x:c>
      <x:c r="AA785" s="115" t="n">
        <x:v>5</x:v>
      </x:c>
      <x:c r="AB785" s="115" t="n">
        <x:v>3</x:v>
      </x:c>
      <x:c r="AC785" s="115" t="n">
        <x:v>5</x:v>
      </x:c>
      <x:c r="AD785" s="115" t="n">
        <x:v>3</x:v>
      </x:c>
      <x:c r="AE785" s="115" t="n">
        <x:v>4</x:v>
      </x:c>
      <x:c r="AF785" s="115" t="n">
        <x:v>3</x:v>
      </x:c>
      <x:c r="AG785" s="115" t="n">
        <x:v>4</x:v>
      </x:c>
      <x:c r="AH785" s="115" t="n">
        <x:v>2</x:v>
      </x:c>
      <x:c r="AI785" s="115" t="n">
        <x:v>4</x:v>
      </x:c>
      <x:c r="AJ785" s="115" t="n">
        <x:v>5</x:v>
      </x:c>
      <x:c r="AK785" s="115" t="n">
        <x:v>4</x:v>
      </x:c>
      <x:c r="AL785" s="115" t="n">
        <x:v>5</x:v>
      </x:c>
      <x:c r="AM785" s="115" t="n">
        <x:v>3</x:v>
      </x:c>
      <x:c r="AN785" s="115" t="n">
        <x:v>5</x:v>
      </x:c>
      <x:c r="AO785" s="115" t="n">
        <x:v>3</x:v>
      </x:c>
      <x:c r="AP785" s="115" t="n">
        <x:v>4</x:v>
      </x:c>
      <x:c r="AQ785" s="115" t="n">
        <x:v>3</x:v>
      </x:c>
      <x:c r="AR785" s="115" t="n">
        <x:v>4</x:v>
      </x:c>
      <x:c r="AS785" s="115" t="n">
        <x:v>2</x:v>
      </x:c>
      <x:c r="AT785" s="115" t="n">
        <x:v>4</x:v>
      </x:c>
      <x:c r="AU785" s="115" t="n">
        <x:v>5</x:v>
      </x:c>
      <x:c r="AV785" s="115" t="n">
        <x:v>4</x:v>
      </x:c>
      <x:c r="AW785" s="115" t="n">
        <x:v>5</x:v>
      </x:c>
      <x:c r="AX785" s="115" t="n">
        <x:v>3</x:v>
      </x:c>
      <x:c r="AY785" s="115" t="n">
        <x:v>5</x:v>
      </x:c>
      <x:c r="AZ785" s="115" t="n">
        <x:v>3</x:v>
      </x:c>
      <x:c r="BA785" s="115" t="n">
        <x:v>4</x:v>
      </x:c>
      <x:c r="BB785" s="115" t="n">
        <x:v>3</x:v>
      </x:c>
      <x:c r="BC785" s="115" t="n">
        <x:v>4</x:v>
      </x:c>
      <x:c r="BD785" s="115" t="n">
        <x:v>2</x:v>
      </x:c>
      <x:c r="BE785" s="115" t="n">
        <x:v>4</x:v>
      </x:c>
      <x:c r="BF785" s="115" t="n">
        <x:v>5</x:v>
      </x:c>
      <x:c r="BG785" s="115" t="n">
        <x:v>4</x:v>
      </x:c>
      <x:c r="BH785" s="115" t="n">
        <x:v>5</x:v>
      </x:c>
      <x:c r="BI785" s="115" t="n">
        <x:v>3</x:v>
      </x:c>
      <x:c r="BJ785" s="115" t="n">
        <x:v>5</x:v>
      </x:c>
      <x:c r="BK785" s="115" t="n">
        <x:v>3</x:v>
      </x:c>
      <x:c r="BL785" s="115" t="n">
        <x:v>4</x:v>
      </x:c>
      <x:c r="BM785" s="115" t="n">
        <x:v>3</x:v>
      </x:c>
      <x:c r="BN785" s="115" t="n">
        <x:v>4</x:v>
      </x:c>
      <x:c r="BO785" s="115" t="n">
        <x:v>2</x:v>
      </x:c>
      <x:c r="BP785" s="115" t="n">
        <x:v>4</x:v>
      </x:c>
      <x:c r="BQ785" s="115" t="n">
        <x:v>5</x:v>
      </x:c>
      <x:c r="BR785" s="115" t="n">
        <x:v>4</x:v>
      </x:c>
      <x:c r="BS785" s="115" t="n">
        <x:v>5</x:v>
      </x:c>
      <x:c r="BT785" s="115" t="n">
        <x:v>3</x:v>
      </x:c>
      <x:c r="BU785" s="115" t="n">
        <x:v>5</x:v>
      </x:c>
      <x:c r="BV785" s="115" t="n">
        <x:v>3</x:v>
      </x:c>
      <x:c r="BW785" s="115" t="n">
        <x:v>4</x:v>
      </x:c>
      <x:c r="BX785" s="115" t="n">
        <x:v>3</x:v>
      </x:c>
      <x:c r="BY785" s="115" t="n">
        <x:v>4</x:v>
      </x:c>
      <x:c r="BZ785" s="115" t="n">
        <x:v>2</x:v>
      </x:c>
      <x:c r="CA785" s="115" t="n">
        <x:v>4</x:v>
      </x:c>
      <x:c r="CB785" s="116" t="n">
        <x:v>5</x:v>
      </x:c>
      <x:c r="CC785" s="141" t="n">
        <x:f>IF(COUNT(G785:P785)=0,"",AVERAGE(G785:P785)*4)</x:f>
        <x:v>15.6</x:v>
      </x:c>
      <x:c r="CD785" s="178" t="n">
        <x:f>IF(COUNT(Q785:Z785)=0,"",AVERAGE(Q785:Z785)*4)</x:f>
        <x:v>14.8</x:v>
      </x:c>
      <x:c r="CE785" s="178" t="n">
        <x:f>IF(COUNT(AA785:AJ785)=0,"",AVERAGE(AA785:AJ785)*4)</x:f>
        <x:v>15.2</x:v>
      </x:c>
      <x:c r="CF785" s="178" t="n">
        <x:f>IF(COUNT(AK785:AR785)=0,"",AVERAGE(AK785:AR785)*4)</x:f>
        <x:v>15.5</x:v>
      </x:c>
      <x:c r="CG785" s="178" t="n">
        <x:f>IF(COUNT(AS785:AY785)=0,"",AVERAGE(AS785:AY785)*4)</x:f>
        <x:v>16</x:v>
      </x:c>
      <x:c r="CH785" s="178" t="n">
        <x:f>IF(COUNT(AZ785:BG785)=0,"",AVERAGE(AZ785:BG785)*4)</x:f>
        <x:v>14.5</x:v>
      </x:c>
      <x:c r="CI785" s="178" t="n">
        <x:f>IF(COUNT(BH785:BN785)=0,"",AVERAGE(BH785:BN785)*4)</x:f>
        <x:v>15.428571428571429</x:v>
      </x:c>
      <x:c r="CJ785" s="178" t="n">
        <x:f>IF(COUNT(BO785:BU785)=0,"",AVERAGE(BO785:BU785)*4)</x:f>
        <x:v>16</x:v>
      </x:c>
      <x:c r="CK785" s="178" t="n">
        <x:f>IF(COUNT(BV785:CB785)=0,"",AVERAGE(BV785:CB785)*4)</x:f>
        <x:v>14.285714285714286</x:v>
      </x:c>
      <x:c r="CL785" s="178" t="n">
        <x:f>IF(C785="","",IF(COUNT(G785:CB785)&lt;74,"",(CC785*'تنظیمات وزن‌دهی'!$C$5+CD785*'تنظیمات وزن‌دهی'!$C$6+CE785*'تنظیمات وزن‌دهی'!$C$7+CF785*'تنظیمات وزن‌دهی'!$C$8+CG785*'تنظیمات وزن‌دهی'!$C$9+CH785*'تنظیمات وزن‌دهی'!$C$10+CI785*'تنظیمات وزن‌دهی'!$C$11+CJ785*'تنظیمات وزن‌دهی'!$C$12+CK785*'تنظیمات وزن‌دهی'!$C$13)/100))</x:f>
        <x:v>15.265</x:v>
      </x:c>
      <x:c r="CM785" s="178" t="str">
        <x:f>IF(C785="","",IF(COUNT(G785:CB785)=0,"",IF(COUNT(G785:CB785)&lt;74,"موقت - اطلاعات ناقص",IF(CL785&gt;=17,"عالی",IF(CL785&gt;=14,"خوب",IF(CL785&gt;=10,"متوسط","ضعیف"))))))</x:f>
        <x:v>خوب</x:v>
      </x:c>
      <x:c r="CN785" s="178" t="n">
        <x:v>1</x:v>
      </x:c>
      <x:c r="CO785" s="142" t="n">
        <x:f>IF(C785="","",COUNT(G785:CB785)/74)</x:f>
        <x:v>1</x:v>
      </x:c>
      <x:c r="CP785" s="245" t="str">
        <x:v>داده نمونه کامل برای ماه تیر - دانش‌آموز شماره 66</x:v>
      </x:c>
    </x:row>
    <x:row r="786">
      <x:c r="A786" s="165" t="n">
        <x:v>782</x:v>
      </x:c>
      <x:c r="B786" s="233" t="str">
        <x:v>مرداد</x:v>
      </x:c>
      <x:c r="C786" s="233" t="n">
        <x:f>IF('دانش‌آموزان'!E70="","",'دانش‌آموزان'!B70)</x:f>
        <x:v>66</x:v>
      </x:c>
      <x:c r="D786" s="233" t="str">
        <x:f>IF('دانش‌آموزان'!C70="","",'دانش‌آموزان'!C70)</x:f>
        <x:v>4000000667</x:v>
      </x:c>
      <x:c r="E786" s="233" t="str">
        <x:f>IF('دانش‌آموزان'!E70="","",'دانش‌آموزان'!E70&amp;" "&amp;'دانش‌آموزان'!F70)</x:f>
        <x:v>سارا خلیلی</x:v>
      </x:c>
      <x:c r="F786" s="166" t="str">
        <x:f>IF('دانش‌آموزان'!I70="","",'دانش‌آموزان'!I70)</x:f>
        <x:v>sample-7-c</x:v>
      </x:c>
      <x:c r="G786" s="114"/>
      <x:c r="H786" s="115"/>
      <x:c r="I786" s="115"/>
      <x:c r="J786" s="115"/>
      <x:c r="K786" s="115"/>
      <x:c r="L786" s="115"/>
      <x:c r="M786" s="115"/>
      <x:c r="N786" s="115"/>
      <x:c r="O786" s="115"/>
      <x:c r="P786" s="115"/>
      <x:c r="Q786" s="115"/>
      <x:c r="R786" s="115"/>
      <x:c r="S786" s="115"/>
      <x:c r="T786" s="115"/>
      <x:c r="U786" s="115"/>
      <x:c r="V786" s="115"/>
      <x:c r="W786" s="115"/>
      <x:c r="X786" s="115"/>
      <x:c r="Y786" s="115"/>
      <x:c r="Z786" s="115"/>
      <x:c r="AA786" s="115"/>
      <x:c r="AB786" s="115"/>
      <x:c r="AC786" s="115"/>
      <x:c r="AD786" s="115"/>
      <x:c r="AE786" s="115"/>
      <x:c r="AF786" s="115"/>
      <x:c r="AG786" s="115"/>
      <x:c r="AH786" s="115"/>
      <x:c r="AI786" s="115"/>
      <x:c r="AJ786" s="115"/>
      <x:c r="AK786" s="115"/>
      <x:c r="AL786" s="115"/>
      <x:c r="AM786" s="115"/>
      <x:c r="AN786" s="115"/>
      <x:c r="AO786" s="115"/>
      <x:c r="AP786" s="115"/>
      <x:c r="AQ786" s="115"/>
      <x:c r="AR786" s="115"/>
      <x:c r="AS786" s="115"/>
      <x:c r="AT786" s="115"/>
      <x:c r="AU786" s="115"/>
      <x:c r="AV786" s="115"/>
      <x:c r="AW786" s="115"/>
      <x:c r="AX786" s="115"/>
      <x:c r="AY786" s="115"/>
      <x:c r="AZ786" s="115"/>
      <x:c r="BA786" s="115"/>
      <x:c r="BB786" s="115"/>
      <x:c r="BC786" s="115"/>
      <x:c r="BD786" s="115"/>
      <x:c r="BE786" s="115"/>
      <x:c r="BF786" s="115"/>
      <x:c r="BG786" s="115"/>
      <x:c r="BH786" s="115"/>
      <x:c r="BI786" s="115"/>
      <x:c r="BJ786" s="115"/>
      <x:c r="BK786" s="115"/>
      <x:c r="BL786" s="115"/>
      <x:c r="BM786" s="115"/>
      <x:c r="BN786" s="115"/>
      <x:c r="BO786" s="115"/>
      <x:c r="BP786" s="115"/>
      <x:c r="BQ786" s="115"/>
      <x:c r="BR786" s="115"/>
      <x:c r="BS786" s="115"/>
      <x:c r="BT786" s="115"/>
      <x:c r="BU786" s="115"/>
      <x:c r="BV786" s="115"/>
      <x:c r="BW786" s="115"/>
      <x:c r="BX786" s="115"/>
      <x:c r="BY786" s="115"/>
      <x:c r="BZ786" s="115"/>
      <x:c r="CA786" s="115"/>
      <x:c r="CB786" s="116"/>
      <x:c r="CC786" s="141" t="str">
        <x:f>IF(COUNT(G786:P786)=0,"",AVERAGE(G786:P786)*4)</x:f>
      </x:c>
      <x:c r="CD786" s="178" t="str">
        <x:f>IF(COUNT(Q786:Z786)=0,"",AVERAGE(Q786:Z786)*4)</x:f>
      </x:c>
      <x:c r="CE786" s="178" t="str">
        <x:f>IF(COUNT(AA786:AJ786)=0,"",AVERAGE(AA786:AJ786)*4)</x:f>
      </x:c>
      <x:c r="CF786" s="178" t="str">
        <x:f>IF(COUNT(AK786:AR786)=0,"",AVERAGE(AK786:AR786)*4)</x:f>
      </x:c>
      <x:c r="CG786" s="178" t="str">
        <x:f>IF(COUNT(AS786:AY786)=0,"",AVERAGE(AS786:AY786)*4)</x:f>
      </x:c>
      <x:c r="CH786" s="178" t="str">
        <x:f>IF(COUNT(AZ786:BG786)=0,"",AVERAGE(AZ786:BG786)*4)</x:f>
      </x:c>
      <x:c r="CI786" s="178" t="str">
        <x:f>IF(COUNT(BH786:BN786)=0,"",AVERAGE(BH786:BN786)*4)</x:f>
      </x:c>
      <x:c r="CJ786" s="178" t="str">
        <x:f>IF(COUNT(BO786:BU786)=0,"",AVERAGE(BO786:BU786)*4)</x:f>
      </x:c>
      <x:c r="CK786" s="178" t="str">
        <x:f>IF(COUNT(BV786:CB786)=0,"",AVERAGE(BV786:CB786)*4)</x:f>
      </x:c>
      <x:c r="CL786" s="178" t="str">
        <x:f>IF(C786="","",IF(COUNT(G786:CB786)&lt;74,"",(CC786*'تنظیمات وزن‌دهی'!$C$5+CD786*'تنظیمات وزن‌دهی'!$C$6+CE786*'تنظیمات وزن‌دهی'!$C$7+CF786*'تنظیمات وزن‌دهی'!$C$8+CG786*'تنظیمات وزن‌دهی'!$C$9+CH786*'تنظیمات وزن‌دهی'!$C$10+CI786*'تنظیمات وزن‌دهی'!$C$11+CJ786*'تنظیمات وزن‌دهی'!$C$12+CK786*'تنظیمات وزن‌دهی'!$C$13)/100))</x:f>
      </x:c>
      <x:c r="CM786" s="178" t="str">
        <x:f>IF(C786="","",IF(COUNT(G786:CB786)=0,"",IF(COUNT(G786:CB786)&lt;74,"موقت - اطلاعات ناقص",IF(CL786&gt;=17,"عالی",IF(CL786&gt;=14,"خوب",IF(CL786&gt;=10,"متوسط","ضعیف"))))))</x:f>
      </x:c>
      <x:c r="CN786" s="178" t="n">
        <x:v>2</x:v>
      </x:c>
      <x:c r="CO786" s="142" t="n">
        <x:f>IF(C786="","",COUNT(G786:CB786)/74)</x:f>
        <x:v>0</x:v>
      </x:c>
      <x:c r="CP786" s="245"/>
    </x:row>
    <x:row r="787">
      <x:c r="A787" s="165" t="n">
        <x:v>783</x:v>
      </x:c>
      <x:c r="B787" s="233" t="str">
        <x:v>شهریور</x:v>
      </x:c>
      <x:c r="C787" s="233" t="n">
        <x:f>IF('دانش‌آموزان'!E70="","",'دانش‌آموزان'!B70)</x:f>
        <x:v>66</x:v>
      </x:c>
      <x:c r="D787" s="233" t="str">
        <x:f>IF('دانش‌آموزان'!C70="","",'دانش‌آموزان'!C70)</x:f>
        <x:v>4000000667</x:v>
      </x:c>
      <x:c r="E787" s="233" t="str">
        <x:f>IF('دانش‌آموزان'!E70="","",'دانش‌آموزان'!E70&amp;" "&amp;'دانش‌آموزان'!F70)</x:f>
        <x:v>سارا خلیلی</x:v>
      </x:c>
      <x:c r="F787" s="166" t="str">
        <x:f>IF('دانش‌آموزان'!I70="","",'دانش‌آموزان'!I70)</x:f>
        <x:v>sample-7-c</x:v>
      </x:c>
      <x:c r="G787" s="114"/>
      <x:c r="H787" s="115"/>
      <x:c r="I787" s="115"/>
      <x:c r="J787" s="115"/>
      <x:c r="K787" s="115"/>
      <x:c r="L787" s="115"/>
      <x:c r="M787" s="115"/>
      <x:c r="N787" s="115"/>
      <x:c r="O787" s="115"/>
      <x:c r="P787" s="115"/>
      <x:c r="Q787" s="115"/>
      <x:c r="R787" s="115"/>
      <x:c r="S787" s="115"/>
      <x:c r="T787" s="115"/>
      <x:c r="U787" s="115"/>
      <x:c r="V787" s="115"/>
      <x:c r="W787" s="115"/>
      <x:c r="X787" s="115"/>
      <x:c r="Y787" s="115"/>
      <x:c r="Z787" s="115"/>
      <x:c r="AA787" s="115"/>
      <x:c r="AB787" s="115"/>
      <x:c r="AC787" s="115"/>
      <x:c r="AD787" s="115"/>
      <x:c r="AE787" s="115"/>
      <x:c r="AF787" s="115"/>
      <x:c r="AG787" s="115"/>
      <x:c r="AH787" s="115"/>
      <x:c r="AI787" s="115"/>
      <x:c r="AJ787" s="115"/>
      <x:c r="AK787" s="115"/>
      <x:c r="AL787" s="115"/>
      <x:c r="AM787" s="115"/>
      <x:c r="AN787" s="115"/>
      <x:c r="AO787" s="115"/>
      <x:c r="AP787" s="115"/>
      <x:c r="AQ787" s="115"/>
      <x:c r="AR787" s="115"/>
      <x:c r="AS787" s="115"/>
      <x:c r="AT787" s="115"/>
      <x:c r="AU787" s="115"/>
      <x:c r="AV787" s="115"/>
      <x:c r="AW787" s="115"/>
      <x:c r="AX787" s="115"/>
      <x:c r="AY787" s="115"/>
      <x:c r="AZ787" s="115"/>
      <x:c r="BA787" s="115"/>
      <x:c r="BB787" s="115"/>
      <x:c r="BC787" s="115"/>
      <x:c r="BD787" s="115"/>
      <x:c r="BE787" s="115"/>
      <x:c r="BF787" s="115"/>
      <x:c r="BG787" s="115"/>
      <x:c r="BH787" s="115"/>
      <x:c r="BI787" s="115"/>
      <x:c r="BJ787" s="115"/>
      <x:c r="BK787" s="115"/>
      <x:c r="BL787" s="115"/>
      <x:c r="BM787" s="115"/>
      <x:c r="BN787" s="115"/>
      <x:c r="BO787" s="115"/>
      <x:c r="BP787" s="115"/>
      <x:c r="BQ787" s="115"/>
      <x:c r="BR787" s="115"/>
      <x:c r="BS787" s="115"/>
      <x:c r="BT787" s="115"/>
      <x:c r="BU787" s="115"/>
      <x:c r="BV787" s="115"/>
      <x:c r="BW787" s="115"/>
      <x:c r="BX787" s="115"/>
      <x:c r="BY787" s="115"/>
      <x:c r="BZ787" s="115"/>
      <x:c r="CA787" s="115"/>
      <x:c r="CB787" s="116"/>
      <x:c r="CC787" s="141" t="str">
        <x:f>IF(COUNT(G787:P787)=0,"",AVERAGE(G787:P787)*4)</x:f>
      </x:c>
      <x:c r="CD787" s="178" t="str">
        <x:f>IF(COUNT(Q787:Z787)=0,"",AVERAGE(Q787:Z787)*4)</x:f>
      </x:c>
      <x:c r="CE787" s="178" t="str">
        <x:f>IF(COUNT(AA787:AJ787)=0,"",AVERAGE(AA787:AJ787)*4)</x:f>
      </x:c>
      <x:c r="CF787" s="178" t="str">
        <x:f>IF(COUNT(AK787:AR787)=0,"",AVERAGE(AK787:AR787)*4)</x:f>
      </x:c>
      <x:c r="CG787" s="178" t="str">
        <x:f>IF(COUNT(AS787:AY787)=0,"",AVERAGE(AS787:AY787)*4)</x:f>
      </x:c>
      <x:c r="CH787" s="178" t="str">
        <x:f>IF(COUNT(AZ787:BG787)=0,"",AVERAGE(AZ787:BG787)*4)</x:f>
      </x:c>
      <x:c r="CI787" s="178" t="str">
        <x:f>IF(COUNT(BH787:BN787)=0,"",AVERAGE(BH787:BN787)*4)</x:f>
      </x:c>
      <x:c r="CJ787" s="178" t="str">
        <x:f>IF(COUNT(BO787:BU787)=0,"",AVERAGE(BO787:BU787)*4)</x:f>
      </x:c>
      <x:c r="CK787" s="178" t="str">
        <x:f>IF(COUNT(BV787:CB787)=0,"",AVERAGE(BV787:CB787)*4)</x:f>
      </x:c>
      <x:c r="CL787" s="178" t="str">
        <x:f>IF(C787="","",IF(COUNT(G787:CB787)&lt;74,"",(CC787*'تنظیمات وزن‌دهی'!$C$5+CD787*'تنظیمات وزن‌دهی'!$C$6+CE787*'تنظیمات وزن‌دهی'!$C$7+CF787*'تنظیمات وزن‌دهی'!$C$8+CG787*'تنظیمات وزن‌دهی'!$C$9+CH787*'تنظیمات وزن‌دهی'!$C$10+CI787*'تنظیمات وزن‌دهی'!$C$11+CJ787*'تنظیمات وزن‌دهی'!$C$12+CK787*'تنظیمات وزن‌دهی'!$C$13)/100))</x:f>
      </x:c>
      <x:c r="CM787" s="178" t="str">
        <x:f>IF(C787="","",IF(COUNT(G787:CB787)=0,"",IF(COUNT(G787:CB787)&lt;74,"موقت - اطلاعات ناقص",IF(CL787&gt;=17,"عالی",IF(CL787&gt;=14,"خوب",IF(CL787&gt;=10,"متوسط","ضعیف"))))))</x:f>
      </x:c>
      <x:c r="CN787" s="178" t="n">
        <x:v>3</x:v>
      </x:c>
      <x:c r="CO787" s="142" t="n">
        <x:f>IF(C787="","",COUNT(G787:CB787)/74)</x:f>
        <x:v>0</x:v>
      </x:c>
      <x:c r="CP787" s="245"/>
    </x:row>
    <x:row r="788">
      <x:c r="A788" s="165" t="n">
        <x:v>784</x:v>
      </x:c>
      <x:c r="B788" s="233" t="str">
        <x:v>مهر</x:v>
      </x:c>
      <x:c r="C788" s="233" t="n">
        <x:f>IF('دانش‌آموزان'!E70="","",'دانش‌آموزان'!B70)</x:f>
        <x:v>66</x:v>
      </x:c>
      <x:c r="D788" s="233" t="str">
        <x:f>IF('دانش‌آموزان'!C70="","",'دانش‌آموزان'!C70)</x:f>
        <x:v>4000000667</x:v>
      </x:c>
      <x:c r="E788" s="233" t="str">
        <x:f>IF('دانش‌آموزان'!E70="","",'دانش‌آموزان'!E70&amp;" "&amp;'دانش‌آموزان'!F70)</x:f>
        <x:v>سارا خلیلی</x:v>
      </x:c>
      <x:c r="F788" s="166" t="str">
        <x:f>IF('دانش‌آموزان'!I70="","",'دانش‌آموزان'!I70)</x:f>
        <x:v>sample-7-c</x:v>
      </x:c>
      <x:c r="G788" s="114"/>
      <x:c r="H788" s="115"/>
      <x:c r="I788" s="115"/>
      <x:c r="J788" s="115"/>
      <x:c r="K788" s="115"/>
      <x:c r="L788" s="115"/>
      <x:c r="M788" s="115"/>
      <x:c r="N788" s="115"/>
      <x:c r="O788" s="115"/>
      <x:c r="P788" s="115"/>
      <x:c r="Q788" s="115"/>
      <x:c r="R788" s="115"/>
      <x:c r="S788" s="115"/>
      <x:c r="T788" s="115"/>
      <x:c r="U788" s="115"/>
      <x:c r="V788" s="115"/>
      <x:c r="W788" s="115"/>
      <x:c r="X788" s="115"/>
      <x:c r="Y788" s="115"/>
      <x:c r="Z788" s="115"/>
      <x:c r="AA788" s="115"/>
      <x:c r="AB788" s="115"/>
      <x:c r="AC788" s="115"/>
      <x:c r="AD788" s="115"/>
      <x:c r="AE788" s="115"/>
      <x:c r="AF788" s="115"/>
      <x:c r="AG788" s="115"/>
      <x:c r="AH788" s="115"/>
      <x:c r="AI788" s="115"/>
      <x:c r="AJ788" s="115"/>
      <x:c r="AK788" s="115"/>
      <x:c r="AL788" s="115"/>
      <x:c r="AM788" s="115"/>
      <x:c r="AN788" s="115"/>
      <x:c r="AO788" s="115"/>
      <x:c r="AP788" s="115"/>
      <x:c r="AQ788" s="115"/>
      <x:c r="AR788" s="115"/>
      <x:c r="AS788" s="115"/>
      <x:c r="AT788" s="115"/>
      <x:c r="AU788" s="115"/>
      <x:c r="AV788" s="115"/>
      <x:c r="AW788" s="115"/>
      <x:c r="AX788" s="115"/>
      <x:c r="AY788" s="115"/>
      <x:c r="AZ788" s="115"/>
      <x:c r="BA788" s="115"/>
      <x:c r="BB788" s="115"/>
      <x:c r="BC788" s="115"/>
      <x:c r="BD788" s="115"/>
      <x:c r="BE788" s="115"/>
      <x:c r="BF788" s="115"/>
      <x:c r="BG788" s="115"/>
      <x:c r="BH788" s="115"/>
      <x:c r="BI788" s="115"/>
      <x:c r="BJ788" s="115"/>
      <x:c r="BK788" s="115"/>
      <x:c r="BL788" s="115"/>
      <x:c r="BM788" s="115"/>
      <x:c r="BN788" s="115"/>
      <x:c r="BO788" s="115"/>
      <x:c r="BP788" s="115"/>
      <x:c r="BQ788" s="115"/>
      <x:c r="BR788" s="115"/>
      <x:c r="BS788" s="115"/>
      <x:c r="BT788" s="115"/>
      <x:c r="BU788" s="115"/>
      <x:c r="BV788" s="115"/>
      <x:c r="BW788" s="115"/>
      <x:c r="BX788" s="115"/>
      <x:c r="BY788" s="115"/>
      <x:c r="BZ788" s="115"/>
      <x:c r="CA788" s="115"/>
      <x:c r="CB788" s="116"/>
      <x:c r="CC788" s="141" t="str">
        <x:f>IF(COUNT(G788:P788)=0,"",AVERAGE(G788:P788)*4)</x:f>
      </x:c>
      <x:c r="CD788" s="178" t="str">
        <x:f>IF(COUNT(Q788:Z788)=0,"",AVERAGE(Q788:Z788)*4)</x:f>
      </x:c>
      <x:c r="CE788" s="178" t="str">
        <x:f>IF(COUNT(AA788:AJ788)=0,"",AVERAGE(AA788:AJ788)*4)</x:f>
      </x:c>
      <x:c r="CF788" s="178" t="str">
        <x:f>IF(COUNT(AK788:AR788)=0,"",AVERAGE(AK788:AR788)*4)</x:f>
      </x:c>
      <x:c r="CG788" s="178" t="str">
        <x:f>IF(COUNT(AS788:AY788)=0,"",AVERAGE(AS788:AY788)*4)</x:f>
      </x:c>
      <x:c r="CH788" s="178" t="str">
        <x:f>IF(COUNT(AZ788:BG788)=0,"",AVERAGE(AZ788:BG788)*4)</x:f>
      </x:c>
      <x:c r="CI788" s="178" t="str">
        <x:f>IF(COUNT(BH788:BN788)=0,"",AVERAGE(BH788:BN788)*4)</x:f>
      </x:c>
      <x:c r="CJ788" s="178" t="str">
        <x:f>IF(COUNT(BO788:BU788)=0,"",AVERAGE(BO788:BU788)*4)</x:f>
      </x:c>
      <x:c r="CK788" s="178" t="str">
        <x:f>IF(COUNT(BV788:CB788)=0,"",AVERAGE(BV788:CB788)*4)</x:f>
      </x:c>
      <x:c r="CL788" s="178" t="str">
        <x:f>IF(C788="","",IF(COUNT(G788:CB788)&lt;74,"",(CC788*'تنظیمات وزن‌دهی'!$C$5+CD788*'تنظیمات وزن‌دهی'!$C$6+CE788*'تنظیمات وزن‌دهی'!$C$7+CF788*'تنظیمات وزن‌دهی'!$C$8+CG788*'تنظیمات وزن‌دهی'!$C$9+CH788*'تنظیمات وزن‌دهی'!$C$10+CI788*'تنظیمات وزن‌دهی'!$C$11+CJ788*'تنظیمات وزن‌دهی'!$C$12+CK788*'تنظیمات وزن‌دهی'!$C$13)/100))</x:f>
      </x:c>
      <x:c r="CM788" s="178" t="str">
        <x:f>IF(C788="","",IF(COUNT(G788:CB788)=0,"",IF(COUNT(G788:CB788)&lt;74,"موقت - اطلاعات ناقص",IF(CL788&gt;=17,"عالی",IF(CL788&gt;=14,"خوب",IF(CL788&gt;=10,"متوسط","ضعیف"))))))</x:f>
      </x:c>
      <x:c r="CN788" s="178" t="n">
        <x:v>4</x:v>
      </x:c>
      <x:c r="CO788" s="142" t="n">
        <x:f>IF(C788="","",COUNT(G788:CB788)/74)</x:f>
        <x:v>0</x:v>
      </x:c>
      <x:c r="CP788" s="245"/>
    </x:row>
    <x:row r="789">
      <x:c r="A789" s="165" t="n">
        <x:v>785</x:v>
      </x:c>
      <x:c r="B789" s="233" t="str">
        <x:v>آبان</x:v>
      </x:c>
      <x:c r="C789" s="233" t="n">
        <x:f>IF('دانش‌آموزان'!E70="","",'دانش‌آموزان'!B70)</x:f>
        <x:v>66</x:v>
      </x:c>
      <x:c r="D789" s="233" t="str">
        <x:f>IF('دانش‌آموزان'!C70="","",'دانش‌آموزان'!C70)</x:f>
        <x:v>4000000667</x:v>
      </x:c>
      <x:c r="E789" s="233" t="str">
        <x:f>IF('دانش‌آموزان'!E70="","",'دانش‌آموزان'!E70&amp;" "&amp;'دانش‌آموزان'!F70)</x:f>
        <x:v>سارا خلیلی</x:v>
      </x:c>
      <x:c r="F789" s="166" t="str">
        <x:f>IF('دانش‌آموزان'!I70="","",'دانش‌آموزان'!I70)</x:f>
        <x:v>sample-7-c</x:v>
      </x:c>
      <x:c r="G789" s="114"/>
      <x:c r="H789" s="115"/>
      <x:c r="I789" s="115"/>
      <x:c r="J789" s="115"/>
      <x:c r="K789" s="115"/>
      <x:c r="L789" s="115"/>
      <x:c r="M789" s="115"/>
      <x:c r="N789" s="115"/>
      <x:c r="O789" s="115"/>
      <x:c r="P789" s="115"/>
      <x:c r="Q789" s="115"/>
      <x:c r="R789" s="115"/>
      <x:c r="S789" s="115"/>
      <x:c r="T789" s="115"/>
      <x:c r="U789" s="115"/>
      <x:c r="V789" s="115"/>
      <x:c r="W789" s="115"/>
      <x:c r="X789" s="115"/>
      <x:c r="Y789" s="115"/>
      <x:c r="Z789" s="115"/>
      <x:c r="AA789" s="115"/>
      <x:c r="AB789" s="115"/>
      <x:c r="AC789" s="115"/>
      <x:c r="AD789" s="115"/>
      <x:c r="AE789" s="115"/>
      <x:c r="AF789" s="115"/>
      <x:c r="AG789" s="115"/>
      <x:c r="AH789" s="115"/>
      <x:c r="AI789" s="115"/>
      <x:c r="AJ789" s="115"/>
      <x:c r="AK789" s="115"/>
      <x:c r="AL789" s="115"/>
      <x:c r="AM789" s="115"/>
      <x:c r="AN789" s="115"/>
      <x:c r="AO789" s="115"/>
      <x:c r="AP789" s="115"/>
      <x:c r="AQ789" s="115"/>
      <x:c r="AR789" s="115"/>
      <x:c r="AS789" s="115"/>
      <x:c r="AT789" s="115"/>
      <x:c r="AU789" s="115"/>
      <x:c r="AV789" s="115"/>
      <x:c r="AW789" s="115"/>
      <x:c r="AX789" s="115"/>
      <x:c r="AY789" s="115"/>
      <x:c r="AZ789" s="115"/>
      <x:c r="BA789" s="115"/>
      <x:c r="BB789" s="115"/>
      <x:c r="BC789" s="115"/>
      <x:c r="BD789" s="115"/>
      <x:c r="BE789" s="115"/>
      <x:c r="BF789" s="115"/>
      <x:c r="BG789" s="115"/>
      <x:c r="BH789" s="115"/>
      <x:c r="BI789" s="115"/>
      <x:c r="BJ789" s="115"/>
      <x:c r="BK789" s="115"/>
      <x:c r="BL789" s="115"/>
      <x:c r="BM789" s="115"/>
      <x:c r="BN789" s="115"/>
      <x:c r="BO789" s="115"/>
      <x:c r="BP789" s="115"/>
      <x:c r="BQ789" s="115"/>
      <x:c r="BR789" s="115"/>
      <x:c r="BS789" s="115"/>
      <x:c r="BT789" s="115"/>
      <x:c r="BU789" s="115"/>
      <x:c r="BV789" s="115"/>
      <x:c r="BW789" s="115"/>
      <x:c r="BX789" s="115"/>
      <x:c r="BY789" s="115"/>
      <x:c r="BZ789" s="115"/>
      <x:c r="CA789" s="115"/>
      <x:c r="CB789" s="116"/>
      <x:c r="CC789" s="141" t="str">
        <x:f>IF(COUNT(G789:P789)=0,"",AVERAGE(G789:P789)*4)</x:f>
      </x:c>
      <x:c r="CD789" s="178" t="str">
        <x:f>IF(COUNT(Q789:Z789)=0,"",AVERAGE(Q789:Z789)*4)</x:f>
      </x:c>
      <x:c r="CE789" s="178" t="str">
        <x:f>IF(COUNT(AA789:AJ789)=0,"",AVERAGE(AA789:AJ789)*4)</x:f>
      </x:c>
      <x:c r="CF789" s="178" t="str">
        <x:f>IF(COUNT(AK789:AR789)=0,"",AVERAGE(AK789:AR789)*4)</x:f>
      </x:c>
      <x:c r="CG789" s="178" t="str">
        <x:f>IF(COUNT(AS789:AY789)=0,"",AVERAGE(AS789:AY789)*4)</x:f>
      </x:c>
      <x:c r="CH789" s="178" t="str">
        <x:f>IF(COUNT(AZ789:BG789)=0,"",AVERAGE(AZ789:BG789)*4)</x:f>
      </x:c>
      <x:c r="CI789" s="178" t="str">
        <x:f>IF(COUNT(BH789:BN789)=0,"",AVERAGE(BH789:BN789)*4)</x:f>
      </x:c>
      <x:c r="CJ789" s="178" t="str">
        <x:f>IF(COUNT(BO789:BU789)=0,"",AVERAGE(BO789:BU789)*4)</x:f>
      </x:c>
      <x:c r="CK789" s="178" t="str">
        <x:f>IF(COUNT(BV789:CB789)=0,"",AVERAGE(BV789:CB789)*4)</x:f>
      </x:c>
      <x:c r="CL789" s="178" t="str">
        <x:f>IF(C789="","",IF(COUNT(G789:CB789)&lt;74,"",(CC789*'تنظیمات وزن‌دهی'!$C$5+CD789*'تنظیمات وزن‌دهی'!$C$6+CE789*'تنظیمات وزن‌دهی'!$C$7+CF789*'تنظیمات وزن‌دهی'!$C$8+CG789*'تنظیمات وزن‌دهی'!$C$9+CH789*'تنظیمات وزن‌دهی'!$C$10+CI789*'تنظیمات وزن‌دهی'!$C$11+CJ789*'تنظیمات وزن‌دهی'!$C$12+CK789*'تنظیمات وزن‌دهی'!$C$13)/100))</x:f>
      </x:c>
      <x:c r="CM789" s="178" t="str">
        <x:f>IF(C789="","",IF(COUNT(G789:CB789)=0,"",IF(COUNT(G789:CB789)&lt;74,"موقت - اطلاعات ناقص",IF(CL789&gt;=17,"عالی",IF(CL789&gt;=14,"خوب",IF(CL789&gt;=10,"متوسط","ضعیف"))))))</x:f>
      </x:c>
      <x:c r="CN789" s="178" t="n">
        <x:v>5</x:v>
      </x:c>
      <x:c r="CO789" s="142" t="n">
        <x:f>IF(C789="","",COUNT(G789:CB789)/74)</x:f>
        <x:v>0</x:v>
      </x:c>
      <x:c r="CP789" s="245"/>
    </x:row>
    <x:row r="790">
      <x:c r="A790" s="165" t="n">
        <x:v>786</x:v>
      </x:c>
      <x:c r="B790" s="233" t="str">
        <x:v>آذر</x:v>
      </x:c>
      <x:c r="C790" s="233" t="n">
        <x:f>IF('دانش‌آموزان'!E70="","",'دانش‌آموزان'!B70)</x:f>
        <x:v>66</x:v>
      </x:c>
      <x:c r="D790" s="233" t="str">
        <x:f>IF('دانش‌آموزان'!C70="","",'دانش‌آموزان'!C70)</x:f>
        <x:v>4000000667</x:v>
      </x:c>
      <x:c r="E790" s="233" t="str">
        <x:f>IF('دانش‌آموزان'!E70="","",'دانش‌آموزان'!E70&amp;" "&amp;'دانش‌آموزان'!F70)</x:f>
        <x:v>سارا خلیلی</x:v>
      </x:c>
      <x:c r="F790" s="166" t="str">
        <x:f>IF('دانش‌آموزان'!I70="","",'دانش‌آموزان'!I70)</x:f>
        <x:v>sample-7-c</x:v>
      </x:c>
      <x:c r="G790" s="114"/>
      <x:c r="H790" s="115"/>
      <x:c r="I790" s="115"/>
      <x:c r="J790" s="115"/>
      <x:c r="K790" s="115"/>
      <x:c r="L790" s="115"/>
      <x:c r="M790" s="115"/>
      <x:c r="N790" s="115"/>
      <x:c r="O790" s="115"/>
      <x:c r="P790" s="115"/>
      <x:c r="Q790" s="115"/>
      <x:c r="R790" s="115"/>
      <x:c r="S790" s="115"/>
      <x:c r="T790" s="115"/>
      <x:c r="U790" s="115"/>
      <x:c r="V790" s="115"/>
      <x:c r="W790" s="115"/>
      <x:c r="X790" s="115"/>
      <x:c r="Y790" s="115"/>
      <x:c r="Z790" s="115"/>
      <x:c r="AA790" s="115"/>
      <x:c r="AB790" s="115"/>
      <x:c r="AC790" s="115"/>
      <x:c r="AD790" s="115"/>
      <x:c r="AE790" s="115"/>
      <x:c r="AF790" s="115"/>
      <x:c r="AG790" s="115"/>
      <x:c r="AH790" s="115"/>
      <x:c r="AI790" s="115"/>
      <x:c r="AJ790" s="115"/>
      <x:c r="AK790" s="115"/>
      <x:c r="AL790" s="115"/>
      <x:c r="AM790" s="115"/>
      <x:c r="AN790" s="115"/>
      <x:c r="AO790" s="115"/>
      <x:c r="AP790" s="115"/>
      <x:c r="AQ790" s="115"/>
      <x:c r="AR790" s="115"/>
      <x:c r="AS790" s="115"/>
      <x:c r="AT790" s="115"/>
      <x:c r="AU790" s="115"/>
      <x:c r="AV790" s="115"/>
      <x:c r="AW790" s="115"/>
      <x:c r="AX790" s="115"/>
      <x:c r="AY790" s="115"/>
      <x:c r="AZ790" s="115"/>
      <x:c r="BA790" s="115"/>
      <x:c r="BB790" s="115"/>
      <x:c r="BC790" s="115"/>
      <x:c r="BD790" s="115"/>
      <x:c r="BE790" s="115"/>
      <x:c r="BF790" s="115"/>
      <x:c r="BG790" s="115"/>
      <x:c r="BH790" s="115"/>
      <x:c r="BI790" s="115"/>
      <x:c r="BJ790" s="115"/>
      <x:c r="BK790" s="115"/>
      <x:c r="BL790" s="115"/>
      <x:c r="BM790" s="115"/>
      <x:c r="BN790" s="115"/>
      <x:c r="BO790" s="115"/>
      <x:c r="BP790" s="115"/>
      <x:c r="BQ790" s="115"/>
      <x:c r="BR790" s="115"/>
      <x:c r="BS790" s="115"/>
      <x:c r="BT790" s="115"/>
      <x:c r="BU790" s="115"/>
      <x:c r="BV790" s="115"/>
      <x:c r="BW790" s="115"/>
      <x:c r="BX790" s="115"/>
      <x:c r="BY790" s="115"/>
      <x:c r="BZ790" s="115"/>
      <x:c r="CA790" s="115"/>
      <x:c r="CB790" s="116"/>
      <x:c r="CC790" s="141" t="str">
        <x:f>IF(COUNT(G790:P790)=0,"",AVERAGE(G790:P790)*4)</x:f>
      </x:c>
      <x:c r="CD790" s="178" t="str">
        <x:f>IF(COUNT(Q790:Z790)=0,"",AVERAGE(Q790:Z790)*4)</x:f>
      </x:c>
      <x:c r="CE790" s="178" t="str">
        <x:f>IF(COUNT(AA790:AJ790)=0,"",AVERAGE(AA790:AJ790)*4)</x:f>
      </x:c>
      <x:c r="CF790" s="178" t="str">
        <x:f>IF(COUNT(AK790:AR790)=0,"",AVERAGE(AK790:AR790)*4)</x:f>
      </x:c>
      <x:c r="CG790" s="178" t="str">
        <x:f>IF(COUNT(AS790:AY790)=0,"",AVERAGE(AS790:AY790)*4)</x:f>
      </x:c>
      <x:c r="CH790" s="178" t="str">
        <x:f>IF(COUNT(AZ790:BG790)=0,"",AVERAGE(AZ790:BG790)*4)</x:f>
      </x:c>
      <x:c r="CI790" s="178" t="str">
        <x:f>IF(COUNT(BH790:BN790)=0,"",AVERAGE(BH790:BN790)*4)</x:f>
      </x:c>
      <x:c r="CJ790" s="178" t="str">
        <x:f>IF(COUNT(BO790:BU790)=0,"",AVERAGE(BO790:BU790)*4)</x:f>
      </x:c>
      <x:c r="CK790" s="178" t="str">
        <x:f>IF(COUNT(BV790:CB790)=0,"",AVERAGE(BV790:CB790)*4)</x:f>
      </x:c>
      <x:c r="CL790" s="178" t="str">
        <x:f>IF(C790="","",IF(COUNT(G790:CB790)&lt;74,"",(CC790*'تنظیمات وزن‌دهی'!$C$5+CD790*'تنظیمات وزن‌دهی'!$C$6+CE790*'تنظیمات وزن‌دهی'!$C$7+CF790*'تنظیمات وزن‌دهی'!$C$8+CG790*'تنظیمات وزن‌دهی'!$C$9+CH790*'تنظیمات وزن‌دهی'!$C$10+CI790*'تنظیمات وزن‌دهی'!$C$11+CJ790*'تنظیمات وزن‌دهی'!$C$12+CK790*'تنظیمات وزن‌دهی'!$C$13)/100))</x:f>
      </x:c>
      <x:c r="CM790" s="178" t="str">
        <x:f>IF(C790="","",IF(COUNT(G790:CB790)=0,"",IF(COUNT(G790:CB790)&lt;74,"موقت - اطلاعات ناقص",IF(CL790&gt;=17,"عالی",IF(CL790&gt;=14,"خوب",IF(CL790&gt;=10,"متوسط","ضعیف"))))))</x:f>
      </x:c>
      <x:c r="CN790" s="178" t="n">
        <x:v>6</x:v>
      </x:c>
      <x:c r="CO790" s="142" t="n">
        <x:f>IF(C790="","",COUNT(G790:CB790)/74)</x:f>
        <x:v>0</x:v>
      </x:c>
      <x:c r="CP790" s="245"/>
    </x:row>
    <x:row r="791">
      <x:c r="A791" s="165" t="n">
        <x:v>787</x:v>
      </x:c>
      <x:c r="B791" s="233" t="str">
        <x:v>دی</x:v>
      </x:c>
      <x:c r="C791" s="233" t="n">
        <x:f>IF('دانش‌آموزان'!E70="","",'دانش‌آموزان'!B70)</x:f>
        <x:v>66</x:v>
      </x:c>
      <x:c r="D791" s="233" t="str">
        <x:f>IF('دانش‌آموزان'!C70="","",'دانش‌آموزان'!C70)</x:f>
        <x:v>4000000667</x:v>
      </x:c>
      <x:c r="E791" s="233" t="str">
        <x:f>IF('دانش‌آموزان'!E70="","",'دانش‌آموزان'!E70&amp;" "&amp;'دانش‌آموزان'!F70)</x:f>
        <x:v>سارا خلیلی</x:v>
      </x:c>
      <x:c r="F791" s="166" t="str">
        <x:f>IF('دانش‌آموزان'!I70="","",'دانش‌آموزان'!I70)</x:f>
        <x:v>sample-7-c</x:v>
      </x:c>
      <x:c r="G791" s="114"/>
      <x:c r="H791" s="115"/>
      <x:c r="I791" s="115"/>
      <x:c r="J791" s="115"/>
      <x:c r="K791" s="115"/>
      <x:c r="L791" s="115"/>
      <x:c r="M791" s="115"/>
      <x:c r="N791" s="115"/>
      <x:c r="O791" s="115"/>
      <x:c r="P791" s="115"/>
      <x:c r="Q791" s="115"/>
      <x:c r="R791" s="115"/>
      <x:c r="S791" s="115"/>
      <x:c r="T791" s="115"/>
      <x:c r="U791" s="115"/>
      <x:c r="V791" s="115"/>
      <x:c r="W791" s="115"/>
      <x:c r="X791" s="115"/>
      <x:c r="Y791" s="115"/>
      <x:c r="Z791" s="115"/>
      <x:c r="AA791" s="115"/>
      <x:c r="AB791" s="115"/>
      <x:c r="AC791" s="115"/>
      <x:c r="AD791" s="115"/>
      <x:c r="AE791" s="115"/>
      <x:c r="AF791" s="115"/>
      <x:c r="AG791" s="115"/>
      <x:c r="AH791" s="115"/>
      <x:c r="AI791" s="115"/>
      <x:c r="AJ791" s="115"/>
      <x:c r="AK791" s="115"/>
      <x:c r="AL791" s="115"/>
      <x:c r="AM791" s="115"/>
      <x:c r="AN791" s="115"/>
      <x:c r="AO791" s="115"/>
      <x:c r="AP791" s="115"/>
      <x:c r="AQ791" s="115"/>
      <x:c r="AR791" s="115"/>
      <x:c r="AS791" s="115"/>
      <x:c r="AT791" s="115"/>
      <x:c r="AU791" s="115"/>
      <x:c r="AV791" s="115"/>
      <x:c r="AW791" s="115"/>
      <x:c r="AX791" s="115"/>
      <x:c r="AY791" s="115"/>
      <x:c r="AZ791" s="115"/>
      <x:c r="BA791" s="115"/>
      <x:c r="BB791" s="115"/>
      <x:c r="BC791" s="115"/>
      <x:c r="BD791" s="115"/>
      <x:c r="BE791" s="115"/>
      <x:c r="BF791" s="115"/>
      <x:c r="BG791" s="115"/>
      <x:c r="BH791" s="115"/>
      <x:c r="BI791" s="115"/>
      <x:c r="BJ791" s="115"/>
      <x:c r="BK791" s="115"/>
      <x:c r="BL791" s="115"/>
      <x:c r="BM791" s="115"/>
      <x:c r="BN791" s="115"/>
      <x:c r="BO791" s="115"/>
      <x:c r="BP791" s="115"/>
      <x:c r="BQ791" s="115"/>
      <x:c r="BR791" s="115"/>
      <x:c r="BS791" s="115"/>
      <x:c r="BT791" s="115"/>
      <x:c r="BU791" s="115"/>
      <x:c r="BV791" s="115"/>
      <x:c r="BW791" s="115"/>
      <x:c r="BX791" s="115"/>
      <x:c r="BY791" s="115"/>
      <x:c r="BZ791" s="115"/>
      <x:c r="CA791" s="115"/>
      <x:c r="CB791" s="116"/>
      <x:c r="CC791" s="141" t="str">
        <x:f>IF(COUNT(G791:P791)=0,"",AVERAGE(G791:P791)*4)</x:f>
      </x:c>
      <x:c r="CD791" s="178" t="str">
        <x:f>IF(COUNT(Q791:Z791)=0,"",AVERAGE(Q791:Z791)*4)</x:f>
      </x:c>
      <x:c r="CE791" s="178" t="str">
        <x:f>IF(COUNT(AA791:AJ791)=0,"",AVERAGE(AA791:AJ791)*4)</x:f>
      </x:c>
      <x:c r="CF791" s="178" t="str">
        <x:f>IF(COUNT(AK791:AR791)=0,"",AVERAGE(AK791:AR791)*4)</x:f>
      </x:c>
      <x:c r="CG791" s="178" t="str">
        <x:f>IF(COUNT(AS791:AY791)=0,"",AVERAGE(AS791:AY791)*4)</x:f>
      </x:c>
      <x:c r="CH791" s="178" t="str">
        <x:f>IF(COUNT(AZ791:BG791)=0,"",AVERAGE(AZ791:BG791)*4)</x:f>
      </x:c>
      <x:c r="CI791" s="178" t="str">
        <x:f>IF(COUNT(BH791:BN791)=0,"",AVERAGE(BH791:BN791)*4)</x:f>
      </x:c>
      <x:c r="CJ791" s="178" t="str">
        <x:f>IF(COUNT(BO791:BU791)=0,"",AVERAGE(BO791:BU791)*4)</x:f>
      </x:c>
      <x:c r="CK791" s="178" t="str">
        <x:f>IF(COUNT(BV791:CB791)=0,"",AVERAGE(BV791:CB791)*4)</x:f>
      </x:c>
      <x:c r="CL791" s="178" t="str">
        <x:f>IF(C791="","",IF(COUNT(G791:CB791)&lt;74,"",(CC791*'تنظیمات وزن‌دهی'!$C$5+CD791*'تنظیمات وزن‌دهی'!$C$6+CE791*'تنظیمات وزن‌دهی'!$C$7+CF791*'تنظیمات وزن‌دهی'!$C$8+CG791*'تنظیمات وزن‌دهی'!$C$9+CH791*'تنظیمات وزن‌دهی'!$C$10+CI791*'تنظیمات وزن‌دهی'!$C$11+CJ791*'تنظیمات وزن‌دهی'!$C$12+CK791*'تنظیمات وزن‌دهی'!$C$13)/100))</x:f>
      </x:c>
      <x:c r="CM791" s="178" t="str">
        <x:f>IF(C791="","",IF(COUNT(G791:CB791)=0,"",IF(COUNT(G791:CB791)&lt;74,"موقت - اطلاعات ناقص",IF(CL791&gt;=17,"عالی",IF(CL791&gt;=14,"خوب",IF(CL791&gt;=10,"متوسط","ضعیف"))))))</x:f>
      </x:c>
      <x:c r="CN791" s="178" t="n">
        <x:v>7</x:v>
      </x:c>
      <x:c r="CO791" s="142" t="n">
        <x:f>IF(C791="","",COUNT(G791:CB791)/74)</x:f>
        <x:v>0</x:v>
      </x:c>
      <x:c r="CP791" s="245"/>
    </x:row>
    <x:row r="792">
      <x:c r="A792" s="165" t="n">
        <x:v>788</x:v>
      </x:c>
      <x:c r="B792" s="233" t="str">
        <x:v>بهمن</x:v>
      </x:c>
      <x:c r="C792" s="233" t="n">
        <x:f>IF('دانش‌آموزان'!E70="","",'دانش‌آموزان'!B70)</x:f>
        <x:v>66</x:v>
      </x:c>
      <x:c r="D792" s="233" t="str">
        <x:f>IF('دانش‌آموزان'!C70="","",'دانش‌آموزان'!C70)</x:f>
        <x:v>4000000667</x:v>
      </x:c>
      <x:c r="E792" s="233" t="str">
        <x:f>IF('دانش‌آموزان'!E70="","",'دانش‌آموزان'!E70&amp;" "&amp;'دانش‌آموزان'!F70)</x:f>
        <x:v>سارا خلیلی</x:v>
      </x:c>
      <x:c r="F792" s="166" t="str">
        <x:f>IF('دانش‌آموزان'!I70="","",'دانش‌آموزان'!I70)</x:f>
        <x:v>sample-7-c</x:v>
      </x:c>
      <x:c r="G792" s="114"/>
      <x:c r="H792" s="115"/>
      <x:c r="I792" s="115"/>
      <x:c r="J792" s="115"/>
      <x:c r="K792" s="115"/>
      <x:c r="L792" s="115"/>
      <x:c r="M792" s="115"/>
      <x:c r="N792" s="115"/>
      <x:c r="O792" s="115"/>
      <x:c r="P792" s="115"/>
      <x:c r="Q792" s="115"/>
      <x:c r="R792" s="115"/>
      <x:c r="S792" s="115"/>
      <x:c r="T792" s="115"/>
      <x:c r="U792" s="115"/>
      <x:c r="V792" s="115"/>
      <x:c r="W792" s="115"/>
      <x:c r="X792" s="115"/>
      <x:c r="Y792" s="115"/>
      <x:c r="Z792" s="115"/>
      <x:c r="AA792" s="115"/>
      <x:c r="AB792" s="115"/>
      <x:c r="AC792" s="115"/>
      <x:c r="AD792" s="115"/>
      <x:c r="AE792" s="115"/>
      <x:c r="AF792" s="115"/>
      <x:c r="AG792" s="115"/>
      <x:c r="AH792" s="115"/>
      <x:c r="AI792" s="115"/>
      <x:c r="AJ792" s="115"/>
      <x:c r="AK792" s="115"/>
      <x:c r="AL792" s="115"/>
      <x:c r="AM792" s="115"/>
      <x:c r="AN792" s="115"/>
      <x:c r="AO792" s="115"/>
      <x:c r="AP792" s="115"/>
      <x:c r="AQ792" s="115"/>
      <x:c r="AR792" s="115"/>
      <x:c r="AS792" s="115"/>
      <x:c r="AT792" s="115"/>
      <x:c r="AU792" s="115"/>
      <x:c r="AV792" s="115"/>
      <x:c r="AW792" s="115"/>
      <x:c r="AX792" s="115"/>
      <x:c r="AY792" s="115"/>
      <x:c r="AZ792" s="115"/>
      <x:c r="BA792" s="115"/>
      <x:c r="BB792" s="115"/>
      <x:c r="BC792" s="115"/>
      <x:c r="BD792" s="115"/>
      <x:c r="BE792" s="115"/>
      <x:c r="BF792" s="115"/>
      <x:c r="BG792" s="115"/>
      <x:c r="BH792" s="115"/>
      <x:c r="BI792" s="115"/>
      <x:c r="BJ792" s="115"/>
      <x:c r="BK792" s="115"/>
      <x:c r="BL792" s="115"/>
      <x:c r="BM792" s="115"/>
      <x:c r="BN792" s="115"/>
      <x:c r="BO792" s="115"/>
      <x:c r="BP792" s="115"/>
      <x:c r="BQ792" s="115"/>
      <x:c r="BR792" s="115"/>
      <x:c r="BS792" s="115"/>
      <x:c r="BT792" s="115"/>
      <x:c r="BU792" s="115"/>
      <x:c r="BV792" s="115"/>
      <x:c r="BW792" s="115"/>
      <x:c r="BX792" s="115"/>
      <x:c r="BY792" s="115"/>
      <x:c r="BZ792" s="115"/>
      <x:c r="CA792" s="115"/>
      <x:c r="CB792" s="116"/>
      <x:c r="CC792" s="141" t="str">
        <x:f>IF(COUNT(G792:P792)=0,"",AVERAGE(G792:P792)*4)</x:f>
      </x:c>
      <x:c r="CD792" s="178" t="str">
        <x:f>IF(COUNT(Q792:Z792)=0,"",AVERAGE(Q792:Z792)*4)</x:f>
      </x:c>
      <x:c r="CE792" s="178" t="str">
        <x:f>IF(COUNT(AA792:AJ792)=0,"",AVERAGE(AA792:AJ792)*4)</x:f>
      </x:c>
      <x:c r="CF792" s="178" t="str">
        <x:f>IF(COUNT(AK792:AR792)=0,"",AVERAGE(AK792:AR792)*4)</x:f>
      </x:c>
      <x:c r="CG792" s="178" t="str">
        <x:f>IF(COUNT(AS792:AY792)=0,"",AVERAGE(AS792:AY792)*4)</x:f>
      </x:c>
      <x:c r="CH792" s="178" t="str">
        <x:f>IF(COUNT(AZ792:BG792)=0,"",AVERAGE(AZ792:BG792)*4)</x:f>
      </x:c>
      <x:c r="CI792" s="178" t="str">
        <x:f>IF(COUNT(BH792:BN792)=0,"",AVERAGE(BH792:BN792)*4)</x:f>
      </x:c>
      <x:c r="CJ792" s="178" t="str">
        <x:f>IF(COUNT(BO792:BU792)=0,"",AVERAGE(BO792:BU792)*4)</x:f>
      </x:c>
      <x:c r="CK792" s="178" t="str">
        <x:f>IF(COUNT(BV792:CB792)=0,"",AVERAGE(BV792:CB792)*4)</x:f>
      </x:c>
      <x:c r="CL792" s="178" t="str">
        <x:f>IF(C792="","",IF(COUNT(G792:CB792)&lt;74,"",(CC792*'تنظیمات وزن‌دهی'!$C$5+CD792*'تنظیمات وزن‌دهی'!$C$6+CE792*'تنظیمات وزن‌دهی'!$C$7+CF792*'تنظیمات وزن‌دهی'!$C$8+CG792*'تنظیمات وزن‌دهی'!$C$9+CH792*'تنظیمات وزن‌دهی'!$C$10+CI792*'تنظیمات وزن‌دهی'!$C$11+CJ792*'تنظیمات وزن‌دهی'!$C$12+CK792*'تنظیمات وزن‌دهی'!$C$13)/100))</x:f>
      </x:c>
      <x:c r="CM792" s="178" t="str">
        <x:f>IF(C792="","",IF(COUNT(G792:CB792)=0,"",IF(COUNT(G792:CB792)&lt;74,"موقت - اطلاعات ناقص",IF(CL792&gt;=17,"عالی",IF(CL792&gt;=14,"خوب",IF(CL792&gt;=10,"متوسط","ضعیف"))))))</x:f>
      </x:c>
      <x:c r="CN792" s="178" t="n">
        <x:v>8</x:v>
      </x:c>
      <x:c r="CO792" s="142" t="n">
        <x:f>IF(C792="","",COUNT(G792:CB792)/74)</x:f>
        <x:v>0</x:v>
      </x:c>
      <x:c r="CP792" s="245"/>
    </x:row>
    <x:row r="793">
      <x:c r="A793" s="165" t="n">
        <x:v>789</x:v>
      </x:c>
      <x:c r="B793" s="233" t="str">
        <x:v>اسفند</x:v>
      </x:c>
      <x:c r="C793" s="233" t="n">
        <x:f>IF('دانش‌آموزان'!E70="","",'دانش‌آموزان'!B70)</x:f>
        <x:v>66</x:v>
      </x:c>
      <x:c r="D793" s="233" t="str">
        <x:f>IF('دانش‌آموزان'!C70="","",'دانش‌آموزان'!C70)</x:f>
        <x:v>4000000667</x:v>
      </x:c>
      <x:c r="E793" s="233" t="str">
        <x:f>IF('دانش‌آموزان'!E70="","",'دانش‌آموزان'!E70&amp;" "&amp;'دانش‌آموزان'!F70)</x:f>
        <x:v>سارا خلیلی</x:v>
      </x:c>
      <x:c r="F793" s="166" t="str">
        <x:f>IF('دانش‌آموزان'!I70="","",'دانش‌آموزان'!I70)</x:f>
        <x:v>sample-7-c</x:v>
      </x:c>
      <x:c r="G793" s="114"/>
      <x:c r="H793" s="115"/>
      <x:c r="I793" s="115"/>
      <x:c r="J793" s="115"/>
      <x:c r="K793" s="115"/>
      <x:c r="L793" s="115"/>
      <x:c r="M793" s="115"/>
      <x:c r="N793" s="115"/>
      <x:c r="O793" s="115"/>
      <x:c r="P793" s="115"/>
      <x:c r="Q793" s="115"/>
      <x:c r="R793" s="115"/>
      <x:c r="S793" s="115"/>
      <x:c r="T793" s="115"/>
      <x:c r="U793" s="115"/>
      <x:c r="V793" s="115"/>
      <x:c r="W793" s="115"/>
      <x:c r="X793" s="115"/>
      <x:c r="Y793" s="115"/>
      <x:c r="Z793" s="115"/>
      <x:c r="AA793" s="115"/>
      <x:c r="AB793" s="115"/>
      <x:c r="AC793" s="115"/>
      <x:c r="AD793" s="115"/>
      <x:c r="AE793" s="115"/>
      <x:c r="AF793" s="115"/>
      <x:c r="AG793" s="115"/>
      <x:c r="AH793" s="115"/>
      <x:c r="AI793" s="115"/>
      <x:c r="AJ793" s="115"/>
      <x:c r="AK793" s="115"/>
      <x:c r="AL793" s="115"/>
      <x:c r="AM793" s="115"/>
      <x:c r="AN793" s="115"/>
      <x:c r="AO793" s="115"/>
      <x:c r="AP793" s="115"/>
      <x:c r="AQ793" s="115"/>
      <x:c r="AR793" s="115"/>
      <x:c r="AS793" s="115"/>
      <x:c r="AT793" s="115"/>
      <x:c r="AU793" s="115"/>
      <x:c r="AV793" s="115"/>
      <x:c r="AW793" s="115"/>
      <x:c r="AX793" s="115"/>
      <x:c r="AY793" s="115"/>
      <x:c r="AZ793" s="115"/>
      <x:c r="BA793" s="115"/>
      <x:c r="BB793" s="115"/>
      <x:c r="BC793" s="115"/>
      <x:c r="BD793" s="115"/>
      <x:c r="BE793" s="115"/>
      <x:c r="BF793" s="115"/>
      <x:c r="BG793" s="115"/>
      <x:c r="BH793" s="115"/>
      <x:c r="BI793" s="115"/>
      <x:c r="BJ793" s="115"/>
      <x:c r="BK793" s="115"/>
      <x:c r="BL793" s="115"/>
      <x:c r="BM793" s="115"/>
      <x:c r="BN793" s="115"/>
      <x:c r="BO793" s="115"/>
      <x:c r="BP793" s="115"/>
      <x:c r="BQ793" s="115"/>
      <x:c r="BR793" s="115"/>
      <x:c r="BS793" s="115"/>
      <x:c r="BT793" s="115"/>
      <x:c r="BU793" s="115"/>
      <x:c r="BV793" s="115"/>
      <x:c r="BW793" s="115"/>
      <x:c r="BX793" s="115"/>
      <x:c r="BY793" s="115"/>
      <x:c r="BZ793" s="115"/>
      <x:c r="CA793" s="115"/>
      <x:c r="CB793" s="116"/>
      <x:c r="CC793" s="141" t="str">
        <x:f>IF(COUNT(G793:P793)=0,"",AVERAGE(G793:P793)*4)</x:f>
      </x:c>
      <x:c r="CD793" s="178" t="str">
        <x:f>IF(COUNT(Q793:Z793)=0,"",AVERAGE(Q793:Z793)*4)</x:f>
      </x:c>
      <x:c r="CE793" s="178" t="str">
        <x:f>IF(COUNT(AA793:AJ793)=0,"",AVERAGE(AA793:AJ793)*4)</x:f>
      </x:c>
      <x:c r="CF793" s="178" t="str">
        <x:f>IF(COUNT(AK793:AR793)=0,"",AVERAGE(AK793:AR793)*4)</x:f>
      </x:c>
      <x:c r="CG793" s="178" t="str">
        <x:f>IF(COUNT(AS793:AY793)=0,"",AVERAGE(AS793:AY793)*4)</x:f>
      </x:c>
      <x:c r="CH793" s="178" t="str">
        <x:f>IF(COUNT(AZ793:BG793)=0,"",AVERAGE(AZ793:BG793)*4)</x:f>
      </x:c>
      <x:c r="CI793" s="178" t="str">
        <x:f>IF(COUNT(BH793:BN793)=0,"",AVERAGE(BH793:BN793)*4)</x:f>
      </x:c>
      <x:c r="CJ793" s="178" t="str">
        <x:f>IF(COUNT(BO793:BU793)=0,"",AVERAGE(BO793:BU793)*4)</x:f>
      </x:c>
      <x:c r="CK793" s="178" t="str">
        <x:f>IF(COUNT(BV793:CB793)=0,"",AVERAGE(BV793:CB793)*4)</x:f>
      </x:c>
      <x:c r="CL793" s="178" t="str">
        <x:f>IF(C793="","",IF(COUNT(G793:CB793)&lt;74,"",(CC793*'تنظیمات وزن‌دهی'!$C$5+CD793*'تنظیمات وزن‌دهی'!$C$6+CE793*'تنظیمات وزن‌دهی'!$C$7+CF793*'تنظیمات وزن‌دهی'!$C$8+CG793*'تنظیمات وزن‌دهی'!$C$9+CH793*'تنظیمات وزن‌دهی'!$C$10+CI793*'تنظیمات وزن‌دهی'!$C$11+CJ793*'تنظیمات وزن‌دهی'!$C$12+CK793*'تنظیمات وزن‌دهی'!$C$13)/100))</x:f>
      </x:c>
      <x:c r="CM793" s="178" t="str">
        <x:f>IF(C793="","",IF(COUNT(G793:CB793)=0,"",IF(COUNT(G793:CB793)&lt;74,"موقت - اطلاعات ناقص",IF(CL793&gt;=17,"عالی",IF(CL793&gt;=14,"خوب",IF(CL793&gt;=10,"متوسط","ضعیف"))))))</x:f>
      </x:c>
      <x:c r="CN793" s="178" t="n">
        <x:v>9</x:v>
      </x:c>
      <x:c r="CO793" s="142" t="n">
        <x:f>IF(C793="","",COUNT(G793:CB793)/74)</x:f>
        <x:v>0</x:v>
      </x:c>
      <x:c r="CP793" s="245"/>
    </x:row>
    <x:row r="794">
      <x:c r="A794" s="165" t="n">
        <x:v>790</x:v>
      </x:c>
      <x:c r="B794" s="233" t="str">
        <x:v>فروردین</x:v>
      </x:c>
      <x:c r="C794" s="233" t="n">
        <x:f>IF('دانش‌آموزان'!E70="","",'دانش‌آموزان'!B70)</x:f>
        <x:v>66</x:v>
      </x:c>
      <x:c r="D794" s="233" t="str">
        <x:f>IF('دانش‌آموزان'!C70="","",'دانش‌آموزان'!C70)</x:f>
        <x:v>4000000667</x:v>
      </x:c>
      <x:c r="E794" s="233" t="str">
        <x:f>IF('دانش‌آموزان'!E70="","",'دانش‌آموزان'!E70&amp;" "&amp;'دانش‌آموزان'!F70)</x:f>
        <x:v>سارا خلیلی</x:v>
      </x:c>
      <x:c r="F794" s="166" t="str">
        <x:f>IF('دانش‌آموزان'!I70="","",'دانش‌آموزان'!I70)</x:f>
        <x:v>sample-7-c</x:v>
      </x:c>
      <x:c r="G794" s="114"/>
      <x:c r="H794" s="115"/>
      <x:c r="I794" s="115"/>
      <x:c r="J794" s="115"/>
      <x:c r="K794" s="115"/>
      <x:c r="L794" s="115"/>
      <x:c r="M794" s="115"/>
      <x:c r="N794" s="115"/>
      <x:c r="O794" s="115"/>
      <x:c r="P794" s="115"/>
      <x:c r="Q794" s="115"/>
      <x:c r="R794" s="115"/>
      <x:c r="S794" s="115"/>
      <x:c r="T794" s="115"/>
      <x:c r="U794" s="115"/>
      <x:c r="V794" s="115"/>
      <x:c r="W794" s="115"/>
      <x:c r="X794" s="115"/>
      <x:c r="Y794" s="115"/>
      <x:c r="Z794" s="115"/>
      <x:c r="AA794" s="115"/>
      <x:c r="AB794" s="115"/>
      <x:c r="AC794" s="115"/>
      <x:c r="AD794" s="115"/>
      <x:c r="AE794" s="115"/>
      <x:c r="AF794" s="115"/>
      <x:c r="AG794" s="115"/>
      <x:c r="AH794" s="115"/>
      <x:c r="AI794" s="115"/>
      <x:c r="AJ794" s="115"/>
      <x:c r="AK794" s="115"/>
      <x:c r="AL794" s="115"/>
      <x:c r="AM794" s="115"/>
      <x:c r="AN794" s="115"/>
      <x:c r="AO794" s="115"/>
      <x:c r="AP794" s="115"/>
      <x:c r="AQ794" s="115"/>
      <x:c r="AR794" s="115"/>
      <x:c r="AS794" s="115"/>
      <x:c r="AT794" s="115"/>
      <x:c r="AU794" s="115"/>
      <x:c r="AV794" s="115"/>
      <x:c r="AW794" s="115"/>
      <x:c r="AX794" s="115"/>
      <x:c r="AY794" s="115"/>
      <x:c r="AZ794" s="115"/>
      <x:c r="BA794" s="115"/>
      <x:c r="BB794" s="115"/>
      <x:c r="BC794" s="115"/>
      <x:c r="BD794" s="115"/>
      <x:c r="BE794" s="115"/>
      <x:c r="BF794" s="115"/>
      <x:c r="BG794" s="115"/>
      <x:c r="BH794" s="115"/>
      <x:c r="BI794" s="115"/>
      <x:c r="BJ794" s="115"/>
      <x:c r="BK794" s="115"/>
      <x:c r="BL794" s="115"/>
      <x:c r="BM794" s="115"/>
      <x:c r="BN794" s="115"/>
      <x:c r="BO794" s="115"/>
      <x:c r="BP794" s="115"/>
      <x:c r="BQ794" s="115"/>
      <x:c r="BR794" s="115"/>
      <x:c r="BS794" s="115"/>
      <x:c r="BT794" s="115"/>
      <x:c r="BU794" s="115"/>
      <x:c r="BV794" s="115"/>
      <x:c r="BW794" s="115"/>
      <x:c r="BX794" s="115"/>
      <x:c r="BY794" s="115"/>
      <x:c r="BZ794" s="115"/>
      <x:c r="CA794" s="115"/>
      <x:c r="CB794" s="116"/>
      <x:c r="CC794" s="141" t="str">
        <x:f>IF(COUNT(G794:P794)=0,"",AVERAGE(G794:P794)*4)</x:f>
      </x:c>
      <x:c r="CD794" s="178" t="str">
        <x:f>IF(COUNT(Q794:Z794)=0,"",AVERAGE(Q794:Z794)*4)</x:f>
      </x:c>
      <x:c r="CE794" s="178" t="str">
        <x:f>IF(COUNT(AA794:AJ794)=0,"",AVERAGE(AA794:AJ794)*4)</x:f>
      </x:c>
      <x:c r="CF794" s="178" t="str">
        <x:f>IF(COUNT(AK794:AR794)=0,"",AVERAGE(AK794:AR794)*4)</x:f>
      </x:c>
      <x:c r="CG794" s="178" t="str">
        <x:f>IF(COUNT(AS794:AY794)=0,"",AVERAGE(AS794:AY794)*4)</x:f>
      </x:c>
      <x:c r="CH794" s="178" t="str">
        <x:f>IF(COUNT(AZ794:BG794)=0,"",AVERAGE(AZ794:BG794)*4)</x:f>
      </x:c>
      <x:c r="CI794" s="178" t="str">
        <x:f>IF(COUNT(BH794:BN794)=0,"",AVERAGE(BH794:BN794)*4)</x:f>
      </x:c>
      <x:c r="CJ794" s="178" t="str">
        <x:f>IF(COUNT(BO794:BU794)=0,"",AVERAGE(BO794:BU794)*4)</x:f>
      </x:c>
      <x:c r="CK794" s="178" t="str">
        <x:f>IF(COUNT(BV794:CB794)=0,"",AVERAGE(BV794:CB794)*4)</x:f>
      </x:c>
      <x:c r="CL794" s="178" t="str">
        <x:f>IF(C794="","",IF(COUNT(G794:CB794)&lt;74,"",(CC794*'تنظیمات وزن‌دهی'!$C$5+CD794*'تنظیمات وزن‌دهی'!$C$6+CE794*'تنظیمات وزن‌دهی'!$C$7+CF794*'تنظیمات وزن‌دهی'!$C$8+CG794*'تنظیمات وزن‌دهی'!$C$9+CH794*'تنظیمات وزن‌دهی'!$C$10+CI794*'تنظیمات وزن‌دهی'!$C$11+CJ794*'تنظیمات وزن‌دهی'!$C$12+CK794*'تنظیمات وزن‌دهی'!$C$13)/100))</x:f>
      </x:c>
      <x:c r="CM794" s="178" t="str">
        <x:f>IF(C794="","",IF(COUNT(G794:CB794)=0,"",IF(COUNT(G794:CB794)&lt;74,"موقت - اطلاعات ناقص",IF(CL794&gt;=17,"عالی",IF(CL794&gt;=14,"خوب",IF(CL794&gt;=10,"متوسط","ضعیف"))))))</x:f>
      </x:c>
      <x:c r="CN794" s="178" t="n">
        <x:v>10</x:v>
      </x:c>
      <x:c r="CO794" s="142" t="n">
        <x:f>IF(C794="","",COUNT(G794:CB794)/74)</x:f>
        <x:v>0</x:v>
      </x:c>
      <x:c r="CP794" s="245"/>
    </x:row>
    <x:row r="795">
      <x:c r="A795" s="165" t="n">
        <x:v>791</x:v>
      </x:c>
      <x:c r="B795" s="233" t="str">
        <x:v>اردیبهشت</x:v>
      </x:c>
      <x:c r="C795" s="233" t="n">
        <x:f>IF('دانش‌آموزان'!E70="","",'دانش‌آموزان'!B70)</x:f>
        <x:v>66</x:v>
      </x:c>
      <x:c r="D795" s="233" t="str">
        <x:f>IF('دانش‌آموزان'!C70="","",'دانش‌آموزان'!C70)</x:f>
        <x:v>4000000667</x:v>
      </x:c>
      <x:c r="E795" s="233" t="str">
        <x:f>IF('دانش‌آموزان'!E70="","",'دانش‌آموزان'!E70&amp;" "&amp;'دانش‌آموزان'!F70)</x:f>
        <x:v>سارا خلیلی</x:v>
      </x:c>
      <x:c r="F795" s="166" t="str">
        <x:f>IF('دانش‌آموزان'!I70="","",'دانش‌آموزان'!I70)</x:f>
        <x:v>sample-7-c</x:v>
      </x:c>
      <x:c r="G795" s="114"/>
      <x:c r="H795" s="115"/>
      <x:c r="I795" s="115"/>
      <x:c r="J795" s="115"/>
      <x:c r="K795" s="115"/>
      <x:c r="L795" s="115"/>
      <x:c r="M795" s="115"/>
      <x:c r="N795" s="115"/>
      <x:c r="O795" s="115"/>
      <x:c r="P795" s="115"/>
      <x:c r="Q795" s="115"/>
      <x:c r="R795" s="115"/>
      <x:c r="S795" s="115"/>
      <x:c r="T795" s="115"/>
      <x:c r="U795" s="115"/>
      <x:c r="V795" s="115"/>
      <x:c r="W795" s="115"/>
      <x:c r="X795" s="115"/>
      <x:c r="Y795" s="115"/>
      <x:c r="Z795" s="115"/>
      <x:c r="AA795" s="115"/>
      <x:c r="AB795" s="115"/>
      <x:c r="AC795" s="115"/>
      <x:c r="AD795" s="115"/>
      <x:c r="AE795" s="115"/>
      <x:c r="AF795" s="115"/>
      <x:c r="AG795" s="115"/>
      <x:c r="AH795" s="115"/>
      <x:c r="AI795" s="115"/>
      <x:c r="AJ795" s="115"/>
      <x:c r="AK795" s="115"/>
      <x:c r="AL795" s="115"/>
      <x:c r="AM795" s="115"/>
      <x:c r="AN795" s="115"/>
      <x:c r="AO795" s="115"/>
      <x:c r="AP795" s="115"/>
      <x:c r="AQ795" s="115"/>
      <x:c r="AR795" s="115"/>
      <x:c r="AS795" s="115"/>
      <x:c r="AT795" s="115"/>
      <x:c r="AU795" s="115"/>
      <x:c r="AV795" s="115"/>
      <x:c r="AW795" s="115"/>
      <x:c r="AX795" s="115"/>
      <x:c r="AY795" s="115"/>
      <x:c r="AZ795" s="115"/>
      <x:c r="BA795" s="115"/>
      <x:c r="BB795" s="115"/>
      <x:c r="BC795" s="115"/>
      <x:c r="BD795" s="115"/>
      <x:c r="BE795" s="115"/>
      <x:c r="BF795" s="115"/>
      <x:c r="BG795" s="115"/>
      <x:c r="BH795" s="115"/>
      <x:c r="BI795" s="115"/>
      <x:c r="BJ795" s="115"/>
      <x:c r="BK795" s="115"/>
      <x:c r="BL795" s="115"/>
      <x:c r="BM795" s="115"/>
      <x:c r="BN795" s="115"/>
      <x:c r="BO795" s="115"/>
      <x:c r="BP795" s="115"/>
      <x:c r="BQ795" s="115"/>
      <x:c r="BR795" s="115"/>
      <x:c r="BS795" s="115"/>
      <x:c r="BT795" s="115"/>
      <x:c r="BU795" s="115"/>
      <x:c r="BV795" s="115"/>
      <x:c r="BW795" s="115"/>
      <x:c r="BX795" s="115"/>
      <x:c r="BY795" s="115"/>
      <x:c r="BZ795" s="115"/>
      <x:c r="CA795" s="115"/>
      <x:c r="CB795" s="116"/>
      <x:c r="CC795" s="141" t="str">
        <x:f>IF(COUNT(G795:P795)=0,"",AVERAGE(G795:P795)*4)</x:f>
      </x:c>
      <x:c r="CD795" s="178" t="str">
        <x:f>IF(COUNT(Q795:Z795)=0,"",AVERAGE(Q795:Z795)*4)</x:f>
      </x:c>
      <x:c r="CE795" s="178" t="str">
        <x:f>IF(COUNT(AA795:AJ795)=0,"",AVERAGE(AA795:AJ795)*4)</x:f>
      </x:c>
      <x:c r="CF795" s="178" t="str">
        <x:f>IF(COUNT(AK795:AR795)=0,"",AVERAGE(AK795:AR795)*4)</x:f>
      </x:c>
      <x:c r="CG795" s="178" t="str">
        <x:f>IF(COUNT(AS795:AY795)=0,"",AVERAGE(AS795:AY795)*4)</x:f>
      </x:c>
      <x:c r="CH795" s="178" t="str">
        <x:f>IF(COUNT(AZ795:BG795)=0,"",AVERAGE(AZ795:BG795)*4)</x:f>
      </x:c>
      <x:c r="CI795" s="178" t="str">
        <x:f>IF(COUNT(BH795:BN795)=0,"",AVERAGE(BH795:BN795)*4)</x:f>
      </x:c>
      <x:c r="CJ795" s="178" t="str">
        <x:f>IF(COUNT(BO795:BU795)=0,"",AVERAGE(BO795:BU795)*4)</x:f>
      </x:c>
      <x:c r="CK795" s="178" t="str">
        <x:f>IF(COUNT(BV795:CB795)=0,"",AVERAGE(BV795:CB795)*4)</x:f>
      </x:c>
      <x:c r="CL795" s="178" t="str">
        <x:f>IF(C795="","",IF(COUNT(G795:CB795)&lt;74,"",(CC795*'تنظیمات وزن‌دهی'!$C$5+CD795*'تنظیمات وزن‌دهی'!$C$6+CE795*'تنظیمات وزن‌دهی'!$C$7+CF795*'تنظیمات وزن‌دهی'!$C$8+CG795*'تنظیمات وزن‌دهی'!$C$9+CH795*'تنظیمات وزن‌دهی'!$C$10+CI795*'تنظیمات وزن‌دهی'!$C$11+CJ795*'تنظیمات وزن‌دهی'!$C$12+CK795*'تنظیمات وزن‌دهی'!$C$13)/100))</x:f>
      </x:c>
      <x:c r="CM795" s="178" t="str">
        <x:f>IF(C795="","",IF(COUNT(G795:CB795)=0,"",IF(COUNT(G795:CB795)&lt;74,"موقت - اطلاعات ناقص",IF(CL795&gt;=17,"عالی",IF(CL795&gt;=14,"خوب",IF(CL795&gt;=10,"متوسط","ضعیف"))))))</x:f>
      </x:c>
      <x:c r="CN795" s="178" t="n">
        <x:v>11</x:v>
      </x:c>
      <x:c r="CO795" s="142" t="n">
        <x:f>IF(C795="","",COUNT(G795:CB795)/74)</x:f>
        <x:v>0</x:v>
      </x:c>
      <x:c r="CP795" s="245"/>
    </x:row>
    <x:row r="796">
      <x:c r="A796" s="165" t="n">
        <x:v>792</x:v>
      </x:c>
      <x:c r="B796" s="233" t="str">
        <x:v>خرداد</x:v>
      </x:c>
      <x:c r="C796" s="233" t="n">
        <x:f>IF('دانش‌آموزان'!E70="","",'دانش‌آموزان'!B70)</x:f>
        <x:v>66</x:v>
      </x:c>
      <x:c r="D796" s="233" t="str">
        <x:f>IF('دانش‌آموزان'!C70="","",'دانش‌آموزان'!C70)</x:f>
        <x:v>4000000667</x:v>
      </x:c>
      <x:c r="E796" s="233" t="str">
        <x:f>IF('دانش‌آموزان'!E70="","",'دانش‌آموزان'!E70&amp;" "&amp;'دانش‌آموزان'!F70)</x:f>
        <x:v>سارا خلیلی</x:v>
      </x:c>
      <x:c r="F796" s="166" t="str">
        <x:f>IF('دانش‌آموزان'!I70="","",'دانش‌آموزان'!I70)</x:f>
        <x:v>sample-7-c</x:v>
      </x:c>
      <x:c r="G796" s="114"/>
      <x:c r="H796" s="115"/>
      <x:c r="I796" s="115"/>
      <x:c r="J796" s="115"/>
      <x:c r="K796" s="115"/>
      <x:c r="L796" s="115"/>
      <x:c r="M796" s="115"/>
      <x:c r="N796" s="115"/>
      <x:c r="O796" s="115"/>
      <x:c r="P796" s="115"/>
      <x:c r="Q796" s="115"/>
      <x:c r="R796" s="115"/>
      <x:c r="S796" s="115"/>
      <x:c r="T796" s="115"/>
      <x:c r="U796" s="115"/>
      <x:c r="V796" s="115"/>
      <x:c r="W796" s="115"/>
      <x:c r="X796" s="115"/>
      <x:c r="Y796" s="115"/>
      <x:c r="Z796" s="115"/>
      <x:c r="AA796" s="115"/>
      <x:c r="AB796" s="115"/>
      <x:c r="AC796" s="115"/>
      <x:c r="AD796" s="115"/>
      <x:c r="AE796" s="115"/>
      <x:c r="AF796" s="115"/>
      <x:c r="AG796" s="115"/>
      <x:c r="AH796" s="115"/>
      <x:c r="AI796" s="115"/>
      <x:c r="AJ796" s="115"/>
      <x:c r="AK796" s="115"/>
      <x:c r="AL796" s="115"/>
      <x:c r="AM796" s="115"/>
      <x:c r="AN796" s="115"/>
      <x:c r="AO796" s="115"/>
      <x:c r="AP796" s="115"/>
      <x:c r="AQ796" s="115"/>
      <x:c r="AR796" s="115"/>
      <x:c r="AS796" s="115"/>
      <x:c r="AT796" s="115"/>
      <x:c r="AU796" s="115"/>
      <x:c r="AV796" s="115"/>
      <x:c r="AW796" s="115"/>
      <x:c r="AX796" s="115"/>
      <x:c r="AY796" s="115"/>
      <x:c r="AZ796" s="115"/>
      <x:c r="BA796" s="115"/>
      <x:c r="BB796" s="115"/>
      <x:c r="BC796" s="115"/>
      <x:c r="BD796" s="115"/>
      <x:c r="BE796" s="115"/>
      <x:c r="BF796" s="115"/>
      <x:c r="BG796" s="115"/>
      <x:c r="BH796" s="115"/>
      <x:c r="BI796" s="115"/>
      <x:c r="BJ796" s="115"/>
      <x:c r="BK796" s="115"/>
      <x:c r="BL796" s="115"/>
      <x:c r="BM796" s="115"/>
      <x:c r="BN796" s="115"/>
      <x:c r="BO796" s="115"/>
      <x:c r="BP796" s="115"/>
      <x:c r="BQ796" s="115"/>
      <x:c r="BR796" s="115"/>
      <x:c r="BS796" s="115"/>
      <x:c r="BT796" s="115"/>
      <x:c r="BU796" s="115"/>
      <x:c r="BV796" s="115"/>
      <x:c r="BW796" s="115"/>
      <x:c r="BX796" s="115"/>
      <x:c r="BY796" s="115"/>
      <x:c r="BZ796" s="115"/>
      <x:c r="CA796" s="115"/>
      <x:c r="CB796" s="116"/>
      <x:c r="CC796" s="141" t="str">
        <x:f>IF(COUNT(G796:P796)=0,"",AVERAGE(G796:P796)*4)</x:f>
      </x:c>
      <x:c r="CD796" s="178" t="str">
        <x:f>IF(COUNT(Q796:Z796)=0,"",AVERAGE(Q796:Z796)*4)</x:f>
      </x:c>
      <x:c r="CE796" s="178" t="str">
        <x:f>IF(COUNT(AA796:AJ796)=0,"",AVERAGE(AA796:AJ796)*4)</x:f>
      </x:c>
      <x:c r="CF796" s="178" t="str">
        <x:f>IF(COUNT(AK796:AR796)=0,"",AVERAGE(AK796:AR796)*4)</x:f>
      </x:c>
      <x:c r="CG796" s="178" t="str">
        <x:f>IF(COUNT(AS796:AY796)=0,"",AVERAGE(AS796:AY796)*4)</x:f>
      </x:c>
      <x:c r="CH796" s="178" t="str">
        <x:f>IF(COUNT(AZ796:BG796)=0,"",AVERAGE(AZ796:BG796)*4)</x:f>
      </x:c>
      <x:c r="CI796" s="178" t="str">
        <x:f>IF(COUNT(BH796:BN796)=0,"",AVERAGE(BH796:BN796)*4)</x:f>
      </x:c>
      <x:c r="CJ796" s="178" t="str">
        <x:f>IF(COUNT(BO796:BU796)=0,"",AVERAGE(BO796:BU796)*4)</x:f>
      </x:c>
      <x:c r="CK796" s="178" t="str">
        <x:f>IF(COUNT(BV796:CB796)=0,"",AVERAGE(BV796:CB796)*4)</x:f>
      </x:c>
      <x:c r="CL796" s="178" t="str">
        <x:f>IF(C796="","",IF(COUNT(G796:CB796)&lt;74,"",(CC796*'تنظیمات وزن‌دهی'!$C$5+CD796*'تنظیمات وزن‌دهی'!$C$6+CE796*'تنظیمات وزن‌دهی'!$C$7+CF796*'تنظیمات وزن‌دهی'!$C$8+CG796*'تنظیمات وزن‌دهی'!$C$9+CH796*'تنظیمات وزن‌دهی'!$C$10+CI796*'تنظیمات وزن‌دهی'!$C$11+CJ796*'تنظیمات وزن‌دهی'!$C$12+CK796*'تنظیمات وزن‌دهی'!$C$13)/100))</x:f>
      </x:c>
      <x:c r="CM796" s="178" t="str">
        <x:f>IF(C796="","",IF(COUNT(G796:CB796)=0,"",IF(COUNT(G796:CB796)&lt;74,"موقت - اطلاعات ناقص",IF(CL796&gt;=17,"عالی",IF(CL796&gt;=14,"خوب",IF(CL796&gt;=10,"متوسط","ضعیف"))))))</x:f>
      </x:c>
      <x:c r="CN796" s="178" t="n">
        <x:v>12</x:v>
      </x:c>
      <x:c r="CO796" s="142" t="n">
        <x:f>IF(C796="","",COUNT(G796:CB796)/74)</x:f>
        <x:v>0</x:v>
      </x:c>
      <x:c r="CP796" s="245"/>
    </x:row>
    <x:row r="797">
      <x:c r="A797" s="165" t="n">
        <x:v>793</x:v>
      </x:c>
      <x:c r="B797" s="233" t="str">
        <x:v>تیر</x:v>
      </x:c>
      <x:c r="C797" s="233" t="n">
        <x:f>IF('دانش‌آموزان'!E71="","",'دانش‌آموزان'!B71)</x:f>
        <x:v>67</x:v>
      </x:c>
      <x:c r="D797" s="233" t="str">
        <x:f>IF('دانش‌آموزان'!C71="","",'دانش‌آموزان'!C71)</x:f>
        <x:v>4000000675</x:v>
      </x:c>
      <x:c r="E797" s="233" t="str">
        <x:f>IF('دانش‌آموزان'!E71="","",'دانش‌آموزان'!E71&amp;" "&amp;'دانش‌آموزان'!F71)</x:f>
        <x:v>آراد حسینی</x:v>
      </x:c>
      <x:c r="F797" s="166" t="str">
        <x:f>IF('دانش‌آموزان'!I71="","",'دانش‌آموزان'!I71)</x:f>
        <x:v>sample-7-c</x:v>
      </x:c>
      <x:c r="G797" s="114" t="n">
        <x:v>2</x:v>
      </x:c>
      <x:c r="H797" s="115" t="n">
        <x:v>4</x:v>
      </x:c>
      <x:c r="I797" s="115" t="n">
        <x:v>5</x:v>
      </x:c>
      <x:c r="J797" s="115" t="n">
        <x:v>4</x:v>
      </x:c>
      <x:c r="K797" s="115" t="n">
        <x:v>5</x:v>
      </x:c>
      <x:c r="L797" s="115" t="n">
        <x:v>3</x:v>
      </x:c>
      <x:c r="M797" s="115" t="n">
        <x:v>5</x:v>
      </x:c>
      <x:c r="N797" s="115" t="n">
        <x:v>3</x:v>
      </x:c>
      <x:c r="O797" s="115" t="n">
        <x:v>4</x:v>
      </x:c>
      <x:c r="P797" s="115" t="n">
        <x:v>3</x:v>
      </x:c>
      <x:c r="Q797" s="115" t="n">
        <x:v>4</x:v>
      </x:c>
      <x:c r="R797" s="115" t="n">
        <x:v>2</x:v>
      </x:c>
      <x:c r="S797" s="115" t="n">
        <x:v>4</x:v>
      </x:c>
      <x:c r="T797" s="115" t="n">
        <x:v>5</x:v>
      </x:c>
      <x:c r="U797" s="115" t="n">
        <x:v>4</x:v>
      </x:c>
      <x:c r="V797" s="115" t="n">
        <x:v>5</x:v>
      </x:c>
      <x:c r="W797" s="115" t="n">
        <x:v>3</x:v>
      </x:c>
      <x:c r="X797" s="115" t="n">
        <x:v>5</x:v>
      </x:c>
      <x:c r="Y797" s="115" t="n">
        <x:v>3</x:v>
      </x:c>
      <x:c r="Z797" s="115" t="n">
        <x:v>4</x:v>
      </x:c>
      <x:c r="AA797" s="115" t="n">
        <x:v>3</x:v>
      </x:c>
      <x:c r="AB797" s="115" t="n">
        <x:v>4</x:v>
      </x:c>
      <x:c r="AC797" s="115" t="n">
        <x:v>2</x:v>
      </x:c>
      <x:c r="AD797" s="115" t="n">
        <x:v>4</x:v>
      </x:c>
      <x:c r="AE797" s="115" t="n">
        <x:v>5</x:v>
      </x:c>
      <x:c r="AF797" s="115" t="n">
        <x:v>4</x:v>
      </x:c>
      <x:c r="AG797" s="115" t="n">
        <x:v>5</x:v>
      </x:c>
      <x:c r="AH797" s="115" t="n">
        <x:v>3</x:v>
      </x:c>
      <x:c r="AI797" s="115" t="n">
        <x:v>5</x:v>
      </x:c>
      <x:c r="AJ797" s="115" t="n">
        <x:v>3</x:v>
      </x:c>
      <x:c r="AK797" s="115" t="n">
        <x:v>4</x:v>
      </x:c>
      <x:c r="AL797" s="115" t="n">
        <x:v>3</x:v>
      </x:c>
      <x:c r="AM797" s="115" t="n">
        <x:v>4</x:v>
      </x:c>
      <x:c r="AN797" s="115" t="n">
        <x:v>2</x:v>
      </x:c>
      <x:c r="AO797" s="115" t="n">
        <x:v>4</x:v>
      </x:c>
      <x:c r="AP797" s="115" t="n">
        <x:v>5</x:v>
      </x:c>
      <x:c r="AQ797" s="115" t="n">
        <x:v>4</x:v>
      </x:c>
      <x:c r="AR797" s="115" t="n">
        <x:v>5</x:v>
      </x:c>
      <x:c r="AS797" s="115" t="n">
        <x:v>3</x:v>
      </x:c>
      <x:c r="AT797" s="115" t="n">
        <x:v>5</x:v>
      </x:c>
      <x:c r="AU797" s="115" t="n">
        <x:v>3</x:v>
      </x:c>
      <x:c r="AV797" s="115" t="n">
        <x:v>4</x:v>
      </x:c>
      <x:c r="AW797" s="115" t="n">
        <x:v>3</x:v>
      </x:c>
      <x:c r="AX797" s="115" t="n">
        <x:v>4</x:v>
      </x:c>
      <x:c r="AY797" s="115" t="n">
        <x:v>2</x:v>
      </x:c>
      <x:c r="AZ797" s="115" t="n">
        <x:v>4</x:v>
      </x:c>
      <x:c r="BA797" s="115" t="n">
        <x:v>5</x:v>
      </x:c>
      <x:c r="BB797" s="115" t="n">
        <x:v>4</x:v>
      </x:c>
      <x:c r="BC797" s="115" t="n">
        <x:v>5</x:v>
      </x:c>
      <x:c r="BD797" s="115" t="n">
        <x:v>3</x:v>
      </x:c>
      <x:c r="BE797" s="115" t="n">
        <x:v>5</x:v>
      </x:c>
      <x:c r="BF797" s="115" t="n">
        <x:v>3</x:v>
      </x:c>
      <x:c r="BG797" s="115" t="n">
        <x:v>4</x:v>
      </x:c>
      <x:c r="BH797" s="115" t="n">
        <x:v>3</x:v>
      </x:c>
      <x:c r="BI797" s="115" t="n">
        <x:v>4</x:v>
      </x:c>
      <x:c r="BJ797" s="115" t="n">
        <x:v>2</x:v>
      </x:c>
      <x:c r="BK797" s="115" t="n">
        <x:v>4</x:v>
      </x:c>
      <x:c r="BL797" s="115" t="n">
        <x:v>5</x:v>
      </x:c>
      <x:c r="BM797" s="115" t="n">
        <x:v>4</x:v>
      </x:c>
      <x:c r="BN797" s="115" t="n">
        <x:v>5</x:v>
      </x:c>
      <x:c r="BO797" s="115" t="n">
        <x:v>3</x:v>
      </x:c>
      <x:c r="BP797" s="115" t="n">
        <x:v>5</x:v>
      </x:c>
      <x:c r="BQ797" s="115" t="n">
        <x:v>3</x:v>
      </x:c>
      <x:c r="BR797" s="115" t="n">
        <x:v>4</x:v>
      </x:c>
      <x:c r="BS797" s="115" t="n">
        <x:v>3</x:v>
      </x:c>
      <x:c r="BT797" s="115" t="n">
        <x:v>4</x:v>
      </x:c>
      <x:c r="BU797" s="115" t="n">
        <x:v>2</x:v>
      </x:c>
      <x:c r="BV797" s="115" t="n">
        <x:v>4</x:v>
      </x:c>
      <x:c r="BW797" s="115" t="n">
        <x:v>5</x:v>
      </x:c>
      <x:c r="BX797" s="115" t="n">
        <x:v>4</x:v>
      </x:c>
      <x:c r="BY797" s="115" t="n">
        <x:v>5</x:v>
      </x:c>
      <x:c r="BZ797" s="115" t="n">
        <x:v>3</x:v>
      </x:c>
      <x:c r="CA797" s="115" t="n">
        <x:v>5</x:v>
      </x:c>
      <x:c r="CB797" s="116" t="n">
        <x:v>3</x:v>
      </x:c>
      <x:c r="CC797" s="141" t="n">
        <x:f>IF(COUNT(G797:P797)=0,"",AVERAGE(G797:P797)*4)</x:f>
        <x:v>15.2</x:v>
      </x:c>
      <x:c r="CD797" s="178" t="n">
        <x:f>IF(COUNT(Q797:Z797)=0,"",AVERAGE(Q797:Z797)*4)</x:f>
        <x:v>15.6</x:v>
      </x:c>
      <x:c r="CE797" s="178" t="n">
        <x:f>IF(COUNT(AA797:AJ797)=0,"",AVERAGE(AA797:AJ797)*4)</x:f>
        <x:v>15.2</x:v>
      </x:c>
      <x:c r="CF797" s="178" t="n">
        <x:f>IF(COUNT(AK797:AR797)=0,"",AVERAGE(AK797:AR797)*4)</x:f>
        <x:v>15.5</x:v>
      </x:c>
      <x:c r="CG797" s="178" t="n">
        <x:f>IF(COUNT(AS797:AY797)=0,"",AVERAGE(AS797:AY797)*4)</x:f>
        <x:v>13.714285714285714</x:v>
      </x:c>
      <x:c r="CH797" s="178" t="n">
        <x:f>IF(COUNT(AZ797:BG797)=0,"",AVERAGE(AZ797:BG797)*4)</x:f>
        <x:v>16.5</x:v>
      </x:c>
      <x:c r="CI797" s="178" t="n">
        <x:f>IF(COUNT(BH797:BN797)=0,"",AVERAGE(BH797:BN797)*4)</x:f>
        <x:v>15.428571428571429</x:v>
      </x:c>
      <x:c r="CJ797" s="178" t="n">
        <x:f>IF(COUNT(BO797:BU797)=0,"",AVERAGE(BO797:BU797)*4)</x:f>
        <x:v>13.714285714285714</x:v>
      </x:c>
      <x:c r="CK797" s="178" t="n">
        <x:f>IF(COUNT(BV797:CB797)=0,"",AVERAGE(BV797:CB797)*4)</x:f>
        <x:v>16.571428571428573</x:v>
      </x:c>
      <x:c r="CL797" s="178" t="n">
        <x:f>IF(C797="","",IF(COUNT(G797:CB797)&lt;74,"",(CC797*'تنظیمات وزن‌دهی'!$C$5+CD797*'تنظیمات وزن‌دهی'!$C$6+CE797*'تنظیمات وزن‌دهی'!$C$7+CF797*'تنظیمات وزن‌دهی'!$C$8+CG797*'تنظیمات وزن‌دهی'!$C$9+CH797*'تنظیمات وزن‌دهی'!$C$10+CI797*'تنظیمات وزن‌دهی'!$C$11+CJ797*'تنظیمات وزن‌دهی'!$C$12+CK797*'تنظیمات وزن‌دهی'!$C$13)/100))</x:f>
        <x:v>15.327857142857143</x:v>
      </x:c>
      <x:c r="CM797" s="178" t="str">
        <x:f>IF(C797="","",IF(COUNT(G797:CB797)=0,"",IF(COUNT(G797:CB797)&lt;74,"موقت - اطلاعات ناقص",IF(CL797&gt;=17,"عالی",IF(CL797&gt;=14,"خوب",IF(CL797&gt;=10,"متوسط","ضعیف"))))))</x:f>
        <x:v>خوب</x:v>
      </x:c>
      <x:c r="CN797" s="178" t="n">
        <x:v>1</x:v>
      </x:c>
      <x:c r="CO797" s="142" t="n">
        <x:f>IF(C797="","",COUNT(G797:CB797)/74)</x:f>
        <x:v>1</x:v>
      </x:c>
      <x:c r="CP797" s="245" t="str">
        <x:v>داده نمونه کامل برای ماه تیر - دانش‌آموز شماره 67</x:v>
      </x:c>
    </x:row>
    <x:row r="798">
      <x:c r="A798" s="165" t="n">
        <x:v>794</x:v>
      </x:c>
      <x:c r="B798" s="233" t="str">
        <x:v>مرداد</x:v>
      </x:c>
      <x:c r="C798" s="233" t="n">
        <x:f>IF('دانش‌آموزان'!E71="","",'دانش‌آموزان'!B71)</x:f>
        <x:v>67</x:v>
      </x:c>
      <x:c r="D798" s="233" t="str">
        <x:f>IF('دانش‌آموزان'!C71="","",'دانش‌آموزان'!C71)</x:f>
        <x:v>4000000675</x:v>
      </x:c>
      <x:c r="E798" s="233" t="str">
        <x:f>IF('دانش‌آموزان'!E71="","",'دانش‌آموزان'!E71&amp;" "&amp;'دانش‌آموزان'!F71)</x:f>
        <x:v>آراد حسینی</x:v>
      </x:c>
      <x:c r="F798" s="166" t="str">
        <x:f>IF('دانش‌آموزان'!I71="","",'دانش‌آموزان'!I71)</x:f>
        <x:v>sample-7-c</x:v>
      </x:c>
      <x:c r="G798" s="114"/>
      <x:c r="H798" s="115"/>
      <x:c r="I798" s="115"/>
      <x:c r="J798" s="115"/>
      <x:c r="K798" s="115"/>
      <x:c r="L798" s="115"/>
      <x:c r="M798" s="115"/>
      <x:c r="N798" s="115"/>
      <x:c r="O798" s="115"/>
      <x:c r="P798" s="115"/>
      <x:c r="Q798" s="115"/>
      <x:c r="R798" s="115"/>
      <x:c r="S798" s="115"/>
      <x:c r="T798" s="115"/>
      <x:c r="U798" s="115"/>
      <x:c r="V798" s="115"/>
      <x:c r="W798" s="115"/>
      <x:c r="X798" s="115"/>
      <x:c r="Y798" s="115"/>
      <x:c r="Z798" s="115"/>
      <x:c r="AA798" s="115"/>
      <x:c r="AB798" s="115"/>
      <x:c r="AC798" s="115"/>
      <x:c r="AD798" s="115"/>
      <x:c r="AE798" s="115"/>
      <x:c r="AF798" s="115"/>
      <x:c r="AG798" s="115"/>
      <x:c r="AH798" s="115"/>
      <x:c r="AI798" s="115"/>
      <x:c r="AJ798" s="115"/>
      <x:c r="AK798" s="115"/>
      <x:c r="AL798" s="115"/>
      <x:c r="AM798" s="115"/>
      <x:c r="AN798" s="115"/>
      <x:c r="AO798" s="115"/>
      <x:c r="AP798" s="115"/>
      <x:c r="AQ798" s="115"/>
      <x:c r="AR798" s="115"/>
      <x:c r="AS798" s="115"/>
      <x:c r="AT798" s="115"/>
      <x:c r="AU798" s="115"/>
      <x:c r="AV798" s="115"/>
      <x:c r="AW798" s="115"/>
      <x:c r="AX798" s="115"/>
      <x:c r="AY798" s="115"/>
      <x:c r="AZ798" s="115"/>
      <x:c r="BA798" s="115"/>
      <x:c r="BB798" s="115"/>
      <x:c r="BC798" s="115"/>
      <x:c r="BD798" s="115"/>
      <x:c r="BE798" s="115"/>
      <x:c r="BF798" s="115"/>
      <x:c r="BG798" s="115"/>
      <x:c r="BH798" s="115"/>
      <x:c r="BI798" s="115"/>
      <x:c r="BJ798" s="115"/>
      <x:c r="BK798" s="115"/>
      <x:c r="BL798" s="115"/>
      <x:c r="BM798" s="115"/>
      <x:c r="BN798" s="115"/>
      <x:c r="BO798" s="115"/>
      <x:c r="BP798" s="115"/>
      <x:c r="BQ798" s="115"/>
      <x:c r="BR798" s="115"/>
      <x:c r="BS798" s="115"/>
      <x:c r="BT798" s="115"/>
      <x:c r="BU798" s="115"/>
      <x:c r="BV798" s="115"/>
      <x:c r="BW798" s="115"/>
      <x:c r="BX798" s="115"/>
      <x:c r="BY798" s="115"/>
      <x:c r="BZ798" s="115"/>
      <x:c r="CA798" s="115"/>
      <x:c r="CB798" s="116"/>
      <x:c r="CC798" s="141" t="str">
        <x:f>IF(COUNT(G798:P798)=0,"",AVERAGE(G798:P798)*4)</x:f>
      </x:c>
      <x:c r="CD798" s="178" t="str">
        <x:f>IF(COUNT(Q798:Z798)=0,"",AVERAGE(Q798:Z798)*4)</x:f>
      </x:c>
      <x:c r="CE798" s="178" t="str">
        <x:f>IF(COUNT(AA798:AJ798)=0,"",AVERAGE(AA798:AJ798)*4)</x:f>
      </x:c>
      <x:c r="CF798" s="178" t="str">
        <x:f>IF(COUNT(AK798:AR798)=0,"",AVERAGE(AK798:AR798)*4)</x:f>
      </x:c>
      <x:c r="CG798" s="178" t="str">
        <x:f>IF(COUNT(AS798:AY798)=0,"",AVERAGE(AS798:AY798)*4)</x:f>
      </x:c>
      <x:c r="CH798" s="178" t="str">
        <x:f>IF(COUNT(AZ798:BG798)=0,"",AVERAGE(AZ798:BG798)*4)</x:f>
      </x:c>
      <x:c r="CI798" s="178" t="str">
        <x:f>IF(COUNT(BH798:BN798)=0,"",AVERAGE(BH798:BN798)*4)</x:f>
      </x:c>
      <x:c r="CJ798" s="178" t="str">
        <x:f>IF(COUNT(BO798:BU798)=0,"",AVERAGE(BO798:BU798)*4)</x:f>
      </x:c>
      <x:c r="CK798" s="178" t="str">
        <x:f>IF(COUNT(BV798:CB798)=0,"",AVERAGE(BV798:CB798)*4)</x:f>
      </x:c>
      <x:c r="CL798" s="178" t="str">
        <x:f>IF(C798="","",IF(COUNT(G798:CB798)&lt;74,"",(CC798*'تنظیمات وزن‌دهی'!$C$5+CD798*'تنظیمات وزن‌دهی'!$C$6+CE798*'تنظیمات وزن‌دهی'!$C$7+CF798*'تنظیمات وزن‌دهی'!$C$8+CG798*'تنظیمات وزن‌دهی'!$C$9+CH798*'تنظیمات وزن‌دهی'!$C$10+CI798*'تنظیمات وزن‌دهی'!$C$11+CJ798*'تنظیمات وزن‌دهی'!$C$12+CK798*'تنظیمات وزن‌دهی'!$C$13)/100))</x:f>
      </x:c>
      <x:c r="CM798" s="178" t="str">
        <x:f>IF(C798="","",IF(COUNT(G798:CB798)=0,"",IF(COUNT(G798:CB798)&lt;74,"موقت - اطلاعات ناقص",IF(CL798&gt;=17,"عالی",IF(CL798&gt;=14,"خوب",IF(CL798&gt;=10,"متوسط","ضعیف"))))))</x:f>
      </x:c>
      <x:c r="CN798" s="178" t="n">
        <x:v>2</x:v>
      </x:c>
      <x:c r="CO798" s="142" t="n">
        <x:f>IF(C798="","",COUNT(G798:CB798)/74)</x:f>
        <x:v>0</x:v>
      </x:c>
      <x:c r="CP798" s="245"/>
    </x:row>
    <x:row r="799">
      <x:c r="A799" s="165" t="n">
        <x:v>795</x:v>
      </x:c>
      <x:c r="B799" s="233" t="str">
        <x:v>شهریور</x:v>
      </x:c>
      <x:c r="C799" s="233" t="n">
        <x:f>IF('دانش‌آموزان'!E71="","",'دانش‌آموزان'!B71)</x:f>
        <x:v>67</x:v>
      </x:c>
      <x:c r="D799" s="233" t="str">
        <x:f>IF('دانش‌آموزان'!C71="","",'دانش‌آموزان'!C71)</x:f>
        <x:v>4000000675</x:v>
      </x:c>
      <x:c r="E799" s="233" t="str">
        <x:f>IF('دانش‌آموزان'!E71="","",'دانش‌آموزان'!E71&amp;" "&amp;'دانش‌آموزان'!F71)</x:f>
        <x:v>آراد حسینی</x:v>
      </x:c>
      <x:c r="F799" s="166" t="str">
        <x:f>IF('دانش‌آموزان'!I71="","",'دانش‌آموزان'!I71)</x:f>
        <x:v>sample-7-c</x:v>
      </x:c>
      <x:c r="G799" s="114"/>
      <x:c r="H799" s="115"/>
      <x:c r="I799" s="115"/>
      <x:c r="J799" s="115"/>
      <x:c r="K799" s="115"/>
      <x:c r="L799" s="115"/>
      <x:c r="M799" s="115"/>
      <x:c r="N799" s="115"/>
      <x:c r="O799" s="115"/>
      <x:c r="P799" s="115"/>
      <x:c r="Q799" s="115"/>
      <x:c r="R799" s="115"/>
      <x:c r="S799" s="115"/>
      <x:c r="T799" s="115"/>
      <x:c r="U799" s="115"/>
      <x:c r="V799" s="115"/>
      <x:c r="W799" s="115"/>
      <x:c r="X799" s="115"/>
      <x:c r="Y799" s="115"/>
      <x:c r="Z799" s="115"/>
      <x:c r="AA799" s="115"/>
      <x:c r="AB799" s="115"/>
      <x:c r="AC799" s="115"/>
      <x:c r="AD799" s="115"/>
      <x:c r="AE799" s="115"/>
      <x:c r="AF799" s="115"/>
      <x:c r="AG799" s="115"/>
      <x:c r="AH799" s="115"/>
      <x:c r="AI799" s="115"/>
      <x:c r="AJ799" s="115"/>
      <x:c r="AK799" s="115"/>
      <x:c r="AL799" s="115"/>
      <x:c r="AM799" s="115"/>
      <x:c r="AN799" s="115"/>
      <x:c r="AO799" s="115"/>
      <x:c r="AP799" s="115"/>
      <x:c r="AQ799" s="115"/>
      <x:c r="AR799" s="115"/>
      <x:c r="AS799" s="115"/>
      <x:c r="AT799" s="115"/>
      <x:c r="AU799" s="115"/>
      <x:c r="AV799" s="115"/>
      <x:c r="AW799" s="115"/>
      <x:c r="AX799" s="115"/>
      <x:c r="AY799" s="115"/>
      <x:c r="AZ799" s="115"/>
      <x:c r="BA799" s="115"/>
      <x:c r="BB799" s="115"/>
      <x:c r="BC799" s="115"/>
      <x:c r="BD799" s="115"/>
      <x:c r="BE799" s="115"/>
      <x:c r="BF799" s="115"/>
      <x:c r="BG799" s="115"/>
      <x:c r="BH799" s="115"/>
      <x:c r="BI799" s="115"/>
      <x:c r="BJ799" s="115"/>
      <x:c r="BK799" s="115"/>
      <x:c r="BL799" s="115"/>
      <x:c r="BM799" s="115"/>
      <x:c r="BN799" s="115"/>
      <x:c r="BO799" s="115"/>
      <x:c r="BP799" s="115"/>
      <x:c r="BQ799" s="115"/>
      <x:c r="BR799" s="115"/>
      <x:c r="BS799" s="115"/>
      <x:c r="BT799" s="115"/>
      <x:c r="BU799" s="115"/>
      <x:c r="BV799" s="115"/>
      <x:c r="BW799" s="115"/>
      <x:c r="BX799" s="115"/>
      <x:c r="BY799" s="115"/>
      <x:c r="BZ799" s="115"/>
      <x:c r="CA799" s="115"/>
      <x:c r="CB799" s="116"/>
      <x:c r="CC799" s="141" t="str">
        <x:f>IF(COUNT(G799:P799)=0,"",AVERAGE(G799:P799)*4)</x:f>
      </x:c>
      <x:c r="CD799" s="178" t="str">
        <x:f>IF(COUNT(Q799:Z799)=0,"",AVERAGE(Q799:Z799)*4)</x:f>
      </x:c>
      <x:c r="CE799" s="178" t="str">
        <x:f>IF(COUNT(AA799:AJ799)=0,"",AVERAGE(AA799:AJ799)*4)</x:f>
      </x:c>
      <x:c r="CF799" s="178" t="str">
        <x:f>IF(COUNT(AK799:AR799)=0,"",AVERAGE(AK799:AR799)*4)</x:f>
      </x:c>
      <x:c r="CG799" s="178" t="str">
        <x:f>IF(COUNT(AS799:AY799)=0,"",AVERAGE(AS799:AY799)*4)</x:f>
      </x:c>
      <x:c r="CH799" s="178" t="str">
        <x:f>IF(COUNT(AZ799:BG799)=0,"",AVERAGE(AZ799:BG799)*4)</x:f>
      </x:c>
      <x:c r="CI799" s="178" t="str">
        <x:f>IF(COUNT(BH799:BN799)=0,"",AVERAGE(BH799:BN799)*4)</x:f>
      </x:c>
      <x:c r="CJ799" s="178" t="str">
        <x:f>IF(COUNT(BO799:BU799)=0,"",AVERAGE(BO799:BU799)*4)</x:f>
      </x:c>
      <x:c r="CK799" s="178" t="str">
        <x:f>IF(COUNT(BV799:CB799)=0,"",AVERAGE(BV799:CB799)*4)</x:f>
      </x:c>
      <x:c r="CL799" s="178" t="str">
        <x:f>IF(C799="","",IF(COUNT(G799:CB799)&lt;74,"",(CC799*'تنظیمات وزن‌دهی'!$C$5+CD799*'تنظیمات وزن‌دهی'!$C$6+CE799*'تنظیمات وزن‌دهی'!$C$7+CF799*'تنظیمات وزن‌دهی'!$C$8+CG799*'تنظیمات وزن‌دهی'!$C$9+CH799*'تنظیمات وزن‌دهی'!$C$10+CI799*'تنظیمات وزن‌دهی'!$C$11+CJ799*'تنظیمات وزن‌دهی'!$C$12+CK799*'تنظیمات وزن‌دهی'!$C$13)/100))</x:f>
      </x:c>
      <x:c r="CM799" s="178" t="str">
        <x:f>IF(C799="","",IF(COUNT(G799:CB799)=0,"",IF(COUNT(G799:CB799)&lt;74,"موقت - اطلاعات ناقص",IF(CL799&gt;=17,"عالی",IF(CL799&gt;=14,"خوب",IF(CL799&gt;=10,"متوسط","ضعیف"))))))</x:f>
      </x:c>
      <x:c r="CN799" s="178" t="n">
        <x:v>3</x:v>
      </x:c>
      <x:c r="CO799" s="142" t="n">
        <x:f>IF(C799="","",COUNT(G799:CB799)/74)</x:f>
        <x:v>0</x:v>
      </x:c>
      <x:c r="CP799" s="245"/>
    </x:row>
    <x:row r="800">
      <x:c r="A800" s="165" t="n">
        <x:v>796</x:v>
      </x:c>
      <x:c r="B800" s="233" t="str">
        <x:v>مهر</x:v>
      </x:c>
      <x:c r="C800" s="233" t="n">
        <x:f>IF('دانش‌آموزان'!E71="","",'دانش‌آموزان'!B71)</x:f>
        <x:v>67</x:v>
      </x:c>
      <x:c r="D800" s="233" t="str">
        <x:f>IF('دانش‌آموزان'!C71="","",'دانش‌آموزان'!C71)</x:f>
        <x:v>4000000675</x:v>
      </x:c>
      <x:c r="E800" s="233" t="str">
        <x:f>IF('دانش‌آموزان'!E71="","",'دانش‌آموزان'!E71&amp;" "&amp;'دانش‌آموزان'!F71)</x:f>
        <x:v>آراد حسینی</x:v>
      </x:c>
      <x:c r="F800" s="166" t="str">
        <x:f>IF('دانش‌آموزان'!I71="","",'دانش‌آموزان'!I71)</x:f>
        <x:v>sample-7-c</x:v>
      </x:c>
      <x:c r="G800" s="114"/>
      <x:c r="H800" s="115"/>
      <x:c r="I800" s="115"/>
      <x:c r="J800" s="115"/>
      <x:c r="K800" s="115"/>
      <x:c r="L800" s="115"/>
      <x:c r="M800" s="115"/>
      <x:c r="N800" s="115"/>
      <x:c r="O800" s="115"/>
      <x:c r="P800" s="115"/>
      <x:c r="Q800" s="115"/>
      <x:c r="R800" s="115"/>
      <x:c r="S800" s="115"/>
      <x:c r="T800" s="115"/>
      <x:c r="U800" s="115"/>
      <x:c r="V800" s="115"/>
      <x:c r="W800" s="115"/>
      <x:c r="X800" s="115"/>
      <x:c r="Y800" s="115"/>
      <x:c r="Z800" s="115"/>
      <x:c r="AA800" s="115"/>
      <x:c r="AB800" s="115"/>
      <x:c r="AC800" s="115"/>
      <x:c r="AD800" s="115"/>
      <x:c r="AE800" s="115"/>
      <x:c r="AF800" s="115"/>
      <x:c r="AG800" s="115"/>
      <x:c r="AH800" s="115"/>
      <x:c r="AI800" s="115"/>
      <x:c r="AJ800" s="115"/>
      <x:c r="AK800" s="115"/>
      <x:c r="AL800" s="115"/>
      <x:c r="AM800" s="115"/>
      <x:c r="AN800" s="115"/>
      <x:c r="AO800" s="115"/>
      <x:c r="AP800" s="115"/>
      <x:c r="AQ800" s="115"/>
      <x:c r="AR800" s="115"/>
      <x:c r="AS800" s="115"/>
      <x:c r="AT800" s="115"/>
      <x:c r="AU800" s="115"/>
      <x:c r="AV800" s="115"/>
      <x:c r="AW800" s="115"/>
      <x:c r="AX800" s="115"/>
      <x:c r="AY800" s="115"/>
      <x:c r="AZ800" s="115"/>
      <x:c r="BA800" s="115"/>
      <x:c r="BB800" s="115"/>
      <x:c r="BC800" s="115"/>
      <x:c r="BD800" s="115"/>
      <x:c r="BE800" s="115"/>
      <x:c r="BF800" s="115"/>
      <x:c r="BG800" s="115"/>
      <x:c r="BH800" s="115"/>
      <x:c r="BI800" s="115"/>
      <x:c r="BJ800" s="115"/>
      <x:c r="BK800" s="115"/>
      <x:c r="BL800" s="115"/>
      <x:c r="BM800" s="115"/>
      <x:c r="BN800" s="115"/>
      <x:c r="BO800" s="115"/>
      <x:c r="BP800" s="115"/>
      <x:c r="BQ800" s="115"/>
      <x:c r="BR800" s="115"/>
      <x:c r="BS800" s="115"/>
      <x:c r="BT800" s="115"/>
      <x:c r="BU800" s="115"/>
      <x:c r="BV800" s="115"/>
      <x:c r="BW800" s="115"/>
      <x:c r="BX800" s="115"/>
      <x:c r="BY800" s="115"/>
      <x:c r="BZ800" s="115"/>
      <x:c r="CA800" s="115"/>
      <x:c r="CB800" s="116"/>
      <x:c r="CC800" s="141" t="str">
        <x:f>IF(COUNT(G800:P800)=0,"",AVERAGE(G800:P800)*4)</x:f>
      </x:c>
      <x:c r="CD800" s="178" t="str">
        <x:f>IF(COUNT(Q800:Z800)=0,"",AVERAGE(Q800:Z800)*4)</x:f>
      </x:c>
      <x:c r="CE800" s="178" t="str">
        <x:f>IF(COUNT(AA800:AJ800)=0,"",AVERAGE(AA800:AJ800)*4)</x:f>
      </x:c>
      <x:c r="CF800" s="178" t="str">
        <x:f>IF(COUNT(AK800:AR800)=0,"",AVERAGE(AK800:AR800)*4)</x:f>
      </x:c>
      <x:c r="CG800" s="178" t="str">
        <x:f>IF(COUNT(AS800:AY800)=0,"",AVERAGE(AS800:AY800)*4)</x:f>
      </x:c>
      <x:c r="CH800" s="178" t="str">
        <x:f>IF(COUNT(AZ800:BG800)=0,"",AVERAGE(AZ800:BG800)*4)</x:f>
      </x:c>
      <x:c r="CI800" s="178" t="str">
        <x:f>IF(COUNT(BH800:BN800)=0,"",AVERAGE(BH800:BN800)*4)</x:f>
      </x:c>
      <x:c r="CJ800" s="178" t="str">
        <x:f>IF(COUNT(BO800:BU800)=0,"",AVERAGE(BO800:BU800)*4)</x:f>
      </x:c>
      <x:c r="CK800" s="178" t="str">
        <x:f>IF(COUNT(BV800:CB800)=0,"",AVERAGE(BV800:CB800)*4)</x:f>
      </x:c>
      <x:c r="CL800" s="178" t="str">
        <x:f>IF(C800="","",IF(COUNT(G800:CB800)&lt;74,"",(CC800*'تنظیمات وزن‌دهی'!$C$5+CD800*'تنظیمات وزن‌دهی'!$C$6+CE800*'تنظیمات وزن‌دهی'!$C$7+CF800*'تنظیمات وزن‌دهی'!$C$8+CG800*'تنظیمات وزن‌دهی'!$C$9+CH800*'تنظیمات وزن‌دهی'!$C$10+CI800*'تنظیمات وزن‌دهی'!$C$11+CJ800*'تنظیمات وزن‌دهی'!$C$12+CK800*'تنظیمات وزن‌دهی'!$C$13)/100))</x:f>
      </x:c>
      <x:c r="CM800" s="178" t="str">
        <x:f>IF(C800="","",IF(COUNT(G800:CB800)=0,"",IF(COUNT(G800:CB800)&lt;74,"موقت - اطلاعات ناقص",IF(CL800&gt;=17,"عالی",IF(CL800&gt;=14,"خوب",IF(CL800&gt;=10,"متوسط","ضعیف"))))))</x:f>
      </x:c>
      <x:c r="CN800" s="178" t="n">
        <x:v>4</x:v>
      </x:c>
      <x:c r="CO800" s="142" t="n">
        <x:f>IF(C800="","",COUNT(G800:CB800)/74)</x:f>
        <x:v>0</x:v>
      </x:c>
      <x:c r="CP800" s="245"/>
    </x:row>
    <x:row r="801">
      <x:c r="A801" s="165" t="n">
        <x:v>797</x:v>
      </x:c>
      <x:c r="B801" s="233" t="str">
        <x:v>آبان</x:v>
      </x:c>
      <x:c r="C801" s="233" t="n">
        <x:f>IF('دانش‌آموزان'!E71="","",'دانش‌آموزان'!B71)</x:f>
        <x:v>67</x:v>
      </x:c>
      <x:c r="D801" s="233" t="str">
        <x:f>IF('دانش‌آموزان'!C71="","",'دانش‌آموزان'!C71)</x:f>
        <x:v>4000000675</x:v>
      </x:c>
      <x:c r="E801" s="233" t="str">
        <x:f>IF('دانش‌آموزان'!E71="","",'دانش‌آموزان'!E71&amp;" "&amp;'دانش‌آموزان'!F71)</x:f>
        <x:v>آراد حسینی</x:v>
      </x:c>
      <x:c r="F801" s="166" t="str">
        <x:f>IF('دانش‌آموزان'!I71="","",'دانش‌آموزان'!I71)</x:f>
        <x:v>sample-7-c</x:v>
      </x:c>
      <x:c r="G801" s="114"/>
      <x:c r="H801" s="115"/>
      <x:c r="I801" s="115"/>
      <x:c r="J801" s="115"/>
      <x:c r="K801" s="115"/>
      <x:c r="L801" s="115"/>
      <x:c r="M801" s="115"/>
      <x:c r="N801" s="115"/>
      <x:c r="O801" s="115"/>
      <x:c r="P801" s="115"/>
      <x:c r="Q801" s="115"/>
      <x:c r="R801" s="115"/>
      <x:c r="S801" s="115"/>
      <x:c r="T801" s="115"/>
      <x:c r="U801" s="115"/>
      <x:c r="V801" s="115"/>
      <x:c r="W801" s="115"/>
      <x:c r="X801" s="115"/>
      <x:c r="Y801" s="115"/>
      <x:c r="Z801" s="115"/>
      <x:c r="AA801" s="115"/>
      <x:c r="AB801" s="115"/>
      <x:c r="AC801" s="115"/>
      <x:c r="AD801" s="115"/>
      <x:c r="AE801" s="115"/>
      <x:c r="AF801" s="115"/>
      <x:c r="AG801" s="115"/>
      <x:c r="AH801" s="115"/>
      <x:c r="AI801" s="115"/>
      <x:c r="AJ801" s="115"/>
      <x:c r="AK801" s="115"/>
      <x:c r="AL801" s="115"/>
      <x:c r="AM801" s="115"/>
      <x:c r="AN801" s="115"/>
      <x:c r="AO801" s="115"/>
      <x:c r="AP801" s="115"/>
      <x:c r="AQ801" s="115"/>
      <x:c r="AR801" s="115"/>
      <x:c r="AS801" s="115"/>
      <x:c r="AT801" s="115"/>
      <x:c r="AU801" s="115"/>
      <x:c r="AV801" s="115"/>
      <x:c r="AW801" s="115"/>
      <x:c r="AX801" s="115"/>
      <x:c r="AY801" s="115"/>
      <x:c r="AZ801" s="115"/>
      <x:c r="BA801" s="115"/>
      <x:c r="BB801" s="115"/>
      <x:c r="BC801" s="115"/>
      <x:c r="BD801" s="115"/>
      <x:c r="BE801" s="115"/>
      <x:c r="BF801" s="115"/>
      <x:c r="BG801" s="115"/>
      <x:c r="BH801" s="115"/>
      <x:c r="BI801" s="115"/>
      <x:c r="BJ801" s="115"/>
      <x:c r="BK801" s="115"/>
      <x:c r="BL801" s="115"/>
      <x:c r="BM801" s="115"/>
      <x:c r="BN801" s="115"/>
      <x:c r="BO801" s="115"/>
      <x:c r="BP801" s="115"/>
      <x:c r="BQ801" s="115"/>
      <x:c r="BR801" s="115"/>
      <x:c r="BS801" s="115"/>
      <x:c r="BT801" s="115"/>
      <x:c r="BU801" s="115"/>
      <x:c r="BV801" s="115"/>
      <x:c r="BW801" s="115"/>
      <x:c r="BX801" s="115"/>
      <x:c r="BY801" s="115"/>
      <x:c r="BZ801" s="115"/>
      <x:c r="CA801" s="115"/>
      <x:c r="CB801" s="116"/>
      <x:c r="CC801" s="141" t="str">
        <x:f>IF(COUNT(G801:P801)=0,"",AVERAGE(G801:P801)*4)</x:f>
      </x:c>
      <x:c r="CD801" s="178" t="str">
        <x:f>IF(COUNT(Q801:Z801)=0,"",AVERAGE(Q801:Z801)*4)</x:f>
      </x:c>
      <x:c r="CE801" s="178" t="str">
        <x:f>IF(COUNT(AA801:AJ801)=0,"",AVERAGE(AA801:AJ801)*4)</x:f>
      </x:c>
      <x:c r="CF801" s="178" t="str">
        <x:f>IF(COUNT(AK801:AR801)=0,"",AVERAGE(AK801:AR801)*4)</x:f>
      </x:c>
      <x:c r="CG801" s="178" t="str">
        <x:f>IF(COUNT(AS801:AY801)=0,"",AVERAGE(AS801:AY801)*4)</x:f>
      </x:c>
      <x:c r="CH801" s="178" t="str">
        <x:f>IF(COUNT(AZ801:BG801)=0,"",AVERAGE(AZ801:BG801)*4)</x:f>
      </x:c>
      <x:c r="CI801" s="178" t="str">
        <x:f>IF(COUNT(BH801:BN801)=0,"",AVERAGE(BH801:BN801)*4)</x:f>
      </x:c>
      <x:c r="CJ801" s="178" t="str">
        <x:f>IF(COUNT(BO801:BU801)=0,"",AVERAGE(BO801:BU801)*4)</x:f>
      </x:c>
      <x:c r="CK801" s="178" t="str">
        <x:f>IF(COUNT(BV801:CB801)=0,"",AVERAGE(BV801:CB801)*4)</x:f>
      </x:c>
      <x:c r="CL801" s="178" t="str">
        <x:f>IF(C801="","",IF(COUNT(G801:CB801)&lt;74,"",(CC801*'تنظیمات وزن‌دهی'!$C$5+CD801*'تنظیمات وزن‌دهی'!$C$6+CE801*'تنظیمات وزن‌دهی'!$C$7+CF801*'تنظیمات وزن‌دهی'!$C$8+CG801*'تنظیمات وزن‌دهی'!$C$9+CH801*'تنظیمات وزن‌دهی'!$C$10+CI801*'تنظیمات وزن‌دهی'!$C$11+CJ801*'تنظیمات وزن‌دهی'!$C$12+CK801*'تنظیمات وزن‌دهی'!$C$13)/100))</x:f>
      </x:c>
      <x:c r="CM801" s="178" t="str">
        <x:f>IF(C801="","",IF(COUNT(G801:CB801)=0,"",IF(COUNT(G801:CB801)&lt;74,"موقت - اطلاعات ناقص",IF(CL801&gt;=17,"عالی",IF(CL801&gt;=14,"خوب",IF(CL801&gt;=10,"متوسط","ضعیف"))))))</x:f>
      </x:c>
      <x:c r="CN801" s="178" t="n">
        <x:v>5</x:v>
      </x:c>
      <x:c r="CO801" s="142" t="n">
        <x:f>IF(C801="","",COUNT(G801:CB801)/74)</x:f>
        <x:v>0</x:v>
      </x:c>
      <x:c r="CP801" s="245"/>
    </x:row>
    <x:row r="802">
      <x:c r="A802" s="165" t="n">
        <x:v>798</x:v>
      </x:c>
      <x:c r="B802" s="233" t="str">
        <x:v>آذر</x:v>
      </x:c>
      <x:c r="C802" s="233" t="n">
        <x:f>IF('دانش‌آموزان'!E71="","",'دانش‌آموزان'!B71)</x:f>
        <x:v>67</x:v>
      </x:c>
      <x:c r="D802" s="233" t="str">
        <x:f>IF('دانش‌آموزان'!C71="","",'دانش‌آموزان'!C71)</x:f>
        <x:v>4000000675</x:v>
      </x:c>
      <x:c r="E802" s="233" t="str">
        <x:f>IF('دانش‌آموزان'!E71="","",'دانش‌آموزان'!E71&amp;" "&amp;'دانش‌آموزان'!F71)</x:f>
        <x:v>آراد حسینی</x:v>
      </x:c>
      <x:c r="F802" s="166" t="str">
        <x:f>IF('دانش‌آموزان'!I71="","",'دانش‌آموزان'!I71)</x:f>
        <x:v>sample-7-c</x:v>
      </x:c>
      <x:c r="G802" s="114"/>
      <x:c r="H802" s="115"/>
      <x:c r="I802" s="115"/>
      <x:c r="J802" s="115"/>
      <x:c r="K802" s="115"/>
      <x:c r="L802" s="115"/>
      <x:c r="M802" s="115"/>
      <x:c r="N802" s="115"/>
      <x:c r="O802" s="115"/>
      <x:c r="P802" s="115"/>
      <x:c r="Q802" s="115"/>
      <x:c r="R802" s="115"/>
      <x:c r="S802" s="115"/>
      <x:c r="T802" s="115"/>
      <x:c r="U802" s="115"/>
      <x:c r="V802" s="115"/>
      <x:c r="W802" s="115"/>
      <x:c r="X802" s="115"/>
      <x:c r="Y802" s="115"/>
      <x:c r="Z802" s="115"/>
      <x:c r="AA802" s="115"/>
      <x:c r="AB802" s="115"/>
      <x:c r="AC802" s="115"/>
      <x:c r="AD802" s="115"/>
      <x:c r="AE802" s="115"/>
      <x:c r="AF802" s="115"/>
      <x:c r="AG802" s="115"/>
      <x:c r="AH802" s="115"/>
      <x:c r="AI802" s="115"/>
      <x:c r="AJ802" s="115"/>
      <x:c r="AK802" s="115"/>
      <x:c r="AL802" s="115"/>
      <x:c r="AM802" s="115"/>
      <x:c r="AN802" s="115"/>
      <x:c r="AO802" s="115"/>
      <x:c r="AP802" s="115"/>
      <x:c r="AQ802" s="115"/>
      <x:c r="AR802" s="115"/>
      <x:c r="AS802" s="115"/>
      <x:c r="AT802" s="115"/>
      <x:c r="AU802" s="115"/>
      <x:c r="AV802" s="115"/>
      <x:c r="AW802" s="115"/>
      <x:c r="AX802" s="115"/>
      <x:c r="AY802" s="115"/>
      <x:c r="AZ802" s="115"/>
      <x:c r="BA802" s="115"/>
      <x:c r="BB802" s="115"/>
      <x:c r="BC802" s="115"/>
      <x:c r="BD802" s="115"/>
      <x:c r="BE802" s="115"/>
      <x:c r="BF802" s="115"/>
      <x:c r="BG802" s="115"/>
      <x:c r="BH802" s="115"/>
      <x:c r="BI802" s="115"/>
      <x:c r="BJ802" s="115"/>
      <x:c r="BK802" s="115"/>
      <x:c r="BL802" s="115"/>
      <x:c r="BM802" s="115"/>
      <x:c r="BN802" s="115"/>
      <x:c r="BO802" s="115"/>
      <x:c r="BP802" s="115"/>
      <x:c r="BQ802" s="115"/>
      <x:c r="BR802" s="115"/>
      <x:c r="BS802" s="115"/>
      <x:c r="BT802" s="115"/>
      <x:c r="BU802" s="115"/>
      <x:c r="BV802" s="115"/>
      <x:c r="BW802" s="115"/>
      <x:c r="BX802" s="115"/>
      <x:c r="BY802" s="115"/>
      <x:c r="BZ802" s="115"/>
      <x:c r="CA802" s="115"/>
      <x:c r="CB802" s="116"/>
      <x:c r="CC802" s="141" t="str">
        <x:f>IF(COUNT(G802:P802)=0,"",AVERAGE(G802:P802)*4)</x:f>
      </x:c>
      <x:c r="CD802" s="178" t="str">
        <x:f>IF(COUNT(Q802:Z802)=0,"",AVERAGE(Q802:Z802)*4)</x:f>
      </x:c>
      <x:c r="CE802" s="178" t="str">
        <x:f>IF(COUNT(AA802:AJ802)=0,"",AVERAGE(AA802:AJ802)*4)</x:f>
      </x:c>
      <x:c r="CF802" s="178" t="str">
        <x:f>IF(COUNT(AK802:AR802)=0,"",AVERAGE(AK802:AR802)*4)</x:f>
      </x:c>
      <x:c r="CG802" s="178" t="str">
        <x:f>IF(COUNT(AS802:AY802)=0,"",AVERAGE(AS802:AY802)*4)</x:f>
      </x:c>
      <x:c r="CH802" s="178" t="str">
        <x:f>IF(COUNT(AZ802:BG802)=0,"",AVERAGE(AZ802:BG802)*4)</x:f>
      </x:c>
      <x:c r="CI802" s="178" t="str">
        <x:f>IF(COUNT(BH802:BN802)=0,"",AVERAGE(BH802:BN802)*4)</x:f>
      </x:c>
      <x:c r="CJ802" s="178" t="str">
        <x:f>IF(COUNT(BO802:BU802)=0,"",AVERAGE(BO802:BU802)*4)</x:f>
      </x:c>
      <x:c r="CK802" s="178" t="str">
        <x:f>IF(COUNT(BV802:CB802)=0,"",AVERAGE(BV802:CB802)*4)</x:f>
      </x:c>
      <x:c r="CL802" s="178" t="str">
        <x:f>IF(C802="","",IF(COUNT(G802:CB802)&lt;74,"",(CC802*'تنظیمات وزن‌دهی'!$C$5+CD802*'تنظیمات وزن‌دهی'!$C$6+CE802*'تنظیمات وزن‌دهی'!$C$7+CF802*'تنظیمات وزن‌دهی'!$C$8+CG802*'تنظیمات وزن‌دهی'!$C$9+CH802*'تنظیمات وزن‌دهی'!$C$10+CI802*'تنظیمات وزن‌دهی'!$C$11+CJ802*'تنظیمات وزن‌دهی'!$C$12+CK802*'تنظیمات وزن‌دهی'!$C$13)/100))</x:f>
      </x:c>
      <x:c r="CM802" s="178" t="str">
        <x:f>IF(C802="","",IF(COUNT(G802:CB802)=0,"",IF(COUNT(G802:CB802)&lt;74,"موقت - اطلاعات ناقص",IF(CL802&gt;=17,"عالی",IF(CL802&gt;=14,"خوب",IF(CL802&gt;=10,"متوسط","ضعیف"))))))</x:f>
      </x:c>
      <x:c r="CN802" s="178" t="n">
        <x:v>6</x:v>
      </x:c>
      <x:c r="CO802" s="142" t="n">
        <x:f>IF(C802="","",COUNT(G802:CB802)/74)</x:f>
        <x:v>0</x:v>
      </x:c>
      <x:c r="CP802" s="245"/>
    </x:row>
    <x:row r="803">
      <x:c r="A803" s="165" t="n">
        <x:v>799</x:v>
      </x:c>
      <x:c r="B803" s="233" t="str">
        <x:v>دی</x:v>
      </x:c>
      <x:c r="C803" s="233" t="n">
        <x:f>IF('دانش‌آموزان'!E71="","",'دانش‌آموزان'!B71)</x:f>
        <x:v>67</x:v>
      </x:c>
      <x:c r="D803" s="233" t="str">
        <x:f>IF('دانش‌آموزان'!C71="","",'دانش‌آموزان'!C71)</x:f>
        <x:v>4000000675</x:v>
      </x:c>
      <x:c r="E803" s="233" t="str">
        <x:f>IF('دانش‌آموزان'!E71="","",'دانش‌آموزان'!E71&amp;" "&amp;'دانش‌آموزان'!F71)</x:f>
        <x:v>آراد حسینی</x:v>
      </x:c>
      <x:c r="F803" s="166" t="str">
        <x:f>IF('دانش‌آموزان'!I71="","",'دانش‌آموزان'!I71)</x:f>
        <x:v>sample-7-c</x:v>
      </x:c>
      <x:c r="G803" s="114"/>
      <x:c r="H803" s="115"/>
      <x:c r="I803" s="115"/>
      <x:c r="J803" s="115"/>
      <x:c r="K803" s="115"/>
      <x:c r="L803" s="115"/>
      <x:c r="M803" s="115"/>
      <x:c r="N803" s="115"/>
      <x:c r="O803" s="115"/>
      <x:c r="P803" s="115"/>
      <x:c r="Q803" s="115"/>
      <x:c r="R803" s="115"/>
      <x:c r="S803" s="115"/>
      <x:c r="T803" s="115"/>
      <x:c r="U803" s="115"/>
      <x:c r="V803" s="115"/>
      <x:c r="W803" s="115"/>
      <x:c r="X803" s="115"/>
      <x:c r="Y803" s="115"/>
      <x:c r="Z803" s="115"/>
      <x:c r="AA803" s="115"/>
      <x:c r="AB803" s="115"/>
      <x:c r="AC803" s="115"/>
      <x:c r="AD803" s="115"/>
      <x:c r="AE803" s="115"/>
      <x:c r="AF803" s="115"/>
      <x:c r="AG803" s="115"/>
      <x:c r="AH803" s="115"/>
      <x:c r="AI803" s="115"/>
      <x:c r="AJ803" s="115"/>
      <x:c r="AK803" s="115"/>
      <x:c r="AL803" s="115"/>
      <x:c r="AM803" s="115"/>
      <x:c r="AN803" s="115"/>
      <x:c r="AO803" s="115"/>
      <x:c r="AP803" s="115"/>
      <x:c r="AQ803" s="115"/>
      <x:c r="AR803" s="115"/>
      <x:c r="AS803" s="115"/>
      <x:c r="AT803" s="115"/>
      <x:c r="AU803" s="115"/>
      <x:c r="AV803" s="115"/>
      <x:c r="AW803" s="115"/>
      <x:c r="AX803" s="115"/>
      <x:c r="AY803" s="115"/>
      <x:c r="AZ803" s="115"/>
      <x:c r="BA803" s="115"/>
      <x:c r="BB803" s="115"/>
      <x:c r="BC803" s="115"/>
      <x:c r="BD803" s="115"/>
      <x:c r="BE803" s="115"/>
      <x:c r="BF803" s="115"/>
      <x:c r="BG803" s="115"/>
      <x:c r="BH803" s="115"/>
      <x:c r="BI803" s="115"/>
      <x:c r="BJ803" s="115"/>
      <x:c r="BK803" s="115"/>
      <x:c r="BL803" s="115"/>
      <x:c r="BM803" s="115"/>
      <x:c r="BN803" s="115"/>
      <x:c r="BO803" s="115"/>
      <x:c r="BP803" s="115"/>
      <x:c r="BQ803" s="115"/>
      <x:c r="BR803" s="115"/>
      <x:c r="BS803" s="115"/>
      <x:c r="BT803" s="115"/>
      <x:c r="BU803" s="115"/>
      <x:c r="BV803" s="115"/>
      <x:c r="BW803" s="115"/>
      <x:c r="BX803" s="115"/>
      <x:c r="BY803" s="115"/>
      <x:c r="BZ803" s="115"/>
      <x:c r="CA803" s="115"/>
      <x:c r="CB803" s="116"/>
      <x:c r="CC803" s="141" t="str">
        <x:f>IF(COUNT(G803:P803)=0,"",AVERAGE(G803:P803)*4)</x:f>
      </x:c>
      <x:c r="CD803" s="178" t="str">
        <x:f>IF(COUNT(Q803:Z803)=0,"",AVERAGE(Q803:Z803)*4)</x:f>
      </x:c>
      <x:c r="CE803" s="178" t="str">
        <x:f>IF(COUNT(AA803:AJ803)=0,"",AVERAGE(AA803:AJ803)*4)</x:f>
      </x:c>
      <x:c r="CF803" s="178" t="str">
        <x:f>IF(COUNT(AK803:AR803)=0,"",AVERAGE(AK803:AR803)*4)</x:f>
      </x:c>
      <x:c r="CG803" s="178" t="str">
        <x:f>IF(COUNT(AS803:AY803)=0,"",AVERAGE(AS803:AY803)*4)</x:f>
      </x:c>
      <x:c r="CH803" s="178" t="str">
        <x:f>IF(COUNT(AZ803:BG803)=0,"",AVERAGE(AZ803:BG803)*4)</x:f>
      </x:c>
      <x:c r="CI803" s="178" t="str">
        <x:f>IF(COUNT(BH803:BN803)=0,"",AVERAGE(BH803:BN803)*4)</x:f>
      </x:c>
      <x:c r="CJ803" s="178" t="str">
        <x:f>IF(COUNT(BO803:BU803)=0,"",AVERAGE(BO803:BU803)*4)</x:f>
      </x:c>
      <x:c r="CK803" s="178" t="str">
        <x:f>IF(COUNT(BV803:CB803)=0,"",AVERAGE(BV803:CB803)*4)</x:f>
      </x:c>
      <x:c r="CL803" s="178" t="str">
        <x:f>IF(C803="","",IF(COUNT(G803:CB803)&lt;74,"",(CC803*'تنظیمات وزن‌دهی'!$C$5+CD803*'تنظیمات وزن‌دهی'!$C$6+CE803*'تنظیمات وزن‌دهی'!$C$7+CF803*'تنظیمات وزن‌دهی'!$C$8+CG803*'تنظیمات وزن‌دهی'!$C$9+CH803*'تنظیمات وزن‌دهی'!$C$10+CI803*'تنظیمات وزن‌دهی'!$C$11+CJ803*'تنظیمات وزن‌دهی'!$C$12+CK803*'تنظیمات وزن‌دهی'!$C$13)/100))</x:f>
      </x:c>
      <x:c r="CM803" s="178" t="str">
        <x:f>IF(C803="","",IF(COUNT(G803:CB803)=0,"",IF(COUNT(G803:CB803)&lt;74,"موقت - اطلاعات ناقص",IF(CL803&gt;=17,"عالی",IF(CL803&gt;=14,"خوب",IF(CL803&gt;=10,"متوسط","ضعیف"))))))</x:f>
      </x:c>
      <x:c r="CN803" s="178" t="n">
        <x:v>7</x:v>
      </x:c>
      <x:c r="CO803" s="142" t="n">
        <x:f>IF(C803="","",COUNT(G803:CB803)/74)</x:f>
        <x:v>0</x:v>
      </x:c>
      <x:c r="CP803" s="245"/>
    </x:row>
    <x:row r="804">
      <x:c r="A804" s="165" t="n">
        <x:v>800</x:v>
      </x:c>
      <x:c r="B804" s="233" t="str">
        <x:v>بهمن</x:v>
      </x:c>
      <x:c r="C804" s="233" t="n">
        <x:f>IF('دانش‌آموزان'!E71="","",'دانش‌آموزان'!B71)</x:f>
        <x:v>67</x:v>
      </x:c>
      <x:c r="D804" s="233" t="str">
        <x:f>IF('دانش‌آموزان'!C71="","",'دانش‌آموزان'!C71)</x:f>
        <x:v>4000000675</x:v>
      </x:c>
      <x:c r="E804" s="233" t="str">
        <x:f>IF('دانش‌آموزان'!E71="","",'دانش‌آموزان'!E71&amp;" "&amp;'دانش‌آموزان'!F71)</x:f>
        <x:v>آراد حسینی</x:v>
      </x:c>
      <x:c r="F804" s="166" t="str">
        <x:f>IF('دانش‌آموزان'!I71="","",'دانش‌آموزان'!I71)</x:f>
        <x:v>sample-7-c</x:v>
      </x:c>
      <x:c r="G804" s="114"/>
      <x:c r="H804" s="115"/>
      <x:c r="I804" s="115"/>
      <x:c r="J804" s="115"/>
      <x:c r="K804" s="115"/>
      <x:c r="L804" s="115"/>
      <x:c r="M804" s="115"/>
      <x:c r="N804" s="115"/>
      <x:c r="O804" s="115"/>
      <x:c r="P804" s="115"/>
      <x:c r="Q804" s="115"/>
      <x:c r="R804" s="115"/>
      <x:c r="S804" s="115"/>
      <x:c r="T804" s="115"/>
      <x:c r="U804" s="115"/>
      <x:c r="V804" s="115"/>
      <x:c r="W804" s="115"/>
      <x:c r="X804" s="115"/>
      <x:c r="Y804" s="115"/>
      <x:c r="Z804" s="115"/>
      <x:c r="AA804" s="115"/>
      <x:c r="AB804" s="115"/>
      <x:c r="AC804" s="115"/>
      <x:c r="AD804" s="115"/>
      <x:c r="AE804" s="115"/>
      <x:c r="AF804" s="115"/>
      <x:c r="AG804" s="115"/>
      <x:c r="AH804" s="115"/>
      <x:c r="AI804" s="115"/>
      <x:c r="AJ804" s="115"/>
      <x:c r="AK804" s="115"/>
      <x:c r="AL804" s="115"/>
      <x:c r="AM804" s="115"/>
      <x:c r="AN804" s="115"/>
      <x:c r="AO804" s="115"/>
      <x:c r="AP804" s="115"/>
      <x:c r="AQ804" s="115"/>
      <x:c r="AR804" s="115"/>
      <x:c r="AS804" s="115"/>
      <x:c r="AT804" s="115"/>
      <x:c r="AU804" s="115"/>
      <x:c r="AV804" s="115"/>
      <x:c r="AW804" s="115"/>
      <x:c r="AX804" s="115"/>
      <x:c r="AY804" s="115"/>
      <x:c r="AZ804" s="115"/>
      <x:c r="BA804" s="115"/>
      <x:c r="BB804" s="115"/>
      <x:c r="BC804" s="115"/>
      <x:c r="BD804" s="115"/>
      <x:c r="BE804" s="115"/>
      <x:c r="BF804" s="115"/>
      <x:c r="BG804" s="115"/>
      <x:c r="BH804" s="115"/>
      <x:c r="BI804" s="115"/>
      <x:c r="BJ804" s="115"/>
      <x:c r="BK804" s="115"/>
      <x:c r="BL804" s="115"/>
      <x:c r="BM804" s="115"/>
      <x:c r="BN804" s="115"/>
      <x:c r="BO804" s="115"/>
      <x:c r="BP804" s="115"/>
      <x:c r="BQ804" s="115"/>
      <x:c r="BR804" s="115"/>
      <x:c r="BS804" s="115"/>
      <x:c r="BT804" s="115"/>
      <x:c r="BU804" s="115"/>
      <x:c r="BV804" s="115"/>
      <x:c r="BW804" s="115"/>
      <x:c r="BX804" s="115"/>
      <x:c r="BY804" s="115"/>
      <x:c r="BZ804" s="115"/>
      <x:c r="CA804" s="115"/>
      <x:c r="CB804" s="116"/>
      <x:c r="CC804" s="141" t="str">
        <x:f>IF(COUNT(G804:P804)=0,"",AVERAGE(G804:P804)*4)</x:f>
      </x:c>
      <x:c r="CD804" s="178" t="str">
        <x:f>IF(COUNT(Q804:Z804)=0,"",AVERAGE(Q804:Z804)*4)</x:f>
      </x:c>
      <x:c r="CE804" s="178" t="str">
        <x:f>IF(COUNT(AA804:AJ804)=0,"",AVERAGE(AA804:AJ804)*4)</x:f>
      </x:c>
      <x:c r="CF804" s="178" t="str">
        <x:f>IF(COUNT(AK804:AR804)=0,"",AVERAGE(AK804:AR804)*4)</x:f>
      </x:c>
      <x:c r="CG804" s="178" t="str">
        <x:f>IF(COUNT(AS804:AY804)=0,"",AVERAGE(AS804:AY804)*4)</x:f>
      </x:c>
      <x:c r="CH804" s="178" t="str">
        <x:f>IF(COUNT(AZ804:BG804)=0,"",AVERAGE(AZ804:BG804)*4)</x:f>
      </x:c>
      <x:c r="CI804" s="178" t="str">
        <x:f>IF(COUNT(BH804:BN804)=0,"",AVERAGE(BH804:BN804)*4)</x:f>
      </x:c>
      <x:c r="CJ804" s="178" t="str">
        <x:f>IF(COUNT(BO804:BU804)=0,"",AVERAGE(BO804:BU804)*4)</x:f>
      </x:c>
      <x:c r="CK804" s="178" t="str">
        <x:f>IF(COUNT(BV804:CB804)=0,"",AVERAGE(BV804:CB804)*4)</x:f>
      </x:c>
      <x:c r="CL804" s="178" t="str">
        <x:f>IF(C804="","",IF(COUNT(G804:CB804)&lt;74,"",(CC804*'تنظیمات وزن‌دهی'!$C$5+CD804*'تنظیمات وزن‌دهی'!$C$6+CE804*'تنظیمات وزن‌دهی'!$C$7+CF804*'تنظیمات وزن‌دهی'!$C$8+CG804*'تنظیمات وزن‌دهی'!$C$9+CH804*'تنظیمات وزن‌دهی'!$C$10+CI804*'تنظیمات وزن‌دهی'!$C$11+CJ804*'تنظیمات وزن‌دهی'!$C$12+CK804*'تنظیمات وزن‌دهی'!$C$13)/100))</x:f>
      </x:c>
      <x:c r="CM804" s="178" t="str">
        <x:f>IF(C804="","",IF(COUNT(G804:CB804)=0,"",IF(COUNT(G804:CB804)&lt;74,"موقت - اطلاعات ناقص",IF(CL804&gt;=17,"عالی",IF(CL804&gt;=14,"خوب",IF(CL804&gt;=10,"متوسط","ضعیف"))))))</x:f>
      </x:c>
      <x:c r="CN804" s="178" t="n">
        <x:v>8</x:v>
      </x:c>
      <x:c r="CO804" s="142" t="n">
        <x:f>IF(C804="","",COUNT(G804:CB804)/74)</x:f>
        <x:v>0</x:v>
      </x:c>
      <x:c r="CP804" s="245"/>
    </x:row>
    <x:row r="805">
      <x:c r="A805" s="165" t="n">
        <x:v>801</x:v>
      </x:c>
      <x:c r="B805" s="233" t="str">
        <x:v>اسفند</x:v>
      </x:c>
      <x:c r="C805" s="233" t="n">
        <x:f>IF('دانش‌آموزان'!E71="","",'دانش‌آموزان'!B71)</x:f>
        <x:v>67</x:v>
      </x:c>
      <x:c r="D805" s="233" t="str">
        <x:f>IF('دانش‌آموزان'!C71="","",'دانش‌آموزان'!C71)</x:f>
        <x:v>4000000675</x:v>
      </x:c>
      <x:c r="E805" s="233" t="str">
        <x:f>IF('دانش‌آموزان'!E71="","",'دانش‌آموزان'!E71&amp;" "&amp;'دانش‌آموزان'!F71)</x:f>
        <x:v>آراد حسینی</x:v>
      </x:c>
      <x:c r="F805" s="166" t="str">
        <x:f>IF('دانش‌آموزان'!I71="","",'دانش‌آموزان'!I71)</x:f>
        <x:v>sample-7-c</x:v>
      </x:c>
      <x:c r="G805" s="114"/>
      <x:c r="H805" s="115"/>
      <x:c r="I805" s="115"/>
      <x:c r="J805" s="115"/>
      <x:c r="K805" s="115"/>
      <x:c r="L805" s="115"/>
      <x:c r="M805" s="115"/>
      <x:c r="N805" s="115"/>
      <x:c r="O805" s="115"/>
      <x:c r="P805" s="115"/>
      <x:c r="Q805" s="115"/>
      <x:c r="R805" s="115"/>
      <x:c r="S805" s="115"/>
      <x:c r="T805" s="115"/>
      <x:c r="U805" s="115"/>
      <x:c r="V805" s="115"/>
      <x:c r="W805" s="115"/>
      <x:c r="X805" s="115"/>
      <x:c r="Y805" s="115"/>
      <x:c r="Z805" s="115"/>
      <x:c r="AA805" s="115"/>
      <x:c r="AB805" s="115"/>
      <x:c r="AC805" s="115"/>
      <x:c r="AD805" s="115"/>
      <x:c r="AE805" s="115"/>
      <x:c r="AF805" s="115"/>
      <x:c r="AG805" s="115"/>
      <x:c r="AH805" s="115"/>
      <x:c r="AI805" s="115"/>
      <x:c r="AJ805" s="115"/>
      <x:c r="AK805" s="115"/>
      <x:c r="AL805" s="115"/>
      <x:c r="AM805" s="115"/>
      <x:c r="AN805" s="115"/>
      <x:c r="AO805" s="115"/>
      <x:c r="AP805" s="115"/>
      <x:c r="AQ805" s="115"/>
      <x:c r="AR805" s="115"/>
      <x:c r="AS805" s="115"/>
      <x:c r="AT805" s="115"/>
      <x:c r="AU805" s="115"/>
      <x:c r="AV805" s="115"/>
      <x:c r="AW805" s="115"/>
      <x:c r="AX805" s="115"/>
      <x:c r="AY805" s="115"/>
      <x:c r="AZ805" s="115"/>
      <x:c r="BA805" s="115"/>
      <x:c r="BB805" s="115"/>
      <x:c r="BC805" s="115"/>
      <x:c r="BD805" s="115"/>
      <x:c r="BE805" s="115"/>
      <x:c r="BF805" s="115"/>
      <x:c r="BG805" s="115"/>
      <x:c r="BH805" s="115"/>
      <x:c r="BI805" s="115"/>
      <x:c r="BJ805" s="115"/>
      <x:c r="BK805" s="115"/>
      <x:c r="BL805" s="115"/>
      <x:c r="BM805" s="115"/>
      <x:c r="BN805" s="115"/>
      <x:c r="BO805" s="115"/>
      <x:c r="BP805" s="115"/>
      <x:c r="BQ805" s="115"/>
      <x:c r="BR805" s="115"/>
      <x:c r="BS805" s="115"/>
      <x:c r="BT805" s="115"/>
      <x:c r="BU805" s="115"/>
      <x:c r="BV805" s="115"/>
      <x:c r="BW805" s="115"/>
      <x:c r="BX805" s="115"/>
      <x:c r="BY805" s="115"/>
      <x:c r="BZ805" s="115"/>
      <x:c r="CA805" s="115"/>
      <x:c r="CB805" s="116"/>
      <x:c r="CC805" s="141" t="str">
        <x:f>IF(COUNT(G805:P805)=0,"",AVERAGE(G805:P805)*4)</x:f>
      </x:c>
      <x:c r="CD805" s="178" t="str">
        <x:f>IF(COUNT(Q805:Z805)=0,"",AVERAGE(Q805:Z805)*4)</x:f>
      </x:c>
      <x:c r="CE805" s="178" t="str">
        <x:f>IF(COUNT(AA805:AJ805)=0,"",AVERAGE(AA805:AJ805)*4)</x:f>
      </x:c>
      <x:c r="CF805" s="178" t="str">
        <x:f>IF(COUNT(AK805:AR805)=0,"",AVERAGE(AK805:AR805)*4)</x:f>
      </x:c>
      <x:c r="CG805" s="178" t="str">
        <x:f>IF(COUNT(AS805:AY805)=0,"",AVERAGE(AS805:AY805)*4)</x:f>
      </x:c>
      <x:c r="CH805" s="178" t="str">
        <x:f>IF(COUNT(AZ805:BG805)=0,"",AVERAGE(AZ805:BG805)*4)</x:f>
      </x:c>
      <x:c r="CI805" s="178" t="str">
        <x:f>IF(COUNT(BH805:BN805)=0,"",AVERAGE(BH805:BN805)*4)</x:f>
      </x:c>
      <x:c r="CJ805" s="178" t="str">
        <x:f>IF(COUNT(BO805:BU805)=0,"",AVERAGE(BO805:BU805)*4)</x:f>
      </x:c>
      <x:c r="CK805" s="178" t="str">
        <x:f>IF(COUNT(BV805:CB805)=0,"",AVERAGE(BV805:CB805)*4)</x:f>
      </x:c>
      <x:c r="CL805" s="178" t="str">
        <x:f>IF(C805="","",IF(COUNT(G805:CB805)&lt;74,"",(CC805*'تنظیمات وزن‌دهی'!$C$5+CD805*'تنظیمات وزن‌دهی'!$C$6+CE805*'تنظیمات وزن‌دهی'!$C$7+CF805*'تنظیمات وزن‌دهی'!$C$8+CG805*'تنظیمات وزن‌دهی'!$C$9+CH805*'تنظیمات وزن‌دهی'!$C$10+CI805*'تنظیمات وزن‌دهی'!$C$11+CJ805*'تنظیمات وزن‌دهی'!$C$12+CK805*'تنظیمات وزن‌دهی'!$C$13)/100))</x:f>
      </x:c>
      <x:c r="CM805" s="178" t="str">
        <x:f>IF(C805="","",IF(COUNT(G805:CB805)=0,"",IF(COUNT(G805:CB805)&lt;74,"موقت - اطلاعات ناقص",IF(CL805&gt;=17,"عالی",IF(CL805&gt;=14,"خوب",IF(CL805&gt;=10,"متوسط","ضعیف"))))))</x:f>
      </x:c>
      <x:c r="CN805" s="178" t="n">
        <x:v>9</x:v>
      </x:c>
      <x:c r="CO805" s="142" t="n">
        <x:f>IF(C805="","",COUNT(G805:CB805)/74)</x:f>
        <x:v>0</x:v>
      </x:c>
      <x:c r="CP805" s="245"/>
    </x:row>
    <x:row r="806">
      <x:c r="A806" s="165" t="n">
        <x:v>802</x:v>
      </x:c>
      <x:c r="B806" s="233" t="str">
        <x:v>فروردین</x:v>
      </x:c>
      <x:c r="C806" s="233" t="n">
        <x:f>IF('دانش‌آموزان'!E71="","",'دانش‌آموزان'!B71)</x:f>
        <x:v>67</x:v>
      </x:c>
      <x:c r="D806" s="233" t="str">
        <x:f>IF('دانش‌آموزان'!C71="","",'دانش‌آموزان'!C71)</x:f>
        <x:v>4000000675</x:v>
      </x:c>
      <x:c r="E806" s="233" t="str">
        <x:f>IF('دانش‌آموزان'!E71="","",'دانش‌آموزان'!E71&amp;" "&amp;'دانش‌آموزان'!F71)</x:f>
        <x:v>آراد حسینی</x:v>
      </x:c>
      <x:c r="F806" s="166" t="str">
        <x:f>IF('دانش‌آموزان'!I71="","",'دانش‌آموزان'!I71)</x:f>
        <x:v>sample-7-c</x:v>
      </x:c>
      <x:c r="G806" s="114"/>
      <x:c r="H806" s="115"/>
      <x:c r="I806" s="115"/>
      <x:c r="J806" s="115"/>
      <x:c r="K806" s="115"/>
      <x:c r="L806" s="115"/>
      <x:c r="M806" s="115"/>
      <x:c r="N806" s="115"/>
      <x:c r="O806" s="115"/>
      <x:c r="P806" s="115"/>
      <x:c r="Q806" s="115"/>
      <x:c r="R806" s="115"/>
      <x:c r="S806" s="115"/>
      <x:c r="T806" s="115"/>
      <x:c r="U806" s="115"/>
      <x:c r="V806" s="115"/>
      <x:c r="W806" s="115"/>
      <x:c r="X806" s="115"/>
      <x:c r="Y806" s="115"/>
      <x:c r="Z806" s="115"/>
      <x:c r="AA806" s="115"/>
      <x:c r="AB806" s="115"/>
      <x:c r="AC806" s="115"/>
      <x:c r="AD806" s="115"/>
      <x:c r="AE806" s="115"/>
      <x:c r="AF806" s="115"/>
      <x:c r="AG806" s="115"/>
      <x:c r="AH806" s="115"/>
      <x:c r="AI806" s="115"/>
      <x:c r="AJ806" s="115"/>
      <x:c r="AK806" s="115"/>
      <x:c r="AL806" s="115"/>
      <x:c r="AM806" s="115"/>
      <x:c r="AN806" s="115"/>
      <x:c r="AO806" s="115"/>
      <x:c r="AP806" s="115"/>
      <x:c r="AQ806" s="115"/>
      <x:c r="AR806" s="115"/>
      <x:c r="AS806" s="115"/>
      <x:c r="AT806" s="115"/>
      <x:c r="AU806" s="115"/>
      <x:c r="AV806" s="115"/>
      <x:c r="AW806" s="115"/>
      <x:c r="AX806" s="115"/>
      <x:c r="AY806" s="115"/>
      <x:c r="AZ806" s="115"/>
      <x:c r="BA806" s="115"/>
      <x:c r="BB806" s="115"/>
      <x:c r="BC806" s="115"/>
      <x:c r="BD806" s="115"/>
      <x:c r="BE806" s="115"/>
      <x:c r="BF806" s="115"/>
      <x:c r="BG806" s="115"/>
      <x:c r="BH806" s="115"/>
      <x:c r="BI806" s="115"/>
      <x:c r="BJ806" s="115"/>
      <x:c r="BK806" s="115"/>
      <x:c r="BL806" s="115"/>
      <x:c r="BM806" s="115"/>
      <x:c r="BN806" s="115"/>
      <x:c r="BO806" s="115"/>
      <x:c r="BP806" s="115"/>
      <x:c r="BQ806" s="115"/>
      <x:c r="BR806" s="115"/>
      <x:c r="BS806" s="115"/>
      <x:c r="BT806" s="115"/>
      <x:c r="BU806" s="115"/>
      <x:c r="BV806" s="115"/>
      <x:c r="BW806" s="115"/>
      <x:c r="BX806" s="115"/>
      <x:c r="BY806" s="115"/>
      <x:c r="BZ806" s="115"/>
      <x:c r="CA806" s="115"/>
      <x:c r="CB806" s="116"/>
      <x:c r="CC806" s="141" t="str">
        <x:f>IF(COUNT(G806:P806)=0,"",AVERAGE(G806:P806)*4)</x:f>
      </x:c>
      <x:c r="CD806" s="178" t="str">
        <x:f>IF(COUNT(Q806:Z806)=0,"",AVERAGE(Q806:Z806)*4)</x:f>
      </x:c>
      <x:c r="CE806" s="178" t="str">
        <x:f>IF(COUNT(AA806:AJ806)=0,"",AVERAGE(AA806:AJ806)*4)</x:f>
      </x:c>
      <x:c r="CF806" s="178" t="str">
        <x:f>IF(COUNT(AK806:AR806)=0,"",AVERAGE(AK806:AR806)*4)</x:f>
      </x:c>
      <x:c r="CG806" s="178" t="str">
        <x:f>IF(COUNT(AS806:AY806)=0,"",AVERAGE(AS806:AY806)*4)</x:f>
      </x:c>
      <x:c r="CH806" s="178" t="str">
        <x:f>IF(COUNT(AZ806:BG806)=0,"",AVERAGE(AZ806:BG806)*4)</x:f>
      </x:c>
      <x:c r="CI806" s="178" t="str">
        <x:f>IF(COUNT(BH806:BN806)=0,"",AVERAGE(BH806:BN806)*4)</x:f>
      </x:c>
      <x:c r="CJ806" s="178" t="str">
        <x:f>IF(COUNT(BO806:BU806)=0,"",AVERAGE(BO806:BU806)*4)</x:f>
      </x:c>
      <x:c r="CK806" s="178" t="str">
        <x:f>IF(COUNT(BV806:CB806)=0,"",AVERAGE(BV806:CB806)*4)</x:f>
      </x:c>
      <x:c r="CL806" s="178" t="str">
        <x:f>IF(C806="","",IF(COUNT(G806:CB806)&lt;74,"",(CC806*'تنظیمات وزن‌دهی'!$C$5+CD806*'تنظیمات وزن‌دهی'!$C$6+CE806*'تنظیمات وزن‌دهی'!$C$7+CF806*'تنظیمات وزن‌دهی'!$C$8+CG806*'تنظیمات وزن‌دهی'!$C$9+CH806*'تنظیمات وزن‌دهی'!$C$10+CI806*'تنظیمات وزن‌دهی'!$C$11+CJ806*'تنظیمات وزن‌دهی'!$C$12+CK806*'تنظیمات وزن‌دهی'!$C$13)/100))</x:f>
      </x:c>
      <x:c r="CM806" s="178" t="str">
        <x:f>IF(C806="","",IF(COUNT(G806:CB806)=0,"",IF(COUNT(G806:CB806)&lt;74,"موقت - اطلاعات ناقص",IF(CL806&gt;=17,"عالی",IF(CL806&gt;=14,"خوب",IF(CL806&gt;=10,"متوسط","ضعیف"))))))</x:f>
      </x:c>
      <x:c r="CN806" s="178" t="n">
        <x:v>10</x:v>
      </x:c>
      <x:c r="CO806" s="142" t="n">
        <x:f>IF(C806="","",COUNT(G806:CB806)/74)</x:f>
        <x:v>0</x:v>
      </x:c>
      <x:c r="CP806" s="245"/>
    </x:row>
    <x:row r="807">
      <x:c r="A807" s="165" t="n">
        <x:v>803</x:v>
      </x:c>
      <x:c r="B807" s="233" t="str">
        <x:v>اردیبهشت</x:v>
      </x:c>
      <x:c r="C807" s="233" t="n">
        <x:f>IF('دانش‌آموزان'!E71="","",'دانش‌آموزان'!B71)</x:f>
        <x:v>67</x:v>
      </x:c>
      <x:c r="D807" s="233" t="str">
        <x:f>IF('دانش‌آموزان'!C71="","",'دانش‌آموزان'!C71)</x:f>
        <x:v>4000000675</x:v>
      </x:c>
      <x:c r="E807" s="233" t="str">
        <x:f>IF('دانش‌آموزان'!E71="","",'دانش‌آموزان'!E71&amp;" "&amp;'دانش‌آموزان'!F71)</x:f>
        <x:v>آراد حسینی</x:v>
      </x:c>
      <x:c r="F807" s="166" t="str">
        <x:f>IF('دانش‌آموزان'!I71="","",'دانش‌آموزان'!I71)</x:f>
        <x:v>sample-7-c</x:v>
      </x:c>
      <x:c r="G807" s="114"/>
      <x:c r="H807" s="115"/>
      <x:c r="I807" s="115"/>
      <x:c r="J807" s="115"/>
      <x:c r="K807" s="115"/>
      <x:c r="L807" s="115"/>
      <x:c r="M807" s="115"/>
      <x:c r="N807" s="115"/>
      <x:c r="O807" s="115"/>
      <x:c r="P807" s="115"/>
      <x:c r="Q807" s="115"/>
      <x:c r="R807" s="115"/>
      <x:c r="S807" s="115"/>
      <x:c r="T807" s="115"/>
      <x:c r="U807" s="115"/>
      <x:c r="V807" s="115"/>
      <x:c r="W807" s="115"/>
      <x:c r="X807" s="115"/>
      <x:c r="Y807" s="115"/>
      <x:c r="Z807" s="115"/>
      <x:c r="AA807" s="115"/>
      <x:c r="AB807" s="115"/>
      <x:c r="AC807" s="115"/>
      <x:c r="AD807" s="115"/>
      <x:c r="AE807" s="115"/>
      <x:c r="AF807" s="115"/>
      <x:c r="AG807" s="115"/>
      <x:c r="AH807" s="115"/>
      <x:c r="AI807" s="115"/>
      <x:c r="AJ807" s="115"/>
      <x:c r="AK807" s="115"/>
      <x:c r="AL807" s="115"/>
      <x:c r="AM807" s="115"/>
      <x:c r="AN807" s="115"/>
      <x:c r="AO807" s="115"/>
      <x:c r="AP807" s="115"/>
      <x:c r="AQ807" s="115"/>
      <x:c r="AR807" s="115"/>
      <x:c r="AS807" s="115"/>
      <x:c r="AT807" s="115"/>
      <x:c r="AU807" s="115"/>
      <x:c r="AV807" s="115"/>
      <x:c r="AW807" s="115"/>
      <x:c r="AX807" s="115"/>
      <x:c r="AY807" s="115"/>
      <x:c r="AZ807" s="115"/>
      <x:c r="BA807" s="115"/>
      <x:c r="BB807" s="115"/>
      <x:c r="BC807" s="115"/>
      <x:c r="BD807" s="115"/>
      <x:c r="BE807" s="115"/>
      <x:c r="BF807" s="115"/>
      <x:c r="BG807" s="115"/>
      <x:c r="BH807" s="115"/>
      <x:c r="BI807" s="115"/>
      <x:c r="BJ807" s="115"/>
      <x:c r="BK807" s="115"/>
      <x:c r="BL807" s="115"/>
      <x:c r="BM807" s="115"/>
      <x:c r="BN807" s="115"/>
      <x:c r="BO807" s="115"/>
      <x:c r="BP807" s="115"/>
      <x:c r="BQ807" s="115"/>
      <x:c r="BR807" s="115"/>
      <x:c r="BS807" s="115"/>
      <x:c r="BT807" s="115"/>
      <x:c r="BU807" s="115"/>
      <x:c r="BV807" s="115"/>
      <x:c r="BW807" s="115"/>
      <x:c r="BX807" s="115"/>
      <x:c r="BY807" s="115"/>
      <x:c r="BZ807" s="115"/>
      <x:c r="CA807" s="115"/>
      <x:c r="CB807" s="116"/>
      <x:c r="CC807" s="141" t="str">
        <x:f>IF(COUNT(G807:P807)=0,"",AVERAGE(G807:P807)*4)</x:f>
      </x:c>
      <x:c r="CD807" s="178" t="str">
        <x:f>IF(COUNT(Q807:Z807)=0,"",AVERAGE(Q807:Z807)*4)</x:f>
      </x:c>
      <x:c r="CE807" s="178" t="str">
        <x:f>IF(COUNT(AA807:AJ807)=0,"",AVERAGE(AA807:AJ807)*4)</x:f>
      </x:c>
      <x:c r="CF807" s="178" t="str">
        <x:f>IF(COUNT(AK807:AR807)=0,"",AVERAGE(AK807:AR807)*4)</x:f>
      </x:c>
      <x:c r="CG807" s="178" t="str">
        <x:f>IF(COUNT(AS807:AY807)=0,"",AVERAGE(AS807:AY807)*4)</x:f>
      </x:c>
      <x:c r="CH807" s="178" t="str">
        <x:f>IF(COUNT(AZ807:BG807)=0,"",AVERAGE(AZ807:BG807)*4)</x:f>
      </x:c>
      <x:c r="CI807" s="178" t="str">
        <x:f>IF(COUNT(BH807:BN807)=0,"",AVERAGE(BH807:BN807)*4)</x:f>
      </x:c>
      <x:c r="CJ807" s="178" t="str">
        <x:f>IF(COUNT(BO807:BU807)=0,"",AVERAGE(BO807:BU807)*4)</x:f>
      </x:c>
      <x:c r="CK807" s="178" t="str">
        <x:f>IF(COUNT(BV807:CB807)=0,"",AVERAGE(BV807:CB807)*4)</x:f>
      </x:c>
      <x:c r="CL807" s="178" t="str">
        <x:f>IF(C807="","",IF(COUNT(G807:CB807)&lt;74,"",(CC807*'تنظیمات وزن‌دهی'!$C$5+CD807*'تنظیمات وزن‌دهی'!$C$6+CE807*'تنظیمات وزن‌دهی'!$C$7+CF807*'تنظیمات وزن‌دهی'!$C$8+CG807*'تنظیمات وزن‌دهی'!$C$9+CH807*'تنظیمات وزن‌دهی'!$C$10+CI807*'تنظیمات وزن‌دهی'!$C$11+CJ807*'تنظیمات وزن‌دهی'!$C$12+CK807*'تنظیمات وزن‌دهی'!$C$13)/100))</x:f>
      </x:c>
      <x:c r="CM807" s="178" t="str">
        <x:f>IF(C807="","",IF(COUNT(G807:CB807)=0,"",IF(COUNT(G807:CB807)&lt;74,"موقت - اطلاعات ناقص",IF(CL807&gt;=17,"عالی",IF(CL807&gt;=14,"خوب",IF(CL807&gt;=10,"متوسط","ضعیف"))))))</x:f>
      </x:c>
      <x:c r="CN807" s="178" t="n">
        <x:v>11</x:v>
      </x:c>
      <x:c r="CO807" s="142" t="n">
        <x:f>IF(C807="","",COUNT(G807:CB807)/74)</x:f>
        <x:v>0</x:v>
      </x:c>
      <x:c r="CP807" s="245"/>
    </x:row>
    <x:row r="808">
      <x:c r="A808" s="165" t="n">
        <x:v>804</x:v>
      </x:c>
      <x:c r="B808" s="233" t="str">
        <x:v>خرداد</x:v>
      </x:c>
      <x:c r="C808" s="233" t="n">
        <x:f>IF('دانش‌آموزان'!E71="","",'دانش‌آموزان'!B71)</x:f>
        <x:v>67</x:v>
      </x:c>
      <x:c r="D808" s="233" t="str">
        <x:f>IF('دانش‌آموزان'!C71="","",'دانش‌آموزان'!C71)</x:f>
        <x:v>4000000675</x:v>
      </x:c>
      <x:c r="E808" s="233" t="str">
        <x:f>IF('دانش‌آموزان'!E71="","",'دانش‌آموزان'!E71&amp;" "&amp;'دانش‌آموزان'!F71)</x:f>
        <x:v>آراد حسینی</x:v>
      </x:c>
      <x:c r="F808" s="166" t="str">
        <x:f>IF('دانش‌آموزان'!I71="","",'دانش‌آموزان'!I71)</x:f>
        <x:v>sample-7-c</x:v>
      </x:c>
      <x:c r="G808" s="114"/>
      <x:c r="H808" s="115"/>
      <x:c r="I808" s="115"/>
      <x:c r="J808" s="115"/>
      <x:c r="K808" s="115"/>
      <x:c r="L808" s="115"/>
      <x:c r="M808" s="115"/>
      <x:c r="N808" s="115"/>
      <x:c r="O808" s="115"/>
      <x:c r="P808" s="115"/>
      <x:c r="Q808" s="115"/>
      <x:c r="R808" s="115"/>
      <x:c r="S808" s="115"/>
      <x:c r="T808" s="115"/>
      <x:c r="U808" s="115"/>
      <x:c r="V808" s="115"/>
      <x:c r="W808" s="115"/>
      <x:c r="X808" s="115"/>
      <x:c r="Y808" s="115"/>
      <x:c r="Z808" s="115"/>
      <x:c r="AA808" s="115"/>
      <x:c r="AB808" s="115"/>
      <x:c r="AC808" s="115"/>
      <x:c r="AD808" s="115"/>
      <x:c r="AE808" s="115"/>
      <x:c r="AF808" s="115"/>
      <x:c r="AG808" s="115"/>
      <x:c r="AH808" s="115"/>
      <x:c r="AI808" s="115"/>
      <x:c r="AJ808" s="115"/>
      <x:c r="AK808" s="115"/>
      <x:c r="AL808" s="115"/>
      <x:c r="AM808" s="115"/>
      <x:c r="AN808" s="115"/>
      <x:c r="AO808" s="115"/>
      <x:c r="AP808" s="115"/>
      <x:c r="AQ808" s="115"/>
      <x:c r="AR808" s="115"/>
      <x:c r="AS808" s="115"/>
      <x:c r="AT808" s="115"/>
      <x:c r="AU808" s="115"/>
      <x:c r="AV808" s="115"/>
      <x:c r="AW808" s="115"/>
      <x:c r="AX808" s="115"/>
      <x:c r="AY808" s="115"/>
      <x:c r="AZ808" s="115"/>
      <x:c r="BA808" s="115"/>
      <x:c r="BB808" s="115"/>
      <x:c r="BC808" s="115"/>
      <x:c r="BD808" s="115"/>
      <x:c r="BE808" s="115"/>
      <x:c r="BF808" s="115"/>
      <x:c r="BG808" s="115"/>
      <x:c r="BH808" s="115"/>
      <x:c r="BI808" s="115"/>
      <x:c r="BJ808" s="115"/>
      <x:c r="BK808" s="115"/>
      <x:c r="BL808" s="115"/>
      <x:c r="BM808" s="115"/>
      <x:c r="BN808" s="115"/>
      <x:c r="BO808" s="115"/>
      <x:c r="BP808" s="115"/>
      <x:c r="BQ808" s="115"/>
      <x:c r="BR808" s="115"/>
      <x:c r="BS808" s="115"/>
      <x:c r="BT808" s="115"/>
      <x:c r="BU808" s="115"/>
      <x:c r="BV808" s="115"/>
      <x:c r="BW808" s="115"/>
      <x:c r="BX808" s="115"/>
      <x:c r="BY808" s="115"/>
      <x:c r="BZ808" s="115"/>
      <x:c r="CA808" s="115"/>
      <x:c r="CB808" s="116"/>
      <x:c r="CC808" s="141" t="str">
        <x:f>IF(COUNT(G808:P808)=0,"",AVERAGE(G808:P808)*4)</x:f>
      </x:c>
      <x:c r="CD808" s="178" t="str">
        <x:f>IF(COUNT(Q808:Z808)=0,"",AVERAGE(Q808:Z808)*4)</x:f>
      </x:c>
      <x:c r="CE808" s="178" t="str">
        <x:f>IF(COUNT(AA808:AJ808)=0,"",AVERAGE(AA808:AJ808)*4)</x:f>
      </x:c>
      <x:c r="CF808" s="178" t="str">
        <x:f>IF(COUNT(AK808:AR808)=0,"",AVERAGE(AK808:AR808)*4)</x:f>
      </x:c>
      <x:c r="CG808" s="178" t="str">
        <x:f>IF(COUNT(AS808:AY808)=0,"",AVERAGE(AS808:AY808)*4)</x:f>
      </x:c>
      <x:c r="CH808" s="178" t="str">
        <x:f>IF(COUNT(AZ808:BG808)=0,"",AVERAGE(AZ808:BG808)*4)</x:f>
      </x:c>
      <x:c r="CI808" s="178" t="str">
        <x:f>IF(COUNT(BH808:BN808)=0,"",AVERAGE(BH808:BN808)*4)</x:f>
      </x:c>
      <x:c r="CJ808" s="178" t="str">
        <x:f>IF(COUNT(BO808:BU808)=0,"",AVERAGE(BO808:BU808)*4)</x:f>
      </x:c>
      <x:c r="CK808" s="178" t="str">
        <x:f>IF(COUNT(BV808:CB808)=0,"",AVERAGE(BV808:CB808)*4)</x:f>
      </x:c>
      <x:c r="CL808" s="178" t="str">
        <x:f>IF(C808="","",IF(COUNT(G808:CB808)&lt;74,"",(CC808*'تنظیمات وزن‌دهی'!$C$5+CD808*'تنظیمات وزن‌دهی'!$C$6+CE808*'تنظیمات وزن‌دهی'!$C$7+CF808*'تنظیمات وزن‌دهی'!$C$8+CG808*'تنظیمات وزن‌دهی'!$C$9+CH808*'تنظیمات وزن‌دهی'!$C$10+CI808*'تنظیمات وزن‌دهی'!$C$11+CJ808*'تنظیمات وزن‌دهی'!$C$12+CK808*'تنظیمات وزن‌دهی'!$C$13)/100))</x:f>
      </x:c>
      <x:c r="CM808" s="178" t="str">
        <x:f>IF(C808="","",IF(COUNT(G808:CB808)=0,"",IF(COUNT(G808:CB808)&lt;74,"موقت - اطلاعات ناقص",IF(CL808&gt;=17,"عالی",IF(CL808&gt;=14,"خوب",IF(CL808&gt;=10,"متوسط","ضعیف"))))))</x:f>
      </x:c>
      <x:c r="CN808" s="178" t="n">
        <x:v>12</x:v>
      </x:c>
      <x:c r="CO808" s="142" t="n">
        <x:f>IF(C808="","",COUNT(G808:CB808)/74)</x:f>
        <x:v>0</x:v>
      </x:c>
      <x:c r="CP808" s="245"/>
    </x:row>
    <x:row r="809">
      <x:c r="A809" s="165" t="n">
        <x:v>805</x:v>
      </x:c>
      <x:c r="B809" s="233" t="str">
        <x:v>تیر</x:v>
      </x:c>
      <x:c r="C809" s="233" t="n">
        <x:f>IF('دانش‌آموزان'!E72="","",'دانش‌آموزان'!B72)</x:f>
        <x:v>68</x:v>
      </x:c>
      <x:c r="D809" s="233" t="str">
        <x:f>IF('دانش‌آموزان'!C72="","",'دانش‌آموزان'!C72)</x:f>
        <x:v>4000000683</x:v>
      </x:c>
      <x:c r="E809" s="233" t="str">
        <x:f>IF('دانش‌آموزان'!E72="","",'دانش‌آموزان'!E72&amp;" "&amp;'دانش‌آموزان'!F72)</x:f>
        <x:v>نگار جعفری</x:v>
      </x:c>
      <x:c r="F809" s="166" t="str">
        <x:f>IF('دانش‌آموزان'!I72="","",'دانش‌آموزان'!I72)</x:f>
        <x:v>sample-7-c</x:v>
      </x:c>
      <x:c r="G809" s="114" t="n">
        <x:v>3</x:v>
      </x:c>
      <x:c r="H809" s="115" t="n">
        <x:v>5</x:v>
      </x:c>
      <x:c r="I809" s="115" t="n">
        <x:v>3</x:v>
      </x:c>
      <x:c r="J809" s="115" t="n">
        <x:v>4</x:v>
      </x:c>
      <x:c r="K809" s="115" t="n">
        <x:v>3</x:v>
      </x:c>
      <x:c r="L809" s="115" t="n">
        <x:v>4</x:v>
      </x:c>
      <x:c r="M809" s="115" t="n">
        <x:v>2</x:v>
      </x:c>
      <x:c r="N809" s="115" t="n">
        <x:v>4</x:v>
      </x:c>
      <x:c r="O809" s="115" t="n">
        <x:v>5</x:v>
      </x:c>
      <x:c r="P809" s="115" t="n">
        <x:v>4</x:v>
      </x:c>
      <x:c r="Q809" s="115" t="n">
        <x:v>5</x:v>
      </x:c>
      <x:c r="R809" s="115" t="n">
        <x:v>3</x:v>
      </x:c>
      <x:c r="S809" s="115" t="n">
        <x:v>5</x:v>
      </x:c>
      <x:c r="T809" s="115" t="n">
        <x:v>3</x:v>
      </x:c>
      <x:c r="U809" s="115" t="n">
        <x:v>4</x:v>
      </x:c>
      <x:c r="V809" s="115" t="n">
        <x:v>3</x:v>
      </x:c>
      <x:c r="W809" s="115" t="n">
        <x:v>4</x:v>
      </x:c>
      <x:c r="X809" s="115" t="n">
        <x:v>2</x:v>
      </x:c>
      <x:c r="Y809" s="115" t="n">
        <x:v>4</x:v>
      </x:c>
      <x:c r="Z809" s="115" t="n">
        <x:v>5</x:v>
      </x:c>
      <x:c r="AA809" s="115" t="n">
        <x:v>4</x:v>
      </x:c>
      <x:c r="AB809" s="115" t="n">
        <x:v>5</x:v>
      </x:c>
      <x:c r="AC809" s="115" t="n">
        <x:v>3</x:v>
      </x:c>
      <x:c r="AD809" s="115" t="n">
        <x:v>5</x:v>
      </x:c>
      <x:c r="AE809" s="115" t="n">
        <x:v>3</x:v>
      </x:c>
      <x:c r="AF809" s="115" t="n">
        <x:v>4</x:v>
      </x:c>
      <x:c r="AG809" s="115" t="n">
        <x:v>3</x:v>
      </x:c>
      <x:c r="AH809" s="115" t="n">
        <x:v>4</x:v>
      </x:c>
      <x:c r="AI809" s="115" t="n">
        <x:v>2</x:v>
      </x:c>
      <x:c r="AJ809" s="115" t="n">
        <x:v>4</x:v>
      </x:c>
      <x:c r="AK809" s="115" t="n">
        <x:v>5</x:v>
      </x:c>
      <x:c r="AL809" s="115" t="n">
        <x:v>4</x:v>
      </x:c>
      <x:c r="AM809" s="115" t="n">
        <x:v>5</x:v>
      </x:c>
      <x:c r="AN809" s="115" t="n">
        <x:v>3</x:v>
      </x:c>
      <x:c r="AO809" s="115" t="n">
        <x:v>5</x:v>
      </x:c>
      <x:c r="AP809" s="115" t="n">
        <x:v>3</x:v>
      </x:c>
      <x:c r="AQ809" s="115" t="n">
        <x:v>4</x:v>
      </x:c>
      <x:c r="AR809" s="115" t="n">
        <x:v>3</x:v>
      </x:c>
      <x:c r="AS809" s="115" t="n">
        <x:v>4</x:v>
      </x:c>
      <x:c r="AT809" s="115" t="n">
        <x:v>2</x:v>
      </x:c>
      <x:c r="AU809" s="115" t="n">
        <x:v>4</x:v>
      </x:c>
      <x:c r="AV809" s="115" t="n">
        <x:v>5</x:v>
      </x:c>
      <x:c r="AW809" s="115" t="n">
        <x:v>4</x:v>
      </x:c>
      <x:c r="AX809" s="115" t="n">
        <x:v>5</x:v>
      </x:c>
      <x:c r="AY809" s="115" t="n">
        <x:v>3</x:v>
      </x:c>
      <x:c r="AZ809" s="115" t="n">
        <x:v>5</x:v>
      </x:c>
      <x:c r="BA809" s="115" t="n">
        <x:v>3</x:v>
      </x:c>
      <x:c r="BB809" s="115" t="n">
        <x:v>4</x:v>
      </x:c>
      <x:c r="BC809" s="115" t="n">
        <x:v>3</x:v>
      </x:c>
      <x:c r="BD809" s="115" t="n">
        <x:v>4</x:v>
      </x:c>
      <x:c r="BE809" s="115" t="n">
        <x:v>2</x:v>
      </x:c>
      <x:c r="BF809" s="115" t="n">
        <x:v>4</x:v>
      </x:c>
      <x:c r="BG809" s="115" t="n">
        <x:v>5</x:v>
      </x:c>
      <x:c r="BH809" s="115" t="n">
        <x:v>4</x:v>
      </x:c>
      <x:c r="BI809" s="115" t="n">
        <x:v>5</x:v>
      </x:c>
      <x:c r="BJ809" s="115" t="n">
        <x:v>3</x:v>
      </x:c>
      <x:c r="BK809" s="115" t="n">
        <x:v>5</x:v>
      </x:c>
      <x:c r="BL809" s="115" t="n">
        <x:v>3</x:v>
      </x:c>
      <x:c r="BM809" s="115" t="n">
        <x:v>4</x:v>
      </x:c>
      <x:c r="BN809" s="115" t="n">
        <x:v>3</x:v>
      </x:c>
      <x:c r="BO809" s="115" t="n">
        <x:v>4</x:v>
      </x:c>
      <x:c r="BP809" s="115" t="n">
        <x:v>2</x:v>
      </x:c>
      <x:c r="BQ809" s="115" t="n">
        <x:v>4</x:v>
      </x:c>
      <x:c r="BR809" s="115" t="n">
        <x:v>5</x:v>
      </x:c>
      <x:c r="BS809" s="115" t="n">
        <x:v>4</x:v>
      </x:c>
      <x:c r="BT809" s="115" t="n">
        <x:v>5</x:v>
      </x:c>
      <x:c r="BU809" s="115" t="n">
        <x:v>3</x:v>
      </x:c>
      <x:c r="BV809" s="115" t="n">
        <x:v>5</x:v>
      </x:c>
      <x:c r="BW809" s="115" t="n">
        <x:v>3</x:v>
      </x:c>
      <x:c r="BX809" s="115" t="n">
        <x:v>4</x:v>
      </x:c>
      <x:c r="BY809" s="115" t="n">
        <x:v>3</x:v>
      </x:c>
      <x:c r="BZ809" s="115" t="n">
        <x:v>4</x:v>
      </x:c>
      <x:c r="CA809" s="115" t="n">
        <x:v>2</x:v>
      </x:c>
      <x:c r="CB809" s="116" t="n">
        <x:v>4</x:v>
      </x:c>
      <x:c r="CC809" s="141" t="n">
        <x:f>IF(COUNT(G809:P809)=0,"",AVERAGE(G809:P809)*4)</x:f>
        <x:v>14.8</x:v>
      </x:c>
      <x:c r="CD809" s="178" t="n">
        <x:f>IF(COUNT(Q809:Z809)=0,"",AVERAGE(Q809:Z809)*4)</x:f>
        <x:v>15.2</x:v>
      </x:c>
      <x:c r="CE809" s="178" t="n">
        <x:f>IF(COUNT(AA809:AJ809)=0,"",AVERAGE(AA809:AJ809)*4)</x:f>
        <x:v>14.8</x:v>
      </x:c>
      <x:c r="CF809" s="178" t="n">
        <x:f>IF(COUNT(AK809:AR809)=0,"",AVERAGE(AK809:AR809)*4)</x:f>
        <x:v>16</x:v>
      </x:c>
      <x:c r="CG809" s="178" t="n">
        <x:f>IF(COUNT(AS809:AY809)=0,"",AVERAGE(AS809:AY809)*4)</x:f>
        <x:v>15.428571428571429</x:v>
      </x:c>
      <x:c r="CH809" s="178" t="n">
        <x:f>IF(COUNT(AZ809:BG809)=0,"",AVERAGE(AZ809:BG809)*4)</x:f>
        <x:v>15</x:v>
      </x:c>
      <x:c r="CI809" s="178" t="n">
        <x:f>IF(COUNT(BH809:BN809)=0,"",AVERAGE(BH809:BN809)*4)</x:f>
        <x:v>15.428571428571429</x:v>
      </x:c>
      <x:c r="CJ809" s="178" t="n">
        <x:f>IF(COUNT(BO809:BU809)=0,"",AVERAGE(BO809:BU809)*4)</x:f>
        <x:v>15.428571428571429</x:v>
      </x:c>
      <x:c r="CK809" s="178" t="n">
        <x:f>IF(COUNT(BV809:CB809)=0,"",AVERAGE(BV809:CB809)*4)</x:f>
        <x:v>14.285714285714286</x:v>
      </x:c>
      <x:c r="CL809" s="178" t="n">
        <x:f>IF(C809="","",IF(COUNT(G809:CB809)&lt;74,"",(CC809*'تنظیمات وزن‌دهی'!$C$5+CD809*'تنظیمات وزن‌دهی'!$C$6+CE809*'تنظیمات وزن‌دهی'!$C$7+CF809*'تنظیمات وزن‌دهی'!$C$8+CG809*'تنظیمات وزن‌دهی'!$C$9+CH809*'تنظیمات وزن‌دهی'!$C$10+CI809*'تنظیمات وزن‌دهی'!$C$11+CJ809*'تنظیمات وزن‌دهی'!$C$12+CK809*'تنظیمات وزن‌دهی'!$C$13)/100))</x:f>
        <x:v>15.145714285714286</x:v>
      </x:c>
      <x:c r="CM809" s="178" t="str">
        <x:f>IF(C809="","",IF(COUNT(G809:CB809)=0,"",IF(COUNT(G809:CB809)&lt;74,"موقت - اطلاعات ناقص",IF(CL809&gt;=17,"عالی",IF(CL809&gt;=14,"خوب",IF(CL809&gt;=10,"متوسط","ضعیف"))))))</x:f>
        <x:v>خوب</x:v>
      </x:c>
      <x:c r="CN809" s="178" t="n">
        <x:v>1</x:v>
      </x:c>
      <x:c r="CO809" s="142" t="n">
        <x:f>IF(C809="","",COUNT(G809:CB809)/74)</x:f>
        <x:v>1</x:v>
      </x:c>
      <x:c r="CP809" s="245" t="str">
        <x:v>داده نمونه کامل برای ماه تیر - دانش‌آموز شماره 68</x:v>
      </x:c>
    </x:row>
    <x:row r="810">
      <x:c r="A810" s="165" t="n">
        <x:v>806</x:v>
      </x:c>
      <x:c r="B810" s="233" t="str">
        <x:v>مرداد</x:v>
      </x:c>
      <x:c r="C810" s="233" t="n">
        <x:f>IF('دانش‌آموزان'!E72="","",'دانش‌آموزان'!B72)</x:f>
        <x:v>68</x:v>
      </x:c>
      <x:c r="D810" s="233" t="str">
        <x:f>IF('دانش‌آموزان'!C72="","",'دانش‌آموزان'!C72)</x:f>
        <x:v>4000000683</x:v>
      </x:c>
      <x:c r="E810" s="233" t="str">
        <x:f>IF('دانش‌آموزان'!E72="","",'دانش‌آموزان'!E72&amp;" "&amp;'دانش‌آموزان'!F72)</x:f>
        <x:v>نگار جعفری</x:v>
      </x:c>
      <x:c r="F810" s="166" t="str">
        <x:f>IF('دانش‌آموزان'!I72="","",'دانش‌آموزان'!I72)</x:f>
        <x:v>sample-7-c</x:v>
      </x:c>
      <x:c r="G810" s="114"/>
      <x:c r="H810" s="115"/>
      <x:c r="I810" s="115"/>
      <x:c r="J810" s="115"/>
      <x:c r="K810" s="115"/>
      <x:c r="L810" s="115"/>
      <x:c r="M810" s="115"/>
      <x:c r="N810" s="115"/>
      <x:c r="O810" s="115"/>
      <x:c r="P810" s="115"/>
      <x:c r="Q810" s="115"/>
      <x:c r="R810" s="115"/>
      <x:c r="S810" s="115"/>
      <x:c r="T810" s="115"/>
      <x:c r="U810" s="115"/>
      <x:c r="V810" s="115"/>
      <x:c r="W810" s="115"/>
      <x:c r="X810" s="115"/>
      <x:c r="Y810" s="115"/>
      <x:c r="Z810" s="115"/>
      <x:c r="AA810" s="115"/>
      <x:c r="AB810" s="115"/>
      <x:c r="AC810" s="115"/>
      <x:c r="AD810" s="115"/>
      <x:c r="AE810" s="115"/>
      <x:c r="AF810" s="115"/>
      <x:c r="AG810" s="115"/>
      <x:c r="AH810" s="115"/>
      <x:c r="AI810" s="115"/>
      <x:c r="AJ810" s="115"/>
      <x:c r="AK810" s="115"/>
      <x:c r="AL810" s="115"/>
      <x:c r="AM810" s="115"/>
      <x:c r="AN810" s="115"/>
      <x:c r="AO810" s="115"/>
      <x:c r="AP810" s="115"/>
      <x:c r="AQ810" s="115"/>
      <x:c r="AR810" s="115"/>
      <x:c r="AS810" s="115"/>
      <x:c r="AT810" s="115"/>
      <x:c r="AU810" s="115"/>
      <x:c r="AV810" s="115"/>
      <x:c r="AW810" s="115"/>
      <x:c r="AX810" s="115"/>
      <x:c r="AY810" s="115"/>
      <x:c r="AZ810" s="115"/>
      <x:c r="BA810" s="115"/>
      <x:c r="BB810" s="115"/>
      <x:c r="BC810" s="115"/>
      <x:c r="BD810" s="115"/>
      <x:c r="BE810" s="115"/>
      <x:c r="BF810" s="115"/>
      <x:c r="BG810" s="115"/>
      <x:c r="BH810" s="115"/>
      <x:c r="BI810" s="115"/>
      <x:c r="BJ810" s="115"/>
      <x:c r="BK810" s="115"/>
      <x:c r="BL810" s="115"/>
      <x:c r="BM810" s="115"/>
      <x:c r="BN810" s="115"/>
      <x:c r="BO810" s="115"/>
      <x:c r="BP810" s="115"/>
      <x:c r="BQ810" s="115"/>
      <x:c r="BR810" s="115"/>
      <x:c r="BS810" s="115"/>
      <x:c r="BT810" s="115"/>
      <x:c r="BU810" s="115"/>
      <x:c r="BV810" s="115"/>
      <x:c r="BW810" s="115"/>
      <x:c r="BX810" s="115"/>
      <x:c r="BY810" s="115"/>
      <x:c r="BZ810" s="115"/>
      <x:c r="CA810" s="115"/>
      <x:c r="CB810" s="116"/>
      <x:c r="CC810" s="141" t="str">
        <x:f>IF(COUNT(G810:P810)=0,"",AVERAGE(G810:P810)*4)</x:f>
      </x:c>
      <x:c r="CD810" s="178" t="str">
        <x:f>IF(COUNT(Q810:Z810)=0,"",AVERAGE(Q810:Z810)*4)</x:f>
      </x:c>
      <x:c r="CE810" s="178" t="str">
        <x:f>IF(COUNT(AA810:AJ810)=0,"",AVERAGE(AA810:AJ810)*4)</x:f>
      </x:c>
      <x:c r="CF810" s="178" t="str">
        <x:f>IF(COUNT(AK810:AR810)=0,"",AVERAGE(AK810:AR810)*4)</x:f>
      </x:c>
      <x:c r="CG810" s="178" t="str">
        <x:f>IF(COUNT(AS810:AY810)=0,"",AVERAGE(AS810:AY810)*4)</x:f>
      </x:c>
      <x:c r="CH810" s="178" t="str">
        <x:f>IF(COUNT(AZ810:BG810)=0,"",AVERAGE(AZ810:BG810)*4)</x:f>
      </x:c>
      <x:c r="CI810" s="178" t="str">
        <x:f>IF(COUNT(BH810:BN810)=0,"",AVERAGE(BH810:BN810)*4)</x:f>
      </x:c>
      <x:c r="CJ810" s="178" t="str">
        <x:f>IF(COUNT(BO810:BU810)=0,"",AVERAGE(BO810:BU810)*4)</x:f>
      </x:c>
      <x:c r="CK810" s="178" t="str">
        <x:f>IF(COUNT(BV810:CB810)=0,"",AVERAGE(BV810:CB810)*4)</x:f>
      </x:c>
      <x:c r="CL810" s="178" t="str">
        <x:f>IF(C810="","",IF(COUNT(G810:CB810)&lt;74,"",(CC810*'تنظیمات وزن‌دهی'!$C$5+CD810*'تنظیمات وزن‌دهی'!$C$6+CE810*'تنظیمات وزن‌دهی'!$C$7+CF810*'تنظیمات وزن‌دهی'!$C$8+CG810*'تنظیمات وزن‌دهی'!$C$9+CH810*'تنظیمات وزن‌دهی'!$C$10+CI810*'تنظیمات وزن‌دهی'!$C$11+CJ810*'تنظیمات وزن‌دهی'!$C$12+CK810*'تنظیمات وزن‌دهی'!$C$13)/100))</x:f>
      </x:c>
      <x:c r="CM810" s="178" t="str">
        <x:f>IF(C810="","",IF(COUNT(G810:CB810)=0,"",IF(COUNT(G810:CB810)&lt;74,"موقت - اطلاعات ناقص",IF(CL810&gt;=17,"عالی",IF(CL810&gt;=14,"خوب",IF(CL810&gt;=10,"متوسط","ضعیف"))))))</x:f>
      </x:c>
      <x:c r="CN810" s="178" t="n">
        <x:v>2</x:v>
      </x:c>
      <x:c r="CO810" s="142" t="n">
        <x:f>IF(C810="","",COUNT(G810:CB810)/74)</x:f>
        <x:v>0</x:v>
      </x:c>
      <x:c r="CP810" s="245"/>
    </x:row>
    <x:row r="811">
      <x:c r="A811" s="165" t="n">
        <x:v>807</x:v>
      </x:c>
      <x:c r="B811" s="233" t="str">
        <x:v>شهریور</x:v>
      </x:c>
      <x:c r="C811" s="233" t="n">
        <x:f>IF('دانش‌آموزان'!E72="","",'دانش‌آموزان'!B72)</x:f>
        <x:v>68</x:v>
      </x:c>
      <x:c r="D811" s="233" t="str">
        <x:f>IF('دانش‌آموزان'!C72="","",'دانش‌آموزان'!C72)</x:f>
        <x:v>4000000683</x:v>
      </x:c>
      <x:c r="E811" s="233" t="str">
        <x:f>IF('دانش‌آموزان'!E72="","",'دانش‌آموزان'!E72&amp;" "&amp;'دانش‌آموزان'!F72)</x:f>
        <x:v>نگار جعفری</x:v>
      </x:c>
      <x:c r="F811" s="166" t="str">
        <x:f>IF('دانش‌آموزان'!I72="","",'دانش‌آموزان'!I72)</x:f>
        <x:v>sample-7-c</x:v>
      </x:c>
      <x:c r="G811" s="114"/>
      <x:c r="H811" s="115"/>
      <x:c r="I811" s="115"/>
      <x:c r="J811" s="115"/>
      <x:c r="K811" s="115"/>
      <x:c r="L811" s="115"/>
      <x:c r="M811" s="115"/>
      <x:c r="N811" s="115"/>
      <x:c r="O811" s="115"/>
      <x:c r="P811" s="115"/>
      <x:c r="Q811" s="115"/>
      <x:c r="R811" s="115"/>
      <x:c r="S811" s="115"/>
      <x:c r="T811" s="115"/>
      <x:c r="U811" s="115"/>
      <x:c r="V811" s="115"/>
      <x:c r="W811" s="115"/>
      <x:c r="X811" s="115"/>
      <x:c r="Y811" s="115"/>
      <x:c r="Z811" s="115"/>
      <x:c r="AA811" s="115"/>
      <x:c r="AB811" s="115"/>
      <x:c r="AC811" s="115"/>
      <x:c r="AD811" s="115"/>
      <x:c r="AE811" s="115"/>
      <x:c r="AF811" s="115"/>
      <x:c r="AG811" s="115"/>
      <x:c r="AH811" s="115"/>
      <x:c r="AI811" s="115"/>
      <x:c r="AJ811" s="115"/>
      <x:c r="AK811" s="115"/>
      <x:c r="AL811" s="115"/>
      <x:c r="AM811" s="115"/>
      <x:c r="AN811" s="115"/>
      <x:c r="AO811" s="115"/>
      <x:c r="AP811" s="115"/>
      <x:c r="AQ811" s="115"/>
      <x:c r="AR811" s="115"/>
      <x:c r="AS811" s="115"/>
      <x:c r="AT811" s="115"/>
      <x:c r="AU811" s="115"/>
      <x:c r="AV811" s="115"/>
      <x:c r="AW811" s="115"/>
      <x:c r="AX811" s="115"/>
      <x:c r="AY811" s="115"/>
      <x:c r="AZ811" s="115"/>
      <x:c r="BA811" s="115"/>
      <x:c r="BB811" s="115"/>
      <x:c r="BC811" s="115"/>
      <x:c r="BD811" s="115"/>
      <x:c r="BE811" s="115"/>
      <x:c r="BF811" s="115"/>
      <x:c r="BG811" s="115"/>
      <x:c r="BH811" s="115"/>
      <x:c r="BI811" s="115"/>
      <x:c r="BJ811" s="115"/>
      <x:c r="BK811" s="115"/>
      <x:c r="BL811" s="115"/>
      <x:c r="BM811" s="115"/>
      <x:c r="BN811" s="115"/>
      <x:c r="BO811" s="115"/>
      <x:c r="BP811" s="115"/>
      <x:c r="BQ811" s="115"/>
      <x:c r="BR811" s="115"/>
      <x:c r="BS811" s="115"/>
      <x:c r="BT811" s="115"/>
      <x:c r="BU811" s="115"/>
      <x:c r="BV811" s="115"/>
      <x:c r="BW811" s="115"/>
      <x:c r="BX811" s="115"/>
      <x:c r="BY811" s="115"/>
      <x:c r="BZ811" s="115"/>
      <x:c r="CA811" s="115"/>
      <x:c r="CB811" s="116"/>
      <x:c r="CC811" s="141" t="str">
        <x:f>IF(COUNT(G811:P811)=0,"",AVERAGE(G811:P811)*4)</x:f>
      </x:c>
      <x:c r="CD811" s="178" t="str">
        <x:f>IF(COUNT(Q811:Z811)=0,"",AVERAGE(Q811:Z811)*4)</x:f>
      </x:c>
      <x:c r="CE811" s="178" t="str">
        <x:f>IF(COUNT(AA811:AJ811)=0,"",AVERAGE(AA811:AJ811)*4)</x:f>
      </x:c>
      <x:c r="CF811" s="178" t="str">
        <x:f>IF(COUNT(AK811:AR811)=0,"",AVERAGE(AK811:AR811)*4)</x:f>
      </x:c>
      <x:c r="CG811" s="178" t="str">
        <x:f>IF(COUNT(AS811:AY811)=0,"",AVERAGE(AS811:AY811)*4)</x:f>
      </x:c>
      <x:c r="CH811" s="178" t="str">
        <x:f>IF(COUNT(AZ811:BG811)=0,"",AVERAGE(AZ811:BG811)*4)</x:f>
      </x:c>
      <x:c r="CI811" s="178" t="str">
        <x:f>IF(COUNT(BH811:BN811)=0,"",AVERAGE(BH811:BN811)*4)</x:f>
      </x:c>
      <x:c r="CJ811" s="178" t="str">
        <x:f>IF(COUNT(BO811:BU811)=0,"",AVERAGE(BO811:BU811)*4)</x:f>
      </x:c>
      <x:c r="CK811" s="178" t="str">
        <x:f>IF(COUNT(BV811:CB811)=0,"",AVERAGE(BV811:CB811)*4)</x:f>
      </x:c>
      <x:c r="CL811" s="178" t="str">
        <x:f>IF(C811="","",IF(COUNT(G811:CB811)&lt;74,"",(CC811*'تنظیمات وزن‌دهی'!$C$5+CD811*'تنظیمات وزن‌دهی'!$C$6+CE811*'تنظیمات وزن‌دهی'!$C$7+CF811*'تنظیمات وزن‌دهی'!$C$8+CG811*'تنظیمات وزن‌دهی'!$C$9+CH811*'تنظیمات وزن‌دهی'!$C$10+CI811*'تنظیمات وزن‌دهی'!$C$11+CJ811*'تنظیمات وزن‌دهی'!$C$12+CK811*'تنظیمات وزن‌دهی'!$C$13)/100))</x:f>
      </x:c>
      <x:c r="CM811" s="178" t="str">
        <x:f>IF(C811="","",IF(COUNT(G811:CB811)=0,"",IF(COUNT(G811:CB811)&lt;74,"موقت - اطلاعات ناقص",IF(CL811&gt;=17,"عالی",IF(CL811&gt;=14,"خوب",IF(CL811&gt;=10,"متوسط","ضعیف"))))))</x:f>
      </x:c>
      <x:c r="CN811" s="178" t="n">
        <x:v>3</x:v>
      </x:c>
      <x:c r="CO811" s="142" t="n">
        <x:f>IF(C811="","",COUNT(G811:CB811)/74)</x:f>
        <x:v>0</x:v>
      </x:c>
      <x:c r="CP811" s="245"/>
    </x:row>
    <x:row r="812">
      <x:c r="A812" s="165" t="n">
        <x:v>808</x:v>
      </x:c>
      <x:c r="B812" s="233" t="str">
        <x:v>مهر</x:v>
      </x:c>
      <x:c r="C812" s="233" t="n">
        <x:f>IF('دانش‌آموزان'!E72="","",'دانش‌آموزان'!B72)</x:f>
        <x:v>68</x:v>
      </x:c>
      <x:c r="D812" s="233" t="str">
        <x:f>IF('دانش‌آموزان'!C72="","",'دانش‌آموزان'!C72)</x:f>
        <x:v>4000000683</x:v>
      </x:c>
      <x:c r="E812" s="233" t="str">
        <x:f>IF('دانش‌آموزان'!E72="","",'دانش‌آموزان'!E72&amp;" "&amp;'دانش‌آموزان'!F72)</x:f>
        <x:v>نگار جعفری</x:v>
      </x:c>
      <x:c r="F812" s="166" t="str">
        <x:f>IF('دانش‌آموزان'!I72="","",'دانش‌آموزان'!I72)</x:f>
        <x:v>sample-7-c</x:v>
      </x:c>
      <x:c r="G812" s="114"/>
      <x:c r="H812" s="115"/>
      <x:c r="I812" s="115"/>
      <x:c r="J812" s="115"/>
      <x:c r="K812" s="115"/>
      <x:c r="L812" s="115"/>
      <x:c r="M812" s="115"/>
      <x:c r="N812" s="115"/>
      <x:c r="O812" s="115"/>
      <x:c r="P812" s="115"/>
      <x:c r="Q812" s="115"/>
      <x:c r="R812" s="115"/>
      <x:c r="S812" s="115"/>
      <x:c r="T812" s="115"/>
      <x:c r="U812" s="115"/>
      <x:c r="V812" s="115"/>
      <x:c r="W812" s="115"/>
      <x:c r="X812" s="115"/>
      <x:c r="Y812" s="115"/>
      <x:c r="Z812" s="115"/>
      <x:c r="AA812" s="115"/>
      <x:c r="AB812" s="115"/>
      <x:c r="AC812" s="115"/>
      <x:c r="AD812" s="115"/>
      <x:c r="AE812" s="115"/>
      <x:c r="AF812" s="115"/>
      <x:c r="AG812" s="115"/>
      <x:c r="AH812" s="115"/>
      <x:c r="AI812" s="115"/>
      <x:c r="AJ812" s="115"/>
      <x:c r="AK812" s="115"/>
      <x:c r="AL812" s="115"/>
      <x:c r="AM812" s="115"/>
      <x:c r="AN812" s="115"/>
      <x:c r="AO812" s="115"/>
      <x:c r="AP812" s="115"/>
      <x:c r="AQ812" s="115"/>
      <x:c r="AR812" s="115"/>
      <x:c r="AS812" s="115"/>
      <x:c r="AT812" s="115"/>
      <x:c r="AU812" s="115"/>
      <x:c r="AV812" s="115"/>
      <x:c r="AW812" s="115"/>
      <x:c r="AX812" s="115"/>
      <x:c r="AY812" s="115"/>
      <x:c r="AZ812" s="115"/>
      <x:c r="BA812" s="115"/>
      <x:c r="BB812" s="115"/>
      <x:c r="BC812" s="115"/>
      <x:c r="BD812" s="115"/>
      <x:c r="BE812" s="115"/>
      <x:c r="BF812" s="115"/>
      <x:c r="BG812" s="115"/>
      <x:c r="BH812" s="115"/>
      <x:c r="BI812" s="115"/>
      <x:c r="BJ812" s="115"/>
      <x:c r="BK812" s="115"/>
      <x:c r="BL812" s="115"/>
      <x:c r="BM812" s="115"/>
      <x:c r="BN812" s="115"/>
      <x:c r="BO812" s="115"/>
      <x:c r="BP812" s="115"/>
      <x:c r="BQ812" s="115"/>
      <x:c r="BR812" s="115"/>
      <x:c r="BS812" s="115"/>
      <x:c r="BT812" s="115"/>
      <x:c r="BU812" s="115"/>
      <x:c r="BV812" s="115"/>
      <x:c r="BW812" s="115"/>
      <x:c r="BX812" s="115"/>
      <x:c r="BY812" s="115"/>
      <x:c r="BZ812" s="115"/>
      <x:c r="CA812" s="115"/>
      <x:c r="CB812" s="116"/>
      <x:c r="CC812" s="141" t="str">
        <x:f>IF(COUNT(G812:P812)=0,"",AVERAGE(G812:P812)*4)</x:f>
      </x:c>
      <x:c r="CD812" s="178" t="str">
        <x:f>IF(COUNT(Q812:Z812)=0,"",AVERAGE(Q812:Z812)*4)</x:f>
      </x:c>
      <x:c r="CE812" s="178" t="str">
        <x:f>IF(COUNT(AA812:AJ812)=0,"",AVERAGE(AA812:AJ812)*4)</x:f>
      </x:c>
      <x:c r="CF812" s="178" t="str">
        <x:f>IF(COUNT(AK812:AR812)=0,"",AVERAGE(AK812:AR812)*4)</x:f>
      </x:c>
      <x:c r="CG812" s="178" t="str">
        <x:f>IF(COUNT(AS812:AY812)=0,"",AVERAGE(AS812:AY812)*4)</x:f>
      </x:c>
      <x:c r="CH812" s="178" t="str">
        <x:f>IF(COUNT(AZ812:BG812)=0,"",AVERAGE(AZ812:BG812)*4)</x:f>
      </x:c>
      <x:c r="CI812" s="178" t="str">
        <x:f>IF(COUNT(BH812:BN812)=0,"",AVERAGE(BH812:BN812)*4)</x:f>
      </x:c>
      <x:c r="CJ812" s="178" t="str">
        <x:f>IF(COUNT(BO812:BU812)=0,"",AVERAGE(BO812:BU812)*4)</x:f>
      </x:c>
      <x:c r="CK812" s="178" t="str">
        <x:f>IF(COUNT(BV812:CB812)=0,"",AVERAGE(BV812:CB812)*4)</x:f>
      </x:c>
      <x:c r="CL812" s="178" t="str">
        <x:f>IF(C812="","",IF(COUNT(G812:CB812)&lt;74,"",(CC812*'تنظیمات وزن‌دهی'!$C$5+CD812*'تنظیمات وزن‌دهی'!$C$6+CE812*'تنظیمات وزن‌دهی'!$C$7+CF812*'تنظیمات وزن‌دهی'!$C$8+CG812*'تنظیمات وزن‌دهی'!$C$9+CH812*'تنظیمات وزن‌دهی'!$C$10+CI812*'تنظیمات وزن‌دهی'!$C$11+CJ812*'تنظیمات وزن‌دهی'!$C$12+CK812*'تنظیمات وزن‌دهی'!$C$13)/100))</x:f>
      </x:c>
      <x:c r="CM812" s="178" t="str">
        <x:f>IF(C812="","",IF(COUNT(G812:CB812)=0,"",IF(COUNT(G812:CB812)&lt;74,"موقت - اطلاعات ناقص",IF(CL812&gt;=17,"عالی",IF(CL812&gt;=14,"خوب",IF(CL812&gt;=10,"متوسط","ضعیف"))))))</x:f>
      </x:c>
      <x:c r="CN812" s="178" t="n">
        <x:v>4</x:v>
      </x:c>
      <x:c r="CO812" s="142" t="n">
        <x:f>IF(C812="","",COUNT(G812:CB812)/74)</x:f>
        <x:v>0</x:v>
      </x:c>
      <x:c r="CP812" s="245"/>
    </x:row>
    <x:row r="813">
      <x:c r="A813" s="165" t="n">
        <x:v>809</x:v>
      </x:c>
      <x:c r="B813" s="233" t="str">
        <x:v>آبان</x:v>
      </x:c>
      <x:c r="C813" s="233" t="n">
        <x:f>IF('دانش‌آموزان'!E72="","",'دانش‌آموزان'!B72)</x:f>
        <x:v>68</x:v>
      </x:c>
      <x:c r="D813" s="233" t="str">
        <x:f>IF('دانش‌آموزان'!C72="","",'دانش‌آموزان'!C72)</x:f>
        <x:v>4000000683</x:v>
      </x:c>
      <x:c r="E813" s="233" t="str">
        <x:f>IF('دانش‌آموزان'!E72="","",'دانش‌آموزان'!E72&amp;" "&amp;'دانش‌آموزان'!F72)</x:f>
        <x:v>نگار جعفری</x:v>
      </x:c>
      <x:c r="F813" s="166" t="str">
        <x:f>IF('دانش‌آموزان'!I72="","",'دانش‌آموزان'!I72)</x:f>
        <x:v>sample-7-c</x:v>
      </x:c>
      <x:c r="G813" s="114"/>
      <x:c r="H813" s="115"/>
      <x:c r="I813" s="115"/>
      <x:c r="J813" s="115"/>
      <x:c r="K813" s="115"/>
      <x:c r="L813" s="115"/>
      <x:c r="M813" s="115"/>
      <x:c r="N813" s="115"/>
      <x:c r="O813" s="115"/>
      <x:c r="P813" s="115"/>
      <x:c r="Q813" s="115"/>
      <x:c r="R813" s="115"/>
      <x:c r="S813" s="115"/>
      <x:c r="T813" s="115"/>
      <x:c r="U813" s="115"/>
      <x:c r="V813" s="115"/>
      <x:c r="W813" s="115"/>
      <x:c r="X813" s="115"/>
      <x:c r="Y813" s="115"/>
      <x:c r="Z813" s="115"/>
      <x:c r="AA813" s="115"/>
      <x:c r="AB813" s="115"/>
      <x:c r="AC813" s="115"/>
      <x:c r="AD813" s="115"/>
      <x:c r="AE813" s="115"/>
      <x:c r="AF813" s="115"/>
      <x:c r="AG813" s="115"/>
      <x:c r="AH813" s="115"/>
      <x:c r="AI813" s="115"/>
      <x:c r="AJ813" s="115"/>
      <x:c r="AK813" s="115"/>
      <x:c r="AL813" s="115"/>
      <x:c r="AM813" s="115"/>
      <x:c r="AN813" s="115"/>
      <x:c r="AO813" s="115"/>
      <x:c r="AP813" s="115"/>
      <x:c r="AQ813" s="115"/>
      <x:c r="AR813" s="115"/>
      <x:c r="AS813" s="115"/>
      <x:c r="AT813" s="115"/>
      <x:c r="AU813" s="115"/>
      <x:c r="AV813" s="115"/>
      <x:c r="AW813" s="115"/>
      <x:c r="AX813" s="115"/>
      <x:c r="AY813" s="115"/>
      <x:c r="AZ813" s="115"/>
      <x:c r="BA813" s="115"/>
      <x:c r="BB813" s="115"/>
      <x:c r="BC813" s="115"/>
      <x:c r="BD813" s="115"/>
      <x:c r="BE813" s="115"/>
      <x:c r="BF813" s="115"/>
      <x:c r="BG813" s="115"/>
      <x:c r="BH813" s="115"/>
      <x:c r="BI813" s="115"/>
      <x:c r="BJ813" s="115"/>
      <x:c r="BK813" s="115"/>
      <x:c r="BL813" s="115"/>
      <x:c r="BM813" s="115"/>
      <x:c r="BN813" s="115"/>
      <x:c r="BO813" s="115"/>
      <x:c r="BP813" s="115"/>
      <x:c r="BQ813" s="115"/>
      <x:c r="BR813" s="115"/>
      <x:c r="BS813" s="115"/>
      <x:c r="BT813" s="115"/>
      <x:c r="BU813" s="115"/>
      <x:c r="BV813" s="115"/>
      <x:c r="BW813" s="115"/>
      <x:c r="BX813" s="115"/>
      <x:c r="BY813" s="115"/>
      <x:c r="BZ813" s="115"/>
      <x:c r="CA813" s="115"/>
      <x:c r="CB813" s="116"/>
      <x:c r="CC813" s="141" t="str">
        <x:f>IF(COUNT(G813:P813)=0,"",AVERAGE(G813:P813)*4)</x:f>
      </x:c>
      <x:c r="CD813" s="178" t="str">
        <x:f>IF(COUNT(Q813:Z813)=0,"",AVERAGE(Q813:Z813)*4)</x:f>
      </x:c>
      <x:c r="CE813" s="178" t="str">
        <x:f>IF(COUNT(AA813:AJ813)=0,"",AVERAGE(AA813:AJ813)*4)</x:f>
      </x:c>
      <x:c r="CF813" s="178" t="str">
        <x:f>IF(COUNT(AK813:AR813)=0,"",AVERAGE(AK813:AR813)*4)</x:f>
      </x:c>
      <x:c r="CG813" s="178" t="str">
        <x:f>IF(COUNT(AS813:AY813)=0,"",AVERAGE(AS813:AY813)*4)</x:f>
      </x:c>
      <x:c r="CH813" s="178" t="str">
        <x:f>IF(COUNT(AZ813:BG813)=0,"",AVERAGE(AZ813:BG813)*4)</x:f>
      </x:c>
      <x:c r="CI813" s="178" t="str">
        <x:f>IF(COUNT(BH813:BN813)=0,"",AVERAGE(BH813:BN813)*4)</x:f>
      </x:c>
      <x:c r="CJ813" s="178" t="str">
        <x:f>IF(COUNT(BO813:BU813)=0,"",AVERAGE(BO813:BU813)*4)</x:f>
      </x:c>
      <x:c r="CK813" s="178" t="str">
        <x:f>IF(COUNT(BV813:CB813)=0,"",AVERAGE(BV813:CB813)*4)</x:f>
      </x:c>
      <x:c r="CL813" s="178" t="str">
        <x:f>IF(C813="","",IF(COUNT(G813:CB813)&lt;74,"",(CC813*'تنظیمات وزن‌دهی'!$C$5+CD813*'تنظیمات وزن‌دهی'!$C$6+CE813*'تنظیمات وزن‌دهی'!$C$7+CF813*'تنظیمات وزن‌دهی'!$C$8+CG813*'تنظیمات وزن‌دهی'!$C$9+CH813*'تنظیمات وزن‌دهی'!$C$10+CI813*'تنظیمات وزن‌دهی'!$C$11+CJ813*'تنظیمات وزن‌دهی'!$C$12+CK813*'تنظیمات وزن‌دهی'!$C$13)/100))</x:f>
      </x:c>
      <x:c r="CM813" s="178" t="str">
        <x:f>IF(C813="","",IF(COUNT(G813:CB813)=0,"",IF(COUNT(G813:CB813)&lt;74,"موقت - اطلاعات ناقص",IF(CL813&gt;=17,"عالی",IF(CL813&gt;=14,"خوب",IF(CL813&gt;=10,"متوسط","ضعیف"))))))</x:f>
      </x:c>
      <x:c r="CN813" s="178" t="n">
        <x:v>5</x:v>
      </x:c>
      <x:c r="CO813" s="142" t="n">
        <x:f>IF(C813="","",COUNT(G813:CB813)/74)</x:f>
        <x:v>0</x:v>
      </x:c>
      <x:c r="CP813" s="245"/>
    </x:row>
    <x:row r="814">
      <x:c r="A814" s="165" t="n">
        <x:v>810</x:v>
      </x:c>
      <x:c r="B814" s="233" t="str">
        <x:v>آذر</x:v>
      </x:c>
      <x:c r="C814" s="233" t="n">
        <x:f>IF('دانش‌آموزان'!E72="","",'دانش‌آموزان'!B72)</x:f>
        <x:v>68</x:v>
      </x:c>
      <x:c r="D814" s="233" t="str">
        <x:f>IF('دانش‌آموزان'!C72="","",'دانش‌آموزان'!C72)</x:f>
        <x:v>4000000683</x:v>
      </x:c>
      <x:c r="E814" s="233" t="str">
        <x:f>IF('دانش‌آموزان'!E72="","",'دانش‌آموزان'!E72&amp;" "&amp;'دانش‌آموزان'!F72)</x:f>
        <x:v>نگار جعفری</x:v>
      </x:c>
      <x:c r="F814" s="166" t="str">
        <x:f>IF('دانش‌آموزان'!I72="","",'دانش‌آموزان'!I72)</x:f>
        <x:v>sample-7-c</x:v>
      </x:c>
      <x:c r="G814" s="114"/>
      <x:c r="H814" s="115"/>
      <x:c r="I814" s="115"/>
      <x:c r="J814" s="115"/>
      <x:c r="K814" s="115"/>
      <x:c r="L814" s="115"/>
      <x:c r="M814" s="115"/>
      <x:c r="N814" s="115"/>
      <x:c r="O814" s="115"/>
      <x:c r="P814" s="115"/>
      <x:c r="Q814" s="115"/>
      <x:c r="R814" s="115"/>
      <x:c r="S814" s="115"/>
      <x:c r="T814" s="115"/>
      <x:c r="U814" s="115"/>
      <x:c r="V814" s="115"/>
      <x:c r="W814" s="115"/>
      <x:c r="X814" s="115"/>
      <x:c r="Y814" s="115"/>
      <x:c r="Z814" s="115"/>
      <x:c r="AA814" s="115"/>
      <x:c r="AB814" s="115"/>
      <x:c r="AC814" s="115"/>
      <x:c r="AD814" s="115"/>
      <x:c r="AE814" s="115"/>
      <x:c r="AF814" s="115"/>
      <x:c r="AG814" s="115"/>
      <x:c r="AH814" s="115"/>
      <x:c r="AI814" s="115"/>
      <x:c r="AJ814" s="115"/>
      <x:c r="AK814" s="115"/>
      <x:c r="AL814" s="115"/>
      <x:c r="AM814" s="115"/>
      <x:c r="AN814" s="115"/>
      <x:c r="AO814" s="115"/>
      <x:c r="AP814" s="115"/>
      <x:c r="AQ814" s="115"/>
      <x:c r="AR814" s="115"/>
      <x:c r="AS814" s="115"/>
      <x:c r="AT814" s="115"/>
      <x:c r="AU814" s="115"/>
      <x:c r="AV814" s="115"/>
      <x:c r="AW814" s="115"/>
      <x:c r="AX814" s="115"/>
      <x:c r="AY814" s="115"/>
      <x:c r="AZ814" s="115"/>
      <x:c r="BA814" s="115"/>
      <x:c r="BB814" s="115"/>
      <x:c r="BC814" s="115"/>
      <x:c r="BD814" s="115"/>
      <x:c r="BE814" s="115"/>
      <x:c r="BF814" s="115"/>
      <x:c r="BG814" s="115"/>
      <x:c r="BH814" s="115"/>
      <x:c r="BI814" s="115"/>
      <x:c r="BJ814" s="115"/>
      <x:c r="BK814" s="115"/>
      <x:c r="BL814" s="115"/>
      <x:c r="BM814" s="115"/>
      <x:c r="BN814" s="115"/>
      <x:c r="BO814" s="115"/>
      <x:c r="BP814" s="115"/>
      <x:c r="BQ814" s="115"/>
      <x:c r="BR814" s="115"/>
      <x:c r="BS814" s="115"/>
      <x:c r="BT814" s="115"/>
      <x:c r="BU814" s="115"/>
      <x:c r="BV814" s="115"/>
      <x:c r="BW814" s="115"/>
      <x:c r="BX814" s="115"/>
      <x:c r="BY814" s="115"/>
      <x:c r="BZ814" s="115"/>
      <x:c r="CA814" s="115"/>
      <x:c r="CB814" s="116"/>
      <x:c r="CC814" s="141" t="str">
        <x:f>IF(COUNT(G814:P814)=0,"",AVERAGE(G814:P814)*4)</x:f>
      </x:c>
      <x:c r="CD814" s="178" t="str">
        <x:f>IF(COUNT(Q814:Z814)=0,"",AVERAGE(Q814:Z814)*4)</x:f>
      </x:c>
      <x:c r="CE814" s="178" t="str">
        <x:f>IF(COUNT(AA814:AJ814)=0,"",AVERAGE(AA814:AJ814)*4)</x:f>
      </x:c>
      <x:c r="CF814" s="178" t="str">
        <x:f>IF(COUNT(AK814:AR814)=0,"",AVERAGE(AK814:AR814)*4)</x:f>
      </x:c>
      <x:c r="CG814" s="178" t="str">
        <x:f>IF(COUNT(AS814:AY814)=0,"",AVERAGE(AS814:AY814)*4)</x:f>
      </x:c>
      <x:c r="CH814" s="178" t="str">
        <x:f>IF(COUNT(AZ814:BG814)=0,"",AVERAGE(AZ814:BG814)*4)</x:f>
      </x:c>
      <x:c r="CI814" s="178" t="str">
        <x:f>IF(COUNT(BH814:BN814)=0,"",AVERAGE(BH814:BN814)*4)</x:f>
      </x:c>
      <x:c r="CJ814" s="178" t="str">
        <x:f>IF(COUNT(BO814:BU814)=0,"",AVERAGE(BO814:BU814)*4)</x:f>
      </x:c>
      <x:c r="CK814" s="178" t="str">
        <x:f>IF(COUNT(BV814:CB814)=0,"",AVERAGE(BV814:CB814)*4)</x:f>
      </x:c>
      <x:c r="CL814" s="178" t="str">
        <x:f>IF(C814="","",IF(COUNT(G814:CB814)&lt;74,"",(CC814*'تنظیمات وزن‌دهی'!$C$5+CD814*'تنظیمات وزن‌دهی'!$C$6+CE814*'تنظیمات وزن‌دهی'!$C$7+CF814*'تنظیمات وزن‌دهی'!$C$8+CG814*'تنظیمات وزن‌دهی'!$C$9+CH814*'تنظیمات وزن‌دهی'!$C$10+CI814*'تنظیمات وزن‌دهی'!$C$11+CJ814*'تنظیمات وزن‌دهی'!$C$12+CK814*'تنظیمات وزن‌دهی'!$C$13)/100))</x:f>
      </x:c>
      <x:c r="CM814" s="178" t="str">
        <x:f>IF(C814="","",IF(COUNT(G814:CB814)=0,"",IF(COUNT(G814:CB814)&lt;74,"موقت - اطلاعات ناقص",IF(CL814&gt;=17,"عالی",IF(CL814&gt;=14,"خوب",IF(CL814&gt;=10,"متوسط","ضعیف"))))))</x:f>
      </x:c>
      <x:c r="CN814" s="178" t="n">
        <x:v>6</x:v>
      </x:c>
      <x:c r="CO814" s="142" t="n">
        <x:f>IF(C814="","",COUNT(G814:CB814)/74)</x:f>
        <x:v>0</x:v>
      </x:c>
      <x:c r="CP814" s="245"/>
    </x:row>
    <x:row r="815">
      <x:c r="A815" s="165" t="n">
        <x:v>811</x:v>
      </x:c>
      <x:c r="B815" s="233" t="str">
        <x:v>دی</x:v>
      </x:c>
      <x:c r="C815" s="233" t="n">
        <x:f>IF('دانش‌آموزان'!E72="","",'دانش‌آموزان'!B72)</x:f>
        <x:v>68</x:v>
      </x:c>
      <x:c r="D815" s="233" t="str">
        <x:f>IF('دانش‌آموزان'!C72="","",'دانش‌آموزان'!C72)</x:f>
        <x:v>4000000683</x:v>
      </x:c>
      <x:c r="E815" s="233" t="str">
        <x:f>IF('دانش‌آموزان'!E72="","",'دانش‌آموزان'!E72&amp;" "&amp;'دانش‌آموزان'!F72)</x:f>
        <x:v>نگار جعفری</x:v>
      </x:c>
      <x:c r="F815" s="166" t="str">
        <x:f>IF('دانش‌آموزان'!I72="","",'دانش‌آموزان'!I72)</x:f>
        <x:v>sample-7-c</x:v>
      </x:c>
      <x:c r="G815" s="114"/>
      <x:c r="H815" s="115"/>
      <x:c r="I815" s="115"/>
      <x:c r="J815" s="115"/>
      <x:c r="K815" s="115"/>
      <x:c r="L815" s="115"/>
      <x:c r="M815" s="115"/>
      <x:c r="N815" s="115"/>
      <x:c r="O815" s="115"/>
      <x:c r="P815" s="115"/>
      <x:c r="Q815" s="115"/>
      <x:c r="R815" s="115"/>
      <x:c r="S815" s="115"/>
      <x:c r="T815" s="115"/>
      <x:c r="U815" s="115"/>
      <x:c r="V815" s="115"/>
      <x:c r="W815" s="115"/>
      <x:c r="X815" s="115"/>
      <x:c r="Y815" s="115"/>
      <x:c r="Z815" s="115"/>
      <x:c r="AA815" s="115"/>
      <x:c r="AB815" s="115"/>
      <x:c r="AC815" s="115"/>
      <x:c r="AD815" s="115"/>
      <x:c r="AE815" s="115"/>
      <x:c r="AF815" s="115"/>
      <x:c r="AG815" s="115"/>
      <x:c r="AH815" s="115"/>
      <x:c r="AI815" s="115"/>
      <x:c r="AJ815" s="115"/>
      <x:c r="AK815" s="115"/>
      <x:c r="AL815" s="115"/>
      <x:c r="AM815" s="115"/>
      <x:c r="AN815" s="115"/>
      <x:c r="AO815" s="115"/>
      <x:c r="AP815" s="115"/>
      <x:c r="AQ815" s="115"/>
      <x:c r="AR815" s="115"/>
      <x:c r="AS815" s="115"/>
      <x:c r="AT815" s="115"/>
      <x:c r="AU815" s="115"/>
      <x:c r="AV815" s="115"/>
      <x:c r="AW815" s="115"/>
      <x:c r="AX815" s="115"/>
      <x:c r="AY815" s="115"/>
      <x:c r="AZ815" s="115"/>
      <x:c r="BA815" s="115"/>
      <x:c r="BB815" s="115"/>
      <x:c r="BC815" s="115"/>
      <x:c r="BD815" s="115"/>
      <x:c r="BE815" s="115"/>
      <x:c r="BF815" s="115"/>
      <x:c r="BG815" s="115"/>
      <x:c r="BH815" s="115"/>
      <x:c r="BI815" s="115"/>
      <x:c r="BJ815" s="115"/>
      <x:c r="BK815" s="115"/>
      <x:c r="BL815" s="115"/>
      <x:c r="BM815" s="115"/>
      <x:c r="BN815" s="115"/>
      <x:c r="BO815" s="115"/>
      <x:c r="BP815" s="115"/>
      <x:c r="BQ815" s="115"/>
      <x:c r="BR815" s="115"/>
      <x:c r="BS815" s="115"/>
      <x:c r="BT815" s="115"/>
      <x:c r="BU815" s="115"/>
      <x:c r="BV815" s="115"/>
      <x:c r="BW815" s="115"/>
      <x:c r="BX815" s="115"/>
      <x:c r="BY815" s="115"/>
      <x:c r="BZ815" s="115"/>
      <x:c r="CA815" s="115"/>
      <x:c r="CB815" s="116"/>
      <x:c r="CC815" s="141" t="str">
        <x:f>IF(COUNT(G815:P815)=0,"",AVERAGE(G815:P815)*4)</x:f>
      </x:c>
      <x:c r="CD815" s="178" t="str">
        <x:f>IF(COUNT(Q815:Z815)=0,"",AVERAGE(Q815:Z815)*4)</x:f>
      </x:c>
      <x:c r="CE815" s="178" t="str">
        <x:f>IF(COUNT(AA815:AJ815)=0,"",AVERAGE(AA815:AJ815)*4)</x:f>
      </x:c>
      <x:c r="CF815" s="178" t="str">
        <x:f>IF(COUNT(AK815:AR815)=0,"",AVERAGE(AK815:AR815)*4)</x:f>
      </x:c>
      <x:c r="CG815" s="178" t="str">
        <x:f>IF(COUNT(AS815:AY815)=0,"",AVERAGE(AS815:AY815)*4)</x:f>
      </x:c>
      <x:c r="CH815" s="178" t="str">
        <x:f>IF(COUNT(AZ815:BG815)=0,"",AVERAGE(AZ815:BG815)*4)</x:f>
      </x:c>
      <x:c r="CI815" s="178" t="str">
        <x:f>IF(COUNT(BH815:BN815)=0,"",AVERAGE(BH815:BN815)*4)</x:f>
      </x:c>
      <x:c r="CJ815" s="178" t="str">
        <x:f>IF(COUNT(BO815:BU815)=0,"",AVERAGE(BO815:BU815)*4)</x:f>
      </x:c>
      <x:c r="CK815" s="178" t="str">
        <x:f>IF(COUNT(BV815:CB815)=0,"",AVERAGE(BV815:CB815)*4)</x:f>
      </x:c>
      <x:c r="CL815" s="178" t="str">
        <x:f>IF(C815="","",IF(COUNT(G815:CB815)&lt;74,"",(CC815*'تنظیمات وزن‌دهی'!$C$5+CD815*'تنظیمات وزن‌دهی'!$C$6+CE815*'تنظیمات وزن‌دهی'!$C$7+CF815*'تنظیمات وزن‌دهی'!$C$8+CG815*'تنظیمات وزن‌دهی'!$C$9+CH815*'تنظیمات وزن‌دهی'!$C$10+CI815*'تنظیمات وزن‌دهی'!$C$11+CJ815*'تنظیمات وزن‌دهی'!$C$12+CK815*'تنظیمات وزن‌دهی'!$C$13)/100))</x:f>
      </x:c>
      <x:c r="CM815" s="178" t="str">
        <x:f>IF(C815="","",IF(COUNT(G815:CB815)=0,"",IF(COUNT(G815:CB815)&lt;74,"موقت - اطلاعات ناقص",IF(CL815&gt;=17,"عالی",IF(CL815&gt;=14,"خوب",IF(CL815&gt;=10,"متوسط","ضعیف"))))))</x:f>
      </x:c>
      <x:c r="CN815" s="178" t="n">
        <x:v>7</x:v>
      </x:c>
      <x:c r="CO815" s="142" t="n">
        <x:f>IF(C815="","",COUNT(G815:CB815)/74)</x:f>
        <x:v>0</x:v>
      </x:c>
      <x:c r="CP815" s="245"/>
    </x:row>
    <x:row r="816">
      <x:c r="A816" s="165" t="n">
        <x:v>812</x:v>
      </x:c>
      <x:c r="B816" s="233" t="str">
        <x:v>بهمن</x:v>
      </x:c>
      <x:c r="C816" s="233" t="n">
        <x:f>IF('دانش‌آموزان'!E72="","",'دانش‌آموزان'!B72)</x:f>
        <x:v>68</x:v>
      </x:c>
      <x:c r="D816" s="233" t="str">
        <x:f>IF('دانش‌آموزان'!C72="","",'دانش‌آموزان'!C72)</x:f>
        <x:v>4000000683</x:v>
      </x:c>
      <x:c r="E816" s="233" t="str">
        <x:f>IF('دانش‌آموزان'!E72="","",'دانش‌آموزان'!E72&amp;" "&amp;'دانش‌آموزان'!F72)</x:f>
        <x:v>نگار جعفری</x:v>
      </x:c>
      <x:c r="F816" s="166" t="str">
        <x:f>IF('دانش‌آموزان'!I72="","",'دانش‌آموزان'!I72)</x:f>
        <x:v>sample-7-c</x:v>
      </x:c>
      <x:c r="G816" s="114"/>
      <x:c r="H816" s="115"/>
      <x:c r="I816" s="115"/>
      <x:c r="J816" s="115"/>
      <x:c r="K816" s="115"/>
      <x:c r="L816" s="115"/>
      <x:c r="M816" s="115"/>
      <x:c r="N816" s="115"/>
      <x:c r="O816" s="115"/>
      <x:c r="P816" s="115"/>
      <x:c r="Q816" s="115"/>
      <x:c r="R816" s="115"/>
      <x:c r="S816" s="115"/>
      <x:c r="T816" s="115"/>
      <x:c r="U816" s="115"/>
      <x:c r="V816" s="115"/>
      <x:c r="W816" s="115"/>
      <x:c r="X816" s="115"/>
      <x:c r="Y816" s="115"/>
      <x:c r="Z816" s="115"/>
      <x:c r="AA816" s="115"/>
      <x:c r="AB816" s="115"/>
      <x:c r="AC816" s="115"/>
      <x:c r="AD816" s="115"/>
      <x:c r="AE816" s="115"/>
      <x:c r="AF816" s="115"/>
      <x:c r="AG816" s="115"/>
      <x:c r="AH816" s="115"/>
      <x:c r="AI816" s="115"/>
      <x:c r="AJ816" s="115"/>
      <x:c r="AK816" s="115"/>
      <x:c r="AL816" s="115"/>
      <x:c r="AM816" s="115"/>
      <x:c r="AN816" s="115"/>
      <x:c r="AO816" s="115"/>
      <x:c r="AP816" s="115"/>
      <x:c r="AQ816" s="115"/>
      <x:c r="AR816" s="115"/>
      <x:c r="AS816" s="115"/>
      <x:c r="AT816" s="115"/>
      <x:c r="AU816" s="115"/>
      <x:c r="AV816" s="115"/>
      <x:c r="AW816" s="115"/>
      <x:c r="AX816" s="115"/>
      <x:c r="AY816" s="115"/>
      <x:c r="AZ816" s="115"/>
      <x:c r="BA816" s="115"/>
      <x:c r="BB816" s="115"/>
      <x:c r="BC816" s="115"/>
      <x:c r="BD816" s="115"/>
      <x:c r="BE816" s="115"/>
      <x:c r="BF816" s="115"/>
      <x:c r="BG816" s="115"/>
      <x:c r="BH816" s="115"/>
      <x:c r="BI816" s="115"/>
      <x:c r="BJ816" s="115"/>
      <x:c r="BK816" s="115"/>
      <x:c r="BL816" s="115"/>
      <x:c r="BM816" s="115"/>
      <x:c r="BN816" s="115"/>
      <x:c r="BO816" s="115"/>
      <x:c r="BP816" s="115"/>
      <x:c r="BQ816" s="115"/>
      <x:c r="BR816" s="115"/>
      <x:c r="BS816" s="115"/>
      <x:c r="BT816" s="115"/>
      <x:c r="BU816" s="115"/>
      <x:c r="BV816" s="115"/>
      <x:c r="BW816" s="115"/>
      <x:c r="BX816" s="115"/>
      <x:c r="BY816" s="115"/>
      <x:c r="BZ816" s="115"/>
      <x:c r="CA816" s="115"/>
      <x:c r="CB816" s="116"/>
      <x:c r="CC816" s="141" t="str">
        <x:f>IF(COUNT(G816:P816)=0,"",AVERAGE(G816:P816)*4)</x:f>
      </x:c>
      <x:c r="CD816" s="178" t="str">
        <x:f>IF(COUNT(Q816:Z816)=0,"",AVERAGE(Q816:Z816)*4)</x:f>
      </x:c>
      <x:c r="CE816" s="178" t="str">
        <x:f>IF(COUNT(AA816:AJ816)=0,"",AVERAGE(AA816:AJ816)*4)</x:f>
      </x:c>
      <x:c r="CF816" s="178" t="str">
        <x:f>IF(COUNT(AK816:AR816)=0,"",AVERAGE(AK816:AR816)*4)</x:f>
      </x:c>
      <x:c r="CG816" s="178" t="str">
        <x:f>IF(COUNT(AS816:AY816)=0,"",AVERAGE(AS816:AY816)*4)</x:f>
      </x:c>
      <x:c r="CH816" s="178" t="str">
        <x:f>IF(COUNT(AZ816:BG816)=0,"",AVERAGE(AZ816:BG816)*4)</x:f>
      </x:c>
      <x:c r="CI816" s="178" t="str">
        <x:f>IF(COUNT(BH816:BN816)=0,"",AVERAGE(BH816:BN816)*4)</x:f>
      </x:c>
      <x:c r="CJ816" s="178" t="str">
        <x:f>IF(COUNT(BO816:BU816)=0,"",AVERAGE(BO816:BU816)*4)</x:f>
      </x:c>
      <x:c r="CK816" s="178" t="str">
        <x:f>IF(COUNT(BV816:CB816)=0,"",AVERAGE(BV816:CB816)*4)</x:f>
      </x:c>
      <x:c r="CL816" s="178" t="str">
        <x:f>IF(C816="","",IF(COUNT(G816:CB816)&lt;74,"",(CC816*'تنظیمات وزن‌دهی'!$C$5+CD816*'تنظیمات وزن‌دهی'!$C$6+CE816*'تنظیمات وزن‌دهی'!$C$7+CF816*'تنظیمات وزن‌دهی'!$C$8+CG816*'تنظیمات وزن‌دهی'!$C$9+CH816*'تنظیمات وزن‌دهی'!$C$10+CI816*'تنظیمات وزن‌دهی'!$C$11+CJ816*'تنظیمات وزن‌دهی'!$C$12+CK816*'تنظیمات وزن‌دهی'!$C$13)/100))</x:f>
      </x:c>
      <x:c r="CM816" s="178" t="str">
        <x:f>IF(C816="","",IF(COUNT(G816:CB816)=0,"",IF(COUNT(G816:CB816)&lt;74,"موقت - اطلاعات ناقص",IF(CL816&gt;=17,"عالی",IF(CL816&gt;=14,"خوب",IF(CL816&gt;=10,"متوسط","ضعیف"))))))</x:f>
      </x:c>
      <x:c r="CN816" s="178" t="n">
        <x:v>8</x:v>
      </x:c>
      <x:c r="CO816" s="142" t="n">
        <x:f>IF(C816="","",COUNT(G816:CB816)/74)</x:f>
        <x:v>0</x:v>
      </x:c>
      <x:c r="CP816" s="245"/>
    </x:row>
    <x:row r="817">
      <x:c r="A817" s="165" t="n">
        <x:v>813</x:v>
      </x:c>
      <x:c r="B817" s="233" t="str">
        <x:v>اسفند</x:v>
      </x:c>
      <x:c r="C817" s="233" t="n">
        <x:f>IF('دانش‌آموزان'!E72="","",'دانش‌آموزان'!B72)</x:f>
        <x:v>68</x:v>
      </x:c>
      <x:c r="D817" s="233" t="str">
        <x:f>IF('دانش‌آموزان'!C72="","",'دانش‌آموزان'!C72)</x:f>
        <x:v>4000000683</x:v>
      </x:c>
      <x:c r="E817" s="233" t="str">
        <x:f>IF('دانش‌آموزان'!E72="","",'دانش‌آموزان'!E72&amp;" "&amp;'دانش‌آموزان'!F72)</x:f>
        <x:v>نگار جعفری</x:v>
      </x:c>
      <x:c r="F817" s="166" t="str">
        <x:f>IF('دانش‌آموزان'!I72="","",'دانش‌آموزان'!I72)</x:f>
        <x:v>sample-7-c</x:v>
      </x:c>
      <x:c r="G817" s="114"/>
      <x:c r="H817" s="115"/>
      <x:c r="I817" s="115"/>
      <x:c r="J817" s="115"/>
      <x:c r="K817" s="115"/>
      <x:c r="L817" s="115"/>
      <x:c r="M817" s="115"/>
      <x:c r="N817" s="115"/>
      <x:c r="O817" s="115"/>
      <x:c r="P817" s="115"/>
      <x:c r="Q817" s="115"/>
      <x:c r="R817" s="115"/>
      <x:c r="S817" s="115"/>
      <x:c r="T817" s="115"/>
      <x:c r="U817" s="115"/>
      <x:c r="V817" s="115"/>
      <x:c r="W817" s="115"/>
      <x:c r="X817" s="115"/>
      <x:c r="Y817" s="115"/>
      <x:c r="Z817" s="115"/>
      <x:c r="AA817" s="115"/>
      <x:c r="AB817" s="115"/>
      <x:c r="AC817" s="115"/>
      <x:c r="AD817" s="115"/>
      <x:c r="AE817" s="115"/>
      <x:c r="AF817" s="115"/>
      <x:c r="AG817" s="115"/>
      <x:c r="AH817" s="115"/>
      <x:c r="AI817" s="115"/>
      <x:c r="AJ817" s="115"/>
      <x:c r="AK817" s="115"/>
      <x:c r="AL817" s="115"/>
      <x:c r="AM817" s="115"/>
      <x:c r="AN817" s="115"/>
      <x:c r="AO817" s="115"/>
      <x:c r="AP817" s="115"/>
      <x:c r="AQ817" s="115"/>
      <x:c r="AR817" s="115"/>
      <x:c r="AS817" s="115"/>
      <x:c r="AT817" s="115"/>
      <x:c r="AU817" s="115"/>
      <x:c r="AV817" s="115"/>
      <x:c r="AW817" s="115"/>
      <x:c r="AX817" s="115"/>
      <x:c r="AY817" s="115"/>
      <x:c r="AZ817" s="115"/>
      <x:c r="BA817" s="115"/>
      <x:c r="BB817" s="115"/>
      <x:c r="BC817" s="115"/>
      <x:c r="BD817" s="115"/>
      <x:c r="BE817" s="115"/>
      <x:c r="BF817" s="115"/>
      <x:c r="BG817" s="115"/>
      <x:c r="BH817" s="115"/>
      <x:c r="BI817" s="115"/>
      <x:c r="BJ817" s="115"/>
      <x:c r="BK817" s="115"/>
      <x:c r="BL817" s="115"/>
      <x:c r="BM817" s="115"/>
      <x:c r="BN817" s="115"/>
      <x:c r="BO817" s="115"/>
      <x:c r="BP817" s="115"/>
      <x:c r="BQ817" s="115"/>
      <x:c r="BR817" s="115"/>
      <x:c r="BS817" s="115"/>
      <x:c r="BT817" s="115"/>
      <x:c r="BU817" s="115"/>
      <x:c r="BV817" s="115"/>
      <x:c r="BW817" s="115"/>
      <x:c r="BX817" s="115"/>
      <x:c r="BY817" s="115"/>
      <x:c r="BZ817" s="115"/>
      <x:c r="CA817" s="115"/>
      <x:c r="CB817" s="116"/>
      <x:c r="CC817" s="141" t="str">
        <x:f>IF(COUNT(G817:P817)=0,"",AVERAGE(G817:P817)*4)</x:f>
      </x:c>
      <x:c r="CD817" s="178" t="str">
        <x:f>IF(COUNT(Q817:Z817)=0,"",AVERAGE(Q817:Z817)*4)</x:f>
      </x:c>
      <x:c r="CE817" s="178" t="str">
        <x:f>IF(COUNT(AA817:AJ817)=0,"",AVERAGE(AA817:AJ817)*4)</x:f>
      </x:c>
      <x:c r="CF817" s="178" t="str">
        <x:f>IF(COUNT(AK817:AR817)=0,"",AVERAGE(AK817:AR817)*4)</x:f>
      </x:c>
      <x:c r="CG817" s="178" t="str">
        <x:f>IF(COUNT(AS817:AY817)=0,"",AVERAGE(AS817:AY817)*4)</x:f>
      </x:c>
      <x:c r="CH817" s="178" t="str">
        <x:f>IF(COUNT(AZ817:BG817)=0,"",AVERAGE(AZ817:BG817)*4)</x:f>
      </x:c>
      <x:c r="CI817" s="178" t="str">
        <x:f>IF(COUNT(BH817:BN817)=0,"",AVERAGE(BH817:BN817)*4)</x:f>
      </x:c>
      <x:c r="CJ817" s="178" t="str">
        <x:f>IF(COUNT(BO817:BU817)=0,"",AVERAGE(BO817:BU817)*4)</x:f>
      </x:c>
      <x:c r="CK817" s="178" t="str">
        <x:f>IF(COUNT(BV817:CB817)=0,"",AVERAGE(BV817:CB817)*4)</x:f>
      </x:c>
      <x:c r="CL817" s="178" t="str">
        <x:f>IF(C817="","",IF(COUNT(G817:CB817)&lt;74,"",(CC817*'تنظیمات وزن‌دهی'!$C$5+CD817*'تنظیمات وزن‌دهی'!$C$6+CE817*'تنظیمات وزن‌دهی'!$C$7+CF817*'تنظیمات وزن‌دهی'!$C$8+CG817*'تنظیمات وزن‌دهی'!$C$9+CH817*'تنظیمات وزن‌دهی'!$C$10+CI817*'تنظیمات وزن‌دهی'!$C$11+CJ817*'تنظیمات وزن‌دهی'!$C$12+CK817*'تنظیمات وزن‌دهی'!$C$13)/100))</x:f>
      </x:c>
      <x:c r="CM817" s="178" t="str">
        <x:f>IF(C817="","",IF(COUNT(G817:CB817)=0,"",IF(COUNT(G817:CB817)&lt;74,"موقت - اطلاعات ناقص",IF(CL817&gt;=17,"عالی",IF(CL817&gt;=14,"خوب",IF(CL817&gt;=10,"متوسط","ضعیف"))))))</x:f>
      </x:c>
      <x:c r="CN817" s="178" t="n">
        <x:v>9</x:v>
      </x:c>
      <x:c r="CO817" s="142" t="n">
        <x:f>IF(C817="","",COUNT(G817:CB817)/74)</x:f>
        <x:v>0</x:v>
      </x:c>
      <x:c r="CP817" s="245"/>
    </x:row>
    <x:row r="818">
      <x:c r="A818" s="165" t="n">
        <x:v>814</x:v>
      </x:c>
      <x:c r="B818" s="233" t="str">
        <x:v>فروردین</x:v>
      </x:c>
      <x:c r="C818" s="233" t="n">
        <x:f>IF('دانش‌آموزان'!E72="","",'دانش‌آموزان'!B72)</x:f>
        <x:v>68</x:v>
      </x:c>
      <x:c r="D818" s="233" t="str">
        <x:f>IF('دانش‌آموزان'!C72="","",'دانش‌آموزان'!C72)</x:f>
        <x:v>4000000683</x:v>
      </x:c>
      <x:c r="E818" s="233" t="str">
        <x:f>IF('دانش‌آموزان'!E72="","",'دانش‌آموزان'!E72&amp;" "&amp;'دانش‌آموزان'!F72)</x:f>
        <x:v>نگار جعفری</x:v>
      </x:c>
      <x:c r="F818" s="166" t="str">
        <x:f>IF('دانش‌آموزان'!I72="","",'دانش‌آموزان'!I72)</x:f>
        <x:v>sample-7-c</x:v>
      </x:c>
      <x:c r="G818" s="114"/>
      <x:c r="H818" s="115"/>
      <x:c r="I818" s="115"/>
      <x:c r="J818" s="115"/>
      <x:c r="K818" s="115"/>
      <x:c r="L818" s="115"/>
      <x:c r="M818" s="115"/>
      <x:c r="N818" s="115"/>
      <x:c r="O818" s="115"/>
      <x:c r="P818" s="115"/>
      <x:c r="Q818" s="115"/>
      <x:c r="R818" s="115"/>
      <x:c r="S818" s="115"/>
      <x:c r="T818" s="115"/>
      <x:c r="U818" s="115"/>
      <x:c r="V818" s="115"/>
      <x:c r="W818" s="115"/>
      <x:c r="X818" s="115"/>
      <x:c r="Y818" s="115"/>
      <x:c r="Z818" s="115"/>
      <x:c r="AA818" s="115"/>
      <x:c r="AB818" s="115"/>
      <x:c r="AC818" s="115"/>
      <x:c r="AD818" s="115"/>
      <x:c r="AE818" s="115"/>
      <x:c r="AF818" s="115"/>
      <x:c r="AG818" s="115"/>
      <x:c r="AH818" s="115"/>
      <x:c r="AI818" s="115"/>
      <x:c r="AJ818" s="115"/>
      <x:c r="AK818" s="115"/>
      <x:c r="AL818" s="115"/>
      <x:c r="AM818" s="115"/>
      <x:c r="AN818" s="115"/>
      <x:c r="AO818" s="115"/>
      <x:c r="AP818" s="115"/>
      <x:c r="AQ818" s="115"/>
      <x:c r="AR818" s="115"/>
      <x:c r="AS818" s="115"/>
      <x:c r="AT818" s="115"/>
      <x:c r="AU818" s="115"/>
      <x:c r="AV818" s="115"/>
      <x:c r="AW818" s="115"/>
      <x:c r="AX818" s="115"/>
      <x:c r="AY818" s="115"/>
      <x:c r="AZ818" s="115"/>
      <x:c r="BA818" s="115"/>
      <x:c r="BB818" s="115"/>
      <x:c r="BC818" s="115"/>
      <x:c r="BD818" s="115"/>
      <x:c r="BE818" s="115"/>
      <x:c r="BF818" s="115"/>
      <x:c r="BG818" s="115"/>
      <x:c r="BH818" s="115"/>
      <x:c r="BI818" s="115"/>
      <x:c r="BJ818" s="115"/>
      <x:c r="BK818" s="115"/>
      <x:c r="BL818" s="115"/>
      <x:c r="BM818" s="115"/>
      <x:c r="BN818" s="115"/>
      <x:c r="BO818" s="115"/>
      <x:c r="BP818" s="115"/>
      <x:c r="BQ818" s="115"/>
      <x:c r="BR818" s="115"/>
      <x:c r="BS818" s="115"/>
      <x:c r="BT818" s="115"/>
      <x:c r="BU818" s="115"/>
      <x:c r="BV818" s="115"/>
      <x:c r="BW818" s="115"/>
      <x:c r="BX818" s="115"/>
      <x:c r="BY818" s="115"/>
      <x:c r="BZ818" s="115"/>
      <x:c r="CA818" s="115"/>
      <x:c r="CB818" s="116"/>
      <x:c r="CC818" s="141" t="str">
        <x:f>IF(COUNT(G818:P818)=0,"",AVERAGE(G818:P818)*4)</x:f>
      </x:c>
      <x:c r="CD818" s="178" t="str">
        <x:f>IF(COUNT(Q818:Z818)=0,"",AVERAGE(Q818:Z818)*4)</x:f>
      </x:c>
      <x:c r="CE818" s="178" t="str">
        <x:f>IF(COUNT(AA818:AJ818)=0,"",AVERAGE(AA818:AJ818)*4)</x:f>
      </x:c>
      <x:c r="CF818" s="178" t="str">
        <x:f>IF(COUNT(AK818:AR818)=0,"",AVERAGE(AK818:AR818)*4)</x:f>
      </x:c>
      <x:c r="CG818" s="178" t="str">
        <x:f>IF(COUNT(AS818:AY818)=0,"",AVERAGE(AS818:AY818)*4)</x:f>
      </x:c>
      <x:c r="CH818" s="178" t="str">
        <x:f>IF(COUNT(AZ818:BG818)=0,"",AVERAGE(AZ818:BG818)*4)</x:f>
      </x:c>
      <x:c r="CI818" s="178" t="str">
        <x:f>IF(COUNT(BH818:BN818)=0,"",AVERAGE(BH818:BN818)*4)</x:f>
      </x:c>
      <x:c r="CJ818" s="178" t="str">
        <x:f>IF(COUNT(BO818:BU818)=0,"",AVERAGE(BO818:BU818)*4)</x:f>
      </x:c>
      <x:c r="CK818" s="178" t="str">
        <x:f>IF(COUNT(BV818:CB818)=0,"",AVERAGE(BV818:CB818)*4)</x:f>
      </x:c>
      <x:c r="CL818" s="178" t="str">
        <x:f>IF(C818="","",IF(COUNT(G818:CB818)&lt;74,"",(CC818*'تنظیمات وزن‌دهی'!$C$5+CD818*'تنظیمات وزن‌دهی'!$C$6+CE818*'تنظیمات وزن‌دهی'!$C$7+CF818*'تنظیمات وزن‌دهی'!$C$8+CG818*'تنظیمات وزن‌دهی'!$C$9+CH818*'تنظیمات وزن‌دهی'!$C$10+CI818*'تنظیمات وزن‌دهی'!$C$11+CJ818*'تنظیمات وزن‌دهی'!$C$12+CK818*'تنظیمات وزن‌دهی'!$C$13)/100))</x:f>
      </x:c>
      <x:c r="CM818" s="178" t="str">
        <x:f>IF(C818="","",IF(COUNT(G818:CB818)=0,"",IF(COUNT(G818:CB818)&lt;74,"موقت - اطلاعات ناقص",IF(CL818&gt;=17,"عالی",IF(CL818&gt;=14,"خوب",IF(CL818&gt;=10,"متوسط","ضعیف"))))))</x:f>
      </x:c>
      <x:c r="CN818" s="178" t="n">
        <x:v>10</x:v>
      </x:c>
      <x:c r="CO818" s="142" t="n">
        <x:f>IF(C818="","",COUNT(G818:CB818)/74)</x:f>
        <x:v>0</x:v>
      </x:c>
      <x:c r="CP818" s="245"/>
    </x:row>
    <x:row r="819">
      <x:c r="A819" s="165" t="n">
        <x:v>815</x:v>
      </x:c>
      <x:c r="B819" s="233" t="str">
        <x:v>اردیبهشت</x:v>
      </x:c>
      <x:c r="C819" s="233" t="n">
        <x:f>IF('دانش‌آموزان'!E72="","",'دانش‌آموزان'!B72)</x:f>
        <x:v>68</x:v>
      </x:c>
      <x:c r="D819" s="233" t="str">
        <x:f>IF('دانش‌آموزان'!C72="","",'دانش‌آموزان'!C72)</x:f>
        <x:v>4000000683</x:v>
      </x:c>
      <x:c r="E819" s="233" t="str">
        <x:f>IF('دانش‌آموزان'!E72="","",'دانش‌آموزان'!E72&amp;" "&amp;'دانش‌آموزان'!F72)</x:f>
        <x:v>نگار جعفری</x:v>
      </x:c>
      <x:c r="F819" s="166" t="str">
        <x:f>IF('دانش‌آموزان'!I72="","",'دانش‌آموزان'!I72)</x:f>
        <x:v>sample-7-c</x:v>
      </x:c>
      <x:c r="G819" s="114"/>
      <x:c r="H819" s="115"/>
      <x:c r="I819" s="115"/>
      <x:c r="J819" s="115"/>
      <x:c r="K819" s="115"/>
      <x:c r="L819" s="115"/>
      <x:c r="M819" s="115"/>
      <x:c r="N819" s="115"/>
      <x:c r="O819" s="115"/>
      <x:c r="P819" s="115"/>
      <x:c r="Q819" s="115"/>
      <x:c r="R819" s="115"/>
      <x:c r="S819" s="115"/>
      <x:c r="T819" s="115"/>
      <x:c r="U819" s="115"/>
      <x:c r="V819" s="115"/>
      <x:c r="W819" s="115"/>
      <x:c r="X819" s="115"/>
      <x:c r="Y819" s="115"/>
      <x:c r="Z819" s="115"/>
      <x:c r="AA819" s="115"/>
      <x:c r="AB819" s="115"/>
      <x:c r="AC819" s="115"/>
      <x:c r="AD819" s="115"/>
      <x:c r="AE819" s="115"/>
      <x:c r="AF819" s="115"/>
      <x:c r="AG819" s="115"/>
      <x:c r="AH819" s="115"/>
      <x:c r="AI819" s="115"/>
      <x:c r="AJ819" s="115"/>
      <x:c r="AK819" s="115"/>
      <x:c r="AL819" s="115"/>
      <x:c r="AM819" s="115"/>
      <x:c r="AN819" s="115"/>
      <x:c r="AO819" s="115"/>
      <x:c r="AP819" s="115"/>
      <x:c r="AQ819" s="115"/>
      <x:c r="AR819" s="115"/>
      <x:c r="AS819" s="115"/>
      <x:c r="AT819" s="115"/>
      <x:c r="AU819" s="115"/>
      <x:c r="AV819" s="115"/>
      <x:c r="AW819" s="115"/>
      <x:c r="AX819" s="115"/>
      <x:c r="AY819" s="115"/>
      <x:c r="AZ819" s="115"/>
      <x:c r="BA819" s="115"/>
      <x:c r="BB819" s="115"/>
      <x:c r="BC819" s="115"/>
      <x:c r="BD819" s="115"/>
      <x:c r="BE819" s="115"/>
      <x:c r="BF819" s="115"/>
      <x:c r="BG819" s="115"/>
      <x:c r="BH819" s="115"/>
      <x:c r="BI819" s="115"/>
      <x:c r="BJ819" s="115"/>
      <x:c r="BK819" s="115"/>
      <x:c r="BL819" s="115"/>
      <x:c r="BM819" s="115"/>
      <x:c r="BN819" s="115"/>
      <x:c r="BO819" s="115"/>
      <x:c r="BP819" s="115"/>
      <x:c r="BQ819" s="115"/>
      <x:c r="BR819" s="115"/>
      <x:c r="BS819" s="115"/>
      <x:c r="BT819" s="115"/>
      <x:c r="BU819" s="115"/>
      <x:c r="BV819" s="115"/>
      <x:c r="BW819" s="115"/>
      <x:c r="BX819" s="115"/>
      <x:c r="BY819" s="115"/>
      <x:c r="BZ819" s="115"/>
      <x:c r="CA819" s="115"/>
      <x:c r="CB819" s="116"/>
      <x:c r="CC819" s="141" t="str">
        <x:f>IF(COUNT(G819:P819)=0,"",AVERAGE(G819:P819)*4)</x:f>
      </x:c>
      <x:c r="CD819" s="178" t="str">
        <x:f>IF(COUNT(Q819:Z819)=0,"",AVERAGE(Q819:Z819)*4)</x:f>
      </x:c>
      <x:c r="CE819" s="178" t="str">
        <x:f>IF(COUNT(AA819:AJ819)=0,"",AVERAGE(AA819:AJ819)*4)</x:f>
      </x:c>
      <x:c r="CF819" s="178" t="str">
        <x:f>IF(COUNT(AK819:AR819)=0,"",AVERAGE(AK819:AR819)*4)</x:f>
      </x:c>
      <x:c r="CG819" s="178" t="str">
        <x:f>IF(COUNT(AS819:AY819)=0,"",AVERAGE(AS819:AY819)*4)</x:f>
      </x:c>
      <x:c r="CH819" s="178" t="str">
        <x:f>IF(COUNT(AZ819:BG819)=0,"",AVERAGE(AZ819:BG819)*4)</x:f>
      </x:c>
      <x:c r="CI819" s="178" t="str">
        <x:f>IF(COUNT(BH819:BN819)=0,"",AVERAGE(BH819:BN819)*4)</x:f>
      </x:c>
      <x:c r="CJ819" s="178" t="str">
        <x:f>IF(COUNT(BO819:BU819)=0,"",AVERAGE(BO819:BU819)*4)</x:f>
      </x:c>
      <x:c r="CK819" s="178" t="str">
        <x:f>IF(COUNT(BV819:CB819)=0,"",AVERAGE(BV819:CB819)*4)</x:f>
      </x:c>
      <x:c r="CL819" s="178" t="str">
        <x:f>IF(C819="","",IF(COUNT(G819:CB819)&lt;74,"",(CC819*'تنظیمات وزن‌دهی'!$C$5+CD819*'تنظیمات وزن‌دهی'!$C$6+CE819*'تنظیمات وزن‌دهی'!$C$7+CF819*'تنظیمات وزن‌دهی'!$C$8+CG819*'تنظیمات وزن‌دهی'!$C$9+CH819*'تنظیمات وزن‌دهی'!$C$10+CI819*'تنظیمات وزن‌دهی'!$C$11+CJ819*'تنظیمات وزن‌دهی'!$C$12+CK819*'تنظیمات وزن‌دهی'!$C$13)/100))</x:f>
      </x:c>
      <x:c r="CM819" s="178" t="str">
        <x:f>IF(C819="","",IF(COUNT(G819:CB819)=0,"",IF(COUNT(G819:CB819)&lt;74,"موقت - اطلاعات ناقص",IF(CL819&gt;=17,"عالی",IF(CL819&gt;=14,"خوب",IF(CL819&gt;=10,"متوسط","ضعیف"))))))</x:f>
      </x:c>
      <x:c r="CN819" s="178" t="n">
        <x:v>11</x:v>
      </x:c>
      <x:c r="CO819" s="142" t="n">
        <x:f>IF(C819="","",COUNT(G819:CB819)/74)</x:f>
        <x:v>0</x:v>
      </x:c>
      <x:c r="CP819" s="245"/>
    </x:row>
    <x:row r="820">
      <x:c r="A820" s="165" t="n">
        <x:v>816</x:v>
      </x:c>
      <x:c r="B820" s="233" t="str">
        <x:v>خرداد</x:v>
      </x:c>
      <x:c r="C820" s="233" t="n">
        <x:f>IF('دانش‌آموزان'!E72="","",'دانش‌آموزان'!B72)</x:f>
        <x:v>68</x:v>
      </x:c>
      <x:c r="D820" s="233" t="str">
        <x:f>IF('دانش‌آموزان'!C72="","",'دانش‌آموزان'!C72)</x:f>
        <x:v>4000000683</x:v>
      </x:c>
      <x:c r="E820" s="233" t="str">
        <x:f>IF('دانش‌آموزان'!E72="","",'دانش‌آموزان'!E72&amp;" "&amp;'دانش‌آموزان'!F72)</x:f>
        <x:v>نگار جعفری</x:v>
      </x:c>
      <x:c r="F820" s="166" t="str">
        <x:f>IF('دانش‌آموزان'!I72="","",'دانش‌آموزان'!I72)</x:f>
        <x:v>sample-7-c</x:v>
      </x:c>
      <x:c r="G820" s="114"/>
      <x:c r="H820" s="115"/>
      <x:c r="I820" s="115"/>
      <x:c r="J820" s="115"/>
      <x:c r="K820" s="115"/>
      <x:c r="L820" s="115"/>
      <x:c r="M820" s="115"/>
      <x:c r="N820" s="115"/>
      <x:c r="O820" s="115"/>
      <x:c r="P820" s="115"/>
      <x:c r="Q820" s="115"/>
      <x:c r="R820" s="115"/>
      <x:c r="S820" s="115"/>
      <x:c r="T820" s="115"/>
      <x:c r="U820" s="115"/>
      <x:c r="V820" s="115"/>
      <x:c r="W820" s="115"/>
      <x:c r="X820" s="115"/>
      <x:c r="Y820" s="115"/>
      <x:c r="Z820" s="115"/>
      <x:c r="AA820" s="115"/>
      <x:c r="AB820" s="115"/>
      <x:c r="AC820" s="115"/>
      <x:c r="AD820" s="115"/>
      <x:c r="AE820" s="115"/>
      <x:c r="AF820" s="115"/>
      <x:c r="AG820" s="115"/>
      <x:c r="AH820" s="115"/>
      <x:c r="AI820" s="115"/>
      <x:c r="AJ820" s="115"/>
      <x:c r="AK820" s="115"/>
      <x:c r="AL820" s="115"/>
      <x:c r="AM820" s="115"/>
      <x:c r="AN820" s="115"/>
      <x:c r="AO820" s="115"/>
      <x:c r="AP820" s="115"/>
      <x:c r="AQ820" s="115"/>
      <x:c r="AR820" s="115"/>
      <x:c r="AS820" s="115"/>
      <x:c r="AT820" s="115"/>
      <x:c r="AU820" s="115"/>
      <x:c r="AV820" s="115"/>
      <x:c r="AW820" s="115"/>
      <x:c r="AX820" s="115"/>
      <x:c r="AY820" s="115"/>
      <x:c r="AZ820" s="115"/>
      <x:c r="BA820" s="115"/>
      <x:c r="BB820" s="115"/>
      <x:c r="BC820" s="115"/>
      <x:c r="BD820" s="115"/>
      <x:c r="BE820" s="115"/>
      <x:c r="BF820" s="115"/>
      <x:c r="BG820" s="115"/>
      <x:c r="BH820" s="115"/>
      <x:c r="BI820" s="115"/>
      <x:c r="BJ820" s="115"/>
      <x:c r="BK820" s="115"/>
      <x:c r="BL820" s="115"/>
      <x:c r="BM820" s="115"/>
      <x:c r="BN820" s="115"/>
      <x:c r="BO820" s="115"/>
      <x:c r="BP820" s="115"/>
      <x:c r="BQ820" s="115"/>
      <x:c r="BR820" s="115"/>
      <x:c r="BS820" s="115"/>
      <x:c r="BT820" s="115"/>
      <x:c r="BU820" s="115"/>
      <x:c r="BV820" s="115"/>
      <x:c r="BW820" s="115"/>
      <x:c r="BX820" s="115"/>
      <x:c r="BY820" s="115"/>
      <x:c r="BZ820" s="115"/>
      <x:c r="CA820" s="115"/>
      <x:c r="CB820" s="116"/>
      <x:c r="CC820" s="141" t="str">
        <x:f>IF(COUNT(G820:P820)=0,"",AVERAGE(G820:P820)*4)</x:f>
      </x:c>
      <x:c r="CD820" s="178" t="str">
        <x:f>IF(COUNT(Q820:Z820)=0,"",AVERAGE(Q820:Z820)*4)</x:f>
      </x:c>
      <x:c r="CE820" s="178" t="str">
        <x:f>IF(COUNT(AA820:AJ820)=0,"",AVERAGE(AA820:AJ820)*4)</x:f>
      </x:c>
      <x:c r="CF820" s="178" t="str">
        <x:f>IF(COUNT(AK820:AR820)=0,"",AVERAGE(AK820:AR820)*4)</x:f>
      </x:c>
      <x:c r="CG820" s="178" t="str">
        <x:f>IF(COUNT(AS820:AY820)=0,"",AVERAGE(AS820:AY820)*4)</x:f>
      </x:c>
      <x:c r="CH820" s="178" t="str">
        <x:f>IF(COUNT(AZ820:BG820)=0,"",AVERAGE(AZ820:BG820)*4)</x:f>
      </x:c>
      <x:c r="CI820" s="178" t="str">
        <x:f>IF(COUNT(BH820:BN820)=0,"",AVERAGE(BH820:BN820)*4)</x:f>
      </x:c>
      <x:c r="CJ820" s="178" t="str">
        <x:f>IF(COUNT(BO820:BU820)=0,"",AVERAGE(BO820:BU820)*4)</x:f>
      </x:c>
      <x:c r="CK820" s="178" t="str">
        <x:f>IF(COUNT(BV820:CB820)=0,"",AVERAGE(BV820:CB820)*4)</x:f>
      </x:c>
      <x:c r="CL820" s="178" t="str">
        <x:f>IF(C820="","",IF(COUNT(G820:CB820)&lt;74,"",(CC820*'تنظیمات وزن‌دهی'!$C$5+CD820*'تنظیمات وزن‌دهی'!$C$6+CE820*'تنظیمات وزن‌دهی'!$C$7+CF820*'تنظیمات وزن‌دهی'!$C$8+CG820*'تنظیمات وزن‌دهی'!$C$9+CH820*'تنظیمات وزن‌دهی'!$C$10+CI820*'تنظیمات وزن‌دهی'!$C$11+CJ820*'تنظیمات وزن‌دهی'!$C$12+CK820*'تنظیمات وزن‌دهی'!$C$13)/100))</x:f>
      </x:c>
      <x:c r="CM820" s="178" t="str">
        <x:f>IF(C820="","",IF(COUNT(G820:CB820)=0,"",IF(COUNT(G820:CB820)&lt;74,"موقت - اطلاعات ناقص",IF(CL820&gt;=17,"عالی",IF(CL820&gt;=14,"خوب",IF(CL820&gt;=10,"متوسط","ضعیف"))))))</x:f>
      </x:c>
      <x:c r="CN820" s="178" t="n">
        <x:v>12</x:v>
      </x:c>
      <x:c r="CO820" s="142" t="n">
        <x:f>IF(C820="","",COUNT(G820:CB820)/74)</x:f>
        <x:v>0</x:v>
      </x:c>
      <x:c r="CP820" s="245"/>
    </x:row>
    <x:row r="821">
      <x:c r="A821" s="165" t="n">
        <x:v>817</x:v>
      </x:c>
      <x:c r="B821" s="233" t="str">
        <x:v>تیر</x:v>
      </x:c>
      <x:c r="C821" s="233" t="n">
        <x:f>IF('دانش‌آموزان'!E73="","",'دانش‌آموزان'!B73)</x:f>
        <x:v>69</x:v>
      </x:c>
      <x:c r="D821" s="233" t="str">
        <x:f>IF('دانش‌آموزان'!C73="","",'دانش‌آموزان'!C73)</x:f>
        <x:v>4000000691</x:v>
      </x:c>
      <x:c r="E821" s="233" t="str">
        <x:f>IF('دانش‌آموزان'!E73="","",'دانش‌آموزان'!E73&amp;" "&amp;'دانش‌آموزان'!F73)</x:f>
        <x:v>سام امینی</x:v>
      </x:c>
      <x:c r="F821" s="166" t="str">
        <x:f>IF('دانش‌آموزان'!I73="","",'دانش‌آموزان'!I73)</x:f>
        <x:v>sample-7-c</x:v>
      </x:c>
      <x:c r="G821" s="114" t="n">
        <x:v>4</x:v>
      </x:c>
      <x:c r="H821" s="115" t="n">
        <x:v>2</x:v>
      </x:c>
      <x:c r="I821" s="115" t="n">
        <x:v>4</x:v>
      </x:c>
      <x:c r="J821" s="115" t="n">
        <x:v>5</x:v>
      </x:c>
      <x:c r="K821" s="115" t="n">
        <x:v>4</x:v>
      </x:c>
      <x:c r="L821" s="115" t="n">
        <x:v>5</x:v>
      </x:c>
      <x:c r="M821" s="115" t="n">
        <x:v>3</x:v>
      </x:c>
      <x:c r="N821" s="115" t="n">
        <x:v>5</x:v>
      </x:c>
      <x:c r="O821" s="115" t="n">
        <x:v>3</x:v>
      </x:c>
      <x:c r="P821" s="115" t="n">
        <x:v>4</x:v>
      </x:c>
      <x:c r="Q821" s="115" t="n">
        <x:v>3</x:v>
      </x:c>
      <x:c r="R821" s="115" t="n">
        <x:v>4</x:v>
      </x:c>
      <x:c r="S821" s="115" t="n">
        <x:v>2</x:v>
      </x:c>
      <x:c r="T821" s="115" t="n">
        <x:v>4</x:v>
      </x:c>
      <x:c r="U821" s="115" t="n">
        <x:v>5</x:v>
      </x:c>
      <x:c r="V821" s="115" t="n">
        <x:v>4</x:v>
      </x:c>
      <x:c r="W821" s="115" t="n">
        <x:v>5</x:v>
      </x:c>
      <x:c r="X821" s="115" t="n">
        <x:v>3</x:v>
      </x:c>
      <x:c r="Y821" s="115" t="n">
        <x:v>5</x:v>
      </x:c>
      <x:c r="Z821" s="115" t="n">
        <x:v>3</x:v>
      </x:c>
      <x:c r="AA821" s="115" t="n">
        <x:v>4</x:v>
      </x:c>
      <x:c r="AB821" s="115" t="n">
        <x:v>3</x:v>
      </x:c>
      <x:c r="AC821" s="115" t="n">
        <x:v>4</x:v>
      </x:c>
      <x:c r="AD821" s="115" t="n">
        <x:v>2</x:v>
      </x:c>
      <x:c r="AE821" s="115" t="n">
        <x:v>4</x:v>
      </x:c>
      <x:c r="AF821" s="115" t="n">
        <x:v>5</x:v>
      </x:c>
      <x:c r="AG821" s="115" t="n">
        <x:v>4</x:v>
      </x:c>
      <x:c r="AH821" s="115" t="n">
        <x:v>5</x:v>
      </x:c>
      <x:c r="AI821" s="115" t="n">
        <x:v>3</x:v>
      </x:c>
      <x:c r="AJ821" s="115" t="n">
        <x:v>5</x:v>
      </x:c>
      <x:c r="AK821" s="115" t="n">
        <x:v>3</x:v>
      </x:c>
      <x:c r="AL821" s="115" t="n">
        <x:v>4</x:v>
      </x:c>
      <x:c r="AM821" s="115" t="n">
        <x:v>3</x:v>
      </x:c>
      <x:c r="AN821" s="115" t="n">
        <x:v>4</x:v>
      </x:c>
      <x:c r="AO821" s="115" t="n">
        <x:v>2</x:v>
      </x:c>
      <x:c r="AP821" s="115" t="n">
        <x:v>4</x:v>
      </x:c>
      <x:c r="AQ821" s="115" t="n">
        <x:v>5</x:v>
      </x:c>
      <x:c r="AR821" s="115" t="n">
        <x:v>4</x:v>
      </x:c>
      <x:c r="AS821" s="115" t="n">
        <x:v>5</x:v>
      </x:c>
      <x:c r="AT821" s="115" t="n">
        <x:v>3</x:v>
      </x:c>
      <x:c r="AU821" s="115" t="n">
        <x:v>5</x:v>
      </x:c>
      <x:c r="AV821" s="115" t="n">
        <x:v>3</x:v>
      </x:c>
      <x:c r="AW821" s="115" t="n">
        <x:v>4</x:v>
      </x:c>
      <x:c r="AX821" s="115" t="n">
        <x:v>3</x:v>
      </x:c>
      <x:c r="AY821" s="115" t="n">
        <x:v>4</x:v>
      </x:c>
      <x:c r="AZ821" s="115" t="n">
        <x:v>2</x:v>
      </x:c>
      <x:c r="BA821" s="115" t="n">
        <x:v>4</x:v>
      </x:c>
      <x:c r="BB821" s="115" t="n">
        <x:v>5</x:v>
      </x:c>
      <x:c r="BC821" s="115" t="n">
        <x:v>4</x:v>
      </x:c>
      <x:c r="BD821" s="115" t="n">
        <x:v>5</x:v>
      </x:c>
      <x:c r="BE821" s="115" t="n">
        <x:v>3</x:v>
      </x:c>
      <x:c r="BF821" s="115" t="n">
        <x:v>5</x:v>
      </x:c>
      <x:c r="BG821" s="115" t="n">
        <x:v>3</x:v>
      </x:c>
      <x:c r="BH821" s="115" t="n">
        <x:v>4</x:v>
      </x:c>
      <x:c r="BI821" s="115" t="n">
        <x:v>3</x:v>
      </x:c>
      <x:c r="BJ821" s="115" t="n">
        <x:v>4</x:v>
      </x:c>
      <x:c r="BK821" s="115" t="n">
        <x:v>2</x:v>
      </x:c>
      <x:c r="BL821" s="115" t="n">
        <x:v>4</x:v>
      </x:c>
      <x:c r="BM821" s="115" t="n">
        <x:v>5</x:v>
      </x:c>
      <x:c r="BN821" s="115" t="n">
        <x:v>4</x:v>
      </x:c>
      <x:c r="BO821" s="115" t="n">
        <x:v>5</x:v>
      </x:c>
      <x:c r="BP821" s="115" t="n">
        <x:v>3</x:v>
      </x:c>
      <x:c r="BQ821" s="115" t="n">
        <x:v>5</x:v>
      </x:c>
      <x:c r="BR821" s="115" t="n">
        <x:v>3</x:v>
      </x:c>
      <x:c r="BS821" s="115" t="n">
        <x:v>4</x:v>
      </x:c>
      <x:c r="BT821" s="115" t="n">
        <x:v>3</x:v>
      </x:c>
      <x:c r="BU821" s="115" t="n">
        <x:v>4</x:v>
      </x:c>
      <x:c r="BV821" s="115" t="n">
        <x:v>2</x:v>
      </x:c>
      <x:c r="BW821" s="115" t="n">
        <x:v>4</x:v>
      </x:c>
      <x:c r="BX821" s="115" t="n">
        <x:v>5</x:v>
      </x:c>
      <x:c r="BY821" s="115" t="n">
        <x:v>4</x:v>
      </x:c>
      <x:c r="BZ821" s="115" t="n">
        <x:v>5</x:v>
      </x:c>
      <x:c r="CA821" s="115" t="n">
        <x:v>3</x:v>
      </x:c>
      <x:c r="CB821" s="116" t="n">
        <x:v>5</x:v>
      </x:c>
      <x:c r="CC821" s="141" t="n">
        <x:f>IF(COUNT(G821:P821)=0,"",AVERAGE(G821:P821)*4)</x:f>
        <x:v>15.6</x:v>
      </x:c>
      <x:c r="CD821" s="178" t="n">
        <x:f>IF(COUNT(Q821:Z821)=0,"",AVERAGE(Q821:Z821)*4)</x:f>
        <x:v>15.2</x:v>
      </x:c>
      <x:c r="CE821" s="178" t="n">
        <x:f>IF(COUNT(AA821:AJ821)=0,"",AVERAGE(AA821:AJ821)*4)</x:f>
        <x:v>15.6</x:v>
      </x:c>
      <x:c r="CF821" s="178" t="n">
        <x:f>IF(COUNT(AK821:AR821)=0,"",AVERAGE(AK821:AR821)*4)</x:f>
        <x:v>14.5</x:v>
      </x:c>
      <x:c r="CG821" s="178" t="n">
        <x:f>IF(COUNT(AS821:AY821)=0,"",AVERAGE(AS821:AY821)*4)</x:f>
        <x:v>15.428571428571429</x:v>
      </x:c>
      <x:c r="CH821" s="178" t="n">
        <x:f>IF(COUNT(AZ821:BG821)=0,"",AVERAGE(AZ821:BG821)*4)</x:f>
        <x:v>15.5</x:v>
      </x:c>
      <x:c r="CI821" s="178" t="n">
        <x:f>IF(COUNT(BH821:BN821)=0,"",AVERAGE(BH821:BN821)*4)</x:f>
        <x:v>14.857142857142858</x:v>
      </x:c>
      <x:c r="CJ821" s="178" t="n">
        <x:f>IF(COUNT(BO821:BU821)=0,"",AVERAGE(BO821:BU821)*4)</x:f>
        <x:v>15.428571428571429</x:v>
      </x:c>
      <x:c r="CK821" s="178" t="n">
        <x:f>IF(COUNT(BV821:CB821)=0,"",AVERAGE(BV821:CB821)*4)</x:f>
        <x:v>16</x:v>
      </x:c>
      <x:c r="CL821" s="178" t="n">
        <x:f>IF(C821="","",IF(COUNT(G821:CB821)&lt;74,"",(CC821*'تنظیمات وزن‌دهی'!$C$5+CD821*'تنظیمات وزن‌دهی'!$C$6+CE821*'تنظیمات وزن‌دهی'!$C$7+CF821*'تنظیمات وزن‌دهی'!$C$8+CG821*'تنظیمات وزن‌دهی'!$C$9+CH821*'تنظیمات وزن‌دهی'!$C$10+CI821*'تنظیمات وزن‌دهی'!$C$11+CJ821*'تنظیمات وزن‌دهی'!$C$12+CK821*'تنظیمات وزن‌دهی'!$C$13)/100))</x:f>
        <x:v>15.320714285714287</x:v>
      </x:c>
      <x:c r="CM821" s="178" t="str">
        <x:f>IF(C821="","",IF(COUNT(G821:CB821)=0,"",IF(COUNT(G821:CB821)&lt;74,"موقت - اطلاعات ناقص",IF(CL821&gt;=17,"عالی",IF(CL821&gt;=14,"خوب",IF(CL821&gt;=10,"متوسط","ضعیف"))))))</x:f>
        <x:v>خوب</x:v>
      </x:c>
      <x:c r="CN821" s="178" t="n">
        <x:v>1</x:v>
      </x:c>
      <x:c r="CO821" s="142" t="n">
        <x:f>IF(C821="","",COUNT(G821:CB821)/74)</x:f>
        <x:v>1</x:v>
      </x:c>
      <x:c r="CP821" s="245" t="str">
        <x:v>داده نمونه کامل برای ماه تیر - دانش‌آموز شماره 69</x:v>
      </x:c>
    </x:row>
    <x:row r="822">
      <x:c r="A822" s="165" t="n">
        <x:v>818</x:v>
      </x:c>
      <x:c r="B822" s="233" t="str">
        <x:v>مرداد</x:v>
      </x:c>
      <x:c r="C822" s="233" t="n">
        <x:f>IF('دانش‌آموزان'!E73="","",'دانش‌آموزان'!B73)</x:f>
        <x:v>69</x:v>
      </x:c>
      <x:c r="D822" s="233" t="str">
        <x:f>IF('دانش‌آموزان'!C73="","",'دانش‌آموزان'!C73)</x:f>
        <x:v>4000000691</x:v>
      </x:c>
      <x:c r="E822" s="233" t="str">
        <x:f>IF('دانش‌آموزان'!E73="","",'دانش‌آموزان'!E73&amp;" "&amp;'دانش‌آموزان'!F73)</x:f>
        <x:v>سام امینی</x:v>
      </x:c>
      <x:c r="F822" s="166" t="str">
        <x:f>IF('دانش‌آموزان'!I73="","",'دانش‌آموزان'!I73)</x:f>
        <x:v>sample-7-c</x:v>
      </x:c>
      <x:c r="G822" s="114"/>
      <x:c r="H822" s="115"/>
      <x:c r="I822" s="115"/>
      <x:c r="J822" s="115"/>
      <x:c r="K822" s="115"/>
      <x:c r="L822" s="115"/>
      <x:c r="M822" s="115"/>
      <x:c r="N822" s="115"/>
      <x:c r="O822" s="115"/>
      <x:c r="P822" s="115"/>
      <x:c r="Q822" s="115"/>
      <x:c r="R822" s="115"/>
      <x:c r="S822" s="115"/>
      <x:c r="T822" s="115"/>
      <x:c r="U822" s="115"/>
      <x:c r="V822" s="115"/>
      <x:c r="W822" s="115"/>
      <x:c r="X822" s="115"/>
      <x:c r="Y822" s="115"/>
      <x:c r="Z822" s="115"/>
      <x:c r="AA822" s="115"/>
      <x:c r="AB822" s="115"/>
      <x:c r="AC822" s="115"/>
      <x:c r="AD822" s="115"/>
      <x:c r="AE822" s="115"/>
      <x:c r="AF822" s="115"/>
      <x:c r="AG822" s="115"/>
      <x:c r="AH822" s="115"/>
      <x:c r="AI822" s="115"/>
      <x:c r="AJ822" s="115"/>
      <x:c r="AK822" s="115"/>
      <x:c r="AL822" s="115"/>
      <x:c r="AM822" s="115"/>
      <x:c r="AN822" s="115"/>
      <x:c r="AO822" s="115"/>
      <x:c r="AP822" s="115"/>
      <x:c r="AQ822" s="115"/>
      <x:c r="AR822" s="115"/>
      <x:c r="AS822" s="115"/>
      <x:c r="AT822" s="115"/>
      <x:c r="AU822" s="115"/>
      <x:c r="AV822" s="115"/>
      <x:c r="AW822" s="115"/>
      <x:c r="AX822" s="115"/>
      <x:c r="AY822" s="115"/>
      <x:c r="AZ822" s="115"/>
      <x:c r="BA822" s="115"/>
      <x:c r="BB822" s="115"/>
      <x:c r="BC822" s="115"/>
      <x:c r="BD822" s="115"/>
      <x:c r="BE822" s="115"/>
      <x:c r="BF822" s="115"/>
      <x:c r="BG822" s="115"/>
      <x:c r="BH822" s="115"/>
      <x:c r="BI822" s="115"/>
      <x:c r="BJ822" s="115"/>
      <x:c r="BK822" s="115"/>
      <x:c r="BL822" s="115"/>
      <x:c r="BM822" s="115"/>
      <x:c r="BN822" s="115"/>
      <x:c r="BO822" s="115"/>
      <x:c r="BP822" s="115"/>
      <x:c r="BQ822" s="115"/>
      <x:c r="BR822" s="115"/>
      <x:c r="BS822" s="115"/>
      <x:c r="BT822" s="115"/>
      <x:c r="BU822" s="115"/>
      <x:c r="BV822" s="115"/>
      <x:c r="BW822" s="115"/>
      <x:c r="BX822" s="115"/>
      <x:c r="BY822" s="115"/>
      <x:c r="BZ822" s="115"/>
      <x:c r="CA822" s="115"/>
      <x:c r="CB822" s="116"/>
      <x:c r="CC822" s="141" t="str">
        <x:f>IF(COUNT(G822:P822)=0,"",AVERAGE(G822:P822)*4)</x:f>
      </x:c>
      <x:c r="CD822" s="178" t="str">
        <x:f>IF(COUNT(Q822:Z822)=0,"",AVERAGE(Q822:Z822)*4)</x:f>
      </x:c>
      <x:c r="CE822" s="178" t="str">
        <x:f>IF(COUNT(AA822:AJ822)=0,"",AVERAGE(AA822:AJ822)*4)</x:f>
      </x:c>
      <x:c r="CF822" s="178" t="str">
        <x:f>IF(COUNT(AK822:AR822)=0,"",AVERAGE(AK822:AR822)*4)</x:f>
      </x:c>
      <x:c r="CG822" s="178" t="str">
        <x:f>IF(COUNT(AS822:AY822)=0,"",AVERAGE(AS822:AY822)*4)</x:f>
      </x:c>
      <x:c r="CH822" s="178" t="str">
        <x:f>IF(COUNT(AZ822:BG822)=0,"",AVERAGE(AZ822:BG822)*4)</x:f>
      </x:c>
      <x:c r="CI822" s="178" t="str">
        <x:f>IF(COUNT(BH822:BN822)=0,"",AVERAGE(BH822:BN822)*4)</x:f>
      </x:c>
      <x:c r="CJ822" s="178" t="str">
        <x:f>IF(COUNT(BO822:BU822)=0,"",AVERAGE(BO822:BU822)*4)</x:f>
      </x:c>
      <x:c r="CK822" s="178" t="str">
        <x:f>IF(COUNT(BV822:CB822)=0,"",AVERAGE(BV822:CB822)*4)</x:f>
      </x:c>
      <x:c r="CL822" s="178" t="str">
        <x:f>IF(C822="","",IF(COUNT(G822:CB822)&lt;74,"",(CC822*'تنظیمات وزن‌دهی'!$C$5+CD822*'تنظیمات وزن‌دهی'!$C$6+CE822*'تنظیمات وزن‌دهی'!$C$7+CF822*'تنظیمات وزن‌دهی'!$C$8+CG822*'تنظیمات وزن‌دهی'!$C$9+CH822*'تنظیمات وزن‌دهی'!$C$10+CI822*'تنظیمات وزن‌دهی'!$C$11+CJ822*'تنظیمات وزن‌دهی'!$C$12+CK822*'تنظیمات وزن‌دهی'!$C$13)/100))</x:f>
      </x:c>
      <x:c r="CM822" s="178" t="str">
        <x:f>IF(C822="","",IF(COUNT(G822:CB822)=0,"",IF(COUNT(G822:CB822)&lt;74,"موقت - اطلاعات ناقص",IF(CL822&gt;=17,"عالی",IF(CL822&gt;=14,"خوب",IF(CL822&gt;=10,"متوسط","ضعیف"))))))</x:f>
      </x:c>
      <x:c r="CN822" s="178" t="n">
        <x:v>2</x:v>
      </x:c>
      <x:c r="CO822" s="142" t="n">
        <x:f>IF(C822="","",COUNT(G822:CB822)/74)</x:f>
        <x:v>0</x:v>
      </x:c>
      <x:c r="CP822" s="245"/>
    </x:row>
    <x:row r="823">
      <x:c r="A823" s="165" t="n">
        <x:v>819</x:v>
      </x:c>
      <x:c r="B823" s="233" t="str">
        <x:v>شهریور</x:v>
      </x:c>
      <x:c r="C823" s="233" t="n">
        <x:f>IF('دانش‌آموزان'!E73="","",'دانش‌آموزان'!B73)</x:f>
        <x:v>69</x:v>
      </x:c>
      <x:c r="D823" s="233" t="str">
        <x:f>IF('دانش‌آموزان'!C73="","",'دانش‌آموزان'!C73)</x:f>
        <x:v>4000000691</x:v>
      </x:c>
      <x:c r="E823" s="233" t="str">
        <x:f>IF('دانش‌آموزان'!E73="","",'دانش‌آموزان'!E73&amp;" "&amp;'دانش‌آموزان'!F73)</x:f>
        <x:v>سام امینی</x:v>
      </x:c>
      <x:c r="F823" s="166" t="str">
        <x:f>IF('دانش‌آموزان'!I73="","",'دانش‌آموزان'!I73)</x:f>
        <x:v>sample-7-c</x:v>
      </x:c>
      <x:c r="G823" s="114"/>
      <x:c r="H823" s="115"/>
      <x:c r="I823" s="115"/>
      <x:c r="J823" s="115"/>
      <x:c r="K823" s="115"/>
      <x:c r="L823" s="115"/>
      <x:c r="M823" s="115"/>
      <x:c r="N823" s="115"/>
      <x:c r="O823" s="115"/>
      <x:c r="P823" s="115"/>
      <x:c r="Q823" s="115"/>
      <x:c r="R823" s="115"/>
      <x:c r="S823" s="115"/>
      <x:c r="T823" s="115"/>
      <x:c r="U823" s="115"/>
      <x:c r="V823" s="115"/>
      <x:c r="W823" s="115"/>
      <x:c r="X823" s="115"/>
      <x:c r="Y823" s="115"/>
      <x:c r="Z823" s="115"/>
      <x:c r="AA823" s="115"/>
      <x:c r="AB823" s="115"/>
      <x:c r="AC823" s="115"/>
      <x:c r="AD823" s="115"/>
      <x:c r="AE823" s="115"/>
      <x:c r="AF823" s="115"/>
      <x:c r="AG823" s="115"/>
      <x:c r="AH823" s="115"/>
      <x:c r="AI823" s="115"/>
      <x:c r="AJ823" s="115"/>
      <x:c r="AK823" s="115"/>
      <x:c r="AL823" s="115"/>
      <x:c r="AM823" s="115"/>
      <x:c r="AN823" s="115"/>
      <x:c r="AO823" s="115"/>
      <x:c r="AP823" s="115"/>
      <x:c r="AQ823" s="115"/>
      <x:c r="AR823" s="115"/>
      <x:c r="AS823" s="115"/>
      <x:c r="AT823" s="115"/>
      <x:c r="AU823" s="115"/>
      <x:c r="AV823" s="115"/>
      <x:c r="AW823" s="115"/>
      <x:c r="AX823" s="115"/>
      <x:c r="AY823" s="115"/>
      <x:c r="AZ823" s="115"/>
      <x:c r="BA823" s="115"/>
      <x:c r="BB823" s="115"/>
      <x:c r="BC823" s="115"/>
      <x:c r="BD823" s="115"/>
      <x:c r="BE823" s="115"/>
      <x:c r="BF823" s="115"/>
      <x:c r="BG823" s="115"/>
      <x:c r="BH823" s="115"/>
      <x:c r="BI823" s="115"/>
      <x:c r="BJ823" s="115"/>
      <x:c r="BK823" s="115"/>
      <x:c r="BL823" s="115"/>
      <x:c r="BM823" s="115"/>
      <x:c r="BN823" s="115"/>
      <x:c r="BO823" s="115"/>
      <x:c r="BP823" s="115"/>
      <x:c r="BQ823" s="115"/>
      <x:c r="BR823" s="115"/>
      <x:c r="BS823" s="115"/>
      <x:c r="BT823" s="115"/>
      <x:c r="BU823" s="115"/>
      <x:c r="BV823" s="115"/>
      <x:c r="BW823" s="115"/>
      <x:c r="BX823" s="115"/>
      <x:c r="BY823" s="115"/>
      <x:c r="BZ823" s="115"/>
      <x:c r="CA823" s="115"/>
      <x:c r="CB823" s="116"/>
      <x:c r="CC823" s="141" t="str">
        <x:f>IF(COUNT(G823:P823)=0,"",AVERAGE(G823:P823)*4)</x:f>
      </x:c>
      <x:c r="CD823" s="178" t="str">
        <x:f>IF(COUNT(Q823:Z823)=0,"",AVERAGE(Q823:Z823)*4)</x:f>
      </x:c>
      <x:c r="CE823" s="178" t="str">
        <x:f>IF(COUNT(AA823:AJ823)=0,"",AVERAGE(AA823:AJ823)*4)</x:f>
      </x:c>
      <x:c r="CF823" s="178" t="str">
        <x:f>IF(COUNT(AK823:AR823)=0,"",AVERAGE(AK823:AR823)*4)</x:f>
      </x:c>
      <x:c r="CG823" s="178" t="str">
        <x:f>IF(COUNT(AS823:AY823)=0,"",AVERAGE(AS823:AY823)*4)</x:f>
      </x:c>
      <x:c r="CH823" s="178" t="str">
        <x:f>IF(COUNT(AZ823:BG823)=0,"",AVERAGE(AZ823:BG823)*4)</x:f>
      </x:c>
      <x:c r="CI823" s="178" t="str">
        <x:f>IF(COUNT(BH823:BN823)=0,"",AVERAGE(BH823:BN823)*4)</x:f>
      </x:c>
      <x:c r="CJ823" s="178" t="str">
        <x:f>IF(COUNT(BO823:BU823)=0,"",AVERAGE(BO823:BU823)*4)</x:f>
      </x:c>
      <x:c r="CK823" s="178" t="str">
        <x:f>IF(COUNT(BV823:CB823)=0,"",AVERAGE(BV823:CB823)*4)</x:f>
      </x:c>
      <x:c r="CL823" s="178" t="str">
        <x:f>IF(C823="","",IF(COUNT(G823:CB823)&lt;74,"",(CC823*'تنظیمات وزن‌دهی'!$C$5+CD823*'تنظیمات وزن‌دهی'!$C$6+CE823*'تنظیمات وزن‌دهی'!$C$7+CF823*'تنظیمات وزن‌دهی'!$C$8+CG823*'تنظیمات وزن‌دهی'!$C$9+CH823*'تنظیمات وزن‌دهی'!$C$10+CI823*'تنظیمات وزن‌دهی'!$C$11+CJ823*'تنظیمات وزن‌دهی'!$C$12+CK823*'تنظیمات وزن‌دهی'!$C$13)/100))</x:f>
      </x:c>
      <x:c r="CM823" s="178" t="str">
        <x:f>IF(C823="","",IF(COUNT(G823:CB823)=0,"",IF(COUNT(G823:CB823)&lt;74,"موقت - اطلاعات ناقص",IF(CL823&gt;=17,"عالی",IF(CL823&gt;=14,"خوب",IF(CL823&gt;=10,"متوسط","ضعیف"))))))</x:f>
      </x:c>
      <x:c r="CN823" s="178" t="n">
        <x:v>3</x:v>
      </x:c>
      <x:c r="CO823" s="142" t="n">
        <x:f>IF(C823="","",COUNT(G823:CB823)/74)</x:f>
        <x:v>0</x:v>
      </x:c>
      <x:c r="CP823" s="245"/>
    </x:row>
    <x:row r="824">
      <x:c r="A824" s="165" t="n">
        <x:v>820</x:v>
      </x:c>
      <x:c r="B824" s="233" t="str">
        <x:v>مهر</x:v>
      </x:c>
      <x:c r="C824" s="233" t="n">
        <x:f>IF('دانش‌آموزان'!E73="","",'دانش‌آموزان'!B73)</x:f>
        <x:v>69</x:v>
      </x:c>
      <x:c r="D824" s="233" t="str">
        <x:f>IF('دانش‌آموزان'!C73="","",'دانش‌آموزان'!C73)</x:f>
        <x:v>4000000691</x:v>
      </x:c>
      <x:c r="E824" s="233" t="str">
        <x:f>IF('دانش‌آموزان'!E73="","",'دانش‌آموزان'!E73&amp;" "&amp;'دانش‌آموزان'!F73)</x:f>
        <x:v>سام امینی</x:v>
      </x:c>
      <x:c r="F824" s="166" t="str">
        <x:f>IF('دانش‌آموزان'!I73="","",'دانش‌آموزان'!I73)</x:f>
        <x:v>sample-7-c</x:v>
      </x:c>
      <x:c r="G824" s="114"/>
      <x:c r="H824" s="115"/>
      <x:c r="I824" s="115"/>
      <x:c r="J824" s="115"/>
      <x:c r="K824" s="115"/>
      <x:c r="L824" s="115"/>
      <x:c r="M824" s="115"/>
      <x:c r="N824" s="115"/>
      <x:c r="O824" s="115"/>
      <x:c r="P824" s="115"/>
      <x:c r="Q824" s="115"/>
      <x:c r="R824" s="115"/>
      <x:c r="S824" s="115"/>
      <x:c r="T824" s="115"/>
      <x:c r="U824" s="115"/>
      <x:c r="V824" s="115"/>
      <x:c r="W824" s="115"/>
      <x:c r="X824" s="115"/>
      <x:c r="Y824" s="115"/>
      <x:c r="Z824" s="115"/>
      <x:c r="AA824" s="115"/>
      <x:c r="AB824" s="115"/>
      <x:c r="AC824" s="115"/>
      <x:c r="AD824" s="115"/>
      <x:c r="AE824" s="115"/>
      <x:c r="AF824" s="115"/>
      <x:c r="AG824" s="115"/>
      <x:c r="AH824" s="115"/>
      <x:c r="AI824" s="115"/>
      <x:c r="AJ824" s="115"/>
      <x:c r="AK824" s="115"/>
      <x:c r="AL824" s="115"/>
      <x:c r="AM824" s="115"/>
      <x:c r="AN824" s="115"/>
      <x:c r="AO824" s="115"/>
      <x:c r="AP824" s="115"/>
      <x:c r="AQ824" s="115"/>
      <x:c r="AR824" s="115"/>
      <x:c r="AS824" s="115"/>
      <x:c r="AT824" s="115"/>
      <x:c r="AU824" s="115"/>
      <x:c r="AV824" s="115"/>
      <x:c r="AW824" s="115"/>
      <x:c r="AX824" s="115"/>
      <x:c r="AY824" s="115"/>
      <x:c r="AZ824" s="115"/>
      <x:c r="BA824" s="115"/>
      <x:c r="BB824" s="115"/>
      <x:c r="BC824" s="115"/>
      <x:c r="BD824" s="115"/>
      <x:c r="BE824" s="115"/>
      <x:c r="BF824" s="115"/>
      <x:c r="BG824" s="115"/>
      <x:c r="BH824" s="115"/>
      <x:c r="BI824" s="115"/>
      <x:c r="BJ824" s="115"/>
      <x:c r="BK824" s="115"/>
      <x:c r="BL824" s="115"/>
      <x:c r="BM824" s="115"/>
      <x:c r="BN824" s="115"/>
      <x:c r="BO824" s="115"/>
      <x:c r="BP824" s="115"/>
      <x:c r="BQ824" s="115"/>
      <x:c r="BR824" s="115"/>
      <x:c r="BS824" s="115"/>
      <x:c r="BT824" s="115"/>
      <x:c r="BU824" s="115"/>
      <x:c r="BV824" s="115"/>
      <x:c r="BW824" s="115"/>
      <x:c r="BX824" s="115"/>
      <x:c r="BY824" s="115"/>
      <x:c r="BZ824" s="115"/>
      <x:c r="CA824" s="115"/>
      <x:c r="CB824" s="116"/>
      <x:c r="CC824" s="141" t="str">
        <x:f>IF(COUNT(G824:P824)=0,"",AVERAGE(G824:P824)*4)</x:f>
      </x:c>
      <x:c r="CD824" s="178" t="str">
        <x:f>IF(COUNT(Q824:Z824)=0,"",AVERAGE(Q824:Z824)*4)</x:f>
      </x:c>
      <x:c r="CE824" s="178" t="str">
        <x:f>IF(COUNT(AA824:AJ824)=0,"",AVERAGE(AA824:AJ824)*4)</x:f>
      </x:c>
      <x:c r="CF824" s="178" t="str">
        <x:f>IF(COUNT(AK824:AR824)=0,"",AVERAGE(AK824:AR824)*4)</x:f>
      </x:c>
      <x:c r="CG824" s="178" t="str">
        <x:f>IF(COUNT(AS824:AY824)=0,"",AVERAGE(AS824:AY824)*4)</x:f>
      </x:c>
      <x:c r="CH824" s="178" t="str">
        <x:f>IF(COUNT(AZ824:BG824)=0,"",AVERAGE(AZ824:BG824)*4)</x:f>
      </x:c>
      <x:c r="CI824" s="178" t="str">
        <x:f>IF(COUNT(BH824:BN824)=0,"",AVERAGE(BH824:BN824)*4)</x:f>
      </x:c>
      <x:c r="CJ824" s="178" t="str">
        <x:f>IF(COUNT(BO824:BU824)=0,"",AVERAGE(BO824:BU824)*4)</x:f>
      </x:c>
      <x:c r="CK824" s="178" t="str">
        <x:f>IF(COUNT(BV824:CB824)=0,"",AVERAGE(BV824:CB824)*4)</x:f>
      </x:c>
      <x:c r="CL824" s="178" t="str">
        <x:f>IF(C824="","",IF(COUNT(G824:CB824)&lt;74,"",(CC824*'تنظیمات وزن‌دهی'!$C$5+CD824*'تنظیمات وزن‌دهی'!$C$6+CE824*'تنظیمات وزن‌دهی'!$C$7+CF824*'تنظیمات وزن‌دهی'!$C$8+CG824*'تنظیمات وزن‌دهی'!$C$9+CH824*'تنظیمات وزن‌دهی'!$C$10+CI824*'تنظیمات وزن‌دهی'!$C$11+CJ824*'تنظیمات وزن‌دهی'!$C$12+CK824*'تنظیمات وزن‌دهی'!$C$13)/100))</x:f>
      </x:c>
      <x:c r="CM824" s="178" t="str">
        <x:f>IF(C824="","",IF(COUNT(G824:CB824)=0,"",IF(COUNT(G824:CB824)&lt;74,"موقت - اطلاعات ناقص",IF(CL824&gt;=17,"عالی",IF(CL824&gt;=14,"خوب",IF(CL824&gt;=10,"متوسط","ضعیف"))))))</x:f>
      </x:c>
      <x:c r="CN824" s="178" t="n">
        <x:v>4</x:v>
      </x:c>
      <x:c r="CO824" s="142" t="n">
        <x:f>IF(C824="","",COUNT(G824:CB824)/74)</x:f>
        <x:v>0</x:v>
      </x:c>
      <x:c r="CP824" s="245"/>
    </x:row>
    <x:row r="825">
      <x:c r="A825" s="165" t="n">
        <x:v>821</x:v>
      </x:c>
      <x:c r="B825" s="233" t="str">
        <x:v>آبان</x:v>
      </x:c>
      <x:c r="C825" s="233" t="n">
        <x:f>IF('دانش‌آموزان'!E73="","",'دانش‌آموزان'!B73)</x:f>
        <x:v>69</x:v>
      </x:c>
      <x:c r="D825" s="233" t="str">
        <x:f>IF('دانش‌آموزان'!C73="","",'دانش‌آموزان'!C73)</x:f>
        <x:v>4000000691</x:v>
      </x:c>
      <x:c r="E825" s="233" t="str">
        <x:f>IF('دانش‌آموزان'!E73="","",'دانش‌آموزان'!E73&amp;" "&amp;'دانش‌آموزان'!F73)</x:f>
        <x:v>سام امینی</x:v>
      </x:c>
      <x:c r="F825" s="166" t="str">
        <x:f>IF('دانش‌آموزان'!I73="","",'دانش‌آموزان'!I73)</x:f>
        <x:v>sample-7-c</x:v>
      </x:c>
      <x:c r="G825" s="114"/>
      <x:c r="H825" s="115"/>
      <x:c r="I825" s="115"/>
      <x:c r="J825" s="115"/>
      <x:c r="K825" s="115"/>
      <x:c r="L825" s="115"/>
      <x:c r="M825" s="115"/>
      <x:c r="N825" s="115"/>
      <x:c r="O825" s="115"/>
      <x:c r="P825" s="115"/>
      <x:c r="Q825" s="115"/>
      <x:c r="R825" s="115"/>
      <x:c r="S825" s="115"/>
      <x:c r="T825" s="115"/>
      <x:c r="U825" s="115"/>
      <x:c r="V825" s="115"/>
      <x:c r="W825" s="115"/>
      <x:c r="X825" s="115"/>
      <x:c r="Y825" s="115"/>
      <x:c r="Z825" s="115"/>
      <x:c r="AA825" s="115"/>
      <x:c r="AB825" s="115"/>
      <x:c r="AC825" s="115"/>
      <x:c r="AD825" s="115"/>
      <x:c r="AE825" s="115"/>
      <x:c r="AF825" s="115"/>
      <x:c r="AG825" s="115"/>
      <x:c r="AH825" s="115"/>
      <x:c r="AI825" s="115"/>
      <x:c r="AJ825" s="115"/>
      <x:c r="AK825" s="115"/>
      <x:c r="AL825" s="115"/>
      <x:c r="AM825" s="115"/>
      <x:c r="AN825" s="115"/>
      <x:c r="AO825" s="115"/>
      <x:c r="AP825" s="115"/>
      <x:c r="AQ825" s="115"/>
      <x:c r="AR825" s="115"/>
      <x:c r="AS825" s="115"/>
      <x:c r="AT825" s="115"/>
      <x:c r="AU825" s="115"/>
      <x:c r="AV825" s="115"/>
      <x:c r="AW825" s="115"/>
      <x:c r="AX825" s="115"/>
      <x:c r="AY825" s="115"/>
      <x:c r="AZ825" s="115"/>
      <x:c r="BA825" s="115"/>
      <x:c r="BB825" s="115"/>
      <x:c r="BC825" s="115"/>
      <x:c r="BD825" s="115"/>
      <x:c r="BE825" s="115"/>
      <x:c r="BF825" s="115"/>
      <x:c r="BG825" s="115"/>
      <x:c r="BH825" s="115"/>
      <x:c r="BI825" s="115"/>
      <x:c r="BJ825" s="115"/>
      <x:c r="BK825" s="115"/>
      <x:c r="BL825" s="115"/>
      <x:c r="BM825" s="115"/>
      <x:c r="BN825" s="115"/>
      <x:c r="BO825" s="115"/>
      <x:c r="BP825" s="115"/>
      <x:c r="BQ825" s="115"/>
      <x:c r="BR825" s="115"/>
      <x:c r="BS825" s="115"/>
      <x:c r="BT825" s="115"/>
      <x:c r="BU825" s="115"/>
      <x:c r="BV825" s="115"/>
      <x:c r="BW825" s="115"/>
      <x:c r="BX825" s="115"/>
      <x:c r="BY825" s="115"/>
      <x:c r="BZ825" s="115"/>
      <x:c r="CA825" s="115"/>
      <x:c r="CB825" s="116"/>
      <x:c r="CC825" s="141" t="str">
        <x:f>IF(COUNT(G825:P825)=0,"",AVERAGE(G825:P825)*4)</x:f>
      </x:c>
      <x:c r="CD825" s="178" t="str">
        <x:f>IF(COUNT(Q825:Z825)=0,"",AVERAGE(Q825:Z825)*4)</x:f>
      </x:c>
      <x:c r="CE825" s="178" t="str">
        <x:f>IF(COUNT(AA825:AJ825)=0,"",AVERAGE(AA825:AJ825)*4)</x:f>
      </x:c>
      <x:c r="CF825" s="178" t="str">
        <x:f>IF(COUNT(AK825:AR825)=0,"",AVERAGE(AK825:AR825)*4)</x:f>
      </x:c>
      <x:c r="CG825" s="178" t="str">
        <x:f>IF(COUNT(AS825:AY825)=0,"",AVERAGE(AS825:AY825)*4)</x:f>
      </x:c>
      <x:c r="CH825" s="178" t="str">
        <x:f>IF(COUNT(AZ825:BG825)=0,"",AVERAGE(AZ825:BG825)*4)</x:f>
      </x:c>
      <x:c r="CI825" s="178" t="str">
        <x:f>IF(COUNT(BH825:BN825)=0,"",AVERAGE(BH825:BN825)*4)</x:f>
      </x:c>
      <x:c r="CJ825" s="178" t="str">
        <x:f>IF(COUNT(BO825:BU825)=0,"",AVERAGE(BO825:BU825)*4)</x:f>
      </x:c>
      <x:c r="CK825" s="178" t="str">
        <x:f>IF(COUNT(BV825:CB825)=0,"",AVERAGE(BV825:CB825)*4)</x:f>
      </x:c>
      <x:c r="CL825" s="178" t="str">
        <x:f>IF(C825="","",IF(COUNT(G825:CB825)&lt;74,"",(CC825*'تنظیمات وزن‌دهی'!$C$5+CD825*'تنظیمات وزن‌دهی'!$C$6+CE825*'تنظیمات وزن‌دهی'!$C$7+CF825*'تنظیمات وزن‌دهی'!$C$8+CG825*'تنظیمات وزن‌دهی'!$C$9+CH825*'تنظیمات وزن‌دهی'!$C$10+CI825*'تنظیمات وزن‌دهی'!$C$11+CJ825*'تنظیمات وزن‌دهی'!$C$12+CK825*'تنظیمات وزن‌دهی'!$C$13)/100))</x:f>
      </x:c>
      <x:c r="CM825" s="178" t="str">
        <x:f>IF(C825="","",IF(COUNT(G825:CB825)=0,"",IF(COUNT(G825:CB825)&lt;74,"موقت - اطلاعات ناقص",IF(CL825&gt;=17,"عالی",IF(CL825&gt;=14,"خوب",IF(CL825&gt;=10,"متوسط","ضعیف"))))))</x:f>
      </x:c>
      <x:c r="CN825" s="178" t="n">
        <x:v>5</x:v>
      </x:c>
      <x:c r="CO825" s="142" t="n">
        <x:f>IF(C825="","",COUNT(G825:CB825)/74)</x:f>
        <x:v>0</x:v>
      </x:c>
      <x:c r="CP825" s="245"/>
    </x:row>
    <x:row r="826">
      <x:c r="A826" s="165" t="n">
        <x:v>822</x:v>
      </x:c>
      <x:c r="B826" s="233" t="str">
        <x:v>آذر</x:v>
      </x:c>
      <x:c r="C826" s="233" t="n">
        <x:f>IF('دانش‌آموزان'!E73="","",'دانش‌آموزان'!B73)</x:f>
        <x:v>69</x:v>
      </x:c>
      <x:c r="D826" s="233" t="str">
        <x:f>IF('دانش‌آموزان'!C73="","",'دانش‌آموزان'!C73)</x:f>
        <x:v>4000000691</x:v>
      </x:c>
      <x:c r="E826" s="233" t="str">
        <x:f>IF('دانش‌آموزان'!E73="","",'دانش‌آموزان'!E73&amp;" "&amp;'دانش‌آموزان'!F73)</x:f>
        <x:v>سام امینی</x:v>
      </x:c>
      <x:c r="F826" s="166" t="str">
        <x:f>IF('دانش‌آموزان'!I73="","",'دانش‌آموزان'!I73)</x:f>
        <x:v>sample-7-c</x:v>
      </x:c>
      <x:c r="G826" s="114"/>
      <x:c r="H826" s="115"/>
      <x:c r="I826" s="115"/>
      <x:c r="J826" s="115"/>
      <x:c r="K826" s="115"/>
      <x:c r="L826" s="115"/>
      <x:c r="M826" s="115"/>
      <x:c r="N826" s="115"/>
      <x:c r="O826" s="115"/>
      <x:c r="P826" s="115"/>
      <x:c r="Q826" s="115"/>
      <x:c r="R826" s="115"/>
      <x:c r="S826" s="115"/>
      <x:c r="T826" s="115"/>
      <x:c r="U826" s="115"/>
      <x:c r="V826" s="115"/>
      <x:c r="W826" s="115"/>
      <x:c r="X826" s="115"/>
      <x:c r="Y826" s="115"/>
      <x:c r="Z826" s="115"/>
      <x:c r="AA826" s="115"/>
      <x:c r="AB826" s="115"/>
      <x:c r="AC826" s="115"/>
      <x:c r="AD826" s="115"/>
      <x:c r="AE826" s="115"/>
      <x:c r="AF826" s="115"/>
      <x:c r="AG826" s="115"/>
      <x:c r="AH826" s="115"/>
      <x:c r="AI826" s="115"/>
      <x:c r="AJ826" s="115"/>
      <x:c r="AK826" s="115"/>
      <x:c r="AL826" s="115"/>
      <x:c r="AM826" s="115"/>
      <x:c r="AN826" s="115"/>
      <x:c r="AO826" s="115"/>
      <x:c r="AP826" s="115"/>
      <x:c r="AQ826" s="115"/>
      <x:c r="AR826" s="115"/>
      <x:c r="AS826" s="115"/>
      <x:c r="AT826" s="115"/>
      <x:c r="AU826" s="115"/>
      <x:c r="AV826" s="115"/>
      <x:c r="AW826" s="115"/>
      <x:c r="AX826" s="115"/>
      <x:c r="AY826" s="115"/>
      <x:c r="AZ826" s="115"/>
      <x:c r="BA826" s="115"/>
      <x:c r="BB826" s="115"/>
      <x:c r="BC826" s="115"/>
      <x:c r="BD826" s="115"/>
      <x:c r="BE826" s="115"/>
      <x:c r="BF826" s="115"/>
      <x:c r="BG826" s="115"/>
      <x:c r="BH826" s="115"/>
      <x:c r="BI826" s="115"/>
      <x:c r="BJ826" s="115"/>
      <x:c r="BK826" s="115"/>
      <x:c r="BL826" s="115"/>
      <x:c r="BM826" s="115"/>
      <x:c r="BN826" s="115"/>
      <x:c r="BO826" s="115"/>
      <x:c r="BP826" s="115"/>
      <x:c r="BQ826" s="115"/>
      <x:c r="BR826" s="115"/>
      <x:c r="BS826" s="115"/>
      <x:c r="BT826" s="115"/>
      <x:c r="BU826" s="115"/>
      <x:c r="BV826" s="115"/>
      <x:c r="BW826" s="115"/>
      <x:c r="BX826" s="115"/>
      <x:c r="BY826" s="115"/>
      <x:c r="BZ826" s="115"/>
      <x:c r="CA826" s="115"/>
      <x:c r="CB826" s="116"/>
      <x:c r="CC826" s="141" t="str">
        <x:f>IF(COUNT(G826:P826)=0,"",AVERAGE(G826:P826)*4)</x:f>
      </x:c>
      <x:c r="CD826" s="178" t="str">
        <x:f>IF(COUNT(Q826:Z826)=0,"",AVERAGE(Q826:Z826)*4)</x:f>
      </x:c>
      <x:c r="CE826" s="178" t="str">
        <x:f>IF(COUNT(AA826:AJ826)=0,"",AVERAGE(AA826:AJ826)*4)</x:f>
      </x:c>
      <x:c r="CF826" s="178" t="str">
        <x:f>IF(COUNT(AK826:AR826)=0,"",AVERAGE(AK826:AR826)*4)</x:f>
      </x:c>
      <x:c r="CG826" s="178" t="str">
        <x:f>IF(COUNT(AS826:AY826)=0,"",AVERAGE(AS826:AY826)*4)</x:f>
      </x:c>
      <x:c r="CH826" s="178" t="str">
        <x:f>IF(COUNT(AZ826:BG826)=0,"",AVERAGE(AZ826:BG826)*4)</x:f>
      </x:c>
      <x:c r="CI826" s="178" t="str">
        <x:f>IF(COUNT(BH826:BN826)=0,"",AVERAGE(BH826:BN826)*4)</x:f>
      </x:c>
      <x:c r="CJ826" s="178" t="str">
        <x:f>IF(COUNT(BO826:BU826)=0,"",AVERAGE(BO826:BU826)*4)</x:f>
      </x:c>
      <x:c r="CK826" s="178" t="str">
        <x:f>IF(COUNT(BV826:CB826)=0,"",AVERAGE(BV826:CB826)*4)</x:f>
      </x:c>
      <x:c r="CL826" s="178" t="str">
        <x:f>IF(C826="","",IF(COUNT(G826:CB826)&lt;74,"",(CC826*'تنظیمات وزن‌دهی'!$C$5+CD826*'تنظیمات وزن‌دهی'!$C$6+CE826*'تنظیمات وزن‌دهی'!$C$7+CF826*'تنظیمات وزن‌دهی'!$C$8+CG826*'تنظیمات وزن‌دهی'!$C$9+CH826*'تنظیمات وزن‌دهی'!$C$10+CI826*'تنظیمات وزن‌دهی'!$C$11+CJ826*'تنظیمات وزن‌دهی'!$C$12+CK826*'تنظیمات وزن‌دهی'!$C$13)/100))</x:f>
      </x:c>
      <x:c r="CM826" s="178" t="str">
        <x:f>IF(C826="","",IF(COUNT(G826:CB826)=0,"",IF(COUNT(G826:CB826)&lt;74,"موقت - اطلاعات ناقص",IF(CL826&gt;=17,"عالی",IF(CL826&gt;=14,"خوب",IF(CL826&gt;=10,"متوسط","ضعیف"))))))</x:f>
      </x:c>
      <x:c r="CN826" s="178" t="n">
        <x:v>6</x:v>
      </x:c>
      <x:c r="CO826" s="142" t="n">
        <x:f>IF(C826="","",COUNT(G826:CB826)/74)</x:f>
        <x:v>0</x:v>
      </x:c>
      <x:c r="CP826" s="245"/>
    </x:row>
    <x:row r="827">
      <x:c r="A827" s="165" t="n">
        <x:v>823</x:v>
      </x:c>
      <x:c r="B827" s="233" t="str">
        <x:v>دی</x:v>
      </x:c>
      <x:c r="C827" s="233" t="n">
        <x:f>IF('دانش‌آموزان'!E73="","",'دانش‌آموزان'!B73)</x:f>
        <x:v>69</x:v>
      </x:c>
      <x:c r="D827" s="233" t="str">
        <x:f>IF('دانش‌آموزان'!C73="","",'دانش‌آموزان'!C73)</x:f>
        <x:v>4000000691</x:v>
      </x:c>
      <x:c r="E827" s="233" t="str">
        <x:f>IF('دانش‌آموزان'!E73="","",'دانش‌آموزان'!E73&amp;" "&amp;'دانش‌آموزان'!F73)</x:f>
        <x:v>سام امینی</x:v>
      </x:c>
      <x:c r="F827" s="166" t="str">
        <x:f>IF('دانش‌آموزان'!I73="","",'دانش‌آموزان'!I73)</x:f>
        <x:v>sample-7-c</x:v>
      </x:c>
      <x:c r="G827" s="114"/>
      <x:c r="H827" s="115"/>
      <x:c r="I827" s="115"/>
      <x:c r="J827" s="115"/>
      <x:c r="K827" s="115"/>
      <x:c r="L827" s="115"/>
      <x:c r="M827" s="115"/>
      <x:c r="N827" s="115"/>
      <x:c r="O827" s="115"/>
      <x:c r="P827" s="115"/>
      <x:c r="Q827" s="115"/>
      <x:c r="R827" s="115"/>
      <x:c r="S827" s="115"/>
      <x:c r="T827" s="115"/>
      <x:c r="U827" s="115"/>
      <x:c r="V827" s="115"/>
      <x:c r="W827" s="115"/>
      <x:c r="X827" s="115"/>
      <x:c r="Y827" s="115"/>
      <x:c r="Z827" s="115"/>
      <x:c r="AA827" s="115"/>
      <x:c r="AB827" s="115"/>
      <x:c r="AC827" s="115"/>
      <x:c r="AD827" s="115"/>
      <x:c r="AE827" s="115"/>
      <x:c r="AF827" s="115"/>
      <x:c r="AG827" s="115"/>
      <x:c r="AH827" s="115"/>
      <x:c r="AI827" s="115"/>
      <x:c r="AJ827" s="115"/>
      <x:c r="AK827" s="115"/>
      <x:c r="AL827" s="115"/>
      <x:c r="AM827" s="115"/>
      <x:c r="AN827" s="115"/>
      <x:c r="AO827" s="115"/>
      <x:c r="AP827" s="115"/>
      <x:c r="AQ827" s="115"/>
      <x:c r="AR827" s="115"/>
      <x:c r="AS827" s="115"/>
      <x:c r="AT827" s="115"/>
      <x:c r="AU827" s="115"/>
      <x:c r="AV827" s="115"/>
      <x:c r="AW827" s="115"/>
      <x:c r="AX827" s="115"/>
      <x:c r="AY827" s="115"/>
      <x:c r="AZ827" s="115"/>
      <x:c r="BA827" s="115"/>
      <x:c r="BB827" s="115"/>
      <x:c r="BC827" s="115"/>
      <x:c r="BD827" s="115"/>
      <x:c r="BE827" s="115"/>
      <x:c r="BF827" s="115"/>
      <x:c r="BG827" s="115"/>
      <x:c r="BH827" s="115"/>
      <x:c r="BI827" s="115"/>
      <x:c r="BJ827" s="115"/>
      <x:c r="BK827" s="115"/>
      <x:c r="BL827" s="115"/>
      <x:c r="BM827" s="115"/>
      <x:c r="BN827" s="115"/>
      <x:c r="BO827" s="115"/>
      <x:c r="BP827" s="115"/>
      <x:c r="BQ827" s="115"/>
      <x:c r="BR827" s="115"/>
      <x:c r="BS827" s="115"/>
      <x:c r="BT827" s="115"/>
      <x:c r="BU827" s="115"/>
      <x:c r="BV827" s="115"/>
      <x:c r="BW827" s="115"/>
      <x:c r="BX827" s="115"/>
      <x:c r="BY827" s="115"/>
      <x:c r="BZ827" s="115"/>
      <x:c r="CA827" s="115"/>
      <x:c r="CB827" s="116"/>
      <x:c r="CC827" s="141" t="str">
        <x:f>IF(COUNT(G827:P827)=0,"",AVERAGE(G827:P827)*4)</x:f>
      </x:c>
      <x:c r="CD827" s="178" t="str">
        <x:f>IF(COUNT(Q827:Z827)=0,"",AVERAGE(Q827:Z827)*4)</x:f>
      </x:c>
      <x:c r="CE827" s="178" t="str">
        <x:f>IF(COUNT(AA827:AJ827)=0,"",AVERAGE(AA827:AJ827)*4)</x:f>
      </x:c>
      <x:c r="CF827" s="178" t="str">
        <x:f>IF(COUNT(AK827:AR827)=0,"",AVERAGE(AK827:AR827)*4)</x:f>
      </x:c>
      <x:c r="CG827" s="178" t="str">
        <x:f>IF(COUNT(AS827:AY827)=0,"",AVERAGE(AS827:AY827)*4)</x:f>
      </x:c>
      <x:c r="CH827" s="178" t="str">
        <x:f>IF(COUNT(AZ827:BG827)=0,"",AVERAGE(AZ827:BG827)*4)</x:f>
      </x:c>
      <x:c r="CI827" s="178" t="str">
        <x:f>IF(COUNT(BH827:BN827)=0,"",AVERAGE(BH827:BN827)*4)</x:f>
      </x:c>
      <x:c r="CJ827" s="178" t="str">
        <x:f>IF(COUNT(BO827:BU827)=0,"",AVERAGE(BO827:BU827)*4)</x:f>
      </x:c>
      <x:c r="CK827" s="178" t="str">
        <x:f>IF(COUNT(BV827:CB827)=0,"",AVERAGE(BV827:CB827)*4)</x:f>
      </x:c>
      <x:c r="CL827" s="178" t="str">
        <x:f>IF(C827="","",IF(COUNT(G827:CB827)&lt;74,"",(CC827*'تنظیمات وزن‌دهی'!$C$5+CD827*'تنظیمات وزن‌دهی'!$C$6+CE827*'تنظیمات وزن‌دهی'!$C$7+CF827*'تنظیمات وزن‌دهی'!$C$8+CG827*'تنظیمات وزن‌دهی'!$C$9+CH827*'تنظیمات وزن‌دهی'!$C$10+CI827*'تنظیمات وزن‌دهی'!$C$11+CJ827*'تنظیمات وزن‌دهی'!$C$12+CK827*'تنظیمات وزن‌دهی'!$C$13)/100))</x:f>
      </x:c>
      <x:c r="CM827" s="178" t="str">
        <x:f>IF(C827="","",IF(COUNT(G827:CB827)=0,"",IF(COUNT(G827:CB827)&lt;74,"موقت - اطلاعات ناقص",IF(CL827&gt;=17,"عالی",IF(CL827&gt;=14,"خوب",IF(CL827&gt;=10,"متوسط","ضعیف"))))))</x:f>
      </x:c>
      <x:c r="CN827" s="178" t="n">
        <x:v>7</x:v>
      </x:c>
      <x:c r="CO827" s="142" t="n">
        <x:f>IF(C827="","",COUNT(G827:CB827)/74)</x:f>
        <x:v>0</x:v>
      </x:c>
      <x:c r="CP827" s="245"/>
    </x:row>
    <x:row r="828">
      <x:c r="A828" s="165" t="n">
        <x:v>824</x:v>
      </x:c>
      <x:c r="B828" s="233" t="str">
        <x:v>بهمن</x:v>
      </x:c>
      <x:c r="C828" s="233" t="n">
        <x:f>IF('دانش‌آموزان'!E73="","",'دانش‌آموزان'!B73)</x:f>
        <x:v>69</x:v>
      </x:c>
      <x:c r="D828" s="233" t="str">
        <x:f>IF('دانش‌آموزان'!C73="","",'دانش‌آموزان'!C73)</x:f>
        <x:v>4000000691</x:v>
      </x:c>
      <x:c r="E828" s="233" t="str">
        <x:f>IF('دانش‌آموزان'!E73="","",'دانش‌آموزان'!E73&amp;" "&amp;'دانش‌آموزان'!F73)</x:f>
        <x:v>سام امینی</x:v>
      </x:c>
      <x:c r="F828" s="166" t="str">
        <x:f>IF('دانش‌آموزان'!I73="","",'دانش‌آموزان'!I73)</x:f>
        <x:v>sample-7-c</x:v>
      </x:c>
      <x:c r="G828" s="114"/>
      <x:c r="H828" s="115"/>
      <x:c r="I828" s="115"/>
      <x:c r="J828" s="115"/>
      <x:c r="K828" s="115"/>
      <x:c r="L828" s="115"/>
      <x:c r="M828" s="115"/>
      <x:c r="N828" s="115"/>
      <x:c r="O828" s="115"/>
      <x:c r="P828" s="115"/>
      <x:c r="Q828" s="115"/>
      <x:c r="R828" s="115"/>
      <x:c r="S828" s="115"/>
      <x:c r="T828" s="115"/>
      <x:c r="U828" s="115"/>
      <x:c r="V828" s="115"/>
      <x:c r="W828" s="115"/>
      <x:c r="X828" s="115"/>
      <x:c r="Y828" s="115"/>
      <x:c r="Z828" s="115"/>
      <x:c r="AA828" s="115"/>
      <x:c r="AB828" s="115"/>
      <x:c r="AC828" s="115"/>
      <x:c r="AD828" s="115"/>
      <x:c r="AE828" s="115"/>
      <x:c r="AF828" s="115"/>
      <x:c r="AG828" s="115"/>
      <x:c r="AH828" s="115"/>
      <x:c r="AI828" s="115"/>
      <x:c r="AJ828" s="115"/>
      <x:c r="AK828" s="115"/>
      <x:c r="AL828" s="115"/>
      <x:c r="AM828" s="115"/>
      <x:c r="AN828" s="115"/>
      <x:c r="AO828" s="115"/>
      <x:c r="AP828" s="115"/>
      <x:c r="AQ828" s="115"/>
      <x:c r="AR828" s="115"/>
      <x:c r="AS828" s="115"/>
      <x:c r="AT828" s="115"/>
      <x:c r="AU828" s="115"/>
      <x:c r="AV828" s="115"/>
      <x:c r="AW828" s="115"/>
      <x:c r="AX828" s="115"/>
      <x:c r="AY828" s="115"/>
      <x:c r="AZ828" s="115"/>
      <x:c r="BA828" s="115"/>
      <x:c r="BB828" s="115"/>
      <x:c r="BC828" s="115"/>
      <x:c r="BD828" s="115"/>
      <x:c r="BE828" s="115"/>
      <x:c r="BF828" s="115"/>
      <x:c r="BG828" s="115"/>
      <x:c r="BH828" s="115"/>
      <x:c r="BI828" s="115"/>
      <x:c r="BJ828" s="115"/>
      <x:c r="BK828" s="115"/>
      <x:c r="BL828" s="115"/>
      <x:c r="BM828" s="115"/>
      <x:c r="BN828" s="115"/>
      <x:c r="BO828" s="115"/>
      <x:c r="BP828" s="115"/>
      <x:c r="BQ828" s="115"/>
      <x:c r="BR828" s="115"/>
      <x:c r="BS828" s="115"/>
      <x:c r="BT828" s="115"/>
      <x:c r="BU828" s="115"/>
      <x:c r="BV828" s="115"/>
      <x:c r="BW828" s="115"/>
      <x:c r="BX828" s="115"/>
      <x:c r="BY828" s="115"/>
      <x:c r="BZ828" s="115"/>
      <x:c r="CA828" s="115"/>
      <x:c r="CB828" s="116"/>
      <x:c r="CC828" s="141" t="str">
        <x:f>IF(COUNT(G828:P828)=0,"",AVERAGE(G828:P828)*4)</x:f>
      </x:c>
      <x:c r="CD828" s="178" t="str">
        <x:f>IF(COUNT(Q828:Z828)=0,"",AVERAGE(Q828:Z828)*4)</x:f>
      </x:c>
      <x:c r="CE828" s="178" t="str">
        <x:f>IF(COUNT(AA828:AJ828)=0,"",AVERAGE(AA828:AJ828)*4)</x:f>
      </x:c>
      <x:c r="CF828" s="178" t="str">
        <x:f>IF(COUNT(AK828:AR828)=0,"",AVERAGE(AK828:AR828)*4)</x:f>
      </x:c>
      <x:c r="CG828" s="178" t="str">
        <x:f>IF(COUNT(AS828:AY828)=0,"",AVERAGE(AS828:AY828)*4)</x:f>
      </x:c>
      <x:c r="CH828" s="178" t="str">
        <x:f>IF(COUNT(AZ828:BG828)=0,"",AVERAGE(AZ828:BG828)*4)</x:f>
      </x:c>
      <x:c r="CI828" s="178" t="str">
        <x:f>IF(COUNT(BH828:BN828)=0,"",AVERAGE(BH828:BN828)*4)</x:f>
      </x:c>
      <x:c r="CJ828" s="178" t="str">
        <x:f>IF(COUNT(BO828:BU828)=0,"",AVERAGE(BO828:BU828)*4)</x:f>
      </x:c>
      <x:c r="CK828" s="178" t="str">
        <x:f>IF(COUNT(BV828:CB828)=0,"",AVERAGE(BV828:CB828)*4)</x:f>
      </x:c>
      <x:c r="CL828" s="178" t="str">
        <x:f>IF(C828="","",IF(COUNT(G828:CB828)&lt;74,"",(CC828*'تنظیمات وزن‌دهی'!$C$5+CD828*'تنظیمات وزن‌دهی'!$C$6+CE828*'تنظیمات وزن‌دهی'!$C$7+CF828*'تنظیمات وزن‌دهی'!$C$8+CG828*'تنظیمات وزن‌دهی'!$C$9+CH828*'تنظیمات وزن‌دهی'!$C$10+CI828*'تنظیمات وزن‌دهی'!$C$11+CJ828*'تنظیمات وزن‌دهی'!$C$12+CK828*'تنظیمات وزن‌دهی'!$C$13)/100))</x:f>
      </x:c>
      <x:c r="CM828" s="178" t="str">
        <x:f>IF(C828="","",IF(COUNT(G828:CB828)=0,"",IF(COUNT(G828:CB828)&lt;74,"موقت - اطلاعات ناقص",IF(CL828&gt;=17,"عالی",IF(CL828&gt;=14,"خوب",IF(CL828&gt;=10,"متوسط","ضعیف"))))))</x:f>
      </x:c>
      <x:c r="CN828" s="178" t="n">
        <x:v>8</x:v>
      </x:c>
      <x:c r="CO828" s="142" t="n">
        <x:f>IF(C828="","",COUNT(G828:CB828)/74)</x:f>
        <x:v>0</x:v>
      </x:c>
      <x:c r="CP828" s="245"/>
    </x:row>
    <x:row r="829">
      <x:c r="A829" s="165" t="n">
        <x:v>825</x:v>
      </x:c>
      <x:c r="B829" s="233" t="str">
        <x:v>اسفند</x:v>
      </x:c>
      <x:c r="C829" s="233" t="n">
        <x:f>IF('دانش‌آموزان'!E73="","",'دانش‌آموزان'!B73)</x:f>
        <x:v>69</x:v>
      </x:c>
      <x:c r="D829" s="233" t="str">
        <x:f>IF('دانش‌آموزان'!C73="","",'دانش‌آموزان'!C73)</x:f>
        <x:v>4000000691</x:v>
      </x:c>
      <x:c r="E829" s="233" t="str">
        <x:f>IF('دانش‌آموزان'!E73="","",'دانش‌آموزان'!E73&amp;" "&amp;'دانش‌آموزان'!F73)</x:f>
        <x:v>سام امینی</x:v>
      </x:c>
      <x:c r="F829" s="166" t="str">
        <x:f>IF('دانش‌آموزان'!I73="","",'دانش‌آموزان'!I73)</x:f>
        <x:v>sample-7-c</x:v>
      </x:c>
      <x:c r="G829" s="114"/>
      <x:c r="H829" s="115"/>
      <x:c r="I829" s="115"/>
      <x:c r="J829" s="115"/>
      <x:c r="K829" s="115"/>
      <x:c r="L829" s="115"/>
      <x:c r="M829" s="115"/>
      <x:c r="N829" s="115"/>
      <x:c r="O829" s="115"/>
      <x:c r="P829" s="115"/>
      <x:c r="Q829" s="115"/>
      <x:c r="R829" s="115"/>
      <x:c r="S829" s="115"/>
      <x:c r="T829" s="115"/>
      <x:c r="U829" s="115"/>
      <x:c r="V829" s="115"/>
      <x:c r="W829" s="115"/>
      <x:c r="X829" s="115"/>
      <x:c r="Y829" s="115"/>
      <x:c r="Z829" s="115"/>
      <x:c r="AA829" s="115"/>
      <x:c r="AB829" s="115"/>
      <x:c r="AC829" s="115"/>
      <x:c r="AD829" s="115"/>
      <x:c r="AE829" s="115"/>
      <x:c r="AF829" s="115"/>
      <x:c r="AG829" s="115"/>
      <x:c r="AH829" s="115"/>
      <x:c r="AI829" s="115"/>
      <x:c r="AJ829" s="115"/>
      <x:c r="AK829" s="115"/>
      <x:c r="AL829" s="115"/>
      <x:c r="AM829" s="115"/>
      <x:c r="AN829" s="115"/>
      <x:c r="AO829" s="115"/>
      <x:c r="AP829" s="115"/>
      <x:c r="AQ829" s="115"/>
      <x:c r="AR829" s="115"/>
      <x:c r="AS829" s="115"/>
      <x:c r="AT829" s="115"/>
      <x:c r="AU829" s="115"/>
      <x:c r="AV829" s="115"/>
      <x:c r="AW829" s="115"/>
      <x:c r="AX829" s="115"/>
      <x:c r="AY829" s="115"/>
      <x:c r="AZ829" s="115"/>
      <x:c r="BA829" s="115"/>
      <x:c r="BB829" s="115"/>
      <x:c r="BC829" s="115"/>
      <x:c r="BD829" s="115"/>
      <x:c r="BE829" s="115"/>
      <x:c r="BF829" s="115"/>
      <x:c r="BG829" s="115"/>
      <x:c r="BH829" s="115"/>
      <x:c r="BI829" s="115"/>
      <x:c r="BJ829" s="115"/>
      <x:c r="BK829" s="115"/>
      <x:c r="BL829" s="115"/>
      <x:c r="BM829" s="115"/>
      <x:c r="BN829" s="115"/>
      <x:c r="BO829" s="115"/>
      <x:c r="BP829" s="115"/>
      <x:c r="BQ829" s="115"/>
      <x:c r="BR829" s="115"/>
      <x:c r="BS829" s="115"/>
      <x:c r="BT829" s="115"/>
      <x:c r="BU829" s="115"/>
      <x:c r="BV829" s="115"/>
      <x:c r="BW829" s="115"/>
      <x:c r="BX829" s="115"/>
      <x:c r="BY829" s="115"/>
      <x:c r="BZ829" s="115"/>
      <x:c r="CA829" s="115"/>
      <x:c r="CB829" s="116"/>
      <x:c r="CC829" s="141" t="str">
        <x:f>IF(COUNT(G829:P829)=0,"",AVERAGE(G829:P829)*4)</x:f>
      </x:c>
      <x:c r="CD829" s="178" t="str">
        <x:f>IF(COUNT(Q829:Z829)=0,"",AVERAGE(Q829:Z829)*4)</x:f>
      </x:c>
      <x:c r="CE829" s="178" t="str">
        <x:f>IF(COUNT(AA829:AJ829)=0,"",AVERAGE(AA829:AJ829)*4)</x:f>
      </x:c>
      <x:c r="CF829" s="178" t="str">
        <x:f>IF(COUNT(AK829:AR829)=0,"",AVERAGE(AK829:AR829)*4)</x:f>
      </x:c>
      <x:c r="CG829" s="178" t="str">
        <x:f>IF(COUNT(AS829:AY829)=0,"",AVERAGE(AS829:AY829)*4)</x:f>
      </x:c>
      <x:c r="CH829" s="178" t="str">
        <x:f>IF(COUNT(AZ829:BG829)=0,"",AVERAGE(AZ829:BG829)*4)</x:f>
      </x:c>
      <x:c r="CI829" s="178" t="str">
        <x:f>IF(COUNT(BH829:BN829)=0,"",AVERAGE(BH829:BN829)*4)</x:f>
      </x:c>
      <x:c r="CJ829" s="178" t="str">
        <x:f>IF(COUNT(BO829:BU829)=0,"",AVERAGE(BO829:BU829)*4)</x:f>
      </x:c>
      <x:c r="CK829" s="178" t="str">
        <x:f>IF(COUNT(BV829:CB829)=0,"",AVERAGE(BV829:CB829)*4)</x:f>
      </x:c>
      <x:c r="CL829" s="178" t="str">
        <x:f>IF(C829="","",IF(COUNT(G829:CB829)&lt;74,"",(CC829*'تنظیمات وزن‌دهی'!$C$5+CD829*'تنظیمات وزن‌دهی'!$C$6+CE829*'تنظیمات وزن‌دهی'!$C$7+CF829*'تنظیمات وزن‌دهی'!$C$8+CG829*'تنظیمات وزن‌دهی'!$C$9+CH829*'تنظیمات وزن‌دهی'!$C$10+CI829*'تنظیمات وزن‌دهی'!$C$11+CJ829*'تنظیمات وزن‌دهی'!$C$12+CK829*'تنظیمات وزن‌دهی'!$C$13)/100))</x:f>
      </x:c>
      <x:c r="CM829" s="178" t="str">
        <x:f>IF(C829="","",IF(COUNT(G829:CB829)=0,"",IF(COUNT(G829:CB829)&lt;74,"موقت - اطلاعات ناقص",IF(CL829&gt;=17,"عالی",IF(CL829&gt;=14,"خوب",IF(CL829&gt;=10,"متوسط","ضعیف"))))))</x:f>
      </x:c>
      <x:c r="CN829" s="178" t="n">
        <x:v>9</x:v>
      </x:c>
      <x:c r="CO829" s="142" t="n">
        <x:f>IF(C829="","",COUNT(G829:CB829)/74)</x:f>
        <x:v>0</x:v>
      </x:c>
      <x:c r="CP829" s="245"/>
    </x:row>
    <x:row r="830">
      <x:c r="A830" s="165" t="n">
        <x:v>826</x:v>
      </x:c>
      <x:c r="B830" s="233" t="str">
        <x:v>فروردین</x:v>
      </x:c>
      <x:c r="C830" s="233" t="n">
        <x:f>IF('دانش‌آموزان'!E73="","",'دانش‌آموزان'!B73)</x:f>
        <x:v>69</x:v>
      </x:c>
      <x:c r="D830" s="233" t="str">
        <x:f>IF('دانش‌آموزان'!C73="","",'دانش‌آموزان'!C73)</x:f>
        <x:v>4000000691</x:v>
      </x:c>
      <x:c r="E830" s="233" t="str">
        <x:f>IF('دانش‌آموزان'!E73="","",'دانش‌آموزان'!E73&amp;" "&amp;'دانش‌آموزان'!F73)</x:f>
        <x:v>سام امینی</x:v>
      </x:c>
      <x:c r="F830" s="166" t="str">
        <x:f>IF('دانش‌آموزان'!I73="","",'دانش‌آموزان'!I73)</x:f>
        <x:v>sample-7-c</x:v>
      </x:c>
      <x:c r="G830" s="114"/>
      <x:c r="H830" s="115"/>
      <x:c r="I830" s="115"/>
      <x:c r="J830" s="115"/>
      <x:c r="K830" s="115"/>
      <x:c r="L830" s="115"/>
      <x:c r="M830" s="115"/>
      <x:c r="N830" s="115"/>
      <x:c r="O830" s="115"/>
      <x:c r="P830" s="115"/>
      <x:c r="Q830" s="115"/>
      <x:c r="R830" s="115"/>
      <x:c r="S830" s="115"/>
      <x:c r="T830" s="115"/>
      <x:c r="U830" s="115"/>
      <x:c r="V830" s="115"/>
      <x:c r="W830" s="115"/>
      <x:c r="X830" s="115"/>
      <x:c r="Y830" s="115"/>
      <x:c r="Z830" s="115"/>
      <x:c r="AA830" s="115"/>
      <x:c r="AB830" s="115"/>
      <x:c r="AC830" s="115"/>
      <x:c r="AD830" s="115"/>
      <x:c r="AE830" s="115"/>
      <x:c r="AF830" s="115"/>
      <x:c r="AG830" s="115"/>
      <x:c r="AH830" s="115"/>
      <x:c r="AI830" s="115"/>
      <x:c r="AJ830" s="115"/>
      <x:c r="AK830" s="115"/>
      <x:c r="AL830" s="115"/>
      <x:c r="AM830" s="115"/>
      <x:c r="AN830" s="115"/>
      <x:c r="AO830" s="115"/>
      <x:c r="AP830" s="115"/>
      <x:c r="AQ830" s="115"/>
      <x:c r="AR830" s="115"/>
      <x:c r="AS830" s="115"/>
      <x:c r="AT830" s="115"/>
      <x:c r="AU830" s="115"/>
      <x:c r="AV830" s="115"/>
      <x:c r="AW830" s="115"/>
      <x:c r="AX830" s="115"/>
      <x:c r="AY830" s="115"/>
      <x:c r="AZ830" s="115"/>
      <x:c r="BA830" s="115"/>
      <x:c r="BB830" s="115"/>
      <x:c r="BC830" s="115"/>
      <x:c r="BD830" s="115"/>
      <x:c r="BE830" s="115"/>
      <x:c r="BF830" s="115"/>
      <x:c r="BG830" s="115"/>
      <x:c r="BH830" s="115"/>
      <x:c r="BI830" s="115"/>
      <x:c r="BJ830" s="115"/>
      <x:c r="BK830" s="115"/>
      <x:c r="BL830" s="115"/>
      <x:c r="BM830" s="115"/>
      <x:c r="BN830" s="115"/>
      <x:c r="BO830" s="115"/>
      <x:c r="BP830" s="115"/>
      <x:c r="BQ830" s="115"/>
      <x:c r="BR830" s="115"/>
      <x:c r="BS830" s="115"/>
      <x:c r="BT830" s="115"/>
      <x:c r="BU830" s="115"/>
      <x:c r="BV830" s="115"/>
      <x:c r="BW830" s="115"/>
      <x:c r="BX830" s="115"/>
      <x:c r="BY830" s="115"/>
      <x:c r="BZ830" s="115"/>
      <x:c r="CA830" s="115"/>
      <x:c r="CB830" s="116"/>
      <x:c r="CC830" s="141" t="str">
        <x:f>IF(COUNT(G830:P830)=0,"",AVERAGE(G830:P830)*4)</x:f>
      </x:c>
      <x:c r="CD830" s="178" t="str">
        <x:f>IF(COUNT(Q830:Z830)=0,"",AVERAGE(Q830:Z830)*4)</x:f>
      </x:c>
      <x:c r="CE830" s="178" t="str">
        <x:f>IF(COUNT(AA830:AJ830)=0,"",AVERAGE(AA830:AJ830)*4)</x:f>
      </x:c>
      <x:c r="CF830" s="178" t="str">
        <x:f>IF(COUNT(AK830:AR830)=0,"",AVERAGE(AK830:AR830)*4)</x:f>
      </x:c>
      <x:c r="CG830" s="178" t="str">
        <x:f>IF(COUNT(AS830:AY830)=0,"",AVERAGE(AS830:AY830)*4)</x:f>
      </x:c>
      <x:c r="CH830" s="178" t="str">
        <x:f>IF(COUNT(AZ830:BG830)=0,"",AVERAGE(AZ830:BG830)*4)</x:f>
      </x:c>
      <x:c r="CI830" s="178" t="str">
        <x:f>IF(COUNT(BH830:BN830)=0,"",AVERAGE(BH830:BN830)*4)</x:f>
      </x:c>
      <x:c r="CJ830" s="178" t="str">
        <x:f>IF(COUNT(BO830:BU830)=0,"",AVERAGE(BO830:BU830)*4)</x:f>
      </x:c>
      <x:c r="CK830" s="178" t="str">
        <x:f>IF(COUNT(BV830:CB830)=0,"",AVERAGE(BV830:CB830)*4)</x:f>
      </x:c>
      <x:c r="CL830" s="178" t="str">
        <x:f>IF(C830="","",IF(COUNT(G830:CB830)&lt;74,"",(CC830*'تنظیمات وزن‌دهی'!$C$5+CD830*'تنظیمات وزن‌دهی'!$C$6+CE830*'تنظیمات وزن‌دهی'!$C$7+CF830*'تنظیمات وزن‌دهی'!$C$8+CG830*'تنظیمات وزن‌دهی'!$C$9+CH830*'تنظیمات وزن‌دهی'!$C$10+CI830*'تنظیمات وزن‌دهی'!$C$11+CJ830*'تنظیمات وزن‌دهی'!$C$12+CK830*'تنظیمات وزن‌دهی'!$C$13)/100))</x:f>
      </x:c>
      <x:c r="CM830" s="178" t="str">
        <x:f>IF(C830="","",IF(COUNT(G830:CB830)=0,"",IF(COUNT(G830:CB830)&lt;74,"موقت - اطلاعات ناقص",IF(CL830&gt;=17,"عالی",IF(CL830&gt;=14,"خوب",IF(CL830&gt;=10,"متوسط","ضعیف"))))))</x:f>
      </x:c>
      <x:c r="CN830" s="178" t="n">
        <x:v>10</x:v>
      </x:c>
      <x:c r="CO830" s="142" t="n">
        <x:f>IF(C830="","",COUNT(G830:CB830)/74)</x:f>
        <x:v>0</x:v>
      </x:c>
      <x:c r="CP830" s="245"/>
    </x:row>
    <x:row r="831">
      <x:c r="A831" s="165" t="n">
        <x:v>827</x:v>
      </x:c>
      <x:c r="B831" s="233" t="str">
        <x:v>اردیبهشت</x:v>
      </x:c>
      <x:c r="C831" s="233" t="n">
        <x:f>IF('دانش‌آموزان'!E73="","",'دانش‌آموزان'!B73)</x:f>
        <x:v>69</x:v>
      </x:c>
      <x:c r="D831" s="233" t="str">
        <x:f>IF('دانش‌آموزان'!C73="","",'دانش‌آموزان'!C73)</x:f>
        <x:v>4000000691</x:v>
      </x:c>
      <x:c r="E831" s="233" t="str">
        <x:f>IF('دانش‌آموزان'!E73="","",'دانش‌آموزان'!E73&amp;" "&amp;'دانش‌آموزان'!F73)</x:f>
        <x:v>سام امینی</x:v>
      </x:c>
      <x:c r="F831" s="166" t="str">
        <x:f>IF('دانش‌آموزان'!I73="","",'دانش‌آموزان'!I73)</x:f>
        <x:v>sample-7-c</x:v>
      </x:c>
      <x:c r="G831" s="114"/>
      <x:c r="H831" s="115"/>
      <x:c r="I831" s="115"/>
      <x:c r="J831" s="115"/>
      <x:c r="K831" s="115"/>
      <x:c r="L831" s="115"/>
      <x:c r="M831" s="115"/>
      <x:c r="N831" s="115"/>
      <x:c r="O831" s="115"/>
      <x:c r="P831" s="115"/>
      <x:c r="Q831" s="115"/>
      <x:c r="R831" s="115"/>
      <x:c r="S831" s="115"/>
      <x:c r="T831" s="115"/>
      <x:c r="U831" s="115"/>
      <x:c r="V831" s="115"/>
      <x:c r="W831" s="115"/>
      <x:c r="X831" s="115"/>
      <x:c r="Y831" s="115"/>
      <x:c r="Z831" s="115"/>
      <x:c r="AA831" s="115"/>
      <x:c r="AB831" s="115"/>
      <x:c r="AC831" s="115"/>
      <x:c r="AD831" s="115"/>
      <x:c r="AE831" s="115"/>
      <x:c r="AF831" s="115"/>
      <x:c r="AG831" s="115"/>
      <x:c r="AH831" s="115"/>
      <x:c r="AI831" s="115"/>
      <x:c r="AJ831" s="115"/>
      <x:c r="AK831" s="115"/>
      <x:c r="AL831" s="115"/>
      <x:c r="AM831" s="115"/>
      <x:c r="AN831" s="115"/>
      <x:c r="AO831" s="115"/>
      <x:c r="AP831" s="115"/>
      <x:c r="AQ831" s="115"/>
      <x:c r="AR831" s="115"/>
      <x:c r="AS831" s="115"/>
      <x:c r="AT831" s="115"/>
      <x:c r="AU831" s="115"/>
      <x:c r="AV831" s="115"/>
      <x:c r="AW831" s="115"/>
      <x:c r="AX831" s="115"/>
      <x:c r="AY831" s="115"/>
      <x:c r="AZ831" s="115"/>
      <x:c r="BA831" s="115"/>
      <x:c r="BB831" s="115"/>
      <x:c r="BC831" s="115"/>
      <x:c r="BD831" s="115"/>
      <x:c r="BE831" s="115"/>
      <x:c r="BF831" s="115"/>
      <x:c r="BG831" s="115"/>
      <x:c r="BH831" s="115"/>
      <x:c r="BI831" s="115"/>
      <x:c r="BJ831" s="115"/>
      <x:c r="BK831" s="115"/>
      <x:c r="BL831" s="115"/>
      <x:c r="BM831" s="115"/>
      <x:c r="BN831" s="115"/>
      <x:c r="BO831" s="115"/>
      <x:c r="BP831" s="115"/>
      <x:c r="BQ831" s="115"/>
      <x:c r="BR831" s="115"/>
      <x:c r="BS831" s="115"/>
      <x:c r="BT831" s="115"/>
      <x:c r="BU831" s="115"/>
      <x:c r="BV831" s="115"/>
      <x:c r="BW831" s="115"/>
      <x:c r="BX831" s="115"/>
      <x:c r="BY831" s="115"/>
      <x:c r="BZ831" s="115"/>
      <x:c r="CA831" s="115"/>
      <x:c r="CB831" s="116"/>
      <x:c r="CC831" s="141" t="str">
        <x:f>IF(COUNT(G831:P831)=0,"",AVERAGE(G831:P831)*4)</x:f>
      </x:c>
      <x:c r="CD831" s="178" t="str">
        <x:f>IF(COUNT(Q831:Z831)=0,"",AVERAGE(Q831:Z831)*4)</x:f>
      </x:c>
      <x:c r="CE831" s="178" t="str">
        <x:f>IF(COUNT(AA831:AJ831)=0,"",AVERAGE(AA831:AJ831)*4)</x:f>
      </x:c>
      <x:c r="CF831" s="178" t="str">
        <x:f>IF(COUNT(AK831:AR831)=0,"",AVERAGE(AK831:AR831)*4)</x:f>
      </x:c>
      <x:c r="CG831" s="178" t="str">
        <x:f>IF(COUNT(AS831:AY831)=0,"",AVERAGE(AS831:AY831)*4)</x:f>
      </x:c>
      <x:c r="CH831" s="178" t="str">
        <x:f>IF(COUNT(AZ831:BG831)=0,"",AVERAGE(AZ831:BG831)*4)</x:f>
      </x:c>
      <x:c r="CI831" s="178" t="str">
        <x:f>IF(COUNT(BH831:BN831)=0,"",AVERAGE(BH831:BN831)*4)</x:f>
      </x:c>
      <x:c r="CJ831" s="178" t="str">
        <x:f>IF(COUNT(BO831:BU831)=0,"",AVERAGE(BO831:BU831)*4)</x:f>
      </x:c>
      <x:c r="CK831" s="178" t="str">
        <x:f>IF(COUNT(BV831:CB831)=0,"",AVERAGE(BV831:CB831)*4)</x:f>
      </x:c>
      <x:c r="CL831" s="178" t="str">
        <x:f>IF(C831="","",IF(COUNT(G831:CB831)&lt;74,"",(CC831*'تنظیمات وزن‌دهی'!$C$5+CD831*'تنظیمات وزن‌دهی'!$C$6+CE831*'تنظیمات وزن‌دهی'!$C$7+CF831*'تنظیمات وزن‌دهی'!$C$8+CG831*'تنظیمات وزن‌دهی'!$C$9+CH831*'تنظیمات وزن‌دهی'!$C$10+CI831*'تنظیمات وزن‌دهی'!$C$11+CJ831*'تنظیمات وزن‌دهی'!$C$12+CK831*'تنظیمات وزن‌دهی'!$C$13)/100))</x:f>
      </x:c>
      <x:c r="CM831" s="178" t="str">
        <x:f>IF(C831="","",IF(COUNT(G831:CB831)=0,"",IF(COUNT(G831:CB831)&lt;74,"موقت - اطلاعات ناقص",IF(CL831&gt;=17,"عالی",IF(CL831&gt;=14,"خوب",IF(CL831&gt;=10,"متوسط","ضعیف"))))))</x:f>
      </x:c>
      <x:c r="CN831" s="178" t="n">
        <x:v>11</x:v>
      </x:c>
      <x:c r="CO831" s="142" t="n">
        <x:f>IF(C831="","",COUNT(G831:CB831)/74)</x:f>
        <x:v>0</x:v>
      </x:c>
      <x:c r="CP831" s="245"/>
    </x:row>
    <x:row r="832">
      <x:c r="A832" s="165" t="n">
        <x:v>828</x:v>
      </x:c>
      <x:c r="B832" s="233" t="str">
        <x:v>خرداد</x:v>
      </x:c>
      <x:c r="C832" s="233" t="n">
        <x:f>IF('دانش‌آموزان'!E73="","",'دانش‌آموزان'!B73)</x:f>
        <x:v>69</x:v>
      </x:c>
      <x:c r="D832" s="233" t="str">
        <x:f>IF('دانش‌آموزان'!C73="","",'دانش‌آموزان'!C73)</x:f>
        <x:v>4000000691</x:v>
      </x:c>
      <x:c r="E832" s="233" t="str">
        <x:f>IF('دانش‌آموزان'!E73="","",'دانش‌آموزان'!E73&amp;" "&amp;'دانش‌آموزان'!F73)</x:f>
        <x:v>سام امینی</x:v>
      </x:c>
      <x:c r="F832" s="166" t="str">
        <x:f>IF('دانش‌آموزان'!I73="","",'دانش‌آموزان'!I73)</x:f>
        <x:v>sample-7-c</x:v>
      </x:c>
      <x:c r="G832" s="114"/>
      <x:c r="H832" s="115"/>
      <x:c r="I832" s="115"/>
      <x:c r="J832" s="115"/>
      <x:c r="K832" s="115"/>
      <x:c r="L832" s="115"/>
      <x:c r="M832" s="115"/>
      <x:c r="N832" s="115"/>
      <x:c r="O832" s="115"/>
      <x:c r="P832" s="115"/>
      <x:c r="Q832" s="115"/>
      <x:c r="R832" s="115"/>
      <x:c r="S832" s="115"/>
      <x:c r="T832" s="115"/>
      <x:c r="U832" s="115"/>
      <x:c r="V832" s="115"/>
      <x:c r="W832" s="115"/>
      <x:c r="X832" s="115"/>
      <x:c r="Y832" s="115"/>
      <x:c r="Z832" s="115"/>
      <x:c r="AA832" s="115"/>
      <x:c r="AB832" s="115"/>
      <x:c r="AC832" s="115"/>
      <x:c r="AD832" s="115"/>
      <x:c r="AE832" s="115"/>
      <x:c r="AF832" s="115"/>
      <x:c r="AG832" s="115"/>
      <x:c r="AH832" s="115"/>
      <x:c r="AI832" s="115"/>
      <x:c r="AJ832" s="115"/>
      <x:c r="AK832" s="115"/>
      <x:c r="AL832" s="115"/>
      <x:c r="AM832" s="115"/>
      <x:c r="AN832" s="115"/>
      <x:c r="AO832" s="115"/>
      <x:c r="AP832" s="115"/>
      <x:c r="AQ832" s="115"/>
      <x:c r="AR832" s="115"/>
      <x:c r="AS832" s="115"/>
      <x:c r="AT832" s="115"/>
      <x:c r="AU832" s="115"/>
      <x:c r="AV832" s="115"/>
      <x:c r="AW832" s="115"/>
      <x:c r="AX832" s="115"/>
      <x:c r="AY832" s="115"/>
      <x:c r="AZ832" s="115"/>
      <x:c r="BA832" s="115"/>
      <x:c r="BB832" s="115"/>
      <x:c r="BC832" s="115"/>
      <x:c r="BD832" s="115"/>
      <x:c r="BE832" s="115"/>
      <x:c r="BF832" s="115"/>
      <x:c r="BG832" s="115"/>
      <x:c r="BH832" s="115"/>
      <x:c r="BI832" s="115"/>
      <x:c r="BJ832" s="115"/>
      <x:c r="BK832" s="115"/>
      <x:c r="BL832" s="115"/>
      <x:c r="BM832" s="115"/>
      <x:c r="BN832" s="115"/>
      <x:c r="BO832" s="115"/>
      <x:c r="BP832" s="115"/>
      <x:c r="BQ832" s="115"/>
      <x:c r="BR832" s="115"/>
      <x:c r="BS832" s="115"/>
      <x:c r="BT832" s="115"/>
      <x:c r="BU832" s="115"/>
      <x:c r="BV832" s="115"/>
      <x:c r="BW832" s="115"/>
      <x:c r="BX832" s="115"/>
      <x:c r="BY832" s="115"/>
      <x:c r="BZ832" s="115"/>
      <x:c r="CA832" s="115"/>
      <x:c r="CB832" s="116"/>
      <x:c r="CC832" s="141" t="str">
        <x:f>IF(COUNT(G832:P832)=0,"",AVERAGE(G832:P832)*4)</x:f>
      </x:c>
      <x:c r="CD832" s="178" t="str">
        <x:f>IF(COUNT(Q832:Z832)=0,"",AVERAGE(Q832:Z832)*4)</x:f>
      </x:c>
      <x:c r="CE832" s="178" t="str">
        <x:f>IF(COUNT(AA832:AJ832)=0,"",AVERAGE(AA832:AJ832)*4)</x:f>
      </x:c>
      <x:c r="CF832" s="178" t="str">
        <x:f>IF(COUNT(AK832:AR832)=0,"",AVERAGE(AK832:AR832)*4)</x:f>
      </x:c>
      <x:c r="CG832" s="178" t="str">
        <x:f>IF(COUNT(AS832:AY832)=0,"",AVERAGE(AS832:AY832)*4)</x:f>
      </x:c>
      <x:c r="CH832" s="178" t="str">
        <x:f>IF(COUNT(AZ832:BG832)=0,"",AVERAGE(AZ832:BG832)*4)</x:f>
      </x:c>
      <x:c r="CI832" s="178" t="str">
        <x:f>IF(COUNT(BH832:BN832)=0,"",AVERAGE(BH832:BN832)*4)</x:f>
      </x:c>
      <x:c r="CJ832" s="178" t="str">
        <x:f>IF(COUNT(BO832:BU832)=0,"",AVERAGE(BO832:BU832)*4)</x:f>
      </x:c>
      <x:c r="CK832" s="178" t="str">
        <x:f>IF(COUNT(BV832:CB832)=0,"",AVERAGE(BV832:CB832)*4)</x:f>
      </x:c>
      <x:c r="CL832" s="178" t="str">
        <x:f>IF(C832="","",IF(COUNT(G832:CB832)&lt;74,"",(CC832*'تنظیمات وزن‌دهی'!$C$5+CD832*'تنظیمات وزن‌دهی'!$C$6+CE832*'تنظیمات وزن‌دهی'!$C$7+CF832*'تنظیمات وزن‌دهی'!$C$8+CG832*'تنظیمات وزن‌دهی'!$C$9+CH832*'تنظیمات وزن‌دهی'!$C$10+CI832*'تنظیمات وزن‌دهی'!$C$11+CJ832*'تنظیمات وزن‌دهی'!$C$12+CK832*'تنظیمات وزن‌دهی'!$C$13)/100))</x:f>
      </x:c>
      <x:c r="CM832" s="178" t="str">
        <x:f>IF(C832="","",IF(COUNT(G832:CB832)=0,"",IF(COUNT(G832:CB832)&lt;74,"موقت - اطلاعات ناقص",IF(CL832&gt;=17,"عالی",IF(CL832&gt;=14,"خوب",IF(CL832&gt;=10,"متوسط","ضعیف"))))))</x:f>
      </x:c>
      <x:c r="CN832" s="178" t="n">
        <x:v>12</x:v>
      </x:c>
      <x:c r="CO832" s="142" t="n">
        <x:f>IF(C832="","",COUNT(G832:CB832)/74)</x:f>
        <x:v>0</x:v>
      </x:c>
      <x:c r="CP832" s="245"/>
    </x:row>
    <x:row r="833">
      <x:c r="A833" s="165" t="n">
        <x:v>829</x:v>
      </x:c>
      <x:c r="B833" s="233" t="str">
        <x:v>تیر</x:v>
      </x:c>
      <x:c r="C833" s="233" t="n">
        <x:f>IF('دانش‌آموزان'!E74="","",'دانش‌آموزان'!B74)</x:f>
        <x:v>70</x:v>
      </x:c>
      <x:c r="D833" s="233" t="str">
        <x:f>IF('دانش‌آموزان'!C74="","",'دانش‌آموزان'!C74)</x:f>
        <x:v>4000000705</x:v>
      </x:c>
      <x:c r="E833" s="233" t="str">
        <x:f>IF('دانش‌آموزان'!E74="","",'دانش‌آموزان'!E74&amp;" "&amp;'دانش‌آموزان'!F74)</x:f>
        <x:v>هلیا کریمی</x:v>
      </x:c>
      <x:c r="F833" s="166" t="str">
        <x:f>IF('دانش‌آموزان'!I74="","",'دانش‌آموزان'!I74)</x:f>
        <x:v>sample-7-c</x:v>
      </x:c>
      <x:c r="G833" s="114" t="n">
        <x:v>5</x:v>
      </x:c>
      <x:c r="H833" s="115" t="n">
        <x:v>3</x:v>
      </x:c>
      <x:c r="I833" s="115" t="n">
        <x:v>5</x:v>
      </x:c>
      <x:c r="J833" s="115" t="n">
        <x:v>3</x:v>
      </x:c>
      <x:c r="K833" s="115" t="n">
        <x:v>4</x:v>
      </x:c>
      <x:c r="L833" s="115" t="n">
        <x:v>3</x:v>
      </x:c>
      <x:c r="M833" s="115" t="n">
        <x:v>4</x:v>
      </x:c>
      <x:c r="N833" s="115" t="n">
        <x:v>2</x:v>
      </x:c>
      <x:c r="O833" s="115" t="n">
        <x:v>4</x:v>
      </x:c>
      <x:c r="P833" s="115" t="n">
        <x:v>5</x:v>
      </x:c>
      <x:c r="Q833" s="115" t="n">
        <x:v>4</x:v>
      </x:c>
      <x:c r="R833" s="115" t="n">
        <x:v>5</x:v>
      </x:c>
      <x:c r="S833" s="115" t="n">
        <x:v>3</x:v>
      </x:c>
      <x:c r="T833" s="115" t="n">
        <x:v>5</x:v>
      </x:c>
      <x:c r="U833" s="115" t="n">
        <x:v>3</x:v>
      </x:c>
      <x:c r="V833" s="115" t="n">
        <x:v>4</x:v>
      </x:c>
      <x:c r="W833" s="115" t="n">
        <x:v>3</x:v>
      </x:c>
      <x:c r="X833" s="115" t="n">
        <x:v>4</x:v>
      </x:c>
      <x:c r="Y833" s="115" t="n">
        <x:v>2</x:v>
      </x:c>
      <x:c r="Z833" s="115" t="n">
        <x:v>4</x:v>
      </x:c>
      <x:c r="AA833" s="115" t="n">
        <x:v>5</x:v>
      </x:c>
      <x:c r="AB833" s="115" t="n">
        <x:v>4</x:v>
      </x:c>
      <x:c r="AC833" s="115" t="n">
        <x:v>5</x:v>
      </x:c>
      <x:c r="AD833" s="115" t="n">
        <x:v>3</x:v>
      </x:c>
      <x:c r="AE833" s="115" t="n">
        <x:v>5</x:v>
      </x:c>
      <x:c r="AF833" s="115" t="n">
        <x:v>3</x:v>
      </x:c>
      <x:c r="AG833" s="115" t="n">
        <x:v>4</x:v>
      </x:c>
      <x:c r="AH833" s="115" t="n">
        <x:v>3</x:v>
      </x:c>
      <x:c r="AI833" s="115" t="n">
        <x:v>4</x:v>
      </x:c>
      <x:c r="AJ833" s="115" t="n">
        <x:v>2</x:v>
      </x:c>
      <x:c r="AK833" s="115" t="n">
        <x:v>4</x:v>
      </x:c>
      <x:c r="AL833" s="115" t="n">
        <x:v>5</x:v>
      </x:c>
      <x:c r="AM833" s="115" t="n">
        <x:v>4</x:v>
      </x:c>
      <x:c r="AN833" s="115" t="n">
        <x:v>5</x:v>
      </x:c>
      <x:c r="AO833" s="115" t="n">
        <x:v>3</x:v>
      </x:c>
      <x:c r="AP833" s="115" t="n">
        <x:v>5</x:v>
      </x:c>
      <x:c r="AQ833" s="115" t="n">
        <x:v>3</x:v>
      </x:c>
      <x:c r="AR833" s="115" t="n">
        <x:v>4</x:v>
      </x:c>
      <x:c r="AS833" s="115" t="n">
        <x:v>3</x:v>
      </x:c>
      <x:c r="AT833" s="115" t="n">
        <x:v>4</x:v>
      </x:c>
      <x:c r="AU833" s="115" t="n">
        <x:v>2</x:v>
      </x:c>
      <x:c r="AV833" s="115" t="n">
        <x:v>4</x:v>
      </x:c>
      <x:c r="AW833" s="115" t="n">
        <x:v>5</x:v>
      </x:c>
      <x:c r="AX833" s="115" t="n">
        <x:v>4</x:v>
      </x:c>
      <x:c r="AY833" s="115" t="n">
        <x:v>5</x:v>
      </x:c>
      <x:c r="AZ833" s="115" t="n">
        <x:v>3</x:v>
      </x:c>
      <x:c r="BA833" s="115" t="n">
        <x:v>5</x:v>
      </x:c>
      <x:c r="BB833" s="115" t="n">
        <x:v>3</x:v>
      </x:c>
      <x:c r="BC833" s="115" t="n">
        <x:v>4</x:v>
      </x:c>
      <x:c r="BD833" s="115" t="n">
        <x:v>3</x:v>
      </x:c>
      <x:c r="BE833" s="115" t="n">
        <x:v>4</x:v>
      </x:c>
      <x:c r="BF833" s="115" t="n">
        <x:v>2</x:v>
      </x:c>
      <x:c r="BG833" s="115" t="n">
        <x:v>4</x:v>
      </x:c>
      <x:c r="BH833" s="115" t="n">
        <x:v>5</x:v>
      </x:c>
      <x:c r="BI833" s="115" t="n">
        <x:v>4</x:v>
      </x:c>
      <x:c r="BJ833" s="115" t="n">
        <x:v>5</x:v>
      </x:c>
      <x:c r="BK833" s="115" t="n">
        <x:v>3</x:v>
      </x:c>
      <x:c r="BL833" s="115" t="n">
        <x:v>5</x:v>
      </x:c>
      <x:c r="BM833" s="115" t="n">
        <x:v>3</x:v>
      </x:c>
      <x:c r="BN833" s="115" t="n">
        <x:v>4</x:v>
      </x:c>
      <x:c r="BO833" s="115" t="n">
        <x:v>3</x:v>
      </x:c>
      <x:c r="BP833" s="115" t="n">
        <x:v>4</x:v>
      </x:c>
      <x:c r="BQ833" s="115" t="n">
        <x:v>2</x:v>
      </x:c>
      <x:c r="BR833" s="115" t="n">
        <x:v>4</x:v>
      </x:c>
      <x:c r="BS833" s="115" t="n">
        <x:v>5</x:v>
      </x:c>
      <x:c r="BT833" s="115" t="n">
        <x:v>4</x:v>
      </x:c>
      <x:c r="BU833" s="115" t="n">
        <x:v>5</x:v>
      </x:c>
      <x:c r="BV833" s="115" t="n">
        <x:v>3</x:v>
      </x:c>
      <x:c r="BW833" s="115" t="n">
        <x:v>5</x:v>
      </x:c>
      <x:c r="BX833" s="115" t="n">
        <x:v>3</x:v>
      </x:c>
      <x:c r="BY833" s="115" t="n">
        <x:v>4</x:v>
      </x:c>
      <x:c r="BZ833" s="115" t="n">
        <x:v>3</x:v>
      </x:c>
      <x:c r="CA833" s="115" t="n">
        <x:v>4</x:v>
      </x:c>
      <x:c r="CB833" s="116" t="n">
        <x:v>2</x:v>
      </x:c>
      <x:c r="CC833" s="141" t="n">
        <x:f>IF(COUNT(G833:P833)=0,"",AVERAGE(G833:P833)*4)</x:f>
        <x:v>15.2</x:v>
      </x:c>
      <x:c r="CD833" s="178" t="n">
        <x:f>IF(COUNT(Q833:Z833)=0,"",AVERAGE(Q833:Z833)*4)</x:f>
        <x:v>14.8</x:v>
      </x:c>
      <x:c r="CE833" s="178" t="n">
        <x:f>IF(COUNT(AA833:AJ833)=0,"",AVERAGE(AA833:AJ833)*4)</x:f>
        <x:v>15.2</x:v>
      </x:c>
      <x:c r="CF833" s="178" t="n">
        <x:f>IF(COUNT(AK833:AR833)=0,"",AVERAGE(AK833:AR833)*4)</x:f>
        <x:v>16.5</x:v>
      </x:c>
      <x:c r="CG833" s="178" t="n">
        <x:f>IF(COUNT(AS833:AY833)=0,"",AVERAGE(AS833:AY833)*4)</x:f>
        <x:v>15.428571428571429</x:v>
      </x:c>
      <x:c r="CH833" s="178" t="n">
        <x:f>IF(COUNT(AZ833:BG833)=0,"",AVERAGE(AZ833:BG833)*4)</x:f>
        <x:v>14</x:v>
      </x:c>
      <x:c r="CI833" s="178" t="n">
        <x:f>IF(COUNT(BH833:BN833)=0,"",AVERAGE(BH833:BN833)*4)</x:f>
        <x:v>16.571428571428573</x:v>
      </x:c>
      <x:c r="CJ833" s="178" t="n">
        <x:f>IF(COUNT(BO833:BU833)=0,"",AVERAGE(BO833:BU833)*4)</x:f>
        <x:v>15.428571428571429</x:v>
      </x:c>
      <x:c r="CK833" s="178" t="n">
        <x:f>IF(COUNT(BV833:CB833)=0,"",AVERAGE(BV833:CB833)*4)</x:f>
        <x:v>13.714285714285714</x:v>
      </x:c>
      <x:c r="CL833" s="178" t="n">
        <x:f>IF(C833="","",IF(COUNT(G833:CB833)&lt;74,"",(CC833*'تنظیمات وزن‌دهی'!$C$5+CD833*'تنظیمات وزن‌دهی'!$C$6+CE833*'تنظیمات وزن‌دهی'!$C$7+CF833*'تنظیمات وزن‌دهی'!$C$8+CG833*'تنظیمات وزن‌دهی'!$C$9+CH833*'تنظیمات وزن‌دهی'!$C$10+CI833*'تنظیمات وزن‌دهی'!$C$11+CJ833*'تنظیمات وزن‌دهی'!$C$12+CK833*'تنظیمات وزن‌دهی'!$C$13)/100))</x:f>
        <x:v>15.260714285714286</x:v>
      </x:c>
      <x:c r="CM833" s="178" t="str">
        <x:f>IF(C833="","",IF(COUNT(G833:CB833)=0,"",IF(COUNT(G833:CB833)&lt;74,"موقت - اطلاعات ناقص",IF(CL833&gt;=17,"عالی",IF(CL833&gt;=14,"خوب",IF(CL833&gt;=10,"متوسط","ضعیف"))))))</x:f>
        <x:v>خوب</x:v>
      </x:c>
      <x:c r="CN833" s="178" t="n">
        <x:v>1</x:v>
      </x:c>
      <x:c r="CO833" s="142" t="n">
        <x:f>IF(C833="","",COUNT(G833:CB833)/74)</x:f>
        <x:v>1</x:v>
      </x:c>
      <x:c r="CP833" s="245" t="str">
        <x:v>داده نمونه کامل برای ماه تیر - دانش‌آموز شماره 70</x:v>
      </x:c>
    </x:row>
    <x:row r="834">
      <x:c r="A834" s="165" t="n">
        <x:v>830</x:v>
      </x:c>
      <x:c r="B834" s="233" t="str">
        <x:v>مرداد</x:v>
      </x:c>
      <x:c r="C834" s="233" t="n">
        <x:f>IF('دانش‌آموزان'!E74="","",'دانش‌آموزان'!B74)</x:f>
        <x:v>70</x:v>
      </x:c>
      <x:c r="D834" s="233" t="str">
        <x:f>IF('دانش‌آموزان'!C74="","",'دانش‌آموزان'!C74)</x:f>
        <x:v>4000000705</x:v>
      </x:c>
      <x:c r="E834" s="233" t="str">
        <x:f>IF('دانش‌آموزان'!E74="","",'دانش‌آموزان'!E74&amp;" "&amp;'دانش‌آموزان'!F74)</x:f>
        <x:v>هلیا کریمی</x:v>
      </x:c>
      <x:c r="F834" s="166" t="str">
        <x:f>IF('دانش‌آموزان'!I74="","",'دانش‌آموزان'!I74)</x:f>
        <x:v>sample-7-c</x:v>
      </x:c>
      <x:c r="G834" s="114"/>
      <x:c r="H834" s="115"/>
      <x:c r="I834" s="115"/>
      <x:c r="J834" s="115"/>
      <x:c r="K834" s="115"/>
      <x:c r="L834" s="115"/>
      <x:c r="M834" s="115"/>
      <x:c r="N834" s="115"/>
      <x:c r="O834" s="115"/>
      <x:c r="P834" s="115"/>
      <x:c r="Q834" s="115"/>
      <x:c r="R834" s="115"/>
      <x:c r="S834" s="115"/>
      <x:c r="T834" s="115"/>
      <x:c r="U834" s="115"/>
      <x:c r="V834" s="115"/>
      <x:c r="W834" s="115"/>
      <x:c r="X834" s="115"/>
      <x:c r="Y834" s="115"/>
      <x:c r="Z834" s="115"/>
      <x:c r="AA834" s="115"/>
      <x:c r="AB834" s="115"/>
      <x:c r="AC834" s="115"/>
      <x:c r="AD834" s="115"/>
      <x:c r="AE834" s="115"/>
      <x:c r="AF834" s="115"/>
      <x:c r="AG834" s="115"/>
      <x:c r="AH834" s="115"/>
      <x:c r="AI834" s="115"/>
      <x:c r="AJ834" s="115"/>
      <x:c r="AK834" s="115"/>
      <x:c r="AL834" s="115"/>
      <x:c r="AM834" s="115"/>
      <x:c r="AN834" s="115"/>
      <x:c r="AO834" s="115"/>
      <x:c r="AP834" s="115"/>
      <x:c r="AQ834" s="115"/>
      <x:c r="AR834" s="115"/>
      <x:c r="AS834" s="115"/>
      <x:c r="AT834" s="115"/>
      <x:c r="AU834" s="115"/>
      <x:c r="AV834" s="115"/>
      <x:c r="AW834" s="115"/>
      <x:c r="AX834" s="115"/>
      <x:c r="AY834" s="115"/>
      <x:c r="AZ834" s="115"/>
      <x:c r="BA834" s="115"/>
      <x:c r="BB834" s="115"/>
      <x:c r="BC834" s="115"/>
      <x:c r="BD834" s="115"/>
      <x:c r="BE834" s="115"/>
      <x:c r="BF834" s="115"/>
      <x:c r="BG834" s="115"/>
      <x:c r="BH834" s="115"/>
      <x:c r="BI834" s="115"/>
      <x:c r="BJ834" s="115"/>
      <x:c r="BK834" s="115"/>
      <x:c r="BL834" s="115"/>
      <x:c r="BM834" s="115"/>
      <x:c r="BN834" s="115"/>
      <x:c r="BO834" s="115"/>
      <x:c r="BP834" s="115"/>
      <x:c r="BQ834" s="115"/>
      <x:c r="BR834" s="115"/>
      <x:c r="BS834" s="115"/>
      <x:c r="BT834" s="115"/>
      <x:c r="BU834" s="115"/>
      <x:c r="BV834" s="115"/>
      <x:c r="BW834" s="115"/>
      <x:c r="BX834" s="115"/>
      <x:c r="BY834" s="115"/>
      <x:c r="BZ834" s="115"/>
      <x:c r="CA834" s="115"/>
      <x:c r="CB834" s="116"/>
      <x:c r="CC834" s="141" t="str">
        <x:f>IF(COUNT(G834:P834)=0,"",AVERAGE(G834:P834)*4)</x:f>
      </x:c>
      <x:c r="CD834" s="178" t="str">
        <x:f>IF(COUNT(Q834:Z834)=0,"",AVERAGE(Q834:Z834)*4)</x:f>
      </x:c>
      <x:c r="CE834" s="178" t="str">
        <x:f>IF(COUNT(AA834:AJ834)=0,"",AVERAGE(AA834:AJ834)*4)</x:f>
      </x:c>
      <x:c r="CF834" s="178" t="str">
        <x:f>IF(COUNT(AK834:AR834)=0,"",AVERAGE(AK834:AR834)*4)</x:f>
      </x:c>
      <x:c r="CG834" s="178" t="str">
        <x:f>IF(COUNT(AS834:AY834)=0,"",AVERAGE(AS834:AY834)*4)</x:f>
      </x:c>
      <x:c r="CH834" s="178" t="str">
        <x:f>IF(COUNT(AZ834:BG834)=0,"",AVERAGE(AZ834:BG834)*4)</x:f>
      </x:c>
      <x:c r="CI834" s="178" t="str">
        <x:f>IF(COUNT(BH834:BN834)=0,"",AVERAGE(BH834:BN834)*4)</x:f>
      </x:c>
      <x:c r="CJ834" s="178" t="str">
        <x:f>IF(COUNT(BO834:BU834)=0,"",AVERAGE(BO834:BU834)*4)</x:f>
      </x:c>
      <x:c r="CK834" s="178" t="str">
        <x:f>IF(COUNT(BV834:CB834)=0,"",AVERAGE(BV834:CB834)*4)</x:f>
      </x:c>
      <x:c r="CL834" s="178" t="str">
        <x:f>IF(C834="","",IF(COUNT(G834:CB834)&lt;74,"",(CC834*'تنظیمات وزن‌دهی'!$C$5+CD834*'تنظیمات وزن‌دهی'!$C$6+CE834*'تنظیمات وزن‌دهی'!$C$7+CF834*'تنظیمات وزن‌دهی'!$C$8+CG834*'تنظیمات وزن‌دهی'!$C$9+CH834*'تنظیمات وزن‌دهی'!$C$10+CI834*'تنظیمات وزن‌دهی'!$C$11+CJ834*'تنظیمات وزن‌دهی'!$C$12+CK834*'تنظیمات وزن‌دهی'!$C$13)/100))</x:f>
      </x:c>
      <x:c r="CM834" s="178" t="str">
        <x:f>IF(C834="","",IF(COUNT(G834:CB834)=0,"",IF(COUNT(G834:CB834)&lt;74,"موقت - اطلاعات ناقص",IF(CL834&gt;=17,"عالی",IF(CL834&gt;=14,"خوب",IF(CL834&gt;=10,"متوسط","ضعیف"))))))</x:f>
      </x:c>
      <x:c r="CN834" s="178" t="n">
        <x:v>2</x:v>
      </x:c>
      <x:c r="CO834" s="142" t="n">
        <x:f>IF(C834="","",COUNT(G834:CB834)/74)</x:f>
        <x:v>0</x:v>
      </x:c>
      <x:c r="CP834" s="245"/>
    </x:row>
    <x:row r="835">
      <x:c r="A835" s="165" t="n">
        <x:v>831</x:v>
      </x:c>
      <x:c r="B835" s="233" t="str">
        <x:v>شهریور</x:v>
      </x:c>
      <x:c r="C835" s="233" t="n">
        <x:f>IF('دانش‌آموزان'!E74="","",'دانش‌آموزان'!B74)</x:f>
        <x:v>70</x:v>
      </x:c>
      <x:c r="D835" s="233" t="str">
        <x:f>IF('دانش‌آموزان'!C74="","",'دانش‌آموزان'!C74)</x:f>
        <x:v>4000000705</x:v>
      </x:c>
      <x:c r="E835" s="233" t="str">
        <x:f>IF('دانش‌آموزان'!E74="","",'دانش‌آموزان'!E74&amp;" "&amp;'دانش‌آموزان'!F74)</x:f>
        <x:v>هلیا کریمی</x:v>
      </x:c>
      <x:c r="F835" s="166" t="str">
        <x:f>IF('دانش‌آموزان'!I74="","",'دانش‌آموزان'!I74)</x:f>
        <x:v>sample-7-c</x:v>
      </x:c>
      <x:c r="G835" s="114"/>
      <x:c r="H835" s="115"/>
      <x:c r="I835" s="115"/>
      <x:c r="J835" s="115"/>
      <x:c r="K835" s="115"/>
      <x:c r="L835" s="115"/>
      <x:c r="M835" s="115"/>
      <x:c r="N835" s="115"/>
      <x:c r="O835" s="115"/>
      <x:c r="P835" s="115"/>
      <x:c r="Q835" s="115"/>
      <x:c r="R835" s="115"/>
      <x:c r="S835" s="115"/>
      <x:c r="T835" s="115"/>
      <x:c r="U835" s="115"/>
      <x:c r="V835" s="115"/>
      <x:c r="W835" s="115"/>
      <x:c r="X835" s="115"/>
      <x:c r="Y835" s="115"/>
      <x:c r="Z835" s="115"/>
      <x:c r="AA835" s="115"/>
      <x:c r="AB835" s="115"/>
      <x:c r="AC835" s="115"/>
      <x:c r="AD835" s="115"/>
      <x:c r="AE835" s="115"/>
      <x:c r="AF835" s="115"/>
      <x:c r="AG835" s="115"/>
      <x:c r="AH835" s="115"/>
      <x:c r="AI835" s="115"/>
      <x:c r="AJ835" s="115"/>
      <x:c r="AK835" s="115"/>
      <x:c r="AL835" s="115"/>
      <x:c r="AM835" s="115"/>
      <x:c r="AN835" s="115"/>
      <x:c r="AO835" s="115"/>
      <x:c r="AP835" s="115"/>
      <x:c r="AQ835" s="115"/>
      <x:c r="AR835" s="115"/>
      <x:c r="AS835" s="115"/>
      <x:c r="AT835" s="115"/>
      <x:c r="AU835" s="115"/>
      <x:c r="AV835" s="115"/>
      <x:c r="AW835" s="115"/>
      <x:c r="AX835" s="115"/>
      <x:c r="AY835" s="115"/>
      <x:c r="AZ835" s="115"/>
      <x:c r="BA835" s="115"/>
      <x:c r="BB835" s="115"/>
      <x:c r="BC835" s="115"/>
      <x:c r="BD835" s="115"/>
      <x:c r="BE835" s="115"/>
      <x:c r="BF835" s="115"/>
      <x:c r="BG835" s="115"/>
      <x:c r="BH835" s="115"/>
      <x:c r="BI835" s="115"/>
      <x:c r="BJ835" s="115"/>
      <x:c r="BK835" s="115"/>
      <x:c r="BL835" s="115"/>
      <x:c r="BM835" s="115"/>
      <x:c r="BN835" s="115"/>
      <x:c r="BO835" s="115"/>
      <x:c r="BP835" s="115"/>
      <x:c r="BQ835" s="115"/>
      <x:c r="BR835" s="115"/>
      <x:c r="BS835" s="115"/>
      <x:c r="BT835" s="115"/>
      <x:c r="BU835" s="115"/>
      <x:c r="BV835" s="115"/>
      <x:c r="BW835" s="115"/>
      <x:c r="BX835" s="115"/>
      <x:c r="BY835" s="115"/>
      <x:c r="BZ835" s="115"/>
      <x:c r="CA835" s="115"/>
      <x:c r="CB835" s="116"/>
      <x:c r="CC835" s="141" t="str">
        <x:f>IF(COUNT(G835:P835)=0,"",AVERAGE(G835:P835)*4)</x:f>
      </x:c>
      <x:c r="CD835" s="178" t="str">
        <x:f>IF(COUNT(Q835:Z835)=0,"",AVERAGE(Q835:Z835)*4)</x:f>
      </x:c>
      <x:c r="CE835" s="178" t="str">
        <x:f>IF(COUNT(AA835:AJ835)=0,"",AVERAGE(AA835:AJ835)*4)</x:f>
      </x:c>
      <x:c r="CF835" s="178" t="str">
        <x:f>IF(COUNT(AK835:AR835)=0,"",AVERAGE(AK835:AR835)*4)</x:f>
      </x:c>
      <x:c r="CG835" s="178" t="str">
        <x:f>IF(COUNT(AS835:AY835)=0,"",AVERAGE(AS835:AY835)*4)</x:f>
      </x:c>
      <x:c r="CH835" s="178" t="str">
        <x:f>IF(COUNT(AZ835:BG835)=0,"",AVERAGE(AZ835:BG835)*4)</x:f>
      </x:c>
      <x:c r="CI835" s="178" t="str">
        <x:f>IF(COUNT(BH835:BN835)=0,"",AVERAGE(BH835:BN835)*4)</x:f>
      </x:c>
      <x:c r="CJ835" s="178" t="str">
        <x:f>IF(COUNT(BO835:BU835)=0,"",AVERAGE(BO835:BU835)*4)</x:f>
      </x:c>
      <x:c r="CK835" s="178" t="str">
        <x:f>IF(COUNT(BV835:CB835)=0,"",AVERAGE(BV835:CB835)*4)</x:f>
      </x:c>
      <x:c r="CL835" s="178" t="str">
        <x:f>IF(C835="","",IF(COUNT(G835:CB835)&lt;74,"",(CC835*'تنظیمات وزن‌دهی'!$C$5+CD835*'تنظیمات وزن‌دهی'!$C$6+CE835*'تنظیمات وزن‌دهی'!$C$7+CF835*'تنظیمات وزن‌دهی'!$C$8+CG835*'تنظیمات وزن‌دهی'!$C$9+CH835*'تنظیمات وزن‌دهی'!$C$10+CI835*'تنظیمات وزن‌دهی'!$C$11+CJ835*'تنظیمات وزن‌دهی'!$C$12+CK835*'تنظیمات وزن‌دهی'!$C$13)/100))</x:f>
      </x:c>
      <x:c r="CM835" s="178" t="str">
        <x:f>IF(C835="","",IF(COUNT(G835:CB835)=0,"",IF(COUNT(G835:CB835)&lt;74,"موقت - اطلاعات ناقص",IF(CL835&gt;=17,"عالی",IF(CL835&gt;=14,"خوب",IF(CL835&gt;=10,"متوسط","ضعیف"))))))</x:f>
      </x:c>
      <x:c r="CN835" s="178" t="n">
        <x:v>3</x:v>
      </x:c>
      <x:c r="CO835" s="142" t="n">
        <x:f>IF(C835="","",COUNT(G835:CB835)/74)</x:f>
        <x:v>0</x:v>
      </x:c>
      <x:c r="CP835" s="245"/>
    </x:row>
    <x:row r="836">
      <x:c r="A836" s="165" t="n">
        <x:v>832</x:v>
      </x:c>
      <x:c r="B836" s="233" t="str">
        <x:v>مهر</x:v>
      </x:c>
      <x:c r="C836" s="233" t="n">
        <x:f>IF('دانش‌آموزان'!E74="","",'دانش‌آموزان'!B74)</x:f>
        <x:v>70</x:v>
      </x:c>
      <x:c r="D836" s="233" t="str">
        <x:f>IF('دانش‌آموزان'!C74="","",'دانش‌آموزان'!C74)</x:f>
        <x:v>4000000705</x:v>
      </x:c>
      <x:c r="E836" s="233" t="str">
        <x:f>IF('دانش‌آموزان'!E74="","",'دانش‌آموزان'!E74&amp;" "&amp;'دانش‌آموزان'!F74)</x:f>
        <x:v>هلیا کریمی</x:v>
      </x:c>
      <x:c r="F836" s="166" t="str">
        <x:f>IF('دانش‌آموزان'!I74="","",'دانش‌آموزان'!I74)</x:f>
        <x:v>sample-7-c</x:v>
      </x:c>
      <x:c r="G836" s="114"/>
      <x:c r="H836" s="115"/>
      <x:c r="I836" s="115"/>
      <x:c r="J836" s="115"/>
      <x:c r="K836" s="115"/>
      <x:c r="L836" s="115"/>
      <x:c r="M836" s="115"/>
      <x:c r="N836" s="115"/>
      <x:c r="O836" s="115"/>
      <x:c r="P836" s="115"/>
      <x:c r="Q836" s="115"/>
      <x:c r="R836" s="115"/>
      <x:c r="S836" s="115"/>
      <x:c r="T836" s="115"/>
      <x:c r="U836" s="115"/>
      <x:c r="V836" s="115"/>
      <x:c r="W836" s="115"/>
      <x:c r="X836" s="115"/>
      <x:c r="Y836" s="115"/>
      <x:c r="Z836" s="115"/>
      <x:c r="AA836" s="115"/>
      <x:c r="AB836" s="115"/>
      <x:c r="AC836" s="115"/>
      <x:c r="AD836" s="115"/>
      <x:c r="AE836" s="115"/>
      <x:c r="AF836" s="115"/>
      <x:c r="AG836" s="115"/>
      <x:c r="AH836" s="115"/>
      <x:c r="AI836" s="115"/>
      <x:c r="AJ836" s="115"/>
      <x:c r="AK836" s="115"/>
      <x:c r="AL836" s="115"/>
      <x:c r="AM836" s="115"/>
      <x:c r="AN836" s="115"/>
      <x:c r="AO836" s="115"/>
      <x:c r="AP836" s="115"/>
      <x:c r="AQ836" s="115"/>
      <x:c r="AR836" s="115"/>
      <x:c r="AS836" s="115"/>
      <x:c r="AT836" s="115"/>
      <x:c r="AU836" s="115"/>
      <x:c r="AV836" s="115"/>
      <x:c r="AW836" s="115"/>
      <x:c r="AX836" s="115"/>
      <x:c r="AY836" s="115"/>
      <x:c r="AZ836" s="115"/>
      <x:c r="BA836" s="115"/>
      <x:c r="BB836" s="115"/>
      <x:c r="BC836" s="115"/>
      <x:c r="BD836" s="115"/>
      <x:c r="BE836" s="115"/>
      <x:c r="BF836" s="115"/>
      <x:c r="BG836" s="115"/>
      <x:c r="BH836" s="115"/>
      <x:c r="BI836" s="115"/>
      <x:c r="BJ836" s="115"/>
      <x:c r="BK836" s="115"/>
      <x:c r="BL836" s="115"/>
      <x:c r="BM836" s="115"/>
      <x:c r="BN836" s="115"/>
      <x:c r="BO836" s="115"/>
      <x:c r="BP836" s="115"/>
      <x:c r="BQ836" s="115"/>
      <x:c r="BR836" s="115"/>
      <x:c r="BS836" s="115"/>
      <x:c r="BT836" s="115"/>
      <x:c r="BU836" s="115"/>
      <x:c r="BV836" s="115"/>
      <x:c r="BW836" s="115"/>
      <x:c r="BX836" s="115"/>
      <x:c r="BY836" s="115"/>
      <x:c r="BZ836" s="115"/>
      <x:c r="CA836" s="115"/>
      <x:c r="CB836" s="116"/>
      <x:c r="CC836" s="141" t="str">
        <x:f>IF(COUNT(G836:P836)=0,"",AVERAGE(G836:P836)*4)</x:f>
      </x:c>
      <x:c r="CD836" s="178" t="str">
        <x:f>IF(COUNT(Q836:Z836)=0,"",AVERAGE(Q836:Z836)*4)</x:f>
      </x:c>
      <x:c r="CE836" s="178" t="str">
        <x:f>IF(COUNT(AA836:AJ836)=0,"",AVERAGE(AA836:AJ836)*4)</x:f>
      </x:c>
      <x:c r="CF836" s="178" t="str">
        <x:f>IF(COUNT(AK836:AR836)=0,"",AVERAGE(AK836:AR836)*4)</x:f>
      </x:c>
      <x:c r="CG836" s="178" t="str">
        <x:f>IF(COUNT(AS836:AY836)=0,"",AVERAGE(AS836:AY836)*4)</x:f>
      </x:c>
      <x:c r="CH836" s="178" t="str">
        <x:f>IF(COUNT(AZ836:BG836)=0,"",AVERAGE(AZ836:BG836)*4)</x:f>
      </x:c>
      <x:c r="CI836" s="178" t="str">
        <x:f>IF(COUNT(BH836:BN836)=0,"",AVERAGE(BH836:BN836)*4)</x:f>
      </x:c>
      <x:c r="CJ836" s="178" t="str">
        <x:f>IF(COUNT(BO836:BU836)=0,"",AVERAGE(BO836:BU836)*4)</x:f>
      </x:c>
      <x:c r="CK836" s="178" t="str">
        <x:f>IF(COUNT(BV836:CB836)=0,"",AVERAGE(BV836:CB836)*4)</x:f>
      </x:c>
      <x:c r="CL836" s="178" t="str">
        <x:f>IF(C836="","",IF(COUNT(G836:CB836)&lt;74,"",(CC836*'تنظیمات وزن‌دهی'!$C$5+CD836*'تنظیمات وزن‌دهی'!$C$6+CE836*'تنظیمات وزن‌دهی'!$C$7+CF836*'تنظیمات وزن‌دهی'!$C$8+CG836*'تنظیمات وزن‌دهی'!$C$9+CH836*'تنظیمات وزن‌دهی'!$C$10+CI836*'تنظیمات وزن‌دهی'!$C$11+CJ836*'تنظیمات وزن‌دهی'!$C$12+CK836*'تنظیمات وزن‌دهی'!$C$13)/100))</x:f>
      </x:c>
      <x:c r="CM836" s="178" t="str">
        <x:f>IF(C836="","",IF(COUNT(G836:CB836)=0,"",IF(COUNT(G836:CB836)&lt;74,"موقت - اطلاعات ناقص",IF(CL836&gt;=17,"عالی",IF(CL836&gt;=14,"خوب",IF(CL836&gt;=10,"متوسط","ضعیف"))))))</x:f>
      </x:c>
      <x:c r="CN836" s="178" t="n">
        <x:v>4</x:v>
      </x:c>
      <x:c r="CO836" s="142" t="n">
        <x:f>IF(C836="","",COUNT(G836:CB836)/74)</x:f>
        <x:v>0</x:v>
      </x:c>
      <x:c r="CP836" s="245"/>
    </x:row>
    <x:row r="837">
      <x:c r="A837" s="165" t="n">
        <x:v>833</x:v>
      </x:c>
      <x:c r="B837" s="233" t="str">
        <x:v>آبان</x:v>
      </x:c>
      <x:c r="C837" s="233" t="n">
        <x:f>IF('دانش‌آموزان'!E74="","",'دانش‌آموزان'!B74)</x:f>
        <x:v>70</x:v>
      </x:c>
      <x:c r="D837" s="233" t="str">
        <x:f>IF('دانش‌آموزان'!C74="","",'دانش‌آموزان'!C74)</x:f>
        <x:v>4000000705</x:v>
      </x:c>
      <x:c r="E837" s="233" t="str">
        <x:f>IF('دانش‌آموزان'!E74="","",'دانش‌آموزان'!E74&amp;" "&amp;'دانش‌آموزان'!F74)</x:f>
        <x:v>هلیا کریمی</x:v>
      </x:c>
      <x:c r="F837" s="166" t="str">
        <x:f>IF('دانش‌آموزان'!I74="","",'دانش‌آموزان'!I74)</x:f>
        <x:v>sample-7-c</x:v>
      </x:c>
      <x:c r="G837" s="114"/>
      <x:c r="H837" s="115"/>
      <x:c r="I837" s="115"/>
      <x:c r="J837" s="115"/>
      <x:c r="K837" s="115"/>
      <x:c r="L837" s="115"/>
      <x:c r="M837" s="115"/>
      <x:c r="N837" s="115"/>
      <x:c r="O837" s="115"/>
      <x:c r="P837" s="115"/>
      <x:c r="Q837" s="115"/>
      <x:c r="R837" s="115"/>
      <x:c r="S837" s="115"/>
      <x:c r="T837" s="115"/>
      <x:c r="U837" s="115"/>
      <x:c r="V837" s="115"/>
      <x:c r="W837" s="115"/>
      <x:c r="X837" s="115"/>
      <x:c r="Y837" s="115"/>
      <x:c r="Z837" s="115"/>
      <x:c r="AA837" s="115"/>
      <x:c r="AB837" s="115"/>
      <x:c r="AC837" s="115"/>
      <x:c r="AD837" s="115"/>
      <x:c r="AE837" s="115"/>
      <x:c r="AF837" s="115"/>
      <x:c r="AG837" s="115"/>
      <x:c r="AH837" s="115"/>
      <x:c r="AI837" s="115"/>
      <x:c r="AJ837" s="115"/>
      <x:c r="AK837" s="115"/>
      <x:c r="AL837" s="115"/>
      <x:c r="AM837" s="115"/>
      <x:c r="AN837" s="115"/>
      <x:c r="AO837" s="115"/>
      <x:c r="AP837" s="115"/>
      <x:c r="AQ837" s="115"/>
      <x:c r="AR837" s="115"/>
      <x:c r="AS837" s="115"/>
      <x:c r="AT837" s="115"/>
      <x:c r="AU837" s="115"/>
      <x:c r="AV837" s="115"/>
      <x:c r="AW837" s="115"/>
      <x:c r="AX837" s="115"/>
      <x:c r="AY837" s="115"/>
      <x:c r="AZ837" s="115"/>
      <x:c r="BA837" s="115"/>
      <x:c r="BB837" s="115"/>
      <x:c r="BC837" s="115"/>
      <x:c r="BD837" s="115"/>
      <x:c r="BE837" s="115"/>
      <x:c r="BF837" s="115"/>
      <x:c r="BG837" s="115"/>
      <x:c r="BH837" s="115"/>
      <x:c r="BI837" s="115"/>
      <x:c r="BJ837" s="115"/>
      <x:c r="BK837" s="115"/>
      <x:c r="BL837" s="115"/>
      <x:c r="BM837" s="115"/>
      <x:c r="BN837" s="115"/>
      <x:c r="BO837" s="115"/>
      <x:c r="BP837" s="115"/>
      <x:c r="BQ837" s="115"/>
      <x:c r="BR837" s="115"/>
      <x:c r="BS837" s="115"/>
      <x:c r="BT837" s="115"/>
      <x:c r="BU837" s="115"/>
      <x:c r="BV837" s="115"/>
      <x:c r="BW837" s="115"/>
      <x:c r="BX837" s="115"/>
      <x:c r="BY837" s="115"/>
      <x:c r="BZ837" s="115"/>
      <x:c r="CA837" s="115"/>
      <x:c r="CB837" s="116"/>
      <x:c r="CC837" s="141" t="str">
        <x:f>IF(COUNT(G837:P837)=0,"",AVERAGE(G837:P837)*4)</x:f>
      </x:c>
      <x:c r="CD837" s="178" t="str">
        <x:f>IF(COUNT(Q837:Z837)=0,"",AVERAGE(Q837:Z837)*4)</x:f>
      </x:c>
      <x:c r="CE837" s="178" t="str">
        <x:f>IF(COUNT(AA837:AJ837)=0,"",AVERAGE(AA837:AJ837)*4)</x:f>
      </x:c>
      <x:c r="CF837" s="178" t="str">
        <x:f>IF(COUNT(AK837:AR837)=0,"",AVERAGE(AK837:AR837)*4)</x:f>
      </x:c>
      <x:c r="CG837" s="178" t="str">
        <x:f>IF(COUNT(AS837:AY837)=0,"",AVERAGE(AS837:AY837)*4)</x:f>
      </x:c>
      <x:c r="CH837" s="178" t="str">
        <x:f>IF(COUNT(AZ837:BG837)=0,"",AVERAGE(AZ837:BG837)*4)</x:f>
      </x:c>
      <x:c r="CI837" s="178" t="str">
        <x:f>IF(COUNT(BH837:BN837)=0,"",AVERAGE(BH837:BN837)*4)</x:f>
      </x:c>
      <x:c r="CJ837" s="178" t="str">
        <x:f>IF(COUNT(BO837:BU837)=0,"",AVERAGE(BO837:BU837)*4)</x:f>
      </x:c>
      <x:c r="CK837" s="178" t="str">
        <x:f>IF(COUNT(BV837:CB837)=0,"",AVERAGE(BV837:CB837)*4)</x:f>
      </x:c>
      <x:c r="CL837" s="178" t="str">
        <x:f>IF(C837="","",IF(COUNT(G837:CB837)&lt;74,"",(CC837*'تنظیمات وزن‌دهی'!$C$5+CD837*'تنظیمات وزن‌دهی'!$C$6+CE837*'تنظیمات وزن‌دهی'!$C$7+CF837*'تنظیمات وزن‌دهی'!$C$8+CG837*'تنظیمات وزن‌دهی'!$C$9+CH837*'تنظیمات وزن‌دهی'!$C$10+CI837*'تنظیمات وزن‌دهی'!$C$11+CJ837*'تنظیمات وزن‌دهی'!$C$12+CK837*'تنظیمات وزن‌دهی'!$C$13)/100))</x:f>
      </x:c>
      <x:c r="CM837" s="178" t="str">
        <x:f>IF(C837="","",IF(COUNT(G837:CB837)=0,"",IF(COUNT(G837:CB837)&lt;74,"موقت - اطلاعات ناقص",IF(CL837&gt;=17,"عالی",IF(CL837&gt;=14,"خوب",IF(CL837&gt;=10,"متوسط","ضعیف"))))))</x:f>
      </x:c>
      <x:c r="CN837" s="178" t="n">
        <x:v>5</x:v>
      </x:c>
      <x:c r="CO837" s="142" t="n">
        <x:f>IF(C837="","",COUNT(G837:CB837)/74)</x:f>
        <x:v>0</x:v>
      </x:c>
      <x:c r="CP837" s="245"/>
    </x:row>
    <x:row r="838">
      <x:c r="A838" s="165" t="n">
        <x:v>834</x:v>
      </x:c>
      <x:c r="B838" s="233" t="str">
        <x:v>آذر</x:v>
      </x:c>
      <x:c r="C838" s="233" t="n">
        <x:f>IF('دانش‌آموزان'!E74="","",'دانش‌آموزان'!B74)</x:f>
        <x:v>70</x:v>
      </x:c>
      <x:c r="D838" s="233" t="str">
        <x:f>IF('دانش‌آموزان'!C74="","",'دانش‌آموزان'!C74)</x:f>
        <x:v>4000000705</x:v>
      </x:c>
      <x:c r="E838" s="233" t="str">
        <x:f>IF('دانش‌آموزان'!E74="","",'دانش‌آموزان'!E74&amp;" "&amp;'دانش‌آموزان'!F74)</x:f>
        <x:v>هلیا کریمی</x:v>
      </x:c>
      <x:c r="F838" s="166" t="str">
        <x:f>IF('دانش‌آموزان'!I74="","",'دانش‌آموزان'!I74)</x:f>
        <x:v>sample-7-c</x:v>
      </x:c>
      <x:c r="G838" s="114"/>
      <x:c r="H838" s="115"/>
      <x:c r="I838" s="115"/>
      <x:c r="J838" s="115"/>
      <x:c r="K838" s="115"/>
      <x:c r="L838" s="115"/>
      <x:c r="M838" s="115"/>
      <x:c r="N838" s="115"/>
      <x:c r="O838" s="115"/>
      <x:c r="P838" s="115"/>
      <x:c r="Q838" s="115"/>
      <x:c r="R838" s="115"/>
      <x:c r="S838" s="115"/>
      <x:c r="T838" s="115"/>
      <x:c r="U838" s="115"/>
      <x:c r="V838" s="115"/>
      <x:c r="W838" s="115"/>
      <x:c r="X838" s="115"/>
      <x:c r="Y838" s="115"/>
      <x:c r="Z838" s="115"/>
      <x:c r="AA838" s="115"/>
      <x:c r="AB838" s="115"/>
      <x:c r="AC838" s="115"/>
      <x:c r="AD838" s="115"/>
      <x:c r="AE838" s="115"/>
      <x:c r="AF838" s="115"/>
      <x:c r="AG838" s="115"/>
      <x:c r="AH838" s="115"/>
      <x:c r="AI838" s="115"/>
      <x:c r="AJ838" s="115"/>
      <x:c r="AK838" s="115"/>
      <x:c r="AL838" s="115"/>
      <x:c r="AM838" s="115"/>
      <x:c r="AN838" s="115"/>
      <x:c r="AO838" s="115"/>
      <x:c r="AP838" s="115"/>
      <x:c r="AQ838" s="115"/>
      <x:c r="AR838" s="115"/>
      <x:c r="AS838" s="115"/>
      <x:c r="AT838" s="115"/>
      <x:c r="AU838" s="115"/>
      <x:c r="AV838" s="115"/>
      <x:c r="AW838" s="115"/>
      <x:c r="AX838" s="115"/>
      <x:c r="AY838" s="115"/>
      <x:c r="AZ838" s="115"/>
      <x:c r="BA838" s="115"/>
      <x:c r="BB838" s="115"/>
      <x:c r="BC838" s="115"/>
      <x:c r="BD838" s="115"/>
      <x:c r="BE838" s="115"/>
      <x:c r="BF838" s="115"/>
      <x:c r="BG838" s="115"/>
      <x:c r="BH838" s="115"/>
      <x:c r="BI838" s="115"/>
      <x:c r="BJ838" s="115"/>
      <x:c r="BK838" s="115"/>
      <x:c r="BL838" s="115"/>
      <x:c r="BM838" s="115"/>
      <x:c r="BN838" s="115"/>
      <x:c r="BO838" s="115"/>
      <x:c r="BP838" s="115"/>
      <x:c r="BQ838" s="115"/>
      <x:c r="BR838" s="115"/>
      <x:c r="BS838" s="115"/>
      <x:c r="BT838" s="115"/>
      <x:c r="BU838" s="115"/>
      <x:c r="BV838" s="115"/>
      <x:c r="BW838" s="115"/>
      <x:c r="BX838" s="115"/>
      <x:c r="BY838" s="115"/>
      <x:c r="BZ838" s="115"/>
      <x:c r="CA838" s="115"/>
      <x:c r="CB838" s="116"/>
      <x:c r="CC838" s="141" t="str">
        <x:f>IF(COUNT(G838:P838)=0,"",AVERAGE(G838:P838)*4)</x:f>
      </x:c>
      <x:c r="CD838" s="178" t="str">
        <x:f>IF(COUNT(Q838:Z838)=0,"",AVERAGE(Q838:Z838)*4)</x:f>
      </x:c>
      <x:c r="CE838" s="178" t="str">
        <x:f>IF(COUNT(AA838:AJ838)=0,"",AVERAGE(AA838:AJ838)*4)</x:f>
      </x:c>
      <x:c r="CF838" s="178" t="str">
        <x:f>IF(COUNT(AK838:AR838)=0,"",AVERAGE(AK838:AR838)*4)</x:f>
      </x:c>
      <x:c r="CG838" s="178" t="str">
        <x:f>IF(COUNT(AS838:AY838)=0,"",AVERAGE(AS838:AY838)*4)</x:f>
      </x:c>
      <x:c r="CH838" s="178" t="str">
        <x:f>IF(COUNT(AZ838:BG838)=0,"",AVERAGE(AZ838:BG838)*4)</x:f>
      </x:c>
      <x:c r="CI838" s="178" t="str">
        <x:f>IF(COUNT(BH838:BN838)=0,"",AVERAGE(BH838:BN838)*4)</x:f>
      </x:c>
      <x:c r="CJ838" s="178" t="str">
        <x:f>IF(COUNT(BO838:BU838)=0,"",AVERAGE(BO838:BU838)*4)</x:f>
      </x:c>
      <x:c r="CK838" s="178" t="str">
        <x:f>IF(COUNT(BV838:CB838)=0,"",AVERAGE(BV838:CB838)*4)</x:f>
      </x:c>
      <x:c r="CL838" s="178" t="str">
        <x:f>IF(C838="","",IF(COUNT(G838:CB838)&lt;74,"",(CC838*'تنظیمات وزن‌دهی'!$C$5+CD838*'تنظیمات وزن‌دهی'!$C$6+CE838*'تنظیمات وزن‌دهی'!$C$7+CF838*'تنظیمات وزن‌دهی'!$C$8+CG838*'تنظیمات وزن‌دهی'!$C$9+CH838*'تنظیمات وزن‌دهی'!$C$10+CI838*'تنظیمات وزن‌دهی'!$C$11+CJ838*'تنظیمات وزن‌دهی'!$C$12+CK838*'تنظیمات وزن‌دهی'!$C$13)/100))</x:f>
      </x:c>
      <x:c r="CM838" s="178" t="str">
        <x:f>IF(C838="","",IF(COUNT(G838:CB838)=0,"",IF(COUNT(G838:CB838)&lt;74,"موقت - اطلاعات ناقص",IF(CL838&gt;=17,"عالی",IF(CL838&gt;=14,"خوب",IF(CL838&gt;=10,"متوسط","ضعیف"))))))</x:f>
      </x:c>
      <x:c r="CN838" s="178" t="n">
        <x:v>6</x:v>
      </x:c>
      <x:c r="CO838" s="142" t="n">
        <x:f>IF(C838="","",COUNT(G838:CB838)/74)</x:f>
        <x:v>0</x:v>
      </x:c>
      <x:c r="CP838" s="245"/>
    </x:row>
    <x:row r="839">
      <x:c r="A839" s="165" t="n">
        <x:v>835</x:v>
      </x:c>
      <x:c r="B839" s="233" t="str">
        <x:v>دی</x:v>
      </x:c>
      <x:c r="C839" s="233" t="n">
        <x:f>IF('دانش‌آموزان'!E74="","",'دانش‌آموزان'!B74)</x:f>
        <x:v>70</x:v>
      </x:c>
      <x:c r="D839" s="233" t="str">
        <x:f>IF('دانش‌آموزان'!C74="","",'دانش‌آموزان'!C74)</x:f>
        <x:v>4000000705</x:v>
      </x:c>
      <x:c r="E839" s="233" t="str">
        <x:f>IF('دانش‌آموزان'!E74="","",'دانش‌آموزان'!E74&amp;" "&amp;'دانش‌آموزان'!F74)</x:f>
        <x:v>هلیا کریمی</x:v>
      </x:c>
      <x:c r="F839" s="166" t="str">
        <x:f>IF('دانش‌آموزان'!I74="","",'دانش‌آموزان'!I74)</x:f>
        <x:v>sample-7-c</x:v>
      </x:c>
      <x:c r="G839" s="114"/>
      <x:c r="H839" s="115"/>
      <x:c r="I839" s="115"/>
      <x:c r="J839" s="115"/>
      <x:c r="K839" s="115"/>
      <x:c r="L839" s="115"/>
      <x:c r="M839" s="115"/>
      <x:c r="N839" s="115"/>
      <x:c r="O839" s="115"/>
      <x:c r="P839" s="115"/>
      <x:c r="Q839" s="115"/>
      <x:c r="R839" s="115"/>
      <x:c r="S839" s="115"/>
      <x:c r="T839" s="115"/>
      <x:c r="U839" s="115"/>
      <x:c r="V839" s="115"/>
      <x:c r="W839" s="115"/>
      <x:c r="X839" s="115"/>
      <x:c r="Y839" s="115"/>
      <x:c r="Z839" s="115"/>
      <x:c r="AA839" s="115"/>
      <x:c r="AB839" s="115"/>
      <x:c r="AC839" s="115"/>
      <x:c r="AD839" s="115"/>
      <x:c r="AE839" s="115"/>
      <x:c r="AF839" s="115"/>
      <x:c r="AG839" s="115"/>
      <x:c r="AH839" s="115"/>
      <x:c r="AI839" s="115"/>
      <x:c r="AJ839" s="115"/>
      <x:c r="AK839" s="115"/>
      <x:c r="AL839" s="115"/>
      <x:c r="AM839" s="115"/>
      <x:c r="AN839" s="115"/>
      <x:c r="AO839" s="115"/>
      <x:c r="AP839" s="115"/>
      <x:c r="AQ839" s="115"/>
      <x:c r="AR839" s="115"/>
      <x:c r="AS839" s="115"/>
      <x:c r="AT839" s="115"/>
      <x:c r="AU839" s="115"/>
      <x:c r="AV839" s="115"/>
      <x:c r="AW839" s="115"/>
      <x:c r="AX839" s="115"/>
      <x:c r="AY839" s="115"/>
      <x:c r="AZ839" s="115"/>
      <x:c r="BA839" s="115"/>
      <x:c r="BB839" s="115"/>
      <x:c r="BC839" s="115"/>
      <x:c r="BD839" s="115"/>
      <x:c r="BE839" s="115"/>
      <x:c r="BF839" s="115"/>
      <x:c r="BG839" s="115"/>
      <x:c r="BH839" s="115"/>
      <x:c r="BI839" s="115"/>
      <x:c r="BJ839" s="115"/>
      <x:c r="BK839" s="115"/>
      <x:c r="BL839" s="115"/>
      <x:c r="BM839" s="115"/>
      <x:c r="BN839" s="115"/>
      <x:c r="BO839" s="115"/>
      <x:c r="BP839" s="115"/>
      <x:c r="BQ839" s="115"/>
      <x:c r="BR839" s="115"/>
      <x:c r="BS839" s="115"/>
      <x:c r="BT839" s="115"/>
      <x:c r="BU839" s="115"/>
      <x:c r="BV839" s="115"/>
      <x:c r="BW839" s="115"/>
      <x:c r="BX839" s="115"/>
      <x:c r="BY839" s="115"/>
      <x:c r="BZ839" s="115"/>
      <x:c r="CA839" s="115"/>
      <x:c r="CB839" s="116"/>
      <x:c r="CC839" s="141" t="str">
        <x:f>IF(COUNT(G839:P839)=0,"",AVERAGE(G839:P839)*4)</x:f>
      </x:c>
      <x:c r="CD839" s="178" t="str">
        <x:f>IF(COUNT(Q839:Z839)=0,"",AVERAGE(Q839:Z839)*4)</x:f>
      </x:c>
      <x:c r="CE839" s="178" t="str">
        <x:f>IF(COUNT(AA839:AJ839)=0,"",AVERAGE(AA839:AJ839)*4)</x:f>
      </x:c>
      <x:c r="CF839" s="178" t="str">
        <x:f>IF(COUNT(AK839:AR839)=0,"",AVERAGE(AK839:AR839)*4)</x:f>
      </x:c>
      <x:c r="CG839" s="178" t="str">
        <x:f>IF(COUNT(AS839:AY839)=0,"",AVERAGE(AS839:AY839)*4)</x:f>
      </x:c>
      <x:c r="CH839" s="178" t="str">
        <x:f>IF(COUNT(AZ839:BG839)=0,"",AVERAGE(AZ839:BG839)*4)</x:f>
      </x:c>
      <x:c r="CI839" s="178" t="str">
        <x:f>IF(COUNT(BH839:BN839)=0,"",AVERAGE(BH839:BN839)*4)</x:f>
      </x:c>
      <x:c r="CJ839" s="178" t="str">
        <x:f>IF(COUNT(BO839:BU839)=0,"",AVERAGE(BO839:BU839)*4)</x:f>
      </x:c>
      <x:c r="CK839" s="178" t="str">
        <x:f>IF(COUNT(BV839:CB839)=0,"",AVERAGE(BV839:CB839)*4)</x:f>
      </x:c>
      <x:c r="CL839" s="178" t="str">
        <x:f>IF(C839="","",IF(COUNT(G839:CB839)&lt;74,"",(CC839*'تنظیمات وزن‌دهی'!$C$5+CD839*'تنظیمات وزن‌دهی'!$C$6+CE839*'تنظیمات وزن‌دهی'!$C$7+CF839*'تنظیمات وزن‌دهی'!$C$8+CG839*'تنظیمات وزن‌دهی'!$C$9+CH839*'تنظیمات وزن‌دهی'!$C$10+CI839*'تنظیمات وزن‌دهی'!$C$11+CJ839*'تنظیمات وزن‌دهی'!$C$12+CK839*'تنظیمات وزن‌دهی'!$C$13)/100))</x:f>
      </x:c>
      <x:c r="CM839" s="178" t="str">
        <x:f>IF(C839="","",IF(COUNT(G839:CB839)=0,"",IF(COUNT(G839:CB839)&lt;74,"موقت - اطلاعات ناقص",IF(CL839&gt;=17,"عالی",IF(CL839&gt;=14,"خوب",IF(CL839&gt;=10,"متوسط","ضعیف"))))))</x:f>
      </x:c>
      <x:c r="CN839" s="178" t="n">
        <x:v>7</x:v>
      </x:c>
      <x:c r="CO839" s="142" t="n">
        <x:f>IF(C839="","",COUNT(G839:CB839)/74)</x:f>
        <x:v>0</x:v>
      </x:c>
      <x:c r="CP839" s="245"/>
    </x:row>
    <x:row r="840">
      <x:c r="A840" s="165" t="n">
        <x:v>836</x:v>
      </x:c>
      <x:c r="B840" s="233" t="str">
        <x:v>بهمن</x:v>
      </x:c>
      <x:c r="C840" s="233" t="n">
        <x:f>IF('دانش‌آموزان'!E74="","",'دانش‌آموزان'!B74)</x:f>
        <x:v>70</x:v>
      </x:c>
      <x:c r="D840" s="233" t="str">
        <x:f>IF('دانش‌آموزان'!C74="","",'دانش‌آموزان'!C74)</x:f>
        <x:v>4000000705</x:v>
      </x:c>
      <x:c r="E840" s="233" t="str">
        <x:f>IF('دانش‌آموزان'!E74="","",'دانش‌آموزان'!E74&amp;" "&amp;'دانش‌آموزان'!F74)</x:f>
        <x:v>هلیا کریمی</x:v>
      </x:c>
      <x:c r="F840" s="166" t="str">
        <x:f>IF('دانش‌آموزان'!I74="","",'دانش‌آموزان'!I74)</x:f>
        <x:v>sample-7-c</x:v>
      </x:c>
      <x:c r="G840" s="114"/>
      <x:c r="H840" s="115"/>
      <x:c r="I840" s="115"/>
      <x:c r="J840" s="115"/>
      <x:c r="K840" s="115"/>
      <x:c r="L840" s="115"/>
      <x:c r="M840" s="115"/>
      <x:c r="N840" s="115"/>
      <x:c r="O840" s="115"/>
      <x:c r="P840" s="115"/>
      <x:c r="Q840" s="115"/>
      <x:c r="R840" s="115"/>
      <x:c r="S840" s="115"/>
      <x:c r="T840" s="115"/>
      <x:c r="U840" s="115"/>
      <x:c r="V840" s="115"/>
      <x:c r="W840" s="115"/>
      <x:c r="X840" s="115"/>
      <x:c r="Y840" s="115"/>
      <x:c r="Z840" s="115"/>
      <x:c r="AA840" s="115"/>
      <x:c r="AB840" s="115"/>
      <x:c r="AC840" s="115"/>
      <x:c r="AD840" s="115"/>
      <x:c r="AE840" s="115"/>
      <x:c r="AF840" s="115"/>
      <x:c r="AG840" s="115"/>
      <x:c r="AH840" s="115"/>
      <x:c r="AI840" s="115"/>
      <x:c r="AJ840" s="115"/>
      <x:c r="AK840" s="115"/>
      <x:c r="AL840" s="115"/>
      <x:c r="AM840" s="115"/>
      <x:c r="AN840" s="115"/>
      <x:c r="AO840" s="115"/>
      <x:c r="AP840" s="115"/>
      <x:c r="AQ840" s="115"/>
      <x:c r="AR840" s="115"/>
      <x:c r="AS840" s="115"/>
      <x:c r="AT840" s="115"/>
      <x:c r="AU840" s="115"/>
      <x:c r="AV840" s="115"/>
      <x:c r="AW840" s="115"/>
      <x:c r="AX840" s="115"/>
      <x:c r="AY840" s="115"/>
      <x:c r="AZ840" s="115"/>
      <x:c r="BA840" s="115"/>
      <x:c r="BB840" s="115"/>
      <x:c r="BC840" s="115"/>
      <x:c r="BD840" s="115"/>
      <x:c r="BE840" s="115"/>
      <x:c r="BF840" s="115"/>
      <x:c r="BG840" s="115"/>
      <x:c r="BH840" s="115"/>
      <x:c r="BI840" s="115"/>
      <x:c r="BJ840" s="115"/>
      <x:c r="BK840" s="115"/>
      <x:c r="BL840" s="115"/>
      <x:c r="BM840" s="115"/>
      <x:c r="BN840" s="115"/>
      <x:c r="BO840" s="115"/>
      <x:c r="BP840" s="115"/>
      <x:c r="BQ840" s="115"/>
      <x:c r="BR840" s="115"/>
      <x:c r="BS840" s="115"/>
      <x:c r="BT840" s="115"/>
      <x:c r="BU840" s="115"/>
      <x:c r="BV840" s="115"/>
      <x:c r="BW840" s="115"/>
      <x:c r="BX840" s="115"/>
      <x:c r="BY840" s="115"/>
      <x:c r="BZ840" s="115"/>
      <x:c r="CA840" s="115"/>
      <x:c r="CB840" s="116"/>
      <x:c r="CC840" s="141" t="str">
        <x:f>IF(COUNT(G840:P840)=0,"",AVERAGE(G840:P840)*4)</x:f>
      </x:c>
      <x:c r="CD840" s="178" t="str">
        <x:f>IF(COUNT(Q840:Z840)=0,"",AVERAGE(Q840:Z840)*4)</x:f>
      </x:c>
      <x:c r="CE840" s="178" t="str">
        <x:f>IF(COUNT(AA840:AJ840)=0,"",AVERAGE(AA840:AJ840)*4)</x:f>
      </x:c>
      <x:c r="CF840" s="178" t="str">
        <x:f>IF(COUNT(AK840:AR840)=0,"",AVERAGE(AK840:AR840)*4)</x:f>
      </x:c>
      <x:c r="CG840" s="178" t="str">
        <x:f>IF(COUNT(AS840:AY840)=0,"",AVERAGE(AS840:AY840)*4)</x:f>
      </x:c>
      <x:c r="CH840" s="178" t="str">
        <x:f>IF(COUNT(AZ840:BG840)=0,"",AVERAGE(AZ840:BG840)*4)</x:f>
      </x:c>
      <x:c r="CI840" s="178" t="str">
        <x:f>IF(COUNT(BH840:BN840)=0,"",AVERAGE(BH840:BN840)*4)</x:f>
      </x:c>
      <x:c r="CJ840" s="178" t="str">
        <x:f>IF(COUNT(BO840:BU840)=0,"",AVERAGE(BO840:BU840)*4)</x:f>
      </x:c>
      <x:c r="CK840" s="178" t="str">
        <x:f>IF(COUNT(BV840:CB840)=0,"",AVERAGE(BV840:CB840)*4)</x:f>
      </x:c>
      <x:c r="CL840" s="178" t="str">
        <x:f>IF(C840="","",IF(COUNT(G840:CB840)&lt;74,"",(CC840*'تنظیمات وزن‌دهی'!$C$5+CD840*'تنظیمات وزن‌دهی'!$C$6+CE840*'تنظیمات وزن‌دهی'!$C$7+CF840*'تنظیمات وزن‌دهی'!$C$8+CG840*'تنظیمات وزن‌دهی'!$C$9+CH840*'تنظیمات وزن‌دهی'!$C$10+CI840*'تنظیمات وزن‌دهی'!$C$11+CJ840*'تنظیمات وزن‌دهی'!$C$12+CK840*'تنظیمات وزن‌دهی'!$C$13)/100))</x:f>
      </x:c>
      <x:c r="CM840" s="178" t="str">
        <x:f>IF(C840="","",IF(COUNT(G840:CB840)=0,"",IF(COUNT(G840:CB840)&lt;74,"موقت - اطلاعات ناقص",IF(CL840&gt;=17,"عالی",IF(CL840&gt;=14,"خوب",IF(CL840&gt;=10,"متوسط","ضعیف"))))))</x:f>
      </x:c>
      <x:c r="CN840" s="178" t="n">
        <x:v>8</x:v>
      </x:c>
      <x:c r="CO840" s="142" t="n">
        <x:f>IF(C840="","",COUNT(G840:CB840)/74)</x:f>
        <x:v>0</x:v>
      </x:c>
      <x:c r="CP840" s="245"/>
    </x:row>
    <x:row r="841">
      <x:c r="A841" s="165" t="n">
        <x:v>837</x:v>
      </x:c>
      <x:c r="B841" s="233" t="str">
        <x:v>اسفند</x:v>
      </x:c>
      <x:c r="C841" s="233" t="n">
        <x:f>IF('دانش‌آموزان'!E74="","",'دانش‌آموزان'!B74)</x:f>
        <x:v>70</x:v>
      </x:c>
      <x:c r="D841" s="233" t="str">
        <x:f>IF('دانش‌آموزان'!C74="","",'دانش‌آموزان'!C74)</x:f>
        <x:v>4000000705</x:v>
      </x:c>
      <x:c r="E841" s="233" t="str">
        <x:f>IF('دانش‌آموزان'!E74="","",'دانش‌آموزان'!E74&amp;" "&amp;'دانش‌آموزان'!F74)</x:f>
        <x:v>هلیا کریمی</x:v>
      </x:c>
      <x:c r="F841" s="166" t="str">
        <x:f>IF('دانش‌آموزان'!I74="","",'دانش‌آموزان'!I74)</x:f>
        <x:v>sample-7-c</x:v>
      </x:c>
      <x:c r="G841" s="114"/>
      <x:c r="H841" s="115"/>
      <x:c r="I841" s="115"/>
      <x:c r="J841" s="115"/>
      <x:c r="K841" s="115"/>
      <x:c r="L841" s="115"/>
      <x:c r="M841" s="115"/>
      <x:c r="N841" s="115"/>
      <x:c r="O841" s="115"/>
      <x:c r="P841" s="115"/>
      <x:c r="Q841" s="115"/>
      <x:c r="R841" s="115"/>
      <x:c r="S841" s="115"/>
      <x:c r="T841" s="115"/>
      <x:c r="U841" s="115"/>
      <x:c r="V841" s="115"/>
      <x:c r="W841" s="115"/>
      <x:c r="X841" s="115"/>
      <x:c r="Y841" s="115"/>
      <x:c r="Z841" s="115"/>
      <x:c r="AA841" s="115"/>
      <x:c r="AB841" s="115"/>
      <x:c r="AC841" s="115"/>
      <x:c r="AD841" s="115"/>
      <x:c r="AE841" s="115"/>
      <x:c r="AF841" s="115"/>
      <x:c r="AG841" s="115"/>
      <x:c r="AH841" s="115"/>
      <x:c r="AI841" s="115"/>
      <x:c r="AJ841" s="115"/>
      <x:c r="AK841" s="115"/>
      <x:c r="AL841" s="115"/>
      <x:c r="AM841" s="115"/>
      <x:c r="AN841" s="115"/>
      <x:c r="AO841" s="115"/>
      <x:c r="AP841" s="115"/>
      <x:c r="AQ841" s="115"/>
      <x:c r="AR841" s="115"/>
      <x:c r="AS841" s="115"/>
      <x:c r="AT841" s="115"/>
      <x:c r="AU841" s="115"/>
      <x:c r="AV841" s="115"/>
      <x:c r="AW841" s="115"/>
      <x:c r="AX841" s="115"/>
      <x:c r="AY841" s="115"/>
      <x:c r="AZ841" s="115"/>
      <x:c r="BA841" s="115"/>
      <x:c r="BB841" s="115"/>
      <x:c r="BC841" s="115"/>
      <x:c r="BD841" s="115"/>
      <x:c r="BE841" s="115"/>
      <x:c r="BF841" s="115"/>
      <x:c r="BG841" s="115"/>
      <x:c r="BH841" s="115"/>
      <x:c r="BI841" s="115"/>
      <x:c r="BJ841" s="115"/>
      <x:c r="BK841" s="115"/>
      <x:c r="BL841" s="115"/>
      <x:c r="BM841" s="115"/>
      <x:c r="BN841" s="115"/>
      <x:c r="BO841" s="115"/>
      <x:c r="BP841" s="115"/>
      <x:c r="BQ841" s="115"/>
      <x:c r="BR841" s="115"/>
      <x:c r="BS841" s="115"/>
      <x:c r="BT841" s="115"/>
      <x:c r="BU841" s="115"/>
      <x:c r="BV841" s="115"/>
      <x:c r="BW841" s="115"/>
      <x:c r="BX841" s="115"/>
      <x:c r="BY841" s="115"/>
      <x:c r="BZ841" s="115"/>
      <x:c r="CA841" s="115"/>
      <x:c r="CB841" s="116"/>
      <x:c r="CC841" s="141" t="str">
        <x:f>IF(COUNT(G841:P841)=0,"",AVERAGE(G841:P841)*4)</x:f>
      </x:c>
      <x:c r="CD841" s="178" t="str">
        <x:f>IF(COUNT(Q841:Z841)=0,"",AVERAGE(Q841:Z841)*4)</x:f>
      </x:c>
      <x:c r="CE841" s="178" t="str">
        <x:f>IF(COUNT(AA841:AJ841)=0,"",AVERAGE(AA841:AJ841)*4)</x:f>
      </x:c>
      <x:c r="CF841" s="178" t="str">
        <x:f>IF(COUNT(AK841:AR841)=0,"",AVERAGE(AK841:AR841)*4)</x:f>
      </x:c>
      <x:c r="CG841" s="178" t="str">
        <x:f>IF(COUNT(AS841:AY841)=0,"",AVERAGE(AS841:AY841)*4)</x:f>
      </x:c>
      <x:c r="CH841" s="178" t="str">
        <x:f>IF(COUNT(AZ841:BG841)=0,"",AVERAGE(AZ841:BG841)*4)</x:f>
      </x:c>
      <x:c r="CI841" s="178" t="str">
        <x:f>IF(COUNT(BH841:BN841)=0,"",AVERAGE(BH841:BN841)*4)</x:f>
      </x:c>
      <x:c r="CJ841" s="178" t="str">
        <x:f>IF(COUNT(BO841:BU841)=0,"",AVERAGE(BO841:BU841)*4)</x:f>
      </x:c>
      <x:c r="CK841" s="178" t="str">
        <x:f>IF(COUNT(BV841:CB841)=0,"",AVERAGE(BV841:CB841)*4)</x:f>
      </x:c>
      <x:c r="CL841" s="178" t="str">
        <x:f>IF(C841="","",IF(COUNT(G841:CB841)&lt;74,"",(CC841*'تنظیمات وزن‌دهی'!$C$5+CD841*'تنظیمات وزن‌دهی'!$C$6+CE841*'تنظیمات وزن‌دهی'!$C$7+CF841*'تنظیمات وزن‌دهی'!$C$8+CG841*'تنظیمات وزن‌دهی'!$C$9+CH841*'تنظیمات وزن‌دهی'!$C$10+CI841*'تنظیمات وزن‌دهی'!$C$11+CJ841*'تنظیمات وزن‌دهی'!$C$12+CK841*'تنظیمات وزن‌دهی'!$C$13)/100))</x:f>
      </x:c>
      <x:c r="CM841" s="178" t="str">
        <x:f>IF(C841="","",IF(COUNT(G841:CB841)=0,"",IF(COUNT(G841:CB841)&lt;74,"موقت - اطلاعات ناقص",IF(CL841&gt;=17,"عالی",IF(CL841&gt;=14,"خوب",IF(CL841&gt;=10,"متوسط","ضعیف"))))))</x:f>
      </x:c>
      <x:c r="CN841" s="178" t="n">
        <x:v>9</x:v>
      </x:c>
      <x:c r="CO841" s="142" t="n">
        <x:f>IF(C841="","",COUNT(G841:CB841)/74)</x:f>
        <x:v>0</x:v>
      </x:c>
      <x:c r="CP841" s="245"/>
    </x:row>
    <x:row r="842">
      <x:c r="A842" s="165" t="n">
        <x:v>838</x:v>
      </x:c>
      <x:c r="B842" s="233" t="str">
        <x:v>فروردین</x:v>
      </x:c>
      <x:c r="C842" s="233" t="n">
        <x:f>IF('دانش‌آموزان'!E74="","",'دانش‌آموزان'!B74)</x:f>
        <x:v>70</x:v>
      </x:c>
      <x:c r="D842" s="233" t="str">
        <x:f>IF('دانش‌آموزان'!C74="","",'دانش‌آموزان'!C74)</x:f>
        <x:v>4000000705</x:v>
      </x:c>
      <x:c r="E842" s="233" t="str">
        <x:f>IF('دانش‌آموزان'!E74="","",'دانش‌آموزان'!E74&amp;" "&amp;'دانش‌آموزان'!F74)</x:f>
        <x:v>هلیا کریمی</x:v>
      </x:c>
      <x:c r="F842" s="166" t="str">
        <x:f>IF('دانش‌آموزان'!I74="","",'دانش‌آموزان'!I74)</x:f>
        <x:v>sample-7-c</x:v>
      </x:c>
      <x:c r="G842" s="114"/>
      <x:c r="H842" s="115"/>
      <x:c r="I842" s="115"/>
      <x:c r="J842" s="115"/>
      <x:c r="K842" s="115"/>
      <x:c r="L842" s="115"/>
      <x:c r="M842" s="115"/>
      <x:c r="N842" s="115"/>
      <x:c r="O842" s="115"/>
      <x:c r="P842" s="115"/>
      <x:c r="Q842" s="115"/>
      <x:c r="R842" s="115"/>
      <x:c r="S842" s="115"/>
      <x:c r="T842" s="115"/>
      <x:c r="U842" s="115"/>
      <x:c r="V842" s="115"/>
      <x:c r="W842" s="115"/>
      <x:c r="X842" s="115"/>
      <x:c r="Y842" s="115"/>
      <x:c r="Z842" s="115"/>
      <x:c r="AA842" s="115"/>
      <x:c r="AB842" s="115"/>
      <x:c r="AC842" s="115"/>
      <x:c r="AD842" s="115"/>
      <x:c r="AE842" s="115"/>
      <x:c r="AF842" s="115"/>
      <x:c r="AG842" s="115"/>
      <x:c r="AH842" s="115"/>
      <x:c r="AI842" s="115"/>
      <x:c r="AJ842" s="115"/>
      <x:c r="AK842" s="115"/>
      <x:c r="AL842" s="115"/>
      <x:c r="AM842" s="115"/>
      <x:c r="AN842" s="115"/>
      <x:c r="AO842" s="115"/>
      <x:c r="AP842" s="115"/>
      <x:c r="AQ842" s="115"/>
      <x:c r="AR842" s="115"/>
      <x:c r="AS842" s="115"/>
      <x:c r="AT842" s="115"/>
      <x:c r="AU842" s="115"/>
      <x:c r="AV842" s="115"/>
      <x:c r="AW842" s="115"/>
      <x:c r="AX842" s="115"/>
      <x:c r="AY842" s="115"/>
      <x:c r="AZ842" s="115"/>
      <x:c r="BA842" s="115"/>
      <x:c r="BB842" s="115"/>
      <x:c r="BC842" s="115"/>
      <x:c r="BD842" s="115"/>
      <x:c r="BE842" s="115"/>
      <x:c r="BF842" s="115"/>
      <x:c r="BG842" s="115"/>
      <x:c r="BH842" s="115"/>
      <x:c r="BI842" s="115"/>
      <x:c r="BJ842" s="115"/>
      <x:c r="BK842" s="115"/>
      <x:c r="BL842" s="115"/>
      <x:c r="BM842" s="115"/>
      <x:c r="BN842" s="115"/>
      <x:c r="BO842" s="115"/>
      <x:c r="BP842" s="115"/>
      <x:c r="BQ842" s="115"/>
      <x:c r="BR842" s="115"/>
      <x:c r="BS842" s="115"/>
      <x:c r="BT842" s="115"/>
      <x:c r="BU842" s="115"/>
      <x:c r="BV842" s="115"/>
      <x:c r="BW842" s="115"/>
      <x:c r="BX842" s="115"/>
      <x:c r="BY842" s="115"/>
      <x:c r="BZ842" s="115"/>
      <x:c r="CA842" s="115"/>
      <x:c r="CB842" s="116"/>
      <x:c r="CC842" s="141" t="str">
        <x:f>IF(COUNT(G842:P842)=0,"",AVERAGE(G842:P842)*4)</x:f>
      </x:c>
      <x:c r="CD842" s="178" t="str">
        <x:f>IF(COUNT(Q842:Z842)=0,"",AVERAGE(Q842:Z842)*4)</x:f>
      </x:c>
      <x:c r="CE842" s="178" t="str">
        <x:f>IF(COUNT(AA842:AJ842)=0,"",AVERAGE(AA842:AJ842)*4)</x:f>
      </x:c>
      <x:c r="CF842" s="178" t="str">
        <x:f>IF(COUNT(AK842:AR842)=0,"",AVERAGE(AK842:AR842)*4)</x:f>
      </x:c>
      <x:c r="CG842" s="178" t="str">
        <x:f>IF(COUNT(AS842:AY842)=0,"",AVERAGE(AS842:AY842)*4)</x:f>
      </x:c>
      <x:c r="CH842" s="178" t="str">
        <x:f>IF(COUNT(AZ842:BG842)=0,"",AVERAGE(AZ842:BG842)*4)</x:f>
      </x:c>
      <x:c r="CI842" s="178" t="str">
        <x:f>IF(COUNT(BH842:BN842)=0,"",AVERAGE(BH842:BN842)*4)</x:f>
      </x:c>
      <x:c r="CJ842" s="178" t="str">
        <x:f>IF(COUNT(BO842:BU842)=0,"",AVERAGE(BO842:BU842)*4)</x:f>
      </x:c>
      <x:c r="CK842" s="178" t="str">
        <x:f>IF(COUNT(BV842:CB842)=0,"",AVERAGE(BV842:CB842)*4)</x:f>
      </x:c>
      <x:c r="CL842" s="178" t="str">
        <x:f>IF(C842="","",IF(COUNT(G842:CB842)&lt;74,"",(CC842*'تنظیمات وزن‌دهی'!$C$5+CD842*'تنظیمات وزن‌دهی'!$C$6+CE842*'تنظیمات وزن‌دهی'!$C$7+CF842*'تنظیمات وزن‌دهی'!$C$8+CG842*'تنظیمات وزن‌دهی'!$C$9+CH842*'تنظیمات وزن‌دهی'!$C$10+CI842*'تنظیمات وزن‌دهی'!$C$11+CJ842*'تنظیمات وزن‌دهی'!$C$12+CK842*'تنظیمات وزن‌دهی'!$C$13)/100))</x:f>
      </x:c>
      <x:c r="CM842" s="178" t="str">
        <x:f>IF(C842="","",IF(COUNT(G842:CB842)=0,"",IF(COUNT(G842:CB842)&lt;74,"موقت - اطلاعات ناقص",IF(CL842&gt;=17,"عالی",IF(CL842&gt;=14,"خوب",IF(CL842&gt;=10,"متوسط","ضعیف"))))))</x:f>
      </x:c>
      <x:c r="CN842" s="178" t="n">
        <x:v>10</x:v>
      </x:c>
      <x:c r="CO842" s="142" t="n">
        <x:f>IF(C842="","",COUNT(G842:CB842)/74)</x:f>
        <x:v>0</x:v>
      </x:c>
      <x:c r="CP842" s="245"/>
    </x:row>
    <x:row r="843">
      <x:c r="A843" s="165" t="n">
        <x:v>839</x:v>
      </x:c>
      <x:c r="B843" s="233" t="str">
        <x:v>اردیبهشت</x:v>
      </x:c>
      <x:c r="C843" s="233" t="n">
        <x:f>IF('دانش‌آموزان'!E74="","",'دانش‌آموزان'!B74)</x:f>
        <x:v>70</x:v>
      </x:c>
      <x:c r="D843" s="233" t="str">
        <x:f>IF('دانش‌آموزان'!C74="","",'دانش‌آموزان'!C74)</x:f>
        <x:v>4000000705</x:v>
      </x:c>
      <x:c r="E843" s="233" t="str">
        <x:f>IF('دانش‌آموزان'!E74="","",'دانش‌آموزان'!E74&amp;" "&amp;'دانش‌آموزان'!F74)</x:f>
        <x:v>هلیا کریمی</x:v>
      </x:c>
      <x:c r="F843" s="166" t="str">
        <x:f>IF('دانش‌آموزان'!I74="","",'دانش‌آموزان'!I74)</x:f>
        <x:v>sample-7-c</x:v>
      </x:c>
      <x:c r="G843" s="114"/>
      <x:c r="H843" s="115"/>
      <x:c r="I843" s="115"/>
      <x:c r="J843" s="115"/>
      <x:c r="K843" s="115"/>
      <x:c r="L843" s="115"/>
      <x:c r="M843" s="115"/>
      <x:c r="N843" s="115"/>
      <x:c r="O843" s="115"/>
      <x:c r="P843" s="115"/>
      <x:c r="Q843" s="115"/>
      <x:c r="R843" s="115"/>
      <x:c r="S843" s="115"/>
      <x:c r="T843" s="115"/>
      <x:c r="U843" s="115"/>
      <x:c r="V843" s="115"/>
      <x:c r="W843" s="115"/>
      <x:c r="X843" s="115"/>
      <x:c r="Y843" s="115"/>
      <x:c r="Z843" s="115"/>
      <x:c r="AA843" s="115"/>
      <x:c r="AB843" s="115"/>
      <x:c r="AC843" s="115"/>
      <x:c r="AD843" s="115"/>
      <x:c r="AE843" s="115"/>
      <x:c r="AF843" s="115"/>
      <x:c r="AG843" s="115"/>
      <x:c r="AH843" s="115"/>
      <x:c r="AI843" s="115"/>
      <x:c r="AJ843" s="115"/>
      <x:c r="AK843" s="115"/>
      <x:c r="AL843" s="115"/>
      <x:c r="AM843" s="115"/>
      <x:c r="AN843" s="115"/>
      <x:c r="AO843" s="115"/>
      <x:c r="AP843" s="115"/>
      <x:c r="AQ843" s="115"/>
      <x:c r="AR843" s="115"/>
      <x:c r="AS843" s="115"/>
      <x:c r="AT843" s="115"/>
      <x:c r="AU843" s="115"/>
      <x:c r="AV843" s="115"/>
      <x:c r="AW843" s="115"/>
      <x:c r="AX843" s="115"/>
      <x:c r="AY843" s="115"/>
      <x:c r="AZ843" s="115"/>
      <x:c r="BA843" s="115"/>
      <x:c r="BB843" s="115"/>
      <x:c r="BC843" s="115"/>
      <x:c r="BD843" s="115"/>
      <x:c r="BE843" s="115"/>
      <x:c r="BF843" s="115"/>
      <x:c r="BG843" s="115"/>
      <x:c r="BH843" s="115"/>
      <x:c r="BI843" s="115"/>
      <x:c r="BJ843" s="115"/>
      <x:c r="BK843" s="115"/>
      <x:c r="BL843" s="115"/>
      <x:c r="BM843" s="115"/>
      <x:c r="BN843" s="115"/>
      <x:c r="BO843" s="115"/>
      <x:c r="BP843" s="115"/>
      <x:c r="BQ843" s="115"/>
      <x:c r="BR843" s="115"/>
      <x:c r="BS843" s="115"/>
      <x:c r="BT843" s="115"/>
      <x:c r="BU843" s="115"/>
      <x:c r="BV843" s="115"/>
      <x:c r="BW843" s="115"/>
      <x:c r="BX843" s="115"/>
      <x:c r="BY843" s="115"/>
      <x:c r="BZ843" s="115"/>
      <x:c r="CA843" s="115"/>
      <x:c r="CB843" s="116"/>
      <x:c r="CC843" s="141" t="str">
        <x:f>IF(COUNT(G843:P843)=0,"",AVERAGE(G843:P843)*4)</x:f>
      </x:c>
      <x:c r="CD843" s="178" t="str">
        <x:f>IF(COUNT(Q843:Z843)=0,"",AVERAGE(Q843:Z843)*4)</x:f>
      </x:c>
      <x:c r="CE843" s="178" t="str">
        <x:f>IF(COUNT(AA843:AJ843)=0,"",AVERAGE(AA843:AJ843)*4)</x:f>
      </x:c>
      <x:c r="CF843" s="178" t="str">
        <x:f>IF(COUNT(AK843:AR843)=0,"",AVERAGE(AK843:AR843)*4)</x:f>
      </x:c>
      <x:c r="CG843" s="178" t="str">
        <x:f>IF(COUNT(AS843:AY843)=0,"",AVERAGE(AS843:AY843)*4)</x:f>
      </x:c>
      <x:c r="CH843" s="178" t="str">
        <x:f>IF(COUNT(AZ843:BG843)=0,"",AVERAGE(AZ843:BG843)*4)</x:f>
      </x:c>
      <x:c r="CI843" s="178" t="str">
        <x:f>IF(COUNT(BH843:BN843)=0,"",AVERAGE(BH843:BN843)*4)</x:f>
      </x:c>
      <x:c r="CJ843" s="178" t="str">
        <x:f>IF(COUNT(BO843:BU843)=0,"",AVERAGE(BO843:BU843)*4)</x:f>
      </x:c>
      <x:c r="CK843" s="178" t="str">
        <x:f>IF(COUNT(BV843:CB843)=0,"",AVERAGE(BV843:CB843)*4)</x:f>
      </x:c>
      <x:c r="CL843" s="178" t="str">
        <x:f>IF(C843="","",IF(COUNT(G843:CB843)&lt;74,"",(CC843*'تنظیمات وزن‌دهی'!$C$5+CD843*'تنظیمات وزن‌دهی'!$C$6+CE843*'تنظیمات وزن‌دهی'!$C$7+CF843*'تنظیمات وزن‌دهی'!$C$8+CG843*'تنظیمات وزن‌دهی'!$C$9+CH843*'تنظیمات وزن‌دهی'!$C$10+CI843*'تنظیمات وزن‌دهی'!$C$11+CJ843*'تنظیمات وزن‌دهی'!$C$12+CK843*'تنظیمات وزن‌دهی'!$C$13)/100))</x:f>
      </x:c>
      <x:c r="CM843" s="178" t="str">
        <x:f>IF(C843="","",IF(COUNT(G843:CB843)=0,"",IF(COUNT(G843:CB843)&lt;74,"موقت - اطلاعات ناقص",IF(CL843&gt;=17,"عالی",IF(CL843&gt;=14,"خوب",IF(CL843&gt;=10,"متوسط","ضعیف"))))))</x:f>
      </x:c>
      <x:c r="CN843" s="178" t="n">
        <x:v>11</x:v>
      </x:c>
      <x:c r="CO843" s="142" t="n">
        <x:f>IF(C843="","",COUNT(G843:CB843)/74)</x:f>
        <x:v>0</x:v>
      </x:c>
      <x:c r="CP843" s="245"/>
    </x:row>
    <x:row r="844">
      <x:c r="A844" s="165" t="n">
        <x:v>840</x:v>
      </x:c>
      <x:c r="B844" s="233" t="str">
        <x:v>خرداد</x:v>
      </x:c>
      <x:c r="C844" s="233" t="n">
        <x:f>IF('دانش‌آموزان'!E74="","",'دانش‌آموزان'!B74)</x:f>
        <x:v>70</x:v>
      </x:c>
      <x:c r="D844" s="233" t="str">
        <x:f>IF('دانش‌آموزان'!C74="","",'دانش‌آموزان'!C74)</x:f>
        <x:v>4000000705</x:v>
      </x:c>
      <x:c r="E844" s="233" t="str">
        <x:f>IF('دانش‌آموزان'!E74="","",'دانش‌آموزان'!E74&amp;" "&amp;'دانش‌آموزان'!F74)</x:f>
        <x:v>هلیا کریمی</x:v>
      </x:c>
      <x:c r="F844" s="166" t="str">
        <x:f>IF('دانش‌آموزان'!I74="","",'دانش‌آموزان'!I74)</x:f>
        <x:v>sample-7-c</x:v>
      </x:c>
      <x:c r="G844" s="114"/>
      <x:c r="H844" s="115"/>
      <x:c r="I844" s="115"/>
      <x:c r="J844" s="115"/>
      <x:c r="K844" s="115"/>
      <x:c r="L844" s="115"/>
      <x:c r="M844" s="115"/>
      <x:c r="N844" s="115"/>
      <x:c r="O844" s="115"/>
      <x:c r="P844" s="115"/>
      <x:c r="Q844" s="115"/>
      <x:c r="R844" s="115"/>
      <x:c r="S844" s="115"/>
      <x:c r="T844" s="115"/>
      <x:c r="U844" s="115"/>
      <x:c r="V844" s="115"/>
      <x:c r="W844" s="115"/>
      <x:c r="X844" s="115"/>
      <x:c r="Y844" s="115"/>
      <x:c r="Z844" s="115"/>
      <x:c r="AA844" s="115"/>
      <x:c r="AB844" s="115"/>
      <x:c r="AC844" s="115"/>
      <x:c r="AD844" s="115"/>
      <x:c r="AE844" s="115"/>
      <x:c r="AF844" s="115"/>
      <x:c r="AG844" s="115"/>
      <x:c r="AH844" s="115"/>
      <x:c r="AI844" s="115"/>
      <x:c r="AJ844" s="115"/>
      <x:c r="AK844" s="115"/>
      <x:c r="AL844" s="115"/>
      <x:c r="AM844" s="115"/>
      <x:c r="AN844" s="115"/>
      <x:c r="AO844" s="115"/>
      <x:c r="AP844" s="115"/>
      <x:c r="AQ844" s="115"/>
      <x:c r="AR844" s="115"/>
      <x:c r="AS844" s="115"/>
      <x:c r="AT844" s="115"/>
      <x:c r="AU844" s="115"/>
      <x:c r="AV844" s="115"/>
      <x:c r="AW844" s="115"/>
      <x:c r="AX844" s="115"/>
      <x:c r="AY844" s="115"/>
      <x:c r="AZ844" s="115"/>
      <x:c r="BA844" s="115"/>
      <x:c r="BB844" s="115"/>
      <x:c r="BC844" s="115"/>
      <x:c r="BD844" s="115"/>
      <x:c r="BE844" s="115"/>
      <x:c r="BF844" s="115"/>
      <x:c r="BG844" s="115"/>
      <x:c r="BH844" s="115"/>
      <x:c r="BI844" s="115"/>
      <x:c r="BJ844" s="115"/>
      <x:c r="BK844" s="115"/>
      <x:c r="BL844" s="115"/>
      <x:c r="BM844" s="115"/>
      <x:c r="BN844" s="115"/>
      <x:c r="BO844" s="115"/>
      <x:c r="BP844" s="115"/>
      <x:c r="BQ844" s="115"/>
      <x:c r="BR844" s="115"/>
      <x:c r="BS844" s="115"/>
      <x:c r="BT844" s="115"/>
      <x:c r="BU844" s="115"/>
      <x:c r="BV844" s="115"/>
      <x:c r="BW844" s="115"/>
      <x:c r="BX844" s="115"/>
      <x:c r="BY844" s="115"/>
      <x:c r="BZ844" s="115"/>
      <x:c r="CA844" s="115"/>
      <x:c r="CB844" s="116"/>
      <x:c r="CC844" s="141" t="str">
        <x:f>IF(COUNT(G844:P844)=0,"",AVERAGE(G844:P844)*4)</x:f>
      </x:c>
      <x:c r="CD844" s="178" t="str">
        <x:f>IF(COUNT(Q844:Z844)=0,"",AVERAGE(Q844:Z844)*4)</x:f>
      </x:c>
      <x:c r="CE844" s="178" t="str">
        <x:f>IF(COUNT(AA844:AJ844)=0,"",AVERAGE(AA844:AJ844)*4)</x:f>
      </x:c>
      <x:c r="CF844" s="178" t="str">
        <x:f>IF(COUNT(AK844:AR844)=0,"",AVERAGE(AK844:AR844)*4)</x:f>
      </x:c>
      <x:c r="CG844" s="178" t="str">
        <x:f>IF(COUNT(AS844:AY844)=0,"",AVERAGE(AS844:AY844)*4)</x:f>
      </x:c>
      <x:c r="CH844" s="178" t="str">
        <x:f>IF(COUNT(AZ844:BG844)=0,"",AVERAGE(AZ844:BG844)*4)</x:f>
      </x:c>
      <x:c r="CI844" s="178" t="str">
        <x:f>IF(COUNT(BH844:BN844)=0,"",AVERAGE(BH844:BN844)*4)</x:f>
      </x:c>
      <x:c r="CJ844" s="178" t="str">
        <x:f>IF(COUNT(BO844:BU844)=0,"",AVERAGE(BO844:BU844)*4)</x:f>
      </x:c>
      <x:c r="CK844" s="178" t="str">
        <x:f>IF(COUNT(BV844:CB844)=0,"",AVERAGE(BV844:CB844)*4)</x:f>
      </x:c>
      <x:c r="CL844" s="178" t="str">
        <x:f>IF(C844="","",IF(COUNT(G844:CB844)&lt;74,"",(CC844*'تنظیمات وزن‌دهی'!$C$5+CD844*'تنظیمات وزن‌دهی'!$C$6+CE844*'تنظیمات وزن‌دهی'!$C$7+CF844*'تنظیمات وزن‌دهی'!$C$8+CG844*'تنظیمات وزن‌دهی'!$C$9+CH844*'تنظیمات وزن‌دهی'!$C$10+CI844*'تنظیمات وزن‌دهی'!$C$11+CJ844*'تنظیمات وزن‌دهی'!$C$12+CK844*'تنظیمات وزن‌دهی'!$C$13)/100))</x:f>
      </x:c>
      <x:c r="CM844" s="178" t="str">
        <x:f>IF(C844="","",IF(COUNT(G844:CB844)=0,"",IF(COUNT(G844:CB844)&lt;74,"موقت - اطلاعات ناقص",IF(CL844&gt;=17,"عالی",IF(CL844&gt;=14,"خوب",IF(CL844&gt;=10,"متوسط","ضعیف"))))))</x:f>
      </x:c>
      <x:c r="CN844" s="178" t="n">
        <x:v>12</x:v>
      </x:c>
      <x:c r="CO844" s="142" t="n">
        <x:f>IF(C844="","",COUNT(G844:CB844)/74)</x:f>
        <x:v>0</x:v>
      </x:c>
      <x:c r="CP844" s="245"/>
    </x:row>
    <x:row r="845">
      <x:c r="A845" s="165" t="n">
        <x:v>841</x:v>
      </x:c>
      <x:c r="B845" s="233" t="str">
        <x:v>تیر</x:v>
      </x:c>
      <x:c r="C845" s="233" t="n">
        <x:f>IF('دانش‌آموزان'!E75="","",'دانش‌آموزان'!B75)</x:f>
        <x:v>71</x:v>
      </x:c>
      <x:c r="D845" s="233" t="str">
        <x:f>IF('دانش‌آموزان'!C75="","",'دانش‌آموزان'!C75)</x:f>
        <x:v>4000000713</x:v>
      </x:c>
      <x:c r="E845" s="233" t="str">
        <x:f>IF('دانش‌آموزان'!E75="","",'دانش‌آموزان'!E75&amp;" "&amp;'دانش‌آموزان'!F75)</x:f>
        <x:v>پارسا موسوی</x:v>
      </x:c>
      <x:c r="F845" s="166" t="str">
        <x:f>IF('دانش‌آموزان'!I75="","",'دانش‌آموزان'!I75)</x:f>
        <x:v>sample-7-c</x:v>
      </x:c>
      <x:c r="G845" s="114" t="n">
        <x:v>3</x:v>
      </x:c>
      <x:c r="H845" s="115" t="n">
        <x:v>4</x:v>
      </x:c>
      <x:c r="I845" s="115" t="n">
        <x:v>2</x:v>
      </x:c>
      <x:c r="J845" s="115" t="n">
        <x:v>4</x:v>
      </x:c>
      <x:c r="K845" s="115" t="n">
        <x:v>5</x:v>
      </x:c>
      <x:c r="L845" s="115" t="n">
        <x:v>4</x:v>
      </x:c>
      <x:c r="M845" s="115" t="n">
        <x:v>5</x:v>
      </x:c>
      <x:c r="N845" s="115" t="n">
        <x:v>3</x:v>
      </x:c>
      <x:c r="O845" s="115" t="n">
        <x:v>5</x:v>
      </x:c>
      <x:c r="P845" s="115" t="n">
        <x:v>3</x:v>
      </x:c>
      <x:c r="Q845" s="115" t="n">
        <x:v>4</x:v>
      </x:c>
      <x:c r="R845" s="115" t="n">
        <x:v>3</x:v>
      </x:c>
      <x:c r="S845" s="115" t="n">
        <x:v>4</x:v>
      </x:c>
      <x:c r="T845" s="115" t="n">
        <x:v>2</x:v>
      </x:c>
      <x:c r="U845" s="115" t="n">
        <x:v>4</x:v>
      </x:c>
      <x:c r="V845" s="115" t="n">
        <x:v>5</x:v>
      </x:c>
      <x:c r="W845" s="115" t="n">
        <x:v>4</x:v>
      </x:c>
      <x:c r="X845" s="115" t="n">
        <x:v>5</x:v>
      </x:c>
      <x:c r="Y845" s="115" t="n">
        <x:v>3</x:v>
      </x:c>
      <x:c r="Z845" s="115" t="n">
        <x:v>5</x:v>
      </x:c>
      <x:c r="AA845" s="115" t="n">
        <x:v>3</x:v>
      </x:c>
      <x:c r="AB845" s="115" t="n">
        <x:v>4</x:v>
      </x:c>
      <x:c r="AC845" s="115" t="n">
        <x:v>3</x:v>
      </x:c>
      <x:c r="AD845" s="115" t="n">
        <x:v>4</x:v>
      </x:c>
      <x:c r="AE845" s="115" t="n">
        <x:v>2</x:v>
      </x:c>
      <x:c r="AF845" s="115" t="n">
        <x:v>4</x:v>
      </x:c>
      <x:c r="AG845" s="115" t="n">
        <x:v>5</x:v>
      </x:c>
      <x:c r="AH845" s="115" t="n">
        <x:v>4</x:v>
      </x:c>
      <x:c r="AI845" s="115" t="n">
        <x:v>5</x:v>
      </x:c>
      <x:c r="AJ845" s="115" t="n">
        <x:v>3</x:v>
      </x:c>
      <x:c r="AK845" s="115" t="n">
        <x:v>5</x:v>
      </x:c>
      <x:c r="AL845" s="115" t="n">
        <x:v>3</x:v>
      </x:c>
      <x:c r="AM845" s="115" t="n">
        <x:v>4</x:v>
      </x:c>
      <x:c r="AN845" s="115" t="n">
        <x:v>3</x:v>
      </x:c>
      <x:c r="AO845" s="115" t="n">
        <x:v>4</x:v>
      </x:c>
      <x:c r="AP845" s="115" t="n">
        <x:v>2</x:v>
      </x:c>
      <x:c r="AQ845" s="115" t="n">
        <x:v>4</x:v>
      </x:c>
      <x:c r="AR845" s="115" t="n">
        <x:v>5</x:v>
      </x:c>
      <x:c r="AS845" s="115" t="n">
        <x:v>4</x:v>
      </x:c>
      <x:c r="AT845" s="115" t="n">
        <x:v>5</x:v>
      </x:c>
      <x:c r="AU845" s="115" t="n">
        <x:v>3</x:v>
      </x:c>
      <x:c r="AV845" s="115" t="n">
        <x:v>5</x:v>
      </x:c>
      <x:c r="AW845" s="115" t="n">
        <x:v>3</x:v>
      </x:c>
      <x:c r="AX845" s="115" t="n">
        <x:v>4</x:v>
      </x:c>
      <x:c r="AY845" s="115" t="n">
        <x:v>3</x:v>
      </x:c>
      <x:c r="AZ845" s="115" t="n">
        <x:v>4</x:v>
      </x:c>
      <x:c r="BA845" s="115" t="n">
        <x:v>2</x:v>
      </x:c>
      <x:c r="BB845" s="115" t="n">
        <x:v>4</x:v>
      </x:c>
      <x:c r="BC845" s="115" t="n">
        <x:v>5</x:v>
      </x:c>
      <x:c r="BD845" s="115" t="n">
        <x:v>4</x:v>
      </x:c>
      <x:c r="BE845" s="115" t="n">
        <x:v>5</x:v>
      </x:c>
      <x:c r="BF845" s="115" t="n">
        <x:v>3</x:v>
      </x:c>
      <x:c r="BG845" s="115" t="n">
        <x:v>5</x:v>
      </x:c>
      <x:c r="BH845" s="115" t="n">
        <x:v>3</x:v>
      </x:c>
      <x:c r="BI845" s="115" t="n">
        <x:v>4</x:v>
      </x:c>
      <x:c r="BJ845" s="115" t="n">
        <x:v>3</x:v>
      </x:c>
      <x:c r="BK845" s="115" t="n">
        <x:v>4</x:v>
      </x:c>
      <x:c r="BL845" s="115" t="n">
        <x:v>2</x:v>
      </x:c>
      <x:c r="BM845" s="115" t="n">
        <x:v>4</x:v>
      </x:c>
      <x:c r="BN845" s="115" t="n">
        <x:v>5</x:v>
      </x:c>
      <x:c r="BO845" s="115" t="n">
        <x:v>4</x:v>
      </x:c>
      <x:c r="BP845" s="115" t="n">
        <x:v>5</x:v>
      </x:c>
      <x:c r="BQ845" s="115" t="n">
        <x:v>3</x:v>
      </x:c>
      <x:c r="BR845" s="115" t="n">
        <x:v>5</x:v>
      </x:c>
      <x:c r="BS845" s="115" t="n">
        <x:v>3</x:v>
      </x:c>
      <x:c r="BT845" s="115" t="n">
        <x:v>4</x:v>
      </x:c>
      <x:c r="BU845" s="115" t="n">
        <x:v>3</x:v>
      </x:c>
      <x:c r="BV845" s="115" t="n">
        <x:v>4</x:v>
      </x:c>
      <x:c r="BW845" s="115" t="n">
        <x:v>2</x:v>
      </x:c>
      <x:c r="BX845" s="115" t="n">
        <x:v>4</x:v>
      </x:c>
      <x:c r="BY845" s="115" t="n">
        <x:v>5</x:v>
      </x:c>
      <x:c r="BZ845" s="115" t="n">
        <x:v>4</x:v>
      </x:c>
      <x:c r="CA845" s="115" t="n">
        <x:v>5</x:v>
      </x:c>
      <x:c r="CB845" s="116" t="n">
        <x:v>3</x:v>
      </x:c>
      <x:c r="CC845" s="141" t="n">
        <x:f>IF(COUNT(G845:P845)=0,"",AVERAGE(G845:P845)*4)</x:f>
        <x:v>15.2</x:v>
      </x:c>
      <x:c r="CD845" s="178" t="n">
        <x:f>IF(COUNT(Q845:Z845)=0,"",AVERAGE(Q845:Z845)*4)</x:f>
        <x:v>15.6</x:v>
      </x:c>
      <x:c r="CE845" s="178" t="n">
        <x:f>IF(COUNT(AA845:AJ845)=0,"",AVERAGE(AA845:AJ845)*4)</x:f>
        <x:v>14.8</x:v>
      </x:c>
      <x:c r="CF845" s="178" t="n">
        <x:f>IF(COUNT(AK845:AR845)=0,"",AVERAGE(AK845:AR845)*4)</x:f>
        <x:v>15</x:v>
      </x:c>
      <x:c r="CG845" s="178" t="n">
        <x:f>IF(COUNT(AS845:AY845)=0,"",AVERAGE(AS845:AY845)*4)</x:f>
        <x:v>15.428571428571429</x:v>
      </x:c>
      <x:c r="CH845" s="178" t="n">
        <x:f>IF(COUNT(AZ845:BG845)=0,"",AVERAGE(AZ845:BG845)*4)</x:f>
        <x:v>16</x:v>
      </x:c>
      <x:c r="CI845" s="178" t="n">
        <x:f>IF(COUNT(BH845:BN845)=0,"",AVERAGE(BH845:BN845)*4)</x:f>
        <x:v>14.285714285714286</x:v>
      </x:c>
      <x:c r="CJ845" s="178" t="n">
        <x:f>IF(COUNT(BO845:BU845)=0,"",AVERAGE(BO845:BU845)*4)</x:f>
        <x:v>15.428571428571429</x:v>
      </x:c>
      <x:c r="CK845" s="178" t="n">
        <x:f>IF(COUNT(BV845:CB845)=0,"",AVERAGE(BV845:CB845)*4)</x:f>
        <x:v>15.428571428571429</x:v>
      </x:c>
      <x:c r="CL845" s="178" t="n">
        <x:f>IF(C845="","",IF(COUNT(G845:CB845)&lt;74,"",(CC845*'تنظیمات وزن‌دهی'!$C$5+CD845*'تنظیمات وزن‌دهی'!$C$6+CE845*'تنظیمات وزن‌دهی'!$C$7+CF845*'تنظیمات وزن‌دهی'!$C$8+CG845*'تنظیمات وزن‌دهی'!$C$9+CH845*'تنظیمات وزن‌دهی'!$C$10+CI845*'تنظیمات وزن‌دهی'!$C$11+CJ845*'تنظیمات وزن‌دهی'!$C$12+CK845*'تنظیمات وزن‌دهی'!$C$13)/100))</x:f>
        <x:v>15.215714285714286</x:v>
      </x:c>
      <x:c r="CM845" s="178" t="str">
        <x:f>IF(C845="","",IF(COUNT(G845:CB845)=0,"",IF(COUNT(G845:CB845)&lt;74,"موقت - اطلاعات ناقص",IF(CL845&gt;=17,"عالی",IF(CL845&gt;=14,"خوب",IF(CL845&gt;=10,"متوسط","ضعیف"))))))</x:f>
        <x:v>خوب</x:v>
      </x:c>
      <x:c r="CN845" s="178" t="n">
        <x:v>1</x:v>
      </x:c>
      <x:c r="CO845" s="142" t="n">
        <x:f>IF(C845="","",COUNT(G845:CB845)/74)</x:f>
        <x:v>1</x:v>
      </x:c>
      <x:c r="CP845" s="245" t="str">
        <x:v>داده نمونه کامل برای ماه تیر - دانش‌آموز شماره 71</x:v>
      </x:c>
    </x:row>
    <x:row r="846">
      <x:c r="A846" s="165" t="n">
        <x:v>842</x:v>
      </x:c>
      <x:c r="B846" s="233" t="str">
        <x:v>مرداد</x:v>
      </x:c>
      <x:c r="C846" s="233" t="n">
        <x:f>IF('دانش‌آموزان'!E75="","",'دانش‌آموزان'!B75)</x:f>
        <x:v>71</x:v>
      </x:c>
      <x:c r="D846" s="233" t="str">
        <x:f>IF('دانش‌آموزان'!C75="","",'دانش‌آموزان'!C75)</x:f>
        <x:v>4000000713</x:v>
      </x:c>
      <x:c r="E846" s="233" t="str">
        <x:f>IF('دانش‌آموزان'!E75="","",'دانش‌آموزان'!E75&amp;" "&amp;'دانش‌آموزان'!F75)</x:f>
        <x:v>پارسا موسوی</x:v>
      </x:c>
      <x:c r="F846" s="166" t="str">
        <x:f>IF('دانش‌آموزان'!I75="","",'دانش‌آموزان'!I75)</x:f>
        <x:v>sample-7-c</x:v>
      </x:c>
      <x:c r="G846" s="114"/>
      <x:c r="H846" s="115"/>
      <x:c r="I846" s="115"/>
      <x:c r="J846" s="115"/>
      <x:c r="K846" s="115"/>
      <x:c r="L846" s="115"/>
      <x:c r="M846" s="115"/>
      <x:c r="N846" s="115"/>
      <x:c r="O846" s="115"/>
      <x:c r="P846" s="115"/>
      <x:c r="Q846" s="115"/>
      <x:c r="R846" s="115"/>
      <x:c r="S846" s="115"/>
      <x:c r="T846" s="115"/>
      <x:c r="U846" s="115"/>
      <x:c r="V846" s="115"/>
      <x:c r="W846" s="115"/>
      <x:c r="X846" s="115"/>
      <x:c r="Y846" s="115"/>
      <x:c r="Z846" s="115"/>
      <x:c r="AA846" s="115"/>
      <x:c r="AB846" s="115"/>
      <x:c r="AC846" s="115"/>
      <x:c r="AD846" s="115"/>
      <x:c r="AE846" s="115"/>
      <x:c r="AF846" s="115"/>
      <x:c r="AG846" s="115"/>
      <x:c r="AH846" s="115"/>
      <x:c r="AI846" s="115"/>
      <x:c r="AJ846" s="115"/>
      <x:c r="AK846" s="115"/>
      <x:c r="AL846" s="115"/>
      <x:c r="AM846" s="115"/>
      <x:c r="AN846" s="115"/>
      <x:c r="AO846" s="115"/>
      <x:c r="AP846" s="115"/>
      <x:c r="AQ846" s="115"/>
      <x:c r="AR846" s="115"/>
      <x:c r="AS846" s="115"/>
      <x:c r="AT846" s="115"/>
      <x:c r="AU846" s="115"/>
      <x:c r="AV846" s="115"/>
      <x:c r="AW846" s="115"/>
      <x:c r="AX846" s="115"/>
      <x:c r="AY846" s="115"/>
      <x:c r="AZ846" s="115"/>
      <x:c r="BA846" s="115"/>
      <x:c r="BB846" s="115"/>
      <x:c r="BC846" s="115"/>
      <x:c r="BD846" s="115"/>
      <x:c r="BE846" s="115"/>
      <x:c r="BF846" s="115"/>
      <x:c r="BG846" s="115"/>
      <x:c r="BH846" s="115"/>
      <x:c r="BI846" s="115"/>
      <x:c r="BJ846" s="115"/>
      <x:c r="BK846" s="115"/>
      <x:c r="BL846" s="115"/>
      <x:c r="BM846" s="115"/>
      <x:c r="BN846" s="115"/>
      <x:c r="BO846" s="115"/>
      <x:c r="BP846" s="115"/>
      <x:c r="BQ846" s="115"/>
      <x:c r="BR846" s="115"/>
      <x:c r="BS846" s="115"/>
      <x:c r="BT846" s="115"/>
      <x:c r="BU846" s="115"/>
      <x:c r="BV846" s="115"/>
      <x:c r="BW846" s="115"/>
      <x:c r="BX846" s="115"/>
      <x:c r="BY846" s="115"/>
      <x:c r="BZ846" s="115"/>
      <x:c r="CA846" s="115"/>
      <x:c r="CB846" s="116"/>
      <x:c r="CC846" s="141" t="str">
        <x:f>IF(COUNT(G846:P846)=0,"",AVERAGE(G846:P846)*4)</x:f>
      </x:c>
      <x:c r="CD846" s="178" t="str">
        <x:f>IF(COUNT(Q846:Z846)=0,"",AVERAGE(Q846:Z846)*4)</x:f>
      </x:c>
      <x:c r="CE846" s="178" t="str">
        <x:f>IF(COUNT(AA846:AJ846)=0,"",AVERAGE(AA846:AJ846)*4)</x:f>
      </x:c>
      <x:c r="CF846" s="178" t="str">
        <x:f>IF(COUNT(AK846:AR846)=0,"",AVERAGE(AK846:AR846)*4)</x:f>
      </x:c>
      <x:c r="CG846" s="178" t="str">
        <x:f>IF(COUNT(AS846:AY846)=0,"",AVERAGE(AS846:AY846)*4)</x:f>
      </x:c>
      <x:c r="CH846" s="178" t="str">
        <x:f>IF(COUNT(AZ846:BG846)=0,"",AVERAGE(AZ846:BG846)*4)</x:f>
      </x:c>
      <x:c r="CI846" s="178" t="str">
        <x:f>IF(COUNT(BH846:BN846)=0,"",AVERAGE(BH846:BN846)*4)</x:f>
      </x:c>
      <x:c r="CJ846" s="178" t="str">
        <x:f>IF(COUNT(BO846:BU846)=0,"",AVERAGE(BO846:BU846)*4)</x:f>
      </x:c>
      <x:c r="CK846" s="178" t="str">
        <x:f>IF(COUNT(BV846:CB846)=0,"",AVERAGE(BV846:CB846)*4)</x:f>
      </x:c>
      <x:c r="CL846" s="178" t="str">
        <x:f>IF(C846="","",IF(COUNT(G846:CB846)&lt;74,"",(CC846*'تنظیمات وزن‌دهی'!$C$5+CD846*'تنظیمات وزن‌دهی'!$C$6+CE846*'تنظیمات وزن‌دهی'!$C$7+CF846*'تنظیمات وزن‌دهی'!$C$8+CG846*'تنظیمات وزن‌دهی'!$C$9+CH846*'تنظیمات وزن‌دهی'!$C$10+CI846*'تنظیمات وزن‌دهی'!$C$11+CJ846*'تنظیمات وزن‌دهی'!$C$12+CK846*'تنظیمات وزن‌دهی'!$C$13)/100))</x:f>
      </x:c>
      <x:c r="CM846" s="178" t="str">
        <x:f>IF(C846="","",IF(COUNT(G846:CB846)=0,"",IF(COUNT(G846:CB846)&lt;74,"موقت - اطلاعات ناقص",IF(CL846&gt;=17,"عالی",IF(CL846&gt;=14,"خوب",IF(CL846&gt;=10,"متوسط","ضعیف"))))))</x:f>
      </x:c>
      <x:c r="CN846" s="178" t="n">
        <x:v>2</x:v>
      </x:c>
      <x:c r="CO846" s="142" t="n">
        <x:f>IF(C846="","",COUNT(G846:CB846)/74)</x:f>
        <x:v>0</x:v>
      </x:c>
      <x:c r="CP846" s="245"/>
    </x:row>
    <x:row r="847">
      <x:c r="A847" s="165" t="n">
        <x:v>843</x:v>
      </x:c>
      <x:c r="B847" s="233" t="str">
        <x:v>شهریور</x:v>
      </x:c>
      <x:c r="C847" s="233" t="n">
        <x:f>IF('دانش‌آموزان'!E75="","",'دانش‌آموزان'!B75)</x:f>
        <x:v>71</x:v>
      </x:c>
      <x:c r="D847" s="233" t="str">
        <x:f>IF('دانش‌آموزان'!C75="","",'دانش‌آموزان'!C75)</x:f>
        <x:v>4000000713</x:v>
      </x:c>
      <x:c r="E847" s="233" t="str">
        <x:f>IF('دانش‌آموزان'!E75="","",'دانش‌آموزان'!E75&amp;" "&amp;'دانش‌آموزان'!F75)</x:f>
        <x:v>پارسا موسوی</x:v>
      </x:c>
      <x:c r="F847" s="166" t="str">
        <x:f>IF('دانش‌آموزان'!I75="","",'دانش‌آموزان'!I75)</x:f>
        <x:v>sample-7-c</x:v>
      </x:c>
      <x:c r="G847" s="114"/>
      <x:c r="H847" s="115"/>
      <x:c r="I847" s="115"/>
      <x:c r="J847" s="115"/>
      <x:c r="K847" s="115"/>
      <x:c r="L847" s="115"/>
      <x:c r="M847" s="115"/>
      <x:c r="N847" s="115"/>
      <x:c r="O847" s="115"/>
      <x:c r="P847" s="115"/>
      <x:c r="Q847" s="115"/>
      <x:c r="R847" s="115"/>
      <x:c r="S847" s="115"/>
      <x:c r="T847" s="115"/>
      <x:c r="U847" s="115"/>
      <x:c r="V847" s="115"/>
      <x:c r="W847" s="115"/>
      <x:c r="X847" s="115"/>
      <x:c r="Y847" s="115"/>
      <x:c r="Z847" s="115"/>
      <x:c r="AA847" s="115"/>
      <x:c r="AB847" s="115"/>
      <x:c r="AC847" s="115"/>
      <x:c r="AD847" s="115"/>
      <x:c r="AE847" s="115"/>
      <x:c r="AF847" s="115"/>
      <x:c r="AG847" s="115"/>
      <x:c r="AH847" s="115"/>
      <x:c r="AI847" s="115"/>
      <x:c r="AJ847" s="115"/>
      <x:c r="AK847" s="115"/>
      <x:c r="AL847" s="115"/>
      <x:c r="AM847" s="115"/>
      <x:c r="AN847" s="115"/>
      <x:c r="AO847" s="115"/>
      <x:c r="AP847" s="115"/>
      <x:c r="AQ847" s="115"/>
      <x:c r="AR847" s="115"/>
      <x:c r="AS847" s="115"/>
      <x:c r="AT847" s="115"/>
      <x:c r="AU847" s="115"/>
      <x:c r="AV847" s="115"/>
      <x:c r="AW847" s="115"/>
      <x:c r="AX847" s="115"/>
      <x:c r="AY847" s="115"/>
      <x:c r="AZ847" s="115"/>
      <x:c r="BA847" s="115"/>
      <x:c r="BB847" s="115"/>
      <x:c r="BC847" s="115"/>
      <x:c r="BD847" s="115"/>
      <x:c r="BE847" s="115"/>
      <x:c r="BF847" s="115"/>
      <x:c r="BG847" s="115"/>
      <x:c r="BH847" s="115"/>
      <x:c r="BI847" s="115"/>
      <x:c r="BJ847" s="115"/>
      <x:c r="BK847" s="115"/>
      <x:c r="BL847" s="115"/>
      <x:c r="BM847" s="115"/>
      <x:c r="BN847" s="115"/>
      <x:c r="BO847" s="115"/>
      <x:c r="BP847" s="115"/>
      <x:c r="BQ847" s="115"/>
      <x:c r="BR847" s="115"/>
      <x:c r="BS847" s="115"/>
      <x:c r="BT847" s="115"/>
      <x:c r="BU847" s="115"/>
      <x:c r="BV847" s="115"/>
      <x:c r="BW847" s="115"/>
      <x:c r="BX847" s="115"/>
      <x:c r="BY847" s="115"/>
      <x:c r="BZ847" s="115"/>
      <x:c r="CA847" s="115"/>
      <x:c r="CB847" s="116"/>
      <x:c r="CC847" s="141" t="str">
        <x:f>IF(COUNT(G847:P847)=0,"",AVERAGE(G847:P847)*4)</x:f>
      </x:c>
      <x:c r="CD847" s="178" t="str">
        <x:f>IF(COUNT(Q847:Z847)=0,"",AVERAGE(Q847:Z847)*4)</x:f>
      </x:c>
      <x:c r="CE847" s="178" t="str">
        <x:f>IF(COUNT(AA847:AJ847)=0,"",AVERAGE(AA847:AJ847)*4)</x:f>
      </x:c>
      <x:c r="CF847" s="178" t="str">
        <x:f>IF(COUNT(AK847:AR847)=0,"",AVERAGE(AK847:AR847)*4)</x:f>
      </x:c>
      <x:c r="CG847" s="178" t="str">
        <x:f>IF(COUNT(AS847:AY847)=0,"",AVERAGE(AS847:AY847)*4)</x:f>
      </x:c>
      <x:c r="CH847" s="178" t="str">
        <x:f>IF(COUNT(AZ847:BG847)=0,"",AVERAGE(AZ847:BG847)*4)</x:f>
      </x:c>
      <x:c r="CI847" s="178" t="str">
        <x:f>IF(COUNT(BH847:BN847)=0,"",AVERAGE(BH847:BN847)*4)</x:f>
      </x:c>
      <x:c r="CJ847" s="178" t="str">
        <x:f>IF(COUNT(BO847:BU847)=0,"",AVERAGE(BO847:BU847)*4)</x:f>
      </x:c>
      <x:c r="CK847" s="178" t="str">
        <x:f>IF(COUNT(BV847:CB847)=0,"",AVERAGE(BV847:CB847)*4)</x:f>
      </x:c>
      <x:c r="CL847" s="178" t="str">
        <x:f>IF(C847="","",IF(COUNT(G847:CB847)&lt;74,"",(CC847*'تنظیمات وزن‌دهی'!$C$5+CD847*'تنظیمات وزن‌دهی'!$C$6+CE847*'تنظیمات وزن‌دهی'!$C$7+CF847*'تنظیمات وزن‌دهی'!$C$8+CG847*'تنظیمات وزن‌دهی'!$C$9+CH847*'تنظیمات وزن‌دهی'!$C$10+CI847*'تنظیمات وزن‌دهی'!$C$11+CJ847*'تنظیمات وزن‌دهی'!$C$12+CK847*'تنظیمات وزن‌دهی'!$C$13)/100))</x:f>
      </x:c>
      <x:c r="CM847" s="178" t="str">
        <x:f>IF(C847="","",IF(COUNT(G847:CB847)=0,"",IF(COUNT(G847:CB847)&lt;74,"موقت - اطلاعات ناقص",IF(CL847&gt;=17,"عالی",IF(CL847&gt;=14,"خوب",IF(CL847&gt;=10,"متوسط","ضعیف"))))))</x:f>
      </x:c>
      <x:c r="CN847" s="178" t="n">
        <x:v>3</x:v>
      </x:c>
      <x:c r="CO847" s="142" t="n">
        <x:f>IF(C847="","",COUNT(G847:CB847)/74)</x:f>
        <x:v>0</x:v>
      </x:c>
      <x:c r="CP847" s="245"/>
    </x:row>
    <x:row r="848">
      <x:c r="A848" s="165" t="n">
        <x:v>844</x:v>
      </x:c>
      <x:c r="B848" s="233" t="str">
        <x:v>مهر</x:v>
      </x:c>
      <x:c r="C848" s="233" t="n">
        <x:f>IF('دانش‌آموزان'!E75="","",'دانش‌آموزان'!B75)</x:f>
        <x:v>71</x:v>
      </x:c>
      <x:c r="D848" s="233" t="str">
        <x:f>IF('دانش‌آموزان'!C75="","",'دانش‌آموزان'!C75)</x:f>
        <x:v>4000000713</x:v>
      </x:c>
      <x:c r="E848" s="233" t="str">
        <x:f>IF('دانش‌آموزان'!E75="","",'دانش‌آموزان'!E75&amp;" "&amp;'دانش‌آموزان'!F75)</x:f>
        <x:v>پارسا موسوی</x:v>
      </x:c>
      <x:c r="F848" s="166" t="str">
        <x:f>IF('دانش‌آموزان'!I75="","",'دانش‌آموزان'!I75)</x:f>
        <x:v>sample-7-c</x:v>
      </x:c>
      <x:c r="G848" s="114"/>
      <x:c r="H848" s="115"/>
      <x:c r="I848" s="115"/>
      <x:c r="J848" s="115"/>
      <x:c r="K848" s="115"/>
      <x:c r="L848" s="115"/>
      <x:c r="M848" s="115"/>
      <x:c r="N848" s="115"/>
      <x:c r="O848" s="115"/>
      <x:c r="P848" s="115"/>
      <x:c r="Q848" s="115"/>
      <x:c r="R848" s="115"/>
      <x:c r="S848" s="115"/>
      <x:c r="T848" s="115"/>
      <x:c r="U848" s="115"/>
      <x:c r="V848" s="115"/>
      <x:c r="W848" s="115"/>
      <x:c r="X848" s="115"/>
      <x:c r="Y848" s="115"/>
      <x:c r="Z848" s="115"/>
      <x:c r="AA848" s="115"/>
      <x:c r="AB848" s="115"/>
      <x:c r="AC848" s="115"/>
      <x:c r="AD848" s="115"/>
      <x:c r="AE848" s="115"/>
      <x:c r="AF848" s="115"/>
      <x:c r="AG848" s="115"/>
      <x:c r="AH848" s="115"/>
      <x:c r="AI848" s="115"/>
      <x:c r="AJ848" s="115"/>
      <x:c r="AK848" s="115"/>
      <x:c r="AL848" s="115"/>
      <x:c r="AM848" s="115"/>
      <x:c r="AN848" s="115"/>
      <x:c r="AO848" s="115"/>
      <x:c r="AP848" s="115"/>
      <x:c r="AQ848" s="115"/>
      <x:c r="AR848" s="115"/>
      <x:c r="AS848" s="115"/>
      <x:c r="AT848" s="115"/>
      <x:c r="AU848" s="115"/>
      <x:c r="AV848" s="115"/>
      <x:c r="AW848" s="115"/>
      <x:c r="AX848" s="115"/>
      <x:c r="AY848" s="115"/>
      <x:c r="AZ848" s="115"/>
      <x:c r="BA848" s="115"/>
      <x:c r="BB848" s="115"/>
      <x:c r="BC848" s="115"/>
      <x:c r="BD848" s="115"/>
      <x:c r="BE848" s="115"/>
      <x:c r="BF848" s="115"/>
      <x:c r="BG848" s="115"/>
      <x:c r="BH848" s="115"/>
      <x:c r="BI848" s="115"/>
      <x:c r="BJ848" s="115"/>
      <x:c r="BK848" s="115"/>
      <x:c r="BL848" s="115"/>
      <x:c r="BM848" s="115"/>
      <x:c r="BN848" s="115"/>
      <x:c r="BO848" s="115"/>
      <x:c r="BP848" s="115"/>
      <x:c r="BQ848" s="115"/>
      <x:c r="BR848" s="115"/>
      <x:c r="BS848" s="115"/>
      <x:c r="BT848" s="115"/>
      <x:c r="BU848" s="115"/>
      <x:c r="BV848" s="115"/>
      <x:c r="BW848" s="115"/>
      <x:c r="BX848" s="115"/>
      <x:c r="BY848" s="115"/>
      <x:c r="BZ848" s="115"/>
      <x:c r="CA848" s="115"/>
      <x:c r="CB848" s="116"/>
      <x:c r="CC848" s="141" t="str">
        <x:f>IF(COUNT(G848:P848)=0,"",AVERAGE(G848:P848)*4)</x:f>
      </x:c>
      <x:c r="CD848" s="178" t="str">
        <x:f>IF(COUNT(Q848:Z848)=0,"",AVERAGE(Q848:Z848)*4)</x:f>
      </x:c>
      <x:c r="CE848" s="178" t="str">
        <x:f>IF(COUNT(AA848:AJ848)=0,"",AVERAGE(AA848:AJ848)*4)</x:f>
      </x:c>
      <x:c r="CF848" s="178" t="str">
        <x:f>IF(COUNT(AK848:AR848)=0,"",AVERAGE(AK848:AR848)*4)</x:f>
      </x:c>
      <x:c r="CG848" s="178" t="str">
        <x:f>IF(COUNT(AS848:AY848)=0,"",AVERAGE(AS848:AY848)*4)</x:f>
      </x:c>
      <x:c r="CH848" s="178" t="str">
        <x:f>IF(COUNT(AZ848:BG848)=0,"",AVERAGE(AZ848:BG848)*4)</x:f>
      </x:c>
      <x:c r="CI848" s="178" t="str">
        <x:f>IF(COUNT(BH848:BN848)=0,"",AVERAGE(BH848:BN848)*4)</x:f>
      </x:c>
      <x:c r="CJ848" s="178" t="str">
        <x:f>IF(COUNT(BO848:BU848)=0,"",AVERAGE(BO848:BU848)*4)</x:f>
      </x:c>
      <x:c r="CK848" s="178" t="str">
        <x:f>IF(COUNT(BV848:CB848)=0,"",AVERAGE(BV848:CB848)*4)</x:f>
      </x:c>
      <x:c r="CL848" s="178" t="str">
        <x:f>IF(C848="","",IF(COUNT(G848:CB848)&lt;74,"",(CC848*'تنظیمات وزن‌دهی'!$C$5+CD848*'تنظیمات وزن‌دهی'!$C$6+CE848*'تنظیمات وزن‌دهی'!$C$7+CF848*'تنظیمات وزن‌دهی'!$C$8+CG848*'تنظیمات وزن‌دهی'!$C$9+CH848*'تنظیمات وزن‌دهی'!$C$10+CI848*'تنظیمات وزن‌دهی'!$C$11+CJ848*'تنظیمات وزن‌دهی'!$C$12+CK848*'تنظیمات وزن‌دهی'!$C$13)/100))</x:f>
      </x:c>
      <x:c r="CM848" s="178" t="str">
        <x:f>IF(C848="","",IF(COUNT(G848:CB848)=0,"",IF(COUNT(G848:CB848)&lt;74,"موقت - اطلاعات ناقص",IF(CL848&gt;=17,"عالی",IF(CL848&gt;=14,"خوب",IF(CL848&gt;=10,"متوسط","ضعیف"))))))</x:f>
      </x:c>
      <x:c r="CN848" s="178" t="n">
        <x:v>4</x:v>
      </x:c>
      <x:c r="CO848" s="142" t="n">
        <x:f>IF(C848="","",COUNT(G848:CB848)/74)</x:f>
        <x:v>0</x:v>
      </x:c>
      <x:c r="CP848" s="245"/>
    </x:row>
    <x:row r="849">
      <x:c r="A849" s="165" t="n">
        <x:v>845</x:v>
      </x:c>
      <x:c r="B849" s="233" t="str">
        <x:v>آبان</x:v>
      </x:c>
      <x:c r="C849" s="233" t="n">
        <x:f>IF('دانش‌آموزان'!E75="","",'دانش‌آموزان'!B75)</x:f>
        <x:v>71</x:v>
      </x:c>
      <x:c r="D849" s="233" t="str">
        <x:f>IF('دانش‌آموزان'!C75="","",'دانش‌آموزان'!C75)</x:f>
        <x:v>4000000713</x:v>
      </x:c>
      <x:c r="E849" s="233" t="str">
        <x:f>IF('دانش‌آموزان'!E75="","",'دانش‌آموزان'!E75&amp;" "&amp;'دانش‌آموزان'!F75)</x:f>
        <x:v>پارسا موسوی</x:v>
      </x:c>
      <x:c r="F849" s="166" t="str">
        <x:f>IF('دانش‌آموزان'!I75="","",'دانش‌آموزان'!I75)</x:f>
        <x:v>sample-7-c</x:v>
      </x:c>
      <x:c r="G849" s="114"/>
      <x:c r="H849" s="115"/>
      <x:c r="I849" s="115"/>
      <x:c r="J849" s="115"/>
      <x:c r="K849" s="115"/>
      <x:c r="L849" s="115"/>
      <x:c r="M849" s="115"/>
      <x:c r="N849" s="115"/>
      <x:c r="O849" s="115"/>
      <x:c r="P849" s="115"/>
      <x:c r="Q849" s="115"/>
      <x:c r="R849" s="115"/>
      <x:c r="S849" s="115"/>
      <x:c r="T849" s="115"/>
      <x:c r="U849" s="115"/>
      <x:c r="V849" s="115"/>
      <x:c r="W849" s="115"/>
      <x:c r="X849" s="115"/>
      <x:c r="Y849" s="115"/>
      <x:c r="Z849" s="115"/>
      <x:c r="AA849" s="115"/>
      <x:c r="AB849" s="115"/>
      <x:c r="AC849" s="115"/>
      <x:c r="AD849" s="115"/>
      <x:c r="AE849" s="115"/>
      <x:c r="AF849" s="115"/>
      <x:c r="AG849" s="115"/>
      <x:c r="AH849" s="115"/>
      <x:c r="AI849" s="115"/>
      <x:c r="AJ849" s="115"/>
      <x:c r="AK849" s="115"/>
      <x:c r="AL849" s="115"/>
      <x:c r="AM849" s="115"/>
      <x:c r="AN849" s="115"/>
      <x:c r="AO849" s="115"/>
      <x:c r="AP849" s="115"/>
      <x:c r="AQ849" s="115"/>
      <x:c r="AR849" s="115"/>
      <x:c r="AS849" s="115"/>
      <x:c r="AT849" s="115"/>
      <x:c r="AU849" s="115"/>
      <x:c r="AV849" s="115"/>
      <x:c r="AW849" s="115"/>
      <x:c r="AX849" s="115"/>
      <x:c r="AY849" s="115"/>
      <x:c r="AZ849" s="115"/>
      <x:c r="BA849" s="115"/>
      <x:c r="BB849" s="115"/>
      <x:c r="BC849" s="115"/>
      <x:c r="BD849" s="115"/>
      <x:c r="BE849" s="115"/>
      <x:c r="BF849" s="115"/>
      <x:c r="BG849" s="115"/>
      <x:c r="BH849" s="115"/>
      <x:c r="BI849" s="115"/>
      <x:c r="BJ849" s="115"/>
      <x:c r="BK849" s="115"/>
      <x:c r="BL849" s="115"/>
      <x:c r="BM849" s="115"/>
      <x:c r="BN849" s="115"/>
      <x:c r="BO849" s="115"/>
      <x:c r="BP849" s="115"/>
      <x:c r="BQ849" s="115"/>
      <x:c r="BR849" s="115"/>
      <x:c r="BS849" s="115"/>
      <x:c r="BT849" s="115"/>
      <x:c r="BU849" s="115"/>
      <x:c r="BV849" s="115"/>
      <x:c r="BW849" s="115"/>
      <x:c r="BX849" s="115"/>
      <x:c r="BY849" s="115"/>
      <x:c r="BZ849" s="115"/>
      <x:c r="CA849" s="115"/>
      <x:c r="CB849" s="116"/>
      <x:c r="CC849" s="141" t="str">
        <x:f>IF(COUNT(G849:P849)=0,"",AVERAGE(G849:P849)*4)</x:f>
      </x:c>
      <x:c r="CD849" s="178" t="str">
        <x:f>IF(COUNT(Q849:Z849)=0,"",AVERAGE(Q849:Z849)*4)</x:f>
      </x:c>
      <x:c r="CE849" s="178" t="str">
        <x:f>IF(COUNT(AA849:AJ849)=0,"",AVERAGE(AA849:AJ849)*4)</x:f>
      </x:c>
      <x:c r="CF849" s="178" t="str">
        <x:f>IF(COUNT(AK849:AR849)=0,"",AVERAGE(AK849:AR849)*4)</x:f>
      </x:c>
      <x:c r="CG849" s="178" t="str">
        <x:f>IF(COUNT(AS849:AY849)=0,"",AVERAGE(AS849:AY849)*4)</x:f>
      </x:c>
      <x:c r="CH849" s="178" t="str">
        <x:f>IF(COUNT(AZ849:BG849)=0,"",AVERAGE(AZ849:BG849)*4)</x:f>
      </x:c>
      <x:c r="CI849" s="178" t="str">
        <x:f>IF(COUNT(BH849:BN849)=0,"",AVERAGE(BH849:BN849)*4)</x:f>
      </x:c>
      <x:c r="CJ849" s="178" t="str">
        <x:f>IF(COUNT(BO849:BU849)=0,"",AVERAGE(BO849:BU849)*4)</x:f>
      </x:c>
      <x:c r="CK849" s="178" t="str">
        <x:f>IF(COUNT(BV849:CB849)=0,"",AVERAGE(BV849:CB849)*4)</x:f>
      </x:c>
      <x:c r="CL849" s="178" t="str">
        <x:f>IF(C849="","",IF(COUNT(G849:CB849)&lt;74,"",(CC849*'تنظیمات وزن‌دهی'!$C$5+CD849*'تنظیمات وزن‌دهی'!$C$6+CE849*'تنظیمات وزن‌دهی'!$C$7+CF849*'تنظیمات وزن‌دهی'!$C$8+CG849*'تنظیمات وزن‌دهی'!$C$9+CH849*'تنظیمات وزن‌دهی'!$C$10+CI849*'تنظیمات وزن‌دهی'!$C$11+CJ849*'تنظیمات وزن‌دهی'!$C$12+CK849*'تنظیمات وزن‌دهی'!$C$13)/100))</x:f>
      </x:c>
      <x:c r="CM849" s="178" t="str">
        <x:f>IF(C849="","",IF(COUNT(G849:CB849)=0,"",IF(COUNT(G849:CB849)&lt;74,"موقت - اطلاعات ناقص",IF(CL849&gt;=17,"عالی",IF(CL849&gt;=14,"خوب",IF(CL849&gt;=10,"متوسط","ضعیف"))))))</x:f>
      </x:c>
      <x:c r="CN849" s="178" t="n">
        <x:v>5</x:v>
      </x:c>
      <x:c r="CO849" s="142" t="n">
        <x:f>IF(C849="","",COUNT(G849:CB849)/74)</x:f>
        <x:v>0</x:v>
      </x:c>
      <x:c r="CP849" s="245"/>
    </x:row>
    <x:row r="850">
      <x:c r="A850" s="165" t="n">
        <x:v>846</x:v>
      </x:c>
      <x:c r="B850" s="233" t="str">
        <x:v>آذر</x:v>
      </x:c>
      <x:c r="C850" s="233" t="n">
        <x:f>IF('دانش‌آموزان'!E75="","",'دانش‌آموزان'!B75)</x:f>
        <x:v>71</x:v>
      </x:c>
      <x:c r="D850" s="233" t="str">
        <x:f>IF('دانش‌آموزان'!C75="","",'دانش‌آموزان'!C75)</x:f>
        <x:v>4000000713</x:v>
      </x:c>
      <x:c r="E850" s="233" t="str">
        <x:f>IF('دانش‌آموزان'!E75="","",'دانش‌آموزان'!E75&amp;" "&amp;'دانش‌آموزان'!F75)</x:f>
        <x:v>پارسا موسوی</x:v>
      </x:c>
      <x:c r="F850" s="166" t="str">
        <x:f>IF('دانش‌آموزان'!I75="","",'دانش‌آموزان'!I75)</x:f>
        <x:v>sample-7-c</x:v>
      </x:c>
      <x:c r="G850" s="114"/>
      <x:c r="H850" s="115"/>
      <x:c r="I850" s="115"/>
      <x:c r="J850" s="115"/>
      <x:c r="K850" s="115"/>
      <x:c r="L850" s="115"/>
      <x:c r="M850" s="115"/>
      <x:c r="N850" s="115"/>
      <x:c r="O850" s="115"/>
      <x:c r="P850" s="115"/>
      <x:c r="Q850" s="115"/>
      <x:c r="R850" s="115"/>
      <x:c r="S850" s="115"/>
      <x:c r="T850" s="115"/>
      <x:c r="U850" s="115"/>
      <x:c r="V850" s="115"/>
      <x:c r="W850" s="115"/>
      <x:c r="X850" s="115"/>
      <x:c r="Y850" s="115"/>
      <x:c r="Z850" s="115"/>
      <x:c r="AA850" s="115"/>
      <x:c r="AB850" s="115"/>
      <x:c r="AC850" s="115"/>
      <x:c r="AD850" s="115"/>
      <x:c r="AE850" s="115"/>
      <x:c r="AF850" s="115"/>
      <x:c r="AG850" s="115"/>
      <x:c r="AH850" s="115"/>
      <x:c r="AI850" s="115"/>
      <x:c r="AJ850" s="115"/>
      <x:c r="AK850" s="115"/>
      <x:c r="AL850" s="115"/>
      <x:c r="AM850" s="115"/>
      <x:c r="AN850" s="115"/>
      <x:c r="AO850" s="115"/>
      <x:c r="AP850" s="115"/>
      <x:c r="AQ850" s="115"/>
      <x:c r="AR850" s="115"/>
      <x:c r="AS850" s="115"/>
      <x:c r="AT850" s="115"/>
      <x:c r="AU850" s="115"/>
      <x:c r="AV850" s="115"/>
      <x:c r="AW850" s="115"/>
      <x:c r="AX850" s="115"/>
      <x:c r="AY850" s="115"/>
      <x:c r="AZ850" s="115"/>
      <x:c r="BA850" s="115"/>
      <x:c r="BB850" s="115"/>
      <x:c r="BC850" s="115"/>
      <x:c r="BD850" s="115"/>
      <x:c r="BE850" s="115"/>
      <x:c r="BF850" s="115"/>
      <x:c r="BG850" s="115"/>
      <x:c r="BH850" s="115"/>
      <x:c r="BI850" s="115"/>
      <x:c r="BJ850" s="115"/>
      <x:c r="BK850" s="115"/>
      <x:c r="BL850" s="115"/>
      <x:c r="BM850" s="115"/>
      <x:c r="BN850" s="115"/>
      <x:c r="BO850" s="115"/>
      <x:c r="BP850" s="115"/>
      <x:c r="BQ850" s="115"/>
      <x:c r="BR850" s="115"/>
      <x:c r="BS850" s="115"/>
      <x:c r="BT850" s="115"/>
      <x:c r="BU850" s="115"/>
      <x:c r="BV850" s="115"/>
      <x:c r="BW850" s="115"/>
      <x:c r="BX850" s="115"/>
      <x:c r="BY850" s="115"/>
      <x:c r="BZ850" s="115"/>
      <x:c r="CA850" s="115"/>
      <x:c r="CB850" s="116"/>
      <x:c r="CC850" s="141" t="str">
        <x:f>IF(COUNT(G850:P850)=0,"",AVERAGE(G850:P850)*4)</x:f>
      </x:c>
      <x:c r="CD850" s="178" t="str">
        <x:f>IF(COUNT(Q850:Z850)=0,"",AVERAGE(Q850:Z850)*4)</x:f>
      </x:c>
      <x:c r="CE850" s="178" t="str">
        <x:f>IF(COUNT(AA850:AJ850)=0,"",AVERAGE(AA850:AJ850)*4)</x:f>
      </x:c>
      <x:c r="CF850" s="178" t="str">
        <x:f>IF(COUNT(AK850:AR850)=0,"",AVERAGE(AK850:AR850)*4)</x:f>
      </x:c>
      <x:c r="CG850" s="178" t="str">
        <x:f>IF(COUNT(AS850:AY850)=0,"",AVERAGE(AS850:AY850)*4)</x:f>
      </x:c>
      <x:c r="CH850" s="178" t="str">
        <x:f>IF(COUNT(AZ850:BG850)=0,"",AVERAGE(AZ850:BG850)*4)</x:f>
      </x:c>
      <x:c r="CI850" s="178" t="str">
        <x:f>IF(COUNT(BH850:BN850)=0,"",AVERAGE(BH850:BN850)*4)</x:f>
      </x:c>
      <x:c r="CJ850" s="178" t="str">
        <x:f>IF(COUNT(BO850:BU850)=0,"",AVERAGE(BO850:BU850)*4)</x:f>
      </x:c>
      <x:c r="CK850" s="178" t="str">
        <x:f>IF(COUNT(BV850:CB850)=0,"",AVERAGE(BV850:CB850)*4)</x:f>
      </x:c>
      <x:c r="CL850" s="178" t="str">
        <x:f>IF(C850="","",IF(COUNT(G850:CB850)&lt;74,"",(CC850*'تنظیمات وزن‌دهی'!$C$5+CD850*'تنظیمات وزن‌دهی'!$C$6+CE850*'تنظیمات وزن‌دهی'!$C$7+CF850*'تنظیمات وزن‌دهی'!$C$8+CG850*'تنظیمات وزن‌دهی'!$C$9+CH850*'تنظیمات وزن‌دهی'!$C$10+CI850*'تنظیمات وزن‌دهی'!$C$11+CJ850*'تنظیمات وزن‌دهی'!$C$12+CK850*'تنظیمات وزن‌دهی'!$C$13)/100))</x:f>
      </x:c>
      <x:c r="CM850" s="178" t="str">
        <x:f>IF(C850="","",IF(COUNT(G850:CB850)=0,"",IF(COUNT(G850:CB850)&lt;74,"موقت - اطلاعات ناقص",IF(CL850&gt;=17,"عالی",IF(CL850&gt;=14,"خوب",IF(CL850&gt;=10,"متوسط","ضعیف"))))))</x:f>
      </x:c>
      <x:c r="CN850" s="178" t="n">
        <x:v>6</x:v>
      </x:c>
      <x:c r="CO850" s="142" t="n">
        <x:f>IF(C850="","",COUNT(G850:CB850)/74)</x:f>
        <x:v>0</x:v>
      </x:c>
      <x:c r="CP850" s="245"/>
    </x:row>
    <x:row r="851">
      <x:c r="A851" s="165" t="n">
        <x:v>847</x:v>
      </x:c>
      <x:c r="B851" s="233" t="str">
        <x:v>دی</x:v>
      </x:c>
      <x:c r="C851" s="233" t="n">
        <x:f>IF('دانش‌آموزان'!E75="","",'دانش‌آموزان'!B75)</x:f>
        <x:v>71</x:v>
      </x:c>
      <x:c r="D851" s="233" t="str">
        <x:f>IF('دانش‌آموزان'!C75="","",'دانش‌آموزان'!C75)</x:f>
        <x:v>4000000713</x:v>
      </x:c>
      <x:c r="E851" s="233" t="str">
        <x:f>IF('دانش‌آموزان'!E75="","",'دانش‌آموزان'!E75&amp;" "&amp;'دانش‌آموزان'!F75)</x:f>
        <x:v>پارسا موسوی</x:v>
      </x:c>
      <x:c r="F851" s="166" t="str">
        <x:f>IF('دانش‌آموزان'!I75="","",'دانش‌آموزان'!I75)</x:f>
        <x:v>sample-7-c</x:v>
      </x:c>
      <x:c r="G851" s="114"/>
      <x:c r="H851" s="115"/>
      <x:c r="I851" s="115"/>
      <x:c r="J851" s="115"/>
      <x:c r="K851" s="115"/>
      <x:c r="L851" s="115"/>
      <x:c r="M851" s="115"/>
      <x:c r="N851" s="115"/>
      <x:c r="O851" s="115"/>
      <x:c r="P851" s="115"/>
      <x:c r="Q851" s="115"/>
      <x:c r="R851" s="115"/>
      <x:c r="S851" s="115"/>
      <x:c r="T851" s="115"/>
      <x:c r="U851" s="115"/>
      <x:c r="V851" s="115"/>
      <x:c r="W851" s="115"/>
      <x:c r="X851" s="115"/>
      <x:c r="Y851" s="115"/>
      <x:c r="Z851" s="115"/>
      <x:c r="AA851" s="115"/>
      <x:c r="AB851" s="115"/>
      <x:c r="AC851" s="115"/>
      <x:c r="AD851" s="115"/>
      <x:c r="AE851" s="115"/>
      <x:c r="AF851" s="115"/>
      <x:c r="AG851" s="115"/>
      <x:c r="AH851" s="115"/>
      <x:c r="AI851" s="115"/>
      <x:c r="AJ851" s="115"/>
      <x:c r="AK851" s="115"/>
      <x:c r="AL851" s="115"/>
      <x:c r="AM851" s="115"/>
      <x:c r="AN851" s="115"/>
      <x:c r="AO851" s="115"/>
      <x:c r="AP851" s="115"/>
      <x:c r="AQ851" s="115"/>
      <x:c r="AR851" s="115"/>
      <x:c r="AS851" s="115"/>
      <x:c r="AT851" s="115"/>
      <x:c r="AU851" s="115"/>
      <x:c r="AV851" s="115"/>
      <x:c r="AW851" s="115"/>
      <x:c r="AX851" s="115"/>
      <x:c r="AY851" s="115"/>
      <x:c r="AZ851" s="115"/>
      <x:c r="BA851" s="115"/>
      <x:c r="BB851" s="115"/>
      <x:c r="BC851" s="115"/>
      <x:c r="BD851" s="115"/>
      <x:c r="BE851" s="115"/>
      <x:c r="BF851" s="115"/>
      <x:c r="BG851" s="115"/>
      <x:c r="BH851" s="115"/>
      <x:c r="BI851" s="115"/>
      <x:c r="BJ851" s="115"/>
      <x:c r="BK851" s="115"/>
      <x:c r="BL851" s="115"/>
      <x:c r="BM851" s="115"/>
      <x:c r="BN851" s="115"/>
      <x:c r="BO851" s="115"/>
      <x:c r="BP851" s="115"/>
      <x:c r="BQ851" s="115"/>
      <x:c r="BR851" s="115"/>
      <x:c r="BS851" s="115"/>
      <x:c r="BT851" s="115"/>
      <x:c r="BU851" s="115"/>
      <x:c r="BV851" s="115"/>
      <x:c r="BW851" s="115"/>
      <x:c r="BX851" s="115"/>
      <x:c r="BY851" s="115"/>
      <x:c r="BZ851" s="115"/>
      <x:c r="CA851" s="115"/>
      <x:c r="CB851" s="116"/>
      <x:c r="CC851" s="141" t="str">
        <x:f>IF(COUNT(G851:P851)=0,"",AVERAGE(G851:P851)*4)</x:f>
      </x:c>
      <x:c r="CD851" s="178" t="str">
        <x:f>IF(COUNT(Q851:Z851)=0,"",AVERAGE(Q851:Z851)*4)</x:f>
      </x:c>
      <x:c r="CE851" s="178" t="str">
        <x:f>IF(COUNT(AA851:AJ851)=0,"",AVERAGE(AA851:AJ851)*4)</x:f>
      </x:c>
      <x:c r="CF851" s="178" t="str">
        <x:f>IF(COUNT(AK851:AR851)=0,"",AVERAGE(AK851:AR851)*4)</x:f>
      </x:c>
      <x:c r="CG851" s="178" t="str">
        <x:f>IF(COUNT(AS851:AY851)=0,"",AVERAGE(AS851:AY851)*4)</x:f>
      </x:c>
      <x:c r="CH851" s="178" t="str">
        <x:f>IF(COUNT(AZ851:BG851)=0,"",AVERAGE(AZ851:BG851)*4)</x:f>
      </x:c>
      <x:c r="CI851" s="178" t="str">
        <x:f>IF(COUNT(BH851:BN851)=0,"",AVERAGE(BH851:BN851)*4)</x:f>
      </x:c>
      <x:c r="CJ851" s="178" t="str">
        <x:f>IF(COUNT(BO851:BU851)=0,"",AVERAGE(BO851:BU851)*4)</x:f>
      </x:c>
      <x:c r="CK851" s="178" t="str">
        <x:f>IF(COUNT(BV851:CB851)=0,"",AVERAGE(BV851:CB851)*4)</x:f>
      </x:c>
      <x:c r="CL851" s="178" t="str">
        <x:f>IF(C851="","",IF(COUNT(G851:CB851)&lt;74,"",(CC851*'تنظیمات وزن‌دهی'!$C$5+CD851*'تنظیمات وزن‌دهی'!$C$6+CE851*'تنظیمات وزن‌دهی'!$C$7+CF851*'تنظیمات وزن‌دهی'!$C$8+CG851*'تنظیمات وزن‌دهی'!$C$9+CH851*'تنظیمات وزن‌دهی'!$C$10+CI851*'تنظیمات وزن‌دهی'!$C$11+CJ851*'تنظیمات وزن‌دهی'!$C$12+CK851*'تنظیمات وزن‌دهی'!$C$13)/100))</x:f>
      </x:c>
      <x:c r="CM851" s="178" t="str">
        <x:f>IF(C851="","",IF(COUNT(G851:CB851)=0,"",IF(COUNT(G851:CB851)&lt;74,"موقت - اطلاعات ناقص",IF(CL851&gt;=17,"عالی",IF(CL851&gt;=14,"خوب",IF(CL851&gt;=10,"متوسط","ضعیف"))))))</x:f>
      </x:c>
      <x:c r="CN851" s="178" t="n">
        <x:v>7</x:v>
      </x:c>
      <x:c r="CO851" s="142" t="n">
        <x:f>IF(C851="","",COUNT(G851:CB851)/74)</x:f>
        <x:v>0</x:v>
      </x:c>
      <x:c r="CP851" s="245"/>
    </x:row>
    <x:row r="852">
      <x:c r="A852" s="165" t="n">
        <x:v>848</x:v>
      </x:c>
      <x:c r="B852" s="233" t="str">
        <x:v>بهمن</x:v>
      </x:c>
      <x:c r="C852" s="233" t="n">
        <x:f>IF('دانش‌آموزان'!E75="","",'دانش‌آموزان'!B75)</x:f>
        <x:v>71</x:v>
      </x:c>
      <x:c r="D852" s="233" t="str">
        <x:f>IF('دانش‌آموزان'!C75="","",'دانش‌آموزان'!C75)</x:f>
        <x:v>4000000713</x:v>
      </x:c>
      <x:c r="E852" s="233" t="str">
        <x:f>IF('دانش‌آموزان'!E75="","",'دانش‌آموزان'!E75&amp;" "&amp;'دانش‌آموزان'!F75)</x:f>
        <x:v>پارسا موسوی</x:v>
      </x:c>
      <x:c r="F852" s="166" t="str">
        <x:f>IF('دانش‌آموزان'!I75="","",'دانش‌آموزان'!I75)</x:f>
        <x:v>sample-7-c</x:v>
      </x:c>
      <x:c r="G852" s="114"/>
      <x:c r="H852" s="115"/>
      <x:c r="I852" s="115"/>
      <x:c r="J852" s="115"/>
      <x:c r="K852" s="115"/>
      <x:c r="L852" s="115"/>
      <x:c r="M852" s="115"/>
      <x:c r="N852" s="115"/>
      <x:c r="O852" s="115"/>
      <x:c r="P852" s="115"/>
      <x:c r="Q852" s="115"/>
      <x:c r="R852" s="115"/>
      <x:c r="S852" s="115"/>
      <x:c r="T852" s="115"/>
      <x:c r="U852" s="115"/>
      <x:c r="V852" s="115"/>
      <x:c r="W852" s="115"/>
      <x:c r="X852" s="115"/>
      <x:c r="Y852" s="115"/>
      <x:c r="Z852" s="115"/>
      <x:c r="AA852" s="115"/>
      <x:c r="AB852" s="115"/>
      <x:c r="AC852" s="115"/>
      <x:c r="AD852" s="115"/>
      <x:c r="AE852" s="115"/>
      <x:c r="AF852" s="115"/>
      <x:c r="AG852" s="115"/>
      <x:c r="AH852" s="115"/>
      <x:c r="AI852" s="115"/>
      <x:c r="AJ852" s="115"/>
      <x:c r="AK852" s="115"/>
      <x:c r="AL852" s="115"/>
      <x:c r="AM852" s="115"/>
      <x:c r="AN852" s="115"/>
      <x:c r="AO852" s="115"/>
      <x:c r="AP852" s="115"/>
      <x:c r="AQ852" s="115"/>
      <x:c r="AR852" s="115"/>
      <x:c r="AS852" s="115"/>
      <x:c r="AT852" s="115"/>
      <x:c r="AU852" s="115"/>
      <x:c r="AV852" s="115"/>
      <x:c r="AW852" s="115"/>
      <x:c r="AX852" s="115"/>
      <x:c r="AY852" s="115"/>
      <x:c r="AZ852" s="115"/>
      <x:c r="BA852" s="115"/>
      <x:c r="BB852" s="115"/>
      <x:c r="BC852" s="115"/>
      <x:c r="BD852" s="115"/>
      <x:c r="BE852" s="115"/>
      <x:c r="BF852" s="115"/>
      <x:c r="BG852" s="115"/>
      <x:c r="BH852" s="115"/>
      <x:c r="BI852" s="115"/>
      <x:c r="BJ852" s="115"/>
      <x:c r="BK852" s="115"/>
      <x:c r="BL852" s="115"/>
      <x:c r="BM852" s="115"/>
      <x:c r="BN852" s="115"/>
      <x:c r="BO852" s="115"/>
      <x:c r="BP852" s="115"/>
      <x:c r="BQ852" s="115"/>
      <x:c r="BR852" s="115"/>
      <x:c r="BS852" s="115"/>
      <x:c r="BT852" s="115"/>
      <x:c r="BU852" s="115"/>
      <x:c r="BV852" s="115"/>
      <x:c r="BW852" s="115"/>
      <x:c r="BX852" s="115"/>
      <x:c r="BY852" s="115"/>
      <x:c r="BZ852" s="115"/>
      <x:c r="CA852" s="115"/>
      <x:c r="CB852" s="116"/>
      <x:c r="CC852" s="141" t="str">
        <x:f>IF(COUNT(G852:P852)=0,"",AVERAGE(G852:P852)*4)</x:f>
      </x:c>
      <x:c r="CD852" s="178" t="str">
        <x:f>IF(COUNT(Q852:Z852)=0,"",AVERAGE(Q852:Z852)*4)</x:f>
      </x:c>
      <x:c r="CE852" s="178" t="str">
        <x:f>IF(COUNT(AA852:AJ852)=0,"",AVERAGE(AA852:AJ852)*4)</x:f>
      </x:c>
      <x:c r="CF852" s="178" t="str">
        <x:f>IF(COUNT(AK852:AR852)=0,"",AVERAGE(AK852:AR852)*4)</x:f>
      </x:c>
      <x:c r="CG852" s="178" t="str">
        <x:f>IF(COUNT(AS852:AY852)=0,"",AVERAGE(AS852:AY852)*4)</x:f>
      </x:c>
      <x:c r="CH852" s="178" t="str">
        <x:f>IF(COUNT(AZ852:BG852)=0,"",AVERAGE(AZ852:BG852)*4)</x:f>
      </x:c>
      <x:c r="CI852" s="178" t="str">
        <x:f>IF(COUNT(BH852:BN852)=0,"",AVERAGE(BH852:BN852)*4)</x:f>
      </x:c>
      <x:c r="CJ852" s="178" t="str">
        <x:f>IF(COUNT(BO852:BU852)=0,"",AVERAGE(BO852:BU852)*4)</x:f>
      </x:c>
      <x:c r="CK852" s="178" t="str">
        <x:f>IF(COUNT(BV852:CB852)=0,"",AVERAGE(BV852:CB852)*4)</x:f>
      </x:c>
      <x:c r="CL852" s="178" t="str">
        <x:f>IF(C852="","",IF(COUNT(G852:CB852)&lt;74,"",(CC852*'تنظیمات وزن‌دهی'!$C$5+CD852*'تنظیمات وزن‌دهی'!$C$6+CE852*'تنظیمات وزن‌دهی'!$C$7+CF852*'تنظیمات وزن‌دهی'!$C$8+CG852*'تنظیمات وزن‌دهی'!$C$9+CH852*'تنظیمات وزن‌دهی'!$C$10+CI852*'تنظیمات وزن‌دهی'!$C$11+CJ852*'تنظیمات وزن‌دهی'!$C$12+CK852*'تنظیمات وزن‌دهی'!$C$13)/100))</x:f>
      </x:c>
      <x:c r="CM852" s="178" t="str">
        <x:f>IF(C852="","",IF(COUNT(G852:CB852)=0,"",IF(COUNT(G852:CB852)&lt;74,"موقت - اطلاعات ناقص",IF(CL852&gt;=17,"عالی",IF(CL852&gt;=14,"خوب",IF(CL852&gt;=10,"متوسط","ضعیف"))))))</x:f>
      </x:c>
      <x:c r="CN852" s="178" t="n">
        <x:v>8</x:v>
      </x:c>
      <x:c r="CO852" s="142" t="n">
        <x:f>IF(C852="","",COUNT(G852:CB852)/74)</x:f>
        <x:v>0</x:v>
      </x:c>
      <x:c r="CP852" s="245"/>
    </x:row>
    <x:row r="853">
      <x:c r="A853" s="165" t="n">
        <x:v>849</x:v>
      </x:c>
      <x:c r="B853" s="233" t="str">
        <x:v>اسفند</x:v>
      </x:c>
      <x:c r="C853" s="233" t="n">
        <x:f>IF('دانش‌آموزان'!E75="","",'دانش‌آموزان'!B75)</x:f>
        <x:v>71</x:v>
      </x:c>
      <x:c r="D853" s="233" t="str">
        <x:f>IF('دانش‌آموزان'!C75="","",'دانش‌آموزان'!C75)</x:f>
        <x:v>4000000713</x:v>
      </x:c>
      <x:c r="E853" s="233" t="str">
        <x:f>IF('دانش‌آموزان'!E75="","",'دانش‌آموزان'!E75&amp;" "&amp;'دانش‌آموزان'!F75)</x:f>
        <x:v>پارسا موسوی</x:v>
      </x:c>
      <x:c r="F853" s="166" t="str">
        <x:f>IF('دانش‌آموزان'!I75="","",'دانش‌آموزان'!I75)</x:f>
        <x:v>sample-7-c</x:v>
      </x:c>
      <x:c r="G853" s="114"/>
      <x:c r="H853" s="115"/>
      <x:c r="I853" s="115"/>
      <x:c r="J853" s="115"/>
      <x:c r="K853" s="115"/>
      <x:c r="L853" s="115"/>
      <x:c r="M853" s="115"/>
      <x:c r="N853" s="115"/>
      <x:c r="O853" s="115"/>
      <x:c r="P853" s="115"/>
      <x:c r="Q853" s="115"/>
      <x:c r="R853" s="115"/>
      <x:c r="S853" s="115"/>
      <x:c r="T853" s="115"/>
      <x:c r="U853" s="115"/>
      <x:c r="V853" s="115"/>
      <x:c r="W853" s="115"/>
      <x:c r="X853" s="115"/>
      <x:c r="Y853" s="115"/>
      <x:c r="Z853" s="115"/>
      <x:c r="AA853" s="115"/>
      <x:c r="AB853" s="115"/>
      <x:c r="AC853" s="115"/>
      <x:c r="AD853" s="115"/>
      <x:c r="AE853" s="115"/>
      <x:c r="AF853" s="115"/>
      <x:c r="AG853" s="115"/>
      <x:c r="AH853" s="115"/>
      <x:c r="AI853" s="115"/>
      <x:c r="AJ853" s="115"/>
      <x:c r="AK853" s="115"/>
      <x:c r="AL853" s="115"/>
      <x:c r="AM853" s="115"/>
      <x:c r="AN853" s="115"/>
      <x:c r="AO853" s="115"/>
      <x:c r="AP853" s="115"/>
      <x:c r="AQ853" s="115"/>
      <x:c r="AR853" s="115"/>
      <x:c r="AS853" s="115"/>
      <x:c r="AT853" s="115"/>
      <x:c r="AU853" s="115"/>
      <x:c r="AV853" s="115"/>
      <x:c r="AW853" s="115"/>
      <x:c r="AX853" s="115"/>
      <x:c r="AY853" s="115"/>
      <x:c r="AZ853" s="115"/>
      <x:c r="BA853" s="115"/>
      <x:c r="BB853" s="115"/>
      <x:c r="BC853" s="115"/>
      <x:c r="BD853" s="115"/>
      <x:c r="BE853" s="115"/>
      <x:c r="BF853" s="115"/>
      <x:c r="BG853" s="115"/>
      <x:c r="BH853" s="115"/>
      <x:c r="BI853" s="115"/>
      <x:c r="BJ853" s="115"/>
      <x:c r="BK853" s="115"/>
      <x:c r="BL853" s="115"/>
      <x:c r="BM853" s="115"/>
      <x:c r="BN853" s="115"/>
      <x:c r="BO853" s="115"/>
      <x:c r="BP853" s="115"/>
      <x:c r="BQ853" s="115"/>
      <x:c r="BR853" s="115"/>
      <x:c r="BS853" s="115"/>
      <x:c r="BT853" s="115"/>
      <x:c r="BU853" s="115"/>
      <x:c r="BV853" s="115"/>
      <x:c r="BW853" s="115"/>
      <x:c r="BX853" s="115"/>
      <x:c r="BY853" s="115"/>
      <x:c r="BZ853" s="115"/>
      <x:c r="CA853" s="115"/>
      <x:c r="CB853" s="116"/>
      <x:c r="CC853" s="141" t="str">
        <x:f>IF(COUNT(G853:P853)=0,"",AVERAGE(G853:P853)*4)</x:f>
      </x:c>
      <x:c r="CD853" s="178" t="str">
        <x:f>IF(COUNT(Q853:Z853)=0,"",AVERAGE(Q853:Z853)*4)</x:f>
      </x:c>
      <x:c r="CE853" s="178" t="str">
        <x:f>IF(COUNT(AA853:AJ853)=0,"",AVERAGE(AA853:AJ853)*4)</x:f>
      </x:c>
      <x:c r="CF853" s="178" t="str">
        <x:f>IF(COUNT(AK853:AR853)=0,"",AVERAGE(AK853:AR853)*4)</x:f>
      </x:c>
      <x:c r="CG853" s="178" t="str">
        <x:f>IF(COUNT(AS853:AY853)=0,"",AVERAGE(AS853:AY853)*4)</x:f>
      </x:c>
      <x:c r="CH853" s="178" t="str">
        <x:f>IF(COUNT(AZ853:BG853)=0,"",AVERAGE(AZ853:BG853)*4)</x:f>
      </x:c>
      <x:c r="CI853" s="178" t="str">
        <x:f>IF(COUNT(BH853:BN853)=0,"",AVERAGE(BH853:BN853)*4)</x:f>
      </x:c>
      <x:c r="CJ853" s="178" t="str">
        <x:f>IF(COUNT(BO853:BU853)=0,"",AVERAGE(BO853:BU853)*4)</x:f>
      </x:c>
      <x:c r="CK853" s="178" t="str">
        <x:f>IF(COUNT(BV853:CB853)=0,"",AVERAGE(BV853:CB853)*4)</x:f>
      </x:c>
      <x:c r="CL853" s="178" t="str">
        <x:f>IF(C853="","",IF(COUNT(G853:CB853)&lt;74,"",(CC853*'تنظیمات وزن‌دهی'!$C$5+CD853*'تنظیمات وزن‌دهی'!$C$6+CE853*'تنظیمات وزن‌دهی'!$C$7+CF853*'تنظیمات وزن‌دهی'!$C$8+CG853*'تنظیمات وزن‌دهی'!$C$9+CH853*'تنظیمات وزن‌دهی'!$C$10+CI853*'تنظیمات وزن‌دهی'!$C$11+CJ853*'تنظیمات وزن‌دهی'!$C$12+CK853*'تنظیمات وزن‌دهی'!$C$13)/100))</x:f>
      </x:c>
      <x:c r="CM853" s="178" t="str">
        <x:f>IF(C853="","",IF(COUNT(G853:CB853)=0,"",IF(COUNT(G853:CB853)&lt;74,"موقت - اطلاعات ناقص",IF(CL853&gt;=17,"عالی",IF(CL853&gt;=14,"خوب",IF(CL853&gt;=10,"متوسط","ضعیف"))))))</x:f>
      </x:c>
      <x:c r="CN853" s="178" t="n">
        <x:v>9</x:v>
      </x:c>
      <x:c r="CO853" s="142" t="n">
        <x:f>IF(C853="","",COUNT(G853:CB853)/74)</x:f>
        <x:v>0</x:v>
      </x:c>
      <x:c r="CP853" s="245"/>
    </x:row>
    <x:row r="854">
      <x:c r="A854" s="165" t="n">
        <x:v>850</x:v>
      </x:c>
      <x:c r="B854" s="233" t="str">
        <x:v>فروردین</x:v>
      </x:c>
      <x:c r="C854" s="233" t="n">
        <x:f>IF('دانش‌آموزان'!E75="","",'دانش‌آموزان'!B75)</x:f>
        <x:v>71</x:v>
      </x:c>
      <x:c r="D854" s="233" t="str">
        <x:f>IF('دانش‌آموزان'!C75="","",'دانش‌آموزان'!C75)</x:f>
        <x:v>4000000713</x:v>
      </x:c>
      <x:c r="E854" s="233" t="str">
        <x:f>IF('دانش‌آموزان'!E75="","",'دانش‌آموزان'!E75&amp;" "&amp;'دانش‌آموزان'!F75)</x:f>
        <x:v>پارسا موسوی</x:v>
      </x:c>
      <x:c r="F854" s="166" t="str">
        <x:f>IF('دانش‌آموزان'!I75="","",'دانش‌آموزان'!I75)</x:f>
        <x:v>sample-7-c</x:v>
      </x:c>
      <x:c r="G854" s="114"/>
      <x:c r="H854" s="115"/>
      <x:c r="I854" s="115"/>
      <x:c r="J854" s="115"/>
      <x:c r="K854" s="115"/>
      <x:c r="L854" s="115"/>
      <x:c r="M854" s="115"/>
      <x:c r="N854" s="115"/>
      <x:c r="O854" s="115"/>
      <x:c r="P854" s="115"/>
      <x:c r="Q854" s="115"/>
      <x:c r="R854" s="115"/>
      <x:c r="S854" s="115"/>
      <x:c r="T854" s="115"/>
      <x:c r="U854" s="115"/>
      <x:c r="V854" s="115"/>
      <x:c r="W854" s="115"/>
      <x:c r="X854" s="115"/>
      <x:c r="Y854" s="115"/>
      <x:c r="Z854" s="115"/>
      <x:c r="AA854" s="115"/>
      <x:c r="AB854" s="115"/>
      <x:c r="AC854" s="115"/>
      <x:c r="AD854" s="115"/>
      <x:c r="AE854" s="115"/>
      <x:c r="AF854" s="115"/>
      <x:c r="AG854" s="115"/>
      <x:c r="AH854" s="115"/>
      <x:c r="AI854" s="115"/>
      <x:c r="AJ854" s="115"/>
      <x:c r="AK854" s="115"/>
      <x:c r="AL854" s="115"/>
      <x:c r="AM854" s="115"/>
      <x:c r="AN854" s="115"/>
      <x:c r="AO854" s="115"/>
      <x:c r="AP854" s="115"/>
      <x:c r="AQ854" s="115"/>
      <x:c r="AR854" s="115"/>
      <x:c r="AS854" s="115"/>
      <x:c r="AT854" s="115"/>
      <x:c r="AU854" s="115"/>
      <x:c r="AV854" s="115"/>
      <x:c r="AW854" s="115"/>
      <x:c r="AX854" s="115"/>
      <x:c r="AY854" s="115"/>
      <x:c r="AZ854" s="115"/>
      <x:c r="BA854" s="115"/>
      <x:c r="BB854" s="115"/>
      <x:c r="BC854" s="115"/>
      <x:c r="BD854" s="115"/>
      <x:c r="BE854" s="115"/>
      <x:c r="BF854" s="115"/>
      <x:c r="BG854" s="115"/>
      <x:c r="BH854" s="115"/>
      <x:c r="BI854" s="115"/>
      <x:c r="BJ854" s="115"/>
      <x:c r="BK854" s="115"/>
      <x:c r="BL854" s="115"/>
      <x:c r="BM854" s="115"/>
      <x:c r="BN854" s="115"/>
      <x:c r="BO854" s="115"/>
      <x:c r="BP854" s="115"/>
      <x:c r="BQ854" s="115"/>
      <x:c r="BR854" s="115"/>
      <x:c r="BS854" s="115"/>
      <x:c r="BT854" s="115"/>
      <x:c r="BU854" s="115"/>
      <x:c r="BV854" s="115"/>
      <x:c r="BW854" s="115"/>
      <x:c r="BX854" s="115"/>
      <x:c r="BY854" s="115"/>
      <x:c r="BZ854" s="115"/>
      <x:c r="CA854" s="115"/>
      <x:c r="CB854" s="116"/>
      <x:c r="CC854" s="141" t="str">
        <x:f>IF(COUNT(G854:P854)=0,"",AVERAGE(G854:P854)*4)</x:f>
      </x:c>
      <x:c r="CD854" s="178" t="str">
        <x:f>IF(COUNT(Q854:Z854)=0,"",AVERAGE(Q854:Z854)*4)</x:f>
      </x:c>
      <x:c r="CE854" s="178" t="str">
        <x:f>IF(COUNT(AA854:AJ854)=0,"",AVERAGE(AA854:AJ854)*4)</x:f>
      </x:c>
      <x:c r="CF854" s="178" t="str">
        <x:f>IF(COUNT(AK854:AR854)=0,"",AVERAGE(AK854:AR854)*4)</x:f>
      </x:c>
      <x:c r="CG854" s="178" t="str">
        <x:f>IF(COUNT(AS854:AY854)=0,"",AVERAGE(AS854:AY854)*4)</x:f>
      </x:c>
      <x:c r="CH854" s="178" t="str">
        <x:f>IF(COUNT(AZ854:BG854)=0,"",AVERAGE(AZ854:BG854)*4)</x:f>
      </x:c>
      <x:c r="CI854" s="178" t="str">
        <x:f>IF(COUNT(BH854:BN854)=0,"",AVERAGE(BH854:BN854)*4)</x:f>
      </x:c>
      <x:c r="CJ854" s="178" t="str">
        <x:f>IF(COUNT(BO854:BU854)=0,"",AVERAGE(BO854:BU854)*4)</x:f>
      </x:c>
      <x:c r="CK854" s="178" t="str">
        <x:f>IF(COUNT(BV854:CB854)=0,"",AVERAGE(BV854:CB854)*4)</x:f>
      </x:c>
      <x:c r="CL854" s="178" t="str">
        <x:f>IF(C854="","",IF(COUNT(G854:CB854)&lt;74,"",(CC854*'تنظیمات وزن‌دهی'!$C$5+CD854*'تنظیمات وزن‌دهی'!$C$6+CE854*'تنظیمات وزن‌دهی'!$C$7+CF854*'تنظیمات وزن‌دهی'!$C$8+CG854*'تنظیمات وزن‌دهی'!$C$9+CH854*'تنظیمات وزن‌دهی'!$C$10+CI854*'تنظیمات وزن‌دهی'!$C$11+CJ854*'تنظیمات وزن‌دهی'!$C$12+CK854*'تنظیمات وزن‌دهی'!$C$13)/100))</x:f>
      </x:c>
      <x:c r="CM854" s="178" t="str">
        <x:f>IF(C854="","",IF(COUNT(G854:CB854)=0,"",IF(COUNT(G854:CB854)&lt;74,"موقت - اطلاعات ناقص",IF(CL854&gt;=17,"عالی",IF(CL854&gt;=14,"خوب",IF(CL854&gt;=10,"متوسط","ضعیف"))))))</x:f>
      </x:c>
      <x:c r="CN854" s="178" t="n">
        <x:v>10</x:v>
      </x:c>
      <x:c r="CO854" s="142" t="n">
        <x:f>IF(C854="","",COUNT(G854:CB854)/74)</x:f>
        <x:v>0</x:v>
      </x:c>
      <x:c r="CP854" s="245"/>
    </x:row>
    <x:row r="855">
      <x:c r="A855" s="165" t="n">
        <x:v>851</x:v>
      </x:c>
      <x:c r="B855" s="233" t="str">
        <x:v>اردیبهشت</x:v>
      </x:c>
      <x:c r="C855" s="233" t="n">
        <x:f>IF('دانش‌آموزان'!E75="","",'دانش‌آموزان'!B75)</x:f>
        <x:v>71</x:v>
      </x:c>
      <x:c r="D855" s="233" t="str">
        <x:f>IF('دانش‌آموزان'!C75="","",'دانش‌آموزان'!C75)</x:f>
        <x:v>4000000713</x:v>
      </x:c>
      <x:c r="E855" s="233" t="str">
        <x:f>IF('دانش‌آموزان'!E75="","",'دانش‌آموزان'!E75&amp;" "&amp;'دانش‌آموزان'!F75)</x:f>
        <x:v>پارسا موسوی</x:v>
      </x:c>
      <x:c r="F855" s="166" t="str">
        <x:f>IF('دانش‌آموزان'!I75="","",'دانش‌آموزان'!I75)</x:f>
        <x:v>sample-7-c</x:v>
      </x:c>
      <x:c r="G855" s="114"/>
      <x:c r="H855" s="115"/>
      <x:c r="I855" s="115"/>
      <x:c r="J855" s="115"/>
      <x:c r="K855" s="115"/>
      <x:c r="L855" s="115"/>
      <x:c r="M855" s="115"/>
      <x:c r="N855" s="115"/>
      <x:c r="O855" s="115"/>
      <x:c r="P855" s="115"/>
      <x:c r="Q855" s="115"/>
      <x:c r="R855" s="115"/>
      <x:c r="S855" s="115"/>
      <x:c r="T855" s="115"/>
      <x:c r="U855" s="115"/>
      <x:c r="V855" s="115"/>
      <x:c r="W855" s="115"/>
      <x:c r="X855" s="115"/>
      <x:c r="Y855" s="115"/>
      <x:c r="Z855" s="115"/>
      <x:c r="AA855" s="115"/>
      <x:c r="AB855" s="115"/>
      <x:c r="AC855" s="115"/>
      <x:c r="AD855" s="115"/>
      <x:c r="AE855" s="115"/>
      <x:c r="AF855" s="115"/>
      <x:c r="AG855" s="115"/>
      <x:c r="AH855" s="115"/>
      <x:c r="AI855" s="115"/>
      <x:c r="AJ855" s="115"/>
      <x:c r="AK855" s="115"/>
      <x:c r="AL855" s="115"/>
      <x:c r="AM855" s="115"/>
      <x:c r="AN855" s="115"/>
      <x:c r="AO855" s="115"/>
      <x:c r="AP855" s="115"/>
      <x:c r="AQ855" s="115"/>
      <x:c r="AR855" s="115"/>
      <x:c r="AS855" s="115"/>
      <x:c r="AT855" s="115"/>
      <x:c r="AU855" s="115"/>
      <x:c r="AV855" s="115"/>
      <x:c r="AW855" s="115"/>
      <x:c r="AX855" s="115"/>
      <x:c r="AY855" s="115"/>
      <x:c r="AZ855" s="115"/>
      <x:c r="BA855" s="115"/>
      <x:c r="BB855" s="115"/>
      <x:c r="BC855" s="115"/>
      <x:c r="BD855" s="115"/>
      <x:c r="BE855" s="115"/>
      <x:c r="BF855" s="115"/>
      <x:c r="BG855" s="115"/>
      <x:c r="BH855" s="115"/>
      <x:c r="BI855" s="115"/>
      <x:c r="BJ855" s="115"/>
      <x:c r="BK855" s="115"/>
      <x:c r="BL855" s="115"/>
      <x:c r="BM855" s="115"/>
      <x:c r="BN855" s="115"/>
      <x:c r="BO855" s="115"/>
      <x:c r="BP855" s="115"/>
      <x:c r="BQ855" s="115"/>
      <x:c r="BR855" s="115"/>
      <x:c r="BS855" s="115"/>
      <x:c r="BT855" s="115"/>
      <x:c r="BU855" s="115"/>
      <x:c r="BV855" s="115"/>
      <x:c r="BW855" s="115"/>
      <x:c r="BX855" s="115"/>
      <x:c r="BY855" s="115"/>
      <x:c r="BZ855" s="115"/>
      <x:c r="CA855" s="115"/>
      <x:c r="CB855" s="116"/>
      <x:c r="CC855" s="141" t="str">
        <x:f>IF(COUNT(G855:P855)=0,"",AVERAGE(G855:P855)*4)</x:f>
      </x:c>
      <x:c r="CD855" s="178" t="str">
        <x:f>IF(COUNT(Q855:Z855)=0,"",AVERAGE(Q855:Z855)*4)</x:f>
      </x:c>
      <x:c r="CE855" s="178" t="str">
        <x:f>IF(COUNT(AA855:AJ855)=0,"",AVERAGE(AA855:AJ855)*4)</x:f>
      </x:c>
      <x:c r="CF855" s="178" t="str">
        <x:f>IF(COUNT(AK855:AR855)=0,"",AVERAGE(AK855:AR855)*4)</x:f>
      </x:c>
      <x:c r="CG855" s="178" t="str">
        <x:f>IF(COUNT(AS855:AY855)=0,"",AVERAGE(AS855:AY855)*4)</x:f>
      </x:c>
      <x:c r="CH855" s="178" t="str">
        <x:f>IF(COUNT(AZ855:BG855)=0,"",AVERAGE(AZ855:BG855)*4)</x:f>
      </x:c>
      <x:c r="CI855" s="178" t="str">
        <x:f>IF(COUNT(BH855:BN855)=0,"",AVERAGE(BH855:BN855)*4)</x:f>
      </x:c>
      <x:c r="CJ855" s="178" t="str">
        <x:f>IF(COUNT(BO855:BU855)=0,"",AVERAGE(BO855:BU855)*4)</x:f>
      </x:c>
      <x:c r="CK855" s="178" t="str">
        <x:f>IF(COUNT(BV855:CB855)=0,"",AVERAGE(BV855:CB855)*4)</x:f>
      </x:c>
      <x:c r="CL855" s="178" t="str">
        <x:f>IF(C855="","",IF(COUNT(G855:CB855)&lt;74,"",(CC855*'تنظیمات وزن‌دهی'!$C$5+CD855*'تنظیمات وزن‌دهی'!$C$6+CE855*'تنظیمات وزن‌دهی'!$C$7+CF855*'تنظیمات وزن‌دهی'!$C$8+CG855*'تنظیمات وزن‌دهی'!$C$9+CH855*'تنظیمات وزن‌دهی'!$C$10+CI855*'تنظیمات وزن‌دهی'!$C$11+CJ855*'تنظیمات وزن‌دهی'!$C$12+CK855*'تنظیمات وزن‌دهی'!$C$13)/100))</x:f>
      </x:c>
      <x:c r="CM855" s="178" t="str">
        <x:f>IF(C855="","",IF(COUNT(G855:CB855)=0,"",IF(COUNT(G855:CB855)&lt;74,"موقت - اطلاعات ناقص",IF(CL855&gt;=17,"عالی",IF(CL855&gt;=14,"خوب",IF(CL855&gt;=10,"متوسط","ضعیف"))))))</x:f>
      </x:c>
      <x:c r="CN855" s="178" t="n">
        <x:v>11</x:v>
      </x:c>
      <x:c r="CO855" s="142" t="n">
        <x:f>IF(C855="","",COUNT(G855:CB855)/74)</x:f>
        <x:v>0</x:v>
      </x:c>
      <x:c r="CP855" s="245"/>
    </x:row>
    <x:row r="856">
      <x:c r="A856" s="165" t="n">
        <x:v>852</x:v>
      </x:c>
      <x:c r="B856" s="233" t="str">
        <x:v>خرداد</x:v>
      </x:c>
      <x:c r="C856" s="233" t="n">
        <x:f>IF('دانش‌آموزان'!E75="","",'دانش‌آموزان'!B75)</x:f>
        <x:v>71</x:v>
      </x:c>
      <x:c r="D856" s="233" t="str">
        <x:f>IF('دانش‌آموزان'!C75="","",'دانش‌آموزان'!C75)</x:f>
        <x:v>4000000713</x:v>
      </x:c>
      <x:c r="E856" s="233" t="str">
        <x:f>IF('دانش‌آموزان'!E75="","",'دانش‌آموزان'!E75&amp;" "&amp;'دانش‌آموزان'!F75)</x:f>
        <x:v>پارسا موسوی</x:v>
      </x:c>
      <x:c r="F856" s="166" t="str">
        <x:f>IF('دانش‌آموزان'!I75="","",'دانش‌آموزان'!I75)</x:f>
        <x:v>sample-7-c</x:v>
      </x:c>
      <x:c r="G856" s="114"/>
      <x:c r="H856" s="115"/>
      <x:c r="I856" s="115"/>
      <x:c r="J856" s="115"/>
      <x:c r="K856" s="115"/>
      <x:c r="L856" s="115"/>
      <x:c r="M856" s="115"/>
      <x:c r="N856" s="115"/>
      <x:c r="O856" s="115"/>
      <x:c r="P856" s="115"/>
      <x:c r="Q856" s="115"/>
      <x:c r="R856" s="115"/>
      <x:c r="S856" s="115"/>
      <x:c r="T856" s="115"/>
      <x:c r="U856" s="115"/>
      <x:c r="V856" s="115"/>
      <x:c r="W856" s="115"/>
      <x:c r="X856" s="115"/>
      <x:c r="Y856" s="115"/>
      <x:c r="Z856" s="115"/>
      <x:c r="AA856" s="115"/>
      <x:c r="AB856" s="115"/>
      <x:c r="AC856" s="115"/>
      <x:c r="AD856" s="115"/>
      <x:c r="AE856" s="115"/>
      <x:c r="AF856" s="115"/>
      <x:c r="AG856" s="115"/>
      <x:c r="AH856" s="115"/>
      <x:c r="AI856" s="115"/>
      <x:c r="AJ856" s="115"/>
      <x:c r="AK856" s="115"/>
      <x:c r="AL856" s="115"/>
      <x:c r="AM856" s="115"/>
      <x:c r="AN856" s="115"/>
      <x:c r="AO856" s="115"/>
      <x:c r="AP856" s="115"/>
      <x:c r="AQ856" s="115"/>
      <x:c r="AR856" s="115"/>
      <x:c r="AS856" s="115"/>
      <x:c r="AT856" s="115"/>
      <x:c r="AU856" s="115"/>
      <x:c r="AV856" s="115"/>
      <x:c r="AW856" s="115"/>
      <x:c r="AX856" s="115"/>
      <x:c r="AY856" s="115"/>
      <x:c r="AZ856" s="115"/>
      <x:c r="BA856" s="115"/>
      <x:c r="BB856" s="115"/>
      <x:c r="BC856" s="115"/>
      <x:c r="BD856" s="115"/>
      <x:c r="BE856" s="115"/>
      <x:c r="BF856" s="115"/>
      <x:c r="BG856" s="115"/>
      <x:c r="BH856" s="115"/>
      <x:c r="BI856" s="115"/>
      <x:c r="BJ856" s="115"/>
      <x:c r="BK856" s="115"/>
      <x:c r="BL856" s="115"/>
      <x:c r="BM856" s="115"/>
      <x:c r="BN856" s="115"/>
      <x:c r="BO856" s="115"/>
      <x:c r="BP856" s="115"/>
      <x:c r="BQ856" s="115"/>
      <x:c r="BR856" s="115"/>
      <x:c r="BS856" s="115"/>
      <x:c r="BT856" s="115"/>
      <x:c r="BU856" s="115"/>
      <x:c r="BV856" s="115"/>
      <x:c r="BW856" s="115"/>
      <x:c r="BX856" s="115"/>
      <x:c r="BY856" s="115"/>
      <x:c r="BZ856" s="115"/>
      <x:c r="CA856" s="115"/>
      <x:c r="CB856" s="116"/>
      <x:c r="CC856" s="141" t="str">
        <x:f>IF(COUNT(G856:P856)=0,"",AVERAGE(G856:P856)*4)</x:f>
      </x:c>
      <x:c r="CD856" s="178" t="str">
        <x:f>IF(COUNT(Q856:Z856)=0,"",AVERAGE(Q856:Z856)*4)</x:f>
      </x:c>
      <x:c r="CE856" s="178" t="str">
        <x:f>IF(COUNT(AA856:AJ856)=0,"",AVERAGE(AA856:AJ856)*4)</x:f>
      </x:c>
      <x:c r="CF856" s="178" t="str">
        <x:f>IF(COUNT(AK856:AR856)=0,"",AVERAGE(AK856:AR856)*4)</x:f>
      </x:c>
      <x:c r="CG856" s="178" t="str">
        <x:f>IF(COUNT(AS856:AY856)=0,"",AVERAGE(AS856:AY856)*4)</x:f>
      </x:c>
      <x:c r="CH856" s="178" t="str">
        <x:f>IF(COUNT(AZ856:BG856)=0,"",AVERAGE(AZ856:BG856)*4)</x:f>
      </x:c>
      <x:c r="CI856" s="178" t="str">
        <x:f>IF(COUNT(BH856:BN856)=0,"",AVERAGE(BH856:BN856)*4)</x:f>
      </x:c>
      <x:c r="CJ856" s="178" t="str">
        <x:f>IF(COUNT(BO856:BU856)=0,"",AVERAGE(BO856:BU856)*4)</x:f>
      </x:c>
      <x:c r="CK856" s="178" t="str">
        <x:f>IF(COUNT(BV856:CB856)=0,"",AVERAGE(BV856:CB856)*4)</x:f>
      </x:c>
      <x:c r="CL856" s="178" t="str">
        <x:f>IF(C856="","",IF(COUNT(G856:CB856)&lt;74,"",(CC856*'تنظیمات وزن‌دهی'!$C$5+CD856*'تنظیمات وزن‌دهی'!$C$6+CE856*'تنظیمات وزن‌دهی'!$C$7+CF856*'تنظیمات وزن‌دهی'!$C$8+CG856*'تنظیمات وزن‌دهی'!$C$9+CH856*'تنظیمات وزن‌دهی'!$C$10+CI856*'تنظیمات وزن‌دهی'!$C$11+CJ856*'تنظیمات وزن‌دهی'!$C$12+CK856*'تنظیمات وزن‌دهی'!$C$13)/100))</x:f>
      </x:c>
      <x:c r="CM856" s="178" t="str">
        <x:f>IF(C856="","",IF(COUNT(G856:CB856)=0,"",IF(COUNT(G856:CB856)&lt;74,"موقت - اطلاعات ناقص",IF(CL856&gt;=17,"عالی",IF(CL856&gt;=14,"خوب",IF(CL856&gt;=10,"متوسط","ضعیف"))))))</x:f>
      </x:c>
      <x:c r="CN856" s="178" t="n">
        <x:v>12</x:v>
      </x:c>
      <x:c r="CO856" s="142" t="n">
        <x:f>IF(C856="","",COUNT(G856:CB856)/74)</x:f>
        <x:v>0</x:v>
      </x:c>
      <x:c r="CP856" s="245"/>
    </x:row>
    <x:row r="857">
      <x:c r="A857" s="165" t="n">
        <x:v>853</x:v>
      </x:c>
      <x:c r="B857" s="233" t="str">
        <x:v>تیر</x:v>
      </x:c>
      <x:c r="C857" s="233" t="n">
        <x:f>IF('دانش‌آموزان'!E76="","",'دانش‌آموزان'!B76)</x:f>
        <x:v>72</x:v>
      </x:c>
      <x:c r="D857" s="233" t="str">
        <x:f>IF('دانش‌آموزان'!C76="","",'دانش‌آموزان'!C76)</x:f>
        <x:v>4000000721</x:v>
      </x:c>
      <x:c r="E857" s="233" t="str">
        <x:f>IF('دانش‌آموزان'!E76="","",'دانش‌آموزان'!E76&amp;" "&amp;'دانش‌آموزان'!F76)</x:f>
        <x:v>رها یوسفی</x:v>
      </x:c>
      <x:c r="F857" s="166" t="str">
        <x:f>IF('دانش‌آموزان'!I76="","",'دانش‌آموزان'!I76)</x:f>
        <x:v>sample-7-c</x:v>
      </x:c>
      <x:c r="G857" s="114" t="n">
        <x:v>4</x:v>
      </x:c>
      <x:c r="H857" s="115" t="n">
        <x:v>5</x:v>
      </x:c>
      <x:c r="I857" s="115" t="n">
        <x:v>3</x:v>
      </x:c>
      <x:c r="J857" s="115" t="n">
        <x:v>5</x:v>
      </x:c>
      <x:c r="K857" s="115" t="n">
        <x:v>3</x:v>
      </x:c>
      <x:c r="L857" s="115" t="n">
        <x:v>4</x:v>
      </x:c>
      <x:c r="M857" s="115" t="n">
        <x:v>3</x:v>
      </x:c>
      <x:c r="N857" s="115" t="n">
        <x:v>4</x:v>
      </x:c>
      <x:c r="O857" s="115" t="n">
        <x:v>2</x:v>
      </x:c>
      <x:c r="P857" s="115" t="n">
        <x:v>4</x:v>
      </x:c>
      <x:c r="Q857" s="115" t="n">
        <x:v>5</x:v>
      </x:c>
      <x:c r="R857" s="115" t="n">
        <x:v>4</x:v>
      </x:c>
      <x:c r="S857" s="115" t="n">
        <x:v>5</x:v>
      </x:c>
      <x:c r="T857" s="115" t="n">
        <x:v>3</x:v>
      </x:c>
      <x:c r="U857" s="115" t="n">
        <x:v>5</x:v>
      </x:c>
      <x:c r="V857" s="115" t="n">
        <x:v>3</x:v>
      </x:c>
      <x:c r="W857" s="115" t="n">
        <x:v>4</x:v>
      </x:c>
      <x:c r="X857" s="115" t="n">
        <x:v>3</x:v>
      </x:c>
      <x:c r="Y857" s="115" t="n">
        <x:v>4</x:v>
      </x:c>
      <x:c r="Z857" s="115" t="n">
        <x:v>2</x:v>
      </x:c>
      <x:c r="AA857" s="115" t="n">
        <x:v>4</x:v>
      </x:c>
      <x:c r="AB857" s="115" t="n">
        <x:v>5</x:v>
      </x:c>
      <x:c r="AC857" s="115" t="n">
        <x:v>4</x:v>
      </x:c>
      <x:c r="AD857" s="115" t="n">
        <x:v>5</x:v>
      </x:c>
      <x:c r="AE857" s="115" t="n">
        <x:v>3</x:v>
      </x:c>
      <x:c r="AF857" s="115" t="n">
        <x:v>5</x:v>
      </x:c>
      <x:c r="AG857" s="115" t="n">
        <x:v>3</x:v>
      </x:c>
      <x:c r="AH857" s="115" t="n">
        <x:v>4</x:v>
      </x:c>
      <x:c r="AI857" s="115" t="n">
        <x:v>3</x:v>
      </x:c>
      <x:c r="AJ857" s="115" t="n">
        <x:v>4</x:v>
      </x:c>
      <x:c r="AK857" s="115" t="n">
        <x:v>2</x:v>
      </x:c>
      <x:c r="AL857" s="115" t="n">
        <x:v>4</x:v>
      </x:c>
      <x:c r="AM857" s="115" t="n">
        <x:v>5</x:v>
      </x:c>
      <x:c r="AN857" s="115" t="n">
        <x:v>4</x:v>
      </x:c>
      <x:c r="AO857" s="115" t="n">
        <x:v>5</x:v>
      </x:c>
      <x:c r="AP857" s="115" t="n">
        <x:v>3</x:v>
      </x:c>
      <x:c r="AQ857" s="115" t="n">
        <x:v>5</x:v>
      </x:c>
      <x:c r="AR857" s="115" t="n">
        <x:v>3</x:v>
      </x:c>
      <x:c r="AS857" s="115" t="n">
        <x:v>4</x:v>
      </x:c>
      <x:c r="AT857" s="115" t="n">
        <x:v>3</x:v>
      </x:c>
      <x:c r="AU857" s="115" t="n">
        <x:v>4</x:v>
      </x:c>
      <x:c r="AV857" s="115" t="n">
        <x:v>2</x:v>
      </x:c>
      <x:c r="AW857" s="115" t="n">
        <x:v>4</x:v>
      </x:c>
      <x:c r="AX857" s="115" t="n">
        <x:v>5</x:v>
      </x:c>
      <x:c r="AY857" s="115" t="n">
        <x:v>4</x:v>
      </x:c>
      <x:c r="AZ857" s="115" t="n">
        <x:v>5</x:v>
      </x:c>
      <x:c r="BA857" s="115" t="n">
        <x:v>3</x:v>
      </x:c>
      <x:c r="BB857" s="115" t="n">
        <x:v>5</x:v>
      </x:c>
      <x:c r="BC857" s="115" t="n">
        <x:v>3</x:v>
      </x:c>
      <x:c r="BD857" s="115" t="n">
        <x:v>4</x:v>
      </x:c>
      <x:c r="BE857" s="115" t="n">
        <x:v>3</x:v>
      </x:c>
      <x:c r="BF857" s="115" t="n">
        <x:v>4</x:v>
      </x:c>
      <x:c r="BG857" s="115" t="n">
        <x:v>2</x:v>
      </x:c>
      <x:c r="BH857" s="115" t="n">
        <x:v>4</x:v>
      </x:c>
      <x:c r="BI857" s="115" t="n">
        <x:v>5</x:v>
      </x:c>
      <x:c r="BJ857" s="115" t="n">
        <x:v>4</x:v>
      </x:c>
      <x:c r="BK857" s="115" t="n">
        <x:v>5</x:v>
      </x:c>
      <x:c r="BL857" s="115" t="n">
        <x:v>3</x:v>
      </x:c>
      <x:c r="BM857" s="115" t="n">
        <x:v>5</x:v>
      </x:c>
      <x:c r="BN857" s="115" t="n">
        <x:v>3</x:v>
      </x:c>
      <x:c r="BO857" s="115" t="n">
        <x:v>4</x:v>
      </x:c>
      <x:c r="BP857" s="115" t="n">
        <x:v>3</x:v>
      </x:c>
      <x:c r="BQ857" s="115" t="n">
        <x:v>4</x:v>
      </x:c>
      <x:c r="BR857" s="115" t="n">
        <x:v>2</x:v>
      </x:c>
      <x:c r="BS857" s="115" t="n">
        <x:v>4</x:v>
      </x:c>
      <x:c r="BT857" s="115" t="n">
        <x:v>5</x:v>
      </x:c>
      <x:c r="BU857" s="115" t="n">
        <x:v>4</x:v>
      </x:c>
      <x:c r="BV857" s="115" t="n">
        <x:v>5</x:v>
      </x:c>
      <x:c r="BW857" s="115" t="n">
        <x:v>3</x:v>
      </x:c>
      <x:c r="BX857" s="115" t="n">
        <x:v>5</x:v>
      </x:c>
      <x:c r="BY857" s="115" t="n">
        <x:v>3</x:v>
      </x:c>
      <x:c r="BZ857" s="115" t="n">
        <x:v>4</x:v>
      </x:c>
      <x:c r="CA857" s="115" t="n">
        <x:v>3</x:v>
      </x:c>
      <x:c r="CB857" s="116" t="n">
        <x:v>4</x:v>
      </x:c>
      <x:c r="CC857" s="141" t="n">
        <x:f>IF(COUNT(G857:P857)=0,"",AVERAGE(G857:P857)*4)</x:f>
        <x:v>14.8</x:v>
      </x:c>
      <x:c r="CD857" s="178" t="n">
        <x:f>IF(COUNT(Q857:Z857)=0,"",AVERAGE(Q857:Z857)*4)</x:f>
        <x:v>15.2</x:v>
      </x:c>
      <x:c r="CE857" s="178" t="n">
        <x:f>IF(COUNT(AA857:AJ857)=0,"",AVERAGE(AA857:AJ857)*4)</x:f>
        <x:v>16</x:v>
      </x:c>
      <x:c r="CF857" s="178" t="n">
        <x:f>IF(COUNT(AK857:AR857)=0,"",AVERAGE(AK857:AR857)*4)</x:f>
        <x:v>15.5</x:v>
      </x:c>
      <x:c r="CG857" s="178" t="n">
        <x:f>IF(COUNT(AS857:AY857)=0,"",AVERAGE(AS857:AY857)*4)</x:f>
        <x:v>14.857142857142858</x:v>
      </x:c>
      <x:c r="CH857" s="178" t="n">
        <x:f>IF(COUNT(AZ857:BG857)=0,"",AVERAGE(AZ857:BG857)*4)</x:f>
        <x:v>14.5</x:v>
      </x:c>
      <x:c r="CI857" s="178" t="n">
        <x:f>IF(COUNT(BH857:BN857)=0,"",AVERAGE(BH857:BN857)*4)</x:f>
        <x:v>16.571428571428573</x:v>
      </x:c>
      <x:c r="CJ857" s="178" t="n">
        <x:f>IF(COUNT(BO857:BU857)=0,"",AVERAGE(BO857:BU857)*4)</x:f>
        <x:v>14.857142857142858</x:v>
      </x:c>
      <x:c r="CK857" s="178" t="n">
        <x:f>IF(COUNT(BV857:CB857)=0,"",AVERAGE(BV857:CB857)*4)</x:f>
        <x:v>15.428571428571429</x:v>
      </x:c>
      <x:c r="CL857" s="178" t="n">
        <x:f>IF(C857="","",IF(COUNT(G857:CB857)&lt;74,"",(CC857*'تنظیمات وزن‌دهی'!$C$5+CD857*'تنظیمات وزن‌دهی'!$C$6+CE857*'تنظیمات وزن‌دهی'!$C$7+CF857*'تنظیمات وزن‌دهی'!$C$8+CG857*'تنظیمات وزن‌دهی'!$C$9+CH857*'تنظیمات وزن‌دهی'!$C$10+CI857*'تنظیمات وزن‌دهی'!$C$11+CJ857*'تنظیمات وزن‌دهی'!$C$12+CK857*'تنظیمات وزن‌دهی'!$C$13)/100))</x:f>
        <x:v>15.29642857142857</x:v>
      </x:c>
      <x:c r="CM857" s="178" t="str">
        <x:f>IF(C857="","",IF(COUNT(G857:CB857)=0,"",IF(COUNT(G857:CB857)&lt;74,"موقت - اطلاعات ناقص",IF(CL857&gt;=17,"عالی",IF(CL857&gt;=14,"خوب",IF(CL857&gt;=10,"متوسط","ضعیف"))))))</x:f>
        <x:v>خوب</x:v>
      </x:c>
      <x:c r="CN857" s="178" t="n">
        <x:v>1</x:v>
      </x:c>
      <x:c r="CO857" s="142" t="n">
        <x:f>IF(C857="","",COUNT(G857:CB857)/74)</x:f>
        <x:v>1</x:v>
      </x:c>
      <x:c r="CP857" s="245" t="str">
        <x:v>داده نمونه کامل برای ماه تیر - دانش‌آموز شماره 72</x:v>
      </x:c>
    </x:row>
    <x:row r="858">
      <x:c r="A858" s="165" t="n">
        <x:v>854</x:v>
      </x:c>
      <x:c r="B858" s="233" t="str">
        <x:v>مرداد</x:v>
      </x:c>
      <x:c r="C858" s="233" t="n">
        <x:f>IF('دانش‌آموزان'!E76="","",'دانش‌آموزان'!B76)</x:f>
        <x:v>72</x:v>
      </x:c>
      <x:c r="D858" s="233" t="str">
        <x:f>IF('دانش‌آموزان'!C76="","",'دانش‌آموزان'!C76)</x:f>
        <x:v>4000000721</x:v>
      </x:c>
      <x:c r="E858" s="233" t="str">
        <x:f>IF('دانش‌آموزان'!E76="","",'دانش‌آموزان'!E76&amp;" "&amp;'دانش‌آموزان'!F76)</x:f>
        <x:v>رها یوسفی</x:v>
      </x:c>
      <x:c r="F858" s="166" t="str">
        <x:f>IF('دانش‌آموزان'!I76="","",'دانش‌آموزان'!I76)</x:f>
        <x:v>sample-7-c</x:v>
      </x:c>
      <x:c r="G858" s="114"/>
      <x:c r="H858" s="115"/>
      <x:c r="I858" s="115"/>
      <x:c r="J858" s="115"/>
      <x:c r="K858" s="115"/>
      <x:c r="L858" s="115"/>
      <x:c r="M858" s="115"/>
      <x:c r="N858" s="115"/>
      <x:c r="O858" s="115"/>
      <x:c r="P858" s="115"/>
      <x:c r="Q858" s="115"/>
      <x:c r="R858" s="115"/>
      <x:c r="S858" s="115"/>
      <x:c r="T858" s="115"/>
      <x:c r="U858" s="115"/>
      <x:c r="V858" s="115"/>
      <x:c r="W858" s="115"/>
      <x:c r="X858" s="115"/>
      <x:c r="Y858" s="115"/>
      <x:c r="Z858" s="115"/>
      <x:c r="AA858" s="115"/>
      <x:c r="AB858" s="115"/>
      <x:c r="AC858" s="115"/>
      <x:c r="AD858" s="115"/>
      <x:c r="AE858" s="115"/>
      <x:c r="AF858" s="115"/>
      <x:c r="AG858" s="115"/>
      <x:c r="AH858" s="115"/>
      <x:c r="AI858" s="115"/>
      <x:c r="AJ858" s="115"/>
      <x:c r="AK858" s="115"/>
      <x:c r="AL858" s="115"/>
      <x:c r="AM858" s="115"/>
      <x:c r="AN858" s="115"/>
      <x:c r="AO858" s="115"/>
      <x:c r="AP858" s="115"/>
      <x:c r="AQ858" s="115"/>
      <x:c r="AR858" s="115"/>
      <x:c r="AS858" s="115"/>
      <x:c r="AT858" s="115"/>
      <x:c r="AU858" s="115"/>
      <x:c r="AV858" s="115"/>
      <x:c r="AW858" s="115"/>
      <x:c r="AX858" s="115"/>
      <x:c r="AY858" s="115"/>
      <x:c r="AZ858" s="115"/>
      <x:c r="BA858" s="115"/>
      <x:c r="BB858" s="115"/>
      <x:c r="BC858" s="115"/>
      <x:c r="BD858" s="115"/>
      <x:c r="BE858" s="115"/>
      <x:c r="BF858" s="115"/>
      <x:c r="BG858" s="115"/>
      <x:c r="BH858" s="115"/>
      <x:c r="BI858" s="115"/>
      <x:c r="BJ858" s="115"/>
      <x:c r="BK858" s="115"/>
      <x:c r="BL858" s="115"/>
      <x:c r="BM858" s="115"/>
      <x:c r="BN858" s="115"/>
      <x:c r="BO858" s="115"/>
      <x:c r="BP858" s="115"/>
      <x:c r="BQ858" s="115"/>
      <x:c r="BR858" s="115"/>
      <x:c r="BS858" s="115"/>
      <x:c r="BT858" s="115"/>
      <x:c r="BU858" s="115"/>
      <x:c r="BV858" s="115"/>
      <x:c r="BW858" s="115"/>
      <x:c r="BX858" s="115"/>
      <x:c r="BY858" s="115"/>
      <x:c r="BZ858" s="115"/>
      <x:c r="CA858" s="115"/>
      <x:c r="CB858" s="116"/>
      <x:c r="CC858" s="141" t="str">
        <x:f>IF(COUNT(G858:P858)=0,"",AVERAGE(G858:P858)*4)</x:f>
      </x:c>
      <x:c r="CD858" s="178" t="str">
        <x:f>IF(COUNT(Q858:Z858)=0,"",AVERAGE(Q858:Z858)*4)</x:f>
      </x:c>
      <x:c r="CE858" s="178" t="str">
        <x:f>IF(COUNT(AA858:AJ858)=0,"",AVERAGE(AA858:AJ858)*4)</x:f>
      </x:c>
      <x:c r="CF858" s="178" t="str">
        <x:f>IF(COUNT(AK858:AR858)=0,"",AVERAGE(AK858:AR858)*4)</x:f>
      </x:c>
      <x:c r="CG858" s="178" t="str">
        <x:f>IF(COUNT(AS858:AY858)=0,"",AVERAGE(AS858:AY858)*4)</x:f>
      </x:c>
      <x:c r="CH858" s="178" t="str">
        <x:f>IF(COUNT(AZ858:BG858)=0,"",AVERAGE(AZ858:BG858)*4)</x:f>
      </x:c>
      <x:c r="CI858" s="178" t="str">
        <x:f>IF(COUNT(BH858:BN858)=0,"",AVERAGE(BH858:BN858)*4)</x:f>
      </x:c>
      <x:c r="CJ858" s="178" t="str">
        <x:f>IF(COUNT(BO858:BU858)=0,"",AVERAGE(BO858:BU858)*4)</x:f>
      </x:c>
      <x:c r="CK858" s="178" t="str">
        <x:f>IF(COUNT(BV858:CB858)=0,"",AVERAGE(BV858:CB858)*4)</x:f>
      </x:c>
      <x:c r="CL858" s="178" t="str">
        <x:f>IF(C858="","",IF(COUNT(G858:CB858)&lt;74,"",(CC858*'تنظیمات وزن‌دهی'!$C$5+CD858*'تنظیمات وزن‌دهی'!$C$6+CE858*'تنظیمات وزن‌دهی'!$C$7+CF858*'تنظیمات وزن‌دهی'!$C$8+CG858*'تنظیمات وزن‌دهی'!$C$9+CH858*'تنظیمات وزن‌دهی'!$C$10+CI858*'تنظیمات وزن‌دهی'!$C$11+CJ858*'تنظیمات وزن‌دهی'!$C$12+CK858*'تنظیمات وزن‌دهی'!$C$13)/100))</x:f>
      </x:c>
      <x:c r="CM858" s="178" t="str">
        <x:f>IF(C858="","",IF(COUNT(G858:CB858)=0,"",IF(COUNT(G858:CB858)&lt;74,"موقت - اطلاعات ناقص",IF(CL858&gt;=17,"عالی",IF(CL858&gt;=14,"خوب",IF(CL858&gt;=10,"متوسط","ضعیف"))))))</x:f>
      </x:c>
      <x:c r="CN858" s="178" t="n">
        <x:v>2</x:v>
      </x:c>
      <x:c r="CO858" s="142" t="n">
        <x:f>IF(C858="","",COUNT(G858:CB858)/74)</x:f>
        <x:v>0</x:v>
      </x:c>
      <x:c r="CP858" s="245"/>
    </x:row>
    <x:row r="859">
      <x:c r="A859" s="165" t="n">
        <x:v>855</x:v>
      </x:c>
      <x:c r="B859" s="233" t="str">
        <x:v>شهریور</x:v>
      </x:c>
      <x:c r="C859" s="233" t="n">
        <x:f>IF('دانش‌آموزان'!E76="","",'دانش‌آموزان'!B76)</x:f>
        <x:v>72</x:v>
      </x:c>
      <x:c r="D859" s="233" t="str">
        <x:f>IF('دانش‌آموزان'!C76="","",'دانش‌آموزان'!C76)</x:f>
        <x:v>4000000721</x:v>
      </x:c>
      <x:c r="E859" s="233" t="str">
        <x:f>IF('دانش‌آموزان'!E76="","",'دانش‌آموزان'!E76&amp;" "&amp;'دانش‌آموزان'!F76)</x:f>
        <x:v>رها یوسفی</x:v>
      </x:c>
      <x:c r="F859" s="166" t="str">
        <x:f>IF('دانش‌آموزان'!I76="","",'دانش‌آموزان'!I76)</x:f>
        <x:v>sample-7-c</x:v>
      </x:c>
      <x:c r="G859" s="114"/>
      <x:c r="H859" s="115"/>
      <x:c r="I859" s="115"/>
      <x:c r="J859" s="115"/>
      <x:c r="K859" s="115"/>
      <x:c r="L859" s="115"/>
      <x:c r="M859" s="115"/>
      <x:c r="N859" s="115"/>
      <x:c r="O859" s="115"/>
      <x:c r="P859" s="115"/>
      <x:c r="Q859" s="115"/>
      <x:c r="R859" s="115"/>
      <x:c r="S859" s="115"/>
      <x:c r="T859" s="115"/>
      <x:c r="U859" s="115"/>
      <x:c r="V859" s="115"/>
      <x:c r="W859" s="115"/>
      <x:c r="X859" s="115"/>
      <x:c r="Y859" s="115"/>
      <x:c r="Z859" s="115"/>
      <x:c r="AA859" s="115"/>
      <x:c r="AB859" s="115"/>
      <x:c r="AC859" s="115"/>
      <x:c r="AD859" s="115"/>
      <x:c r="AE859" s="115"/>
      <x:c r="AF859" s="115"/>
      <x:c r="AG859" s="115"/>
      <x:c r="AH859" s="115"/>
      <x:c r="AI859" s="115"/>
      <x:c r="AJ859" s="115"/>
      <x:c r="AK859" s="115"/>
      <x:c r="AL859" s="115"/>
      <x:c r="AM859" s="115"/>
      <x:c r="AN859" s="115"/>
      <x:c r="AO859" s="115"/>
      <x:c r="AP859" s="115"/>
      <x:c r="AQ859" s="115"/>
      <x:c r="AR859" s="115"/>
      <x:c r="AS859" s="115"/>
      <x:c r="AT859" s="115"/>
      <x:c r="AU859" s="115"/>
      <x:c r="AV859" s="115"/>
      <x:c r="AW859" s="115"/>
      <x:c r="AX859" s="115"/>
      <x:c r="AY859" s="115"/>
      <x:c r="AZ859" s="115"/>
      <x:c r="BA859" s="115"/>
      <x:c r="BB859" s="115"/>
      <x:c r="BC859" s="115"/>
      <x:c r="BD859" s="115"/>
      <x:c r="BE859" s="115"/>
      <x:c r="BF859" s="115"/>
      <x:c r="BG859" s="115"/>
      <x:c r="BH859" s="115"/>
      <x:c r="BI859" s="115"/>
      <x:c r="BJ859" s="115"/>
      <x:c r="BK859" s="115"/>
      <x:c r="BL859" s="115"/>
      <x:c r="BM859" s="115"/>
      <x:c r="BN859" s="115"/>
      <x:c r="BO859" s="115"/>
      <x:c r="BP859" s="115"/>
      <x:c r="BQ859" s="115"/>
      <x:c r="BR859" s="115"/>
      <x:c r="BS859" s="115"/>
      <x:c r="BT859" s="115"/>
      <x:c r="BU859" s="115"/>
      <x:c r="BV859" s="115"/>
      <x:c r="BW859" s="115"/>
      <x:c r="BX859" s="115"/>
      <x:c r="BY859" s="115"/>
      <x:c r="BZ859" s="115"/>
      <x:c r="CA859" s="115"/>
      <x:c r="CB859" s="116"/>
      <x:c r="CC859" s="141" t="str">
        <x:f>IF(COUNT(G859:P859)=0,"",AVERAGE(G859:P859)*4)</x:f>
      </x:c>
      <x:c r="CD859" s="178" t="str">
        <x:f>IF(COUNT(Q859:Z859)=0,"",AVERAGE(Q859:Z859)*4)</x:f>
      </x:c>
      <x:c r="CE859" s="178" t="str">
        <x:f>IF(COUNT(AA859:AJ859)=0,"",AVERAGE(AA859:AJ859)*4)</x:f>
      </x:c>
      <x:c r="CF859" s="178" t="str">
        <x:f>IF(COUNT(AK859:AR859)=0,"",AVERAGE(AK859:AR859)*4)</x:f>
      </x:c>
      <x:c r="CG859" s="178" t="str">
        <x:f>IF(COUNT(AS859:AY859)=0,"",AVERAGE(AS859:AY859)*4)</x:f>
      </x:c>
      <x:c r="CH859" s="178" t="str">
        <x:f>IF(COUNT(AZ859:BG859)=0,"",AVERAGE(AZ859:BG859)*4)</x:f>
      </x:c>
      <x:c r="CI859" s="178" t="str">
        <x:f>IF(COUNT(BH859:BN859)=0,"",AVERAGE(BH859:BN859)*4)</x:f>
      </x:c>
      <x:c r="CJ859" s="178" t="str">
        <x:f>IF(COUNT(BO859:BU859)=0,"",AVERAGE(BO859:BU859)*4)</x:f>
      </x:c>
      <x:c r="CK859" s="178" t="str">
        <x:f>IF(COUNT(BV859:CB859)=0,"",AVERAGE(BV859:CB859)*4)</x:f>
      </x:c>
      <x:c r="CL859" s="178" t="str">
        <x:f>IF(C859="","",IF(COUNT(G859:CB859)&lt;74,"",(CC859*'تنظیمات وزن‌دهی'!$C$5+CD859*'تنظیمات وزن‌دهی'!$C$6+CE859*'تنظیمات وزن‌دهی'!$C$7+CF859*'تنظیمات وزن‌دهی'!$C$8+CG859*'تنظیمات وزن‌دهی'!$C$9+CH859*'تنظیمات وزن‌دهی'!$C$10+CI859*'تنظیمات وزن‌دهی'!$C$11+CJ859*'تنظیمات وزن‌دهی'!$C$12+CK859*'تنظیمات وزن‌دهی'!$C$13)/100))</x:f>
      </x:c>
      <x:c r="CM859" s="178" t="str">
        <x:f>IF(C859="","",IF(COUNT(G859:CB859)=0,"",IF(COUNT(G859:CB859)&lt;74,"موقت - اطلاعات ناقص",IF(CL859&gt;=17,"عالی",IF(CL859&gt;=14,"خوب",IF(CL859&gt;=10,"متوسط","ضعیف"))))))</x:f>
      </x:c>
      <x:c r="CN859" s="178" t="n">
        <x:v>3</x:v>
      </x:c>
      <x:c r="CO859" s="142" t="n">
        <x:f>IF(C859="","",COUNT(G859:CB859)/74)</x:f>
        <x:v>0</x:v>
      </x:c>
      <x:c r="CP859" s="245"/>
    </x:row>
    <x:row r="860">
      <x:c r="A860" s="165" t="n">
        <x:v>856</x:v>
      </x:c>
      <x:c r="B860" s="233" t="str">
        <x:v>مهر</x:v>
      </x:c>
      <x:c r="C860" s="233" t="n">
        <x:f>IF('دانش‌آموزان'!E76="","",'دانش‌آموزان'!B76)</x:f>
        <x:v>72</x:v>
      </x:c>
      <x:c r="D860" s="233" t="str">
        <x:f>IF('دانش‌آموزان'!C76="","",'دانش‌آموزان'!C76)</x:f>
        <x:v>4000000721</x:v>
      </x:c>
      <x:c r="E860" s="233" t="str">
        <x:f>IF('دانش‌آموزان'!E76="","",'دانش‌آموزان'!E76&amp;" "&amp;'دانش‌آموزان'!F76)</x:f>
        <x:v>رها یوسفی</x:v>
      </x:c>
      <x:c r="F860" s="166" t="str">
        <x:f>IF('دانش‌آموزان'!I76="","",'دانش‌آموزان'!I76)</x:f>
        <x:v>sample-7-c</x:v>
      </x:c>
      <x:c r="G860" s="114"/>
      <x:c r="H860" s="115"/>
      <x:c r="I860" s="115"/>
      <x:c r="J860" s="115"/>
      <x:c r="K860" s="115"/>
      <x:c r="L860" s="115"/>
      <x:c r="M860" s="115"/>
      <x:c r="N860" s="115"/>
      <x:c r="O860" s="115"/>
      <x:c r="P860" s="115"/>
      <x:c r="Q860" s="115"/>
      <x:c r="R860" s="115"/>
      <x:c r="S860" s="115"/>
      <x:c r="T860" s="115"/>
      <x:c r="U860" s="115"/>
      <x:c r="V860" s="115"/>
      <x:c r="W860" s="115"/>
      <x:c r="X860" s="115"/>
      <x:c r="Y860" s="115"/>
      <x:c r="Z860" s="115"/>
      <x:c r="AA860" s="115"/>
      <x:c r="AB860" s="115"/>
      <x:c r="AC860" s="115"/>
      <x:c r="AD860" s="115"/>
      <x:c r="AE860" s="115"/>
      <x:c r="AF860" s="115"/>
      <x:c r="AG860" s="115"/>
      <x:c r="AH860" s="115"/>
      <x:c r="AI860" s="115"/>
      <x:c r="AJ860" s="115"/>
      <x:c r="AK860" s="115"/>
      <x:c r="AL860" s="115"/>
      <x:c r="AM860" s="115"/>
      <x:c r="AN860" s="115"/>
      <x:c r="AO860" s="115"/>
      <x:c r="AP860" s="115"/>
      <x:c r="AQ860" s="115"/>
      <x:c r="AR860" s="115"/>
      <x:c r="AS860" s="115"/>
      <x:c r="AT860" s="115"/>
      <x:c r="AU860" s="115"/>
      <x:c r="AV860" s="115"/>
      <x:c r="AW860" s="115"/>
      <x:c r="AX860" s="115"/>
      <x:c r="AY860" s="115"/>
      <x:c r="AZ860" s="115"/>
      <x:c r="BA860" s="115"/>
      <x:c r="BB860" s="115"/>
      <x:c r="BC860" s="115"/>
      <x:c r="BD860" s="115"/>
      <x:c r="BE860" s="115"/>
      <x:c r="BF860" s="115"/>
      <x:c r="BG860" s="115"/>
      <x:c r="BH860" s="115"/>
      <x:c r="BI860" s="115"/>
      <x:c r="BJ860" s="115"/>
      <x:c r="BK860" s="115"/>
      <x:c r="BL860" s="115"/>
      <x:c r="BM860" s="115"/>
      <x:c r="BN860" s="115"/>
      <x:c r="BO860" s="115"/>
      <x:c r="BP860" s="115"/>
      <x:c r="BQ860" s="115"/>
      <x:c r="BR860" s="115"/>
      <x:c r="BS860" s="115"/>
      <x:c r="BT860" s="115"/>
      <x:c r="BU860" s="115"/>
      <x:c r="BV860" s="115"/>
      <x:c r="BW860" s="115"/>
      <x:c r="BX860" s="115"/>
      <x:c r="BY860" s="115"/>
      <x:c r="BZ860" s="115"/>
      <x:c r="CA860" s="115"/>
      <x:c r="CB860" s="116"/>
      <x:c r="CC860" s="141" t="str">
        <x:f>IF(COUNT(G860:P860)=0,"",AVERAGE(G860:P860)*4)</x:f>
      </x:c>
      <x:c r="CD860" s="178" t="str">
        <x:f>IF(COUNT(Q860:Z860)=0,"",AVERAGE(Q860:Z860)*4)</x:f>
      </x:c>
      <x:c r="CE860" s="178" t="str">
        <x:f>IF(COUNT(AA860:AJ860)=0,"",AVERAGE(AA860:AJ860)*4)</x:f>
      </x:c>
      <x:c r="CF860" s="178" t="str">
        <x:f>IF(COUNT(AK860:AR860)=0,"",AVERAGE(AK860:AR860)*4)</x:f>
      </x:c>
      <x:c r="CG860" s="178" t="str">
        <x:f>IF(COUNT(AS860:AY860)=0,"",AVERAGE(AS860:AY860)*4)</x:f>
      </x:c>
      <x:c r="CH860" s="178" t="str">
        <x:f>IF(COUNT(AZ860:BG860)=0,"",AVERAGE(AZ860:BG860)*4)</x:f>
      </x:c>
      <x:c r="CI860" s="178" t="str">
        <x:f>IF(COUNT(BH860:BN860)=0,"",AVERAGE(BH860:BN860)*4)</x:f>
      </x:c>
      <x:c r="CJ860" s="178" t="str">
        <x:f>IF(COUNT(BO860:BU860)=0,"",AVERAGE(BO860:BU860)*4)</x:f>
      </x:c>
      <x:c r="CK860" s="178" t="str">
        <x:f>IF(COUNT(BV860:CB860)=0,"",AVERAGE(BV860:CB860)*4)</x:f>
      </x:c>
      <x:c r="CL860" s="178" t="str">
        <x:f>IF(C860="","",IF(COUNT(G860:CB860)&lt;74,"",(CC860*'تنظیمات وزن‌دهی'!$C$5+CD860*'تنظیمات وزن‌دهی'!$C$6+CE860*'تنظیمات وزن‌دهی'!$C$7+CF860*'تنظیمات وزن‌دهی'!$C$8+CG860*'تنظیمات وزن‌دهی'!$C$9+CH860*'تنظیمات وزن‌دهی'!$C$10+CI860*'تنظیمات وزن‌دهی'!$C$11+CJ860*'تنظیمات وزن‌دهی'!$C$12+CK860*'تنظیمات وزن‌دهی'!$C$13)/100))</x:f>
      </x:c>
      <x:c r="CM860" s="178" t="str">
        <x:f>IF(C860="","",IF(COUNT(G860:CB860)=0,"",IF(COUNT(G860:CB860)&lt;74,"موقت - اطلاعات ناقص",IF(CL860&gt;=17,"عالی",IF(CL860&gt;=14,"خوب",IF(CL860&gt;=10,"متوسط","ضعیف"))))))</x:f>
      </x:c>
      <x:c r="CN860" s="178" t="n">
        <x:v>4</x:v>
      </x:c>
      <x:c r="CO860" s="142" t="n">
        <x:f>IF(C860="","",COUNT(G860:CB860)/74)</x:f>
        <x:v>0</x:v>
      </x:c>
      <x:c r="CP860" s="245"/>
    </x:row>
    <x:row r="861">
      <x:c r="A861" s="165" t="n">
        <x:v>857</x:v>
      </x:c>
      <x:c r="B861" s="233" t="str">
        <x:v>آبان</x:v>
      </x:c>
      <x:c r="C861" s="233" t="n">
        <x:f>IF('دانش‌آموزان'!E76="","",'دانش‌آموزان'!B76)</x:f>
        <x:v>72</x:v>
      </x:c>
      <x:c r="D861" s="233" t="str">
        <x:f>IF('دانش‌آموزان'!C76="","",'دانش‌آموزان'!C76)</x:f>
        <x:v>4000000721</x:v>
      </x:c>
      <x:c r="E861" s="233" t="str">
        <x:f>IF('دانش‌آموزان'!E76="","",'دانش‌آموزان'!E76&amp;" "&amp;'دانش‌آموزان'!F76)</x:f>
        <x:v>رها یوسفی</x:v>
      </x:c>
      <x:c r="F861" s="166" t="str">
        <x:f>IF('دانش‌آموزان'!I76="","",'دانش‌آموزان'!I76)</x:f>
        <x:v>sample-7-c</x:v>
      </x:c>
      <x:c r="G861" s="114"/>
      <x:c r="H861" s="115"/>
      <x:c r="I861" s="115"/>
      <x:c r="J861" s="115"/>
      <x:c r="K861" s="115"/>
      <x:c r="L861" s="115"/>
      <x:c r="M861" s="115"/>
      <x:c r="N861" s="115"/>
      <x:c r="O861" s="115"/>
      <x:c r="P861" s="115"/>
      <x:c r="Q861" s="115"/>
      <x:c r="R861" s="115"/>
      <x:c r="S861" s="115"/>
      <x:c r="T861" s="115"/>
      <x:c r="U861" s="115"/>
      <x:c r="V861" s="115"/>
      <x:c r="W861" s="115"/>
      <x:c r="X861" s="115"/>
      <x:c r="Y861" s="115"/>
      <x:c r="Z861" s="115"/>
      <x:c r="AA861" s="115"/>
      <x:c r="AB861" s="115"/>
      <x:c r="AC861" s="115"/>
      <x:c r="AD861" s="115"/>
      <x:c r="AE861" s="115"/>
      <x:c r="AF861" s="115"/>
      <x:c r="AG861" s="115"/>
      <x:c r="AH861" s="115"/>
      <x:c r="AI861" s="115"/>
      <x:c r="AJ861" s="115"/>
      <x:c r="AK861" s="115"/>
      <x:c r="AL861" s="115"/>
      <x:c r="AM861" s="115"/>
      <x:c r="AN861" s="115"/>
      <x:c r="AO861" s="115"/>
      <x:c r="AP861" s="115"/>
      <x:c r="AQ861" s="115"/>
      <x:c r="AR861" s="115"/>
      <x:c r="AS861" s="115"/>
      <x:c r="AT861" s="115"/>
      <x:c r="AU861" s="115"/>
      <x:c r="AV861" s="115"/>
      <x:c r="AW861" s="115"/>
      <x:c r="AX861" s="115"/>
      <x:c r="AY861" s="115"/>
      <x:c r="AZ861" s="115"/>
      <x:c r="BA861" s="115"/>
      <x:c r="BB861" s="115"/>
      <x:c r="BC861" s="115"/>
      <x:c r="BD861" s="115"/>
      <x:c r="BE861" s="115"/>
      <x:c r="BF861" s="115"/>
      <x:c r="BG861" s="115"/>
      <x:c r="BH861" s="115"/>
      <x:c r="BI861" s="115"/>
      <x:c r="BJ861" s="115"/>
      <x:c r="BK861" s="115"/>
      <x:c r="BL861" s="115"/>
      <x:c r="BM861" s="115"/>
      <x:c r="BN861" s="115"/>
      <x:c r="BO861" s="115"/>
      <x:c r="BP861" s="115"/>
      <x:c r="BQ861" s="115"/>
      <x:c r="BR861" s="115"/>
      <x:c r="BS861" s="115"/>
      <x:c r="BT861" s="115"/>
      <x:c r="BU861" s="115"/>
      <x:c r="BV861" s="115"/>
      <x:c r="BW861" s="115"/>
      <x:c r="BX861" s="115"/>
      <x:c r="BY861" s="115"/>
      <x:c r="BZ861" s="115"/>
      <x:c r="CA861" s="115"/>
      <x:c r="CB861" s="116"/>
      <x:c r="CC861" s="141" t="str">
        <x:f>IF(COUNT(G861:P861)=0,"",AVERAGE(G861:P861)*4)</x:f>
      </x:c>
      <x:c r="CD861" s="178" t="str">
        <x:f>IF(COUNT(Q861:Z861)=0,"",AVERAGE(Q861:Z861)*4)</x:f>
      </x:c>
      <x:c r="CE861" s="178" t="str">
        <x:f>IF(COUNT(AA861:AJ861)=0,"",AVERAGE(AA861:AJ861)*4)</x:f>
      </x:c>
      <x:c r="CF861" s="178" t="str">
        <x:f>IF(COUNT(AK861:AR861)=0,"",AVERAGE(AK861:AR861)*4)</x:f>
      </x:c>
      <x:c r="CG861" s="178" t="str">
        <x:f>IF(COUNT(AS861:AY861)=0,"",AVERAGE(AS861:AY861)*4)</x:f>
      </x:c>
      <x:c r="CH861" s="178" t="str">
        <x:f>IF(COUNT(AZ861:BG861)=0,"",AVERAGE(AZ861:BG861)*4)</x:f>
      </x:c>
      <x:c r="CI861" s="178" t="str">
        <x:f>IF(COUNT(BH861:BN861)=0,"",AVERAGE(BH861:BN861)*4)</x:f>
      </x:c>
      <x:c r="CJ861" s="178" t="str">
        <x:f>IF(COUNT(BO861:BU861)=0,"",AVERAGE(BO861:BU861)*4)</x:f>
      </x:c>
      <x:c r="CK861" s="178" t="str">
        <x:f>IF(COUNT(BV861:CB861)=0,"",AVERAGE(BV861:CB861)*4)</x:f>
      </x:c>
      <x:c r="CL861" s="178" t="str">
        <x:f>IF(C861="","",IF(COUNT(G861:CB861)&lt;74,"",(CC861*'تنظیمات وزن‌دهی'!$C$5+CD861*'تنظیمات وزن‌دهی'!$C$6+CE861*'تنظیمات وزن‌دهی'!$C$7+CF861*'تنظیمات وزن‌دهی'!$C$8+CG861*'تنظیمات وزن‌دهی'!$C$9+CH861*'تنظیمات وزن‌دهی'!$C$10+CI861*'تنظیمات وزن‌دهی'!$C$11+CJ861*'تنظیمات وزن‌دهی'!$C$12+CK861*'تنظیمات وزن‌دهی'!$C$13)/100))</x:f>
      </x:c>
      <x:c r="CM861" s="178" t="str">
        <x:f>IF(C861="","",IF(COUNT(G861:CB861)=0,"",IF(COUNT(G861:CB861)&lt;74,"موقت - اطلاعات ناقص",IF(CL861&gt;=17,"عالی",IF(CL861&gt;=14,"خوب",IF(CL861&gt;=10,"متوسط","ضعیف"))))))</x:f>
      </x:c>
      <x:c r="CN861" s="178" t="n">
        <x:v>5</x:v>
      </x:c>
      <x:c r="CO861" s="142" t="n">
        <x:f>IF(C861="","",COUNT(G861:CB861)/74)</x:f>
        <x:v>0</x:v>
      </x:c>
      <x:c r="CP861" s="245"/>
    </x:row>
    <x:row r="862">
      <x:c r="A862" s="165" t="n">
        <x:v>858</x:v>
      </x:c>
      <x:c r="B862" s="233" t="str">
        <x:v>آذر</x:v>
      </x:c>
      <x:c r="C862" s="233" t="n">
        <x:f>IF('دانش‌آموزان'!E76="","",'دانش‌آموزان'!B76)</x:f>
        <x:v>72</x:v>
      </x:c>
      <x:c r="D862" s="233" t="str">
        <x:f>IF('دانش‌آموزان'!C76="","",'دانش‌آموزان'!C76)</x:f>
        <x:v>4000000721</x:v>
      </x:c>
      <x:c r="E862" s="233" t="str">
        <x:f>IF('دانش‌آموزان'!E76="","",'دانش‌آموزان'!E76&amp;" "&amp;'دانش‌آموزان'!F76)</x:f>
        <x:v>رها یوسفی</x:v>
      </x:c>
      <x:c r="F862" s="166" t="str">
        <x:f>IF('دانش‌آموزان'!I76="","",'دانش‌آموزان'!I76)</x:f>
        <x:v>sample-7-c</x:v>
      </x:c>
      <x:c r="G862" s="114"/>
      <x:c r="H862" s="115"/>
      <x:c r="I862" s="115"/>
      <x:c r="J862" s="115"/>
      <x:c r="K862" s="115"/>
      <x:c r="L862" s="115"/>
      <x:c r="M862" s="115"/>
      <x:c r="N862" s="115"/>
      <x:c r="O862" s="115"/>
      <x:c r="P862" s="115"/>
      <x:c r="Q862" s="115"/>
      <x:c r="R862" s="115"/>
      <x:c r="S862" s="115"/>
      <x:c r="T862" s="115"/>
      <x:c r="U862" s="115"/>
      <x:c r="V862" s="115"/>
      <x:c r="W862" s="115"/>
      <x:c r="X862" s="115"/>
      <x:c r="Y862" s="115"/>
      <x:c r="Z862" s="115"/>
      <x:c r="AA862" s="115"/>
      <x:c r="AB862" s="115"/>
      <x:c r="AC862" s="115"/>
      <x:c r="AD862" s="115"/>
      <x:c r="AE862" s="115"/>
      <x:c r="AF862" s="115"/>
      <x:c r="AG862" s="115"/>
      <x:c r="AH862" s="115"/>
      <x:c r="AI862" s="115"/>
      <x:c r="AJ862" s="115"/>
      <x:c r="AK862" s="115"/>
      <x:c r="AL862" s="115"/>
      <x:c r="AM862" s="115"/>
      <x:c r="AN862" s="115"/>
      <x:c r="AO862" s="115"/>
      <x:c r="AP862" s="115"/>
      <x:c r="AQ862" s="115"/>
      <x:c r="AR862" s="115"/>
      <x:c r="AS862" s="115"/>
      <x:c r="AT862" s="115"/>
      <x:c r="AU862" s="115"/>
      <x:c r="AV862" s="115"/>
      <x:c r="AW862" s="115"/>
      <x:c r="AX862" s="115"/>
      <x:c r="AY862" s="115"/>
      <x:c r="AZ862" s="115"/>
      <x:c r="BA862" s="115"/>
      <x:c r="BB862" s="115"/>
      <x:c r="BC862" s="115"/>
      <x:c r="BD862" s="115"/>
      <x:c r="BE862" s="115"/>
      <x:c r="BF862" s="115"/>
      <x:c r="BG862" s="115"/>
      <x:c r="BH862" s="115"/>
      <x:c r="BI862" s="115"/>
      <x:c r="BJ862" s="115"/>
      <x:c r="BK862" s="115"/>
      <x:c r="BL862" s="115"/>
      <x:c r="BM862" s="115"/>
      <x:c r="BN862" s="115"/>
      <x:c r="BO862" s="115"/>
      <x:c r="BP862" s="115"/>
      <x:c r="BQ862" s="115"/>
      <x:c r="BR862" s="115"/>
      <x:c r="BS862" s="115"/>
      <x:c r="BT862" s="115"/>
      <x:c r="BU862" s="115"/>
      <x:c r="BV862" s="115"/>
      <x:c r="BW862" s="115"/>
      <x:c r="BX862" s="115"/>
      <x:c r="BY862" s="115"/>
      <x:c r="BZ862" s="115"/>
      <x:c r="CA862" s="115"/>
      <x:c r="CB862" s="116"/>
      <x:c r="CC862" s="141" t="str">
        <x:f>IF(COUNT(G862:P862)=0,"",AVERAGE(G862:P862)*4)</x:f>
      </x:c>
      <x:c r="CD862" s="178" t="str">
        <x:f>IF(COUNT(Q862:Z862)=0,"",AVERAGE(Q862:Z862)*4)</x:f>
      </x:c>
      <x:c r="CE862" s="178" t="str">
        <x:f>IF(COUNT(AA862:AJ862)=0,"",AVERAGE(AA862:AJ862)*4)</x:f>
      </x:c>
      <x:c r="CF862" s="178" t="str">
        <x:f>IF(COUNT(AK862:AR862)=0,"",AVERAGE(AK862:AR862)*4)</x:f>
      </x:c>
      <x:c r="CG862" s="178" t="str">
        <x:f>IF(COUNT(AS862:AY862)=0,"",AVERAGE(AS862:AY862)*4)</x:f>
      </x:c>
      <x:c r="CH862" s="178" t="str">
        <x:f>IF(COUNT(AZ862:BG862)=0,"",AVERAGE(AZ862:BG862)*4)</x:f>
      </x:c>
      <x:c r="CI862" s="178" t="str">
        <x:f>IF(COUNT(BH862:BN862)=0,"",AVERAGE(BH862:BN862)*4)</x:f>
      </x:c>
      <x:c r="CJ862" s="178" t="str">
        <x:f>IF(COUNT(BO862:BU862)=0,"",AVERAGE(BO862:BU862)*4)</x:f>
      </x:c>
      <x:c r="CK862" s="178" t="str">
        <x:f>IF(COUNT(BV862:CB862)=0,"",AVERAGE(BV862:CB862)*4)</x:f>
      </x:c>
      <x:c r="CL862" s="178" t="str">
        <x:f>IF(C862="","",IF(COUNT(G862:CB862)&lt;74,"",(CC862*'تنظیمات وزن‌دهی'!$C$5+CD862*'تنظیمات وزن‌دهی'!$C$6+CE862*'تنظیمات وزن‌دهی'!$C$7+CF862*'تنظیمات وزن‌دهی'!$C$8+CG862*'تنظیمات وزن‌دهی'!$C$9+CH862*'تنظیمات وزن‌دهی'!$C$10+CI862*'تنظیمات وزن‌دهی'!$C$11+CJ862*'تنظیمات وزن‌دهی'!$C$12+CK862*'تنظیمات وزن‌دهی'!$C$13)/100))</x:f>
      </x:c>
      <x:c r="CM862" s="178" t="str">
        <x:f>IF(C862="","",IF(COUNT(G862:CB862)=0,"",IF(COUNT(G862:CB862)&lt;74,"موقت - اطلاعات ناقص",IF(CL862&gt;=17,"عالی",IF(CL862&gt;=14,"خوب",IF(CL862&gt;=10,"متوسط","ضعیف"))))))</x:f>
      </x:c>
      <x:c r="CN862" s="178" t="n">
        <x:v>6</x:v>
      </x:c>
      <x:c r="CO862" s="142" t="n">
        <x:f>IF(C862="","",COUNT(G862:CB862)/74)</x:f>
        <x:v>0</x:v>
      </x:c>
      <x:c r="CP862" s="245"/>
    </x:row>
    <x:row r="863">
      <x:c r="A863" s="165" t="n">
        <x:v>859</x:v>
      </x:c>
      <x:c r="B863" s="233" t="str">
        <x:v>دی</x:v>
      </x:c>
      <x:c r="C863" s="233" t="n">
        <x:f>IF('دانش‌آموزان'!E76="","",'دانش‌آموزان'!B76)</x:f>
        <x:v>72</x:v>
      </x:c>
      <x:c r="D863" s="233" t="str">
        <x:f>IF('دانش‌آموزان'!C76="","",'دانش‌آموزان'!C76)</x:f>
        <x:v>4000000721</x:v>
      </x:c>
      <x:c r="E863" s="233" t="str">
        <x:f>IF('دانش‌آموزان'!E76="","",'دانش‌آموزان'!E76&amp;" "&amp;'دانش‌آموزان'!F76)</x:f>
        <x:v>رها یوسفی</x:v>
      </x:c>
      <x:c r="F863" s="166" t="str">
        <x:f>IF('دانش‌آموزان'!I76="","",'دانش‌آموزان'!I76)</x:f>
        <x:v>sample-7-c</x:v>
      </x:c>
      <x:c r="G863" s="114"/>
      <x:c r="H863" s="115"/>
      <x:c r="I863" s="115"/>
      <x:c r="J863" s="115"/>
      <x:c r="K863" s="115"/>
      <x:c r="L863" s="115"/>
      <x:c r="M863" s="115"/>
      <x:c r="N863" s="115"/>
      <x:c r="O863" s="115"/>
      <x:c r="P863" s="115"/>
      <x:c r="Q863" s="115"/>
      <x:c r="R863" s="115"/>
      <x:c r="S863" s="115"/>
      <x:c r="T863" s="115"/>
      <x:c r="U863" s="115"/>
      <x:c r="V863" s="115"/>
      <x:c r="W863" s="115"/>
      <x:c r="X863" s="115"/>
      <x:c r="Y863" s="115"/>
      <x:c r="Z863" s="115"/>
      <x:c r="AA863" s="115"/>
      <x:c r="AB863" s="115"/>
      <x:c r="AC863" s="115"/>
      <x:c r="AD863" s="115"/>
      <x:c r="AE863" s="115"/>
      <x:c r="AF863" s="115"/>
      <x:c r="AG863" s="115"/>
      <x:c r="AH863" s="115"/>
      <x:c r="AI863" s="115"/>
      <x:c r="AJ863" s="115"/>
      <x:c r="AK863" s="115"/>
      <x:c r="AL863" s="115"/>
      <x:c r="AM863" s="115"/>
      <x:c r="AN863" s="115"/>
      <x:c r="AO863" s="115"/>
      <x:c r="AP863" s="115"/>
      <x:c r="AQ863" s="115"/>
      <x:c r="AR863" s="115"/>
      <x:c r="AS863" s="115"/>
      <x:c r="AT863" s="115"/>
      <x:c r="AU863" s="115"/>
      <x:c r="AV863" s="115"/>
      <x:c r="AW863" s="115"/>
      <x:c r="AX863" s="115"/>
      <x:c r="AY863" s="115"/>
      <x:c r="AZ863" s="115"/>
      <x:c r="BA863" s="115"/>
      <x:c r="BB863" s="115"/>
      <x:c r="BC863" s="115"/>
      <x:c r="BD863" s="115"/>
      <x:c r="BE863" s="115"/>
      <x:c r="BF863" s="115"/>
      <x:c r="BG863" s="115"/>
      <x:c r="BH863" s="115"/>
      <x:c r="BI863" s="115"/>
      <x:c r="BJ863" s="115"/>
      <x:c r="BK863" s="115"/>
      <x:c r="BL863" s="115"/>
      <x:c r="BM863" s="115"/>
      <x:c r="BN863" s="115"/>
      <x:c r="BO863" s="115"/>
      <x:c r="BP863" s="115"/>
      <x:c r="BQ863" s="115"/>
      <x:c r="BR863" s="115"/>
      <x:c r="BS863" s="115"/>
      <x:c r="BT863" s="115"/>
      <x:c r="BU863" s="115"/>
      <x:c r="BV863" s="115"/>
      <x:c r="BW863" s="115"/>
      <x:c r="BX863" s="115"/>
      <x:c r="BY863" s="115"/>
      <x:c r="BZ863" s="115"/>
      <x:c r="CA863" s="115"/>
      <x:c r="CB863" s="116"/>
      <x:c r="CC863" s="141" t="str">
        <x:f>IF(COUNT(G863:P863)=0,"",AVERAGE(G863:P863)*4)</x:f>
      </x:c>
      <x:c r="CD863" s="178" t="str">
        <x:f>IF(COUNT(Q863:Z863)=0,"",AVERAGE(Q863:Z863)*4)</x:f>
      </x:c>
      <x:c r="CE863" s="178" t="str">
        <x:f>IF(COUNT(AA863:AJ863)=0,"",AVERAGE(AA863:AJ863)*4)</x:f>
      </x:c>
      <x:c r="CF863" s="178" t="str">
        <x:f>IF(COUNT(AK863:AR863)=0,"",AVERAGE(AK863:AR863)*4)</x:f>
      </x:c>
      <x:c r="CG863" s="178" t="str">
        <x:f>IF(COUNT(AS863:AY863)=0,"",AVERAGE(AS863:AY863)*4)</x:f>
      </x:c>
      <x:c r="CH863" s="178" t="str">
        <x:f>IF(COUNT(AZ863:BG863)=0,"",AVERAGE(AZ863:BG863)*4)</x:f>
      </x:c>
      <x:c r="CI863" s="178" t="str">
        <x:f>IF(COUNT(BH863:BN863)=0,"",AVERAGE(BH863:BN863)*4)</x:f>
      </x:c>
      <x:c r="CJ863" s="178" t="str">
        <x:f>IF(COUNT(BO863:BU863)=0,"",AVERAGE(BO863:BU863)*4)</x:f>
      </x:c>
      <x:c r="CK863" s="178" t="str">
        <x:f>IF(COUNT(BV863:CB863)=0,"",AVERAGE(BV863:CB863)*4)</x:f>
      </x:c>
      <x:c r="CL863" s="178" t="str">
        <x:f>IF(C863="","",IF(COUNT(G863:CB863)&lt;74,"",(CC863*'تنظیمات وزن‌دهی'!$C$5+CD863*'تنظیمات وزن‌دهی'!$C$6+CE863*'تنظیمات وزن‌دهی'!$C$7+CF863*'تنظیمات وزن‌دهی'!$C$8+CG863*'تنظیمات وزن‌دهی'!$C$9+CH863*'تنظیمات وزن‌دهی'!$C$10+CI863*'تنظیمات وزن‌دهی'!$C$11+CJ863*'تنظیمات وزن‌دهی'!$C$12+CK863*'تنظیمات وزن‌دهی'!$C$13)/100))</x:f>
      </x:c>
      <x:c r="CM863" s="178" t="str">
        <x:f>IF(C863="","",IF(COUNT(G863:CB863)=0,"",IF(COUNT(G863:CB863)&lt;74,"موقت - اطلاعات ناقص",IF(CL863&gt;=17,"عالی",IF(CL863&gt;=14,"خوب",IF(CL863&gt;=10,"متوسط","ضعیف"))))))</x:f>
      </x:c>
      <x:c r="CN863" s="178" t="n">
        <x:v>7</x:v>
      </x:c>
      <x:c r="CO863" s="142" t="n">
        <x:f>IF(C863="","",COUNT(G863:CB863)/74)</x:f>
        <x:v>0</x:v>
      </x:c>
      <x:c r="CP863" s="245"/>
    </x:row>
    <x:row r="864">
      <x:c r="A864" s="165" t="n">
        <x:v>860</x:v>
      </x:c>
      <x:c r="B864" s="233" t="str">
        <x:v>بهمن</x:v>
      </x:c>
      <x:c r="C864" s="233" t="n">
        <x:f>IF('دانش‌آموزان'!E76="","",'دانش‌آموزان'!B76)</x:f>
        <x:v>72</x:v>
      </x:c>
      <x:c r="D864" s="233" t="str">
        <x:f>IF('دانش‌آموزان'!C76="","",'دانش‌آموزان'!C76)</x:f>
        <x:v>4000000721</x:v>
      </x:c>
      <x:c r="E864" s="233" t="str">
        <x:f>IF('دانش‌آموزان'!E76="","",'دانش‌آموزان'!E76&amp;" "&amp;'دانش‌آموزان'!F76)</x:f>
        <x:v>رها یوسفی</x:v>
      </x:c>
      <x:c r="F864" s="166" t="str">
        <x:f>IF('دانش‌آموزان'!I76="","",'دانش‌آموزان'!I76)</x:f>
        <x:v>sample-7-c</x:v>
      </x:c>
      <x:c r="G864" s="114"/>
      <x:c r="H864" s="115"/>
      <x:c r="I864" s="115"/>
      <x:c r="J864" s="115"/>
      <x:c r="K864" s="115"/>
      <x:c r="L864" s="115"/>
      <x:c r="M864" s="115"/>
      <x:c r="N864" s="115"/>
      <x:c r="O864" s="115"/>
      <x:c r="P864" s="115"/>
      <x:c r="Q864" s="115"/>
      <x:c r="R864" s="115"/>
      <x:c r="S864" s="115"/>
      <x:c r="T864" s="115"/>
      <x:c r="U864" s="115"/>
      <x:c r="V864" s="115"/>
      <x:c r="W864" s="115"/>
      <x:c r="X864" s="115"/>
      <x:c r="Y864" s="115"/>
      <x:c r="Z864" s="115"/>
      <x:c r="AA864" s="115"/>
      <x:c r="AB864" s="115"/>
      <x:c r="AC864" s="115"/>
      <x:c r="AD864" s="115"/>
      <x:c r="AE864" s="115"/>
      <x:c r="AF864" s="115"/>
      <x:c r="AG864" s="115"/>
      <x:c r="AH864" s="115"/>
      <x:c r="AI864" s="115"/>
      <x:c r="AJ864" s="115"/>
      <x:c r="AK864" s="115"/>
      <x:c r="AL864" s="115"/>
      <x:c r="AM864" s="115"/>
      <x:c r="AN864" s="115"/>
      <x:c r="AO864" s="115"/>
      <x:c r="AP864" s="115"/>
      <x:c r="AQ864" s="115"/>
      <x:c r="AR864" s="115"/>
      <x:c r="AS864" s="115"/>
      <x:c r="AT864" s="115"/>
      <x:c r="AU864" s="115"/>
      <x:c r="AV864" s="115"/>
      <x:c r="AW864" s="115"/>
      <x:c r="AX864" s="115"/>
      <x:c r="AY864" s="115"/>
      <x:c r="AZ864" s="115"/>
      <x:c r="BA864" s="115"/>
      <x:c r="BB864" s="115"/>
      <x:c r="BC864" s="115"/>
      <x:c r="BD864" s="115"/>
      <x:c r="BE864" s="115"/>
      <x:c r="BF864" s="115"/>
      <x:c r="BG864" s="115"/>
      <x:c r="BH864" s="115"/>
      <x:c r="BI864" s="115"/>
      <x:c r="BJ864" s="115"/>
      <x:c r="BK864" s="115"/>
      <x:c r="BL864" s="115"/>
      <x:c r="BM864" s="115"/>
      <x:c r="BN864" s="115"/>
      <x:c r="BO864" s="115"/>
      <x:c r="BP864" s="115"/>
      <x:c r="BQ864" s="115"/>
      <x:c r="BR864" s="115"/>
      <x:c r="BS864" s="115"/>
      <x:c r="BT864" s="115"/>
      <x:c r="BU864" s="115"/>
      <x:c r="BV864" s="115"/>
      <x:c r="BW864" s="115"/>
      <x:c r="BX864" s="115"/>
      <x:c r="BY864" s="115"/>
      <x:c r="BZ864" s="115"/>
      <x:c r="CA864" s="115"/>
      <x:c r="CB864" s="116"/>
      <x:c r="CC864" s="141" t="str">
        <x:f>IF(COUNT(G864:P864)=0,"",AVERAGE(G864:P864)*4)</x:f>
      </x:c>
      <x:c r="CD864" s="178" t="str">
        <x:f>IF(COUNT(Q864:Z864)=0,"",AVERAGE(Q864:Z864)*4)</x:f>
      </x:c>
      <x:c r="CE864" s="178" t="str">
        <x:f>IF(COUNT(AA864:AJ864)=0,"",AVERAGE(AA864:AJ864)*4)</x:f>
      </x:c>
      <x:c r="CF864" s="178" t="str">
        <x:f>IF(COUNT(AK864:AR864)=0,"",AVERAGE(AK864:AR864)*4)</x:f>
      </x:c>
      <x:c r="CG864" s="178" t="str">
        <x:f>IF(COUNT(AS864:AY864)=0,"",AVERAGE(AS864:AY864)*4)</x:f>
      </x:c>
      <x:c r="CH864" s="178" t="str">
        <x:f>IF(COUNT(AZ864:BG864)=0,"",AVERAGE(AZ864:BG864)*4)</x:f>
      </x:c>
      <x:c r="CI864" s="178" t="str">
        <x:f>IF(COUNT(BH864:BN864)=0,"",AVERAGE(BH864:BN864)*4)</x:f>
      </x:c>
      <x:c r="CJ864" s="178" t="str">
        <x:f>IF(COUNT(BO864:BU864)=0,"",AVERAGE(BO864:BU864)*4)</x:f>
      </x:c>
      <x:c r="CK864" s="178" t="str">
        <x:f>IF(COUNT(BV864:CB864)=0,"",AVERAGE(BV864:CB864)*4)</x:f>
      </x:c>
      <x:c r="CL864" s="178" t="str">
        <x:f>IF(C864="","",IF(COUNT(G864:CB864)&lt;74,"",(CC864*'تنظیمات وزن‌دهی'!$C$5+CD864*'تنظیمات وزن‌دهی'!$C$6+CE864*'تنظیمات وزن‌دهی'!$C$7+CF864*'تنظیمات وزن‌دهی'!$C$8+CG864*'تنظیمات وزن‌دهی'!$C$9+CH864*'تنظیمات وزن‌دهی'!$C$10+CI864*'تنظیمات وزن‌دهی'!$C$11+CJ864*'تنظیمات وزن‌دهی'!$C$12+CK864*'تنظیمات وزن‌دهی'!$C$13)/100))</x:f>
      </x:c>
      <x:c r="CM864" s="178" t="str">
        <x:f>IF(C864="","",IF(COUNT(G864:CB864)=0,"",IF(COUNT(G864:CB864)&lt;74,"موقت - اطلاعات ناقص",IF(CL864&gt;=17,"عالی",IF(CL864&gt;=14,"خوب",IF(CL864&gt;=10,"متوسط","ضعیف"))))))</x:f>
      </x:c>
      <x:c r="CN864" s="178" t="n">
        <x:v>8</x:v>
      </x:c>
      <x:c r="CO864" s="142" t="n">
        <x:f>IF(C864="","",COUNT(G864:CB864)/74)</x:f>
        <x:v>0</x:v>
      </x:c>
      <x:c r="CP864" s="245"/>
    </x:row>
    <x:row r="865">
      <x:c r="A865" s="165" t="n">
        <x:v>861</x:v>
      </x:c>
      <x:c r="B865" s="233" t="str">
        <x:v>اسفند</x:v>
      </x:c>
      <x:c r="C865" s="233" t="n">
        <x:f>IF('دانش‌آموزان'!E76="","",'دانش‌آموزان'!B76)</x:f>
        <x:v>72</x:v>
      </x:c>
      <x:c r="D865" s="233" t="str">
        <x:f>IF('دانش‌آموزان'!C76="","",'دانش‌آموزان'!C76)</x:f>
        <x:v>4000000721</x:v>
      </x:c>
      <x:c r="E865" s="233" t="str">
        <x:f>IF('دانش‌آموزان'!E76="","",'دانش‌آموزان'!E76&amp;" "&amp;'دانش‌آموزان'!F76)</x:f>
        <x:v>رها یوسفی</x:v>
      </x:c>
      <x:c r="F865" s="166" t="str">
        <x:f>IF('دانش‌آموزان'!I76="","",'دانش‌آموزان'!I76)</x:f>
        <x:v>sample-7-c</x:v>
      </x:c>
      <x:c r="G865" s="114"/>
      <x:c r="H865" s="115"/>
      <x:c r="I865" s="115"/>
      <x:c r="J865" s="115"/>
      <x:c r="K865" s="115"/>
      <x:c r="L865" s="115"/>
      <x:c r="M865" s="115"/>
      <x:c r="N865" s="115"/>
      <x:c r="O865" s="115"/>
      <x:c r="P865" s="115"/>
      <x:c r="Q865" s="115"/>
      <x:c r="R865" s="115"/>
      <x:c r="S865" s="115"/>
      <x:c r="T865" s="115"/>
      <x:c r="U865" s="115"/>
      <x:c r="V865" s="115"/>
      <x:c r="W865" s="115"/>
      <x:c r="X865" s="115"/>
      <x:c r="Y865" s="115"/>
      <x:c r="Z865" s="115"/>
      <x:c r="AA865" s="115"/>
      <x:c r="AB865" s="115"/>
      <x:c r="AC865" s="115"/>
      <x:c r="AD865" s="115"/>
      <x:c r="AE865" s="115"/>
      <x:c r="AF865" s="115"/>
      <x:c r="AG865" s="115"/>
      <x:c r="AH865" s="115"/>
      <x:c r="AI865" s="115"/>
      <x:c r="AJ865" s="115"/>
      <x:c r="AK865" s="115"/>
      <x:c r="AL865" s="115"/>
      <x:c r="AM865" s="115"/>
      <x:c r="AN865" s="115"/>
      <x:c r="AO865" s="115"/>
      <x:c r="AP865" s="115"/>
      <x:c r="AQ865" s="115"/>
      <x:c r="AR865" s="115"/>
      <x:c r="AS865" s="115"/>
      <x:c r="AT865" s="115"/>
      <x:c r="AU865" s="115"/>
      <x:c r="AV865" s="115"/>
      <x:c r="AW865" s="115"/>
      <x:c r="AX865" s="115"/>
      <x:c r="AY865" s="115"/>
      <x:c r="AZ865" s="115"/>
      <x:c r="BA865" s="115"/>
      <x:c r="BB865" s="115"/>
      <x:c r="BC865" s="115"/>
      <x:c r="BD865" s="115"/>
      <x:c r="BE865" s="115"/>
      <x:c r="BF865" s="115"/>
      <x:c r="BG865" s="115"/>
      <x:c r="BH865" s="115"/>
      <x:c r="BI865" s="115"/>
      <x:c r="BJ865" s="115"/>
      <x:c r="BK865" s="115"/>
      <x:c r="BL865" s="115"/>
      <x:c r="BM865" s="115"/>
      <x:c r="BN865" s="115"/>
      <x:c r="BO865" s="115"/>
      <x:c r="BP865" s="115"/>
      <x:c r="BQ865" s="115"/>
      <x:c r="BR865" s="115"/>
      <x:c r="BS865" s="115"/>
      <x:c r="BT865" s="115"/>
      <x:c r="BU865" s="115"/>
      <x:c r="BV865" s="115"/>
      <x:c r="BW865" s="115"/>
      <x:c r="BX865" s="115"/>
      <x:c r="BY865" s="115"/>
      <x:c r="BZ865" s="115"/>
      <x:c r="CA865" s="115"/>
      <x:c r="CB865" s="116"/>
      <x:c r="CC865" s="141" t="str">
        <x:f>IF(COUNT(G865:P865)=0,"",AVERAGE(G865:P865)*4)</x:f>
      </x:c>
      <x:c r="CD865" s="178" t="str">
        <x:f>IF(COUNT(Q865:Z865)=0,"",AVERAGE(Q865:Z865)*4)</x:f>
      </x:c>
      <x:c r="CE865" s="178" t="str">
        <x:f>IF(COUNT(AA865:AJ865)=0,"",AVERAGE(AA865:AJ865)*4)</x:f>
      </x:c>
      <x:c r="CF865" s="178" t="str">
        <x:f>IF(COUNT(AK865:AR865)=0,"",AVERAGE(AK865:AR865)*4)</x:f>
      </x:c>
      <x:c r="CG865" s="178" t="str">
        <x:f>IF(COUNT(AS865:AY865)=0,"",AVERAGE(AS865:AY865)*4)</x:f>
      </x:c>
      <x:c r="CH865" s="178" t="str">
        <x:f>IF(COUNT(AZ865:BG865)=0,"",AVERAGE(AZ865:BG865)*4)</x:f>
      </x:c>
      <x:c r="CI865" s="178" t="str">
        <x:f>IF(COUNT(BH865:BN865)=0,"",AVERAGE(BH865:BN865)*4)</x:f>
      </x:c>
      <x:c r="CJ865" s="178" t="str">
        <x:f>IF(COUNT(BO865:BU865)=0,"",AVERAGE(BO865:BU865)*4)</x:f>
      </x:c>
      <x:c r="CK865" s="178" t="str">
        <x:f>IF(COUNT(BV865:CB865)=0,"",AVERAGE(BV865:CB865)*4)</x:f>
      </x:c>
      <x:c r="CL865" s="178" t="str">
        <x:f>IF(C865="","",IF(COUNT(G865:CB865)&lt;74,"",(CC865*'تنظیمات وزن‌دهی'!$C$5+CD865*'تنظیمات وزن‌دهی'!$C$6+CE865*'تنظیمات وزن‌دهی'!$C$7+CF865*'تنظیمات وزن‌دهی'!$C$8+CG865*'تنظیمات وزن‌دهی'!$C$9+CH865*'تنظیمات وزن‌دهی'!$C$10+CI865*'تنظیمات وزن‌دهی'!$C$11+CJ865*'تنظیمات وزن‌دهی'!$C$12+CK865*'تنظیمات وزن‌دهی'!$C$13)/100))</x:f>
      </x:c>
      <x:c r="CM865" s="178" t="str">
        <x:f>IF(C865="","",IF(COUNT(G865:CB865)=0,"",IF(COUNT(G865:CB865)&lt;74,"موقت - اطلاعات ناقص",IF(CL865&gt;=17,"عالی",IF(CL865&gt;=14,"خوب",IF(CL865&gt;=10,"متوسط","ضعیف"))))))</x:f>
      </x:c>
      <x:c r="CN865" s="178" t="n">
        <x:v>9</x:v>
      </x:c>
      <x:c r="CO865" s="142" t="n">
        <x:f>IF(C865="","",COUNT(G865:CB865)/74)</x:f>
        <x:v>0</x:v>
      </x:c>
      <x:c r="CP865" s="245"/>
    </x:row>
    <x:row r="866">
      <x:c r="A866" s="165" t="n">
        <x:v>862</x:v>
      </x:c>
      <x:c r="B866" s="233" t="str">
        <x:v>فروردین</x:v>
      </x:c>
      <x:c r="C866" s="233" t="n">
        <x:f>IF('دانش‌آموزان'!E76="","",'دانش‌آموزان'!B76)</x:f>
        <x:v>72</x:v>
      </x:c>
      <x:c r="D866" s="233" t="str">
        <x:f>IF('دانش‌آموزان'!C76="","",'دانش‌آموزان'!C76)</x:f>
        <x:v>4000000721</x:v>
      </x:c>
      <x:c r="E866" s="233" t="str">
        <x:f>IF('دانش‌آموزان'!E76="","",'دانش‌آموزان'!E76&amp;" "&amp;'دانش‌آموزان'!F76)</x:f>
        <x:v>رها یوسفی</x:v>
      </x:c>
      <x:c r="F866" s="166" t="str">
        <x:f>IF('دانش‌آموزان'!I76="","",'دانش‌آموزان'!I76)</x:f>
        <x:v>sample-7-c</x:v>
      </x:c>
      <x:c r="G866" s="114"/>
      <x:c r="H866" s="115"/>
      <x:c r="I866" s="115"/>
      <x:c r="J866" s="115"/>
      <x:c r="K866" s="115"/>
      <x:c r="L866" s="115"/>
      <x:c r="M866" s="115"/>
      <x:c r="N866" s="115"/>
      <x:c r="O866" s="115"/>
      <x:c r="P866" s="115"/>
      <x:c r="Q866" s="115"/>
      <x:c r="R866" s="115"/>
      <x:c r="S866" s="115"/>
      <x:c r="T866" s="115"/>
      <x:c r="U866" s="115"/>
      <x:c r="V866" s="115"/>
      <x:c r="W866" s="115"/>
      <x:c r="X866" s="115"/>
      <x:c r="Y866" s="115"/>
      <x:c r="Z866" s="115"/>
      <x:c r="AA866" s="115"/>
      <x:c r="AB866" s="115"/>
      <x:c r="AC866" s="115"/>
      <x:c r="AD866" s="115"/>
      <x:c r="AE866" s="115"/>
      <x:c r="AF866" s="115"/>
      <x:c r="AG866" s="115"/>
      <x:c r="AH866" s="115"/>
      <x:c r="AI866" s="115"/>
      <x:c r="AJ866" s="115"/>
      <x:c r="AK866" s="115"/>
      <x:c r="AL866" s="115"/>
      <x:c r="AM866" s="115"/>
      <x:c r="AN866" s="115"/>
      <x:c r="AO866" s="115"/>
      <x:c r="AP866" s="115"/>
      <x:c r="AQ866" s="115"/>
      <x:c r="AR866" s="115"/>
      <x:c r="AS866" s="115"/>
      <x:c r="AT866" s="115"/>
      <x:c r="AU866" s="115"/>
      <x:c r="AV866" s="115"/>
      <x:c r="AW866" s="115"/>
      <x:c r="AX866" s="115"/>
      <x:c r="AY866" s="115"/>
      <x:c r="AZ866" s="115"/>
      <x:c r="BA866" s="115"/>
      <x:c r="BB866" s="115"/>
      <x:c r="BC866" s="115"/>
      <x:c r="BD866" s="115"/>
      <x:c r="BE866" s="115"/>
      <x:c r="BF866" s="115"/>
      <x:c r="BG866" s="115"/>
      <x:c r="BH866" s="115"/>
      <x:c r="BI866" s="115"/>
      <x:c r="BJ866" s="115"/>
      <x:c r="BK866" s="115"/>
      <x:c r="BL866" s="115"/>
      <x:c r="BM866" s="115"/>
      <x:c r="BN866" s="115"/>
      <x:c r="BO866" s="115"/>
      <x:c r="BP866" s="115"/>
      <x:c r="BQ866" s="115"/>
      <x:c r="BR866" s="115"/>
      <x:c r="BS866" s="115"/>
      <x:c r="BT866" s="115"/>
      <x:c r="BU866" s="115"/>
      <x:c r="BV866" s="115"/>
      <x:c r="BW866" s="115"/>
      <x:c r="BX866" s="115"/>
      <x:c r="BY866" s="115"/>
      <x:c r="BZ866" s="115"/>
      <x:c r="CA866" s="115"/>
      <x:c r="CB866" s="116"/>
      <x:c r="CC866" s="141" t="str">
        <x:f>IF(COUNT(G866:P866)=0,"",AVERAGE(G866:P866)*4)</x:f>
      </x:c>
      <x:c r="CD866" s="178" t="str">
        <x:f>IF(COUNT(Q866:Z866)=0,"",AVERAGE(Q866:Z866)*4)</x:f>
      </x:c>
      <x:c r="CE866" s="178" t="str">
        <x:f>IF(COUNT(AA866:AJ866)=0,"",AVERAGE(AA866:AJ866)*4)</x:f>
      </x:c>
      <x:c r="CF866" s="178" t="str">
        <x:f>IF(COUNT(AK866:AR866)=0,"",AVERAGE(AK866:AR866)*4)</x:f>
      </x:c>
      <x:c r="CG866" s="178" t="str">
        <x:f>IF(COUNT(AS866:AY866)=0,"",AVERAGE(AS866:AY866)*4)</x:f>
      </x:c>
      <x:c r="CH866" s="178" t="str">
        <x:f>IF(COUNT(AZ866:BG866)=0,"",AVERAGE(AZ866:BG866)*4)</x:f>
      </x:c>
      <x:c r="CI866" s="178" t="str">
        <x:f>IF(COUNT(BH866:BN866)=0,"",AVERAGE(BH866:BN866)*4)</x:f>
      </x:c>
      <x:c r="CJ866" s="178" t="str">
        <x:f>IF(COUNT(BO866:BU866)=0,"",AVERAGE(BO866:BU866)*4)</x:f>
      </x:c>
      <x:c r="CK866" s="178" t="str">
        <x:f>IF(COUNT(BV866:CB866)=0,"",AVERAGE(BV866:CB866)*4)</x:f>
      </x:c>
      <x:c r="CL866" s="178" t="str">
        <x:f>IF(C866="","",IF(COUNT(G866:CB866)&lt;74,"",(CC866*'تنظیمات وزن‌دهی'!$C$5+CD866*'تنظیمات وزن‌دهی'!$C$6+CE866*'تنظیمات وزن‌دهی'!$C$7+CF866*'تنظیمات وزن‌دهی'!$C$8+CG866*'تنظیمات وزن‌دهی'!$C$9+CH866*'تنظیمات وزن‌دهی'!$C$10+CI866*'تنظیمات وزن‌دهی'!$C$11+CJ866*'تنظیمات وزن‌دهی'!$C$12+CK866*'تنظیمات وزن‌دهی'!$C$13)/100))</x:f>
      </x:c>
      <x:c r="CM866" s="178" t="str">
        <x:f>IF(C866="","",IF(COUNT(G866:CB866)=0,"",IF(COUNT(G866:CB866)&lt;74,"موقت - اطلاعات ناقص",IF(CL866&gt;=17,"عالی",IF(CL866&gt;=14,"خوب",IF(CL866&gt;=10,"متوسط","ضعیف"))))))</x:f>
      </x:c>
      <x:c r="CN866" s="178" t="n">
        <x:v>10</x:v>
      </x:c>
      <x:c r="CO866" s="142" t="n">
        <x:f>IF(C866="","",COUNT(G866:CB866)/74)</x:f>
        <x:v>0</x:v>
      </x:c>
      <x:c r="CP866" s="245"/>
    </x:row>
    <x:row r="867">
      <x:c r="A867" s="165" t="n">
        <x:v>863</x:v>
      </x:c>
      <x:c r="B867" s="233" t="str">
        <x:v>اردیبهشت</x:v>
      </x:c>
      <x:c r="C867" s="233" t="n">
        <x:f>IF('دانش‌آموزان'!E76="","",'دانش‌آموزان'!B76)</x:f>
        <x:v>72</x:v>
      </x:c>
      <x:c r="D867" s="233" t="str">
        <x:f>IF('دانش‌آموزان'!C76="","",'دانش‌آموزان'!C76)</x:f>
        <x:v>4000000721</x:v>
      </x:c>
      <x:c r="E867" s="233" t="str">
        <x:f>IF('دانش‌آموزان'!E76="","",'دانش‌آموزان'!E76&amp;" "&amp;'دانش‌آموزان'!F76)</x:f>
        <x:v>رها یوسفی</x:v>
      </x:c>
      <x:c r="F867" s="166" t="str">
        <x:f>IF('دانش‌آموزان'!I76="","",'دانش‌آموزان'!I76)</x:f>
        <x:v>sample-7-c</x:v>
      </x:c>
      <x:c r="G867" s="114"/>
      <x:c r="H867" s="115"/>
      <x:c r="I867" s="115"/>
      <x:c r="J867" s="115"/>
      <x:c r="K867" s="115"/>
      <x:c r="L867" s="115"/>
      <x:c r="M867" s="115"/>
      <x:c r="N867" s="115"/>
      <x:c r="O867" s="115"/>
      <x:c r="P867" s="115"/>
      <x:c r="Q867" s="115"/>
      <x:c r="R867" s="115"/>
      <x:c r="S867" s="115"/>
      <x:c r="T867" s="115"/>
      <x:c r="U867" s="115"/>
      <x:c r="V867" s="115"/>
      <x:c r="W867" s="115"/>
      <x:c r="X867" s="115"/>
      <x:c r="Y867" s="115"/>
      <x:c r="Z867" s="115"/>
      <x:c r="AA867" s="115"/>
      <x:c r="AB867" s="115"/>
      <x:c r="AC867" s="115"/>
      <x:c r="AD867" s="115"/>
      <x:c r="AE867" s="115"/>
      <x:c r="AF867" s="115"/>
      <x:c r="AG867" s="115"/>
      <x:c r="AH867" s="115"/>
      <x:c r="AI867" s="115"/>
      <x:c r="AJ867" s="115"/>
      <x:c r="AK867" s="115"/>
      <x:c r="AL867" s="115"/>
      <x:c r="AM867" s="115"/>
      <x:c r="AN867" s="115"/>
      <x:c r="AO867" s="115"/>
      <x:c r="AP867" s="115"/>
      <x:c r="AQ867" s="115"/>
      <x:c r="AR867" s="115"/>
      <x:c r="AS867" s="115"/>
      <x:c r="AT867" s="115"/>
      <x:c r="AU867" s="115"/>
      <x:c r="AV867" s="115"/>
      <x:c r="AW867" s="115"/>
      <x:c r="AX867" s="115"/>
      <x:c r="AY867" s="115"/>
      <x:c r="AZ867" s="115"/>
      <x:c r="BA867" s="115"/>
      <x:c r="BB867" s="115"/>
      <x:c r="BC867" s="115"/>
      <x:c r="BD867" s="115"/>
      <x:c r="BE867" s="115"/>
      <x:c r="BF867" s="115"/>
      <x:c r="BG867" s="115"/>
      <x:c r="BH867" s="115"/>
      <x:c r="BI867" s="115"/>
      <x:c r="BJ867" s="115"/>
      <x:c r="BK867" s="115"/>
      <x:c r="BL867" s="115"/>
      <x:c r="BM867" s="115"/>
      <x:c r="BN867" s="115"/>
      <x:c r="BO867" s="115"/>
      <x:c r="BP867" s="115"/>
      <x:c r="BQ867" s="115"/>
      <x:c r="BR867" s="115"/>
      <x:c r="BS867" s="115"/>
      <x:c r="BT867" s="115"/>
      <x:c r="BU867" s="115"/>
      <x:c r="BV867" s="115"/>
      <x:c r="BW867" s="115"/>
      <x:c r="BX867" s="115"/>
      <x:c r="BY867" s="115"/>
      <x:c r="BZ867" s="115"/>
      <x:c r="CA867" s="115"/>
      <x:c r="CB867" s="116"/>
      <x:c r="CC867" s="141" t="str">
        <x:f>IF(COUNT(G867:P867)=0,"",AVERAGE(G867:P867)*4)</x:f>
      </x:c>
      <x:c r="CD867" s="178" t="str">
        <x:f>IF(COUNT(Q867:Z867)=0,"",AVERAGE(Q867:Z867)*4)</x:f>
      </x:c>
      <x:c r="CE867" s="178" t="str">
        <x:f>IF(COUNT(AA867:AJ867)=0,"",AVERAGE(AA867:AJ867)*4)</x:f>
      </x:c>
      <x:c r="CF867" s="178" t="str">
        <x:f>IF(COUNT(AK867:AR867)=0,"",AVERAGE(AK867:AR867)*4)</x:f>
      </x:c>
      <x:c r="CG867" s="178" t="str">
        <x:f>IF(COUNT(AS867:AY867)=0,"",AVERAGE(AS867:AY867)*4)</x:f>
      </x:c>
      <x:c r="CH867" s="178" t="str">
        <x:f>IF(COUNT(AZ867:BG867)=0,"",AVERAGE(AZ867:BG867)*4)</x:f>
      </x:c>
      <x:c r="CI867" s="178" t="str">
        <x:f>IF(COUNT(BH867:BN867)=0,"",AVERAGE(BH867:BN867)*4)</x:f>
      </x:c>
      <x:c r="CJ867" s="178" t="str">
        <x:f>IF(COUNT(BO867:BU867)=0,"",AVERAGE(BO867:BU867)*4)</x:f>
      </x:c>
      <x:c r="CK867" s="178" t="str">
        <x:f>IF(COUNT(BV867:CB867)=0,"",AVERAGE(BV867:CB867)*4)</x:f>
      </x:c>
      <x:c r="CL867" s="178" t="str">
        <x:f>IF(C867="","",IF(COUNT(G867:CB867)&lt;74,"",(CC867*'تنظیمات وزن‌دهی'!$C$5+CD867*'تنظیمات وزن‌دهی'!$C$6+CE867*'تنظیمات وزن‌دهی'!$C$7+CF867*'تنظیمات وزن‌دهی'!$C$8+CG867*'تنظیمات وزن‌دهی'!$C$9+CH867*'تنظیمات وزن‌دهی'!$C$10+CI867*'تنظیمات وزن‌دهی'!$C$11+CJ867*'تنظیمات وزن‌دهی'!$C$12+CK867*'تنظیمات وزن‌دهی'!$C$13)/100))</x:f>
      </x:c>
      <x:c r="CM867" s="178" t="str">
        <x:f>IF(C867="","",IF(COUNT(G867:CB867)=0,"",IF(COUNT(G867:CB867)&lt;74,"موقت - اطلاعات ناقص",IF(CL867&gt;=17,"عالی",IF(CL867&gt;=14,"خوب",IF(CL867&gt;=10,"متوسط","ضعیف"))))))</x:f>
      </x:c>
      <x:c r="CN867" s="178" t="n">
        <x:v>11</x:v>
      </x:c>
      <x:c r="CO867" s="142" t="n">
        <x:f>IF(C867="","",COUNT(G867:CB867)/74)</x:f>
        <x:v>0</x:v>
      </x:c>
      <x:c r="CP867" s="245"/>
    </x:row>
    <x:row r="868">
      <x:c r="A868" s="165" t="n">
        <x:v>864</x:v>
      </x:c>
      <x:c r="B868" s="233" t="str">
        <x:v>خرداد</x:v>
      </x:c>
      <x:c r="C868" s="233" t="n">
        <x:f>IF('دانش‌آموزان'!E76="","",'دانش‌آموزان'!B76)</x:f>
        <x:v>72</x:v>
      </x:c>
      <x:c r="D868" s="233" t="str">
        <x:f>IF('دانش‌آموزان'!C76="","",'دانش‌آموزان'!C76)</x:f>
        <x:v>4000000721</x:v>
      </x:c>
      <x:c r="E868" s="233" t="str">
        <x:f>IF('دانش‌آموزان'!E76="","",'دانش‌آموزان'!E76&amp;" "&amp;'دانش‌آموزان'!F76)</x:f>
        <x:v>رها یوسفی</x:v>
      </x:c>
      <x:c r="F868" s="166" t="str">
        <x:f>IF('دانش‌آموزان'!I76="","",'دانش‌آموزان'!I76)</x:f>
        <x:v>sample-7-c</x:v>
      </x:c>
      <x:c r="G868" s="114"/>
      <x:c r="H868" s="115"/>
      <x:c r="I868" s="115"/>
      <x:c r="J868" s="115"/>
      <x:c r="K868" s="115"/>
      <x:c r="L868" s="115"/>
      <x:c r="M868" s="115"/>
      <x:c r="N868" s="115"/>
      <x:c r="O868" s="115"/>
      <x:c r="P868" s="115"/>
      <x:c r="Q868" s="115"/>
      <x:c r="R868" s="115"/>
      <x:c r="S868" s="115"/>
      <x:c r="T868" s="115"/>
      <x:c r="U868" s="115"/>
      <x:c r="V868" s="115"/>
      <x:c r="W868" s="115"/>
      <x:c r="X868" s="115"/>
      <x:c r="Y868" s="115"/>
      <x:c r="Z868" s="115"/>
      <x:c r="AA868" s="115"/>
      <x:c r="AB868" s="115"/>
      <x:c r="AC868" s="115"/>
      <x:c r="AD868" s="115"/>
      <x:c r="AE868" s="115"/>
      <x:c r="AF868" s="115"/>
      <x:c r="AG868" s="115"/>
      <x:c r="AH868" s="115"/>
      <x:c r="AI868" s="115"/>
      <x:c r="AJ868" s="115"/>
      <x:c r="AK868" s="115"/>
      <x:c r="AL868" s="115"/>
      <x:c r="AM868" s="115"/>
      <x:c r="AN868" s="115"/>
      <x:c r="AO868" s="115"/>
      <x:c r="AP868" s="115"/>
      <x:c r="AQ868" s="115"/>
      <x:c r="AR868" s="115"/>
      <x:c r="AS868" s="115"/>
      <x:c r="AT868" s="115"/>
      <x:c r="AU868" s="115"/>
      <x:c r="AV868" s="115"/>
      <x:c r="AW868" s="115"/>
      <x:c r="AX868" s="115"/>
      <x:c r="AY868" s="115"/>
      <x:c r="AZ868" s="115"/>
      <x:c r="BA868" s="115"/>
      <x:c r="BB868" s="115"/>
      <x:c r="BC868" s="115"/>
      <x:c r="BD868" s="115"/>
      <x:c r="BE868" s="115"/>
      <x:c r="BF868" s="115"/>
      <x:c r="BG868" s="115"/>
      <x:c r="BH868" s="115"/>
      <x:c r="BI868" s="115"/>
      <x:c r="BJ868" s="115"/>
      <x:c r="BK868" s="115"/>
      <x:c r="BL868" s="115"/>
      <x:c r="BM868" s="115"/>
      <x:c r="BN868" s="115"/>
      <x:c r="BO868" s="115"/>
      <x:c r="BP868" s="115"/>
      <x:c r="BQ868" s="115"/>
      <x:c r="BR868" s="115"/>
      <x:c r="BS868" s="115"/>
      <x:c r="BT868" s="115"/>
      <x:c r="BU868" s="115"/>
      <x:c r="BV868" s="115"/>
      <x:c r="BW868" s="115"/>
      <x:c r="BX868" s="115"/>
      <x:c r="BY868" s="115"/>
      <x:c r="BZ868" s="115"/>
      <x:c r="CA868" s="115"/>
      <x:c r="CB868" s="116"/>
      <x:c r="CC868" s="141" t="str">
        <x:f>IF(COUNT(G868:P868)=0,"",AVERAGE(G868:P868)*4)</x:f>
      </x:c>
      <x:c r="CD868" s="178" t="str">
        <x:f>IF(COUNT(Q868:Z868)=0,"",AVERAGE(Q868:Z868)*4)</x:f>
      </x:c>
      <x:c r="CE868" s="178" t="str">
        <x:f>IF(COUNT(AA868:AJ868)=0,"",AVERAGE(AA868:AJ868)*4)</x:f>
      </x:c>
      <x:c r="CF868" s="178" t="str">
        <x:f>IF(COUNT(AK868:AR868)=0,"",AVERAGE(AK868:AR868)*4)</x:f>
      </x:c>
      <x:c r="CG868" s="178" t="str">
        <x:f>IF(COUNT(AS868:AY868)=0,"",AVERAGE(AS868:AY868)*4)</x:f>
      </x:c>
      <x:c r="CH868" s="178" t="str">
        <x:f>IF(COUNT(AZ868:BG868)=0,"",AVERAGE(AZ868:BG868)*4)</x:f>
      </x:c>
      <x:c r="CI868" s="178" t="str">
        <x:f>IF(COUNT(BH868:BN868)=0,"",AVERAGE(BH868:BN868)*4)</x:f>
      </x:c>
      <x:c r="CJ868" s="178" t="str">
        <x:f>IF(COUNT(BO868:BU868)=0,"",AVERAGE(BO868:BU868)*4)</x:f>
      </x:c>
      <x:c r="CK868" s="178" t="str">
        <x:f>IF(COUNT(BV868:CB868)=0,"",AVERAGE(BV868:CB868)*4)</x:f>
      </x:c>
      <x:c r="CL868" s="178" t="str">
        <x:f>IF(C868="","",IF(COUNT(G868:CB868)&lt;74,"",(CC868*'تنظیمات وزن‌دهی'!$C$5+CD868*'تنظیمات وزن‌دهی'!$C$6+CE868*'تنظیمات وزن‌دهی'!$C$7+CF868*'تنظیمات وزن‌دهی'!$C$8+CG868*'تنظیمات وزن‌دهی'!$C$9+CH868*'تنظیمات وزن‌دهی'!$C$10+CI868*'تنظیمات وزن‌دهی'!$C$11+CJ868*'تنظیمات وزن‌دهی'!$C$12+CK868*'تنظیمات وزن‌دهی'!$C$13)/100))</x:f>
      </x:c>
      <x:c r="CM868" s="178" t="str">
        <x:f>IF(C868="","",IF(COUNT(G868:CB868)=0,"",IF(COUNT(G868:CB868)&lt;74,"موقت - اطلاعات ناقص",IF(CL868&gt;=17,"عالی",IF(CL868&gt;=14,"خوب",IF(CL868&gt;=10,"متوسط","ضعیف"))))))</x:f>
      </x:c>
      <x:c r="CN868" s="178" t="n">
        <x:v>12</x:v>
      </x:c>
      <x:c r="CO868" s="142" t="n">
        <x:f>IF(C868="","",COUNT(G868:CB868)/74)</x:f>
        <x:v>0</x:v>
      </x:c>
      <x:c r="CP868" s="245"/>
    </x:row>
    <x:row r="869">
      <x:c r="A869" s="165" t="n">
        <x:v>865</x:v>
      </x:c>
      <x:c r="B869" s="233" t="str">
        <x:v>تیر</x:v>
      </x:c>
      <x:c r="C869" s="233" t="n">
        <x:f>IF('دانش‌آموزان'!E77="","",'دانش‌آموزان'!B77)</x:f>
        <x:v>73</x:v>
      </x:c>
      <x:c r="D869" s="233" t="str">
        <x:f>IF('دانش‌آموزان'!C77="","",'دانش‌آموزان'!C77)</x:f>
        <x:v>4000000731</x:v>
      </x:c>
      <x:c r="E869" s="233" t="str">
        <x:f>IF('دانش‌آموزان'!E77="","",'دانش‌آموزان'!E77&amp;" "&amp;'دانش‌آموزان'!F77)</x:f>
        <x:v>طاها رضایی</x:v>
      </x:c>
      <x:c r="F869" s="166" t="str">
        <x:f>IF('دانش‌آموزان'!I77="","",'دانش‌آموزان'!I77)</x:f>
        <x:v>sample-7-c</x:v>
      </x:c>
      <x:c r="G869" s="114" t="n">
        <x:v>4</x:v>
      </x:c>
      <x:c r="H869" s="115" t="n">
        <x:v>3</x:v>
      </x:c>
      <x:c r="I869" s="115" t="n">
        <x:v>4</x:v>
      </x:c>
      <x:c r="J869" s="115" t="n">
        <x:v>2</x:v>
      </x:c>
      <x:c r="K869" s="115" t="n">
        <x:v>4</x:v>
      </x:c>
      <x:c r="L869" s="115" t="n">
        <x:v>5</x:v>
      </x:c>
      <x:c r="M869" s="115" t="n">
        <x:v>4</x:v>
      </x:c>
      <x:c r="N869" s="115" t="n">
        <x:v>5</x:v>
      </x:c>
      <x:c r="O869" s="115" t="n">
        <x:v>3</x:v>
      </x:c>
      <x:c r="P869" s="115" t="n">
        <x:v>5</x:v>
      </x:c>
      <x:c r="Q869" s="115" t="n">
        <x:v>3</x:v>
      </x:c>
      <x:c r="R869" s="115" t="n">
        <x:v>4</x:v>
      </x:c>
      <x:c r="S869" s="115" t="n">
        <x:v>3</x:v>
      </x:c>
      <x:c r="T869" s="115" t="n">
        <x:v>4</x:v>
      </x:c>
      <x:c r="U869" s="115" t="n">
        <x:v>2</x:v>
      </x:c>
      <x:c r="V869" s="115" t="n">
        <x:v>4</x:v>
      </x:c>
      <x:c r="W869" s="115" t="n">
        <x:v>5</x:v>
      </x:c>
      <x:c r="X869" s="115" t="n">
        <x:v>4</x:v>
      </x:c>
      <x:c r="Y869" s="115" t="n">
        <x:v>5</x:v>
      </x:c>
      <x:c r="Z869" s="115" t="n">
        <x:v>3</x:v>
      </x:c>
      <x:c r="AA869" s="115" t="n">
        <x:v>5</x:v>
      </x:c>
      <x:c r="AB869" s="115" t="n">
        <x:v>3</x:v>
      </x:c>
      <x:c r="AC869" s="115" t="n">
        <x:v>4</x:v>
      </x:c>
      <x:c r="AD869" s="115" t="n">
        <x:v>3</x:v>
      </x:c>
      <x:c r="AE869" s="115" t="n">
        <x:v>4</x:v>
      </x:c>
      <x:c r="AF869" s="115" t="n">
        <x:v>2</x:v>
      </x:c>
      <x:c r="AG869" s="115" t="n">
        <x:v>4</x:v>
      </x:c>
      <x:c r="AH869" s="115" t="n">
        <x:v>5</x:v>
      </x:c>
      <x:c r="AI869" s="115" t="n">
        <x:v>4</x:v>
      </x:c>
      <x:c r="AJ869" s="115" t="n">
        <x:v>5</x:v>
      </x:c>
      <x:c r="AK869" s="115" t="n">
        <x:v>3</x:v>
      </x:c>
      <x:c r="AL869" s="115" t="n">
        <x:v>5</x:v>
      </x:c>
      <x:c r="AM869" s="115" t="n">
        <x:v>3</x:v>
      </x:c>
      <x:c r="AN869" s="115" t="n">
        <x:v>4</x:v>
      </x:c>
      <x:c r="AO869" s="115" t="n">
        <x:v>3</x:v>
      </x:c>
      <x:c r="AP869" s="115" t="n">
        <x:v>4</x:v>
      </x:c>
      <x:c r="AQ869" s="115" t="n">
        <x:v>2</x:v>
      </x:c>
      <x:c r="AR869" s="115" t="n">
        <x:v>4</x:v>
      </x:c>
      <x:c r="AS869" s="115" t="n">
        <x:v>5</x:v>
      </x:c>
      <x:c r="AT869" s="115" t="n">
        <x:v>4</x:v>
      </x:c>
      <x:c r="AU869" s="115" t="n">
        <x:v>5</x:v>
      </x:c>
      <x:c r="AV869" s="115" t="n">
        <x:v>3</x:v>
      </x:c>
      <x:c r="AW869" s="115" t="n">
        <x:v>5</x:v>
      </x:c>
      <x:c r="AX869" s="115" t="n">
        <x:v>3</x:v>
      </x:c>
      <x:c r="AY869" s="115" t="n">
        <x:v>4</x:v>
      </x:c>
      <x:c r="AZ869" s="115" t="n">
        <x:v>3</x:v>
      </x:c>
      <x:c r="BA869" s="115" t="n">
        <x:v>4</x:v>
      </x:c>
      <x:c r="BB869" s="115" t="n">
        <x:v>2</x:v>
      </x:c>
      <x:c r="BC869" s="115" t="n">
        <x:v>4</x:v>
      </x:c>
      <x:c r="BD869" s="115" t="n">
        <x:v>5</x:v>
      </x:c>
      <x:c r="BE869" s="115" t="n">
        <x:v>4</x:v>
      </x:c>
      <x:c r="BF869" s="115" t="n">
        <x:v>5</x:v>
      </x:c>
      <x:c r="BG869" s="115" t="n">
        <x:v>3</x:v>
      </x:c>
      <x:c r="BH869" s="115" t="n">
        <x:v>5</x:v>
      </x:c>
      <x:c r="BI869" s="115" t="n">
        <x:v>3</x:v>
      </x:c>
      <x:c r="BJ869" s="115" t="n">
        <x:v>4</x:v>
      </x:c>
      <x:c r="BK869" s="115" t="n">
        <x:v>3</x:v>
      </x:c>
      <x:c r="BL869" s="115" t="n">
        <x:v>4</x:v>
      </x:c>
      <x:c r="BM869" s="115" t="n">
        <x:v>2</x:v>
      </x:c>
      <x:c r="BN869" s="115" t="n">
        <x:v>4</x:v>
      </x:c>
      <x:c r="BO869" s="115" t="n">
        <x:v>5</x:v>
      </x:c>
      <x:c r="BP869" s="115" t="n">
        <x:v>4</x:v>
      </x:c>
      <x:c r="BQ869" s="115" t="n">
        <x:v>5</x:v>
      </x:c>
      <x:c r="BR869" s="115" t="n">
        <x:v>3</x:v>
      </x:c>
      <x:c r="BS869" s="115" t="n">
        <x:v>5</x:v>
      </x:c>
      <x:c r="BT869" s="115" t="n">
        <x:v>3</x:v>
      </x:c>
      <x:c r="BU869" s="115" t="n">
        <x:v>4</x:v>
      </x:c>
      <x:c r="BV869" s="115" t="n">
        <x:v>3</x:v>
      </x:c>
      <x:c r="BW869" s="115" t="n">
        <x:v>4</x:v>
      </x:c>
      <x:c r="BX869" s="115" t="n">
        <x:v>2</x:v>
      </x:c>
      <x:c r="BY869" s="115" t="n">
        <x:v>4</x:v>
      </x:c>
      <x:c r="BZ869" s="115" t="n">
        <x:v>5</x:v>
      </x:c>
      <x:c r="CA869" s="115" t="n">
        <x:v>4</x:v>
      </x:c>
      <x:c r="CB869" s="116" t="n">
        <x:v>5</x:v>
      </x:c>
      <x:c r="CC869" s="141" t="n">
        <x:f>IF(COUNT(G869:P869)=0,"",AVERAGE(G869:P869)*4)</x:f>
        <x:v>15.6</x:v>
      </x:c>
      <x:c r="CD869" s="178" t="n">
        <x:f>IF(COUNT(Q869:Z869)=0,"",AVERAGE(Q869:Z869)*4)</x:f>
        <x:v>14.8</x:v>
      </x:c>
      <x:c r="CE869" s="178" t="n">
        <x:f>IF(COUNT(AA869:AJ869)=0,"",AVERAGE(AA869:AJ869)*4)</x:f>
        <x:v>15.6</x:v>
      </x:c>
      <x:c r="CF869" s="178" t="n">
        <x:f>IF(COUNT(AK869:AR869)=0,"",AVERAGE(AK869:AR869)*4)</x:f>
        <x:v>14</x:v>
      </x:c>
      <x:c r="CG869" s="178" t="n">
        <x:f>IF(COUNT(AS869:AY869)=0,"",AVERAGE(AS869:AY869)*4)</x:f>
        <x:v>16.571428571428573</x:v>
      </x:c>
      <x:c r="CH869" s="178" t="n">
        <x:f>IF(COUNT(AZ869:BG869)=0,"",AVERAGE(AZ869:BG869)*4)</x:f>
        <x:v>15</x:v>
      </x:c>
      <x:c r="CI869" s="178" t="n">
        <x:f>IF(COUNT(BH869:BN869)=0,"",AVERAGE(BH869:BN869)*4)</x:f>
        <x:v>14.285714285714286</x:v>
      </x:c>
      <x:c r="CJ869" s="178" t="n">
        <x:f>IF(COUNT(BO869:BU869)=0,"",AVERAGE(BO869:BU869)*4)</x:f>
        <x:v>16.571428571428573</x:v>
      </x:c>
      <x:c r="CK869" s="178" t="n">
        <x:f>IF(COUNT(BV869:CB869)=0,"",AVERAGE(BV869:CB869)*4)</x:f>
        <x:v>15.428571428571429</x:v>
      </x:c>
      <x:c r="CL869" s="178" t="n">
        <x:f>IF(C869="","",IF(COUNT(G869:CB869)&lt;74,"",(CC869*'تنظیمات وزن‌دهی'!$C$5+CD869*'تنظیمات وزن‌دهی'!$C$6+CE869*'تنظیمات وزن‌دهی'!$C$7+CF869*'تنظیمات وزن‌دهی'!$C$8+CG869*'تنظیمات وزن‌دهی'!$C$9+CH869*'تنظیمات وزن‌دهی'!$C$10+CI869*'تنظیمات وزن‌دهی'!$C$11+CJ869*'تنظیمات وزن‌دهی'!$C$12+CK869*'تنظیمات وزن‌دهی'!$C$13)/100))</x:f>
        <x:v>15.214285714285715</x:v>
      </x:c>
      <x:c r="CM869" s="178" t="str">
        <x:f>IF(C869="","",IF(COUNT(G869:CB869)=0,"",IF(COUNT(G869:CB869)&lt;74,"موقت - اطلاعات ناقص",IF(CL869&gt;=17,"عالی",IF(CL869&gt;=14,"خوب",IF(CL869&gt;=10,"متوسط","ضعیف"))))))</x:f>
        <x:v>خوب</x:v>
      </x:c>
      <x:c r="CN869" s="178" t="n">
        <x:v>1</x:v>
      </x:c>
      <x:c r="CO869" s="142" t="n">
        <x:f>IF(C869="","",COUNT(G869:CB869)/74)</x:f>
        <x:v>1</x:v>
      </x:c>
      <x:c r="CP869" s="245" t="str">
        <x:v>داده نمونه کامل برای ماه تیر - دانش‌آموز شماره 73</x:v>
      </x:c>
    </x:row>
    <x:row r="870">
      <x:c r="A870" s="165" t="n">
        <x:v>866</x:v>
      </x:c>
      <x:c r="B870" s="233" t="str">
        <x:v>مرداد</x:v>
      </x:c>
      <x:c r="C870" s="233" t="n">
        <x:f>IF('دانش‌آموزان'!E77="","",'دانش‌آموزان'!B77)</x:f>
        <x:v>73</x:v>
      </x:c>
      <x:c r="D870" s="233" t="str">
        <x:f>IF('دانش‌آموزان'!C77="","",'دانش‌آموزان'!C77)</x:f>
        <x:v>4000000731</x:v>
      </x:c>
      <x:c r="E870" s="233" t="str">
        <x:f>IF('دانش‌آموزان'!E77="","",'دانش‌آموزان'!E77&amp;" "&amp;'دانش‌آموزان'!F77)</x:f>
        <x:v>طاها رضایی</x:v>
      </x:c>
      <x:c r="F870" s="166" t="str">
        <x:f>IF('دانش‌آموزان'!I77="","",'دانش‌آموزان'!I77)</x:f>
        <x:v>sample-7-c</x:v>
      </x:c>
      <x:c r="G870" s="114"/>
      <x:c r="H870" s="115"/>
      <x:c r="I870" s="115"/>
      <x:c r="J870" s="115"/>
      <x:c r="K870" s="115"/>
      <x:c r="L870" s="115"/>
      <x:c r="M870" s="115"/>
      <x:c r="N870" s="115"/>
      <x:c r="O870" s="115"/>
      <x:c r="P870" s="115"/>
      <x:c r="Q870" s="115"/>
      <x:c r="R870" s="115"/>
      <x:c r="S870" s="115"/>
      <x:c r="T870" s="115"/>
      <x:c r="U870" s="115"/>
      <x:c r="V870" s="115"/>
      <x:c r="W870" s="115"/>
      <x:c r="X870" s="115"/>
      <x:c r="Y870" s="115"/>
      <x:c r="Z870" s="115"/>
      <x:c r="AA870" s="115"/>
      <x:c r="AB870" s="115"/>
      <x:c r="AC870" s="115"/>
      <x:c r="AD870" s="115"/>
      <x:c r="AE870" s="115"/>
      <x:c r="AF870" s="115"/>
      <x:c r="AG870" s="115"/>
      <x:c r="AH870" s="115"/>
      <x:c r="AI870" s="115"/>
      <x:c r="AJ870" s="115"/>
      <x:c r="AK870" s="115"/>
      <x:c r="AL870" s="115"/>
      <x:c r="AM870" s="115"/>
      <x:c r="AN870" s="115"/>
      <x:c r="AO870" s="115"/>
      <x:c r="AP870" s="115"/>
      <x:c r="AQ870" s="115"/>
      <x:c r="AR870" s="115"/>
      <x:c r="AS870" s="115"/>
      <x:c r="AT870" s="115"/>
      <x:c r="AU870" s="115"/>
      <x:c r="AV870" s="115"/>
      <x:c r="AW870" s="115"/>
      <x:c r="AX870" s="115"/>
      <x:c r="AY870" s="115"/>
      <x:c r="AZ870" s="115"/>
      <x:c r="BA870" s="115"/>
      <x:c r="BB870" s="115"/>
      <x:c r="BC870" s="115"/>
      <x:c r="BD870" s="115"/>
      <x:c r="BE870" s="115"/>
      <x:c r="BF870" s="115"/>
      <x:c r="BG870" s="115"/>
      <x:c r="BH870" s="115"/>
      <x:c r="BI870" s="115"/>
      <x:c r="BJ870" s="115"/>
      <x:c r="BK870" s="115"/>
      <x:c r="BL870" s="115"/>
      <x:c r="BM870" s="115"/>
      <x:c r="BN870" s="115"/>
      <x:c r="BO870" s="115"/>
      <x:c r="BP870" s="115"/>
      <x:c r="BQ870" s="115"/>
      <x:c r="BR870" s="115"/>
      <x:c r="BS870" s="115"/>
      <x:c r="BT870" s="115"/>
      <x:c r="BU870" s="115"/>
      <x:c r="BV870" s="115"/>
      <x:c r="BW870" s="115"/>
      <x:c r="BX870" s="115"/>
      <x:c r="BY870" s="115"/>
      <x:c r="BZ870" s="115"/>
      <x:c r="CA870" s="115"/>
      <x:c r="CB870" s="116"/>
      <x:c r="CC870" s="141" t="str">
        <x:f>IF(COUNT(G870:P870)=0,"",AVERAGE(G870:P870)*4)</x:f>
      </x:c>
      <x:c r="CD870" s="178" t="str">
        <x:f>IF(COUNT(Q870:Z870)=0,"",AVERAGE(Q870:Z870)*4)</x:f>
      </x:c>
      <x:c r="CE870" s="178" t="str">
        <x:f>IF(COUNT(AA870:AJ870)=0,"",AVERAGE(AA870:AJ870)*4)</x:f>
      </x:c>
      <x:c r="CF870" s="178" t="str">
        <x:f>IF(COUNT(AK870:AR870)=0,"",AVERAGE(AK870:AR870)*4)</x:f>
      </x:c>
      <x:c r="CG870" s="178" t="str">
        <x:f>IF(COUNT(AS870:AY870)=0,"",AVERAGE(AS870:AY870)*4)</x:f>
      </x:c>
      <x:c r="CH870" s="178" t="str">
        <x:f>IF(COUNT(AZ870:BG870)=0,"",AVERAGE(AZ870:BG870)*4)</x:f>
      </x:c>
      <x:c r="CI870" s="178" t="str">
        <x:f>IF(COUNT(BH870:BN870)=0,"",AVERAGE(BH870:BN870)*4)</x:f>
      </x:c>
      <x:c r="CJ870" s="178" t="str">
        <x:f>IF(COUNT(BO870:BU870)=0,"",AVERAGE(BO870:BU870)*4)</x:f>
      </x:c>
      <x:c r="CK870" s="178" t="str">
        <x:f>IF(COUNT(BV870:CB870)=0,"",AVERAGE(BV870:CB870)*4)</x:f>
      </x:c>
      <x:c r="CL870" s="178" t="str">
        <x:f>IF(C870="","",IF(COUNT(G870:CB870)&lt;74,"",(CC870*'تنظیمات وزن‌دهی'!$C$5+CD870*'تنظیمات وزن‌دهی'!$C$6+CE870*'تنظیمات وزن‌دهی'!$C$7+CF870*'تنظیمات وزن‌دهی'!$C$8+CG870*'تنظیمات وزن‌دهی'!$C$9+CH870*'تنظیمات وزن‌دهی'!$C$10+CI870*'تنظیمات وزن‌دهی'!$C$11+CJ870*'تنظیمات وزن‌دهی'!$C$12+CK870*'تنظیمات وزن‌دهی'!$C$13)/100))</x:f>
      </x:c>
      <x:c r="CM870" s="178" t="str">
        <x:f>IF(C870="","",IF(COUNT(G870:CB870)=0,"",IF(COUNT(G870:CB870)&lt;74,"موقت - اطلاعات ناقص",IF(CL870&gt;=17,"عالی",IF(CL870&gt;=14,"خوب",IF(CL870&gt;=10,"متوسط","ضعیف"))))))</x:f>
      </x:c>
      <x:c r="CN870" s="178" t="n">
        <x:v>2</x:v>
      </x:c>
      <x:c r="CO870" s="142" t="n">
        <x:f>IF(C870="","",COUNT(G870:CB870)/74)</x:f>
        <x:v>0</x:v>
      </x:c>
      <x:c r="CP870" s="245"/>
    </x:row>
    <x:row r="871">
      <x:c r="A871" s="165" t="n">
        <x:v>867</x:v>
      </x:c>
      <x:c r="B871" s="233" t="str">
        <x:v>شهریور</x:v>
      </x:c>
      <x:c r="C871" s="233" t="n">
        <x:f>IF('دانش‌آموزان'!E77="","",'دانش‌آموزان'!B77)</x:f>
        <x:v>73</x:v>
      </x:c>
      <x:c r="D871" s="233" t="str">
        <x:f>IF('دانش‌آموزان'!C77="","",'دانش‌آموزان'!C77)</x:f>
        <x:v>4000000731</x:v>
      </x:c>
      <x:c r="E871" s="233" t="str">
        <x:f>IF('دانش‌آموزان'!E77="","",'دانش‌آموزان'!E77&amp;" "&amp;'دانش‌آموزان'!F77)</x:f>
        <x:v>طاها رضایی</x:v>
      </x:c>
      <x:c r="F871" s="166" t="str">
        <x:f>IF('دانش‌آموزان'!I77="","",'دانش‌آموزان'!I77)</x:f>
        <x:v>sample-7-c</x:v>
      </x:c>
      <x:c r="G871" s="114"/>
      <x:c r="H871" s="115"/>
      <x:c r="I871" s="115"/>
      <x:c r="J871" s="115"/>
      <x:c r="K871" s="115"/>
      <x:c r="L871" s="115"/>
      <x:c r="M871" s="115"/>
      <x:c r="N871" s="115"/>
      <x:c r="O871" s="115"/>
      <x:c r="P871" s="115"/>
      <x:c r="Q871" s="115"/>
      <x:c r="R871" s="115"/>
      <x:c r="S871" s="115"/>
      <x:c r="T871" s="115"/>
      <x:c r="U871" s="115"/>
      <x:c r="V871" s="115"/>
      <x:c r="W871" s="115"/>
      <x:c r="X871" s="115"/>
      <x:c r="Y871" s="115"/>
      <x:c r="Z871" s="115"/>
      <x:c r="AA871" s="115"/>
      <x:c r="AB871" s="115"/>
      <x:c r="AC871" s="115"/>
      <x:c r="AD871" s="115"/>
      <x:c r="AE871" s="115"/>
      <x:c r="AF871" s="115"/>
      <x:c r="AG871" s="115"/>
      <x:c r="AH871" s="115"/>
      <x:c r="AI871" s="115"/>
      <x:c r="AJ871" s="115"/>
      <x:c r="AK871" s="115"/>
      <x:c r="AL871" s="115"/>
      <x:c r="AM871" s="115"/>
      <x:c r="AN871" s="115"/>
      <x:c r="AO871" s="115"/>
      <x:c r="AP871" s="115"/>
      <x:c r="AQ871" s="115"/>
      <x:c r="AR871" s="115"/>
      <x:c r="AS871" s="115"/>
      <x:c r="AT871" s="115"/>
      <x:c r="AU871" s="115"/>
      <x:c r="AV871" s="115"/>
      <x:c r="AW871" s="115"/>
      <x:c r="AX871" s="115"/>
      <x:c r="AY871" s="115"/>
      <x:c r="AZ871" s="115"/>
      <x:c r="BA871" s="115"/>
      <x:c r="BB871" s="115"/>
      <x:c r="BC871" s="115"/>
      <x:c r="BD871" s="115"/>
      <x:c r="BE871" s="115"/>
      <x:c r="BF871" s="115"/>
      <x:c r="BG871" s="115"/>
      <x:c r="BH871" s="115"/>
      <x:c r="BI871" s="115"/>
      <x:c r="BJ871" s="115"/>
      <x:c r="BK871" s="115"/>
      <x:c r="BL871" s="115"/>
      <x:c r="BM871" s="115"/>
      <x:c r="BN871" s="115"/>
      <x:c r="BO871" s="115"/>
      <x:c r="BP871" s="115"/>
      <x:c r="BQ871" s="115"/>
      <x:c r="BR871" s="115"/>
      <x:c r="BS871" s="115"/>
      <x:c r="BT871" s="115"/>
      <x:c r="BU871" s="115"/>
      <x:c r="BV871" s="115"/>
      <x:c r="BW871" s="115"/>
      <x:c r="BX871" s="115"/>
      <x:c r="BY871" s="115"/>
      <x:c r="BZ871" s="115"/>
      <x:c r="CA871" s="115"/>
      <x:c r="CB871" s="116"/>
      <x:c r="CC871" s="141" t="str">
        <x:f>IF(COUNT(G871:P871)=0,"",AVERAGE(G871:P871)*4)</x:f>
      </x:c>
      <x:c r="CD871" s="178" t="str">
        <x:f>IF(COUNT(Q871:Z871)=0,"",AVERAGE(Q871:Z871)*4)</x:f>
      </x:c>
      <x:c r="CE871" s="178" t="str">
        <x:f>IF(COUNT(AA871:AJ871)=0,"",AVERAGE(AA871:AJ871)*4)</x:f>
      </x:c>
      <x:c r="CF871" s="178" t="str">
        <x:f>IF(COUNT(AK871:AR871)=0,"",AVERAGE(AK871:AR871)*4)</x:f>
      </x:c>
      <x:c r="CG871" s="178" t="str">
        <x:f>IF(COUNT(AS871:AY871)=0,"",AVERAGE(AS871:AY871)*4)</x:f>
      </x:c>
      <x:c r="CH871" s="178" t="str">
        <x:f>IF(COUNT(AZ871:BG871)=0,"",AVERAGE(AZ871:BG871)*4)</x:f>
      </x:c>
      <x:c r="CI871" s="178" t="str">
        <x:f>IF(COUNT(BH871:BN871)=0,"",AVERAGE(BH871:BN871)*4)</x:f>
      </x:c>
      <x:c r="CJ871" s="178" t="str">
        <x:f>IF(COUNT(BO871:BU871)=0,"",AVERAGE(BO871:BU871)*4)</x:f>
      </x:c>
      <x:c r="CK871" s="178" t="str">
        <x:f>IF(COUNT(BV871:CB871)=0,"",AVERAGE(BV871:CB871)*4)</x:f>
      </x:c>
      <x:c r="CL871" s="178" t="str">
        <x:f>IF(C871="","",IF(COUNT(G871:CB871)&lt;74,"",(CC871*'تنظیمات وزن‌دهی'!$C$5+CD871*'تنظیمات وزن‌دهی'!$C$6+CE871*'تنظیمات وزن‌دهی'!$C$7+CF871*'تنظیمات وزن‌دهی'!$C$8+CG871*'تنظیمات وزن‌دهی'!$C$9+CH871*'تنظیمات وزن‌دهی'!$C$10+CI871*'تنظیمات وزن‌دهی'!$C$11+CJ871*'تنظیمات وزن‌دهی'!$C$12+CK871*'تنظیمات وزن‌دهی'!$C$13)/100))</x:f>
      </x:c>
      <x:c r="CM871" s="178" t="str">
        <x:f>IF(C871="","",IF(COUNT(G871:CB871)=0,"",IF(COUNT(G871:CB871)&lt;74,"موقت - اطلاعات ناقص",IF(CL871&gt;=17,"عالی",IF(CL871&gt;=14,"خوب",IF(CL871&gt;=10,"متوسط","ضعیف"))))))</x:f>
      </x:c>
      <x:c r="CN871" s="178" t="n">
        <x:v>3</x:v>
      </x:c>
      <x:c r="CO871" s="142" t="n">
        <x:f>IF(C871="","",COUNT(G871:CB871)/74)</x:f>
        <x:v>0</x:v>
      </x:c>
      <x:c r="CP871" s="245"/>
    </x:row>
    <x:row r="872">
      <x:c r="A872" s="165" t="n">
        <x:v>868</x:v>
      </x:c>
      <x:c r="B872" s="233" t="str">
        <x:v>مهر</x:v>
      </x:c>
      <x:c r="C872" s="233" t="n">
        <x:f>IF('دانش‌آموزان'!E77="","",'دانش‌آموزان'!B77)</x:f>
        <x:v>73</x:v>
      </x:c>
      <x:c r="D872" s="233" t="str">
        <x:f>IF('دانش‌آموزان'!C77="","",'دانش‌آموزان'!C77)</x:f>
        <x:v>4000000731</x:v>
      </x:c>
      <x:c r="E872" s="233" t="str">
        <x:f>IF('دانش‌آموزان'!E77="","",'دانش‌آموزان'!E77&amp;" "&amp;'دانش‌آموزان'!F77)</x:f>
        <x:v>طاها رضایی</x:v>
      </x:c>
      <x:c r="F872" s="166" t="str">
        <x:f>IF('دانش‌آموزان'!I77="","",'دانش‌آموزان'!I77)</x:f>
        <x:v>sample-7-c</x:v>
      </x:c>
      <x:c r="G872" s="114"/>
      <x:c r="H872" s="115"/>
      <x:c r="I872" s="115"/>
      <x:c r="J872" s="115"/>
      <x:c r="K872" s="115"/>
      <x:c r="L872" s="115"/>
      <x:c r="M872" s="115"/>
      <x:c r="N872" s="115"/>
      <x:c r="O872" s="115"/>
      <x:c r="P872" s="115"/>
      <x:c r="Q872" s="115"/>
      <x:c r="R872" s="115"/>
      <x:c r="S872" s="115"/>
      <x:c r="T872" s="115"/>
      <x:c r="U872" s="115"/>
      <x:c r="V872" s="115"/>
      <x:c r="W872" s="115"/>
      <x:c r="X872" s="115"/>
      <x:c r="Y872" s="115"/>
      <x:c r="Z872" s="115"/>
      <x:c r="AA872" s="115"/>
      <x:c r="AB872" s="115"/>
      <x:c r="AC872" s="115"/>
      <x:c r="AD872" s="115"/>
      <x:c r="AE872" s="115"/>
      <x:c r="AF872" s="115"/>
      <x:c r="AG872" s="115"/>
      <x:c r="AH872" s="115"/>
      <x:c r="AI872" s="115"/>
      <x:c r="AJ872" s="115"/>
      <x:c r="AK872" s="115"/>
      <x:c r="AL872" s="115"/>
      <x:c r="AM872" s="115"/>
      <x:c r="AN872" s="115"/>
      <x:c r="AO872" s="115"/>
      <x:c r="AP872" s="115"/>
      <x:c r="AQ872" s="115"/>
      <x:c r="AR872" s="115"/>
      <x:c r="AS872" s="115"/>
      <x:c r="AT872" s="115"/>
      <x:c r="AU872" s="115"/>
      <x:c r="AV872" s="115"/>
      <x:c r="AW872" s="115"/>
      <x:c r="AX872" s="115"/>
      <x:c r="AY872" s="115"/>
      <x:c r="AZ872" s="115"/>
      <x:c r="BA872" s="115"/>
      <x:c r="BB872" s="115"/>
      <x:c r="BC872" s="115"/>
      <x:c r="BD872" s="115"/>
      <x:c r="BE872" s="115"/>
      <x:c r="BF872" s="115"/>
      <x:c r="BG872" s="115"/>
      <x:c r="BH872" s="115"/>
      <x:c r="BI872" s="115"/>
      <x:c r="BJ872" s="115"/>
      <x:c r="BK872" s="115"/>
      <x:c r="BL872" s="115"/>
      <x:c r="BM872" s="115"/>
      <x:c r="BN872" s="115"/>
      <x:c r="BO872" s="115"/>
      <x:c r="BP872" s="115"/>
      <x:c r="BQ872" s="115"/>
      <x:c r="BR872" s="115"/>
      <x:c r="BS872" s="115"/>
      <x:c r="BT872" s="115"/>
      <x:c r="BU872" s="115"/>
      <x:c r="BV872" s="115"/>
      <x:c r="BW872" s="115"/>
      <x:c r="BX872" s="115"/>
      <x:c r="BY872" s="115"/>
      <x:c r="BZ872" s="115"/>
      <x:c r="CA872" s="115"/>
      <x:c r="CB872" s="116"/>
      <x:c r="CC872" s="141" t="str">
        <x:f>IF(COUNT(G872:P872)=0,"",AVERAGE(G872:P872)*4)</x:f>
      </x:c>
      <x:c r="CD872" s="178" t="str">
        <x:f>IF(COUNT(Q872:Z872)=0,"",AVERAGE(Q872:Z872)*4)</x:f>
      </x:c>
      <x:c r="CE872" s="178" t="str">
        <x:f>IF(COUNT(AA872:AJ872)=0,"",AVERAGE(AA872:AJ872)*4)</x:f>
      </x:c>
      <x:c r="CF872" s="178" t="str">
        <x:f>IF(COUNT(AK872:AR872)=0,"",AVERAGE(AK872:AR872)*4)</x:f>
      </x:c>
      <x:c r="CG872" s="178" t="str">
        <x:f>IF(COUNT(AS872:AY872)=0,"",AVERAGE(AS872:AY872)*4)</x:f>
      </x:c>
      <x:c r="CH872" s="178" t="str">
        <x:f>IF(COUNT(AZ872:BG872)=0,"",AVERAGE(AZ872:BG872)*4)</x:f>
      </x:c>
      <x:c r="CI872" s="178" t="str">
        <x:f>IF(COUNT(BH872:BN872)=0,"",AVERAGE(BH872:BN872)*4)</x:f>
      </x:c>
      <x:c r="CJ872" s="178" t="str">
        <x:f>IF(COUNT(BO872:BU872)=0,"",AVERAGE(BO872:BU872)*4)</x:f>
      </x:c>
      <x:c r="CK872" s="178" t="str">
        <x:f>IF(COUNT(BV872:CB872)=0,"",AVERAGE(BV872:CB872)*4)</x:f>
      </x:c>
      <x:c r="CL872" s="178" t="str">
        <x:f>IF(C872="","",IF(COUNT(G872:CB872)&lt;74,"",(CC872*'تنظیمات وزن‌دهی'!$C$5+CD872*'تنظیمات وزن‌دهی'!$C$6+CE872*'تنظیمات وزن‌دهی'!$C$7+CF872*'تنظیمات وزن‌دهی'!$C$8+CG872*'تنظیمات وزن‌دهی'!$C$9+CH872*'تنظیمات وزن‌دهی'!$C$10+CI872*'تنظیمات وزن‌دهی'!$C$11+CJ872*'تنظیمات وزن‌دهی'!$C$12+CK872*'تنظیمات وزن‌دهی'!$C$13)/100))</x:f>
      </x:c>
      <x:c r="CM872" s="178" t="str">
        <x:f>IF(C872="","",IF(COUNT(G872:CB872)=0,"",IF(COUNT(G872:CB872)&lt;74,"موقت - اطلاعات ناقص",IF(CL872&gt;=17,"عالی",IF(CL872&gt;=14,"خوب",IF(CL872&gt;=10,"متوسط","ضعیف"))))))</x:f>
      </x:c>
      <x:c r="CN872" s="178" t="n">
        <x:v>4</x:v>
      </x:c>
      <x:c r="CO872" s="142" t="n">
        <x:f>IF(C872="","",COUNT(G872:CB872)/74)</x:f>
        <x:v>0</x:v>
      </x:c>
      <x:c r="CP872" s="245"/>
    </x:row>
    <x:row r="873">
      <x:c r="A873" s="165" t="n">
        <x:v>869</x:v>
      </x:c>
      <x:c r="B873" s="233" t="str">
        <x:v>آبان</x:v>
      </x:c>
      <x:c r="C873" s="233" t="n">
        <x:f>IF('دانش‌آموزان'!E77="","",'دانش‌آموزان'!B77)</x:f>
        <x:v>73</x:v>
      </x:c>
      <x:c r="D873" s="233" t="str">
        <x:f>IF('دانش‌آموزان'!C77="","",'دانش‌آموزان'!C77)</x:f>
        <x:v>4000000731</x:v>
      </x:c>
      <x:c r="E873" s="233" t="str">
        <x:f>IF('دانش‌آموزان'!E77="","",'دانش‌آموزان'!E77&amp;" "&amp;'دانش‌آموزان'!F77)</x:f>
        <x:v>طاها رضایی</x:v>
      </x:c>
      <x:c r="F873" s="166" t="str">
        <x:f>IF('دانش‌آموزان'!I77="","",'دانش‌آموزان'!I77)</x:f>
        <x:v>sample-7-c</x:v>
      </x:c>
      <x:c r="G873" s="114"/>
      <x:c r="H873" s="115"/>
      <x:c r="I873" s="115"/>
      <x:c r="J873" s="115"/>
      <x:c r="K873" s="115"/>
      <x:c r="L873" s="115"/>
      <x:c r="M873" s="115"/>
      <x:c r="N873" s="115"/>
      <x:c r="O873" s="115"/>
      <x:c r="P873" s="115"/>
      <x:c r="Q873" s="115"/>
      <x:c r="R873" s="115"/>
      <x:c r="S873" s="115"/>
      <x:c r="T873" s="115"/>
      <x:c r="U873" s="115"/>
      <x:c r="V873" s="115"/>
      <x:c r="W873" s="115"/>
      <x:c r="X873" s="115"/>
      <x:c r="Y873" s="115"/>
      <x:c r="Z873" s="115"/>
      <x:c r="AA873" s="115"/>
      <x:c r="AB873" s="115"/>
      <x:c r="AC873" s="115"/>
      <x:c r="AD873" s="115"/>
      <x:c r="AE873" s="115"/>
      <x:c r="AF873" s="115"/>
      <x:c r="AG873" s="115"/>
      <x:c r="AH873" s="115"/>
      <x:c r="AI873" s="115"/>
      <x:c r="AJ873" s="115"/>
      <x:c r="AK873" s="115"/>
      <x:c r="AL873" s="115"/>
      <x:c r="AM873" s="115"/>
      <x:c r="AN873" s="115"/>
      <x:c r="AO873" s="115"/>
      <x:c r="AP873" s="115"/>
      <x:c r="AQ873" s="115"/>
      <x:c r="AR873" s="115"/>
      <x:c r="AS873" s="115"/>
      <x:c r="AT873" s="115"/>
      <x:c r="AU873" s="115"/>
      <x:c r="AV873" s="115"/>
      <x:c r="AW873" s="115"/>
      <x:c r="AX873" s="115"/>
      <x:c r="AY873" s="115"/>
      <x:c r="AZ873" s="115"/>
      <x:c r="BA873" s="115"/>
      <x:c r="BB873" s="115"/>
      <x:c r="BC873" s="115"/>
      <x:c r="BD873" s="115"/>
      <x:c r="BE873" s="115"/>
      <x:c r="BF873" s="115"/>
      <x:c r="BG873" s="115"/>
      <x:c r="BH873" s="115"/>
      <x:c r="BI873" s="115"/>
      <x:c r="BJ873" s="115"/>
      <x:c r="BK873" s="115"/>
      <x:c r="BL873" s="115"/>
      <x:c r="BM873" s="115"/>
      <x:c r="BN873" s="115"/>
      <x:c r="BO873" s="115"/>
      <x:c r="BP873" s="115"/>
      <x:c r="BQ873" s="115"/>
      <x:c r="BR873" s="115"/>
      <x:c r="BS873" s="115"/>
      <x:c r="BT873" s="115"/>
      <x:c r="BU873" s="115"/>
      <x:c r="BV873" s="115"/>
      <x:c r="BW873" s="115"/>
      <x:c r="BX873" s="115"/>
      <x:c r="BY873" s="115"/>
      <x:c r="BZ873" s="115"/>
      <x:c r="CA873" s="115"/>
      <x:c r="CB873" s="116"/>
      <x:c r="CC873" s="141" t="str">
        <x:f>IF(COUNT(G873:P873)=0,"",AVERAGE(G873:P873)*4)</x:f>
      </x:c>
      <x:c r="CD873" s="178" t="str">
        <x:f>IF(COUNT(Q873:Z873)=0,"",AVERAGE(Q873:Z873)*4)</x:f>
      </x:c>
      <x:c r="CE873" s="178" t="str">
        <x:f>IF(COUNT(AA873:AJ873)=0,"",AVERAGE(AA873:AJ873)*4)</x:f>
      </x:c>
      <x:c r="CF873" s="178" t="str">
        <x:f>IF(COUNT(AK873:AR873)=0,"",AVERAGE(AK873:AR873)*4)</x:f>
      </x:c>
      <x:c r="CG873" s="178" t="str">
        <x:f>IF(COUNT(AS873:AY873)=0,"",AVERAGE(AS873:AY873)*4)</x:f>
      </x:c>
      <x:c r="CH873" s="178" t="str">
        <x:f>IF(COUNT(AZ873:BG873)=0,"",AVERAGE(AZ873:BG873)*4)</x:f>
      </x:c>
      <x:c r="CI873" s="178" t="str">
        <x:f>IF(COUNT(BH873:BN873)=0,"",AVERAGE(BH873:BN873)*4)</x:f>
      </x:c>
      <x:c r="CJ873" s="178" t="str">
        <x:f>IF(COUNT(BO873:BU873)=0,"",AVERAGE(BO873:BU873)*4)</x:f>
      </x:c>
      <x:c r="CK873" s="178" t="str">
        <x:f>IF(COUNT(BV873:CB873)=0,"",AVERAGE(BV873:CB873)*4)</x:f>
      </x:c>
      <x:c r="CL873" s="178" t="str">
        <x:f>IF(C873="","",IF(COUNT(G873:CB873)&lt;74,"",(CC873*'تنظیمات وزن‌دهی'!$C$5+CD873*'تنظیمات وزن‌دهی'!$C$6+CE873*'تنظیمات وزن‌دهی'!$C$7+CF873*'تنظیمات وزن‌دهی'!$C$8+CG873*'تنظیمات وزن‌دهی'!$C$9+CH873*'تنظیمات وزن‌دهی'!$C$10+CI873*'تنظیمات وزن‌دهی'!$C$11+CJ873*'تنظیمات وزن‌دهی'!$C$12+CK873*'تنظیمات وزن‌دهی'!$C$13)/100))</x:f>
      </x:c>
      <x:c r="CM873" s="178" t="str">
        <x:f>IF(C873="","",IF(COUNT(G873:CB873)=0,"",IF(COUNT(G873:CB873)&lt;74,"موقت - اطلاعات ناقص",IF(CL873&gt;=17,"عالی",IF(CL873&gt;=14,"خوب",IF(CL873&gt;=10,"متوسط","ضعیف"))))))</x:f>
      </x:c>
      <x:c r="CN873" s="178" t="n">
        <x:v>5</x:v>
      </x:c>
      <x:c r="CO873" s="142" t="n">
        <x:f>IF(C873="","",COUNT(G873:CB873)/74)</x:f>
        <x:v>0</x:v>
      </x:c>
      <x:c r="CP873" s="245"/>
    </x:row>
    <x:row r="874">
      <x:c r="A874" s="165" t="n">
        <x:v>870</x:v>
      </x:c>
      <x:c r="B874" s="233" t="str">
        <x:v>آذر</x:v>
      </x:c>
      <x:c r="C874" s="233" t="n">
        <x:f>IF('دانش‌آموزان'!E77="","",'دانش‌آموزان'!B77)</x:f>
        <x:v>73</x:v>
      </x:c>
      <x:c r="D874" s="233" t="str">
        <x:f>IF('دانش‌آموزان'!C77="","",'دانش‌آموزان'!C77)</x:f>
        <x:v>4000000731</x:v>
      </x:c>
      <x:c r="E874" s="233" t="str">
        <x:f>IF('دانش‌آموزان'!E77="","",'دانش‌آموزان'!E77&amp;" "&amp;'دانش‌آموزان'!F77)</x:f>
        <x:v>طاها رضایی</x:v>
      </x:c>
      <x:c r="F874" s="166" t="str">
        <x:f>IF('دانش‌آموزان'!I77="","",'دانش‌آموزان'!I77)</x:f>
        <x:v>sample-7-c</x:v>
      </x:c>
      <x:c r="G874" s="114"/>
      <x:c r="H874" s="115"/>
      <x:c r="I874" s="115"/>
      <x:c r="J874" s="115"/>
      <x:c r="K874" s="115"/>
      <x:c r="L874" s="115"/>
      <x:c r="M874" s="115"/>
      <x:c r="N874" s="115"/>
      <x:c r="O874" s="115"/>
      <x:c r="P874" s="115"/>
      <x:c r="Q874" s="115"/>
      <x:c r="R874" s="115"/>
      <x:c r="S874" s="115"/>
      <x:c r="T874" s="115"/>
      <x:c r="U874" s="115"/>
      <x:c r="V874" s="115"/>
      <x:c r="W874" s="115"/>
      <x:c r="X874" s="115"/>
      <x:c r="Y874" s="115"/>
      <x:c r="Z874" s="115"/>
      <x:c r="AA874" s="115"/>
      <x:c r="AB874" s="115"/>
      <x:c r="AC874" s="115"/>
      <x:c r="AD874" s="115"/>
      <x:c r="AE874" s="115"/>
      <x:c r="AF874" s="115"/>
      <x:c r="AG874" s="115"/>
      <x:c r="AH874" s="115"/>
      <x:c r="AI874" s="115"/>
      <x:c r="AJ874" s="115"/>
      <x:c r="AK874" s="115"/>
      <x:c r="AL874" s="115"/>
      <x:c r="AM874" s="115"/>
      <x:c r="AN874" s="115"/>
      <x:c r="AO874" s="115"/>
      <x:c r="AP874" s="115"/>
      <x:c r="AQ874" s="115"/>
      <x:c r="AR874" s="115"/>
      <x:c r="AS874" s="115"/>
      <x:c r="AT874" s="115"/>
      <x:c r="AU874" s="115"/>
      <x:c r="AV874" s="115"/>
      <x:c r="AW874" s="115"/>
      <x:c r="AX874" s="115"/>
      <x:c r="AY874" s="115"/>
      <x:c r="AZ874" s="115"/>
      <x:c r="BA874" s="115"/>
      <x:c r="BB874" s="115"/>
      <x:c r="BC874" s="115"/>
      <x:c r="BD874" s="115"/>
      <x:c r="BE874" s="115"/>
      <x:c r="BF874" s="115"/>
      <x:c r="BG874" s="115"/>
      <x:c r="BH874" s="115"/>
      <x:c r="BI874" s="115"/>
      <x:c r="BJ874" s="115"/>
      <x:c r="BK874" s="115"/>
      <x:c r="BL874" s="115"/>
      <x:c r="BM874" s="115"/>
      <x:c r="BN874" s="115"/>
      <x:c r="BO874" s="115"/>
      <x:c r="BP874" s="115"/>
      <x:c r="BQ874" s="115"/>
      <x:c r="BR874" s="115"/>
      <x:c r="BS874" s="115"/>
      <x:c r="BT874" s="115"/>
      <x:c r="BU874" s="115"/>
      <x:c r="BV874" s="115"/>
      <x:c r="BW874" s="115"/>
      <x:c r="BX874" s="115"/>
      <x:c r="BY874" s="115"/>
      <x:c r="BZ874" s="115"/>
      <x:c r="CA874" s="115"/>
      <x:c r="CB874" s="116"/>
      <x:c r="CC874" s="141" t="str">
        <x:f>IF(COUNT(G874:P874)=0,"",AVERAGE(G874:P874)*4)</x:f>
      </x:c>
      <x:c r="CD874" s="178" t="str">
        <x:f>IF(COUNT(Q874:Z874)=0,"",AVERAGE(Q874:Z874)*4)</x:f>
      </x:c>
      <x:c r="CE874" s="178" t="str">
        <x:f>IF(COUNT(AA874:AJ874)=0,"",AVERAGE(AA874:AJ874)*4)</x:f>
      </x:c>
      <x:c r="CF874" s="178" t="str">
        <x:f>IF(COUNT(AK874:AR874)=0,"",AVERAGE(AK874:AR874)*4)</x:f>
      </x:c>
      <x:c r="CG874" s="178" t="str">
        <x:f>IF(COUNT(AS874:AY874)=0,"",AVERAGE(AS874:AY874)*4)</x:f>
      </x:c>
      <x:c r="CH874" s="178" t="str">
        <x:f>IF(COUNT(AZ874:BG874)=0,"",AVERAGE(AZ874:BG874)*4)</x:f>
      </x:c>
      <x:c r="CI874" s="178" t="str">
        <x:f>IF(COUNT(BH874:BN874)=0,"",AVERAGE(BH874:BN874)*4)</x:f>
      </x:c>
      <x:c r="CJ874" s="178" t="str">
        <x:f>IF(COUNT(BO874:BU874)=0,"",AVERAGE(BO874:BU874)*4)</x:f>
      </x:c>
      <x:c r="CK874" s="178" t="str">
        <x:f>IF(COUNT(BV874:CB874)=0,"",AVERAGE(BV874:CB874)*4)</x:f>
      </x:c>
      <x:c r="CL874" s="178" t="str">
        <x:f>IF(C874="","",IF(COUNT(G874:CB874)&lt;74,"",(CC874*'تنظیمات وزن‌دهی'!$C$5+CD874*'تنظیمات وزن‌دهی'!$C$6+CE874*'تنظیمات وزن‌دهی'!$C$7+CF874*'تنظیمات وزن‌دهی'!$C$8+CG874*'تنظیمات وزن‌دهی'!$C$9+CH874*'تنظیمات وزن‌دهی'!$C$10+CI874*'تنظیمات وزن‌دهی'!$C$11+CJ874*'تنظیمات وزن‌دهی'!$C$12+CK874*'تنظیمات وزن‌دهی'!$C$13)/100))</x:f>
      </x:c>
      <x:c r="CM874" s="178" t="str">
        <x:f>IF(C874="","",IF(COUNT(G874:CB874)=0,"",IF(COUNT(G874:CB874)&lt;74,"موقت - اطلاعات ناقص",IF(CL874&gt;=17,"عالی",IF(CL874&gt;=14,"خوب",IF(CL874&gt;=10,"متوسط","ضعیف"))))))</x:f>
      </x:c>
      <x:c r="CN874" s="178" t="n">
        <x:v>6</x:v>
      </x:c>
      <x:c r="CO874" s="142" t="n">
        <x:f>IF(C874="","",COUNT(G874:CB874)/74)</x:f>
        <x:v>0</x:v>
      </x:c>
      <x:c r="CP874" s="245"/>
    </x:row>
    <x:row r="875">
      <x:c r="A875" s="165" t="n">
        <x:v>871</x:v>
      </x:c>
      <x:c r="B875" s="233" t="str">
        <x:v>دی</x:v>
      </x:c>
      <x:c r="C875" s="233" t="n">
        <x:f>IF('دانش‌آموزان'!E77="","",'دانش‌آموزان'!B77)</x:f>
        <x:v>73</x:v>
      </x:c>
      <x:c r="D875" s="233" t="str">
        <x:f>IF('دانش‌آموزان'!C77="","",'دانش‌آموزان'!C77)</x:f>
        <x:v>4000000731</x:v>
      </x:c>
      <x:c r="E875" s="233" t="str">
        <x:f>IF('دانش‌آموزان'!E77="","",'دانش‌آموزان'!E77&amp;" "&amp;'دانش‌آموزان'!F77)</x:f>
        <x:v>طاها رضایی</x:v>
      </x:c>
      <x:c r="F875" s="166" t="str">
        <x:f>IF('دانش‌آموزان'!I77="","",'دانش‌آموزان'!I77)</x:f>
        <x:v>sample-7-c</x:v>
      </x:c>
      <x:c r="G875" s="114"/>
      <x:c r="H875" s="115"/>
      <x:c r="I875" s="115"/>
      <x:c r="J875" s="115"/>
      <x:c r="K875" s="115"/>
      <x:c r="L875" s="115"/>
      <x:c r="M875" s="115"/>
      <x:c r="N875" s="115"/>
      <x:c r="O875" s="115"/>
      <x:c r="P875" s="115"/>
      <x:c r="Q875" s="115"/>
      <x:c r="R875" s="115"/>
      <x:c r="S875" s="115"/>
      <x:c r="T875" s="115"/>
      <x:c r="U875" s="115"/>
      <x:c r="V875" s="115"/>
      <x:c r="W875" s="115"/>
      <x:c r="X875" s="115"/>
      <x:c r="Y875" s="115"/>
      <x:c r="Z875" s="115"/>
      <x:c r="AA875" s="115"/>
      <x:c r="AB875" s="115"/>
      <x:c r="AC875" s="115"/>
      <x:c r="AD875" s="115"/>
      <x:c r="AE875" s="115"/>
      <x:c r="AF875" s="115"/>
      <x:c r="AG875" s="115"/>
      <x:c r="AH875" s="115"/>
      <x:c r="AI875" s="115"/>
      <x:c r="AJ875" s="115"/>
      <x:c r="AK875" s="115"/>
      <x:c r="AL875" s="115"/>
      <x:c r="AM875" s="115"/>
      <x:c r="AN875" s="115"/>
      <x:c r="AO875" s="115"/>
      <x:c r="AP875" s="115"/>
      <x:c r="AQ875" s="115"/>
      <x:c r="AR875" s="115"/>
      <x:c r="AS875" s="115"/>
      <x:c r="AT875" s="115"/>
      <x:c r="AU875" s="115"/>
      <x:c r="AV875" s="115"/>
      <x:c r="AW875" s="115"/>
      <x:c r="AX875" s="115"/>
      <x:c r="AY875" s="115"/>
      <x:c r="AZ875" s="115"/>
      <x:c r="BA875" s="115"/>
      <x:c r="BB875" s="115"/>
      <x:c r="BC875" s="115"/>
      <x:c r="BD875" s="115"/>
      <x:c r="BE875" s="115"/>
      <x:c r="BF875" s="115"/>
      <x:c r="BG875" s="115"/>
      <x:c r="BH875" s="115"/>
      <x:c r="BI875" s="115"/>
      <x:c r="BJ875" s="115"/>
      <x:c r="BK875" s="115"/>
      <x:c r="BL875" s="115"/>
      <x:c r="BM875" s="115"/>
      <x:c r="BN875" s="115"/>
      <x:c r="BO875" s="115"/>
      <x:c r="BP875" s="115"/>
      <x:c r="BQ875" s="115"/>
      <x:c r="BR875" s="115"/>
      <x:c r="BS875" s="115"/>
      <x:c r="BT875" s="115"/>
      <x:c r="BU875" s="115"/>
      <x:c r="BV875" s="115"/>
      <x:c r="BW875" s="115"/>
      <x:c r="BX875" s="115"/>
      <x:c r="BY875" s="115"/>
      <x:c r="BZ875" s="115"/>
      <x:c r="CA875" s="115"/>
      <x:c r="CB875" s="116"/>
      <x:c r="CC875" s="141" t="str">
        <x:f>IF(COUNT(G875:P875)=0,"",AVERAGE(G875:P875)*4)</x:f>
      </x:c>
      <x:c r="CD875" s="178" t="str">
        <x:f>IF(COUNT(Q875:Z875)=0,"",AVERAGE(Q875:Z875)*4)</x:f>
      </x:c>
      <x:c r="CE875" s="178" t="str">
        <x:f>IF(COUNT(AA875:AJ875)=0,"",AVERAGE(AA875:AJ875)*4)</x:f>
      </x:c>
      <x:c r="CF875" s="178" t="str">
        <x:f>IF(COUNT(AK875:AR875)=0,"",AVERAGE(AK875:AR875)*4)</x:f>
      </x:c>
      <x:c r="CG875" s="178" t="str">
        <x:f>IF(COUNT(AS875:AY875)=0,"",AVERAGE(AS875:AY875)*4)</x:f>
      </x:c>
      <x:c r="CH875" s="178" t="str">
        <x:f>IF(COUNT(AZ875:BG875)=0,"",AVERAGE(AZ875:BG875)*4)</x:f>
      </x:c>
      <x:c r="CI875" s="178" t="str">
        <x:f>IF(COUNT(BH875:BN875)=0,"",AVERAGE(BH875:BN875)*4)</x:f>
      </x:c>
      <x:c r="CJ875" s="178" t="str">
        <x:f>IF(COUNT(BO875:BU875)=0,"",AVERAGE(BO875:BU875)*4)</x:f>
      </x:c>
      <x:c r="CK875" s="178" t="str">
        <x:f>IF(COUNT(BV875:CB875)=0,"",AVERAGE(BV875:CB875)*4)</x:f>
      </x:c>
      <x:c r="CL875" s="178" t="str">
        <x:f>IF(C875="","",IF(COUNT(G875:CB875)&lt;74,"",(CC875*'تنظیمات وزن‌دهی'!$C$5+CD875*'تنظیمات وزن‌دهی'!$C$6+CE875*'تنظیمات وزن‌دهی'!$C$7+CF875*'تنظیمات وزن‌دهی'!$C$8+CG875*'تنظیمات وزن‌دهی'!$C$9+CH875*'تنظیمات وزن‌دهی'!$C$10+CI875*'تنظیمات وزن‌دهی'!$C$11+CJ875*'تنظیمات وزن‌دهی'!$C$12+CK875*'تنظیمات وزن‌دهی'!$C$13)/100))</x:f>
      </x:c>
      <x:c r="CM875" s="178" t="str">
        <x:f>IF(C875="","",IF(COUNT(G875:CB875)=0,"",IF(COUNT(G875:CB875)&lt;74,"موقت - اطلاعات ناقص",IF(CL875&gt;=17,"عالی",IF(CL875&gt;=14,"خوب",IF(CL875&gt;=10,"متوسط","ضعیف"))))))</x:f>
      </x:c>
      <x:c r="CN875" s="178" t="n">
        <x:v>7</x:v>
      </x:c>
      <x:c r="CO875" s="142" t="n">
        <x:f>IF(C875="","",COUNT(G875:CB875)/74)</x:f>
        <x:v>0</x:v>
      </x:c>
      <x:c r="CP875" s="245"/>
    </x:row>
    <x:row r="876">
      <x:c r="A876" s="165" t="n">
        <x:v>872</x:v>
      </x:c>
      <x:c r="B876" s="233" t="str">
        <x:v>بهمن</x:v>
      </x:c>
      <x:c r="C876" s="233" t="n">
        <x:f>IF('دانش‌آموزان'!E77="","",'دانش‌آموزان'!B77)</x:f>
        <x:v>73</x:v>
      </x:c>
      <x:c r="D876" s="233" t="str">
        <x:f>IF('دانش‌آموزان'!C77="","",'دانش‌آموزان'!C77)</x:f>
        <x:v>4000000731</x:v>
      </x:c>
      <x:c r="E876" s="233" t="str">
        <x:f>IF('دانش‌آموزان'!E77="","",'دانش‌آموزان'!E77&amp;" "&amp;'دانش‌آموزان'!F77)</x:f>
        <x:v>طاها رضایی</x:v>
      </x:c>
      <x:c r="F876" s="166" t="str">
        <x:f>IF('دانش‌آموزان'!I77="","",'دانش‌آموزان'!I77)</x:f>
        <x:v>sample-7-c</x:v>
      </x:c>
      <x:c r="G876" s="114"/>
      <x:c r="H876" s="115"/>
      <x:c r="I876" s="115"/>
      <x:c r="J876" s="115"/>
      <x:c r="K876" s="115"/>
      <x:c r="L876" s="115"/>
      <x:c r="M876" s="115"/>
      <x:c r="N876" s="115"/>
      <x:c r="O876" s="115"/>
      <x:c r="P876" s="115"/>
      <x:c r="Q876" s="115"/>
      <x:c r="R876" s="115"/>
      <x:c r="S876" s="115"/>
      <x:c r="T876" s="115"/>
      <x:c r="U876" s="115"/>
      <x:c r="V876" s="115"/>
      <x:c r="W876" s="115"/>
      <x:c r="X876" s="115"/>
      <x:c r="Y876" s="115"/>
      <x:c r="Z876" s="115"/>
      <x:c r="AA876" s="115"/>
      <x:c r="AB876" s="115"/>
      <x:c r="AC876" s="115"/>
      <x:c r="AD876" s="115"/>
      <x:c r="AE876" s="115"/>
      <x:c r="AF876" s="115"/>
      <x:c r="AG876" s="115"/>
      <x:c r="AH876" s="115"/>
      <x:c r="AI876" s="115"/>
      <x:c r="AJ876" s="115"/>
      <x:c r="AK876" s="115"/>
      <x:c r="AL876" s="115"/>
      <x:c r="AM876" s="115"/>
      <x:c r="AN876" s="115"/>
      <x:c r="AO876" s="115"/>
      <x:c r="AP876" s="115"/>
      <x:c r="AQ876" s="115"/>
      <x:c r="AR876" s="115"/>
      <x:c r="AS876" s="115"/>
      <x:c r="AT876" s="115"/>
      <x:c r="AU876" s="115"/>
      <x:c r="AV876" s="115"/>
      <x:c r="AW876" s="115"/>
      <x:c r="AX876" s="115"/>
      <x:c r="AY876" s="115"/>
      <x:c r="AZ876" s="115"/>
      <x:c r="BA876" s="115"/>
      <x:c r="BB876" s="115"/>
      <x:c r="BC876" s="115"/>
      <x:c r="BD876" s="115"/>
      <x:c r="BE876" s="115"/>
      <x:c r="BF876" s="115"/>
      <x:c r="BG876" s="115"/>
      <x:c r="BH876" s="115"/>
      <x:c r="BI876" s="115"/>
      <x:c r="BJ876" s="115"/>
      <x:c r="BK876" s="115"/>
      <x:c r="BL876" s="115"/>
      <x:c r="BM876" s="115"/>
      <x:c r="BN876" s="115"/>
      <x:c r="BO876" s="115"/>
      <x:c r="BP876" s="115"/>
      <x:c r="BQ876" s="115"/>
      <x:c r="BR876" s="115"/>
      <x:c r="BS876" s="115"/>
      <x:c r="BT876" s="115"/>
      <x:c r="BU876" s="115"/>
      <x:c r="BV876" s="115"/>
      <x:c r="BW876" s="115"/>
      <x:c r="BX876" s="115"/>
      <x:c r="BY876" s="115"/>
      <x:c r="BZ876" s="115"/>
      <x:c r="CA876" s="115"/>
      <x:c r="CB876" s="116"/>
      <x:c r="CC876" s="141" t="str">
        <x:f>IF(COUNT(G876:P876)=0,"",AVERAGE(G876:P876)*4)</x:f>
      </x:c>
      <x:c r="CD876" s="178" t="str">
        <x:f>IF(COUNT(Q876:Z876)=0,"",AVERAGE(Q876:Z876)*4)</x:f>
      </x:c>
      <x:c r="CE876" s="178" t="str">
        <x:f>IF(COUNT(AA876:AJ876)=0,"",AVERAGE(AA876:AJ876)*4)</x:f>
      </x:c>
      <x:c r="CF876" s="178" t="str">
        <x:f>IF(COUNT(AK876:AR876)=0,"",AVERAGE(AK876:AR876)*4)</x:f>
      </x:c>
      <x:c r="CG876" s="178" t="str">
        <x:f>IF(COUNT(AS876:AY876)=0,"",AVERAGE(AS876:AY876)*4)</x:f>
      </x:c>
      <x:c r="CH876" s="178" t="str">
        <x:f>IF(COUNT(AZ876:BG876)=0,"",AVERAGE(AZ876:BG876)*4)</x:f>
      </x:c>
      <x:c r="CI876" s="178" t="str">
        <x:f>IF(COUNT(BH876:BN876)=0,"",AVERAGE(BH876:BN876)*4)</x:f>
      </x:c>
      <x:c r="CJ876" s="178" t="str">
        <x:f>IF(COUNT(BO876:BU876)=0,"",AVERAGE(BO876:BU876)*4)</x:f>
      </x:c>
      <x:c r="CK876" s="178" t="str">
        <x:f>IF(COUNT(BV876:CB876)=0,"",AVERAGE(BV876:CB876)*4)</x:f>
      </x:c>
      <x:c r="CL876" s="178" t="str">
        <x:f>IF(C876="","",IF(COUNT(G876:CB876)&lt;74,"",(CC876*'تنظیمات وزن‌دهی'!$C$5+CD876*'تنظیمات وزن‌دهی'!$C$6+CE876*'تنظیمات وزن‌دهی'!$C$7+CF876*'تنظیمات وزن‌دهی'!$C$8+CG876*'تنظیمات وزن‌دهی'!$C$9+CH876*'تنظیمات وزن‌دهی'!$C$10+CI876*'تنظیمات وزن‌دهی'!$C$11+CJ876*'تنظیمات وزن‌دهی'!$C$12+CK876*'تنظیمات وزن‌دهی'!$C$13)/100))</x:f>
      </x:c>
      <x:c r="CM876" s="178" t="str">
        <x:f>IF(C876="","",IF(COUNT(G876:CB876)=0,"",IF(COUNT(G876:CB876)&lt;74,"موقت - اطلاعات ناقص",IF(CL876&gt;=17,"عالی",IF(CL876&gt;=14,"خوب",IF(CL876&gt;=10,"متوسط","ضعیف"))))))</x:f>
      </x:c>
      <x:c r="CN876" s="178" t="n">
        <x:v>8</x:v>
      </x:c>
      <x:c r="CO876" s="142" t="n">
        <x:f>IF(C876="","",COUNT(G876:CB876)/74)</x:f>
        <x:v>0</x:v>
      </x:c>
      <x:c r="CP876" s="245"/>
    </x:row>
    <x:row r="877">
      <x:c r="A877" s="165" t="n">
        <x:v>873</x:v>
      </x:c>
      <x:c r="B877" s="233" t="str">
        <x:v>اسفند</x:v>
      </x:c>
      <x:c r="C877" s="233" t="n">
        <x:f>IF('دانش‌آموزان'!E77="","",'دانش‌آموزان'!B77)</x:f>
        <x:v>73</x:v>
      </x:c>
      <x:c r="D877" s="233" t="str">
        <x:f>IF('دانش‌آموزان'!C77="","",'دانش‌آموزان'!C77)</x:f>
        <x:v>4000000731</x:v>
      </x:c>
      <x:c r="E877" s="233" t="str">
        <x:f>IF('دانش‌آموزان'!E77="","",'دانش‌آموزان'!E77&amp;" "&amp;'دانش‌آموزان'!F77)</x:f>
        <x:v>طاها رضایی</x:v>
      </x:c>
      <x:c r="F877" s="166" t="str">
        <x:f>IF('دانش‌آموزان'!I77="","",'دانش‌آموزان'!I77)</x:f>
        <x:v>sample-7-c</x:v>
      </x:c>
      <x:c r="G877" s="114"/>
      <x:c r="H877" s="115"/>
      <x:c r="I877" s="115"/>
      <x:c r="J877" s="115"/>
      <x:c r="K877" s="115"/>
      <x:c r="L877" s="115"/>
      <x:c r="M877" s="115"/>
      <x:c r="N877" s="115"/>
      <x:c r="O877" s="115"/>
      <x:c r="P877" s="115"/>
      <x:c r="Q877" s="115"/>
      <x:c r="R877" s="115"/>
      <x:c r="S877" s="115"/>
      <x:c r="T877" s="115"/>
      <x:c r="U877" s="115"/>
      <x:c r="V877" s="115"/>
      <x:c r="W877" s="115"/>
      <x:c r="X877" s="115"/>
      <x:c r="Y877" s="115"/>
      <x:c r="Z877" s="115"/>
      <x:c r="AA877" s="115"/>
      <x:c r="AB877" s="115"/>
      <x:c r="AC877" s="115"/>
      <x:c r="AD877" s="115"/>
      <x:c r="AE877" s="115"/>
      <x:c r="AF877" s="115"/>
      <x:c r="AG877" s="115"/>
      <x:c r="AH877" s="115"/>
      <x:c r="AI877" s="115"/>
      <x:c r="AJ877" s="115"/>
      <x:c r="AK877" s="115"/>
      <x:c r="AL877" s="115"/>
      <x:c r="AM877" s="115"/>
      <x:c r="AN877" s="115"/>
      <x:c r="AO877" s="115"/>
      <x:c r="AP877" s="115"/>
      <x:c r="AQ877" s="115"/>
      <x:c r="AR877" s="115"/>
      <x:c r="AS877" s="115"/>
      <x:c r="AT877" s="115"/>
      <x:c r="AU877" s="115"/>
      <x:c r="AV877" s="115"/>
      <x:c r="AW877" s="115"/>
      <x:c r="AX877" s="115"/>
      <x:c r="AY877" s="115"/>
      <x:c r="AZ877" s="115"/>
      <x:c r="BA877" s="115"/>
      <x:c r="BB877" s="115"/>
      <x:c r="BC877" s="115"/>
      <x:c r="BD877" s="115"/>
      <x:c r="BE877" s="115"/>
      <x:c r="BF877" s="115"/>
      <x:c r="BG877" s="115"/>
      <x:c r="BH877" s="115"/>
      <x:c r="BI877" s="115"/>
      <x:c r="BJ877" s="115"/>
      <x:c r="BK877" s="115"/>
      <x:c r="BL877" s="115"/>
      <x:c r="BM877" s="115"/>
      <x:c r="BN877" s="115"/>
      <x:c r="BO877" s="115"/>
      <x:c r="BP877" s="115"/>
      <x:c r="BQ877" s="115"/>
      <x:c r="BR877" s="115"/>
      <x:c r="BS877" s="115"/>
      <x:c r="BT877" s="115"/>
      <x:c r="BU877" s="115"/>
      <x:c r="BV877" s="115"/>
      <x:c r="BW877" s="115"/>
      <x:c r="BX877" s="115"/>
      <x:c r="BY877" s="115"/>
      <x:c r="BZ877" s="115"/>
      <x:c r="CA877" s="115"/>
      <x:c r="CB877" s="116"/>
      <x:c r="CC877" s="141" t="str">
        <x:f>IF(COUNT(G877:P877)=0,"",AVERAGE(G877:P877)*4)</x:f>
      </x:c>
      <x:c r="CD877" s="178" t="str">
        <x:f>IF(COUNT(Q877:Z877)=0,"",AVERAGE(Q877:Z877)*4)</x:f>
      </x:c>
      <x:c r="CE877" s="178" t="str">
        <x:f>IF(COUNT(AA877:AJ877)=0,"",AVERAGE(AA877:AJ877)*4)</x:f>
      </x:c>
      <x:c r="CF877" s="178" t="str">
        <x:f>IF(COUNT(AK877:AR877)=0,"",AVERAGE(AK877:AR877)*4)</x:f>
      </x:c>
      <x:c r="CG877" s="178" t="str">
        <x:f>IF(COUNT(AS877:AY877)=0,"",AVERAGE(AS877:AY877)*4)</x:f>
      </x:c>
      <x:c r="CH877" s="178" t="str">
        <x:f>IF(COUNT(AZ877:BG877)=0,"",AVERAGE(AZ877:BG877)*4)</x:f>
      </x:c>
      <x:c r="CI877" s="178" t="str">
        <x:f>IF(COUNT(BH877:BN877)=0,"",AVERAGE(BH877:BN877)*4)</x:f>
      </x:c>
      <x:c r="CJ877" s="178" t="str">
        <x:f>IF(COUNT(BO877:BU877)=0,"",AVERAGE(BO877:BU877)*4)</x:f>
      </x:c>
      <x:c r="CK877" s="178" t="str">
        <x:f>IF(COUNT(BV877:CB877)=0,"",AVERAGE(BV877:CB877)*4)</x:f>
      </x:c>
      <x:c r="CL877" s="178" t="str">
        <x:f>IF(C877="","",IF(COUNT(G877:CB877)&lt;74,"",(CC877*'تنظیمات وزن‌دهی'!$C$5+CD877*'تنظیمات وزن‌دهی'!$C$6+CE877*'تنظیمات وزن‌دهی'!$C$7+CF877*'تنظیمات وزن‌دهی'!$C$8+CG877*'تنظیمات وزن‌دهی'!$C$9+CH877*'تنظیمات وزن‌دهی'!$C$10+CI877*'تنظیمات وزن‌دهی'!$C$11+CJ877*'تنظیمات وزن‌دهی'!$C$12+CK877*'تنظیمات وزن‌دهی'!$C$13)/100))</x:f>
      </x:c>
      <x:c r="CM877" s="178" t="str">
        <x:f>IF(C877="","",IF(COUNT(G877:CB877)=0,"",IF(COUNT(G877:CB877)&lt;74,"موقت - اطلاعات ناقص",IF(CL877&gt;=17,"عالی",IF(CL877&gt;=14,"خوب",IF(CL877&gt;=10,"متوسط","ضعیف"))))))</x:f>
      </x:c>
      <x:c r="CN877" s="178" t="n">
        <x:v>9</x:v>
      </x:c>
      <x:c r="CO877" s="142" t="n">
        <x:f>IF(C877="","",COUNT(G877:CB877)/74)</x:f>
        <x:v>0</x:v>
      </x:c>
      <x:c r="CP877" s="245"/>
    </x:row>
    <x:row r="878">
      <x:c r="A878" s="165" t="n">
        <x:v>874</x:v>
      </x:c>
      <x:c r="B878" s="233" t="str">
        <x:v>فروردین</x:v>
      </x:c>
      <x:c r="C878" s="233" t="n">
        <x:f>IF('دانش‌آموزان'!E77="","",'دانش‌آموزان'!B77)</x:f>
        <x:v>73</x:v>
      </x:c>
      <x:c r="D878" s="233" t="str">
        <x:f>IF('دانش‌آموزان'!C77="","",'دانش‌آموزان'!C77)</x:f>
        <x:v>4000000731</x:v>
      </x:c>
      <x:c r="E878" s="233" t="str">
        <x:f>IF('دانش‌آموزان'!E77="","",'دانش‌آموزان'!E77&amp;" "&amp;'دانش‌آموزان'!F77)</x:f>
        <x:v>طاها رضایی</x:v>
      </x:c>
      <x:c r="F878" s="166" t="str">
        <x:f>IF('دانش‌آموزان'!I77="","",'دانش‌آموزان'!I77)</x:f>
        <x:v>sample-7-c</x:v>
      </x:c>
      <x:c r="G878" s="114"/>
      <x:c r="H878" s="115"/>
      <x:c r="I878" s="115"/>
      <x:c r="J878" s="115"/>
      <x:c r="K878" s="115"/>
      <x:c r="L878" s="115"/>
      <x:c r="M878" s="115"/>
      <x:c r="N878" s="115"/>
      <x:c r="O878" s="115"/>
      <x:c r="P878" s="115"/>
      <x:c r="Q878" s="115"/>
      <x:c r="R878" s="115"/>
      <x:c r="S878" s="115"/>
      <x:c r="T878" s="115"/>
      <x:c r="U878" s="115"/>
      <x:c r="V878" s="115"/>
      <x:c r="W878" s="115"/>
      <x:c r="X878" s="115"/>
      <x:c r="Y878" s="115"/>
      <x:c r="Z878" s="115"/>
      <x:c r="AA878" s="115"/>
      <x:c r="AB878" s="115"/>
      <x:c r="AC878" s="115"/>
      <x:c r="AD878" s="115"/>
      <x:c r="AE878" s="115"/>
      <x:c r="AF878" s="115"/>
      <x:c r="AG878" s="115"/>
      <x:c r="AH878" s="115"/>
      <x:c r="AI878" s="115"/>
      <x:c r="AJ878" s="115"/>
      <x:c r="AK878" s="115"/>
      <x:c r="AL878" s="115"/>
      <x:c r="AM878" s="115"/>
      <x:c r="AN878" s="115"/>
      <x:c r="AO878" s="115"/>
      <x:c r="AP878" s="115"/>
      <x:c r="AQ878" s="115"/>
      <x:c r="AR878" s="115"/>
      <x:c r="AS878" s="115"/>
      <x:c r="AT878" s="115"/>
      <x:c r="AU878" s="115"/>
      <x:c r="AV878" s="115"/>
      <x:c r="AW878" s="115"/>
      <x:c r="AX878" s="115"/>
      <x:c r="AY878" s="115"/>
      <x:c r="AZ878" s="115"/>
      <x:c r="BA878" s="115"/>
      <x:c r="BB878" s="115"/>
      <x:c r="BC878" s="115"/>
      <x:c r="BD878" s="115"/>
      <x:c r="BE878" s="115"/>
      <x:c r="BF878" s="115"/>
      <x:c r="BG878" s="115"/>
      <x:c r="BH878" s="115"/>
      <x:c r="BI878" s="115"/>
      <x:c r="BJ878" s="115"/>
      <x:c r="BK878" s="115"/>
      <x:c r="BL878" s="115"/>
      <x:c r="BM878" s="115"/>
      <x:c r="BN878" s="115"/>
      <x:c r="BO878" s="115"/>
      <x:c r="BP878" s="115"/>
      <x:c r="BQ878" s="115"/>
      <x:c r="BR878" s="115"/>
      <x:c r="BS878" s="115"/>
      <x:c r="BT878" s="115"/>
      <x:c r="BU878" s="115"/>
      <x:c r="BV878" s="115"/>
      <x:c r="BW878" s="115"/>
      <x:c r="BX878" s="115"/>
      <x:c r="BY878" s="115"/>
      <x:c r="BZ878" s="115"/>
      <x:c r="CA878" s="115"/>
      <x:c r="CB878" s="116"/>
      <x:c r="CC878" s="141" t="str">
        <x:f>IF(COUNT(G878:P878)=0,"",AVERAGE(G878:P878)*4)</x:f>
      </x:c>
      <x:c r="CD878" s="178" t="str">
        <x:f>IF(COUNT(Q878:Z878)=0,"",AVERAGE(Q878:Z878)*4)</x:f>
      </x:c>
      <x:c r="CE878" s="178" t="str">
        <x:f>IF(COUNT(AA878:AJ878)=0,"",AVERAGE(AA878:AJ878)*4)</x:f>
      </x:c>
      <x:c r="CF878" s="178" t="str">
        <x:f>IF(COUNT(AK878:AR878)=0,"",AVERAGE(AK878:AR878)*4)</x:f>
      </x:c>
      <x:c r="CG878" s="178" t="str">
        <x:f>IF(COUNT(AS878:AY878)=0,"",AVERAGE(AS878:AY878)*4)</x:f>
      </x:c>
      <x:c r="CH878" s="178" t="str">
        <x:f>IF(COUNT(AZ878:BG878)=0,"",AVERAGE(AZ878:BG878)*4)</x:f>
      </x:c>
      <x:c r="CI878" s="178" t="str">
        <x:f>IF(COUNT(BH878:BN878)=0,"",AVERAGE(BH878:BN878)*4)</x:f>
      </x:c>
      <x:c r="CJ878" s="178" t="str">
        <x:f>IF(COUNT(BO878:BU878)=0,"",AVERAGE(BO878:BU878)*4)</x:f>
      </x:c>
      <x:c r="CK878" s="178" t="str">
        <x:f>IF(COUNT(BV878:CB878)=0,"",AVERAGE(BV878:CB878)*4)</x:f>
      </x:c>
      <x:c r="CL878" s="178" t="str">
        <x:f>IF(C878="","",IF(COUNT(G878:CB878)&lt;74,"",(CC878*'تنظیمات وزن‌دهی'!$C$5+CD878*'تنظیمات وزن‌دهی'!$C$6+CE878*'تنظیمات وزن‌دهی'!$C$7+CF878*'تنظیمات وزن‌دهی'!$C$8+CG878*'تنظیمات وزن‌دهی'!$C$9+CH878*'تنظیمات وزن‌دهی'!$C$10+CI878*'تنظیمات وزن‌دهی'!$C$11+CJ878*'تنظیمات وزن‌دهی'!$C$12+CK878*'تنظیمات وزن‌دهی'!$C$13)/100))</x:f>
      </x:c>
      <x:c r="CM878" s="178" t="str">
        <x:f>IF(C878="","",IF(COUNT(G878:CB878)=0,"",IF(COUNT(G878:CB878)&lt;74,"موقت - اطلاعات ناقص",IF(CL878&gt;=17,"عالی",IF(CL878&gt;=14,"خوب",IF(CL878&gt;=10,"متوسط","ضعیف"))))))</x:f>
      </x:c>
      <x:c r="CN878" s="178" t="n">
        <x:v>10</x:v>
      </x:c>
      <x:c r="CO878" s="142" t="n">
        <x:f>IF(C878="","",COUNT(G878:CB878)/74)</x:f>
        <x:v>0</x:v>
      </x:c>
      <x:c r="CP878" s="245"/>
    </x:row>
    <x:row r="879">
      <x:c r="A879" s="165" t="n">
        <x:v>875</x:v>
      </x:c>
      <x:c r="B879" s="233" t="str">
        <x:v>اردیبهشت</x:v>
      </x:c>
      <x:c r="C879" s="233" t="n">
        <x:f>IF('دانش‌آموزان'!E77="","",'دانش‌آموزان'!B77)</x:f>
        <x:v>73</x:v>
      </x:c>
      <x:c r="D879" s="233" t="str">
        <x:f>IF('دانش‌آموزان'!C77="","",'دانش‌آموزان'!C77)</x:f>
        <x:v>4000000731</x:v>
      </x:c>
      <x:c r="E879" s="233" t="str">
        <x:f>IF('دانش‌آموزان'!E77="","",'دانش‌آموزان'!E77&amp;" "&amp;'دانش‌آموزان'!F77)</x:f>
        <x:v>طاها رضایی</x:v>
      </x:c>
      <x:c r="F879" s="166" t="str">
        <x:f>IF('دانش‌آموزان'!I77="","",'دانش‌آموزان'!I77)</x:f>
        <x:v>sample-7-c</x:v>
      </x:c>
      <x:c r="G879" s="114"/>
      <x:c r="H879" s="115"/>
      <x:c r="I879" s="115"/>
      <x:c r="J879" s="115"/>
      <x:c r="K879" s="115"/>
      <x:c r="L879" s="115"/>
      <x:c r="M879" s="115"/>
      <x:c r="N879" s="115"/>
      <x:c r="O879" s="115"/>
      <x:c r="P879" s="115"/>
      <x:c r="Q879" s="115"/>
      <x:c r="R879" s="115"/>
      <x:c r="S879" s="115"/>
      <x:c r="T879" s="115"/>
      <x:c r="U879" s="115"/>
      <x:c r="V879" s="115"/>
      <x:c r="W879" s="115"/>
      <x:c r="X879" s="115"/>
      <x:c r="Y879" s="115"/>
      <x:c r="Z879" s="115"/>
      <x:c r="AA879" s="115"/>
      <x:c r="AB879" s="115"/>
      <x:c r="AC879" s="115"/>
      <x:c r="AD879" s="115"/>
      <x:c r="AE879" s="115"/>
      <x:c r="AF879" s="115"/>
      <x:c r="AG879" s="115"/>
      <x:c r="AH879" s="115"/>
      <x:c r="AI879" s="115"/>
      <x:c r="AJ879" s="115"/>
      <x:c r="AK879" s="115"/>
      <x:c r="AL879" s="115"/>
      <x:c r="AM879" s="115"/>
      <x:c r="AN879" s="115"/>
      <x:c r="AO879" s="115"/>
      <x:c r="AP879" s="115"/>
      <x:c r="AQ879" s="115"/>
      <x:c r="AR879" s="115"/>
      <x:c r="AS879" s="115"/>
      <x:c r="AT879" s="115"/>
      <x:c r="AU879" s="115"/>
      <x:c r="AV879" s="115"/>
      <x:c r="AW879" s="115"/>
      <x:c r="AX879" s="115"/>
      <x:c r="AY879" s="115"/>
      <x:c r="AZ879" s="115"/>
      <x:c r="BA879" s="115"/>
      <x:c r="BB879" s="115"/>
      <x:c r="BC879" s="115"/>
      <x:c r="BD879" s="115"/>
      <x:c r="BE879" s="115"/>
      <x:c r="BF879" s="115"/>
      <x:c r="BG879" s="115"/>
      <x:c r="BH879" s="115"/>
      <x:c r="BI879" s="115"/>
      <x:c r="BJ879" s="115"/>
      <x:c r="BK879" s="115"/>
      <x:c r="BL879" s="115"/>
      <x:c r="BM879" s="115"/>
      <x:c r="BN879" s="115"/>
      <x:c r="BO879" s="115"/>
      <x:c r="BP879" s="115"/>
      <x:c r="BQ879" s="115"/>
      <x:c r="BR879" s="115"/>
      <x:c r="BS879" s="115"/>
      <x:c r="BT879" s="115"/>
      <x:c r="BU879" s="115"/>
      <x:c r="BV879" s="115"/>
      <x:c r="BW879" s="115"/>
      <x:c r="BX879" s="115"/>
      <x:c r="BY879" s="115"/>
      <x:c r="BZ879" s="115"/>
      <x:c r="CA879" s="115"/>
      <x:c r="CB879" s="116"/>
      <x:c r="CC879" s="141" t="str">
        <x:f>IF(COUNT(G879:P879)=0,"",AVERAGE(G879:P879)*4)</x:f>
      </x:c>
      <x:c r="CD879" s="178" t="str">
        <x:f>IF(COUNT(Q879:Z879)=0,"",AVERAGE(Q879:Z879)*4)</x:f>
      </x:c>
      <x:c r="CE879" s="178" t="str">
        <x:f>IF(COUNT(AA879:AJ879)=0,"",AVERAGE(AA879:AJ879)*4)</x:f>
      </x:c>
      <x:c r="CF879" s="178" t="str">
        <x:f>IF(COUNT(AK879:AR879)=0,"",AVERAGE(AK879:AR879)*4)</x:f>
      </x:c>
      <x:c r="CG879" s="178" t="str">
        <x:f>IF(COUNT(AS879:AY879)=0,"",AVERAGE(AS879:AY879)*4)</x:f>
      </x:c>
      <x:c r="CH879" s="178" t="str">
        <x:f>IF(COUNT(AZ879:BG879)=0,"",AVERAGE(AZ879:BG879)*4)</x:f>
      </x:c>
      <x:c r="CI879" s="178" t="str">
        <x:f>IF(COUNT(BH879:BN879)=0,"",AVERAGE(BH879:BN879)*4)</x:f>
      </x:c>
      <x:c r="CJ879" s="178" t="str">
        <x:f>IF(COUNT(BO879:BU879)=0,"",AVERAGE(BO879:BU879)*4)</x:f>
      </x:c>
      <x:c r="CK879" s="178" t="str">
        <x:f>IF(COUNT(BV879:CB879)=0,"",AVERAGE(BV879:CB879)*4)</x:f>
      </x:c>
      <x:c r="CL879" s="178" t="str">
        <x:f>IF(C879="","",IF(COUNT(G879:CB879)&lt;74,"",(CC879*'تنظیمات وزن‌دهی'!$C$5+CD879*'تنظیمات وزن‌دهی'!$C$6+CE879*'تنظیمات وزن‌دهی'!$C$7+CF879*'تنظیمات وزن‌دهی'!$C$8+CG879*'تنظیمات وزن‌دهی'!$C$9+CH879*'تنظیمات وزن‌دهی'!$C$10+CI879*'تنظیمات وزن‌دهی'!$C$11+CJ879*'تنظیمات وزن‌دهی'!$C$12+CK879*'تنظیمات وزن‌دهی'!$C$13)/100))</x:f>
      </x:c>
      <x:c r="CM879" s="178" t="str">
        <x:f>IF(C879="","",IF(COUNT(G879:CB879)=0,"",IF(COUNT(G879:CB879)&lt;74,"موقت - اطلاعات ناقص",IF(CL879&gt;=17,"عالی",IF(CL879&gt;=14,"خوب",IF(CL879&gt;=10,"متوسط","ضعیف"))))))</x:f>
      </x:c>
      <x:c r="CN879" s="178" t="n">
        <x:v>11</x:v>
      </x:c>
      <x:c r="CO879" s="142" t="n">
        <x:f>IF(C879="","",COUNT(G879:CB879)/74)</x:f>
        <x:v>0</x:v>
      </x:c>
      <x:c r="CP879" s="245"/>
    </x:row>
    <x:row r="880">
      <x:c r="A880" s="165" t="n">
        <x:v>876</x:v>
      </x:c>
      <x:c r="B880" s="233" t="str">
        <x:v>خرداد</x:v>
      </x:c>
      <x:c r="C880" s="233" t="n">
        <x:f>IF('دانش‌آموزان'!E77="","",'دانش‌آموزان'!B77)</x:f>
        <x:v>73</x:v>
      </x:c>
      <x:c r="D880" s="233" t="str">
        <x:f>IF('دانش‌آموزان'!C77="","",'دانش‌آموزان'!C77)</x:f>
        <x:v>4000000731</x:v>
      </x:c>
      <x:c r="E880" s="233" t="str">
        <x:f>IF('دانش‌آموزان'!E77="","",'دانش‌آموزان'!E77&amp;" "&amp;'دانش‌آموزان'!F77)</x:f>
        <x:v>طاها رضایی</x:v>
      </x:c>
      <x:c r="F880" s="166" t="str">
        <x:f>IF('دانش‌آموزان'!I77="","",'دانش‌آموزان'!I77)</x:f>
        <x:v>sample-7-c</x:v>
      </x:c>
      <x:c r="G880" s="114"/>
      <x:c r="H880" s="115"/>
      <x:c r="I880" s="115"/>
      <x:c r="J880" s="115"/>
      <x:c r="K880" s="115"/>
      <x:c r="L880" s="115"/>
      <x:c r="M880" s="115"/>
      <x:c r="N880" s="115"/>
      <x:c r="O880" s="115"/>
      <x:c r="P880" s="115"/>
      <x:c r="Q880" s="115"/>
      <x:c r="R880" s="115"/>
      <x:c r="S880" s="115"/>
      <x:c r="T880" s="115"/>
      <x:c r="U880" s="115"/>
      <x:c r="V880" s="115"/>
      <x:c r="W880" s="115"/>
      <x:c r="X880" s="115"/>
      <x:c r="Y880" s="115"/>
      <x:c r="Z880" s="115"/>
      <x:c r="AA880" s="115"/>
      <x:c r="AB880" s="115"/>
      <x:c r="AC880" s="115"/>
      <x:c r="AD880" s="115"/>
      <x:c r="AE880" s="115"/>
      <x:c r="AF880" s="115"/>
      <x:c r="AG880" s="115"/>
      <x:c r="AH880" s="115"/>
      <x:c r="AI880" s="115"/>
      <x:c r="AJ880" s="115"/>
      <x:c r="AK880" s="115"/>
      <x:c r="AL880" s="115"/>
      <x:c r="AM880" s="115"/>
      <x:c r="AN880" s="115"/>
      <x:c r="AO880" s="115"/>
      <x:c r="AP880" s="115"/>
      <x:c r="AQ880" s="115"/>
      <x:c r="AR880" s="115"/>
      <x:c r="AS880" s="115"/>
      <x:c r="AT880" s="115"/>
      <x:c r="AU880" s="115"/>
      <x:c r="AV880" s="115"/>
      <x:c r="AW880" s="115"/>
      <x:c r="AX880" s="115"/>
      <x:c r="AY880" s="115"/>
      <x:c r="AZ880" s="115"/>
      <x:c r="BA880" s="115"/>
      <x:c r="BB880" s="115"/>
      <x:c r="BC880" s="115"/>
      <x:c r="BD880" s="115"/>
      <x:c r="BE880" s="115"/>
      <x:c r="BF880" s="115"/>
      <x:c r="BG880" s="115"/>
      <x:c r="BH880" s="115"/>
      <x:c r="BI880" s="115"/>
      <x:c r="BJ880" s="115"/>
      <x:c r="BK880" s="115"/>
      <x:c r="BL880" s="115"/>
      <x:c r="BM880" s="115"/>
      <x:c r="BN880" s="115"/>
      <x:c r="BO880" s="115"/>
      <x:c r="BP880" s="115"/>
      <x:c r="BQ880" s="115"/>
      <x:c r="BR880" s="115"/>
      <x:c r="BS880" s="115"/>
      <x:c r="BT880" s="115"/>
      <x:c r="BU880" s="115"/>
      <x:c r="BV880" s="115"/>
      <x:c r="BW880" s="115"/>
      <x:c r="BX880" s="115"/>
      <x:c r="BY880" s="115"/>
      <x:c r="BZ880" s="115"/>
      <x:c r="CA880" s="115"/>
      <x:c r="CB880" s="116"/>
      <x:c r="CC880" s="141" t="str">
        <x:f>IF(COUNT(G880:P880)=0,"",AVERAGE(G880:P880)*4)</x:f>
      </x:c>
      <x:c r="CD880" s="178" t="str">
        <x:f>IF(COUNT(Q880:Z880)=0,"",AVERAGE(Q880:Z880)*4)</x:f>
      </x:c>
      <x:c r="CE880" s="178" t="str">
        <x:f>IF(COUNT(AA880:AJ880)=0,"",AVERAGE(AA880:AJ880)*4)</x:f>
      </x:c>
      <x:c r="CF880" s="178" t="str">
        <x:f>IF(COUNT(AK880:AR880)=0,"",AVERAGE(AK880:AR880)*4)</x:f>
      </x:c>
      <x:c r="CG880" s="178" t="str">
        <x:f>IF(COUNT(AS880:AY880)=0,"",AVERAGE(AS880:AY880)*4)</x:f>
      </x:c>
      <x:c r="CH880" s="178" t="str">
        <x:f>IF(COUNT(AZ880:BG880)=0,"",AVERAGE(AZ880:BG880)*4)</x:f>
      </x:c>
      <x:c r="CI880" s="178" t="str">
        <x:f>IF(COUNT(BH880:BN880)=0,"",AVERAGE(BH880:BN880)*4)</x:f>
      </x:c>
      <x:c r="CJ880" s="178" t="str">
        <x:f>IF(COUNT(BO880:BU880)=0,"",AVERAGE(BO880:BU880)*4)</x:f>
      </x:c>
      <x:c r="CK880" s="178" t="str">
        <x:f>IF(COUNT(BV880:CB880)=0,"",AVERAGE(BV880:CB880)*4)</x:f>
      </x:c>
      <x:c r="CL880" s="178" t="str">
        <x:f>IF(C880="","",IF(COUNT(G880:CB880)&lt;74,"",(CC880*'تنظیمات وزن‌دهی'!$C$5+CD880*'تنظیمات وزن‌دهی'!$C$6+CE880*'تنظیمات وزن‌دهی'!$C$7+CF880*'تنظیمات وزن‌دهی'!$C$8+CG880*'تنظیمات وزن‌دهی'!$C$9+CH880*'تنظیمات وزن‌دهی'!$C$10+CI880*'تنظیمات وزن‌دهی'!$C$11+CJ880*'تنظیمات وزن‌دهی'!$C$12+CK880*'تنظیمات وزن‌دهی'!$C$13)/100))</x:f>
      </x:c>
      <x:c r="CM880" s="178" t="str">
        <x:f>IF(C880="","",IF(COUNT(G880:CB880)=0,"",IF(COUNT(G880:CB880)&lt;74,"موقت - اطلاعات ناقص",IF(CL880&gt;=17,"عالی",IF(CL880&gt;=14,"خوب",IF(CL880&gt;=10,"متوسط","ضعیف"))))))</x:f>
      </x:c>
      <x:c r="CN880" s="178" t="n">
        <x:v>12</x:v>
      </x:c>
      <x:c r="CO880" s="142" t="n">
        <x:f>IF(C880="","",COUNT(G880:CB880)/74)</x:f>
        <x:v>0</x:v>
      </x:c>
      <x:c r="CP880" s="245"/>
    </x:row>
    <x:row r="881">
      <x:c r="A881" s="165" t="n">
        <x:v>877</x:v>
      </x:c>
      <x:c r="B881" s="233" t="str">
        <x:v>تیر</x:v>
      </x:c>
      <x:c r="C881" s="233" t="n">
        <x:f>IF('دانش‌آموزان'!E78="","",'دانش‌آموزان'!B78)</x:f>
        <x:v>74</x:v>
      </x:c>
      <x:c r="D881" s="233" t="str">
        <x:f>IF('دانش‌آموزان'!C78="","",'دانش‌آموزان'!C78)</x:f>
        <x:v>4000000748</x:v>
      </x:c>
      <x:c r="E881" s="233" t="str">
        <x:f>IF('دانش‌آموزان'!E78="","",'دانش‌آموزان'!E78&amp;" "&amp;'دانش‌آموزان'!F78)</x:f>
        <x:v>باران نوری</x:v>
      </x:c>
      <x:c r="F881" s="166" t="str">
        <x:f>IF('دانش‌آموزان'!I78="","",'دانش‌آموزان'!I78)</x:f>
        <x:v>sample-7-c</x:v>
      </x:c>
      <x:c r="G881" s="114" t="n">
        <x:v>5</x:v>
      </x:c>
      <x:c r="H881" s="115" t="n">
        <x:v>4</x:v>
      </x:c>
      <x:c r="I881" s="115" t="n">
        <x:v>5</x:v>
      </x:c>
      <x:c r="J881" s="115" t="n">
        <x:v>3</x:v>
      </x:c>
      <x:c r="K881" s="115" t="n">
        <x:v>5</x:v>
      </x:c>
      <x:c r="L881" s="115" t="n">
        <x:v>3</x:v>
      </x:c>
      <x:c r="M881" s="115" t="n">
        <x:v>4</x:v>
      </x:c>
      <x:c r="N881" s="115" t="n">
        <x:v>3</x:v>
      </x:c>
      <x:c r="O881" s="115" t="n">
        <x:v>4</x:v>
      </x:c>
      <x:c r="P881" s="115" t="n">
        <x:v>2</x:v>
      </x:c>
      <x:c r="Q881" s="115" t="n">
        <x:v>4</x:v>
      </x:c>
      <x:c r="R881" s="115" t="n">
        <x:v>5</x:v>
      </x:c>
      <x:c r="S881" s="115" t="n">
        <x:v>4</x:v>
      </x:c>
      <x:c r="T881" s="115" t="n">
        <x:v>5</x:v>
      </x:c>
      <x:c r="U881" s="115" t="n">
        <x:v>3</x:v>
      </x:c>
      <x:c r="V881" s="115" t="n">
        <x:v>5</x:v>
      </x:c>
      <x:c r="W881" s="115" t="n">
        <x:v>3</x:v>
      </x:c>
      <x:c r="X881" s="115" t="n">
        <x:v>4</x:v>
      </x:c>
      <x:c r="Y881" s="115" t="n">
        <x:v>3</x:v>
      </x:c>
      <x:c r="Z881" s="115" t="n">
        <x:v>4</x:v>
      </x:c>
      <x:c r="AA881" s="115" t="n">
        <x:v>2</x:v>
      </x:c>
      <x:c r="AB881" s="115" t="n">
        <x:v>4</x:v>
      </x:c>
      <x:c r="AC881" s="115" t="n">
        <x:v>5</x:v>
      </x:c>
      <x:c r="AD881" s="115" t="n">
        <x:v>4</x:v>
      </x:c>
      <x:c r="AE881" s="115" t="n">
        <x:v>5</x:v>
      </x:c>
      <x:c r="AF881" s="115" t="n">
        <x:v>3</x:v>
      </x:c>
      <x:c r="AG881" s="115" t="n">
        <x:v>5</x:v>
      </x:c>
      <x:c r="AH881" s="115" t="n">
        <x:v>3</x:v>
      </x:c>
      <x:c r="AI881" s="115" t="n">
        <x:v>4</x:v>
      </x:c>
      <x:c r="AJ881" s="115" t="n">
        <x:v>3</x:v>
      </x:c>
      <x:c r="AK881" s="115" t="n">
        <x:v>4</x:v>
      </x:c>
      <x:c r="AL881" s="115" t="n">
        <x:v>2</x:v>
      </x:c>
      <x:c r="AM881" s="115" t="n">
        <x:v>4</x:v>
      </x:c>
      <x:c r="AN881" s="115" t="n">
        <x:v>5</x:v>
      </x:c>
      <x:c r="AO881" s="115" t="n">
        <x:v>4</x:v>
      </x:c>
      <x:c r="AP881" s="115" t="n">
        <x:v>5</x:v>
      </x:c>
      <x:c r="AQ881" s="115" t="n">
        <x:v>3</x:v>
      </x:c>
      <x:c r="AR881" s="115" t="n">
        <x:v>5</x:v>
      </x:c>
      <x:c r="AS881" s="115" t="n">
        <x:v>3</x:v>
      </x:c>
      <x:c r="AT881" s="115" t="n">
        <x:v>4</x:v>
      </x:c>
      <x:c r="AU881" s="115" t="n">
        <x:v>3</x:v>
      </x:c>
      <x:c r="AV881" s="115" t="n">
        <x:v>4</x:v>
      </x:c>
      <x:c r="AW881" s="115" t="n">
        <x:v>2</x:v>
      </x:c>
      <x:c r="AX881" s="115" t="n">
        <x:v>4</x:v>
      </x:c>
      <x:c r="AY881" s="115" t="n">
        <x:v>5</x:v>
      </x:c>
      <x:c r="AZ881" s="115" t="n">
        <x:v>4</x:v>
      </x:c>
      <x:c r="BA881" s="115" t="n">
        <x:v>5</x:v>
      </x:c>
      <x:c r="BB881" s="115" t="n">
        <x:v>3</x:v>
      </x:c>
      <x:c r="BC881" s="115" t="n">
        <x:v>5</x:v>
      </x:c>
      <x:c r="BD881" s="115" t="n">
        <x:v>3</x:v>
      </x:c>
      <x:c r="BE881" s="115" t="n">
        <x:v>4</x:v>
      </x:c>
      <x:c r="BF881" s="115" t="n">
        <x:v>3</x:v>
      </x:c>
      <x:c r="BG881" s="115" t="n">
        <x:v>4</x:v>
      </x:c>
      <x:c r="BH881" s="115" t="n">
        <x:v>2</x:v>
      </x:c>
      <x:c r="BI881" s="115" t="n">
        <x:v>4</x:v>
      </x:c>
      <x:c r="BJ881" s="115" t="n">
        <x:v>5</x:v>
      </x:c>
      <x:c r="BK881" s="115" t="n">
        <x:v>4</x:v>
      </x:c>
      <x:c r="BL881" s="115" t="n">
        <x:v>5</x:v>
      </x:c>
      <x:c r="BM881" s="115" t="n">
        <x:v>3</x:v>
      </x:c>
      <x:c r="BN881" s="115" t="n">
        <x:v>5</x:v>
      </x:c>
      <x:c r="BO881" s="115" t="n">
        <x:v>3</x:v>
      </x:c>
      <x:c r="BP881" s="115" t="n">
        <x:v>4</x:v>
      </x:c>
      <x:c r="BQ881" s="115" t="n">
        <x:v>3</x:v>
      </x:c>
      <x:c r="BR881" s="115" t="n">
        <x:v>4</x:v>
      </x:c>
      <x:c r="BS881" s="115" t="n">
        <x:v>2</x:v>
      </x:c>
      <x:c r="BT881" s="115" t="n">
        <x:v>4</x:v>
      </x:c>
      <x:c r="BU881" s="115" t="n">
        <x:v>5</x:v>
      </x:c>
      <x:c r="BV881" s="115" t="n">
        <x:v>4</x:v>
      </x:c>
      <x:c r="BW881" s="115" t="n">
        <x:v>5</x:v>
      </x:c>
      <x:c r="BX881" s="115" t="n">
        <x:v>3</x:v>
      </x:c>
      <x:c r="BY881" s="115" t="n">
        <x:v>5</x:v>
      </x:c>
      <x:c r="BZ881" s="115" t="n">
        <x:v>3</x:v>
      </x:c>
      <x:c r="CA881" s="115" t="n">
        <x:v>4</x:v>
      </x:c>
      <x:c r="CB881" s="116" t="n">
        <x:v>3</x:v>
      </x:c>
      <x:c r="CC881" s="141" t="n">
        <x:f>IF(COUNT(G881:P881)=0,"",AVERAGE(G881:P881)*4)</x:f>
        <x:v>15.2</x:v>
      </x:c>
      <x:c r="CD881" s="178" t="n">
        <x:f>IF(COUNT(Q881:Z881)=0,"",AVERAGE(Q881:Z881)*4)</x:f>
        <x:v>16</x:v>
      </x:c>
      <x:c r="CE881" s="178" t="n">
        <x:f>IF(COUNT(AA881:AJ881)=0,"",AVERAGE(AA881:AJ881)*4)</x:f>
        <x:v>15.2</x:v>
      </x:c>
      <x:c r="CF881" s="178" t="n">
        <x:f>IF(COUNT(AK881:AR881)=0,"",AVERAGE(AK881:AR881)*4)</x:f>
        <x:v>16</x:v>
      </x:c>
      <x:c r="CG881" s="178" t="n">
        <x:f>IF(COUNT(AS881:AY881)=0,"",AVERAGE(AS881:AY881)*4)</x:f>
        <x:v>14.285714285714286</x:v>
      </x:c>
      <x:c r="CH881" s="178" t="n">
        <x:f>IF(COUNT(AZ881:BG881)=0,"",AVERAGE(AZ881:BG881)*4)</x:f>
        <x:v>15.5</x:v>
      </x:c>
      <x:c r="CI881" s="178" t="n">
        <x:f>IF(COUNT(BH881:BN881)=0,"",AVERAGE(BH881:BN881)*4)</x:f>
        <x:v>16</x:v>
      </x:c>
      <x:c r="CJ881" s="178" t="n">
        <x:f>IF(COUNT(BO881:BU881)=0,"",AVERAGE(BO881:BU881)*4)</x:f>
        <x:v>14.285714285714286</x:v>
      </x:c>
      <x:c r="CK881" s="178" t="n">
        <x:f>IF(COUNT(BV881:CB881)=0,"",AVERAGE(BV881:CB881)*4)</x:f>
        <x:v>15.428571428571429</x:v>
      </x:c>
      <x:c r="CL881" s="178" t="n">
        <x:f>IF(C881="","",IF(COUNT(G881:CB881)&lt;74,"",(CC881*'تنظیمات وزن‌دهی'!$C$5+CD881*'تنظیمات وزن‌دهی'!$C$6+CE881*'تنظیمات وزن‌دهی'!$C$7+CF881*'تنظیمات وزن‌دهی'!$C$8+CG881*'تنظیمات وزن‌دهی'!$C$9+CH881*'تنظیمات وزن‌دهی'!$C$10+CI881*'تنظیمات وزن‌دهی'!$C$11+CJ881*'تنظیمات وزن‌دهی'!$C$12+CK881*'تنظیمات وزن‌دهی'!$C$13)/100))</x:f>
        <x:v>15.417142857142858</x:v>
      </x:c>
      <x:c r="CM881" s="178" t="str">
        <x:f>IF(C881="","",IF(COUNT(G881:CB881)=0,"",IF(COUNT(G881:CB881)&lt;74,"موقت - اطلاعات ناقص",IF(CL881&gt;=17,"عالی",IF(CL881&gt;=14,"خوب",IF(CL881&gt;=10,"متوسط","ضعیف"))))))</x:f>
        <x:v>خوب</x:v>
      </x:c>
      <x:c r="CN881" s="178" t="n">
        <x:v>1</x:v>
      </x:c>
      <x:c r="CO881" s="142" t="n">
        <x:f>IF(C881="","",COUNT(G881:CB881)/74)</x:f>
        <x:v>1</x:v>
      </x:c>
      <x:c r="CP881" s="245" t="str">
        <x:v>داده نمونه کامل برای ماه تیر - دانش‌آموز شماره 74</x:v>
      </x:c>
    </x:row>
    <x:row r="882">
      <x:c r="A882" s="165" t="n">
        <x:v>878</x:v>
      </x:c>
      <x:c r="B882" s="233" t="str">
        <x:v>مرداد</x:v>
      </x:c>
      <x:c r="C882" s="233" t="n">
        <x:f>IF('دانش‌آموزان'!E78="","",'دانش‌آموزان'!B78)</x:f>
        <x:v>74</x:v>
      </x:c>
      <x:c r="D882" s="233" t="str">
        <x:f>IF('دانش‌آموزان'!C78="","",'دانش‌آموزان'!C78)</x:f>
        <x:v>4000000748</x:v>
      </x:c>
      <x:c r="E882" s="233" t="str">
        <x:f>IF('دانش‌آموزان'!E78="","",'دانش‌آموزان'!E78&amp;" "&amp;'دانش‌آموزان'!F78)</x:f>
        <x:v>باران نوری</x:v>
      </x:c>
      <x:c r="F882" s="166" t="str">
        <x:f>IF('دانش‌آموزان'!I78="","",'دانش‌آموزان'!I78)</x:f>
        <x:v>sample-7-c</x:v>
      </x:c>
      <x:c r="G882" s="114"/>
      <x:c r="H882" s="115"/>
      <x:c r="I882" s="115"/>
      <x:c r="J882" s="115"/>
      <x:c r="K882" s="115"/>
      <x:c r="L882" s="115"/>
      <x:c r="M882" s="115"/>
      <x:c r="N882" s="115"/>
      <x:c r="O882" s="115"/>
      <x:c r="P882" s="115"/>
      <x:c r="Q882" s="115"/>
      <x:c r="R882" s="115"/>
      <x:c r="S882" s="115"/>
      <x:c r="T882" s="115"/>
      <x:c r="U882" s="115"/>
      <x:c r="V882" s="115"/>
      <x:c r="W882" s="115"/>
      <x:c r="X882" s="115"/>
      <x:c r="Y882" s="115"/>
      <x:c r="Z882" s="115"/>
      <x:c r="AA882" s="115"/>
      <x:c r="AB882" s="115"/>
      <x:c r="AC882" s="115"/>
      <x:c r="AD882" s="115"/>
      <x:c r="AE882" s="115"/>
      <x:c r="AF882" s="115"/>
      <x:c r="AG882" s="115"/>
      <x:c r="AH882" s="115"/>
      <x:c r="AI882" s="115"/>
      <x:c r="AJ882" s="115"/>
      <x:c r="AK882" s="115"/>
      <x:c r="AL882" s="115"/>
      <x:c r="AM882" s="115"/>
      <x:c r="AN882" s="115"/>
      <x:c r="AO882" s="115"/>
      <x:c r="AP882" s="115"/>
      <x:c r="AQ882" s="115"/>
      <x:c r="AR882" s="115"/>
      <x:c r="AS882" s="115"/>
      <x:c r="AT882" s="115"/>
      <x:c r="AU882" s="115"/>
      <x:c r="AV882" s="115"/>
      <x:c r="AW882" s="115"/>
      <x:c r="AX882" s="115"/>
      <x:c r="AY882" s="115"/>
      <x:c r="AZ882" s="115"/>
      <x:c r="BA882" s="115"/>
      <x:c r="BB882" s="115"/>
      <x:c r="BC882" s="115"/>
      <x:c r="BD882" s="115"/>
      <x:c r="BE882" s="115"/>
      <x:c r="BF882" s="115"/>
      <x:c r="BG882" s="115"/>
      <x:c r="BH882" s="115"/>
      <x:c r="BI882" s="115"/>
      <x:c r="BJ882" s="115"/>
      <x:c r="BK882" s="115"/>
      <x:c r="BL882" s="115"/>
      <x:c r="BM882" s="115"/>
      <x:c r="BN882" s="115"/>
      <x:c r="BO882" s="115"/>
      <x:c r="BP882" s="115"/>
      <x:c r="BQ882" s="115"/>
      <x:c r="BR882" s="115"/>
      <x:c r="BS882" s="115"/>
      <x:c r="BT882" s="115"/>
      <x:c r="BU882" s="115"/>
      <x:c r="BV882" s="115"/>
      <x:c r="BW882" s="115"/>
      <x:c r="BX882" s="115"/>
      <x:c r="BY882" s="115"/>
      <x:c r="BZ882" s="115"/>
      <x:c r="CA882" s="115"/>
      <x:c r="CB882" s="116"/>
      <x:c r="CC882" s="141" t="str">
        <x:f>IF(COUNT(G882:P882)=0,"",AVERAGE(G882:P882)*4)</x:f>
      </x:c>
      <x:c r="CD882" s="178" t="str">
        <x:f>IF(COUNT(Q882:Z882)=0,"",AVERAGE(Q882:Z882)*4)</x:f>
      </x:c>
      <x:c r="CE882" s="178" t="str">
        <x:f>IF(COUNT(AA882:AJ882)=0,"",AVERAGE(AA882:AJ882)*4)</x:f>
      </x:c>
      <x:c r="CF882" s="178" t="str">
        <x:f>IF(COUNT(AK882:AR882)=0,"",AVERAGE(AK882:AR882)*4)</x:f>
      </x:c>
      <x:c r="CG882" s="178" t="str">
        <x:f>IF(COUNT(AS882:AY882)=0,"",AVERAGE(AS882:AY882)*4)</x:f>
      </x:c>
      <x:c r="CH882" s="178" t="str">
        <x:f>IF(COUNT(AZ882:BG882)=0,"",AVERAGE(AZ882:BG882)*4)</x:f>
      </x:c>
      <x:c r="CI882" s="178" t="str">
        <x:f>IF(COUNT(BH882:BN882)=0,"",AVERAGE(BH882:BN882)*4)</x:f>
      </x:c>
      <x:c r="CJ882" s="178" t="str">
        <x:f>IF(COUNT(BO882:BU882)=0,"",AVERAGE(BO882:BU882)*4)</x:f>
      </x:c>
      <x:c r="CK882" s="178" t="str">
        <x:f>IF(COUNT(BV882:CB882)=0,"",AVERAGE(BV882:CB882)*4)</x:f>
      </x:c>
      <x:c r="CL882" s="178" t="str">
        <x:f>IF(C882="","",IF(COUNT(G882:CB882)&lt;74,"",(CC882*'تنظیمات وزن‌دهی'!$C$5+CD882*'تنظیمات وزن‌دهی'!$C$6+CE882*'تنظیمات وزن‌دهی'!$C$7+CF882*'تنظیمات وزن‌دهی'!$C$8+CG882*'تنظیمات وزن‌دهی'!$C$9+CH882*'تنظیمات وزن‌دهی'!$C$10+CI882*'تنظیمات وزن‌دهی'!$C$11+CJ882*'تنظیمات وزن‌دهی'!$C$12+CK882*'تنظیمات وزن‌دهی'!$C$13)/100))</x:f>
      </x:c>
      <x:c r="CM882" s="178" t="str">
        <x:f>IF(C882="","",IF(COUNT(G882:CB882)=0,"",IF(COUNT(G882:CB882)&lt;74,"موقت - اطلاعات ناقص",IF(CL882&gt;=17,"عالی",IF(CL882&gt;=14,"خوب",IF(CL882&gt;=10,"متوسط","ضعیف"))))))</x:f>
      </x:c>
      <x:c r="CN882" s="178" t="n">
        <x:v>2</x:v>
      </x:c>
      <x:c r="CO882" s="142" t="n">
        <x:f>IF(C882="","",COUNT(G882:CB882)/74)</x:f>
        <x:v>0</x:v>
      </x:c>
      <x:c r="CP882" s="245"/>
    </x:row>
    <x:row r="883">
      <x:c r="A883" s="165" t="n">
        <x:v>879</x:v>
      </x:c>
      <x:c r="B883" s="233" t="str">
        <x:v>شهریور</x:v>
      </x:c>
      <x:c r="C883" s="233" t="n">
        <x:f>IF('دانش‌آموزان'!E78="","",'دانش‌آموزان'!B78)</x:f>
        <x:v>74</x:v>
      </x:c>
      <x:c r="D883" s="233" t="str">
        <x:f>IF('دانش‌آموزان'!C78="","",'دانش‌آموزان'!C78)</x:f>
        <x:v>4000000748</x:v>
      </x:c>
      <x:c r="E883" s="233" t="str">
        <x:f>IF('دانش‌آموزان'!E78="","",'دانش‌آموزان'!E78&amp;" "&amp;'دانش‌آموزان'!F78)</x:f>
        <x:v>باران نوری</x:v>
      </x:c>
      <x:c r="F883" s="166" t="str">
        <x:f>IF('دانش‌آموزان'!I78="","",'دانش‌آموزان'!I78)</x:f>
        <x:v>sample-7-c</x:v>
      </x:c>
      <x:c r="G883" s="114"/>
      <x:c r="H883" s="115"/>
      <x:c r="I883" s="115"/>
      <x:c r="J883" s="115"/>
      <x:c r="K883" s="115"/>
      <x:c r="L883" s="115"/>
      <x:c r="M883" s="115"/>
      <x:c r="N883" s="115"/>
      <x:c r="O883" s="115"/>
      <x:c r="P883" s="115"/>
      <x:c r="Q883" s="115"/>
      <x:c r="R883" s="115"/>
      <x:c r="S883" s="115"/>
      <x:c r="T883" s="115"/>
      <x:c r="U883" s="115"/>
      <x:c r="V883" s="115"/>
      <x:c r="W883" s="115"/>
      <x:c r="X883" s="115"/>
      <x:c r="Y883" s="115"/>
      <x:c r="Z883" s="115"/>
      <x:c r="AA883" s="115"/>
      <x:c r="AB883" s="115"/>
      <x:c r="AC883" s="115"/>
      <x:c r="AD883" s="115"/>
      <x:c r="AE883" s="115"/>
      <x:c r="AF883" s="115"/>
      <x:c r="AG883" s="115"/>
      <x:c r="AH883" s="115"/>
      <x:c r="AI883" s="115"/>
      <x:c r="AJ883" s="115"/>
      <x:c r="AK883" s="115"/>
      <x:c r="AL883" s="115"/>
      <x:c r="AM883" s="115"/>
      <x:c r="AN883" s="115"/>
      <x:c r="AO883" s="115"/>
      <x:c r="AP883" s="115"/>
      <x:c r="AQ883" s="115"/>
      <x:c r="AR883" s="115"/>
      <x:c r="AS883" s="115"/>
      <x:c r="AT883" s="115"/>
      <x:c r="AU883" s="115"/>
      <x:c r="AV883" s="115"/>
      <x:c r="AW883" s="115"/>
      <x:c r="AX883" s="115"/>
      <x:c r="AY883" s="115"/>
      <x:c r="AZ883" s="115"/>
      <x:c r="BA883" s="115"/>
      <x:c r="BB883" s="115"/>
      <x:c r="BC883" s="115"/>
      <x:c r="BD883" s="115"/>
      <x:c r="BE883" s="115"/>
      <x:c r="BF883" s="115"/>
      <x:c r="BG883" s="115"/>
      <x:c r="BH883" s="115"/>
      <x:c r="BI883" s="115"/>
      <x:c r="BJ883" s="115"/>
      <x:c r="BK883" s="115"/>
      <x:c r="BL883" s="115"/>
      <x:c r="BM883" s="115"/>
      <x:c r="BN883" s="115"/>
      <x:c r="BO883" s="115"/>
      <x:c r="BP883" s="115"/>
      <x:c r="BQ883" s="115"/>
      <x:c r="BR883" s="115"/>
      <x:c r="BS883" s="115"/>
      <x:c r="BT883" s="115"/>
      <x:c r="BU883" s="115"/>
      <x:c r="BV883" s="115"/>
      <x:c r="BW883" s="115"/>
      <x:c r="BX883" s="115"/>
      <x:c r="BY883" s="115"/>
      <x:c r="BZ883" s="115"/>
      <x:c r="CA883" s="115"/>
      <x:c r="CB883" s="116"/>
      <x:c r="CC883" s="141" t="str">
        <x:f>IF(COUNT(G883:P883)=0,"",AVERAGE(G883:P883)*4)</x:f>
      </x:c>
      <x:c r="CD883" s="178" t="str">
        <x:f>IF(COUNT(Q883:Z883)=0,"",AVERAGE(Q883:Z883)*4)</x:f>
      </x:c>
      <x:c r="CE883" s="178" t="str">
        <x:f>IF(COUNT(AA883:AJ883)=0,"",AVERAGE(AA883:AJ883)*4)</x:f>
      </x:c>
      <x:c r="CF883" s="178" t="str">
        <x:f>IF(COUNT(AK883:AR883)=0,"",AVERAGE(AK883:AR883)*4)</x:f>
      </x:c>
      <x:c r="CG883" s="178" t="str">
        <x:f>IF(COUNT(AS883:AY883)=0,"",AVERAGE(AS883:AY883)*4)</x:f>
      </x:c>
      <x:c r="CH883" s="178" t="str">
        <x:f>IF(COUNT(AZ883:BG883)=0,"",AVERAGE(AZ883:BG883)*4)</x:f>
      </x:c>
      <x:c r="CI883" s="178" t="str">
        <x:f>IF(COUNT(BH883:BN883)=0,"",AVERAGE(BH883:BN883)*4)</x:f>
      </x:c>
      <x:c r="CJ883" s="178" t="str">
        <x:f>IF(COUNT(BO883:BU883)=0,"",AVERAGE(BO883:BU883)*4)</x:f>
      </x:c>
      <x:c r="CK883" s="178" t="str">
        <x:f>IF(COUNT(BV883:CB883)=0,"",AVERAGE(BV883:CB883)*4)</x:f>
      </x:c>
      <x:c r="CL883" s="178" t="str">
        <x:f>IF(C883="","",IF(COUNT(G883:CB883)&lt;74,"",(CC883*'تنظیمات وزن‌دهی'!$C$5+CD883*'تنظیمات وزن‌دهی'!$C$6+CE883*'تنظیمات وزن‌دهی'!$C$7+CF883*'تنظیمات وزن‌دهی'!$C$8+CG883*'تنظیمات وزن‌دهی'!$C$9+CH883*'تنظیمات وزن‌دهی'!$C$10+CI883*'تنظیمات وزن‌دهی'!$C$11+CJ883*'تنظیمات وزن‌دهی'!$C$12+CK883*'تنظیمات وزن‌دهی'!$C$13)/100))</x:f>
      </x:c>
      <x:c r="CM883" s="178" t="str">
        <x:f>IF(C883="","",IF(COUNT(G883:CB883)=0,"",IF(COUNT(G883:CB883)&lt;74,"موقت - اطلاعات ناقص",IF(CL883&gt;=17,"عالی",IF(CL883&gt;=14,"خوب",IF(CL883&gt;=10,"متوسط","ضعیف"))))))</x:f>
      </x:c>
      <x:c r="CN883" s="178" t="n">
        <x:v>3</x:v>
      </x:c>
      <x:c r="CO883" s="142" t="n">
        <x:f>IF(C883="","",COUNT(G883:CB883)/74)</x:f>
        <x:v>0</x:v>
      </x:c>
      <x:c r="CP883" s="245"/>
    </x:row>
    <x:row r="884">
      <x:c r="A884" s="165" t="n">
        <x:v>880</x:v>
      </x:c>
      <x:c r="B884" s="233" t="str">
        <x:v>مهر</x:v>
      </x:c>
      <x:c r="C884" s="233" t="n">
        <x:f>IF('دانش‌آموزان'!E78="","",'دانش‌آموزان'!B78)</x:f>
        <x:v>74</x:v>
      </x:c>
      <x:c r="D884" s="233" t="str">
        <x:f>IF('دانش‌آموزان'!C78="","",'دانش‌آموزان'!C78)</x:f>
        <x:v>4000000748</x:v>
      </x:c>
      <x:c r="E884" s="233" t="str">
        <x:f>IF('دانش‌آموزان'!E78="","",'دانش‌آموزان'!E78&amp;" "&amp;'دانش‌آموزان'!F78)</x:f>
        <x:v>باران نوری</x:v>
      </x:c>
      <x:c r="F884" s="166" t="str">
        <x:f>IF('دانش‌آموزان'!I78="","",'دانش‌آموزان'!I78)</x:f>
        <x:v>sample-7-c</x:v>
      </x:c>
      <x:c r="G884" s="114"/>
      <x:c r="H884" s="115"/>
      <x:c r="I884" s="115"/>
      <x:c r="J884" s="115"/>
      <x:c r="K884" s="115"/>
      <x:c r="L884" s="115"/>
      <x:c r="M884" s="115"/>
      <x:c r="N884" s="115"/>
      <x:c r="O884" s="115"/>
      <x:c r="P884" s="115"/>
      <x:c r="Q884" s="115"/>
      <x:c r="R884" s="115"/>
      <x:c r="S884" s="115"/>
      <x:c r="T884" s="115"/>
      <x:c r="U884" s="115"/>
      <x:c r="V884" s="115"/>
      <x:c r="W884" s="115"/>
      <x:c r="X884" s="115"/>
      <x:c r="Y884" s="115"/>
      <x:c r="Z884" s="115"/>
      <x:c r="AA884" s="115"/>
      <x:c r="AB884" s="115"/>
      <x:c r="AC884" s="115"/>
      <x:c r="AD884" s="115"/>
      <x:c r="AE884" s="115"/>
      <x:c r="AF884" s="115"/>
      <x:c r="AG884" s="115"/>
      <x:c r="AH884" s="115"/>
      <x:c r="AI884" s="115"/>
      <x:c r="AJ884" s="115"/>
      <x:c r="AK884" s="115"/>
      <x:c r="AL884" s="115"/>
      <x:c r="AM884" s="115"/>
      <x:c r="AN884" s="115"/>
      <x:c r="AO884" s="115"/>
      <x:c r="AP884" s="115"/>
      <x:c r="AQ884" s="115"/>
      <x:c r="AR884" s="115"/>
      <x:c r="AS884" s="115"/>
      <x:c r="AT884" s="115"/>
      <x:c r="AU884" s="115"/>
      <x:c r="AV884" s="115"/>
      <x:c r="AW884" s="115"/>
      <x:c r="AX884" s="115"/>
      <x:c r="AY884" s="115"/>
      <x:c r="AZ884" s="115"/>
      <x:c r="BA884" s="115"/>
      <x:c r="BB884" s="115"/>
      <x:c r="BC884" s="115"/>
      <x:c r="BD884" s="115"/>
      <x:c r="BE884" s="115"/>
      <x:c r="BF884" s="115"/>
      <x:c r="BG884" s="115"/>
      <x:c r="BH884" s="115"/>
      <x:c r="BI884" s="115"/>
      <x:c r="BJ884" s="115"/>
      <x:c r="BK884" s="115"/>
      <x:c r="BL884" s="115"/>
      <x:c r="BM884" s="115"/>
      <x:c r="BN884" s="115"/>
      <x:c r="BO884" s="115"/>
      <x:c r="BP884" s="115"/>
      <x:c r="BQ884" s="115"/>
      <x:c r="BR884" s="115"/>
      <x:c r="BS884" s="115"/>
      <x:c r="BT884" s="115"/>
      <x:c r="BU884" s="115"/>
      <x:c r="BV884" s="115"/>
      <x:c r="BW884" s="115"/>
      <x:c r="BX884" s="115"/>
      <x:c r="BY884" s="115"/>
      <x:c r="BZ884" s="115"/>
      <x:c r="CA884" s="115"/>
      <x:c r="CB884" s="116"/>
      <x:c r="CC884" s="141" t="str">
        <x:f>IF(COUNT(G884:P884)=0,"",AVERAGE(G884:P884)*4)</x:f>
      </x:c>
      <x:c r="CD884" s="178" t="str">
        <x:f>IF(COUNT(Q884:Z884)=0,"",AVERAGE(Q884:Z884)*4)</x:f>
      </x:c>
      <x:c r="CE884" s="178" t="str">
        <x:f>IF(COUNT(AA884:AJ884)=0,"",AVERAGE(AA884:AJ884)*4)</x:f>
      </x:c>
      <x:c r="CF884" s="178" t="str">
        <x:f>IF(COUNT(AK884:AR884)=0,"",AVERAGE(AK884:AR884)*4)</x:f>
      </x:c>
      <x:c r="CG884" s="178" t="str">
        <x:f>IF(COUNT(AS884:AY884)=0,"",AVERAGE(AS884:AY884)*4)</x:f>
      </x:c>
      <x:c r="CH884" s="178" t="str">
        <x:f>IF(COUNT(AZ884:BG884)=0,"",AVERAGE(AZ884:BG884)*4)</x:f>
      </x:c>
      <x:c r="CI884" s="178" t="str">
        <x:f>IF(COUNT(BH884:BN884)=0,"",AVERAGE(BH884:BN884)*4)</x:f>
      </x:c>
      <x:c r="CJ884" s="178" t="str">
        <x:f>IF(COUNT(BO884:BU884)=0,"",AVERAGE(BO884:BU884)*4)</x:f>
      </x:c>
      <x:c r="CK884" s="178" t="str">
        <x:f>IF(COUNT(BV884:CB884)=0,"",AVERAGE(BV884:CB884)*4)</x:f>
      </x:c>
      <x:c r="CL884" s="178" t="str">
        <x:f>IF(C884="","",IF(COUNT(G884:CB884)&lt;74,"",(CC884*'تنظیمات وزن‌دهی'!$C$5+CD884*'تنظیمات وزن‌دهی'!$C$6+CE884*'تنظیمات وزن‌دهی'!$C$7+CF884*'تنظیمات وزن‌دهی'!$C$8+CG884*'تنظیمات وزن‌دهی'!$C$9+CH884*'تنظیمات وزن‌دهی'!$C$10+CI884*'تنظیمات وزن‌دهی'!$C$11+CJ884*'تنظیمات وزن‌دهی'!$C$12+CK884*'تنظیمات وزن‌دهی'!$C$13)/100))</x:f>
      </x:c>
      <x:c r="CM884" s="178" t="str">
        <x:f>IF(C884="","",IF(COUNT(G884:CB884)=0,"",IF(COUNT(G884:CB884)&lt;74,"موقت - اطلاعات ناقص",IF(CL884&gt;=17,"عالی",IF(CL884&gt;=14,"خوب",IF(CL884&gt;=10,"متوسط","ضعیف"))))))</x:f>
      </x:c>
      <x:c r="CN884" s="178" t="n">
        <x:v>4</x:v>
      </x:c>
      <x:c r="CO884" s="142" t="n">
        <x:f>IF(C884="","",COUNT(G884:CB884)/74)</x:f>
        <x:v>0</x:v>
      </x:c>
      <x:c r="CP884" s="245"/>
    </x:row>
    <x:row r="885">
      <x:c r="A885" s="165" t="n">
        <x:v>881</x:v>
      </x:c>
      <x:c r="B885" s="233" t="str">
        <x:v>آبان</x:v>
      </x:c>
      <x:c r="C885" s="233" t="n">
        <x:f>IF('دانش‌آموزان'!E78="","",'دانش‌آموزان'!B78)</x:f>
        <x:v>74</x:v>
      </x:c>
      <x:c r="D885" s="233" t="str">
        <x:f>IF('دانش‌آموزان'!C78="","",'دانش‌آموزان'!C78)</x:f>
        <x:v>4000000748</x:v>
      </x:c>
      <x:c r="E885" s="233" t="str">
        <x:f>IF('دانش‌آموزان'!E78="","",'دانش‌آموزان'!E78&amp;" "&amp;'دانش‌آموزان'!F78)</x:f>
        <x:v>باران نوری</x:v>
      </x:c>
      <x:c r="F885" s="166" t="str">
        <x:f>IF('دانش‌آموزان'!I78="","",'دانش‌آموزان'!I78)</x:f>
        <x:v>sample-7-c</x:v>
      </x:c>
      <x:c r="G885" s="114"/>
      <x:c r="H885" s="115"/>
      <x:c r="I885" s="115"/>
      <x:c r="J885" s="115"/>
      <x:c r="K885" s="115"/>
      <x:c r="L885" s="115"/>
      <x:c r="M885" s="115"/>
      <x:c r="N885" s="115"/>
      <x:c r="O885" s="115"/>
      <x:c r="P885" s="115"/>
      <x:c r="Q885" s="115"/>
      <x:c r="R885" s="115"/>
      <x:c r="S885" s="115"/>
      <x:c r="T885" s="115"/>
      <x:c r="U885" s="115"/>
      <x:c r="V885" s="115"/>
      <x:c r="W885" s="115"/>
      <x:c r="X885" s="115"/>
      <x:c r="Y885" s="115"/>
      <x:c r="Z885" s="115"/>
      <x:c r="AA885" s="115"/>
      <x:c r="AB885" s="115"/>
      <x:c r="AC885" s="115"/>
      <x:c r="AD885" s="115"/>
      <x:c r="AE885" s="115"/>
      <x:c r="AF885" s="115"/>
      <x:c r="AG885" s="115"/>
      <x:c r="AH885" s="115"/>
      <x:c r="AI885" s="115"/>
      <x:c r="AJ885" s="115"/>
      <x:c r="AK885" s="115"/>
      <x:c r="AL885" s="115"/>
      <x:c r="AM885" s="115"/>
      <x:c r="AN885" s="115"/>
      <x:c r="AO885" s="115"/>
      <x:c r="AP885" s="115"/>
      <x:c r="AQ885" s="115"/>
      <x:c r="AR885" s="115"/>
      <x:c r="AS885" s="115"/>
      <x:c r="AT885" s="115"/>
      <x:c r="AU885" s="115"/>
      <x:c r="AV885" s="115"/>
      <x:c r="AW885" s="115"/>
      <x:c r="AX885" s="115"/>
      <x:c r="AY885" s="115"/>
      <x:c r="AZ885" s="115"/>
      <x:c r="BA885" s="115"/>
      <x:c r="BB885" s="115"/>
      <x:c r="BC885" s="115"/>
      <x:c r="BD885" s="115"/>
      <x:c r="BE885" s="115"/>
      <x:c r="BF885" s="115"/>
      <x:c r="BG885" s="115"/>
      <x:c r="BH885" s="115"/>
      <x:c r="BI885" s="115"/>
      <x:c r="BJ885" s="115"/>
      <x:c r="BK885" s="115"/>
      <x:c r="BL885" s="115"/>
      <x:c r="BM885" s="115"/>
      <x:c r="BN885" s="115"/>
      <x:c r="BO885" s="115"/>
      <x:c r="BP885" s="115"/>
      <x:c r="BQ885" s="115"/>
      <x:c r="BR885" s="115"/>
      <x:c r="BS885" s="115"/>
      <x:c r="BT885" s="115"/>
      <x:c r="BU885" s="115"/>
      <x:c r="BV885" s="115"/>
      <x:c r="BW885" s="115"/>
      <x:c r="BX885" s="115"/>
      <x:c r="BY885" s="115"/>
      <x:c r="BZ885" s="115"/>
      <x:c r="CA885" s="115"/>
      <x:c r="CB885" s="116"/>
      <x:c r="CC885" s="141" t="str">
        <x:f>IF(COUNT(G885:P885)=0,"",AVERAGE(G885:P885)*4)</x:f>
      </x:c>
      <x:c r="CD885" s="178" t="str">
        <x:f>IF(COUNT(Q885:Z885)=0,"",AVERAGE(Q885:Z885)*4)</x:f>
      </x:c>
      <x:c r="CE885" s="178" t="str">
        <x:f>IF(COUNT(AA885:AJ885)=0,"",AVERAGE(AA885:AJ885)*4)</x:f>
      </x:c>
      <x:c r="CF885" s="178" t="str">
        <x:f>IF(COUNT(AK885:AR885)=0,"",AVERAGE(AK885:AR885)*4)</x:f>
      </x:c>
      <x:c r="CG885" s="178" t="str">
        <x:f>IF(COUNT(AS885:AY885)=0,"",AVERAGE(AS885:AY885)*4)</x:f>
      </x:c>
      <x:c r="CH885" s="178" t="str">
        <x:f>IF(COUNT(AZ885:BG885)=0,"",AVERAGE(AZ885:BG885)*4)</x:f>
      </x:c>
      <x:c r="CI885" s="178" t="str">
        <x:f>IF(COUNT(BH885:BN885)=0,"",AVERAGE(BH885:BN885)*4)</x:f>
      </x:c>
      <x:c r="CJ885" s="178" t="str">
        <x:f>IF(COUNT(BO885:BU885)=0,"",AVERAGE(BO885:BU885)*4)</x:f>
      </x:c>
      <x:c r="CK885" s="178" t="str">
        <x:f>IF(COUNT(BV885:CB885)=0,"",AVERAGE(BV885:CB885)*4)</x:f>
      </x:c>
      <x:c r="CL885" s="178" t="str">
        <x:f>IF(C885="","",IF(COUNT(G885:CB885)&lt;74,"",(CC885*'تنظیمات وزن‌دهی'!$C$5+CD885*'تنظیمات وزن‌دهی'!$C$6+CE885*'تنظیمات وزن‌دهی'!$C$7+CF885*'تنظیمات وزن‌دهی'!$C$8+CG885*'تنظیمات وزن‌دهی'!$C$9+CH885*'تنظیمات وزن‌دهی'!$C$10+CI885*'تنظیمات وزن‌دهی'!$C$11+CJ885*'تنظیمات وزن‌دهی'!$C$12+CK885*'تنظیمات وزن‌دهی'!$C$13)/100))</x:f>
      </x:c>
      <x:c r="CM885" s="178" t="str">
        <x:f>IF(C885="","",IF(COUNT(G885:CB885)=0,"",IF(COUNT(G885:CB885)&lt;74,"موقت - اطلاعات ناقص",IF(CL885&gt;=17,"عالی",IF(CL885&gt;=14,"خوب",IF(CL885&gt;=10,"متوسط","ضعیف"))))))</x:f>
      </x:c>
      <x:c r="CN885" s="178" t="n">
        <x:v>5</x:v>
      </x:c>
      <x:c r="CO885" s="142" t="n">
        <x:f>IF(C885="","",COUNT(G885:CB885)/74)</x:f>
        <x:v>0</x:v>
      </x:c>
      <x:c r="CP885" s="245"/>
    </x:row>
    <x:row r="886">
      <x:c r="A886" s="165" t="n">
        <x:v>882</x:v>
      </x:c>
      <x:c r="B886" s="233" t="str">
        <x:v>آذر</x:v>
      </x:c>
      <x:c r="C886" s="233" t="n">
        <x:f>IF('دانش‌آموزان'!E78="","",'دانش‌آموزان'!B78)</x:f>
        <x:v>74</x:v>
      </x:c>
      <x:c r="D886" s="233" t="str">
        <x:f>IF('دانش‌آموزان'!C78="","",'دانش‌آموزان'!C78)</x:f>
        <x:v>4000000748</x:v>
      </x:c>
      <x:c r="E886" s="233" t="str">
        <x:f>IF('دانش‌آموزان'!E78="","",'دانش‌آموزان'!E78&amp;" "&amp;'دانش‌آموزان'!F78)</x:f>
        <x:v>باران نوری</x:v>
      </x:c>
      <x:c r="F886" s="166" t="str">
        <x:f>IF('دانش‌آموزان'!I78="","",'دانش‌آموزان'!I78)</x:f>
        <x:v>sample-7-c</x:v>
      </x:c>
      <x:c r="G886" s="114"/>
      <x:c r="H886" s="115"/>
      <x:c r="I886" s="115"/>
      <x:c r="J886" s="115"/>
      <x:c r="K886" s="115"/>
      <x:c r="L886" s="115"/>
      <x:c r="M886" s="115"/>
      <x:c r="N886" s="115"/>
      <x:c r="O886" s="115"/>
      <x:c r="P886" s="115"/>
      <x:c r="Q886" s="115"/>
      <x:c r="R886" s="115"/>
      <x:c r="S886" s="115"/>
      <x:c r="T886" s="115"/>
      <x:c r="U886" s="115"/>
      <x:c r="V886" s="115"/>
      <x:c r="W886" s="115"/>
      <x:c r="X886" s="115"/>
      <x:c r="Y886" s="115"/>
      <x:c r="Z886" s="115"/>
      <x:c r="AA886" s="115"/>
      <x:c r="AB886" s="115"/>
      <x:c r="AC886" s="115"/>
      <x:c r="AD886" s="115"/>
      <x:c r="AE886" s="115"/>
      <x:c r="AF886" s="115"/>
      <x:c r="AG886" s="115"/>
      <x:c r="AH886" s="115"/>
      <x:c r="AI886" s="115"/>
      <x:c r="AJ886" s="115"/>
      <x:c r="AK886" s="115"/>
      <x:c r="AL886" s="115"/>
      <x:c r="AM886" s="115"/>
      <x:c r="AN886" s="115"/>
      <x:c r="AO886" s="115"/>
      <x:c r="AP886" s="115"/>
      <x:c r="AQ886" s="115"/>
      <x:c r="AR886" s="115"/>
      <x:c r="AS886" s="115"/>
      <x:c r="AT886" s="115"/>
      <x:c r="AU886" s="115"/>
      <x:c r="AV886" s="115"/>
      <x:c r="AW886" s="115"/>
      <x:c r="AX886" s="115"/>
      <x:c r="AY886" s="115"/>
      <x:c r="AZ886" s="115"/>
      <x:c r="BA886" s="115"/>
      <x:c r="BB886" s="115"/>
      <x:c r="BC886" s="115"/>
      <x:c r="BD886" s="115"/>
      <x:c r="BE886" s="115"/>
      <x:c r="BF886" s="115"/>
      <x:c r="BG886" s="115"/>
      <x:c r="BH886" s="115"/>
      <x:c r="BI886" s="115"/>
      <x:c r="BJ886" s="115"/>
      <x:c r="BK886" s="115"/>
      <x:c r="BL886" s="115"/>
      <x:c r="BM886" s="115"/>
      <x:c r="BN886" s="115"/>
      <x:c r="BO886" s="115"/>
      <x:c r="BP886" s="115"/>
      <x:c r="BQ886" s="115"/>
      <x:c r="BR886" s="115"/>
      <x:c r="BS886" s="115"/>
      <x:c r="BT886" s="115"/>
      <x:c r="BU886" s="115"/>
      <x:c r="BV886" s="115"/>
      <x:c r="BW886" s="115"/>
      <x:c r="BX886" s="115"/>
      <x:c r="BY886" s="115"/>
      <x:c r="BZ886" s="115"/>
      <x:c r="CA886" s="115"/>
      <x:c r="CB886" s="116"/>
      <x:c r="CC886" s="141" t="str">
        <x:f>IF(COUNT(G886:P886)=0,"",AVERAGE(G886:P886)*4)</x:f>
      </x:c>
      <x:c r="CD886" s="178" t="str">
        <x:f>IF(COUNT(Q886:Z886)=0,"",AVERAGE(Q886:Z886)*4)</x:f>
      </x:c>
      <x:c r="CE886" s="178" t="str">
        <x:f>IF(COUNT(AA886:AJ886)=0,"",AVERAGE(AA886:AJ886)*4)</x:f>
      </x:c>
      <x:c r="CF886" s="178" t="str">
        <x:f>IF(COUNT(AK886:AR886)=0,"",AVERAGE(AK886:AR886)*4)</x:f>
      </x:c>
      <x:c r="CG886" s="178" t="str">
        <x:f>IF(COUNT(AS886:AY886)=0,"",AVERAGE(AS886:AY886)*4)</x:f>
      </x:c>
      <x:c r="CH886" s="178" t="str">
        <x:f>IF(COUNT(AZ886:BG886)=0,"",AVERAGE(AZ886:BG886)*4)</x:f>
      </x:c>
      <x:c r="CI886" s="178" t="str">
        <x:f>IF(COUNT(BH886:BN886)=0,"",AVERAGE(BH886:BN886)*4)</x:f>
      </x:c>
      <x:c r="CJ886" s="178" t="str">
        <x:f>IF(COUNT(BO886:BU886)=0,"",AVERAGE(BO886:BU886)*4)</x:f>
      </x:c>
      <x:c r="CK886" s="178" t="str">
        <x:f>IF(COUNT(BV886:CB886)=0,"",AVERAGE(BV886:CB886)*4)</x:f>
      </x:c>
      <x:c r="CL886" s="178" t="str">
        <x:f>IF(C886="","",IF(COUNT(G886:CB886)&lt;74,"",(CC886*'تنظیمات وزن‌دهی'!$C$5+CD886*'تنظیمات وزن‌دهی'!$C$6+CE886*'تنظیمات وزن‌دهی'!$C$7+CF886*'تنظیمات وزن‌دهی'!$C$8+CG886*'تنظیمات وزن‌دهی'!$C$9+CH886*'تنظیمات وزن‌دهی'!$C$10+CI886*'تنظیمات وزن‌دهی'!$C$11+CJ886*'تنظیمات وزن‌دهی'!$C$12+CK886*'تنظیمات وزن‌دهی'!$C$13)/100))</x:f>
      </x:c>
      <x:c r="CM886" s="178" t="str">
        <x:f>IF(C886="","",IF(COUNT(G886:CB886)=0,"",IF(COUNT(G886:CB886)&lt;74,"موقت - اطلاعات ناقص",IF(CL886&gt;=17,"عالی",IF(CL886&gt;=14,"خوب",IF(CL886&gt;=10,"متوسط","ضعیف"))))))</x:f>
      </x:c>
      <x:c r="CN886" s="178" t="n">
        <x:v>6</x:v>
      </x:c>
      <x:c r="CO886" s="142" t="n">
        <x:f>IF(C886="","",COUNT(G886:CB886)/74)</x:f>
        <x:v>0</x:v>
      </x:c>
      <x:c r="CP886" s="245"/>
    </x:row>
    <x:row r="887">
      <x:c r="A887" s="165" t="n">
        <x:v>883</x:v>
      </x:c>
      <x:c r="B887" s="233" t="str">
        <x:v>دی</x:v>
      </x:c>
      <x:c r="C887" s="233" t="n">
        <x:f>IF('دانش‌آموزان'!E78="","",'دانش‌آموزان'!B78)</x:f>
        <x:v>74</x:v>
      </x:c>
      <x:c r="D887" s="233" t="str">
        <x:f>IF('دانش‌آموزان'!C78="","",'دانش‌آموزان'!C78)</x:f>
        <x:v>4000000748</x:v>
      </x:c>
      <x:c r="E887" s="233" t="str">
        <x:f>IF('دانش‌آموزان'!E78="","",'دانش‌آموزان'!E78&amp;" "&amp;'دانش‌آموزان'!F78)</x:f>
        <x:v>باران نوری</x:v>
      </x:c>
      <x:c r="F887" s="166" t="str">
        <x:f>IF('دانش‌آموزان'!I78="","",'دانش‌آموزان'!I78)</x:f>
        <x:v>sample-7-c</x:v>
      </x:c>
      <x:c r="G887" s="114"/>
      <x:c r="H887" s="115"/>
      <x:c r="I887" s="115"/>
      <x:c r="J887" s="115"/>
      <x:c r="K887" s="115"/>
      <x:c r="L887" s="115"/>
      <x:c r="M887" s="115"/>
      <x:c r="N887" s="115"/>
      <x:c r="O887" s="115"/>
      <x:c r="P887" s="115"/>
      <x:c r="Q887" s="115"/>
      <x:c r="R887" s="115"/>
      <x:c r="S887" s="115"/>
      <x:c r="T887" s="115"/>
      <x:c r="U887" s="115"/>
      <x:c r="V887" s="115"/>
      <x:c r="W887" s="115"/>
      <x:c r="X887" s="115"/>
      <x:c r="Y887" s="115"/>
      <x:c r="Z887" s="115"/>
      <x:c r="AA887" s="115"/>
      <x:c r="AB887" s="115"/>
      <x:c r="AC887" s="115"/>
      <x:c r="AD887" s="115"/>
      <x:c r="AE887" s="115"/>
      <x:c r="AF887" s="115"/>
      <x:c r="AG887" s="115"/>
      <x:c r="AH887" s="115"/>
      <x:c r="AI887" s="115"/>
      <x:c r="AJ887" s="115"/>
      <x:c r="AK887" s="115"/>
      <x:c r="AL887" s="115"/>
      <x:c r="AM887" s="115"/>
      <x:c r="AN887" s="115"/>
      <x:c r="AO887" s="115"/>
      <x:c r="AP887" s="115"/>
      <x:c r="AQ887" s="115"/>
      <x:c r="AR887" s="115"/>
      <x:c r="AS887" s="115"/>
      <x:c r="AT887" s="115"/>
      <x:c r="AU887" s="115"/>
      <x:c r="AV887" s="115"/>
      <x:c r="AW887" s="115"/>
      <x:c r="AX887" s="115"/>
      <x:c r="AY887" s="115"/>
      <x:c r="AZ887" s="115"/>
      <x:c r="BA887" s="115"/>
      <x:c r="BB887" s="115"/>
      <x:c r="BC887" s="115"/>
      <x:c r="BD887" s="115"/>
      <x:c r="BE887" s="115"/>
      <x:c r="BF887" s="115"/>
      <x:c r="BG887" s="115"/>
      <x:c r="BH887" s="115"/>
      <x:c r="BI887" s="115"/>
      <x:c r="BJ887" s="115"/>
      <x:c r="BK887" s="115"/>
      <x:c r="BL887" s="115"/>
      <x:c r="BM887" s="115"/>
      <x:c r="BN887" s="115"/>
      <x:c r="BO887" s="115"/>
      <x:c r="BP887" s="115"/>
      <x:c r="BQ887" s="115"/>
      <x:c r="BR887" s="115"/>
      <x:c r="BS887" s="115"/>
      <x:c r="BT887" s="115"/>
      <x:c r="BU887" s="115"/>
      <x:c r="BV887" s="115"/>
      <x:c r="BW887" s="115"/>
      <x:c r="BX887" s="115"/>
      <x:c r="BY887" s="115"/>
      <x:c r="BZ887" s="115"/>
      <x:c r="CA887" s="115"/>
      <x:c r="CB887" s="116"/>
      <x:c r="CC887" s="141" t="str">
        <x:f>IF(COUNT(G887:P887)=0,"",AVERAGE(G887:P887)*4)</x:f>
      </x:c>
      <x:c r="CD887" s="178" t="str">
        <x:f>IF(COUNT(Q887:Z887)=0,"",AVERAGE(Q887:Z887)*4)</x:f>
      </x:c>
      <x:c r="CE887" s="178" t="str">
        <x:f>IF(COUNT(AA887:AJ887)=0,"",AVERAGE(AA887:AJ887)*4)</x:f>
      </x:c>
      <x:c r="CF887" s="178" t="str">
        <x:f>IF(COUNT(AK887:AR887)=0,"",AVERAGE(AK887:AR887)*4)</x:f>
      </x:c>
      <x:c r="CG887" s="178" t="str">
        <x:f>IF(COUNT(AS887:AY887)=0,"",AVERAGE(AS887:AY887)*4)</x:f>
      </x:c>
      <x:c r="CH887" s="178" t="str">
        <x:f>IF(COUNT(AZ887:BG887)=0,"",AVERAGE(AZ887:BG887)*4)</x:f>
      </x:c>
      <x:c r="CI887" s="178" t="str">
        <x:f>IF(COUNT(BH887:BN887)=0,"",AVERAGE(BH887:BN887)*4)</x:f>
      </x:c>
      <x:c r="CJ887" s="178" t="str">
        <x:f>IF(COUNT(BO887:BU887)=0,"",AVERAGE(BO887:BU887)*4)</x:f>
      </x:c>
      <x:c r="CK887" s="178" t="str">
        <x:f>IF(COUNT(BV887:CB887)=0,"",AVERAGE(BV887:CB887)*4)</x:f>
      </x:c>
      <x:c r="CL887" s="178" t="str">
        <x:f>IF(C887="","",IF(COUNT(G887:CB887)&lt;74,"",(CC887*'تنظیمات وزن‌دهی'!$C$5+CD887*'تنظیمات وزن‌دهی'!$C$6+CE887*'تنظیمات وزن‌دهی'!$C$7+CF887*'تنظیمات وزن‌دهی'!$C$8+CG887*'تنظیمات وزن‌دهی'!$C$9+CH887*'تنظیمات وزن‌دهی'!$C$10+CI887*'تنظیمات وزن‌دهی'!$C$11+CJ887*'تنظیمات وزن‌دهی'!$C$12+CK887*'تنظیمات وزن‌دهی'!$C$13)/100))</x:f>
      </x:c>
      <x:c r="CM887" s="178" t="str">
        <x:f>IF(C887="","",IF(COUNT(G887:CB887)=0,"",IF(COUNT(G887:CB887)&lt;74,"موقت - اطلاعات ناقص",IF(CL887&gt;=17,"عالی",IF(CL887&gt;=14,"خوب",IF(CL887&gt;=10,"متوسط","ضعیف"))))))</x:f>
      </x:c>
      <x:c r="CN887" s="178" t="n">
        <x:v>7</x:v>
      </x:c>
      <x:c r="CO887" s="142" t="n">
        <x:f>IF(C887="","",COUNT(G887:CB887)/74)</x:f>
        <x:v>0</x:v>
      </x:c>
      <x:c r="CP887" s="245"/>
    </x:row>
    <x:row r="888">
      <x:c r="A888" s="165" t="n">
        <x:v>884</x:v>
      </x:c>
      <x:c r="B888" s="233" t="str">
        <x:v>بهمن</x:v>
      </x:c>
      <x:c r="C888" s="233" t="n">
        <x:f>IF('دانش‌آموزان'!E78="","",'دانش‌آموزان'!B78)</x:f>
        <x:v>74</x:v>
      </x:c>
      <x:c r="D888" s="233" t="str">
        <x:f>IF('دانش‌آموزان'!C78="","",'دانش‌آموزان'!C78)</x:f>
        <x:v>4000000748</x:v>
      </x:c>
      <x:c r="E888" s="233" t="str">
        <x:f>IF('دانش‌آموزان'!E78="","",'دانش‌آموزان'!E78&amp;" "&amp;'دانش‌آموزان'!F78)</x:f>
        <x:v>باران نوری</x:v>
      </x:c>
      <x:c r="F888" s="166" t="str">
        <x:f>IF('دانش‌آموزان'!I78="","",'دانش‌آموزان'!I78)</x:f>
        <x:v>sample-7-c</x:v>
      </x:c>
      <x:c r="G888" s="114"/>
      <x:c r="H888" s="115"/>
      <x:c r="I888" s="115"/>
      <x:c r="J888" s="115"/>
      <x:c r="K888" s="115"/>
      <x:c r="L888" s="115"/>
      <x:c r="M888" s="115"/>
      <x:c r="N888" s="115"/>
      <x:c r="O888" s="115"/>
      <x:c r="P888" s="115"/>
      <x:c r="Q888" s="115"/>
      <x:c r="R888" s="115"/>
      <x:c r="S888" s="115"/>
      <x:c r="T888" s="115"/>
      <x:c r="U888" s="115"/>
      <x:c r="V888" s="115"/>
      <x:c r="W888" s="115"/>
      <x:c r="X888" s="115"/>
      <x:c r="Y888" s="115"/>
      <x:c r="Z888" s="115"/>
      <x:c r="AA888" s="115"/>
      <x:c r="AB888" s="115"/>
      <x:c r="AC888" s="115"/>
      <x:c r="AD888" s="115"/>
      <x:c r="AE888" s="115"/>
      <x:c r="AF888" s="115"/>
      <x:c r="AG888" s="115"/>
      <x:c r="AH888" s="115"/>
      <x:c r="AI888" s="115"/>
      <x:c r="AJ888" s="115"/>
      <x:c r="AK888" s="115"/>
      <x:c r="AL888" s="115"/>
      <x:c r="AM888" s="115"/>
      <x:c r="AN888" s="115"/>
      <x:c r="AO888" s="115"/>
      <x:c r="AP888" s="115"/>
      <x:c r="AQ888" s="115"/>
      <x:c r="AR888" s="115"/>
      <x:c r="AS888" s="115"/>
      <x:c r="AT888" s="115"/>
      <x:c r="AU888" s="115"/>
      <x:c r="AV888" s="115"/>
      <x:c r="AW888" s="115"/>
      <x:c r="AX888" s="115"/>
      <x:c r="AY888" s="115"/>
      <x:c r="AZ888" s="115"/>
      <x:c r="BA888" s="115"/>
      <x:c r="BB888" s="115"/>
      <x:c r="BC888" s="115"/>
      <x:c r="BD888" s="115"/>
      <x:c r="BE888" s="115"/>
      <x:c r="BF888" s="115"/>
      <x:c r="BG888" s="115"/>
      <x:c r="BH888" s="115"/>
      <x:c r="BI888" s="115"/>
      <x:c r="BJ888" s="115"/>
      <x:c r="BK888" s="115"/>
      <x:c r="BL888" s="115"/>
      <x:c r="BM888" s="115"/>
      <x:c r="BN888" s="115"/>
      <x:c r="BO888" s="115"/>
      <x:c r="BP888" s="115"/>
      <x:c r="BQ888" s="115"/>
      <x:c r="BR888" s="115"/>
      <x:c r="BS888" s="115"/>
      <x:c r="BT888" s="115"/>
      <x:c r="BU888" s="115"/>
      <x:c r="BV888" s="115"/>
      <x:c r="BW888" s="115"/>
      <x:c r="BX888" s="115"/>
      <x:c r="BY888" s="115"/>
      <x:c r="BZ888" s="115"/>
      <x:c r="CA888" s="115"/>
      <x:c r="CB888" s="116"/>
      <x:c r="CC888" s="141" t="str">
        <x:f>IF(COUNT(G888:P888)=0,"",AVERAGE(G888:P888)*4)</x:f>
      </x:c>
      <x:c r="CD888" s="178" t="str">
        <x:f>IF(COUNT(Q888:Z888)=0,"",AVERAGE(Q888:Z888)*4)</x:f>
      </x:c>
      <x:c r="CE888" s="178" t="str">
        <x:f>IF(COUNT(AA888:AJ888)=0,"",AVERAGE(AA888:AJ888)*4)</x:f>
      </x:c>
      <x:c r="CF888" s="178" t="str">
        <x:f>IF(COUNT(AK888:AR888)=0,"",AVERAGE(AK888:AR888)*4)</x:f>
      </x:c>
      <x:c r="CG888" s="178" t="str">
        <x:f>IF(COUNT(AS888:AY888)=0,"",AVERAGE(AS888:AY888)*4)</x:f>
      </x:c>
      <x:c r="CH888" s="178" t="str">
        <x:f>IF(COUNT(AZ888:BG888)=0,"",AVERAGE(AZ888:BG888)*4)</x:f>
      </x:c>
      <x:c r="CI888" s="178" t="str">
        <x:f>IF(COUNT(BH888:BN888)=0,"",AVERAGE(BH888:BN888)*4)</x:f>
      </x:c>
      <x:c r="CJ888" s="178" t="str">
        <x:f>IF(COUNT(BO888:BU888)=0,"",AVERAGE(BO888:BU888)*4)</x:f>
      </x:c>
      <x:c r="CK888" s="178" t="str">
        <x:f>IF(COUNT(BV888:CB888)=0,"",AVERAGE(BV888:CB888)*4)</x:f>
      </x:c>
      <x:c r="CL888" s="178" t="str">
        <x:f>IF(C888="","",IF(COUNT(G888:CB888)&lt;74,"",(CC888*'تنظیمات وزن‌دهی'!$C$5+CD888*'تنظیمات وزن‌دهی'!$C$6+CE888*'تنظیمات وزن‌دهی'!$C$7+CF888*'تنظیمات وزن‌دهی'!$C$8+CG888*'تنظیمات وزن‌دهی'!$C$9+CH888*'تنظیمات وزن‌دهی'!$C$10+CI888*'تنظیمات وزن‌دهی'!$C$11+CJ888*'تنظیمات وزن‌دهی'!$C$12+CK888*'تنظیمات وزن‌دهی'!$C$13)/100))</x:f>
      </x:c>
      <x:c r="CM888" s="178" t="str">
        <x:f>IF(C888="","",IF(COUNT(G888:CB888)=0,"",IF(COUNT(G888:CB888)&lt;74,"موقت - اطلاعات ناقص",IF(CL888&gt;=17,"عالی",IF(CL888&gt;=14,"خوب",IF(CL888&gt;=10,"متوسط","ضعیف"))))))</x:f>
      </x:c>
      <x:c r="CN888" s="178" t="n">
        <x:v>8</x:v>
      </x:c>
      <x:c r="CO888" s="142" t="n">
        <x:f>IF(C888="","",COUNT(G888:CB888)/74)</x:f>
        <x:v>0</x:v>
      </x:c>
      <x:c r="CP888" s="245"/>
    </x:row>
    <x:row r="889">
      <x:c r="A889" s="165" t="n">
        <x:v>885</x:v>
      </x:c>
      <x:c r="B889" s="233" t="str">
        <x:v>اسفند</x:v>
      </x:c>
      <x:c r="C889" s="233" t="n">
        <x:f>IF('دانش‌آموزان'!E78="","",'دانش‌آموزان'!B78)</x:f>
        <x:v>74</x:v>
      </x:c>
      <x:c r="D889" s="233" t="str">
        <x:f>IF('دانش‌آموزان'!C78="","",'دانش‌آموزان'!C78)</x:f>
        <x:v>4000000748</x:v>
      </x:c>
      <x:c r="E889" s="233" t="str">
        <x:f>IF('دانش‌آموزان'!E78="","",'دانش‌آموزان'!E78&amp;" "&amp;'دانش‌آموزان'!F78)</x:f>
        <x:v>باران نوری</x:v>
      </x:c>
      <x:c r="F889" s="166" t="str">
        <x:f>IF('دانش‌آموزان'!I78="","",'دانش‌آموزان'!I78)</x:f>
        <x:v>sample-7-c</x:v>
      </x:c>
      <x:c r="G889" s="114"/>
      <x:c r="H889" s="115"/>
      <x:c r="I889" s="115"/>
      <x:c r="J889" s="115"/>
      <x:c r="K889" s="115"/>
      <x:c r="L889" s="115"/>
      <x:c r="M889" s="115"/>
      <x:c r="N889" s="115"/>
      <x:c r="O889" s="115"/>
      <x:c r="P889" s="115"/>
      <x:c r="Q889" s="115"/>
      <x:c r="R889" s="115"/>
      <x:c r="S889" s="115"/>
      <x:c r="T889" s="115"/>
      <x:c r="U889" s="115"/>
      <x:c r="V889" s="115"/>
      <x:c r="W889" s="115"/>
      <x:c r="X889" s="115"/>
      <x:c r="Y889" s="115"/>
      <x:c r="Z889" s="115"/>
      <x:c r="AA889" s="115"/>
      <x:c r="AB889" s="115"/>
      <x:c r="AC889" s="115"/>
      <x:c r="AD889" s="115"/>
      <x:c r="AE889" s="115"/>
      <x:c r="AF889" s="115"/>
      <x:c r="AG889" s="115"/>
      <x:c r="AH889" s="115"/>
      <x:c r="AI889" s="115"/>
      <x:c r="AJ889" s="115"/>
      <x:c r="AK889" s="115"/>
      <x:c r="AL889" s="115"/>
      <x:c r="AM889" s="115"/>
      <x:c r="AN889" s="115"/>
      <x:c r="AO889" s="115"/>
      <x:c r="AP889" s="115"/>
      <x:c r="AQ889" s="115"/>
      <x:c r="AR889" s="115"/>
      <x:c r="AS889" s="115"/>
      <x:c r="AT889" s="115"/>
      <x:c r="AU889" s="115"/>
      <x:c r="AV889" s="115"/>
      <x:c r="AW889" s="115"/>
      <x:c r="AX889" s="115"/>
      <x:c r="AY889" s="115"/>
      <x:c r="AZ889" s="115"/>
      <x:c r="BA889" s="115"/>
      <x:c r="BB889" s="115"/>
      <x:c r="BC889" s="115"/>
      <x:c r="BD889" s="115"/>
      <x:c r="BE889" s="115"/>
      <x:c r="BF889" s="115"/>
      <x:c r="BG889" s="115"/>
      <x:c r="BH889" s="115"/>
      <x:c r="BI889" s="115"/>
      <x:c r="BJ889" s="115"/>
      <x:c r="BK889" s="115"/>
      <x:c r="BL889" s="115"/>
      <x:c r="BM889" s="115"/>
      <x:c r="BN889" s="115"/>
      <x:c r="BO889" s="115"/>
      <x:c r="BP889" s="115"/>
      <x:c r="BQ889" s="115"/>
      <x:c r="BR889" s="115"/>
      <x:c r="BS889" s="115"/>
      <x:c r="BT889" s="115"/>
      <x:c r="BU889" s="115"/>
      <x:c r="BV889" s="115"/>
      <x:c r="BW889" s="115"/>
      <x:c r="BX889" s="115"/>
      <x:c r="BY889" s="115"/>
      <x:c r="BZ889" s="115"/>
      <x:c r="CA889" s="115"/>
      <x:c r="CB889" s="116"/>
      <x:c r="CC889" s="141" t="str">
        <x:f>IF(COUNT(G889:P889)=0,"",AVERAGE(G889:P889)*4)</x:f>
      </x:c>
      <x:c r="CD889" s="178" t="str">
        <x:f>IF(COUNT(Q889:Z889)=0,"",AVERAGE(Q889:Z889)*4)</x:f>
      </x:c>
      <x:c r="CE889" s="178" t="str">
        <x:f>IF(COUNT(AA889:AJ889)=0,"",AVERAGE(AA889:AJ889)*4)</x:f>
      </x:c>
      <x:c r="CF889" s="178" t="str">
        <x:f>IF(COUNT(AK889:AR889)=0,"",AVERAGE(AK889:AR889)*4)</x:f>
      </x:c>
      <x:c r="CG889" s="178" t="str">
        <x:f>IF(COUNT(AS889:AY889)=0,"",AVERAGE(AS889:AY889)*4)</x:f>
      </x:c>
      <x:c r="CH889" s="178" t="str">
        <x:f>IF(COUNT(AZ889:BG889)=0,"",AVERAGE(AZ889:BG889)*4)</x:f>
      </x:c>
      <x:c r="CI889" s="178" t="str">
        <x:f>IF(COUNT(BH889:BN889)=0,"",AVERAGE(BH889:BN889)*4)</x:f>
      </x:c>
      <x:c r="CJ889" s="178" t="str">
        <x:f>IF(COUNT(BO889:BU889)=0,"",AVERAGE(BO889:BU889)*4)</x:f>
      </x:c>
      <x:c r="CK889" s="178" t="str">
        <x:f>IF(COUNT(BV889:CB889)=0,"",AVERAGE(BV889:CB889)*4)</x:f>
      </x:c>
      <x:c r="CL889" s="178" t="str">
        <x:f>IF(C889="","",IF(COUNT(G889:CB889)&lt;74,"",(CC889*'تنظیمات وزن‌دهی'!$C$5+CD889*'تنظیمات وزن‌دهی'!$C$6+CE889*'تنظیمات وزن‌دهی'!$C$7+CF889*'تنظیمات وزن‌دهی'!$C$8+CG889*'تنظیمات وزن‌دهی'!$C$9+CH889*'تنظیمات وزن‌دهی'!$C$10+CI889*'تنظیمات وزن‌دهی'!$C$11+CJ889*'تنظیمات وزن‌دهی'!$C$12+CK889*'تنظیمات وزن‌دهی'!$C$13)/100))</x:f>
      </x:c>
      <x:c r="CM889" s="178" t="str">
        <x:f>IF(C889="","",IF(COUNT(G889:CB889)=0,"",IF(COUNT(G889:CB889)&lt;74,"موقت - اطلاعات ناقص",IF(CL889&gt;=17,"عالی",IF(CL889&gt;=14,"خوب",IF(CL889&gt;=10,"متوسط","ضعیف"))))))</x:f>
      </x:c>
      <x:c r="CN889" s="178" t="n">
        <x:v>9</x:v>
      </x:c>
      <x:c r="CO889" s="142" t="n">
        <x:f>IF(C889="","",COUNT(G889:CB889)/74)</x:f>
        <x:v>0</x:v>
      </x:c>
      <x:c r="CP889" s="245"/>
    </x:row>
    <x:row r="890">
      <x:c r="A890" s="165" t="n">
        <x:v>886</x:v>
      </x:c>
      <x:c r="B890" s="233" t="str">
        <x:v>فروردین</x:v>
      </x:c>
      <x:c r="C890" s="233" t="n">
        <x:f>IF('دانش‌آموزان'!E78="","",'دانش‌آموزان'!B78)</x:f>
        <x:v>74</x:v>
      </x:c>
      <x:c r="D890" s="233" t="str">
        <x:f>IF('دانش‌آموزان'!C78="","",'دانش‌آموزان'!C78)</x:f>
        <x:v>4000000748</x:v>
      </x:c>
      <x:c r="E890" s="233" t="str">
        <x:f>IF('دانش‌آموزان'!E78="","",'دانش‌آموزان'!E78&amp;" "&amp;'دانش‌آموزان'!F78)</x:f>
        <x:v>باران نوری</x:v>
      </x:c>
      <x:c r="F890" s="166" t="str">
        <x:f>IF('دانش‌آموزان'!I78="","",'دانش‌آموزان'!I78)</x:f>
        <x:v>sample-7-c</x:v>
      </x:c>
      <x:c r="G890" s="114"/>
      <x:c r="H890" s="115"/>
      <x:c r="I890" s="115"/>
      <x:c r="J890" s="115"/>
      <x:c r="K890" s="115"/>
      <x:c r="L890" s="115"/>
      <x:c r="M890" s="115"/>
      <x:c r="N890" s="115"/>
      <x:c r="O890" s="115"/>
      <x:c r="P890" s="115"/>
      <x:c r="Q890" s="115"/>
      <x:c r="R890" s="115"/>
      <x:c r="S890" s="115"/>
      <x:c r="T890" s="115"/>
      <x:c r="U890" s="115"/>
      <x:c r="V890" s="115"/>
      <x:c r="W890" s="115"/>
      <x:c r="X890" s="115"/>
      <x:c r="Y890" s="115"/>
      <x:c r="Z890" s="115"/>
      <x:c r="AA890" s="115"/>
      <x:c r="AB890" s="115"/>
      <x:c r="AC890" s="115"/>
      <x:c r="AD890" s="115"/>
      <x:c r="AE890" s="115"/>
      <x:c r="AF890" s="115"/>
      <x:c r="AG890" s="115"/>
      <x:c r="AH890" s="115"/>
      <x:c r="AI890" s="115"/>
      <x:c r="AJ890" s="115"/>
      <x:c r="AK890" s="115"/>
      <x:c r="AL890" s="115"/>
      <x:c r="AM890" s="115"/>
      <x:c r="AN890" s="115"/>
      <x:c r="AO890" s="115"/>
      <x:c r="AP890" s="115"/>
      <x:c r="AQ890" s="115"/>
      <x:c r="AR890" s="115"/>
      <x:c r="AS890" s="115"/>
      <x:c r="AT890" s="115"/>
      <x:c r="AU890" s="115"/>
      <x:c r="AV890" s="115"/>
      <x:c r="AW890" s="115"/>
      <x:c r="AX890" s="115"/>
      <x:c r="AY890" s="115"/>
      <x:c r="AZ890" s="115"/>
      <x:c r="BA890" s="115"/>
      <x:c r="BB890" s="115"/>
      <x:c r="BC890" s="115"/>
      <x:c r="BD890" s="115"/>
      <x:c r="BE890" s="115"/>
      <x:c r="BF890" s="115"/>
      <x:c r="BG890" s="115"/>
      <x:c r="BH890" s="115"/>
      <x:c r="BI890" s="115"/>
      <x:c r="BJ890" s="115"/>
      <x:c r="BK890" s="115"/>
      <x:c r="BL890" s="115"/>
      <x:c r="BM890" s="115"/>
      <x:c r="BN890" s="115"/>
      <x:c r="BO890" s="115"/>
      <x:c r="BP890" s="115"/>
      <x:c r="BQ890" s="115"/>
      <x:c r="BR890" s="115"/>
      <x:c r="BS890" s="115"/>
      <x:c r="BT890" s="115"/>
      <x:c r="BU890" s="115"/>
      <x:c r="BV890" s="115"/>
      <x:c r="BW890" s="115"/>
      <x:c r="BX890" s="115"/>
      <x:c r="BY890" s="115"/>
      <x:c r="BZ890" s="115"/>
      <x:c r="CA890" s="115"/>
      <x:c r="CB890" s="116"/>
      <x:c r="CC890" s="141" t="str">
        <x:f>IF(COUNT(G890:P890)=0,"",AVERAGE(G890:P890)*4)</x:f>
      </x:c>
      <x:c r="CD890" s="178" t="str">
        <x:f>IF(COUNT(Q890:Z890)=0,"",AVERAGE(Q890:Z890)*4)</x:f>
      </x:c>
      <x:c r="CE890" s="178" t="str">
        <x:f>IF(COUNT(AA890:AJ890)=0,"",AVERAGE(AA890:AJ890)*4)</x:f>
      </x:c>
      <x:c r="CF890" s="178" t="str">
        <x:f>IF(COUNT(AK890:AR890)=0,"",AVERAGE(AK890:AR890)*4)</x:f>
      </x:c>
      <x:c r="CG890" s="178" t="str">
        <x:f>IF(COUNT(AS890:AY890)=0,"",AVERAGE(AS890:AY890)*4)</x:f>
      </x:c>
      <x:c r="CH890" s="178" t="str">
        <x:f>IF(COUNT(AZ890:BG890)=0,"",AVERAGE(AZ890:BG890)*4)</x:f>
      </x:c>
      <x:c r="CI890" s="178" t="str">
        <x:f>IF(COUNT(BH890:BN890)=0,"",AVERAGE(BH890:BN890)*4)</x:f>
      </x:c>
      <x:c r="CJ890" s="178" t="str">
        <x:f>IF(COUNT(BO890:BU890)=0,"",AVERAGE(BO890:BU890)*4)</x:f>
      </x:c>
      <x:c r="CK890" s="178" t="str">
        <x:f>IF(COUNT(BV890:CB890)=0,"",AVERAGE(BV890:CB890)*4)</x:f>
      </x:c>
      <x:c r="CL890" s="178" t="str">
        <x:f>IF(C890="","",IF(COUNT(G890:CB890)&lt;74,"",(CC890*'تنظیمات وزن‌دهی'!$C$5+CD890*'تنظیمات وزن‌دهی'!$C$6+CE890*'تنظیمات وزن‌دهی'!$C$7+CF890*'تنظیمات وزن‌دهی'!$C$8+CG890*'تنظیمات وزن‌دهی'!$C$9+CH890*'تنظیمات وزن‌دهی'!$C$10+CI890*'تنظیمات وزن‌دهی'!$C$11+CJ890*'تنظیمات وزن‌دهی'!$C$12+CK890*'تنظیمات وزن‌دهی'!$C$13)/100))</x:f>
      </x:c>
      <x:c r="CM890" s="178" t="str">
        <x:f>IF(C890="","",IF(COUNT(G890:CB890)=0,"",IF(COUNT(G890:CB890)&lt;74,"موقت - اطلاعات ناقص",IF(CL890&gt;=17,"عالی",IF(CL890&gt;=14,"خوب",IF(CL890&gt;=10,"متوسط","ضعیف"))))))</x:f>
      </x:c>
      <x:c r="CN890" s="178" t="n">
        <x:v>10</x:v>
      </x:c>
      <x:c r="CO890" s="142" t="n">
        <x:f>IF(C890="","",COUNT(G890:CB890)/74)</x:f>
        <x:v>0</x:v>
      </x:c>
      <x:c r="CP890" s="245"/>
    </x:row>
    <x:row r="891">
      <x:c r="A891" s="165" t="n">
        <x:v>887</x:v>
      </x:c>
      <x:c r="B891" s="233" t="str">
        <x:v>اردیبهشت</x:v>
      </x:c>
      <x:c r="C891" s="233" t="n">
        <x:f>IF('دانش‌آموزان'!E78="","",'دانش‌آموزان'!B78)</x:f>
        <x:v>74</x:v>
      </x:c>
      <x:c r="D891" s="233" t="str">
        <x:f>IF('دانش‌آموزان'!C78="","",'دانش‌آموزان'!C78)</x:f>
        <x:v>4000000748</x:v>
      </x:c>
      <x:c r="E891" s="233" t="str">
        <x:f>IF('دانش‌آموزان'!E78="","",'دانش‌آموزان'!E78&amp;" "&amp;'دانش‌آموزان'!F78)</x:f>
        <x:v>باران نوری</x:v>
      </x:c>
      <x:c r="F891" s="166" t="str">
        <x:f>IF('دانش‌آموزان'!I78="","",'دانش‌آموزان'!I78)</x:f>
        <x:v>sample-7-c</x:v>
      </x:c>
      <x:c r="G891" s="114"/>
      <x:c r="H891" s="115"/>
      <x:c r="I891" s="115"/>
      <x:c r="J891" s="115"/>
      <x:c r="K891" s="115"/>
      <x:c r="L891" s="115"/>
      <x:c r="M891" s="115"/>
      <x:c r="N891" s="115"/>
      <x:c r="O891" s="115"/>
      <x:c r="P891" s="115"/>
      <x:c r="Q891" s="115"/>
      <x:c r="R891" s="115"/>
      <x:c r="S891" s="115"/>
      <x:c r="T891" s="115"/>
      <x:c r="U891" s="115"/>
      <x:c r="V891" s="115"/>
      <x:c r="W891" s="115"/>
      <x:c r="X891" s="115"/>
      <x:c r="Y891" s="115"/>
      <x:c r="Z891" s="115"/>
      <x:c r="AA891" s="115"/>
      <x:c r="AB891" s="115"/>
      <x:c r="AC891" s="115"/>
      <x:c r="AD891" s="115"/>
      <x:c r="AE891" s="115"/>
      <x:c r="AF891" s="115"/>
      <x:c r="AG891" s="115"/>
      <x:c r="AH891" s="115"/>
      <x:c r="AI891" s="115"/>
      <x:c r="AJ891" s="115"/>
      <x:c r="AK891" s="115"/>
      <x:c r="AL891" s="115"/>
      <x:c r="AM891" s="115"/>
      <x:c r="AN891" s="115"/>
      <x:c r="AO891" s="115"/>
      <x:c r="AP891" s="115"/>
      <x:c r="AQ891" s="115"/>
      <x:c r="AR891" s="115"/>
      <x:c r="AS891" s="115"/>
      <x:c r="AT891" s="115"/>
      <x:c r="AU891" s="115"/>
      <x:c r="AV891" s="115"/>
      <x:c r="AW891" s="115"/>
      <x:c r="AX891" s="115"/>
      <x:c r="AY891" s="115"/>
      <x:c r="AZ891" s="115"/>
      <x:c r="BA891" s="115"/>
      <x:c r="BB891" s="115"/>
      <x:c r="BC891" s="115"/>
      <x:c r="BD891" s="115"/>
      <x:c r="BE891" s="115"/>
      <x:c r="BF891" s="115"/>
      <x:c r="BG891" s="115"/>
      <x:c r="BH891" s="115"/>
      <x:c r="BI891" s="115"/>
      <x:c r="BJ891" s="115"/>
      <x:c r="BK891" s="115"/>
      <x:c r="BL891" s="115"/>
      <x:c r="BM891" s="115"/>
      <x:c r="BN891" s="115"/>
      <x:c r="BO891" s="115"/>
      <x:c r="BP891" s="115"/>
      <x:c r="BQ891" s="115"/>
      <x:c r="BR891" s="115"/>
      <x:c r="BS891" s="115"/>
      <x:c r="BT891" s="115"/>
      <x:c r="BU891" s="115"/>
      <x:c r="BV891" s="115"/>
      <x:c r="BW891" s="115"/>
      <x:c r="BX891" s="115"/>
      <x:c r="BY891" s="115"/>
      <x:c r="BZ891" s="115"/>
      <x:c r="CA891" s="115"/>
      <x:c r="CB891" s="116"/>
      <x:c r="CC891" s="141" t="str">
        <x:f>IF(COUNT(G891:P891)=0,"",AVERAGE(G891:P891)*4)</x:f>
      </x:c>
      <x:c r="CD891" s="178" t="str">
        <x:f>IF(COUNT(Q891:Z891)=0,"",AVERAGE(Q891:Z891)*4)</x:f>
      </x:c>
      <x:c r="CE891" s="178" t="str">
        <x:f>IF(COUNT(AA891:AJ891)=0,"",AVERAGE(AA891:AJ891)*4)</x:f>
      </x:c>
      <x:c r="CF891" s="178" t="str">
        <x:f>IF(COUNT(AK891:AR891)=0,"",AVERAGE(AK891:AR891)*4)</x:f>
      </x:c>
      <x:c r="CG891" s="178" t="str">
        <x:f>IF(COUNT(AS891:AY891)=0,"",AVERAGE(AS891:AY891)*4)</x:f>
      </x:c>
      <x:c r="CH891" s="178" t="str">
        <x:f>IF(COUNT(AZ891:BG891)=0,"",AVERAGE(AZ891:BG891)*4)</x:f>
      </x:c>
      <x:c r="CI891" s="178" t="str">
        <x:f>IF(COUNT(BH891:BN891)=0,"",AVERAGE(BH891:BN891)*4)</x:f>
      </x:c>
      <x:c r="CJ891" s="178" t="str">
        <x:f>IF(COUNT(BO891:BU891)=0,"",AVERAGE(BO891:BU891)*4)</x:f>
      </x:c>
      <x:c r="CK891" s="178" t="str">
        <x:f>IF(COUNT(BV891:CB891)=0,"",AVERAGE(BV891:CB891)*4)</x:f>
      </x:c>
      <x:c r="CL891" s="178" t="str">
        <x:f>IF(C891="","",IF(COUNT(G891:CB891)&lt;74,"",(CC891*'تنظیمات وزن‌دهی'!$C$5+CD891*'تنظیمات وزن‌دهی'!$C$6+CE891*'تنظیمات وزن‌دهی'!$C$7+CF891*'تنظیمات وزن‌دهی'!$C$8+CG891*'تنظیمات وزن‌دهی'!$C$9+CH891*'تنظیمات وزن‌دهی'!$C$10+CI891*'تنظیمات وزن‌دهی'!$C$11+CJ891*'تنظیمات وزن‌دهی'!$C$12+CK891*'تنظیمات وزن‌دهی'!$C$13)/100))</x:f>
      </x:c>
      <x:c r="CM891" s="178" t="str">
        <x:f>IF(C891="","",IF(COUNT(G891:CB891)=0,"",IF(COUNT(G891:CB891)&lt;74,"موقت - اطلاعات ناقص",IF(CL891&gt;=17,"عالی",IF(CL891&gt;=14,"خوب",IF(CL891&gt;=10,"متوسط","ضعیف"))))))</x:f>
      </x:c>
      <x:c r="CN891" s="178" t="n">
        <x:v>11</x:v>
      </x:c>
      <x:c r="CO891" s="142" t="n">
        <x:f>IF(C891="","",COUNT(G891:CB891)/74)</x:f>
        <x:v>0</x:v>
      </x:c>
      <x:c r="CP891" s="245"/>
    </x:row>
    <x:row r="892">
      <x:c r="A892" s="165" t="n">
        <x:v>888</x:v>
      </x:c>
      <x:c r="B892" s="233" t="str">
        <x:v>خرداد</x:v>
      </x:c>
      <x:c r="C892" s="233" t="n">
        <x:f>IF('دانش‌آموزان'!E78="","",'دانش‌آموزان'!B78)</x:f>
        <x:v>74</x:v>
      </x:c>
      <x:c r="D892" s="233" t="str">
        <x:f>IF('دانش‌آموزان'!C78="","",'دانش‌آموزان'!C78)</x:f>
        <x:v>4000000748</x:v>
      </x:c>
      <x:c r="E892" s="233" t="str">
        <x:f>IF('دانش‌آموزان'!E78="","",'دانش‌آموزان'!E78&amp;" "&amp;'دانش‌آموزان'!F78)</x:f>
        <x:v>باران نوری</x:v>
      </x:c>
      <x:c r="F892" s="166" t="str">
        <x:f>IF('دانش‌آموزان'!I78="","",'دانش‌آموزان'!I78)</x:f>
        <x:v>sample-7-c</x:v>
      </x:c>
      <x:c r="G892" s="114"/>
      <x:c r="H892" s="115"/>
      <x:c r="I892" s="115"/>
      <x:c r="J892" s="115"/>
      <x:c r="K892" s="115"/>
      <x:c r="L892" s="115"/>
      <x:c r="M892" s="115"/>
      <x:c r="N892" s="115"/>
      <x:c r="O892" s="115"/>
      <x:c r="P892" s="115"/>
      <x:c r="Q892" s="115"/>
      <x:c r="R892" s="115"/>
      <x:c r="S892" s="115"/>
      <x:c r="T892" s="115"/>
      <x:c r="U892" s="115"/>
      <x:c r="V892" s="115"/>
      <x:c r="W892" s="115"/>
      <x:c r="X892" s="115"/>
      <x:c r="Y892" s="115"/>
      <x:c r="Z892" s="115"/>
      <x:c r="AA892" s="115"/>
      <x:c r="AB892" s="115"/>
      <x:c r="AC892" s="115"/>
      <x:c r="AD892" s="115"/>
      <x:c r="AE892" s="115"/>
      <x:c r="AF892" s="115"/>
      <x:c r="AG892" s="115"/>
      <x:c r="AH892" s="115"/>
      <x:c r="AI892" s="115"/>
      <x:c r="AJ892" s="115"/>
      <x:c r="AK892" s="115"/>
      <x:c r="AL892" s="115"/>
      <x:c r="AM892" s="115"/>
      <x:c r="AN892" s="115"/>
      <x:c r="AO892" s="115"/>
      <x:c r="AP892" s="115"/>
      <x:c r="AQ892" s="115"/>
      <x:c r="AR892" s="115"/>
      <x:c r="AS892" s="115"/>
      <x:c r="AT892" s="115"/>
      <x:c r="AU892" s="115"/>
      <x:c r="AV892" s="115"/>
      <x:c r="AW892" s="115"/>
      <x:c r="AX892" s="115"/>
      <x:c r="AY892" s="115"/>
      <x:c r="AZ892" s="115"/>
      <x:c r="BA892" s="115"/>
      <x:c r="BB892" s="115"/>
      <x:c r="BC892" s="115"/>
      <x:c r="BD892" s="115"/>
      <x:c r="BE892" s="115"/>
      <x:c r="BF892" s="115"/>
      <x:c r="BG892" s="115"/>
      <x:c r="BH892" s="115"/>
      <x:c r="BI892" s="115"/>
      <x:c r="BJ892" s="115"/>
      <x:c r="BK892" s="115"/>
      <x:c r="BL892" s="115"/>
      <x:c r="BM892" s="115"/>
      <x:c r="BN892" s="115"/>
      <x:c r="BO892" s="115"/>
      <x:c r="BP892" s="115"/>
      <x:c r="BQ892" s="115"/>
      <x:c r="BR892" s="115"/>
      <x:c r="BS892" s="115"/>
      <x:c r="BT892" s="115"/>
      <x:c r="BU892" s="115"/>
      <x:c r="BV892" s="115"/>
      <x:c r="BW892" s="115"/>
      <x:c r="BX892" s="115"/>
      <x:c r="BY892" s="115"/>
      <x:c r="BZ892" s="115"/>
      <x:c r="CA892" s="115"/>
      <x:c r="CB892" s="116"/>
      <x:c r="CC892" s="141" t="str">
        <x:f>IF(COUNT(G892:P892)=0,"",AVERAGE(G892:P892)*4)</x:f>
      </x:c>
      <x:c r="CD892" s="178" t="str">
        <x:f>IF(COUNT(Q892:Z892)=0,"",AVERAGE(Q892:Z892)*4)</x:f>
      </x:c>
      <x:c r="CE892" s="178" t="str">
        <x:f>IF(COUNT(AA892:AJ892)=0,"",AVERAGE(AA892:AJ892)*4)</x:f>
      </x:c>
      <x:c r="CF892" s="178" t="str">
        <x:f>IF(COUNT(AK892:AR892)=0,"",AVERAGE(AK892:AR892)*4)</x:f>
      </x:c>
      <x:c r="CG892" s="178" t="str">
        <x:f>IF(COUNT(AS892:AY892)=0,"",AVERAGE(AS892:AY892)*4)</x:f>
      </x:c>
      <x:c r="CH892" s="178" t="str">
        <x:f>IF(COUNT(AZ892:BG892)=0,"",AVERAGE(AZ892:BG892)*4)</x:f>
      </x:c>
      <x:c r="CI892" s="178" t="str">
        <x:f>IF(COUNT(BH892:BN892)=0,"",AVERAGE(BH892:BN892)*4)</x:f>
      </x:c>
      <x:c r="CJ892" s="178" t="str">
        <x:f>IF(COUNT(BO892:BU892)=0,"",AVERAGE(BO892:BU892)*4)</x:f>
      </x:c>
      <x:c r="CK892" s="178" t="str">
        <x:f>IF(COUNT(BV892:CB892)=0,"",AVERAGE(BV892:CB892)*4)</x:f>
      </x:c>
      <x:c r="CL892" s="178" t="str">
        <x:f>IF(C892="","",IF(COUNT(G892:CB892)&lt;74,"",(CC892*'تنظیمات وزن‌دهی'!$C$5+CD892*'تنظیمات وزن‌دهی'!$C$6+CE892*'تنظیمات وزن‌دهی'!$C$7+CF892*'تنظیمات وزن‌دهی'!$C$8+CG892*'تنظیمات وزن‌دهی'!$C$9+CH892*'تنظیمات وزن‌دهی'!$C$10+CI892*'تنظیمات وزن‌دهی'!$C$11+CJ892*'تنظیمات وزن‌دهی'!$C$12+CK892*'تنظیمات وزن‌دهی'!$C$13)/100))</x:f>
      </x:c>
      <x:c r="CM892" s="178" t="str">
        <x:f>IF(C892="","",IF(COUNT(G892:CB892)=0,"",IF(COUNT(G892:CB892)&lt;74,"موقت - اطلاعات ناقص",IF(CL892&gt;=17,"عالی",IF(CL892&gt;=14,"خوب",IF(CL892&gt;=10,"متوسط","ضعیف"))))))</x:f>
      </x:c>
      <x:c r="CN892" s="178" t="n">
        <x:v>12</x:v>
      </x:c>
      <x:c r="CO892" s="142" t="n">
        <x:f>IF(C892="","",COUNT(G892:CB892)/74)</x:f>
        <x:v>0</x:v>
      </x:c>
      <x:c r="CP892" s="245"/>
    </x:row>
    <x:row r="893">
      <x:c r="A893" s="165" t="n">
        <x:v>889</x:v>
      </x:c>
      <x:c r="B893" s="233" t="str">
        <x:v>تیر</x:v>
      </x:c>
      <x:c r="C893" s="233" t="n">
        <x:f>IF('دانش‌آموزان'!E79="","",'دانش‌آموزان'!B79)</x:f>
        <x:v>75</x:v>
      </x:c>
      <x:c r="D893" s="233" t="str">
        <x:f>IF('دانش‌آموزان'!C79="","",'دانش‌آموزان'!C79)</x:f>
        <x:v>4000000756</x:v>
      </x:c>
      <x:c r="E893" s="233" t="str">
        <x:f>IF('دانش‌آموزان'!E79="","",'دانش‌آموزان'!E79&amp;" "&amp;'دانش‌آموزان'!F79)</x:f>
        <x:v>ماهان سلیمانی</x:v>
      </x:c>
      <x:c r="F893" s="166" t="str">
        <x:f>IF('دانش‌آموزان'!I79="","",'دانش‌آموزان'!I79)</x:f>
        <x:v>sample-7-c</x:v>
      </x:c>
      <x:c r="G893" s="114" t="n">
        <x:v>3</x:v>
      </x:c>
      <x:c r="H893" s="115" t="n">
        <x:v>4</x:v>
      </x:c>
      <x:c r="I893" s="115" t="n">
        <x:v>3</x:v>
      </x:c>
      <x:c r="J893" s="115" t="n">
        <x:v>4</x:v>
      </x:c>
      <x:c r="K893" s="115" t="n">
        <x:v>2</x:v>
      </x:c>
      <x:c r="L893" s="115" t="n">
        <x:v>4</x:v>
      </x:c>
      <x:c r="M893" s="115" t="n">
        <x:v>5</x:v>
      </x:c>
      <x:c r="N893" s="115" t="n">
        <x:v>4</x:v>
      </x:c>
      <x:c r="O893" s="115" t="n">
        <x:v>5</x:v>
      </x:c>
      <x:c r="P893" s="115" t="n">
        <x:v>3</x:v>
      </x:c>
      <x:c r="Q893" s="115" t="n">
        <x:v>5</x:v>
      </x:c>
      <x:c r="R893" s="115" t="n">
        <x:v>3</x:v>
      </x:c>
      <x:c r="S893" s="115" t="n">
        <x:v>4</x:v>
      </x:c>
      <x:c r="T893" s="115" t="n">
        <x:v>3</x:v>
      </x:c>
      <x:c r="U893" s="115" t="n">
        <x:v>4</x:v>
      </x:c>
      <x:c r="V893" s="115" t="n">
        <x:v>2</x:v>
      </x:c>
      <x:c r="W893" s="115" t="n">
        <x:v>4</x:v>
      </x:c>
      <x:c r="X893" s="115" t="n">
        <x:v>5</x:v>
      </x:c>
      <x:c r="Y893" s="115" t="n">
        <x:v>4</x:v>
      </x:c>
      <x:c r="Z893" s="115" t="n">
        <x:v>5</x:v>
      </x:c>
      <x:c r="AA893" s="115" t="n">
        <x:v>3</x:v>
      </x:c>
      <x:c r="AB893" s="115" t="n">
        <x:v>5</x:v>
      </x:c>
      <x:c r="AC893" s="115" t="n">
        <x:v>3</x:v>
      </x:c>
      <x:c r="AD893" s="115" t="n">
        <x:v>4</x:v>
      </x:c>
      <x:c r="AE893" s="115" t="n">
        <x:v>3</x:v>
      </x:c>
      <x:c r="AF893" s="115" t="n">
        <x:v>4</x:v>
      </x:c>
      <x:c r="AG893" s="115" t="n">
        <x:v>2</x:v>
      </x:c>
      <x:c r="AH893" s="115" t="n">
        <x:v>4</x:v>
      </x:c>
      <x:c r="AI893" s="115" t="n">
        <x:v>5</x:v>
      </x:c>
      <x:c r="AJ893" s="115" t="n">
        <x:v>4</x:v>
      </x:c>
      <x:c r="AK893" s="115" t="n">
        <x:v>5</x:v>
      </x:c>
      <x:c r="AL893" s="115" t="n">
        <x:v>3</x:v>
      </x:c>
      <x:c r="AM893" s="115" t="n">
        <x:v>5</x:v>
      </x:c>
      <x:c r="AN893" s="115" t="n">
        <x:v>3</x:v>
      </x:c>
      <x:c r="AO893" s="115" t="n">
        <x:v>4</x:v>
      </x:c>
      <x:c r="AP893" s="115" t="n">
        <x:v>3</x:v>
      </x:c>
      <x:c r="AQ893" s="115" t="n">
        <x:v>4</x:v>
      </x:c>
      <x:c r="AR893" s="115" t="n">
        <x:v>2</x:v>
      </x:c>
      <x:c r="AS893" s="115" t="n">
        <x:v>4</x:v>
      </x:c>
      <x:c r="AT893" s="115" t="n">
        <x:v>5</x:v>
      </x:c>
      <x:c r="AU893" s="115" t="n">
        <x:v>4</x:v>
      </x:c>
      <x:c r="AV893" s="115" t="n">
        <x:v>5</x:v>
      </x:c>
      <x:c r="AW893" s="115" t="n">
        <x:v>3</x:v>
      </x:c>
      <x:c r="AX893" s="115" t="n">
        <x:v>5</x:v>
      </x:c>
      <x:c r="AY893" s="115" t="n">
        <x:v>3</x:v>
      </x:c>
      <x:c r="AZ893" s="115" t="n">
        <x:v>4</x:v>
      </x:c>
      <x:c r="BA893" s="115" t="n">
        <x:v>3</x:v>
      </x:c>
      <x:c r="BB893" s="115" t="n">
        <x:v>4</x:v>
      </x:c>
      <x:c r="BC893" s="115" t="n">
        <x:v>2</x:v>
      </x:c>
      <x:c r="BD893" s="115" t="n">
        <x:v>4</x:v>
      </x:c>
      <x:c r="BE893" s="115" t="n">
        <x:v>5</x:v>
      </x:c>
      <x:c r="BF893" s="115" t="n">
        <x:v>4</x:v>
      </x:c>
      <x:c r="BG893" s="115" t="n">
        <x:v>5</x:v>
      </x:c>
      <x:c r="BH893" s="115" t="n">
        <x:v>3</x:v>
      </x:c>
      <x:c r="BI893" s="115" t="n">
        <x:v>5</x:v>
      </x:c>
      <x:c r="BJ893" s="115" t="n">
        <x:v>3</x:v>
      </x:c>
      <x:c r="BK893" s="115" t="n">
        <x:v>4</x:v>
      </x:c>
      <x:c r="BL893" s="115" t="n">
        <x:v>3</x:v>
      </x:c>
      <x:c r="BM893" s="115" t="n">
        <x:v>4</x:v>
      </x:c>
      <x:c r="BN893" s="115" t="n">
        <x:v>2</x:v>
      </x:c>
      <x:c r="BO893" s="115" t="n">
        <x:v>4</x:v>
      </x:c>
      <x:c r="BP893" s="115" t="n">
        <x:v>5</x:v>
      </x:c>
      <x:c r="BQ893" s="115" t="n">
        <x:v>4</x:v>
      </x:c>
      <x:c r="BR893" s="115" t="n">
        <x:v>5</x:v>
      </x:c>
      <x:c r="BS893" s="115" t="n">
        <x:v>3</x:v>
      </x:c>
      <x:c r="BT893" s="115" t="n">
        <x:v>5</x:v>
      </x:c>
      <x:c r="BU893" s="115" t="n">
        <x:v>3</x:v>
      </x:c>
      <x:c r="BV893" s="115" t="n">
        <x:v>4</x:v>
      </x:c>
      <x:c r="BW893" s="115" t="n">
        <x:v>3</x:v>
      </x:c>
      <x:c r="BX893" s="115" t="n">
        <x:v>4</x:v>
      </x:c>
      <x:c r="BY893" s="115" t="n">
        <x:v>2</x:v>
      </x:c>
      <x:c r="BZ893" s="115" t="n">
        <x:v>4</x:v>
      </x:c>
      <x:c r="CA893" s="115" t="n">
        <x:v>5</x:v>
      </x:c>
      <x:c r="CB893" s="116" t="n">
        <x:v>4</x:v>
      </x:c>
      <x:c r="CC893" s="141" t="n">
        <x:f>IF(COUNT(G893:P893)=0,"",AVERAGE(G893:P893)*4)</x:f>
        <x:v>14.8</x:v>
      </x:c>
      <x:c r="CD893" s="178" t="n">
        <x:f>IF(COUNT(Q893:Z893)=0,"",AVERAGE(Q893:Z893)*4)</x:f>
        <x:v>15.6</x:v>
      </x:c>
      <x:c r="CE893" s="178" t="n">
        <x:f>IF(COUNT(AA893:AJ893)=0,"",AVERAGE(AA893:AJ893)*4)</x:f>
        <x:v>14.8</x:v>
      </x:c>
      <x:c r="CF893" s="178" t="n">
        <x:f>IF(COUNT(AK893:AR893)=0,"",AVERAGE(AK893:AR893)*4)</x:f>
        <x:v>14.5</x:v>
      </x:c>
      <x:c r="CG893" s="178" t="n">
        <x:f>IF(COUNT(AS893:AY893)=0,"",AVERAGE(AS893:AY893)*4)</x:f>
        <x:v>16.571428571428573</x:v>
      </x:c>
      <x:c r="CH893" s="178" t="n">
        <x:f>IF(COUNT(AZ893:BG893)=0,"",AVERAGE(AZ893:BG893)*4)</x:f>
        <x:v>15.5</x:v>
      </x:c>
      <x:c r="CI893" s="178" t="n">
        <x:f>IF(COUNT(BH893:BN893)=0,"",AVERAGE(BH893:BN893)*4)</x:f>
        <x:v>13.714285714285714</x:v>
      </x:c>
      <x:c r="CJ893" s="178" t="n">
        <x:f>IF(COUNT(BO893:BU893)=0,"",AVERAGE(BO893:BU893)*4)</x:f>
        <x:v>16.571428571428573</x:v>
      </x:c>
      <x:c r="CK893" s="178" t="n">
        <x:f>IF(COUNT(BV893:CB893)=0,"",AVERAGE(BV893:CB893)*4)</x:f>
        <x:v>14.857142857142858</x:v>
      </x:c>
      <x:c r="CL893" s="178" t="n">
        <x:f>IF(C893="","",IF(COUNT(G893:CB893)&lt;74,"",(CC893*'تنظیمات وزن‌دهی'!$C$5+CD893*'تنظیمات وزن‌دهی'!$C$6+CE893*'تنظیمات وزن‌دهی'!$C$7+CF893*'تنظیمات وزن‌دهی'!$C$8+CG893*'تنظیمات وزن‌دهی'!$C$9+CH893*'تنظیمات وزن‌دهی'!$C$10+CI893*'تنظیمات وزن‌دهی'!$C$11+CJ893*'تنظیمات وزن‌دهی'!$C$12+CK893*'تنظیمات وزن‌دهی'!$C$13)/100))</x:f>
        <x:v>15.089285714285715</x:v>
      </x:c>
      <x:c r="CM893" s="178" t="str">
        <x:f>IF(C893="","",IF(COUNT(G893:CB893)=0,"",IF(COUNT(G893:CB893)&lt;74,"موقت - اطلاعات ناقص",IF(CL893&gt;=17,"عالی",IF(CL893&gt;=14,"خوب",IF(CL893&gt;=10,"متوسط","ضعیف"))))))</x:f>
        <x:v>خوب</x:v>
      </x:c>
      <x:c r="CN893" s="178" t="n">
        <x:v>1</x:v>
      </x:c>
      <x:c r="CO893" s="142" t="n">
        <x:f>IF(C893="","",COUNT(G893:CB893)/74)</x:f>
        <x:v>1</x:v>
      </x:c>
      <x:c r="CP893" s="245" t="str">
        <x:v>داده نمونه کامل برای ماه تیر - دانش‌آموز شماره 75</x:v>
      </x:c>
    </x:row>
    <x:row r="894">
      <x:c r="A894" s="165" t="n">
        <x:v>890</x:v>
      </x:c>
      <x:c r="B894" s="233" t="str">
        <x:v>مرداد</x:v>
      </x:c>
      <x:c r="C894" s="233" t="n">
        <x:f>IF('دانش‌آموزان'!E79="","",'دانش‌آموزان'!B79)</x:f>
        <x:v>75</x:v>
      </x:c>
      <x:c r="D894" s="233" t="str">
        <x:f>IF('دانش‌آموزان'!C79="","",'دانش‌آموزان'!C79)</x:f>
        <x:v>4000000756</x:v>
      </x:c>
      <x:c r="E894" s="233" t="str">
        <x:f>IF('دانش‌آموزان'!E79="","",'دانش‌آموزان'!E79&amp;" "&amp;'دانش‌آموزان'!F79)</x:f>
        <x:v>ماهان سلیمانی</x:v>
      </x:c>
      <x:c r="F894" s="166" t="str">
        <x:f>IF('دانش‌آموزان'!I79="","",'دانش‌آموزان'!I79)</x:f>
        <x:v>sample-7-c</x:v>
      </x:c>
      <x:c r="G894" s="114"/>
      <x:c r="H894" s="115"/>
      <x:c r="I894" s="115"/>
      <x:c r="J894" s="115"/>
      <x:c r="K894" s="115"/>
      <x:c r="L894" s="115"/>
      <x:c r="M894" s="115"/>
      <x:c r="N894" s="115"/>
      <x:c r="O894" s="115"/>
      <x:c r="P894" s="115"/>
      <x:c r="Q894" s="115"/>
      <x:c r="R894" s="115"/>
      <x:c r="S894" s="115"/>
      <x:c r="T894" s="115"/>
      <x:c r="U894" s="115"/>
      <x:c r="V894" s="115"/>
      <x:c r="W894" s="115"/>
      <x:c r="X894" s="115"/>
      <x:c r="Y894" s="115"/>
      <x:c r="Z894" s="115"/>
      <x:c r="AA894" s="115"/>
      <x:c r="AB894" s="115"/>
      <x:c r="AC894" s="115"/>
      <x:c r="AD894" s="115"/>
      <x:c r="AE894" s="115"/>
      <x:c r="AF894" s="115"/>
      <x:c r="AG894" s="115"/>
      <x:c r="AH894" s="115"/>
      <x:c r="AI894" s="115"/>
      <x:c r="AJ894" s="115"/>
      <x:c r="AK894" s="115"/>
      <x:c r="AL894" s="115"/>
      <x:c r="AM894" s="115"/>
      <x:c r="AN894" s="115"/>
      <x:c r="AO894" s="115"/>
      <x:c r="AP894" s="115"/>
      <x:c r="AQ894" s="115"/>
      <x:c r="AR894" s="115"/>
      <x:c r="AS894" s="115"/>
      <x:c r="AT894" s="115"/>
      <x:c r="AU894" s="115"/>
      <x:c r="AV894" s="115"/>
      <x:c r="AW894" s="115"/>
      <x:c r="AX894" s="115"/>
      <x:c r="AY894" s="115"/>
      <x:c r="AZ894" s="115"/>
      <x:c r="BA894" s="115"/>
      <x:c r="BB894" s="115"/>
      <x:c r="BC894" s="115"/>
      <x:c r="BD894" s="115"/>
      <x:c r="BE894" s="115"/>
      <x:c r="BF894" s="115"/>
      <x:c r="BG894" s="115"/>
      <x:c r="BH894" s="115"/>
      <x:c r="BI894" s="115"/>
      <x:c r="BJ894" s="115"/>
      <x:c r="BK894" s="115"/>
      <x:c r="BL894" s="115"/>
      <x:c r="BM894" s="115"/>
      <x:c r="BN894" s="115"/>
      <x:c r="BO894" s="115"/>
      <x:c r="BP894" s="115"/>
      <x:c r="BQ894" s="115"/>
      <x:c r="BR894" s="115"/>
      <x:c r="BS894" s="115"/>
      <x:c r="BT894" s="115"/>
      <x:c r="BU894" s="115"/>
      <x:c r="BV894" s="115"/>
      <x:c r="BW894" s="115"/>
      <x:c r="BX894" s="115"/>
      <x:c r="BY894" s="115"/>
      <x:c r="BZ894" s="115"/>
      <x:c r="CA894" s="115"/>
      <x:c r="CB894" s="116"/>
      <x:c r="CC894" s="141" t="str">
        <x:f>IF(COUNT(G894:P894)=0,"",AVERAGE(G894:P894)*4)</x:f>
      </x:c>
      <x:c r="CD894" s="178" t="str">
        <x:f>IF(COUNT(Q894:Z894)=0,"",AVERAGE(Q894:Z894)*4)</x:f>
      </x:c>
      <x:c r="CE894" s="178" t="str">
        <x:f>IF(COUNT(AA894:AJ894)=0,"",AVERAGE(AA894:AJ894)*4)</x:f>
      </x:c>
      <x:c r="CF894" s="178" t="str">
        <x:f>IF(COUNT(AK894:AR894)=0,"",AVERAGE(AK894:AR894)*4)</x:f>
      </x:c>
      <x:c r="CG894" s="178" t="str">
        <x:f>IF(COUNT(AS894:AY894)=0,"",AVERAGE(AS894:AY894)*4)</x:f>
      </x:c>
      <x:c r="CH894" s="178" t="str">
        <x:f>IF(COUNT(AZ894:BG894)=0,"",AVERAGE(AZ894:BG894)*4)</x:f>
      </x:c>
      <x:c r="CI894" s="178" t="str">
        <x:f>IF(COUNT(BH894:BN894)=0,"",AVERAGE(BH894:BN894)*4)</x:f>
      </x:c>
      <x:c r="CJ894" s="178" t="str">
        <x:f>IF(COUNT(BO894:BU894)=0,"",AVERAGE(BO894:BU894)*4)</x:f>
      </x:c>
      <x:c r="CK894" s="178" t="str">
        <x:f>IF(COUNT(BV894:CB894)=0,"",AVERAGE(BV894:CB894)*4)</x:f>
      </x:c>
      <x:c r="CL894" s="178" t="str">
        <x:f>IF(C894="","",IF(COUNT(G894:CB894)&lt;74,"",(CC894*'تنظیمات وزن‌دهی'!$C$5+CD894*'تنظیمات وزن‌دهی'!$C$6+CE894*'تنظیمات وزن‌دهی'!$C$7+CF894*'تنظیمات وزن‌دهی'!$C$8+CG894*'تنظیمات وزن‌دهی'!$C$9+CH894*'تنظیمات وزن‌دهی'!$C$10+CI894*'تنظیمات وزن‌دهی'!$C$11+CJ894*'تنظیمات وزن‌دهی'!$C$12+CK894*'تنظیمات وزن‌دهی'!$C$13)/100))</x:f>
      </x:c>
      <x:c r="CM894" s="178" t="str">
        <x:f>IF(C894="","",IF(COUNT(G894:CB894)=0,"",IF(COUNT(G894:CB894)&lt;74,"موقت - اطلاعات ناقص",IF(CL894&gt;=17,"عالی",IF(CL894&gt;=14,"خوب",IF(CL894&gt;=10,"متوسط","ضعیف"))))))</x:f>
      </x:c>
      <x:c r="CN894" s="178" t="n">
        <x:v>2</x:v>
      </x:c>
      <x:c r="CO894" s="142" t="n">
        <x:f>IF(C894="","",COUNT(G894:CB894)/74)</x:f>
        <x:v>0</x:v>
      </x:c>
      <x:c r="CP894" s="245"/>
    </x:row>
    <x:row r="895">
      <x:c r="A895" s="165" t="n">
        <x:v>891</x:v>
      </x:c>
      <x:c r="B895" s="233" t="str">
        <x:v>شهریور</x:v>
      </x:c>
      <x:c r="C895" s="233" t="n">
        <x:f>IF('دانش‌آموزان'!E79="","",'دانش‌آموزان'!B79)</x:f>
        <x:v>75</x:v>
      </x:c>
      <x:c r="D895" s="233" t="str">
        <x:f>IF('دانش‌آموزان'!C79="","",'دانش‌آموزان'!C79)</x:f>
        <x:v>4000000756</x:v>
      </x:c>
      <x:c r="E895" s="233" t="str">
        <x:f>IF('دانش‌آموزان'!E79="","",'دانش‌آموزان'!E79&amp;" "&amp;'دانش‌آموزان'!F79)</x:f>
        <x:v>ماهان سلیمانی</x:v>
      </x:c>
      <x:c r="F895" s="166" t="str">
        <x:f>IF('دانش‌آموزان'!I79="","",'دانش‌آموزان'!I79)</x:f>
        <x:v>sample-7-c</x:v>
      </x:c>
      <x:c r="G895" s="114"/>
      <x:c r="H895" s="115"/>
      <x:c r="I895" s="115"/>
      <x:c r="J895" s="115"/>
      <x:c r="K895" s="115"/>
      <x:c r="L895" s="115"/>
      <x:c r="M895" s="115"/>
      <x:c r="N895" s="115"/>
      <x:c r="O895" s="115"/>
      <x:c r="P895" s="115"/>
      <x:c r="Q895" s="115"/>
      <x:c r="R895" s="115"/>
      <x:c r="S895" s="115"/>
      <x:c r="T895" s="115"/>
      <x:c r="U895" s="115"/>
      <x:c r="V895" s="115"/>
      <x:c r="W895" s="115"/>
      <x:c r="X895" s="115"/>
      <x:c r="Y895" s="115"/>
      <x:c r="Z895" s="115"/>
      <x:c r="AA895" s="115"/>
      <x:c r="AB895" s="115"/>
      <x:c r="AC895" s="115"/>
      <x:c r="AD895" s="115"/>
      <x:c r="AE895" s="115"/>
      <x:c r="AF895" s="115"/>
      <x:c r="AG895" s="115"/>
      <x:c r="AH895" s="115"/>
      <x:c r="AI895" s="115"/>
      <x:c r="AJ895" s="115"/>
      <x:c r="AK895" s="115"/>
      <x:c r="AL895" s="115"/>
      <x:c r="AM895" s="115"/>
      <x:c r="AN895" s="115"/>
      <x:c r="AO895" s="115"/>
      <x:c r="AP895" s="115"/>
      <x:c r="AQ895" s="115"/>
      <x:c r="AR895" s="115"/>
      <x:c r="AS895" s="115"/>
      <x:c r="AT895" s="115"/>
      <x:c r="AU895" s="115"/>
      <x:c r="AV895" s="115"/>
      <x:c r="AW895" s="115"/>
      <x:c r="AX895" s="115"/>
      <x:c r="AY895" s="115"/>
      <x:c r="AZ895" s="115"/>
      <x:c r="BA895" s="115"/>
      <x:c r="BB895" s="115"/>
      <x:c r="BC895" s="115"/>
      <x:c r="BD895" s="115"/>
      <x:c r="BE895" s="115"/>
      <x:c r="BF895" s="115"/>
      <x:c r="BG895" s="115"/>
      <x:c r="BH895" s="115"/>
      <x:c r="BI895" s="115"/>
      <x:c r="BJ895" s="115"/>
      <x:c r="BK895" s="115"/>
      <x:c r="BL895" s="115"/>
      <x:c r="BM895" s="115"/>
      <x:c r="BN895" s="115"/>
      <x:c r="BO895" s="115"/>
      <x:c r="BP895" s="115"/>
      <x:c r="BQ895" s="115"/>
      <x:c r="BR895" s="115"/>
      <x:c r="BS895" s="115"/>
      <x:c r="BT895" s="115"/>
      <x:c r="BU895" s="115"/>
      <x:c r="BV895" s="115"/>
      <x:c r="BW895" s="115"/>
      <x:c r="BX895" s="115"/>
      <x:c r="BY895" s="115"/>
      <x:c r="BZ895" s="115"/>
      <x:c r="CA895" s="115"/>
      <x:c r="CB895" s="116"/>
      <x:c r="CC895" s="141" t="str">
        <x:f>IF(COUNT(G895:P895)=0,"",AVERAGE(G895:P895)*4)</x:f>
      </x:c>
      <x:c r="CD895" s="178" t="str">
        <x:f>IF(COUNT(Q895:Z895)=0,"",AVERAGE(Q895:Z895)*4)</x:f>
      </x:c>
      <x:c r="CE895" s="178" t="str">
        <x:f>IF(COUNT(AA895:AJ895)=0,"",AVERAGE(AA895:AJ895)*4)</x:f>
      </x:c>
      <x:c r="CF895" s="178" t="str">
        <x:f>IF(COUNT(AK895:AR895)=0,"",AVERAGE(AK895:AR895)*4)</x:f>
      </x:c>
      <x:c r="CG895" s="178" t="str">
        <x:f>IF(COUNT(AS895:AY895)=0,"",AVERAGE(AS895:AY895)*4)</x:f>
      </x:c>
      <x:c r="CH895" s="178" t="str">
        <x:f>IF(COUNT(AZ895:BG895)=0,"",AVERAGE(AZ895:BG895)*4)</x:f>
      </x:c>
      <x:c r="CI895" s="178" t="str">
        <x:f>IF(COUNT(BH895:BN895)=0,"",AVERAGE(BH895:BN895)*4)</x:f>
      </x:c>
      <x:c r="CJ895" s="178" t="str">
        <x:f>IF(COUNT(BO895:BU895)=0,"",AVERAGE(BO895:BU895)*4)</x:f>
      </x:c>
      <x:c r="CK895" s="178" t="str">
        <x:f>IF(COUNT(BV895:CB895)=0,"",AVERAGE(BV895:CB895)*4)</x:f>
      </x:c>
      <x:c r="CL895" s="178" t="str">
        <x:f>IF(C895="","",IF(COUNT(G895:CB895)&lt;74,"",(CC895*'تنظیمات وزن‌دهی'!$C$5+CD895*'تنظیمات وزن‌دهی'!$C$6+CE895*'تنظیمات وزن‌دهی'!$C$7+CF895*'تنظیمات وزن‌دهی'!$C$8+CG895*'تنظیمات وزن‌دهی'!$C$9+CH895*'تنظیمات وزن‌دهی'!$C$10+CI895*'تنظیمات وزن‌دهی'!$C$11+CJ895*'تنظیمات وزن‌دهی'!$C$12+CK895*'تنظیمات وزن‌دهی'!$C$13)/100))</x:f>
      </x:c>
      <x:c r="CM895" s="178" t="str">
        <x:f>IF(C895="","",IF(COUNT(G895:CB895)=0,"",IF(COUNT(G895:CB895)&lt;74,"موقت - اطلاعات ناقص",IF(CL895&gt;=17,"عالی",IF(CL895&gt;=14,"خوب",IF(CL895&gt;=10,"متوسط","ضعیف"))))))</x:f>
      </x:c>
      <x:c r="CN895" s="178" t="n">
        <x:v>3</x:v>
      </x:c>
      <x:c r="CO895" s="142" t="n">
        <x:f>IF(C895="","",COUNT(G895:CB895)/74)</x:f>
        <x:v>0</x:v>
      </x:c>
      <x:c r="CP895" s="245"/>
    </x:row>
    <x:row r="896">
      <x:c r="A896" s="165" t="n">
        <x:v>892</x:v>
      </x:c>
      <x:c r="B896" s="233" t="str">
        <x:v>مهر</x:v>
      </x:c>
      <x:c r="C896" s="233" t="n">
        <x:f>IF('دانش‌آموزان'!E79="","",'دانش‌آموزان'!B79)</x:f>
        <x:v>75</x:v>
      </x:c>
      <x:c r="D896" s="233" t="str">
        <x:f>IF('دانش‌آموزان'!C79="","",'دانش‌آموزان'!C79)</x:f>
        <x:v>4000000756</x:v>
      </x:c>
      <x:c r="E896" s="233" t="str">
        <x:f>IF('دانش‌آموزان'!E79="","",'دانش‌آموزان'!E79&amp;" "&amp;'دانش‌آموزان'!F79)</x:f>
        <x:v>ماهان سلیمانی</x:v>
      </x:c>
      <x:c r="F896" s="166" t="str">
        <x:f>IF('دانش‌آموزان'!I79="","",'دانش‌آموزان'!I79)</x:f>
        <x:v>sample-7-c</x:v>
      </x:c>
      <x:c r="G896" s="114"/>
      <x:c r="H896" s="115"/>
      <x:c r="I896" s="115"/>
      <x:c r="J896" s="115"/>
      <x:c r="K896" s="115"/>
      <x:c r="L896" s="115"/>
      <x:c r="M896" s="115"/>
      <x:c r="N896" s="115"/>
      <x:c r="O896" s="115"/>
      <x:c r="P896" s="115"/>
      <x:c r="Q896" s="115"/>
      <x:c r="R896" s="115"/>
      <x:c r="S896" s="115"/>
      <x:c r="T896" s="115"/>
      <x:c r="U896" s="115"/>
      <x:c r="V896" s="115"/>
      <x:c r="W896" s="115"/>
      <x:c r="X896" s="115"/>
      <x:c r="Y896" s="115"/>
      <x:c r="Z896" s="115"/>
      <x:c r="AA896" s="115"/>
      <x:c r="AB896" s="115"/>
      <x:c r="AC896" s="115"/>
      <x:c r="AD896" s="115"/>
      <x:c r="AE896" s="115"/>
      <x:c r="AF896" s="115"/>
      <x:c r="AG896" s="115"/>
      <x:c r="AH896" s="115"/>
      <x:c r="AI896" s="115"/>
      <x:c r="AJ896" s="115"/>
      <x:c r="AK896" s="115"/>
      <x:c r="AL896" s="115"/>
      <x:c r="AM896" s="115"/>
      <x:c r="AN896" s="115"/>
      <x:c r="AO896" s="115"/>
      <x:c r="AP896" s="115"/>
      <x:c r="AQ896" s="115"/>
      <x:c r="AR896" s="115"/>
      <x:c r="AS896" s="115"/>
      <x:c r="AT896" s="115"/>
      <x:c r="AU896" s="115"/>
      <x:c r="AV896" s="115"/>
      <x:c r="AW896" s="115"/>
      <x:c r="AX896" s="115"/>
      <x:c r="AY896" s="115"/>
      <x:c r="AZ896" s="115"/>
      <x:c r="BA896" s="115"/>
      <x:c r="BB896" s="115"/>
      <x:c r="BC896" s="115"/>
      <x:c r="BD896" s="115"/>
      <x:c r="BE896" s="115"/>
      <x:c r="BF896" s="115"/>
      <x:c r="BG896" s="115"/>
      <x:c r="BH896" s="115"/>
      <x:c r="BI896" s="115"/>
      <x:c r="BJ896" s="115"/>
      <x:c r="BK896" s="115"/>
      <x:c r="BL896" s="115"/>
      <x:c r="BM896" s="115"/>
      <x:c r="BN896" s="115"/>
      <x:c r="BO896" s="115"/>
      <x:c r="BP896" s="115"/>
      <x:c r="BQ896" s="115"/>
      <x:c r="BR896" s="115"/>
      <x:c r="BS896" s="115"/>
      <x:c r="BT896" s="115"/>
      <x:c r="BU896" s="115"/>
      <x:c r="BV896" s="115"/>
      <x:c r="BW896" s="115"/>
      <x:c r="BX896" s="115"/>
      <x:c r="BY896" s="115"/>
      <x:c r="BZ896" s="115"/>
      <x:c r="CA896" s="115"/>
      <x:c r="CB896" s="116"/>
      <x:c r="CC896" s="141" t="str">
        <x:f>IF(COUNT(G896:P896)=0,"",AVERAGE(G896:P896)*4)</x:f>
      </x:c>
      <x:c r="CD896" s="178" t="str">
        <x:f>IF(COUNT(Q896:Z896)=0,"",AVERAGE(Q896:Z896)*4)</x:f>
      </x:c>
      <x:c r="CE896" s="178" t="str">
        <x:f>IF(COUNT(AA896:AJ896)=0,"",AVERAGE(AA896:AJ896)*4)</x:f>
      </x:c>
      <x:c r="CF896" s="178" t="str">
        <x:f>IF(COUNT(AK896:AR896)=0,"",AVERAGE(AK896:AR896)*4)</x:f>
      </x:c>
      <x:c r="CG896" s="178" t="str">
        <x:f>IF(COUNT(AS896:AY896)=0,"",AVERAGE(AS896:AY896)*4)</x:f>
      </x:c>
      <x:c r="CH896" s="178" t="str">
        <x:f>IF(COUNT(AZ896:BG896)=0,"",AVERAGE(AZ896:BG896)*4)</x:f>
      </x:c>
      <x:c r="CI896" s="178" t="str">
        <x:f>IF(COUNT(BH896:BN896)=0,"",AVERAGE(BH896:BN896)*4)</x:f>
      </x:c>
      <x:c r="CJ896" s="178" t="str">
        <x:f>IF(COUNT(BO896:BU896)=0,"",AVERAGE(BO896:BU896)*4)</x:f>
      </x:c>
      <x:c r="CK896" s="178" t="str">
        <x:f>IF(COUNT(BV896:CB896)=0,"",AVERAGE(BV896:CB896)*4)</x:f>
      </x:c>
      <x:c r="CL896" s="178" t="str">
        <x:f>IF(C896="","",IF(COUNT(G896:CB896)&lt;74,"",(CC896*'تنظیمات وزن‌دهی'!$C$5+CD896*'تنظیمات وزن‌دهی'!$C$6+CE896*'تنظیمات وزن‌دهی'!$C$7+CF896*'تنظیمات وزن‌دهی'!$C$8+CG896*'تنظیمات وزن‌دهی'!$C$9+CH896*'تنظیمات وزن‌دهی'!$C$10+CI896*'تنظیمات وزن‌دهی'!$C$11+CJ896*'تنظیمات وزن‌دهی'!$C$12+CK896*'تنظیمات وزن‌دهی'!$C$13)/100))</x:f>
      </x:c>
      <x:c r="CM896" s="178" t="str">
        <x:f>IF(C896="","",IF(COUNT(G896:CB896)=0,"",IF(COUNT(G896:CB896)&lt;74,"موقت - اطلاعات ناقص",IF(CL896&gt;=17,"عالی",IF(CL896&gt;=14,"خوب",IF(CL896&gt;=10,"متوسط","ضعیف"))))))</x:f>
      </x:c>
      <x:c r="CN896" s="178" t="n">
        <x:v>4</x:v>
      </x:c>
      <x:c r="CO896" s="142" t="n">
        <x:f>IF(C896="","",COUNT(G896:CB896)/74)</x:f>
        <x:v>0</x:v>
      </x:c>
      <x:c r="CP896" s="245"/>
    </x:row>
    <x:row r="897">
      <x:c r="A897" s="165" t="n">
        <x:v>893</x:v>
      </x:c>
      <x:c r="B897" s="233" t="str">
        <x:v>آبان</x:v>
      </x:c>
      <x:c r="C897" s="233" t="n">
        <x:f>IF('دانش‌آموزان'!E79="","",'دانش‌آموزان'!B79)</x:f>
        <x:v>75</x:v>
      </x:c>
      <x:c r="D897" s="233" t="str">
        <x:f>IF('دانش‌آموزان'!C79="","",'دانش‌آموزان'!C79)</x:f>
        <x:v>4000000756</x:v>
      </x:c>
      <x:c r="E897" s="233" t="str">
        <x:f>IF('دانش‌آموزان'!E79="","",'دانش‌آموزان'!E79&amp;" "&amp;'دانش‌آموزان'!F79)</x:f>
        <x:v>ماهان سلیمانی</x:v>
      </x:c>
      <x:c r="F897" s="166" t="str">
        <x:f>IF('دانش‌آموزان'!I79="","",'دانش‌آموزان'!I79)</x:f>
        <x:v>sample-7-c</x:v>
      </x:c>
      <x:c r="G897" s="114"/>
      <x:c r="H897" s="115"/>
      <x:c r="I897" s="115"/>
      <x:c r="J897" s="115"/>
      <x:c r="K897" s="115"/>
      <x:c r="L897" s="115"/>
      <x:c r="M897" s="115"/>
      <x:c r="N897" s="115"/>
      <x:c r="O897" s="115"/>
      <x:c r="P897" s="115"/>
      <x:c r="Q897" s="115"/>
      <x:c r="R897" s="115"/>
      <x:c r="S897" s="115"/>
      <x:c r="T897" s="115"/>
      <x:c r="U897" s="115"/>
      <x:c r="V897" s="115"/>
      <x:c r="W897" s="115"/>
      <x:c r="X897" s="115"/>
      <x:c r="Y897" s="115"/>
      <x:c r="Z897" s="115"/>
      <x:c r="AA897" s="115"/>
      <x:c r="AB897" s="115"/>
      <x:c r="AC897" s="115"/>
      <x:c r="AD897" s="115"/>
      <x:c r="AE897" s="115"/>
      <x:c r="AF897" s="115"/>
      <x:c r="AG897" s="115"/>
      <x:c r="AH897" s="115"/>
      <x:c r="AI897" s="115"/>
      <x:c r="AJ897" s="115"/>
      <x:c r="AK897" s="115"/>
      <x:c r="AL897" s="115"/>
      <x:c r="AM897" s="115"/>
      <x:c r="AN897" s="115"/>
      <x:c r="AO897" s="115"/>
      <x:c r="AP897" s="115"/>
      <x:c r="AQ897" s="115"/>
      <x:c r="AR897" s="115"/>
      <x:c r="AS897" s="115"/>
      <x:c r="AT897" s="115"/>
      <x:c r="AU897" s="115"/>
      <x:c r="AV897" s="115"/>
      <x:c r="AW897" s="115"/>
      <x:c r="AX897" s="115"/>
      <x:c r="AY897" s="115"/>
      <x:c r="AZ897" s="115"/>
      <x:c r="BA897" s="115"/>
      <x:c r="BB897" s="115"/>
      <x:c r="BC897" s="115"/>
      <x:c r="BD897" s="115"/>
      <x:c r="BE897" s="115"/>
      <x:c r="BF897" s="115"/>
      <x:c r="BG897" s="115"/>
      <x:c r="BH897" s="115"/>
      <x:c r="BI897" s="115"/>
      <x:c r="BJ897" s="115"/>
      <x:c r="BK897" s="115"/>
      <x:c r="BL897" s="115"/>
      <x:c r="BM897" s="115"/>
      <x:c r="BN897" s="115"/>
      <x:c r="BO897" s="115"/>
      <x:c r="BP897" s="115"/>
      <x:c r="BQ897" s="115"/>
      <x:c r="BR897" s="115"/>
      <x:c r="BS897" s="115"/>
      <x:c r="BT897" s="115"/>
      <x:c r="BU897" s="115"/>
      <x:c r="BV897" s="115"/>
      <x:c r="BW897" s="115"/>
      <x:c r="BX897" s="115"/>
      <x:c r="BY897" s="115"/>
      <x:c r="BZ897" s="115"/>
      <x:c r="CA897" s="115"/>
      <x:c r="CB897" s="116"/>
      <x:c r="CC897" s="141" t="str">
        <x:f>IF(COUNT(G897:P897)=0,"",AVERAGE(G897:P897)*4)</x:f>
      </x:c>
      <x:c r="CD897" s="178" t="str">
        <x:f>IF(COUNT(Q897:Z897)=0,"",AVERAGE(Q897:Z897)*4)</x:f>
      </x:c>
      <x:c r="CE897" s="178" t="str">
        <x:f>IF(COUNT(AA897:AJ897)=0,"",AVERAGE(AA897:AJ897)*4)</x:f>
      </x:c>
      <x:c r="CF897" s="178" t="str">
        <x:f>IF(COUNT(AK897:AR897)=0,"",AVERAGE(AK897:AR897)*4)</x:f>
      </x:c>
      <x:c r="CG897" s="178" t="str">
        <x:f>IF(COUNT(AS897:AY897)=0,"",AVERAGE(AS897:AY897)*4)</x:f>
      </x:c>
      <x:c r="CH897" s="178" t="str">
        <x:f>IF(COUNT(AZ897:BG897)=0,"",AVERAGE(AZ897:BG897)*4)</x:f>
      </x:c>
      <x:c r="CI897" s="178" t="str">
        <x:f>IF(COUNT(BH897:BN897)=0,"",AVERAGE(BH897:BN897)*4)</x:f>
      </x:c>
      <x:c r="CJ897" s="178" t="str">
        <x:f>IF(COUNT(BO897:BU897)=0,"",AVERAGE(BO897:BU897)*4)</x:f>
      </x:c>
      <x:c r="CK897" s="178" t="str">
        <x:f>IF(COUNT(BV897:CB897)=0,"",AVERAGE(BV897:CB897)*4)</x:f>
      </x:c>
      <x:c r="CL897" s="178" t="str">
        <x:f>IF(C897="","",IF(COUNT(G897:CB897)&lt;74,"",(CC897*'تنظیمات وزن‌دهی'!$C$5+CD897*'تنظیمات وزن‌دهی'!$C$6+CE897*'تنظیمات وزن‌دهی'!$C$7+CF897*'تنظیمات وزن‌دهی'!$C$8+CG897*'تنظیمات وزن‌دهی'!$C$9+CH897*'تنظیمات وزن‌دهی'!$C$10+CI897*'تنظیمات وزن‌دهی'!$C$11+CJ897*'تنظیمات وزن‌دهی'!$C$12+CK897*'تنظیمات وزن‌دهی'!$C$13)/100))</x:f>
      </x:c>
      <x:c r="CM897" s="178" t="str">
        <x:f>IF(C897="","",IF(COUNT(G897:CB897)=0,"",IF(COUNT(G897:CB897)&lt;74,"موقت - اطلاعات ناقص",IF(CL897&gt;=17,"عالی",IF(CL897&gt;=14,"خوب",IF(CL897&gt;=10,"متوسط","ضعیف"))))))</x:f>
      </x:c>
      <x:c r="CN897" s="178" t="n">
        <x:v>5</x:v>
      </x:c>
      <x:c r="CO897" s="142" t="n">
        <x:f>IF(C897="","",COUNT(G897:CB897)/74)</x:f>
        <x:v>0</x:v>
      </x:c>
      <x:c r="CP897" s="245"/>
    </x:row>
    <x:row r="898">
      <x:c r="A898" s="165" t="n">
        <x:v>894</x:v>
      </x:c>
      <x:c r="B898" s="233" t="str">
        <x:v>آذر</x:v>
      </x:c>
      <x:c r="C898" s="233" t="n">
        <x:f>IF('دانش‌آموزان'!E79="","",'دانش‌آموزان'!B79)</x:f>
        <x:v>75</x:v>
      </x:c>
      <x:c r="D898" s="233" t="str">
        <x:f>IF('دانش‌آموزان'!C79="","",'دانش‌آموزان'!C79)</x:f>
        <x:v>4000000756</x:v>
      </x:c>
      <x:c r="E898" s="233" t="str">
        <x:f>IF('دانش‌آموزان'!E79="","",'دانش‌آموزان'!E79&amp;" "&amp;'دانش‌آموزان'!F79)</x:f>
        <x:v>ماهان سلیمانی</x:v>
      </x:c>
      <x:c r="F898" s="166" t="str">
        <x:f>IF('دانش‌آموزان'!I79="","",'دانش‌آموزان'!I79)</x:f>
        <x:v>sample-7-c</x:v>
      </x:c>
      <x:c r="G898" s="114"/>
      <x:c r="H898" s="115"/>
      <x:c r="I898" s="115"/>
      <x:c r="J898" s="115"/>
      <x:c r="K898" s="115"/>
      <x:c r="L898" s="115"/>
      <x:c r="M898" s="115"/>
      <x:c r="N898" s="115"/>
      <x:c r="O898" s="115"/>
      <x:c r="P898" s="115"/>
      <x:c r="Q898" s="115"/>
      <x:c r="R898" s="115"/>
      <x:c r="S898" s="115"/>
      <x:c r="T898" s="115"/>
      <x:c r="U898" s="115"/>
      <x:c r="V898" s="115"/>
      <x:c r="W898" s="115"/>
      <x:c r="X898" s="115"/>
      <x:c r="Y898" s="115"/>
      <x:c r="Z898" s="115"/>
      <x:c r="AA898" s="115"/>
      <x:c r="AB898" s="115"/>
      <x:c r="AC898" s="115"/>
      <x:c r="AD898" s="115"/>
      <x:c r="AE898" s="115"/>
      <x:c r="AF898" s="115"/>
      <x:c r="AG898" s="115"/>
      <x:c r="AH898" s="115"/>
      <x:c r="AI898" s="115"/>
      <x:c r="AJ898" s="115"/>
      <x:c r="AK898" s="115"/>
      <x:c r="AL898" s="115"/>
      <x:c r="AM898" s="115"/>
      <x:c r="AN898" s="115"/>
      <x:c r="AO898" s="115"/>
      <x:c r="AP898" s="115"/>
      <x:c r="AQ898" s="115"/>
      <x:c r="AR898" s="115"/>
      <x:c r="AS898" s="115"/>
      <x:c r="AT898" s="115"/>
      <x:c r="AU898" s="115"/>
      <x:c r="AV898" s="115"/>
      <x:c r="AW898" s="115"/>
      <x:c r="AX898" s="115"/>
      <x:c r="AY898" s="115"/>
      <x:c r="AZ898" s="115"/>
      <x:c r="BA898" s="115"/>
      <x:c r="BB898" s="115"/>
      <x:c r="BC898" s="115"/>
      <x:c r="BD898" s="115"/>
      <x:c r="BE898" s="115"/>
      <x:c r="BF898" s="115"/>
      <x:c r="BG898" s="115"/>
      <x:c r="BH898" s="115"/>
      <x:c r="BI898" s="115"/>
      <x:c r="BJ898" s="115"/>
      <x:c r="BK898" s="115"/>
      <x:c r="BL898" s="115"/>
      <x:c r="BM898" s="115"/>
      <x:c r="BN898" s="115"/>
      <x:c r="BO898" s="115"/>
      <x:c r="BP898" s="115"/>
      <x:c r="BQ898" s="115"/>
      <x:c r="BR898" s="115"/>
      <x:c r="BS898" s="115"/>
      <x:c r="BT898" s="115"/>
      <x:c r="BU898" s="115"/>
      <x:c r="BV898" s="115"/>
      <x:c r="BW898" s="115"/>
      <x:c r="BX898" s="115"/>
      <x:c r="BY898" s="115"/>
      <x:c r="BZ898" s="115"/>
      <x:c r="CA898" s="115"/>
      <x:c r="CB898" s="116"/>
      <x:c r="CC898" s="141" t="str">
        <x:f>IF(COUNT(G898:P898)=0,"",AVERAGE(G898:P898)*4)</x:f>
      </x:c>
      <x:c r="CD898" s="178" t="str">
        <x:f>IF(COUNT(Q898:Z898)=0,"",AVERAGE(Q898:Z898)*4)</x:f>
      </x:c>
      <x:c r="CE898" s="178" t="str">
        <x:f>IF(COUNT(AA898:AJ898)=0,"",AVERAGE(AA898:AJ898)*4)</x:f>
      </x:c>
      <x:c r="CF898" s="178" t="str">
        <x:f>IF(COUNT(AK898:AR898)=0,"",AVERAGE(AK898:AR898)*4)</x:f>
      </x:c>
      <x:c r="CG898" s="178" t="str">
        <x:f>IF(COUNT(AS898:AY898)=0,"",AVERAGE(AS898:AY898)*4)</x:f>
      </x:c>
      <x:c r="CH898" s="178" t="str">
        <x:f>IF(COUNT(AZ898:BG898)=0,"",AVERAGE(AZ898:BG898)*4)</x:f>
      </x:c>
      <x:c r="CI898" s="178" t="str">
        <x:f>IF(COUNT(BH898:BN898)=0,"",AVERAGE(BH898:BN898)*4)</x:f>
      </x:c>
      <x:c r="CJ898" s="178" t="str">
        <x:f>IF(COUNT(BO898:BU898)=0,"",AVERAGE(BO898:BU898)*4)</x:f>
      </x:c>
      <x:c r="CK898" s="178" t="str">
        <x:f>IF(COUNT(BV898:CB898)=0,"",AVERAGE(BV898:CB898)*4)</x:f>
      </x:c>
      <x:c r="CL898" s="178" t="str">
        <x:f>IF(C898="","",IF(COUNT(G898:CB898)&lt;74,"",(CC898*'تنظیمات وزن‌دهی'!$C$5+CD898*'تنظیمات وزن‌دهی'!$C$6+CE898*'تنظیمات وزن‌دهی'!$C$7+CF898*'تنظیمات وزن‌دهی'!$C$8+CG898*'تنظیمات وزن‌دهی'!$C$9+CH898*'تنظیمات وزن‌دهی'!$C$10+CI898*'تنظیمات وزن‌دهی'!$C$11+CJ898*'تنظیمات وزن‌دهی'!$C$12+CK898*'تنظیمات وزن‌دهی'!$C$13)/100))</x:f>
      </x:c>
      <x:c r="CM898" s="178" t="str">
        <x:f>IF(C898="","",IF(COUNT(G898:CB898)=0,"",IF(COUNT(G898:CB898)&lt;74,"موقت - اطلاعات ناقص",IF(CL898&gt;=17,"عالی",IF(CL898&gt;=14,"خوب",IF(CL898&gt;=10,"متوسط","ضعیف"))))))</x:f>
      </x:c>
      <x:c r="CN898" s="178" t="n">
        <x:v>6</x:v>
      </x:c>
      <x:c r="CO898" s="142" t="n">
        <x:f>IF(C898="","",COUNT(G898:CB898)/74)</x:f>
        <x:v>0</x:v>
      </x:c>
      <x:c r="CP898" s="245"/>
    </x:row>
    <x:row r="899">
      <x:c r="A899" s="165" t="n">
        <x:v>895</x:v>
      </x:c>
      <x:c r="B899" s="233" t="str">
        <x:v>دی</x:v>
      </x:c>
      <x:c r="C899" s="233" t="n">
        <x:f>IF('دانش‌آموزان'!E79="","",'دانش‌آموزان'!B79)</x:f>
        <x:v>75</x:v>
      </x:c>
      <x:c r="D899" s="233" t="str">
        <x:f>IF('دانش‌آموزان'!C79="","",'دانش‌آموزان'!C79)</x:f>
        <x:v>4000000756</x:v>
      </x:c>
      <x:c r="E899" s="233" t="str">
        <x:f>IF('دانش‌آموزان'!E79="","",'دانش‌آموزان'!E79&amp;" "&amp;'دانش‌آموزان'!F79)</x:f>
        <x:v>ماهان سلیمانی</x:v>
      </x:c>
      <x:c r="F899" s="166" t="str">
        <x:f>IF('دانش‌آموزان'!I79="","",'دانش‌آموزان'!I79)</x:f>
        <x:v>sample-7-c</x:v>
      </x:c>
      <x:c r="G899" s="114"/>
      <x:c r="H899" s="115"/>
      <x:c r="I899" s="115"/>
      <x:c r="J899" s="115"/>
      <x:c r="K899" s="115"/>
      <x:c r="L899" s="115"/>
      <x:c r="M899" s="115"/>
      <x:c r="N899" s="115"/>
      <x:c r="O899" s="115"/>
      <x:c r="P899" s="115"/>
      <x:c r="Q899" s="115"/>
      <x:c r="R899" s="115"/>
      <x:c r="S899" s="115"/>
      <x:c r="T899" s="115"/>
      <x:c r="U899" s="115"/>
      <x:c r="V899" s="115"/>
      <x:c r="W899" s="115"/>
      <x:c r="X899" s="115"/>
      <x:c r="Y899" s="115"/>
      <x:c r="Z899" s="115"/>
      <x:c r="AA899" s="115"/>
      <x:c r="AB899" s="115"/>
      <x:c r="AC899" s="115"/>
      <x:c r="AD899" s="115"/>
      <x:c r="AE899" s="115"/>
      <x:c r="AF899" s="115"/>
      <x:c r="AG899" s="115"/>
      <x:c r="AH899" s="115"/>
      <x:c r="AI899" s="115"/>
      <x:c r="AJ899" s="115"/>
      <x:c r="AK899" s="115"/>
      <x:c r="AL899" s="115"/>
      <x:c r="AM899" s="115"/>
      <x:c r="AN899" s="115"/>
      <x:c r="AO899" s="115"/>
      <x:c r="AP899" s="115"/>
      <x:c r="AQ899" s="115"/>
      <x:c r="AR899" s="115"/>
      <x:c r="AS899" s="115"/>
      <x:c r="AT899" s="115"/>
      <x:c r="AU899" s="115"/>
      <x:c r="AV899" s="115"/>
      <x:c r="AW899" s="115"/>
      <x:c r="AX899" s="115"/>
      <x:c r="AY899" s="115"/>
      <x:c r="AZ899" s="115"/>
      <x:c r="BA899" s="115"/>
      <x:c r="BB899" s="115"/>
      <x:c r="BC899" s="115"/>
      <x:c r="BD899" s="115"/>
      <x:c r="BE899" s="115"/>
      <x:c r="BF899" s="115"/>
      <x:c r="BG899" s="115"/>
      <x:c r="BH899" s="115"/>
      <x:c r="BI899" s="115"/>
      <x:c r="BJ899" s="115"/>
      <x:c r="BK899" s="115"/>
      <x:c r="BL899" s="115"/>
      <x:c r="BM899" s="115"/>
      <x:c r="BN899" s="115"/>
      <x:c r="BO899" s="115"/>
      <x:c r="BP899" s="115"/>
      <x:c r="BQ899" s="115"/>
      <x:c r="BR899" s="115"/>
      <x:c r="BS899" s="115"/>
      <x:c r="BT899" s="115"/>
      <x:c r="BU899" s="115"/>
      <x:c r="BV899" s="115"/>
      <x:c r="BW899" s="115"/>
      <x:c r="BX899" s="115"/>
      <x:c r="BY899" s="115"/>
      <x:c r="BZ899" s="115"/>
      <x:c r="CA899" s="115"/>
      <x:c r="CB899" s="116"/>
      <x:c r="CC899" s="141" t="str">
        <x:f>IF(COUNT(G899:P899)=0,"",AVERAGE(G899:P899)*4)</x:f>
      </x:c>
      <x:c r="CD899" s="178" t="str">
        <x:f>IF(COUNT(Q899:Z899)=0,"",AVERAGE(Q899:Z899)*4)</x:f>
      </x:c>
      <x:c r="CE899" s="178" t="str">
        <x:f>IF(COUNT(AA899:AJ899)=0,"",AVERAGE(AA899:AJ899)*4)</x:f>
      </x:c>
      <x:c r="CF899" s="178" t="str">
        <x:f>IF(COUNT(AK899:AR899)=0,"",AVERAGE(AK899:AR899)*4)</x:f>
      </x:c>
      <x:c r="CG899" s="178" t="str">
        <x:f>IF(COUNT(AS899:AY899)=0,"",AVERAGE(AS899:AY899)*4)</x:f>
      </x:c>
      <x:c r="CH899" s="178" t="str">
        <x:f>IF(COUNT(AZ899:BG899)=0,"",AVERAGE(AZ899:BG899)*4)</x:f>
      </x:c>
      <x:c r="CI899" s="178" t="str">
        <x:f>IF(COUNT(BH899:BN899)=0,"",AVERAGE(BH899:BN899)*4)</x:f>
      </x:c>
      <x:c r="CJ899" s="178" t="str">
        <x:f>IF(COUNT(BO899:BU899)=0,"",AVERAGE(BO899:BU899)*4)</x:f>
      </x:c>
      <x:c r="CK899" s="178" t="str">
        <x:f>IF(COUNT(BV899:CB899)=0,"",AVERAGE(BV899:CB899)*4)</x:f>
      </x:c>
      <x:c r="CL899" s="178" t="str">
        <x:f>IF(C899="","",IF(COUNT(G899:CB899)&lt;74,"",(CC899*'تنظیمات وزن‌دهی'!$C$5+CD899*'تنظیمات وزن‌دهی'!$C$6+CE899*'تنظیمات وزن‌دهی'!$C$7+CF899*'تنظیمات وزن‌دهی'!$C$8+CG899*'تنظیمات وزن‌دهی'!$C$9+CH899*'تنظیمات وزن‌دهی'!$C$10+CI899*'تنظیمات وزن‌دهی'!$C$11+CJ899*'تنظیمات وزن‌دهی'!$C$12+CK899*'تنظیمات وزن‌دهی'!$C$13)/100))</x:f>
      </x:c>
      <x:c r="CM899" s="178" t="str">
        <x:f>IF(C899="","",IF(COUNT(G899:CB899)=0,"",IF(COUNT(G899:CB899)&lt;74,"موقت - اطلاعات ناقص",IF(CL899&gt;=17,"عالی",IF(CL899&gt;=14,"خوب",IF(CL899&gt;=10,"متوسط","ضعیف"))))))</x:f>
      </x:c>
      <x:c r="CN899" s="178" t="n">
        <x:v>7</x:v>
      </x:c>
      <x:c r="CO899" s="142" t="n">
        <x:f>IF(C899="","",COUNT(G899:CB899)/74)</x:f>
        <x:v>0</x:v>
      </x:c>
      <x:c r="CP899" s="245"/>
    </x:row>
    <x:row r="900">
      <x:c r="A900" s="165" t="n">
        <x:v>896</x:v>
      </x:c>
      <x:c r="B900" s="233" t="str">
        <x:v>بهمن</x:v>
      </x:c>
      <x:c r="C900" s="233" t="n">
        <x:f>IF('دانش‌آموزان'!E79="","",'دانش‌آموزان'!B79)</x:f>
        <x:v>75</x:v>
      </x:c>
      <x:c r="D900" s="233" t="str">
        <x:f>IF('دانش‌آموزان'!C79="","",'دانش‌آموزان'!C79)</x:f>
        <x:v>4000000756</x:v>
      </x:c>
      <x:c r="E900" s="233" t="str">
        <x:f>IF('دانش‌آموزان'!E79="","",'دانش‌آموزان'!E79&amp;" "&amp;'دانش‌آموزان'!F79)</x:f>
        <x:v>ماهان سلیمانی</x:v>
      </x:c>
      <x:c r="F900" s="166" t="str">
        <x:f>IF('دانش‌آموزان'!I79="","",'دانش‌آموزان'!I79)</x:f>
        <x:v>sample-7-c</x:v>
      </x:c>
      <x:c r="G900" s="114"/>
      <x:c r="H900" s="115"/>
      <x:c r="I900" s="115"/>
      <x:c r="J900" s="115"/>
      <x:c r="K900" s="115"/>
      <x:c r="L900" s="115"/>
      <x:c r="M900" s="115"/>
      <x:c r="N900" s="115"/>
      <x:c r="O900" s="115"/>
      <x:c r="P900" s="115"/>
      <x:c r="Q900" s="115"/>
      <x:c r="R900" s="115"/>
      <x:c r="S900" s="115"/>
      <x:c r="T900" s="115"/>
      <x:c r="U900" s="115"/>
      <x:c r="V900" s="115"/>
      <x:c r="W900" s="115"/>
      <x:c r="X900" s="115"/>
      <x:c r="Y900" s="115"/>
      <x:c r="Z900" s="115"/>
      <x:c r="AA900" s="115"/>
      <x:c r="AB900" s="115"/>
      <x:c r="AC900" s="115"/>
      <x:c r="AD900" s="115"/>
      <x:c r="AE900" s="115"/>
      <x:c r="AF900" s="115"/>
      <x:c r="AG900" s="115"/>
      <x:c r="AH900" s="115"/>
      <x:c r="AI900" s="115"/>
      <x:c r="AJ900" s="115"/>
      <x:c r="AK900" s="115"/>
      <x:c r="AL900" s="115"/>
      <x:c r="AM900" s="115"/>
      <x:c r="AN900" s="115"/>
      <x:c r="AO900" s="115"/>
      <x:c r="AP900" s="115"/>
      <x:c r="AQ900" s="115"/>
      <x:c r="AR900" s="115"/>
      <x:c r="AS900" s="115"/>
      <x:c r="AT900" s="115"/>
      <x:c r="AU900" s="115"/>
      <x:c r="AV900" s="115"/>
      <x:c r="AW900" s="115"/>
      <x:c r="AX900" s="115"/>
      <x:c r="AY900" s="115"/>
      <x:c r="AZ900" s="115"/>
      <x:c r="BA900" s="115"/>
      <x:c r="BB900" s="115"/>
      <x:c r="BC900" s="115"/>
      <x:c r="BD900" s="115"/>
      <x:c r="BE900" s="115"/>
      <x:c r="BF900" s="115"/>
      <x:c r="BG900" s="115"/>
      <x:c r="BH900" s="115"/>
      <x:c r="BI900" s="115"/>
      <x:c r="BJ900" s="115"/>
      <x:c r="BK900" s="115"/>
      <x:c r="BL900" s="115"/>
      <x:c r="BM900" s="115"/>
      <x:c r="BN900" s="115"/>
      <x:c r="BO900" s="115"/>
      <x:c r="BP900" s="115"/>
      <x:c r="BQ900" s="115"/>
      <x:c r="BR900" s="115"/>
      <x:c r="BS900" s="115"/>
      <x:c r="BT900" s="115"/>
      <x:c r="BU900" s="115"/>
      <x:c r="BV900" s="115"/>
      <x:c r="BW900" s="115"/>
      <x:c r="BX900" s="115"/>
      <x:c r="BY900" s="115"/>
      <x:c r="BZ900" s="115"/>
      <x:c r="CA900" s="115"/>
      <x:c r="CB900" s="116"/>
      <x:c r="CC900" s="141" t="str">
        <x:f>IF(COUNT(G900:P900)=0,"",AVERAGE(G900:P900)*4)</x:f>
      </x:c>
      <x:c r="CD900" s="178" t="str">
        <x:f>IF(COUNT(Q900:Z900)=0,"",AVERAGE(Q900:Z900)*4)</x:f>
      </x:c>
      <x:c r="CE900" s="178" t="str">
        <x:f>IF(COUNT(AA900:AJ900)=0,"",AVERAGE(AA900:AJ900)*4)</x:f>
      </x:c>
      <x:c r="CF900" s="178" t="str">
        <x:f>IF(COUNT(AK900:AR900)=0,"",AVERAGE(AK900:AR900)*4)</x:f>
      </x:c>
      <x:c r="CG900" s="178" t="str">
        <x:f>IF(COUNT(AS900:AY900)=0,"",AVERAGE(AS900:AY900)*4)</x:f>
      </x:c>
      <x:c r="CH900" s="178" t="str">
        <x:f>IF(COUNT(AZ900:BG900)=0,"",AVERAGE(AZ900:BG900)*4)</x:f>
      </x:c>
      <x:c r="CI900" s="178" t="str">
        <x:f>IF(COUNT(BH900:BN900)=0,"",AVERAGE(BH900:BN900)*4)</x:f>
      </x:c>
      <x:c r="CJ900" s="178" t="str">
        <x:f>IF(COUNT(BO900:BU900)=0,"",AVERAGE(BO900:BU900)*4)</x:f>
      </x:c>
      <x:c r="CK900" s="178" t="str">
        <x:f>IF(COUNT(BV900:CB900)=0,"",AVERAGE(BV900:CB900)*4)</x:f>
      </x:c>
      <x:c r="CL900" s="178" t="str">
        <x:f>IF(C900="","",IF(COUNT(G900:CB900)&lt;74,"",(CC900*'تنظیمات وزن‌دهی'!$C$5+CD900*'تنظیمات وزن‌دهی'!$C$6+CE900*'تنظیمات وزن‌دهی'!$C$7+CF900*'تنظیمات وزن‌دهی'!$C$8+CG900*'تنظیمات وزن‌دهی'!$C$9+CH900*'تنظیمات وزن‌دهی'!$C$10+CI900*'تنظیمات وزن‌دهی'!$C$11+CJ900*'تنظیمات وزن‌دهی'!$C$12+CK900*'تنظیمات وزن‌دهی'!$C$13)/100))</x:f>
      </x:c>
      <x:c r="CM900" s="178" t="str">
        <x:f>IF(C900="","",IF(COUNT(G900:CB900)=0,"",IF(COUNT(G900:CB900)&lt;74,"موقت - اطلاعات ناقص",IF(CL900&gt;=17,"عالی",IF(CL900&gt;=14,"خوب",IF(CL900&gt;=10,"متوسط","ضعیف"))))))</x:f>
      </x:c>
      <x:c r="CN900" s="178" t="n">
        <x:v>8</x:v>
      </x:c>
      <x:c r="CO900" s="142" t="n">
        <x:f>IF(C900="","",COUNT(G900:CB900)/74)</x:f>
        <x:v>0</x:v>
      </x:c>
      <x:c r="CP900" s="245"/>
    </x:row>
    <x:row r="901">
      <x:c r="A901" s="165" t="n">
        <x:v>897</x:v>
      </x:c>
      <x:c r="B901" s="233" t="str">
        <x:v>اسفند</x:v>
      </x:c>
      <x:c r="C901" s="233" t="n">
        <x:f>IF('دانش‌آموزان'!E79="","",'دانش‌آموزان'!B79)</x:f>
        <x:v>75</x:v>
      </x:c>
      <x:c r="D901" s="233" t="str">
        <x:f>IF('دانش‌آموزان'!C79="","",'دانش‌آموزان'!C79)</x:f>
        <x:v>4000000756</x:v>
      </x:c>
      <x:c r="E901" s="233" t="str">
        <x:f>IF('دانش‌آموزان'!E79="","",'دانش‌آموزان'!E79&amp;" "&amp;'دانش‌آموزان'!F79)</x:f>
        <x:v>ماهان سلیمانی</x:v>
      </x:c>
      <x:c r="F901" s="166" t="str">
        <x:f>IF('دانش‌آموزان'!I79="","",'دانش‌آموزان'!I79)</x:f>
        <x:v>sample-7-c</x:v>
      </x:c>
      <x:c r="G901" s="114"/>
      <x:c r="H901" s="115"/>
      <x:c r="I901" s="115"/>
      <x:c r="J901" s="115"/>
      <x:c r="K901" s="115"/>
      <x:c r="L901" s="115"/>
      <x:c r="M901" s="115"/>
      <x:c r="N901" s="115"/>
      <x:c r="O901" s="115"/>
      <x:c r="P901" s="115"/>
      <x:c r="Q901" s="115"/>
      <x:c r="R901" s="115"/>
      <x:c r="S901" s="115"/>
      <x:c r="T901" s="115"/>
      <x:c r="U901" s="115"/>
      <x:c r="V901" s="115"/>
      <x:c r="W901" s="115"/>
      <x:c r="X901" s="115"/>
      <x:c r="Y901" s="115"/>
      <x:c r="Z901" s="115"/>
      <x:c r="AA901" s="115"/>
      <x:c r="AB901" s="115"/>
      <x:c r="AC901" s="115"/>
      <x:c r="AD901" s="115"/>
      <x:c r="AE901" s="115"/>
      <x:c r="AF901" s="115"/>
      <x:c r="AG901" s="115"/>
      <x:c r="AH901" s="115"/>
      <x:c r="AI901" s="115"/>
      <x:c r="AJ901" s="115"/>
      <x:c r="AK901" s="115"/>
      <x:c r="AL901" s="115"/>
      <x:c r="AM901" s="115"/>
      <x:c r="AN901" s="115"/>
      <x:c r="AO901" s="115"/>
      <x:c r="AP901" s="115"/>
      <x:c r="AQ901" s="115"/>
      <x:c r="AR901" s="115"/>
      <x:c r="AS901" s="115"/>
      <x:c r="AT901" s="115"/>
      <x:c r="AU901" s="115"/>
      <x:c r="AV901" s="115"/>
      <x:c r="AW901" s="115"/>
      <x:c r="AX901" s="115"/>
      <x:c r="AY901" s="115"/>
      <x:c r="AZ901" s="115"/>
      <x:c r="BA901" s="115"/>
      <x:c r="BB901" s="115"/>
      <x:c r="BC901" s="115"/>
      <x:c r="BD901" s="115"/>
      <x:c r="BE901" s="115"/>
      <x:c r="BF901" s="115"/>
      <x:c r="BG901" s="115"/>
      <x:c r="BH901" s="115"/>
      <x:c r="BI901" s="115"/>
      <x:c r="BJ901" s="115"/>
      <x:c r="BK901" s="115"/>
      <x:c r="BL901" s="115"/>
      <x:c r="BM901" s="115"/>
      <x:c r="BN901" s="115"/>
      <x:c r="BO901" s="115"/>
      <x:c r="BP901" s="115"/>
      <x:c r="BQ901" s="115"/>
      <x:c r="BR901" s="115"/>
      <x:c r="BS901" s="115"/>
      <x:c r="BT901" s="115"/>
      <x:c r="BU901" s="115"/>
      <x:c r="BV901" s="115"/>
      <x:c r="BW901" s="115"/>
      <x:c r="BX901" s="115"/>
      <x:c r="BY901" s="115"/>
      <x:c r="BZ901" s="115"/>
      <x:c r="CA901" s="115"/>
      <x:c r="CB901" s="116"/>
      <x:c r="CC901" s="141" t="str">
        <x:f>IF(COUNT(G901:P901)=0,"",AVERAGE(G901:P901)*4)</x:f>
      </x:c>
      <x:c r="CD901" s="178" t="str">
        <x:f>IF(COUNT(Q901:Z901)=0,"",AVERAGE(Q901:Z901)*4)</x:f>
      </x:c>
      <x:c r="CE901" s="178" t="str">
        <x:f>IF(COUNT(AA901:AJ901)=0,"",AVERAGE(AA901:AJ901)*4)</x:f>
      </x:c>
      <x:c r="CF901" s="178" t="str">
        <x:f>IF(COUNT(AK901:AR901)=0,"",AVERAGE(AK901:AR901)*4)</x:f>
      </x:c>
      <x:c r="CG901" s="178" t="str">
        <x:f>IF(COUNT(AS901:AY901)=0,"",AVERAGE(AS901:AY901)*4)</x:f>
      </x:c>
      <x:c r="CH901" s="178" t="str">
        <x:f>IF(COUNT(AZ901:BG901)=0,"",AVERAGE(AZ901:BG901)*4)</x:f>
      </x:c>
      <x:c r="CI901" s="178" t="str">
        <x:f>IF(COUNT(BH901:BN901)=0,"",AVERAGE(BH901:BN901)*4)</x:f>
      </x:c>
      <x:c r="CJ901" s="178" t="str">
        <x:f>IF(COUNT(BO901:BU901)=0,"",AVERAGE(BO901:BU901)*4)</x:f>
      </x:c>
      <x:c r="CK901" s="178" t="str">
        <x:f>IF(COUNT(BV901:CB901)=0,"",AVERAGE(BV901:CB901)*4)</x:f>
      </x:c>
      <x:c r="CL901" s="178" t="str">
        <x:f>IF(C901="","",IF(COUNT(G901:CB901)&lt;74,"",(CC901*'تنظیمات وزن‌دهی'!$C$5+CD901*'تنظیمات وزن‌دهی'!$C$6+CE901*'تنظیمات وزن‌دهی'!$C$7+CF901*'تنظیمات وزن‌دهی'!$C$8+CG901*'تنظیمات وزن‌دهی'!$C$9+CH901*'تنظیمات وزن‌دهی'!$C$10+CI901*'تنظیمات وزن‌دهی'!$C$11+CJ901*'تنظیمات وزن‌دهی'!$C$12+CK901*'تنظیمات وزن‌دهی'!$C$13)/100))</x:f>
      </x:c>
      <x:c r="CM901" s="178" t="str">
        <x:f>IF(C901="","",IF(COUNT(G901:CB901)=0,"",IF(COUNT(G901:CB901)&lt;74,"موقت - اطلاعات ناقص",IF(CL901&gt;=17,"عالی",IF(CL901&gt;=14,"خوب",IF(CL901&gt;=10,"متوسط","ضعیف"))))))</x:f>
      </x:c>
      <x:c r="CN901" s="178" t="n">
        <x:v>9</x:v>
      </x:c>
      <x:c r="CO901" s="142" t="n">
        <x:f>IF(C901="","",COUNT(G901:CB901)/74)</x:f>
        <x:v>0</x:v>
      </x:c>
      <x:c r="CP901" s="245"/>
    </x:row>
    <x:row r="902">
      <x:c r="A902" s="165" t="n">
        <x:v>898</x:v>
      </x:c>
      <x:c r="B902" s="233" t="str">
        <x:v>فروردین</x:v>
      </x:c>
      <x:c r="C902" s="233" t="n">
        <x:f>IF('دانش‌آموزان'!E79="","",'دانش‌آموزان'!B79)</x:f>
        <x:v>75</x:v>
      </x:c>
      <x:c r="D902" s="233" t="str">
        <x:f>IF('دانش‌آموزان'!C79="","",'دانش‌آموزان'!C79)</x:f>
        <x:v>4000000756</x:v>
      </x:c>
      <x:c r="E902" s="233" t="str">
        <x:f>IF('دانش‌آموزان'!E79="","",'دانش‌آموزان'!E79&amp;" "&amp;'دانش‌آموزان'!F79)</x:f>
        <x:v>ماهان سلیمانی</x:v>
      </x:c>
      <x:c r="F902" s="166" t="str">
        <x:f>IF('دانش‌آموزان'!I79="","",'دانش‌آموزان'!I79)</x:f>
        <x:v>sample-7-c</x:v>
      </x:c>
      <x:c r="G902" s="114"/>
      <x:c r="H902" s="115"/>
      <x:c r="I902" s="115"/>
      <x:c r="J902" s="115"/>
      <x:c r="K902" s="115"/>
      <x:c r="L902" s="115"/>
      <x:c r="M902" s="115"/>
      <x:c r="N902" s="115"/>
      <x:c r="O902" s="115"/>
      <x:c r="P902" s="115"/>
      <x:c r="Q902" s="115"/>
      <x:c r="R902" s="115"/>
      <x:c r="S902" s="115"/>
      <x:c r="T902" s="115"/>
      <x:c r="U902" s="115"/>
      <x:c r="V902" s="115"/>
      <x:c r="W902" s="115"/>
      <x:c r="X902" s="115"/>
      <x:c r="Y902" s="115"/>
      <x:c r="Z902" s="115"/>
      <x:c r="AA902" s="115"/>
      <x:c r="AB902" s="115"/>
      <x:c r="AC902" s="115"/>
      <x:c r="AD902" s="115"/>
      <x:c r="AE902" s="115"/>
      <x:c r="AF902" s="115"/>
      <x:c r="AG902" s="115"/>
      <x:c r="AH902" s="115"/>
      <x:c r="AI902" s="115"/>
      <x:c r="AJ902" s="115"/>
      <x:c r="AK902" s="115"/>
      <x:c r="AL902" s="115"/>
      <x:c r="AM902" s="115"/>
      <x:c r="AN902" s="115"/>
      <x:c r="AO902" s="115"/>
      <x:c r="AP902" s="115"/>
      <x:c r="AQ902" s="115"/>
      <x:c r="AR902" s="115"/>
      <x:c r="AS902" s="115"/>
      <x:c r="AT902" s="115"/>
      <x:c r="AU902" s="115"/>
      <x:c r="AV902" s="115"/>
      <x:c r="AW902" s="115"/>
      <x:c r="AX902" s="115"/>
      <x:c r="AY902" s="115"/>
      <x:c r="AZ902" s="115"/>
      <x:c r="BA902" s="115"/>
      <x:c r="BB902" s="115"/>
      <x:c r="BC902" s="115"/>
      <x:c r="BD902" s="115"/>
      <x:c r="BE902" s="115"/>
      <x:c r="BF902" s="115"/>
      <x:c r="BG902" s="115"/>
      <x:c r="BH902" s="115"/>
      <x:c r="BI902" s="115"/>
      <x:c r="BJ902" s="115"/>
      <x:c r="BK902" s="115"/>
      <x:c r="BL902" s="115"/>
      <x:c r="BM902" s="115"/>
      <x:c r="BN902" s="115"/>
      <x:c r="BO902" s="115"/>
      <x:c r="BP902" s="115"/>
      <x:c r="BQ902" s="115"/>
      <x:c r="BR902" s="115"/>
      <x:c r="BS902" s="115"/>
      <x:c r="BT902" s="115"/>
      <x:c r="BU902" s="115"/>
      <x:c r="BV902" s="115"/>
      <x:c r="BW902" s="115"/>
      <x:c r="BX902" s="115"/>
      <x:c r="BY902" s="115"/>
      <x:c r="BZ902" s="115"/>
      <x:c r="CA902" s="115"/>
      <x:c r="CB902" s="116"/>
      <x:c r="CC902" s="141" t="str">
        <x:f>IF(COUNT(G902:P902)=0,"",AVERAGE(G902:P902)*4)</x:f>
      </x:c>
      <x:c r="CD902" s="178" t="str">
        <x:f>IF(COUNT(Q902:Z902)=0,"",AVERAGE(Q902:Z902)*4)</x:f>
      </x:c>
      <x:c r="CE902" s="178" t="str">
        <x:f>IF(COUNT(AA902:AJ902)=0,"",AVERAGE(AA902:AJ902)*4)</x:f>
      </x:c>
      <x:c r="CF902" s="178" t="str">
        <x:f>IF(COUNT(AK902:AR902)=0,"",AVERAGE(AK902:AR902)*4)</x:f>
      </x:c>
      <x:c r="CG902" s="178" t="str">
        <x:f>IF(COUNT(AS902:AY902)=0,"",AVERAGE(AS902:AY902)*4)</x:f>
      </x:c>
      <x:c r="CH902" s="178" t="str">
        <x:f>IF(COUNT(AZ902:BG902)=0,"",AVERAGE(AZ902:BG902)*4)</x:f>
      </x:c>
      <x:c r="CI902" s="178" t="str">
        <x:f>IF(COUNT(BH902:BN902)=0,"",AVERAGE(BH902:BN902)*4)</x:f>
      </x:c>
      <x:c r="CJ902" s="178" t="str">
        <x:f>IF(COUNT(BO902:BU902)=0,"",AVERAGE(BO902:BU902)*4)</x:f>
      </x:c>
      <x:c r="CK902" s="178" t="str">
        <x:f>IF(COUNT(BV902:CB902)=0,"",AVERAGE(BV902:CB902)*4)</x:f>
      </x:c>
      <x:c r="CL902" s="178" t="str">
        <x:f>IF(C902="","",IF(COUNT(G902:CB902)&lt;74,"",(CC902*'تنظیمات وزن‌دهی'!$C$5+CD902*'تنظیمات وزن‌دهی'!$C$6+CE902*'تنظیمات وزن‌دهی'!$C$7+CF902*'تنظیمات وزن‌دهی'!$C$8+CG902*'تنظیمات وزن‌دهی'!$C$9+CH902*'تنظیمات وزن‌دهی'!$C$10+CI902*'تنظیمات وزن‌دهی'!$C$11+CJ902*'تنظیمات وزن‌دهی'!$C$12+CK902*'تنظیمات وزن‌دهی'!$C$13)/100))</x:f>
      </x:c>
      <x:c r="CM902" s="178" t="str">
        <x:f>IF(C902="","",IF(COUNT(G902:CB902)=0,"",IF(COUNT(G902:CB902)&lt;74,"موقت - اطلاعات ناقص",IF(CL902&gt;=17,"عالی",IF(CL902&gt;=14,"خوب",IF(CL902&gt;=10,"متوسط","ضعیف"))))))</x:f>
      </x:c>
      <x:c r="CN902" s="178" t="n">
        <x:v>10</x:v>
      </x:c>
      <x:c r="CO902" s="142" t="n">
        <x:f>IF(C902="","",COUNT(G902:CB902)/74)</x:f>
        <x:v>0</x:v>
      </x:c>
      <x:c r="CP902" s="245"/>
    </x:row>
    <x:row r="903">
      <x:c r="A903" s="165" t="n">
        <x:v>899</x:v>
      </x:c>
      <x:c r="B903" s="233" t="str">
        <x:v>اردیبهشت</x:v>
      </x:c>
      <x:c r="C903" s="233" t="n">
        <x:f>IF('دانش‌آموزان'!E79="","",'دانش‌آموزان'!B79)</x:f>
        <x:v>75</x:v>
      </x:c>
      <x:c r="D903" s="233" t="str">
        <x:f>IF('دانش‌آموزان'!C79="","",'دانش‌آموزان'!C79)</x:f>
        <x:v>4000000756</x:v>
      </x:c>
      <x:c r="E903" s="233" t="str">
        <x:f>IF('دانش‌آموزان'!E79="","",'دانش‌آموزان'!E79&amp;" "&amp;'دانش‌آموزان'!F79)</x:f>
        <x:v>ماهان سلیمانی</x:v>
      </x:c>
      <x:c r="F903" s="166" t="str">
        <x:f>IF('دانش‌آموزان'!I79="","",'دانش‌آموزان'!I79)</x:f>
        <x:v>sample-7-c</x:v>
      </x:c>
      <x:c r="G903" s="114"/>
      <x:c r="H903" s="115"/>
      <x:c r="I903" s="115"/>
      <x:c r="J903" s="115"/>
      <x:c r="K903" s="115"/>
      <x:c r="L903" s="115"/>
      <x:c r="M903" s="115"/>
      <x:c r="N903" s="115"/>
      <x:c r="O903" s="115"/>
      <x:c r="P903" s="115"/>
      <x:c r="Q903" s="115"/>
      <x:c r="R903" s="115"/>
      <x:c r="S903" s="115"/>
      <x:c r="T903" s="115"/>
      <x:c r="U903" s="115"/>
      <x:c r="V903" s="115"/>
      <x:c r="W903" s="115"/>
      <x:c r="X903" s="115"/>
      <x:c r="Y903" s="115"/>
      <x:c r="Z903" s="115"/>
      <x:c r="AA903" s="115"/>
      <x:c r="AB903" s="115"/>
      <x:c r="AC903" s="115"/>
      <x:c r="AD903" s="115"/>
      <x:c r="AE903" s="115"/>
      <x:c r="AF903" s="115"/>
      <x:c r="AG903" s="115"/>
      <x:c r="AH903" s="115"/>
      <x:c r="AI903" s="115"/>
      <x:c r="AJ903" s="115"/>
      <x:c r="AK903" s="115"/>
      <x:c r="AL903" s="115"/>
      <x:c r="AM903" s="115"/>
      <x:c r="AN903" s="115"/>
      <x:c r="AO903" s="115"/>
      <x:c r="AP903" s="115"/>
      <x:c r="AQ903" s="115"/>
      <x:c r="AR903" s="115"/>
      <x:c r="AS903" s="115"/>
      <x:c r="AT903" s="115"/>
      <x:c r="AU903" s="115"/>
      <x:c r="AV903" s="115"/>
      <x:c r="AW903" s="115"/>
      <x:c r="AX903" s="115"/>
      <x:c r="AY903" s="115"/>
      <x:c r="AZ903" s="115"/>
      <x:c r="BA903" s="115"/>
      <x:c r="BB903" s="115"/>
      <x:c r="BC903" s="115"/>
      <x:c r="BD903" s="115"/>
      <x:c r="BE903" s="115"/>
      <x:c r="BF903" s="115"/>
      <x:c r="BG903" s="115"/>
      <x:c r="BH903" s="115"/>
      <x:c r="BI903" s="115"/>
      <x:c r="BJ903" s="115"/>
      <x:c r="BK903" s="115"/>
      <x:c r="BL903" s="115"/>
      <x:c r="BM903" s="115"/>
      <x:c r="BN903" s="115"/>
      <x:c r="BO903" s="115"/>
      <x:c r="BP903" s="115"/>
      <x:c r="BQ903" s="115"/>
      <x:c r="BR903" s="115"/>
      <x:c r="BS903" s="115"/>
      <x:c r="BT903" s="115"/>
      <x:c r="BU903" s="115"/>
      <x:c r="BV903" s="115"/>
      <x:c r="BW903" s="115"/>
      <x:c r="BX903" s="115"/>
      <x:c r="BY903" s="115"/>
      <x:c r="BZ903" s="115"/>
      <x:c r="CA903" s="115"/>
      <x:c r="CB903" s="116"/>
      <x:c r="CC903" s="141" t="str">
        <x:f>IF(COUNT(G903:P903)=0,"",AVERAGE(G903:P903)*4)</x:f>
      </x:c>
      <x:c r="CD903" s="178" t="str">
        <x:f>IF(COUNT(Q903:Z903)=0,"",AVERAGE(Q903:Z903)*4)</x:f>
      </x:c>
      <x:c r="CE903" s="178" t="str">
        <x:f>IF(COUNT(AA903:AJ903)=0,"",AVERAGE(AA903:AJ903)*4)</x:f>
      </x:c>
      <x:c r="CF903" s="178" t="str">
        <x:f>IF(COUNT(AK903:AR903)=0,"",AVERAGE(AK903:AR903)*4)</x:f>
      </x:c>
      <x:c r="CG903" s="178" t="str">
        <x:f>IF(COUNT(AS903:AY903)=0,"",AVERAGE(AS903:AY903)*4)</x:f>
      </x:c>
      <x:c r="CH903" s="178" t="str">
        <x:f>IF(COUNT(AZ903:BG903)=0,"",AVERAGE(AZ903:BG903)*4)</x:f>
      </x:c>
      <x:c r="CI903" s="178" t="str">
        <x:f>IF(COUNT(BH903:BN903)=0,"",AVERAGE(BH903:BN903)*4)</x:f>
      </x:c>
      <x:c r="CJ903" s="178" t="str">
        <x:f>IF(COUNT(BO903:BU903)=0,"",AVERAGE(BO903:BU903)*4)</x:f>
      </x:c>
      <x:c r="CK903" s="178" t="str">
        <x:f>IF(COUNT(BV903:CB903)=0,"",AVERAGE(BV903:CB903)*4)</x:f>
      </x:c>
      <x:c r="CL903" s="178" t="str">
        <x:f>IF(C903="","",IF(COUNT(G903:CB903)&lt;74,"",(CC903*'تنظیمات وزن‌دهی'!$C$5+CD903*'تنظیمات وزن‌دهی'!$C$6+CE903*'تنظیمات وزن‌دهی'!$C$7+CF903*'تنظیمات وزن‌دهی'!$C$8+CG903*'تنظیمات وزن‌دهی'!$C$9+CH903*'تنظیمات وزن‌دهی'!$C$10+CI903*'تنظیمات وزن‌دهی'!$C$11+CJ903*'تنظیمات وزن‌دهی'!$C$12+CK903*'تنظیمات وزن‌دهی'!$C$13)/100))</x:f>
      </x:c>
      <x:c r="CM903" s="178" t="str">
        <x:f>IF(C903="","",IF(COUNT(G903:CB903)=0,"",IF(COUNT(G903:CB903)&lt;74,"موقت - اطلاعات ناقص",IF(CL903&gt;=17,"عالی",IF(CL903&gt;=14,"خوب",IF(CL903&gt;=10,"متوسط","ضعیف"))))))</x:f>
      </x:c>
      <x:c r="CN903" s="178" t="n">
        <x:v>11</x:v>
      </x:c>
      <x:c r="CO903" s="142" t="n">
        <x:f>IF(C903="","",COUNT(G903:CB903)/74)</x:f>
        <x:v>0</x:v>
      </x:c>
      <x:c r="CP903" s="245"/>
    </x:row>
    <x:row r="904">
      <x:c r="A904" s="165" t="n">
        <x:v>900</x:v>
      </x:c>
      <x:c r="B904" s="233" t="str">
        <x:v>خرداد</x:v>
      </x:c>
      <x:c r="C904" s="233" t="n">
        <x:f>IF('دانش‌آموزان'!E79="","",'دانش‌آموزان'!B79)</x:f>
        <x:v>75</x:v>
      </x:c>
      <x:c r="D904" s="233" t="str">
        <x:f>IF('دانش‌آموزان'!C79="","",'دانش‌آموزان'!C79)</x:f>
        <x:v>4000000756</x:v>
      </x:c>
      <x:c r="E904" s="233" t="str">
        <x:f>IF('دانش‌آموزان'!E79="","",'دانش‌آموزان'!E79&amp;" "&amp;'دانش‌آموزان'!F79)</x:f>
        <x:v>ماهان سلیمانی</x:v>
      </x:c>
      <x:c r="F904" s="166" t="str">
        <x:f>IF('دانش‌آموزان'!I79="","",'دانش‌آموزان'!I79)</x:f>
        <x:v>sample-7-c</x:v>
      </x:c>
      <x:c r="G904" s="114"/>
      <x:c r="H904" s="115"/>
      <x:c r="I904" s="115"/>
      <x:c r="J904" s="115"/>
      <x:c r="K904" s="115"/>
      <x:c r="L904" s="115"/>
      <x:c r="M904" s="115"/>
      <x:c r="N904" s="115"/>
      <x:c r="O904" s="115"/>
      <x:c r="P904" s="115"/>
      <x:c r="Q904" s="115"/>
      <x:c r="R904" s="115"/>
      <x:c r="S904" s="115"/>
      <x:c r="T904" s="115"/>
      <x:c r="U904" s="115"/>
      <x:c r="V904" s="115"/>
      <x:c r="W904" s="115"/>
      <x:c r="X904" s="115"/>
      <x:c r="Y904" s="115"/>
      <x:c r="Z904" s="115"/>
      <x:c r="AA904" s="115"/>
      <x:c r="AB904" s="115"/>
      <x:c r="AC904" s="115"/>
      <x:c r="AD904" s="115"/>
      <x:c r="AE904" s="115"/>
      <x:c r="AF904" s="115"/>
      <x:c r="AG904" s="115"/>
      <x:c r="AH904" s="115"/>
      <x:c r="AI904" s="115"/>
      <x:c r="AJ904" s="115"/>
      <x:c r="AK904" s="115"/>
      <x:c r="AL904" s="115"/>
      <x:c r="AM904" s="115"/>
      <x:c r="AN904" s="115"/>
      <x:c r="AO904" s="115"/>
      <x:c r="AP904" s="115"/>
      <x:c r="AQ904" s="115"/>
      <x:c r="AR904" s="115"/>
      <x:c r="AS904" s="115"/>
      <x:c r="AT904" s="115"/>
      <x:c r="AU904" s="115"/>
      <x:c r="AV904" s="115"/>
      <x:c r="AW904" s="115"/>
      <x:c r="AX904" s="115"/>
      <x:c r="AY904" s="115"/>
      <x:c r="AZ904" s="115"/>
      <x:c r="BA904" s="115"/>
      <x:c r="BB904" s="115"/>
      <x:c r="BC904" s="115"/>
      <x:c r="BD904" s="115"/>
      <x:c r="BE904" s="115"/>
      <x:c r="BF904" s="115"/>
      <x:c r="BG904" s="115"/>
      <x:c r="BH904" s="115"/>
      <x:c r="BI904" s="115"/>
      <x:c r="BJ904" s="115"/>
      <x:c r="BK904" s="115"/>
      <x:c r="BL904" s="115"/>
      <x:c r="BM904" s="115"/>
      <x:c r="BN904" s="115"/>
      <x:c r="BO904" s="115"/>
      <x:c r="BP904" s="115"/>
      <x:c r="BQ904" s="115"/>
      <x:c r="BR904" s="115"/>
      <x:c r="BS904" s="115"/>
      <x:c r="BT904" s="115"/>
      <x:c r="BU904" s="115"/>
      <x:c r="BV904" s="115"/>
      <x:c r="BW904" s="115"/>
      <x:c r="BX904" s="115"/>
      <x:c r="BY904" s="115"/>
      <x:c r="BZ904" s="115"/>
      <x:c r="CA904" s="115"/>
      <x:c r="CB904" s="116"/>
      <x:c r="CC904" s="141" t="str">
        <x:f>IF(COUNT(G904:P904)=0,"",AVERAGE(G904:P904)*4)</x:f>
      </x:c>
      <x:c r="CD904" s="178" t="str">
        <x:f>IF(COUNT(Q904:Z904)=0,"",AVERAGE(Q904:Z904)*4)</x:f>
      </x:c>
      <x:c r="CE904" s="178" t="str">
        <x:f>IF(COUNT(AA904:AJ904)=0,"",AVERAGE(AA904:AJ904)*4)</x:f>
      </x:c>
      <x:c r="CF904" s="178" t="str">
        <x:f>IF(COUNT(AK904:AR904)=0,"",AVERAGE(AK904:AR904)*4)</x:f>
      </x:c>
      <x:c r="CG904" s="178" t="str">
        <x:f>IF(COUNT(AS904:AY904)=0,"",AVERAGE(AS904:AY904)*4)</x:f>
      </x:c>
      <x:c r="CH904" s="178" t="str">
        <x:f>IF(COUNT(AZ904:BG904)=0,"",AVERAGE(AZ904:BG904)*4)</x:f>
      </x:c>
      <x:c r="CI904" s="178" t="str">
        <x:f>IF(COUNT(BH904:BN904)=0,"",AVERAGE(BH904:BN904)*4)</x:f>
      </x:c>
      <x:c r="CJ904" s="178" t="str">
        <x:f>IF(COUNT(BO904:BU904)=0,"",AVERAGE(BO904:BU904)*4)</x:f>
      </x:c>
      <x:c r="CK904" s="178" t="str">
        <x:f>IF(COUNT(BV904:CB904)=0,"",AVERAGE(BV904:CB904)*4)</x:f>
      </x:c>
      <x:c r="CL904" s="178" t="str">
        <x:f>IF(C904="","",IF(COUNT(G904:CB904)&lt;74,"",(CC904*'تنظیمات وزن‌دهی'!$C$5+CD904*'تنظیمات وزن‌دهی'!$C$6+CE904*'تنظیمات وزن‌دهی'!$C$7+CF904*'تنظیمات وزن‌دهی'!$C$8+CG904*'تنظیمات وزن‌دهی'!$C$9+CH904*'تنظیمات وزن‌دهی'!$C$10+CI904*'تنظیمات وزن‌دهی'!$C$11+CJ904*'تنظیمات وزن‌دهی'!$C$12+CK904*'تنظیمات وزن‌دهی'!$C$13)/100))</x:f>
      </x:c>
      <x:c r="CM904" s="178" t="str">
        <x:f>IF(C904="","",IF(COUNT(G904:CB904)=0,"",IF(COUNT(G904:CB904)&lt;74,"موقت - اطلاعات ناقص",IF(CL904&gt;=17,"عالی",IF(CL904&gt;=14,"خوب",IF(CL904&gt;=10,"متوسط","ضعیف"))))))</x:f>
      </x:c>
      <x:c r="CN904" s="178" t="n">
        <x:v>12</x:v>
      </x:c>
      <x:c r="CO904" s="142" t="n">
        <x:f>IF(C904="","",COUNT(G904:CB904)/74)</x:f>
        <x:v>0</x:v>
      </x:c>
      <x:c r="CP904" s="245"/>
    </x:row>
    <x:row r="905">
      <x:c r="A905" s="165" t="n">
        <x:v>901</x:v>
      </x:c>
      <x:c r="B905" s="233" t="str">
        <x:v>تیر</x:v>
      </x:c>
      <x:c r="C905" s="233" t="n">
        <x:f>IF('دانش‌آموزان'!E80="","",'دانش‌آموزان'!B80)</x:f>
        <x:v>76</x:v>
      </x:c>
      <x:c r="D905" s="233" t="str">
        <x:f>IF('دانش‌آموزان'!C80="","",'دانش‌آموزان'!C80)</x:f>
        <x:v>4000000764</x:v>
      </x:c>
      <x:c r="E905" s="233" t="str">
        <x:f>IF('دانش‌آموزان'!E80="","",'دانش‌آموزان'!E80&amp;" "&amp;'دانش‌آموزان'!F80)</x:f>
        <x:v>نازنین مرادی</x:v>
      </x:c>
      <x:c r="F905" s="166" t="str">
        <x:f>IF('دانش‌آموزان'!I80="","",'دانش‌آموزان'!I80)</x:f>
        <x:v>sample-7-d</x:v>
      </x:c>
      <x:c r="G905" s="114" t="n">
        <x:v>4</x:v>
      </x:c>
      <x:c r="H905" s="115" t="n">
        <x:v>5</x:v>
      </x:c>
      <x:c r="I905" s="115" t="n">
        <x:v>4</x:v>
      </x:c>
      <x:c r="J905" s="115" t="n">
        <x:v>5</x:v>
      </x:c>
      <x:c r="K905" s="115" t="n">
        <x:v>3</x:v>
      </x:c>
      <x:c r="L905" s="115" t="n">
        <x:v>5</x:v>
      </x:c>
      <x:c r="M905" s="115" t="n">
        <x:v>3</x:v>
      </x:c>
      <x:c r="N905" s="115" t="n">
        <x:v>4</x:v>
      </x:c>
      <x:c r="O905" s="115" t="n">
        <x:v>3</x:v>
      </x:c>
      <x:c r="P905" s="115" t="n">
        <x:v>4</x:v>
      </x:c>
      <x:c r="Q905" s="115" t="n">
        <x:v>2</x:v>
      </x:c>
      <x:c r="R905" s="115" t="n">
        <x:v>4</x:v>
      </x:c>
      <x:c r="S905" s="115" t="n">
        <x:v>5</x:v>
      </x:c>
      <x:c r="T905" s="115" t="n">
        <x:v>4</x:v>
      </x:c>
      <x:c r="U905" s="115" t="n">
        <x:v>5</x:v>
      </x:c>
      <x:c r="V905" s="115" t="n">
        <x:v>3</x:v>
      </x:c>
      <x:c r="W905" s="115" t="n">
        <x:v>5</x:v>
      </x:c>
      <x:c r="X905" s="115" t="n">
        <x:v>3</x:v>
      </x:c>
      <x:c r="Y905" s="115" t="n">
        <x:v>4</x:v>
      </x:c>
      <x:c r="Z905" s="115" t="n">
        <x:v>3</x:v>
      </x:c>
      <x:c r="AA905" s="115" t="n">
        <x:v>4</x:v>
      </x:c>
      <x:c r="AB905" s="115" t="n">
        <x:v>2</x:v>
      </x:c>
      <x:c r="AC905" s="115" t="n">
        <x:v>4</x:v>
      </x:c>
      <x:c r="AD905" s="115" t="n">
        <x:v>5</x:v>
      </x:c>
      <x:c r="AE905" s="115" t="n">
        <x:v>4</x:v>
      </x:c>
      <x:c r="AF905" s="115" t="n">
        <x:v>5</x:v>
      </x:c>
      <x:c r="AG905" s="115" t="n">
        <x:v>3</x:v>
      </x:c>
      <x:c r="AH905" s="115" t="n">
        <x:v>5</x:v>
      </x:c>
      <x:c r="AI905" s="115" t="n">
        <x:v>3</x:v>
      </x:c>
      <x:c r="AJ905" s="115" t="n">
        <x:v>4</x:v>
      </x:c>
      <x:c r="AK905" s="115" t="n">
        <x:v>3</x:v>
      </x:c>
      <x:c r="AL905" s="115" t="n">
        <x:v>4</x:v>
      </x:c>
      <x:c r="AM905" s="115" t="n">
        <x:v>2</x:v>
      </x:c>
      <x:c r="AN905" s="115" t="n">
        <x:v>4</x:v>
      </x:c>
      <x:c r="AO905" s="115" t="n">
        <x:v>5</x:v>
      </x:c>
      <x:c r="AP905" s="115" t="n">
        <x:v>4</x:v>
      </x:c>
      <x:c r="AQ905" s="115" t="n">
        <x:v>5</x:v>
      </x:c>
      <x:c r="AR905" s="115" t="n">
        <x:v>3</x:v>
      </x:c>
      <x:c r="AS905" s="115" t="n">
        <x:v>5</x:v>
      </x:c>
      <x:c r="AT905" s="115" t="n">
        <x:v>3</x:v>
      </x:c>
      <x:c r="AU905" s="115" t="n">
        <x:v>4</x:v>
      </x:c>
      <x:c r="AV905" s="115" t="n">
        <x:v>3</x:v>
      </x:c>
      <x:c r="AW905" s="115" t="n">
        <x:v>4</x:v>
      </x:c>
      <x:c r="AX905" s="115" t="n">
        <x:v>2</x:v>
      </x:c>
      <x:c r="AY905" s="115" t="n">
        <x:v>4</x:v>
      </x:c>
      <x:c r="AZ905" s="115" t="n">
        <x:v>5</x:v>
      </x:c>
      <x:c r="BA905" s="115" t="n">
        <x:v>4</x:v>
      </x:c>
      <x:c r="BB905" s="115" t="n">
        <x:v>5</x:v>
      </x:c>
      <x:c r="BC905" s="115" t="n">
        <x:v>3</x:v>
      </x:c>
      <x:c r="BD905" s="115" t="n">
        <x:v>5</x:v>
      </x:c>
      <x:c r="BE905" s="115" t="n">
        <x:v>3</x:v>
      </x:c>
      <x:c r="BF905" s="115" t="n">
        <x:v>4</x:v>
      </x:c>
      <x:c r="BG905" s="115" t="n">
        <x:v>3</x:v>
      </x:c>
      <x:c r="BH905" s="115" t="n">
        <x:v>4</x:v>
      </x:c>
      <x:c r="BI905" s="115" t="n">
        <x:v>2</x:v>
      </x:c>
      <x:c r="BJ905" s="115" t="n">
        <x:v>4</x:v>
      </x:c>
      <x:c r="BK905" s="115" t="n">
        <x:v>5</x:v>
      </x:c>
      <x:c r="BL905" s="115" t="n">
        <x:v>4</x:v>
      </x:c>
      <x:c r="BM905" s="115" t="n">
        <x:v>5</x:v>
      </x:c>
      <x:c r="BN905" s="115" t="n">
        <x:v>3</x:v>
      </x:c>
      <x:c r="BO905" s="115" t="n">
        <x:v>5</x:v>
      </x:c>
      <x:c r="BP905" s="115" t="n">
        <x:v>3</x:v>
      </x:c>
      <x:c r="BQ905" s="115" t="n">
        <x:v>4</x:v>
      </x:c>
      <x:c r="BR905" s="115" t="n">
        <x:v>3</x:v>
      </x:c>
      <x:c r="BS905" s="115" t="n">
        <x:v>4</x:v>
      </x:c>
      <x:c r="BT905" s="115" t="n">
        <x:v>2</x:v>
      </x:c>
      <x:c r="BU905" s="115" t="n">
        <x:v>4</x:v>
      </x:c>
      <x:c r="BV905" s="115" t="n">
        <x:v>5</x:v>
      </x:c>
      <x:c r="BW905" s="115" t="n">
        <x:v>4</x:v>
      </x:c>
      <x:c r="BX905" s="115" t="n">
        <x:v>5</x:v>
      </x:c>
      <x:c r="BY905" s="115" t="n">
        <x:v>3</x:v>
      </x:c>
      <x:c r="BZ905" s="115" t="n">
        <x:v>5</x:v>
      </x:c>
      <x:c r="CA905" s="115" t="n">
        <x:v>3</x:v>
      </x:c>
      <x:c r="CB905" s="116" t="n">
        <x:v>4</x:v>
      </x:c>
      <x:c r="CC905" s="141" t="n">
        <x:f>IF(COUNT(G905:P905)=0,"",AVERAGE(G905:P905)*4)</x:f>
        <x:v>16</x:v>
      </x:c>
      <x:c r="CD905" s="178" t="n">
        <x:f>IF(COUNT(Q905:Z905)=0,"",AVERAGE(Q905:Z905)*4)</x:f>
        <x:v>15.2</x:v>
      </x:c>
      <x:c r="CE905" s="178" t="n">
        <x:f>IF(COUNT(AA905:AJ905)=0,"",AVERAGE(AA905:AJ905)*4)</x:f>
        <x:v>15.6</x:v>
      </x:c>
      <x:c r="CF905" s="178" t="n">
        <x:f>IF(COUNT(AK905:AR905)=0,"",AVERAGE(AK905:AR905)*4)</x:f>
        <x:v>15</x:v>
      </x:c>
      <x:c r="CG905" s="178" t="n">
        <x:f>IF(COUNT(AS905:AY905)=0,"",AVERAGE(AS905:AY905)*4)</x:f>
        <x:v>14.285714285714286</x:v>
      </x:c>
      <x:c r="CH905" s="178" t="n">
        <x:f>IF(COUNT(AZ905:BG905)=0,"",AVERAGE(AZ905:BG905)*4)</x:f>
        <x:v>16</x:v>
      </x:c>
      <x:c r="CI905" s="178" t="n">
        <x:f>IF(COUNT(BH905:BN905)=0,"",AVERAGE(BH905:BN905)*4)</x:f>
        <x:v>15.428571428571429</x:v>
      </x:c>
      <x:c r="CJ905" s="178" t="n">
        <x:f>IF(COUNT(BO905:BU905)=0,"",AVERAGE(BO905:BU905)*4)</x:f>
        <x:v>14.285714285714286</x:v>
      </x:c>
      <x:c r="CK905" s="178" t="n">
        <x:f>IF(COUNT(BV905:CB905)=0,"",AVERAGE(BV905:CB905)*4)</x:f>
        <x:v>16.571428571428573</x:v>
      </x:c>
      <x:c r="CL905" s="178" t="n">
        <x:f>IF(C905="","",IF(COUNT(G905:CB905)&lt;74,"",(CC905*'تنظیمات وزن‌دهی'!$C$5+CD905*'تنظیمات وزن‌دهی'!$C$6+CE905*'تنظیمات وزن‌دهی'!$C$7+CF905*'تنظیمات وزن‌دهی'!$C$8+CG905*'تنظیمات وزن‌دهی'!$C$9+CH905*'تنظیمات وزن‌دهی'!$C$10+CI905*'تنظیمات وزن‌دهی'!$C$11+CJ905*'تنظیمات وزن‌دهی'!$C$12+CK905*'تنظیمات وزن‌دهی'!$C$13)/100))</x:f>
        <x:v>15.447142857142858</x:v>
      </x:c>
      <x:c r="CM905" s="178" t="str">
        <x:f>IF(C905="","",IF(COUNT(G905:CB905)=0,"",IF(COUNT(G905:CB905)&lt;74,"موقت - اطلاعات ناقص",IF(CL905&gt;=17,"عالی",IF(CL905&gt;=14,"خوب",IF(CL905&gt;=10,"متوسط","ضعیف"))))))</x:f>
        <x:v>خوب</x:v>
      </x:c>
      <x:c r="CN905" s="178" t="n">
        <x:v>1</x:v>
      </x:c>
      <x:c r="CO905" s="142" t="n">
        <x:f>IF(C905="","",COUNT(G905:CB905)/74)</x:f>
        <x:v>1</x:v>
      </x:c>
      <x:c r="CP905" s="245" t="str">
        <x:v>داده نمونه کامل برای ماه تیر - دانش‌آموز شماره 76</x:v>
      </x:c>
    </x:row>
    <x:row r="906">
      <x:c r="A906" s="165" t="n">
        <x:v>902</x:v>
      </x:c>
      <x:c r="B906" s="233" t="str">
        <x:v>مرداد</x:v>
      </x:c>
      <x:c r="C906" s="233" t="n">
        <x:f>IF('دانش‌آموزان'!E80="","",'دانش‌آموزان'!B80)</x:f>
        <x:v>76</x:v>
      </x:c>
      <x:c r="D906" s="233" t="str">
        <x:f>IF('دانش‌آموزان'!C80="","",'دانش‌آموزان'!C80)</x:f>
        <x:v>4000000764</x:v>
      </x:c>
      <x:c r="E906" s="233" t="str">
        <x:f>IF('دانش‌آموزان'!E80="","",'دانش‌آموزان'!E80&amp;" "&amp;'دانش‌آموزان'!F80)</x:f>
        <x:v>نازنین مرادی</x:v>
      </x:c>
      <x:c r="F906" s="166" t="str">
        <x:f>IF('دانش‌آموزان'!I80="","",'دانش‌آموزان'!I80)</x:f>
        <x:v>sample-7-d</x:v>
      </x:c>
      <x:c r="G906" s="114"/>
      <x:c r="H906" s="115"/>
      <x:c r="I906" s="115"/>
      <x:c r="J906" s="115"/>
      <x:c r="K906" s="115"/>
      <x:c r="L906" s="115"/>
      <x:c r="M906" s="115"/>
      <x:c r="N906" s="115"/>
      <x:c r="O906" s="115"/>
      <x:c r="P906" s="115"/>
      <x:c r="Q906" s="115"/>
      <x:c r="R906" s="115"/>
      <x:c r="S906" s="115"/>
      <x:c r="T906" s="115"/>
      <x:c r="U906" s="115"/>
      <x:c r="V906" s="115"/>
      <x:c r="W906" s="115"/>
      <x:c r="X906" s="115"/>
      <x:c r="Y906" s="115"/>
      <x:c r="Z906" s="115"/>
      <x:c r="AA906" s="115"/>
      <x:c r="AB906" s="115"/>
      <x:c r="AC906" s="115"/>
      <x:c r="AD906" s="115"/>
      <x:c r="AE906" s="115"/>
      <x:c r="AF906" s="115"/>
      <x:c r="AG906" s="115"/>
      <x:c r="AH906" s="115"/>
      <x:c r="AI906" s="115"/>
      <x:c r="AJ906" s="115"/>
      <x:c r="AK906" s="115"/>
      <x:c r="AL906" s="115"/>
      <x:c r="AM906" s="115"/>
      <x:c r="AN906" s="115"/>
      <x:c r="AO906" s="115"/>
      <x:c r="AP906" s="115"/>
      <x:c r="AQ906" s="115"/>
      <x:c r="AR906" s="115"/>
      <x:c r="AS906" s="115"/>
      <x:c r="AT906" s="115"/>
      <x:c r="AU906" s="115"/>
      <x:c r="AV906" s="115"/>
      <x:c r="AW906" s="115"/>
      <x:c r="AX906" s="115"/>
      <x:c r="AY906" s="115"/>
      <x:c r="AZ906" s="115"/>
      <x:c r="BA906" s="115"/>
      <x:c r="BB906" s="115"/>
      <x:c r="BC906" s="115"/>
      <x:c r="BD906" s="115"/>
      <x:c r="BE906" s="115"/>
      <x:c r="BF906" s="115"/>
      <x:c r="BG906" s="115"/>
      <x:c r="BH906" s="115"/>
      <x:c r="BI906" s="115"/>
      <x:c r="BJ906" s="115"/>
      <x:c r="BK906" s="115"/>
      <x:c r="BL906" s="115"/>
      <x:c r="BM906" s="115"/>
      <x:c r="BN906" s="115"/>
      <x:c r="BO906" s="115"/>
      <x:c r="BP906" s="115"/>
      <x:c r="BQ906" s="115"/>
      <x:c r="BR906" s="115"/>
      <x:c r="BS906" s="115"/>
      <x:c r="BT906" s="115"/>
      <x:c r="BU906" s="115"/>
      <x:c r="BV906" s="115"/>
      <x:c r="BW906" s="115"/>
      <x:c r="BX906" s="115"/>
      <x:c r="BY906" s="115"/>
      <x:c r="BZ906" s="115"/>
      <x:c r="CA906" s="115"/>
      <x:c r="CB906" s="116"/>
      <x:c r="CC906" s="141" t="str">
        <x:f>IF(COUNT(G906:P906)=0,"",AVERAGE(G906:P906)*4)</x:f>
      </x:c>
      <x:c r="CD906" s="178" t="str">
        <x:f>IF(COUNT(Q906:Z906)=0,"",AVERAGE(Q906:Z906)*4)</x:f>
      </x:c>
      <x:c r="CE906" s="178" t="str">
        <x:f>IF(COUNT(AA906:AJ906)=0,"",AVERAGE(AA906:AJ906)*4)</x:f>
      </x:c>
      <x:c r="CF906" s="178" t="str">
        <x:f>IF(COUNT(AK906:AR906)=0,"",AVERAGE(AK906:AR906)*4)</x:f>
      </x:c>
      <x:c r="CG906" s="178" t="str">
        <x:f>IF(COUNT(AS906:AY906)=0,"",AVERAGE(AS906:AY906)*4)</x:f>
      </x:c>
      <x:c r="CH906" s="178" t="str">
        <x:f>IF(COUNT(AZ906:BG906)=0,"",AVERAGE(AZ906:BG906)*4)</x:f>
      </x:c>
      <x:c r="CI906" s="178" t="str">
        <x:f>IF(COUNT(BH906:BN906)=0,"",AVERAGE(BH906:BN906)*4)</x:f>
      </x:c>
      <x:c r="CJ906" s="178" t="str">
        <x:f>IF(COUNT(BO906:BU906)=0,"",AVERAGE(BO906:BU906)*4)</x:f>
      </x:c>
      <x:c r="CK906" s="178" t="str">
        <x:f>IF(COUNT(BV906:CB906)=0,"",AVERAGE(BV906:CB906)*4)</x:f>
      </x:c>
      <x:c r="CL906" s="178" t="str">
        <x:f>IF(C906="","",IF(COUNT(G906:CB906)&lt;74,"",(CC906*'تنظیمات وزن‌دهی'!$C$5+CD906*'تنظیمات وزن‌دهی'!$C$6+CE906*'تنظیمات وزن‌دهی'!$C$7+CF906*'تنظیمات وزن‌دهی'!$C$8+CG906*'تنظیمات وزن‌دهی'!$C$9+CH906*'تنظیمات وزن‌دهی'!$C$10+CI906*'تنظیمات وزن‌دهی'!$C$11+CJ906*'تنظیمات وزن‌دهی'!$C$12+CK906*'تنظیمات وزن‌دهی'!$C$13)/100))</x:f>
      </x:c>
      <x:c r="CM906" s="178" t="str">
        <x:f>IF(C906="","",IF(COUNT(G906:CB906)=0,"",IF(COUNT(G906:CB906)&lt;74,"موقت - اطلاعات ناقص",IF(CL906&gt;=17,"عالی",IF(CL906&gt;=14,"خوب",IF(CL906&gt;=10,"متوسط","ضعیف"))))))</x:f>
      </x:c>
      <x:c r="CN906" s="178" t="n">
        <x:v>2</x:v>
      </x:c>
      <x:c r="CO906" s="142" t="n">
        <x:f>IF(C906="","",COUNT(G906:CB906)/74)</x:f>
        <x:v>0</x:v>
      </x:c>
      <x:c r="CP906" s="245"/>
    </x:row>
    <x:row r="907">
      <x:c r="A907" s="165" t="n">
        <x:v>903</x:v>
      </x:c>
      <x:c r="B907" s="233" t="str">
        <x:v>شهریور</x:v>
      </x:c>
      <x:c r="C907" s="233" t="n">
        <x:f>IF('دانش‌آموزان'!E80="","",'دانش‌آموزان'!B80)</x:f>
        <x:v>76</x:v>
      </x:c>
      <x:c r="D907" s="233" t="str">
        <x:f>IF('دانش‌آموزان'!C80="","",'دانش‌آموزان'!C80)</x:f>
        <x:v>4000000764</x:v>
      </x:c>
      <x:c r="E907" s="233" t="str">
        <x:f>IF('دانش‌آموزان'!E80="","",'دانش‌آموزان'!E80&amp;" "&amp;'دانش‌آموزان'!F80)</x:f>
        <x:v>نازنین مرادی</x:v>
      </x:c>
      <x:c r="F907" s="166" t="str">
        <x:f>IF('دانش‌آموزان'!I80="","",'دانش‌آموزان'!I80)</x:f>
        <x:v>sample-7-d</x:v>
      </x:c>
      <x:c r="G907" s="114"/>
      <x:c r="H907" s="115"/>
      <x:c r="I907" s="115"/>
      <x:c r="J907" s="115"/>
      <x:c r="K907" s="115"/>
      <x:c r="L907" s="115"/>
      <x:c r="M907" s="115"/>
      <x:c r="N907" s="115"/>
      <x:c r="O907" s="115"/>
      <x:c r="P907" s="115"/>
      <x:c r="Q907" s="115"/>
      <x:c r="R907" s="115"/>
      <x:c r="S907" s="115"/>
      <x:c r="T907" s="115"/>
      <x:c r="U907" s="115"/>
      <x:c r="V907" s="115"/>
      <x:c r="W907" s="115"/>
      <x:c r="X907" s="115"/>
      <x:c r="Y907" s="115"/>
      <x:c r="Z907" s="115"/>
      <x:c r="AA907" s="115"/>
      <x:c r="AB907" s="115"/>
      <x:c r="AC907" s="115"/>
      <x:c r="AD907" s="115"/>
      <x:c r="AE907" s="115"/>
      <x:c r="AF907" s="115"/>
      <x:c r="AG907" s="115"/>
      <x:c r="AH907" s="115"/>
      <x:c r="AI907" s="115"/>
      <x:c r="AJ907" s="115"/>
      <x:c r="AK907" s="115"/>
      <x:c r="AL907" s="115"/>
      <x:c r="AM907" s="115"/>
      <x:c r="AN907" s="115"/>
      <x:c r="AO907" s="115"/>
      <x:c r="AP907" s="115"/>
      <x:c r="AQ907" s="115"/>
      <x:c r="AR907" s="115"/>
      <x:c r="AS907" s="115"/>
      <x:c r="AT907" s="115"/>
      <x:c r="AU907" s="115"/>
      <x:c r="AV907" s="115"/>
      <x:c r="AW907" s="115"/>
      <x:c r="AX907" s="115"/>
      <x:c r="AY907" s="115"/>
      <x:c r="AZ907" s="115"/>
      <x:c r="BA907" s="115"/>
      <x:c r="BB907" s="115"/>
      <x:c r="BC907" s="115"/>
      <x:c r="BD907" s="115"/>
      <x:c r="BE907" s="115"/>
      <x:c r="BF907" s="115"/>
      <x:c r="BG907" s="115"/>
      <x:c r="BH907" s="115"/>
      <x:c r="BI907" s="115"/>
      <x:c r="BJ907" s="115"/>
      <x:c r="BK907" s="115"/>
      <x:c r="BL907" s="115"/>
      <x:c r="BM907" s="115"/>
      <x:c r="BN907" s="115"/>
      <x:c r="BO907" s="115"/>
      <x:c r="BP907" s="115"/>
      <x:c r="BQ907" s="115"/>
      <x:c r="BR907" s="115"/>
      <x:c r="BS907" s="115"/>
      <x:c r="BT907" s="115"/>
      <x:c r="BU907" s="115"/>
      <x:c r="BV907" s="115"/>
      <x:c r="BW907" s="115"/>
      <x:c r="BX907" s="115"/>
      <x:c r="BY907" s="115"/>
      <x:c r="BZ907" s="115"/>
      <x:c r="CA907" s="115"/>
      <x:c r="CB907" s="116"/>
      <x:c r="CC907" s="141" t="str">
        <x:f>IF(COUNT(G907:P907)=0,"",AVERAGE(G907:P907)*4)</x:f>
      </x:c>
      <x:c r="CD907" s="178" t="str">
        <x:f>IF(COUNT(Q907:Z907)=0,"",AVERAGE(Q907:Z907)*4)</x:f>
      </x:c>
      <x:c r="CE907" s="178" t="str">
        <x:f>IF(COUNT(AA907:AJ907)=0,"",AVERAGE(AA907:AJ907)*4)</x:f>
      </x:c>
      <x:c r="CF907" s="178" t="str">
        <x:f>IF(COUNT(AK907:AR907)=0,"",AVERAGE(AK907:AR907)*4)</x:f>
      </x:c>
      <x:c r="CG907" s="178" t="str">
        <x:f>IF(COUNT(AS907:AY907)=0,"",AVERAGE(AS907:AY907)*4)</x:f>
      </x:c>
      <x:c r="CH907" s="178" t="str">
        <x:f>IF(COUNT(AZ907:BG907)=0,"",AVERAGE(AZ907:BG907)*4)</x:f>
      </x:c>
      <x:c r="CI907" s="178" t="str">
        <x:f>IF(COUNT(BH907:BN907)=0,"",AVERAGE(BH907:BN907)*4)</x:f>
      </x:c>
      <x:c r="CJ907" s="178" t="str">
        <x:f>IF(COUNT(BO907:BU907)=0,"",AVERAGE(BO907:BU907)*4)</x:f>
      </x:c>
      <x:c r="CK907" s="178" t="str">
        <x:f>IF(COUNT(BV907:CB907)=0,"",AVERAGE(BV907:CB907)*4)</x:f>
      </x:c>
      <x:c r="CL907" s="178" t="str">
        <x:f>IF(C907="","",IF(COUNT(G907:CB907)&lt;74,"",(CC907*'تنظیمات وزن‌دهی'!$C$5+CD907*'تنظیمات وزن‌دهی'!$C$6+CE907*'تنظیمات وزن‌دهی'!$C$7+CF907*'تنظیمات وزن‌دهی'!$C$8+CG907*'تنظیمات وزن‌دهی'!$C$9+CH907*'تنظیمات وزن‌دهی'!$C$10+CI907*'تنظیمات وزن‌دهی'!$C$11+CJ907*'تنظیمات وزن‌دهی'!$C$12+CK907*'تنظیمات وزن‌دهی'!$C$13)/100))</x:f>
      </x:c>
      <x:c r="CM907" s="178" t="str">
        <x:f>IF(C907="","",IF(COUNT(G907:CB907)=0,"",IF(COUNT(G907:CB907)&lt;74,"موقت - اطلاعات ناقص",IF(CL907&gt;=17,"عالی",IF(CL907&gt;=14,"خوب",IF(CL907&gt;=10,"متوسط","ضعیف"))))))</x:f>
      </x:c>
      <x:c r="CN907" s="178" t="n">
        <x:v>3</x:v>
      </x:c>
      <x:c r="CO907" s="142" t="n">
        <x:f>IF(C907="","",COUNT(G907:CB907)/74)</x:f>
        <x:v>0</x:v>
      </x:c>
      <x:c r="CP907" s="245"/>
    </x:row>
    <x:row r="908">
      <x:c r="A908" s="165" t="n">
        <x:v>904</x:v>
      </x:c>
      <x:c r="B908" s="233" t="str">
        <x:v>مهر</x:v>
      </x:c>
      <x:c r="C908" s="233" t="n">
        <x:f>IF('دانش‌آموزان'!E80="","",'دانش‌آموزان'!B80)</x:f>
        <x:v>76</x:v>
      </x:c>
      <x:c r="D908" s="233" t="str">
        <x:f>IF('دانش‌آموزان'!C80="","",'دانش‌آموزان'!C80)</x:f>
        <x:v>4000000764</x:v>
      </x:c>
      <x:c r="E908" s="233" t="str">
        <x:f>IF('دانش‌آموزان'!E80="","",'دانش‌آموزان'!E80&amp;" "&amp;'دانش‌آموزان'!F80)</x:f>
        <x:v>نازنین مرادی</x:v>
      </x:c>
      <x:c r="F908" s="166" t="str">
        <x:f>IF('دانش‌آموزان'!I80="","",'دانش‌آموزان'!I80)</x:f>
        <x:v>sample-7-d</x:v>
      </x:c>
      <x:c r="G908" s="114"/>
      <x:c r="H908" s="115"/>
      <x:c r="I908" s="115"/>
      <x:c r="J908" s="115"/>
      <x:c r="K908" s="115"/>
      <x:c r="L908" s="115"/>
      <x:c r="M908" s="115"/>
      <x:c r="N908" s="115"/>
      <x:c r="O908" s="115"/>
      <x:c r="P908" s="115"/>
      <x:c r="Q908" s="115"/>
      <x:c r="R908" s="115"/>
      <x:c r="S908" s="115"/>
      <x:c r="T908" s="115"/>
      <x:c r="U908" s="115"/>
      <x:c r="V908" s="115"/>
      <x:c r="W908" s="115"/>
      <x:c r="X908" s="115"/>
      <x:c r="Y908" s="115"/>
      <x:c r="Z908" s="115"/>
      <x:c r="AA908" s="115"/>
      <x:c r="AB908" s="115"/>
      <x:c r="AC908" s="115"/>
      <x:c r="AD908" s="115"/>
      <x:c r="AE908" s="115"/>
      <x:c r="AF908" s="115"/>
      <x:c r="AG908" s="115"/>
      <x:c r="AH908" s="115"/>
      <x:c r="AI908" s="115"/>
      <x:c r="AJ908" s="115"/>
      <x:c r="AK908" s="115"/>
      <x:c r="AL908" s="115"/>
      <x:c r="AM908" s="115"/>
      <x:c r="AN908" s="115"/>
      <x:c r="AO908" s="115"/>
      <x:c r="AP908" s="115"/>
      <x:c r="AQ908" s="115"/>
      <x:c r="AR908" s="115"/>
      <x:c r="AS908" s="115"/>
      <x:c r="AT908" s="115"/>
      <x:c r="AU908" s="115"/>
      <x:c r="AV908" s="115"/>
      <x:c r="AW908" s="115"/>
      <x:c r="AX908" s="115"/>
      <x:c r="AY908" s="115"/>
      <x:c r="AZ908" s="115"/>
      <x:c r="BA908" s="115"/>
      <x:c r="BB908" s="115"/>
      <x:c r="BC908" s="115"/>
      <x:c r="BD908" s="115"/>
      <x:c r="BE908" s="115"/>
      <x:c r="BF908" s="115"/>
      <x:c r="BG908" s="115"/>
      <x:c r="BH908" s="115"/>
      <x:c r="BI908" s="115"/>
      <x:c r="BJ908" s="115"/>
      <x:c r="BK908" s="115"/>
      <x:c r="BL908" s="115"/>
      <x:c r="BM908" s="115"/>
      <x:c r="BN908" s="115"/>
      <x:c r="BO908" s="115"/>
      <x:c r="BP908" s="115"/>
      <x:c r="BQ908" s="115"/>
      <x:c r="BR908" s="115"/>
      <x:c r="BS908" s="115"/>
      <x:c r="BT908" s="115"/>
      <x:c r="BU908" s="115"/>
      <x:c r="BV908" s="115"/>
      <x:c r="BW908" s="115"/>
      <x:c r="BX908" s="115"/>
      <x:c r="BY908" s="115"/>
      <x:c r="BZ908" s="115"/>
      <x:c r="CA908" s="115"/>
      <x:c r="CB908" s="116"/>
      <x:c r="CC908" s="141" t="str">
        <x:f>IF(COUNT(G908:P908)=0,"",AVERAGE(G908:P908)*4)</x:f>
      </x:c>
      <x:c r="CD908" s="178" t="str">
        <x:f>IF(COUNT(Q908:Z908)=0,"",AVERAGE(Q908:Z908)*4)</x:f>
      </x:c>
      <x:c r="CE908" s="178" t="str">
        <x:f>IF(COUNT(AA908:AJ908)=0,"",AVERAGE(AA908:AJ908)*4)</x:f>
      </x:c>
      <x:c r="CF908" s="178" t="str">
        <x:f>IF(COUNT(AK908:AR908)=0,"",AVERAGE(AK908:AR908)*4)</x:f>
      </x:c>
      <x:c r="CG908" s="178" t="str">
        <x:f>IF(COUNT(AS908:AY908)=0,"",AVERAGE(AS908:AY908)*4)</x:f>
      </x:c>
      <x:c r="CH908" s="178" t="str">
        <x:f>IF(COUNT(AZ908:BG908)=0,"",AVERAGE(AZ908:BG908)*4)</x:f>
      </x:c>
      <x:c r="CI908" s="178" t="str">
        <x:f>IF(COUNT(BH908:BN908)=0,"",AVERAGE(BH908:BN908)*4)</x:f>
      </x:c>
      <x:c r="CJ908" s="178" t="str">
        <x:f>IF(COUNT(BO908:BU908)=0,"",AVERAGE(BO908:BU908)*4)</x:f>
      </x:c>
      <x:c r="CK908" s="178" t="str">
        <x:f>IF(COUNT(BV908:CB908)=0,"",AVERAGE(BV908:CB908)*4)</x:f>
      </x:c>
      <x:c r="CL908" s="178" t="str">
        <x:f>IF(C908="","",IF(COUNT(G908:CB908)&lt;74,"",(CC908*'تنظیمات وزن‌دهی'!$C$5+CD908*'تنظیمات وزن‌دهی'!$C$6+CE908*'تنظیمات وزن‌دهی'!$C$7+CF908*'تنظیمات وزن‌دهی'!$C$8+CG908*'تنظیمات وزن‌دهی'!$C$9+CH908*'تنظیمات وزن‌دهی'!$C$10+CI908*'تنظیمات وزن‌دهی'!$C$11+CJ908*'تنظیمات وزن‌دهی'!$C$12+CK908*'تنظیمات وزن‌دهی'!$C$13)/100))</x:f>
      </x:c>
      <x:c r="CM908" s="178" t="str">
        <x:f>IF(C908="","",IF(COUNT(G908:CB908)=0,"",IF(COUNT(G908:CB908)&lt;74,"موقت - اطلاعات ناقص",IF(CL908&gt;=17,"عالی",IF(CL908&gt;=14,"خوب",IF(CL908&gt;=10,"متوسط","ضعیف"))))))</x:f>
      </x:c>
      <x:c r="CN908" s="178" t="n">
        <x:v>4</x:v>
      </x:c>
      <x:c r="CO908" s="142" t="n">
        <x:f>IF(C908="","",COUNT(G908:CB908)/74)</x:f>
        <x:v>0</x:v>
      </x:c>
      <x:c r="CP908" s="245"/>
    </x:row>
    <x:row r="909">
      <x:c r="A909" s="165" t="n">
        <x:v>905</x:v>
      </x:c>
      <x:c r="B909" s="233" t="str">
        <x:v>آبان</x:v>
      </x:c>
      <x:c r="C909" s="233" t="n">
        <x:f>IF('دانش‌آموزان'!E80="","",'دانش‌آموزان'!B80)</x:f>
        <x:v>76</x:v>
      </x:c>
      <x:c r="D909" s="233" t="str">
        <x:f>IF('دانش‌آموزان'!C80="","",'دانش‌آموزان'!C80)</x:f>
        <x:v>4000000764</x:v>
      </x:c>
      <x:c r="E909" s="233" t="str">
        <x:f>IF('دانش‌آموزان'!E80="","",'دانش‌آموزان'!E80&amp;" "&amp;'دانش‌آموزان'!F80)</x:f>
        <x:v>نازنین مرادی</x:v>
      </x:c>
      <x:c r="F909" s="166" t="str">
        <x:f>IF('دانش‌آموزان'!I80="","",'دانش‌آموزان'!I80)</x:f>
        <x:v>sample-7-d</x:v>
      </x:c>
      <x:c r="G909" s="114"/>
      <x:c r="H909" s="115"/>
      <x:c r="I909" s="115"/>
      <x:c r="J909" s="115"/>
      <x:c r="K909" s="115"/>
      <x:c r="L909" s="115"/>
      <x:c r="M909" s="115"/>
      <x:c r="N909" s="115"/>
      <x:c r="O909" s="115"/>
      <x:c r="P909" s="115"/>
      <x:c r="Q909" s="115"/>
      <x:c r="R909" s="115"/>
      <x:c r="S909" s="115"/>
      <x:c r="T909" s="115"/>
      <x:c r="U909" s="115"/>
      <x:c r="V909" s="115"/>
      <x:c r="W909" s="115"/>
      <x:c r="X909" s="115"/>
      <x:c r="Y909" s="115"/>
      <x:c r="Z909" s="115"/>
      <x:c r="AA909" s="115"/>
      <x:c r="AB909" s="115"/>
      <x:c r="AC909" s="115"/>
      <x:c r="AD909" s="115"/>
      <x:c r="AE909" s="115"/>
      <x:c r="AF909" s="115"/>
      <x:c r="AG909" s="115"/>
      <x:c r="AH909" s="115"/>
      <x:c r="AI909" s="115"/>
      <x:c r="AJ909" s="115"/>
      <x:c r="AK909" s="115"/>
      <x:c r="AL909" s="115"/>
      <x:c r="AM909" s="115"/>
      <x:c r="AN909" s="115"/>
      <x:c r="AO909" s="115"/>
      <x:c r="AP909" s="115"/>
      <x:c r="AQ909" s="115"/>
      <x:c r="AR909" s="115"/>
      <x:c r="AS909" s="115"/>
      <x:c r="AT909" s="115"/>
      <x:c r="AU909" s="115"/>
      <x:c r="AV909" s="115"/>
      <x:c r="AW909" s="115"/>
      <x:c r="AX909" s="115"/>
      <x:c r="AY909" s="115"/>
      <x:c r="AZ909" s="115"/>
      <x:c r="BA909" s="115"/>
      <x:c r="BB909" s="115"/>
      <x:c r="BC909" s="115"/>
      <x:c r="BD909" s="115"/>
      <x:c r="BE909" s="115"/>
      <x:c r="BF909" s="115"/>
      <x:c r="BG909" s="115"/>
      <x:c r="BH909" s="115"/>
      <x:c r="BI909" s="115"/>
      <x:c r="BJ909" s="115"/>
      <x:c r="BK909" s="115"/>
      <x:c r="BL909" s="115"/>
      <x:c r="BM909" s="115"/>
      <x:c r="BN909" s="115"/>
      <x:c r="BO909" s="115"/>
      <x:c r="BP909" s="115"/>
      <x:c r="BQ909" s="115"/>
      <x:c r="BR909" s="115"/>
      <x:c r="BS909" s="115"/>
      <x:c r="BT909" s="115"/>
      <x:c r="BU909" s="115"/>
      <x:c r="BV909" s="115"/>
      <x:c r="BW909" s="115"/>
      <x:c r="BX909" s="115"/>
      <x:c r="BY909" s="115"/>
      <x:c r="BZ909" s="115"/>
      <x:c r="CA909" s="115"/>
      <x:c r="CB909" s="116"/>
      <x:c r="CC909" s="141" t="str">
        <x:f>IF(COUNT(G909:P909)=0,"",AVERAGE(G909:P909)*4)</x:f>
      </x:c>
      <x:c r="CD909" s="178" t="str">
        <x:f>IF(COUNT(Q909:Z909)=0,"",AVERAGE(Q909:Z909)*4)</x:f>
      </x:c>
      <x:c r="CE909" s="178" t="str">
        <x:f>IF(COUNT(AA909:AJ909)=0,"",AVERAGE(AA909:AJ909)*4)</x:f>
      </x:c>
      <x:c r="CF909" s="178" t="str">
        <x:f>IF(COUNT(AK909:AR909)=0,"",AVERAGE(AK909:AR909)*4)</x:f>
      </x:c>
      <x:c r="CG909" s="178" t="str">
        <x:f>IF(COUNT(AS909:AY909)=0,"",AVERAGE(AS909:AY909)*4)</x:f>
      </x:c>
      <x:c r="CH909" s="178" t="str">
        <x:f>IF(COUNT(AZ909:BG909)=0,"",AVERAGE(AZ909:BG909)*4)</x:f>
      </x:c>
      <x:c r="CI909" s="178" t="str">
        <x:f>IF(COUNT(BH909:BN909)=0,"",AVERAGE(BH909:BN909)*4)</x:f>
      </x:c>
      <x:c r="CJ909" s="178" t="str">
        <x:f>IF(COUNT(BO909:BU909)=0,"",AVERAGE(BO909:BU909)*4)</x:f>
      </x:c>
      <x:c r="CK909" s="178" t="str">
        <x:f>IF(COUNT(BV909:CB909)=0,"",AVERAGE(BV909:CB909)*4)</x:f>
      </x:c>
      <x:c r="CL909" s="178" t="str">
        <x:f>IF(C909="","",IF(COUNT(G909:CB909)&lt;74,"",(CC909*'تنظیمات وزن‌دهی'!$C$5+CD909*'تنظیمات وزن‌دهی'!$C$6+CE909*'تنظیمات وزن‌دهی'!$C$7+CF909*'تنظیمات وزن‌دهی'!$C$8+CG909*'تنظیمات وزن‌دهی'!$C$9+CH909*'تنظیمات وزن‌دهی'!$C$10+CI909*'تنظیمات وزن‌دهی'!$C$11+CJ909*'تنظیمات وزن‌دهی'!$C$12+CK909*'تنظیمات وزن‌دهی'!$C$13)/100))</x:f>
      </x:c>
      <x:c r="CM909" s="178" t="str">
        <x:f>IF(C909="","",IF(COUNT(G909:CB909)=0,"",IF(COUNT(G909:CB909)&lt;74,"موقت - اطلاعات ناقص",IF(CL909&gt;=17,"عالی",IF(CL909&gt;=14,"خوب",IF(CL909&gt;=10,"متوسط","ضعیف"))))))</x:f>
      </x:c>
      <x:c r="CN909" s="178" t="n">
        <x:v>5</x:v>
      </x:c>
      <x:c r="CO909" s="142" t="n">
        <x:f>IF(C909="","",COUNT(G909:CB909)/74)</x:f>
        <x:v>0</x:v>
      </x:c>
      <x:c r="CP909" s="245"/>
    </x:row>
    <x:row r="910">
      <x:c r="A910" s="165" t="n">
        <x:v>906</x:v>
      </x:c>
      <x:c r="B910" s="233" t="str">
        <x:v>آذر</x:v>
      </x:c>
      <x:c r="C910" s="233" t="n">
        <x:f>IF('دانش‌آموزان'!E80="","",'دانش‌آموزان'!B80)</x:f>
        <x:v>76</x:v>
      </x:c>
      <x:c r="D910" s="233" t="str">
        <x:f>IF('دانش‌آموزان'!C80="","",'دانش‌آموزان'!C80)</x:f>
        <x:v>4000000764</x:v>
      </x:c>
      <x:c r="E910" s="233" t="str">
        <x:f>IF('دانش‌آموزان'!E80="","",'دانش‌آموزان'!E80&amp;" "&amp;'دانش‌آموزان'!F80)</x:f>
        <x:v>نازنین مرادی</x:v>
      </x:c>
      <x:c r="F910" s="166" t="str">
        <x:f>IF('دانش‌آموزان'!I80="","",'دانش‌آموزان'!I80)</x:f>
        <x:v>sample-7-d</x:v>
      </x:c>
      <x:c r="G910" s="114"/>
      <x:c r="H910" s="115"/>
      <x:c r="I910" s="115"/>
      <x:c r="J910" s="115"/>
      <x:c r="K910" s="115"/>
      <x:c r="L910" s="115"/>
      <x:c r="M910" s="115"/>
      <x:c r="N910" s="115"/>
      <x:c r="O910" s="115"/>
      <x:c r="P910" s="115"/>
      <x:c r="Q910" s="115"/>
      <x:c r="R910" s="115"/>
      <x:c r="S910" s="115"/>
      <x:c r="T910" s="115"/>
      <x:c r="U910" s="115"/>
      <x:c r="V910" s="115"/>
      <x:c r="W910" s="115"/>
      <x:c r="X910" s="115"/>
      <x:c r="Y910" s="115"/>
      <x:c r="Z910" s="115"/>
      <x:c r="AA910" s="115"/>
      <x:c r="AB910" s="115"/>
      <x:c r="AC910" s="115"/>
      <x:c r="AD910" s="115"/>
      <x:c r="AE910" s="115"/>
      <x:c r="AF910" s="115"/>
      <x:c r="AG910" s="115"/>
      <x:c r="AH910" s="115"/>
      <x:c r="AI910" s="115"/>
      <x:c r="AJ910" s="115"/>
      <x:c r="AK910" s="115"/>
      <x:c r="AL910" s="115"/>
      <x:c r="AM910" s="115"/>
      <x:c r="AN910" s="115"/>
      <x:c r="AO910" s="115"/>
      <x:c r="AP910" s="115"/>
      <x:c r="AQ910" s="115"/>
      <x:c r="AR910" s="115"/>
      <x:c r="AS910" s="115"/>
      <x:c r="AT910" s="115"/>
      <x:c r="AU910" s="115"/>
      <x:c r="AV910" s="115"/>
      <x:c r="AW910" s="115"/>
      <x:c r="AX910" s="115"/>
      <x:c r="AY910" s="115"/>
      <x:c r="AZ910" s="115"/>
      <x:c r="BA910" s="115"/>
      <x:c r="BB910" s="115"/>
      <x:c r="BC910" s="115"/>
      <x:c r="BD910" s="115"/>
      <x:c r="BE910" s="115"/>
      <x:c r="BF910" s="115"/>
      <x:c r="BG910" s="115"/>
      <x:c r="BH910" s="115"/>
      <x:c r="BI910" s="115"/>
      <x:c r="BJ910" s="115"/>
      <x:c r="BK910" s="115"/>
      <x:c r="BL910" s="115"/>
      <x:c r="BM910" s="115"/>
      <x:c r="BN910" s="115"/>
      <x:c r="BO910" s="115"/>
      <x:c r="BP910" s="115"/>
      <x:c r="BQ910" s="115"/>
      <x:c r="BR910" s="115"/>
      <x:c r="BS910" s="115"/>
      <x:c r="BT910" s="115"/>
      <x:c r="BU910" s="115"/>
      <x:c r="BV910" s="115"/>
      <x:c r="BW910" s="115"/>
      <x:c r="BX910" s="115"/>
      <x:c r="BY910" s="115"/>
      <x:c r="BZ910" s="115"/>
      <x:c r="CA910" s="115"/>
      <x:c r="CB910" s="116"/>
      <x:c r="CC910" s="141" t="str">
        <x:f>IF(COUNT(G910:P910)=0,"",AVERAGE(G910:P910)*4)</x:f>
      </x:c>
      <x:c r="CD910" s="178" t="str">
        <x:f>IF(COUNT(Q910:Z910)=0,"",AVERAGE(Q910:Z910)*4)</x:f>
      </x:c>
      <x:c r="CE910" s="178" t="str">
        <x:f>IF(COUNT(AA910:AJ910)=0,"",AVERAGE(AA910:AJ910)*4)</x:f>
      </x:c>
      <x:c r="CF910" s="178" t="str">
        <x:f>IF(COUNT(AK910:AR910)=0,"",AVERAGE(AK910:AR910)*4)</x:f>
      </x:c>
      <x:c r="CG910" s="178" t="str">
        <x:f>IF(COUNT(AS910:AY910)=0,"",AVERAGE(AS910:AY910)*4)</x:f>
      </x:c>
      <x:c r="CH910" s="178" t="str">
        <x:f>IF(COUNT(AZ910:BG910)=0,"",AVERAGE(AZ910:BG910)*4)</x:f>
      </x:c>
      <x:c r="CI910" s="178" t="str">
        <x:f>IF(COUNT(BH910:BN910)=0,"",AVERAGE(BH910:BN910)*4)</x:f>
      </x:c>
      <x:c r="CJ910" s="178" t="str">
        <x:f>IF(COUNT(BO910:BU910)=0,"",AVERAGE(BO910:BU910)*4)</x:f>
      </x:c>
      <x:c r="CK910" s="178" t="str">
        <x:f>IF(COUNT(BV910:CB910)=0,"",AVERAGE(BV910:CB910)*4)</x:f>
      </x:c>
      <x:c r="CL910" s="178" t="str">
        <x:f>IF(C910="","",IF(COUNT(G910:CB910)&lt;74,"",(CC910*'تنظیمات وزن‌دهی'!$C$5+CD910*'تنظیمات وزن‌دهی'!$C$6+CE910*'تنظیمات وزن‌دهی'!$C$7+CF910*'تنظیمات وزن‌دهی'!$C$8+CG910*'تنظیمات وزن‌دهی'!$C$9+CH910*'تنظیمات وزن‌دهی'!$C$10+CI910*'تنظیمات وزن‌دهی'!$C$11+CJ910*'تنظیمات وزن‌دهی'!$C$12+CK910*'تنظیمات وزن‌دهی'!$C$13)/100))</x:f>
      </x:c>
      <x:c r="CM910" s="178" t="str">
        <x:f>IF(C910="","",IF(COUNT(G910:CB910)=0,"",IF(COUNT(G910:CB910)&lt;74,"موقت - اطلاعات ناقص",IF(CL910&gt;=17,"عالی",IF(CL910&gt;=14,"خوب",IF(CL910&gt;=10,"متوسط","ضعیف"))))))</x:f>
      </x:c>
      <x:c r="CN910" s="178" t="n">
        <x:v>6</x:v>
      </x:c>
      <x:c r="CO910" s="142" t="n">
        <x:f>IF(C910="","",COUNT(G910:CB910)/74)</x:f>
        <x:v>0</x:v>
      </x:c>
      <x:c r="CP910" s="245"/>
    </x:row>
    <x:row r="911">
      <x:c r="A911" s="165" t="n">
        <x:v>907</x:v>
      </x:c>
      <x:c r="B911" s="233" t="str">
        <x:v>دی</x:v>
      </x:c>
      <x:c r="C911" s="233" t="n">
        <x:f>IF('دانش‌آموزان'!E80="","",'دانش‌آموزان'!B80)</x:f>
        <x:v>76</x:v>
      </x:c>
      <x:c r="D911" s="233" t="str">
        <x:f>IF('دانش‌آموزان'!C80="","",'دانش‌آموزان'!C80)</x:f>
        <x:v>4000000764</x:v>
      </x:c>
      <x:c r="E911" s="233" t="str">
        <x:f>IF('دانش‌آموزان'!E80="","",'دانش‌آموزان'!E80&amp;" "&amp;'دانش‌آموزان'!F80)</x:f>
        <x:v>نازنین مرادی</x:v>
      </x:c>
      <x:c r="F911" s="166" t="str">
        <x:f>IF('دانش‌آموزان'!I80="","",'دانش‌آموزان'!I80)</x:f>
        <x:v>sample-7-d</x:v>
      </x:c>
      <x:c r="G911" s="114"/>
      <x:c r="H911" s="115"/>
      <x:c r="I911" s="115"/>
      <x:c r="J911" s="115"/>
      <x:c r="K911" s="115"/>
      <x:c r="L911" s="115"/>
      <x:c r="M911" s="115"/>
      <x:c r="N911" s="115"/>
      <x:c r="O911" s="115"/>
      <x:c r="P911" s="115"/>
      <x:c r="Q911" s="115"/>
      <x:c r="R911" s="115"/>
      <x:c r="S911" s="115"/>
      <x:c r="T911" s="115"/>
      <x:c r="U911" s="115"/>
      <x:c r="V911" s="115"/>
      <x:c r="W911" s="115"/>
      <x:c r="X911" s="115"/>
      <x:c r="Y911" s="115"/>
      <x:c r="Z911" s="115"/>
      <x:c r="AA911" s="115"/>
      <x:c r="AB911" s="115"/>
      <x:c r="AC911" s="115"/>
      <x:c r="AD911" s="115"/>
      <x:c r="AE911" s="115"/>
      <x:c r="AF911" s="115"/>
      <x:c r="AG911" s="115"/>
      <x:c r="AH911" s="115"/>
      <x:c r="AI911" s="115"/>
      <x:c r="AJ911" s="115"/>
      <x:c r="AK911" s="115"/>
      <x:c r="AL911" s="115"/>
      <x:c r="AM911" s="115"/>
      <x:c r="AN911" s="115"/>
      <x:c r="AO911" s="115"/>
      <x:c r="AP911" s="115"/>
      <x:c r="AQ911" s="115"/>
      <x:c r="AR911" s="115"/>
      <x:c r="AS911" s="115"/>
      <x:c r="AT911" s="115"/>
      <x:c r="AU911" s="115"/>
      <x:c r="AV911" s="115"/>
      <x:c r="AW911" s="115"/>
      <x:c r="AX911" s="115"/>
      <x:c r="AY911" s="115"/>
      <x:c r="AZ911" s="115"/>
      <x:c r="BA911" s="115"/>
      <x:c r="BB911" s="115"/>
      <x:c r="BC911" s="115"/>
      <x:c r="BD911" s="115"/>
      <x:c r="BE911" s="115"/>
      <x:c r="BF911" s="115"/>
      <x:c r="BG911" s="115"/>
      <x:c r="BH911" s="115"/>
      <x:c r="BI911" s="115"/>
      <x:c r="BJ911" s="115"/>
      <x:c r="BK911" s="115"/>
      <x:c r="BL911" s="115"/>
      <x:c r="BM911" s="115"/>
      <x:c r="BN911" s="115"/>
      <x:c r="BO911" s="115"/>
      <x:c r="BP911" s="115"/>
      <x:c r="BQ911" s="115"/>
      <x:c r="BR911" s="115"/>
      <x:c r="BS911" s="115"/>
      <x:c r="BT911" s="115"/>
      <x:c r="BU911" s="115"/>
      <x:c r="BV911" s="115"/>
      <x:c r="BW911" s="115"/>
      <x:c r="BX911" s="115"/>
      <x:c r="BY911" s="115"/>
      <x:c r="BZ911" s="115"/>
      <x:c r="CA911" s="115"/>
      <x:c r="CB911" s="116"/>
      <x:c r="CC911" s="141" t="str">
        <x:f>IF(COUNT(G911:P911)=0,"",AVERAGE(G911:P911)*4)</x:f>
      </x:c>
      <x:c r="CD911" s="178" t="str">
        <x:f>IF(COUNT(Q911:Z911)=0,"",AVERAGE(Q911:Z911)*4)</x:f>
      </x:c>
      <x:c r="CE911" s="178" t="str">
        <x:f>IF(COUNT(AA911:AJ911)=0,"",AVERAGE(AA911:AJ911)*4)</x:f>
      </x:c>
      <x:c r="CF911" s="178" t="str">
        <x:f>IF(COUNT(AK911:AR911)=0,"",AVERAGE(AK911:AR911)*4)</x:f>
      </x:c>
      <x:c r="CG911" s="178" t="str">
        <x:f>IF(COUNT(AS911:AY911)=0,"",AVERAGE(AS911:AY911)*4)</x:f>
      </x:c>
      <x:c r="CH911" s="178" t="str">
        <x:f>IF(COUNT(AZ911:BG911)=0,"",AVERAGE(AZ911:BG911)*4)</x:f>
      </x:c>
      <x:c r="CI911" s="178" t="str">
        <x:f>IF(COUNT(BH911:BN911)=0,"",AVERAGE(BH911:BN911)*4)</x:f>
      </x:c>
      <x:c r="CJ911" s="178" t="str">
        <x:f>IF(COUNT(BO911:BU911)=0,"",AVERAGE(BO911:BU911)*4)</x:f>
      </x:c>
      <x:c r="CK911" s="178" t="str">
        <x:f>IF(COUNT(BV911:CB911)=0,"",AVERAGE(BV911:CB911)*4)</x:f>
      </x:c>
      <x:c r="CL911" s="178" t="str">
        <x:f>IF(C911="","",IF(COUNT(G911:CB911)&lt;74,"",(CC911*'تنظیمات وزن‌دهی'!$C$5+CD911*'تنظیمات وزن‌دهی'!$C$6+CE911*'تنظیمات وزن‌دهی'!$C$7+CF911*'تنظیمات وزن‌دهی'!$C$8+CG911*'تنظیمات وزن‌دهی'!$C$9+CH911*'تنظیمات وزن‌دهی'!$C$10+CI911*'تنظیمات وزن‌دهی'!$C$11+CJ911*'تنظیمات وزن‌دهی'!$C$12+CK911*'تنظیمات وزن‌دهی'!$C$13)/100))</x:f>
      </x:c>
      <x:c r="CM911" s="178" t="str">
        <x:f>IF(C911="","",IF(COUNT(G911:CB911)=0,"",IF(COUNT(G911:CB911)&lt;74,"موقت - اطلاعات ناقص",IF(CL911&gt;=17,"عالی",IF(CL911&gt;=14,"خوب",IF(CL911&gt;=10,"متوسط","ضعیف"))))))</x:f>
      </x:c>
      <x:c r="CN911" s="178" t="n">
        <x:v>7</x:v>
      </x:c>
      <x:c r="CO911" s="142" t="n">
        <x:f>IF(C911="","",COUNT(G911:CB911)/74)</x:f>
        <x:v>0</x:v>
      </x:c>
      <x:c r="CP911" s="245"/>
    </x:row>
    <x:row r="912">
      <x:c r="A912" s="165" t="n">
        <x:v>908</x:v>
      </x:c>
      <x:c r="B912" s="233" t="str">
        <x:v>بهمن</x:v>
      </x:c>
      <x:c r="C912" s="233" t="n">
        <x:f>IF('دانش‌آموزان'!E80="","",'دانش‌آموزان'!B80)</x:f>
        <x:v>76</x:v>
      </x:c>
      <x:c r="D912" s="233" t="str">
        <x:f>IF('دانش‌آموزان'!C80="","",'دانش‌آموزان'!C80)</x:f>
        <x:v>4000000764</x:v>
      </x:c>
      <x:c r="E912" s="233" t="str">
        <x:f>IF('دانش‌آموزان'!E80="","",'دانش‌آموزان'!E80&amp;" "&amp;'دانش‌آموزان'!F80)</x:f>
        <x:v>نازنین مرادی</x:v>
      </x:c>
      <x:c r="F912" s="166" t="str">
        <x:f>IF('دانش‌آموزان'!I80="","",'دانش‌آموزان'!I80)</x:f>
        <x:v>sample-7-d</x:v>
      </x:c>
      <x:c r="G912" s="114"/>
      <x:c r="H912" s="115"/>
      <x:c r="I912" s="115"/>
      <x:c r="J912" s="115"/>
      <x:c r="K912" s="115"/>
      <x:c r="L912" s="115"/>
      <x:c r="M912" s="115"/>
      <x:c r="N912" s="115"/>
      <x:c r="O912" s="115"/>
      <x:c r="P912" s="115"/>
      <x:c r="Q912" s="115"/>
      <x:c r="R912" s="115"/>
      <x:c r="S912" s="115"/>
      <x:c r="T912" s="115"/>
      <x:c r="U912" s="115"/>
      <x:c r="V912" s="115"/>
      <x:c r="W912" s="115"/>
      <x:c r="X912" s="115"/>
      <x:c r="Y912" s="115"/>
      <x:c r="Z912" s="115"/>
      <x:c r="AA912" s="115"/>
      <x:c r="AB912" s="115"/>
      <x:c r="AC912" s="115"/>
      <x:c r="AD912" s="115"/>
      <x:c r="AE912" s="115"/>
      <x:c r="AF912" s="115"/>
      <x:c r="AG912" s="115"/>
      <x:c r="AH912" s="115"/>
      <x:c r="AI912" s="115"/>
      <x:c r="AJ912" s="115"/>
      <x:c r="AK912" s="115"/>
      <x:c r="AL912" s="115"/>
      <x:c r="AM912" s="115"/>
      <x:c r="AN912" s="115"/>
      <x:c r="AO912" s="115"/>
      <x:c r="AP912" s="115"/>
      <x:c r="AQ912" s="115"/>
      <x:c r="AR912" s="115"/>
      <x:c r="AS912" s="115"/>
      <x:c r="AT912" s="115"/>
      <x:c r="AU912" s="115"/>
      <x:c r="AV912" s="115"/>
      <x:c r="AW912" s="115"/>
      <x:c r="AX912" s="115"/>
      <x:c r="AY912" s="115"/>
      <x:c r="AZ912" s="115"/>
      <x:c r="BA912" s="115"/>
      <x:c r="BB912" s="115"/>
      <x:c r="BC912" s="115"/>
      <x:c r="BD912" s="115"/>
      <x:c r="BE912" s="115"/>
      <x:c r="BF912" s="115"/>
      <x:c r="BG912" s="115"/>
      <x:c r="BH912" s="115"/>
      <x:c r="BI912" s="115"/>
      <x:c r="BJ912" s="115"/>
      <x:c r="BK912" s="115"/>
      <x:c r="BL912" s="115"/>
      <x:c r="BM912" s="115"/>
      <x:c r="BN912" s="115"/>
      <x:c r="BO912" s="115"/>
      <x:c r="BP912" s="115"/>
      <x:c r="BQ912" s="115"/>
      <x:c r="BR912" s="115"/>
      <x:c r="BS912" s="115"/>
      <x:c r="BT912" s="115"/>
      <x:c r="BU912" s="115"/>
      <x:c r="BV912" s="115"/>
      <x:c r="BW912" s="115"/>
      <x:c r="BX912" s="115"/>
      <x:c r="BY912" s="115"/>
      <x:c r="BZ912" s="115"/>
      <x:c r="CA912" s="115"/>
      <x:c r="CB912" s="116"/>
      <x:c r="CC912" s="141" t="str">
        <x:f>IF(COUNT(G912:P912)=0,"",AVERAGE(G912:P912)*4)</x:f>
      </x:c>
      <x:c r="CD912" s="178" t="str">
        <x:f>IF(COUNT(Q912:Z912)=0,"",AVERAGE(Q912:Z912)*4)</x:f>
      </x:c>
      <x:c r="CE912" s="178" t="str">
        <x:f>IF(COUNT(AA912:AJ912)=0,"",AVERAGE(AA912:AJ912)*4)</x:f>
      </x:c>
      <x:c r="CF912" s="178" t="str">
        <x:f>IF(COUNT(AK912:AR912)=0,"",AVERAGE(AK912:AR912)*4)</x:f>
      </x:c>
      <x:c r="CG912" s="178" t="str">
        <x:f>IF(COUNT(AS912:AY912)=0,"",AVERAGE(AS912:AY912)*4)</x:f>
      </x:c>
      <x:c r="CH912" s="178" t="str">
        <x:f>IF(COUNT(AZ912:BG912)=0,"",AVERAGE(AZ912:BG912)*4)</x:f>
      </x:c>
      <x:c r="CI912" s="178" t="str">
        <x:f>IF(COUNT(BH912:BN912)=0,"",AVERAGE(BH912:BN912)*4)</x:f>
      </x:c>
      <x:c r="CJ912" s="178" t="str">
        <x:f>IF(COUNT(BO912:BU912)=0,"",AVERAGE(BO912:BU912)*4)</x:f>
      </x:c>
      <x:c r="CK912" s="178" t="str">
        <x:f>IF(COUNT(BV912:CB912)=0,"",AVERAGE(BV912:CB912)*4)</x:f>
      </x:c>
      <x:c r="CL912" s="178" t="str">
        <x:f>IF(C912="","",IF(COUNT(G912:CB912)&lt;74,"",(CC912*'تنظیمات وزن‌دهی'!$C$5+CD912*'تنظیمات وزن‌دهی'!$C$6+CE912*'تنظیمات وزن‌دهی'!$C$7+CF912*'تنظیمات وزن‌دهی'!$C$8+CG912*'تنظیمات وزن‌دهی'!$C$9+CH912*'تنظیمات وزن‌دهی'!$C$10+CI912*'تنظیمات وزن‌دهی'!$C$11+CJ912*'تنظیمات وزن‌دهی'!$C$12+CK912*'تنظیمات وزن‌دهی'!$C$13)/100))</x:f>
      </x:c>
      <x:c r="CM912" s="178" t="str">
        <x:f>IF(C912="","",IF(COUNT(G912:CB912)=0,"",IF(COUNT(G912:CB912)&lt;74,"موقت - اطلاعات ناقص",IF(CL912&gt;=17,"عالی",IF(CL912&gt;=14,"خوب",IF(CL912&gt;=10,"متوسط","ضعیف"))))))</x:f>
      </x:c>
      <x:c r="CN912" s="178" t="n">
        <x:v>8</x:v>
      </x:c>
      <x:c r="CO912" s="142" t="n">
        <x:f>IF(C912="","",COUNT(G912:CB912)/74)</x:f>
        <x:v>0</x:v>
      </x:c>
      <x:c r="CP912" s="245"/>
    </x:row>
    <x:row r="913">
      <x:c r="A913" s="165" t="n">
        <x:v>909</x:v>
      </x:c>
      <x:c r="B913" s="233" t="str">
        <x:v>اسفند</x:v>
      </x:c>
      <x:c r="C913" s="233" t="n">
        <x:f>IF('دانش‌آموزان'!E80="","",'دانش‌آموزان'!B80)</x:f>
        <x:v>76</x:v>
      </x:c>
      <x:c r="D913" s="233" t="str">
        <x:f>IF('دانش‌آموزان'!C80="","",'دانش‌آموزان'!C80)</x:f>
        <x:v>4000000764</x:v>
      </x:c>
      <x:c r="E913" s="233" t="str">
        <x:f>IF('دانش‌آموزان'!E80="","",'دانش‌آموزان'!E80&amp;" "&amp;'دانش‌آموزان'!F80)</x:f>
        <x:v>نازنین مرادی</x:v>
      </x:c>
      <x:c r="F913" s="166" t="str">
        <x:f>IF('دانش‌آموزان'!I80="","",'دانش‌آموزان'!I80)</x:f>
        <x:v>sample-7-d</x:v>
      </x:c>
      <x:c r="G913" s="114"/>
      <x:c r="H913" s="115"/>
      <x:c r="I913" s="115"/>
      <x:c r="J913" s="115"/>
      <x:c r="K913" s="115"/>
      <x:c r="L913" s="115"/>
      <x:c r="M913" s="115"/>
      <x:c r="N913" s="115"/>
      <x:c r="O913" s="115"/>
      <x:c r="P913" s="115"/>
      <x:c r="Q913" s="115"/>
      <x:c r="R913" s="115"/>
      <x:c r="S913" s="115"/>
      <x:c r="T913" s="115"/>
      <x:c r="U913" s="115"/>
      <x:c r="V913" s="115"/>
      <x:c r="W913" s="115"/>
      <x:c r="X913" s="115"/>
      <x:c r="Y913" s="115"/>
      <x:c r="Z913" s="115"/>
      <x:c r="AA913" s="115"/>
      <x:c r="AB913" s="115"/>
      <x:c r="AC913" s="115"/>
      <x:c r="AD913" s="115"/>
      <x:c r="AE913" s="115"/>
      <x:c r="AF913" s="115"/>
      <x:c r="AG913" s="115"/>
      <x:c r="AH913" s="115"/>
      <x:c r="AI913" s="115"/>
      <x:c r="AJ913" s="115"/>
      <x:c r="AK913" s="115"/>
      <x:c r="AL913" s="115"/>
      <x:c r="AM913" s="115"/>
      <x:c r="AN913" s="115"/>
      <x:c r="AO913" s="115"/>
      <x:c r="AP913" s="115"/>
      <x:c r="AQ913" s="115"/>
      <x:c r="AR913" s="115"/>
      <x:c r="AS913" s="115"/>
      <x:c r="AT913" s="115"/>
      <x:c r="AU913" s="115"/>
      <x:c r="AV913" s="115"/>
      <x:c r="AW913" s="115"/>
      <x:c r="AX913" s="115"/>
      <x:c r="AY913" s="115"/>
      <x:c r="AZ913" s="115"/>
      <x:c r="BA913" s="115"/>
      <x:c r="BB913" s="115"/>
      <x:c r="BC913" s="115"/>
      <x:c r="BD913" s="115"/>
      <x:c r="BE913" s="115"/>
      <x:c r="BF913" s="115"/>
      <x:c r="BG913" s="115"/>
      <x:c r="BH913" s="115"/>
      <x:c r="BI913" s="115"/>
      <x:c r="BJ913" s="115"/>
      <x:c r="BK913" s="115"/>
      <x:c r="BL913" s="115"/>
      <x:c r="BM913" s="115"/>
      <x:c r="BN913" s="115"/>
      <x:c r="BO913" s="115"/>
      <x:c r="BP913" s="115"/>
      <x:c r="BQ913" s="115"/>
      <x:c r="BR913" s="115"/>
      <x:c r="BS913" s="115"/>
      <x:c r="BT913" s="115"/>
      <x:c r="BU913" s="115"/>
      <x:c r="BV913" s="115"/>
      <x:c r="BW913" s="115"/>
      <x:c r="BX913" s="115"/>
      <x:c r="BY913" s="115"/>
      <x:c r="BZ913" s="115"/>
      <x:c r="CA913" s="115"/>
      <x:c r="CB913" s="116"/>
      <x:c r="CC913" s="141" t="str">
        <x:f>IF(COUNT(G913:P913)=0,"",AVERAGE(G913:P913)*4)</x:f>
      </x:c>
      <x:c r="CD913" s="178" t="str">
        <x:f>IF(COUNT(Q913:Z913)=0,"",AVERAGE(Q913:Z913)*4)</x:f>
      </x:c>
      <x:c r="CE913" s="178" t="str">
        <x:f>IF(COUNT(AA913:AJ913)=0,"",AVERAGE(AA913:AJ913)*4)</x:f>
      </x:c>
      <x:c r="CF913" s="178" t="str">
        <x:f>IF(COUNT(AK913:AR913)=0,"",AVERAGE(AK913:AR913)*4)</x:f>
      </x:c>
      <x:c r="CG913" s="178" t="str">
        <x:f>IF(COUNT(AS913:AY913)=0,"",AVERAGE(AS913:AY913)*4)</x:f>
      </x:c>
      <x:c r="CH913" s="178" t="str">
        <x:f>IF(COUNT(AZ913:BG913)=0,"",AVERAGE(AZ913:BG913)*4)</x:f>
      </x:c>
      <x:c r="CI913" s="178" t="str">
        <x:f>IF(COUNT(BH913:BN913)=0,"",AVERAGE(BH913:BN913)*4)</x:f>
      </x:c>
      <x:c r="CJ913" s="178" t="str">
        <x:f>IF(COUNT(BO913:BU913)=0,"",AVERAGE(BO913:BU913)*4)</x:f>
      </x:c>
      <x:c r="CK913" s="178" t="str">
        <x:f>IF(COUNT(BV913:CB913)=0,"",AVERAGE(BV913:CB913)*4)</x:f>
      </x:c>
      <x:c r="CL913" s="178" t="str">
        <x:f>IF(C913="","",IF(COUNT(G913:CB913)&lt;74,"",(CC913*'تنظیمات وزن‌دهی'!$C$5+CD913*'تنظیمات وزن‌دهی'!$C$6+CE913*'تنظیمات وزن‌دهی'!$C$7+CF913*'تنظیمات وزن‌دهی'!$C$8+CG913*'تنظیمات وزن‌دهی'!$C$9+CH913*'تنظیمات وزن‌دهی'!$C$10+CI913*'تنظیمات وزن‌دهی'!$C$11+CJ913*'تنظیمات وزن‌دهی'!$C$12+CK913*'تنظیمات وزن‌دهی'!$C$13)/100))</x:f>
      </x:c>
      <x:c r="CM913" s="178" t="str">
        <x:f>IF(C913="","",IF(COUNT(G913:CB913)=0,"",IF(COUNT(G913:CB913)&lt;74,"موقت - اطلاعات ناقص",IF(CL913&gt;=17,"عالی",IF(CL913&gt;=14,"خوب",IF(CL913&gt;=10,"متوسط","ضعیف"))))))</x:f>
      </x:c>
      <x:c r="CN913" s="178" t="n">
        <x:v>9</x:v>
      </x:c>
      <x:c r="CO913" s="142" t="n">
        <x:f>IF(C913="","",COUNT(G913:CB913)/74)</x:f>
        <x:v>0</x:v>
      </x:c>
      <x:c r="CP913" s="245"/>
    </x:row>
    <x:row r="914">
      <x:c r="A914" s="165" t="n">
        <x:v>910</x:v>
      </x:c>
      <x:c r="B914" s="233" t="str">
        <x:v>فروردین</x:v>
      </x:c>
      <x:c r="C914" s="233" t="n">
        <x:f>IF('دانش‌آموزان'!E80="","",'دانش‌آموزان'!B80)</x:f>
        <x:v>76</x:v>
      </x:c>
      <x:c r="D914" s="233" t="str">
        <x:f>IF('دانش‌آموزان'!C80="","",'دانش‌آموزان'!C80)</x:f>
        <x:v>4000000764</x:v>
      </x:c>
      <x:c r="E914" s="233" t="str">
        <x:f>IF('دانش‌آموزان'!E80="","",'دانش‌آموزان'!E80&amp;" "&amp;'دانش‌آموزان'!F80)</x:f>
        <x:v>نازنین مرادی</x:v>
      </x:c>
      <x:c r="F914" s="166" t="str">
        <x:f>IF('دانش‌آموزان'!I80="","",'دانش‌آموزان'!I80)</x:f>
        <x:v>sample-7-d</x:v>
      </x:c>
      <x:c r="G914" s="114"/>
      <x:c r="H914" s="115"/>
      <x:c r="I914" s="115"/>
      <x:c r="J914" s="115"/>
      <x:c r="K914" s="115"/>
      <x:c r="L914" s="115"/>
      <x:c r="M914" s="115"/>
      <x:c r="N914" s="115"/>
      <x:c r="O914" s="115"/>
      <x:c r="P914" s="115"/>
      <x:c r="Q914" s="115"/>
      <x:c r="R914" s="115"/>
      <x:c r="S914" s="115"/>
      <x:c r="T914" s="115"/>
      <x:c r="U914" s="115"/>
      <x:c r="V914" s="115"/>
      <x:c r="W914" s="115"/>
      <x:c r="X914" s="115"/>
      <x:c r="Y914" s="115"/>
      <x:c r="Z914" s="115"/>
      <x:c r="AA914" s="115"/>
      <x:c r="AB914" s="115"/>
      <x:c r="AC914" s="115"/>
      <x:c r="AD914" s="115"/>
      <x:c r="AE914" s="115"/>
      <x:c r="AF914" s="115"/>
      <x:c r="AG914" s="115"/>
      <x:c r="AH914" s="115"/>
      <x:c r="AI914" s="115"/>
      <x:c r="AJ914" s="115"/>
      <x:c r="AK914" s="115"/>
      <x:c r="AL914" s="115"/>
      <x:c r="AM914" s="115"/>
      <x:c r="AN914" s="115"/>
      <x:c r="AO914" s="115"/>
      <x:c r="AP914" s="115"/>
      <x:c r="AQ914" s="115"/>
      <x:c r="AR914" s="115"/>
      <x:c r="AS914" s="115"/>
      <x:c r="AT914" s="115"/>
      <x:c r="AU914" s="115"/>
      <x:c r="AV914" s="115"/>
      <x:c r="AW914" s="115"/>
      <x:c r="AX914" s="115"/>
      <x:c r="AY914" s="115"/>
      <x:c r="AZ914" s="115"/>
      <x:c r="BA914" s="115"/>
      <x:c r="BB914" s="115"/>
      <x:c r="BC914" s="115"/>
      <x:c r="BD914" s="115"/>
      <x:c r="BE914" s="115"/>
      <x:c r="BF914" s="115"/>
      <x:c r="BG914" s="115"/>
      <x:c r="BH914" s="115"/>
      <x:c r="BI914" s="115"/>
      <x:c r="BJ914" s="115"/>
      <x:c r="BK914" s="115"/>
      <x:c r="BL914" s="115"/>
      <x:c r="BM914" s="115"/>
      <x:c r="BN914" s="115"/>
      <x:c r="BO914" s="115"/>
      <x:c r="BP914" s="115"/>
      <x:c r="BQ914" s="115"/>
      <x:c r="BR914" s="115"/>
      <x:c r="BS914" s="115"/>
      <x:c r="BT914" s="115"/>
      <x:c r="BU914" s="115"/>
      <x:c r="BV914" s="115"/>
      <x:c r="BW914" s="115"/>
      <x:c r="BX914" s="115"/>
      <x:c r="BY914" s="115"/>
      <x:c r="BZ914" s="115"/>
      <x:c r="CA914" s="115"/>
      <x:c r="CB914" s="116"/>
      <x:c r="CC914" s="141" t="str">
        <x:f>IF(COUNT(G914:P914)=0,"",AVERAGE(G914:P914)*4)</x:f>
      </x:c>
      <x:c r="CD914" s="178" t="str">
        <x:f>IF(COUNT(Q914:Z914)=0,"",AVERAGE(Q914:Z914)*4)</x:f>
      </x:c>
      <x:c r="CE914" s="178" t="str">
        <x:f>IF(COUNT(AA914:AJ914)=0,"",AVERAGE(AA914:AJ914)*4)</x:f>
      </x:c>
      <x:c r="CF914" s="178" t="str">
        <x:f>IF(COUNT(AK914:AR914)=0,"",AVERAGE(AK914:AR914)*4)</x:f>
      </x:c>
      <x:c r="CG914" s="178" t="str">
        <x:f>IF(COUNT(AS914:AY914)=0,"",AVERAGE(AS914:AY914)*4)</x:f>
      </x:c>
      <x:c r="CH914" s="178" t="str">
        <x:f>IF(COUNT(AZ914:BG914)=0,"",AVERAGE(AZ914:BG914)*4)</x:f>
      </x:c>
      <x:c r="CI914" s="178" t="str">
        <x:f>IF(COUNT(BH914:BN914)=0,"",AVERAGE(BH914:BN914)*4)</x:f>
      </x:c>
      <x:c r="CJ914" s="178" t="str">
        <x:f>IF(COUNT(BO914:BU914)=0,"",AVERAGE(BO914:BU914)*4)</x:f>
      </x:c>
      <x:c r="CK914" s="178" t="str">
        <x:f>IF(COUNT(BV914:CB914)=0,"",AVERAGE(BV914:CB914)*4)</x:f>
      </x:c>
      <x:c r="CL914" s="178" t="str">
        <x:f>IF(C914="","",IF(COUNT(G914:CB914)&lt;74,"",(CC914*'تنظیمات وزن‌دهی'!$C$5+CD914*'تنظیمات وزن‌دهی'!$C$6+CE914*'تنظیمات وزن‌دهی'!$C$7+CF914*'تنظیمات وزن‌دهی'!$C$8+CG914*'تنظیمات وزن‌دهی'!$C$9+CH914*'تنظیمات وزن‌دهی'!$C$10+CI914*'تنظیمات وزن‌دهی'!$C$11+CJ914*'تنظیمات وزن‌دهی'!$C$12+CK914*'تنظیمات وزن‌دهی'!$C$13)/100))</x:f>
      </x:c>
      <x:c r="CM914" s="178" t="str">
        <x:f>IF(C914="","",IF(COUNT(G914:CB914)=0,"",IF(COUNT(G914:CB914)&lt;74,"موقت - اطلاعات ناقص",IF(CL914&gt;=17,"عالی",IF(CL914&gt;=14,"خوب",IF(CL914&gt;=10,"متوسط","ضعیف"))))))</x:f>
      </x:c>
      <x:c r="CN914" s="178" t="n">
        <x:v>10</x:v>
      </x:c>
      <x:c r="CO914" s="142" t="n">
        <x:f>IF(C914="","",COUNT(G914:CB914)/74)</x:f>
        <x:v>0</x:v>
      </x:c>
      <x:c r="CP914" s="245"/>
    </x:row>
    <x:row r="915">
      <x:c r="A915" s="165" t="n">
        <x:v>911</x:v>
      </x:c>
      <x:c r="B915" s="233" t="str">
        <x:v>اردیبهشت</x:v>
      </x:c>
      <x:c r="C915" s="233" t="n">
        <x:f>IF('دانش‌آموزان'!E80="","",'دانش‌آموزان'!B80)</x:f>
        <x:v>76</x:v>
      </x:c>
      <x:c r="D915" s="233" t="str">
        <x:f>IF('دانش‌آموزان'!C80="","",'دانش‌آموزان'!C80)</x:f>
        <x:v>4000000764</x:v>
      </x:c>
      <x:c r="E915" s="233" t="str">
        <x:f>IF('دانش‌آموزان'!E80="","",'دانش‌آموزان'!E80&amp;" "&amp;'دانش‌آموزان'!F80)</x:f>
        <x:v>نازنین مرادی</x:v>
      </x:c>
      <x:c r="F915" s="166" t="str">
        <x:f>IF('دانش‌آموزان'!I80="","",'دانش‌آموزان'!I80)</x:f>
        <x:v>sample-7-d</x:v>
      </x:c>
      <x:c r="G915" s="114"/>
      <x:c r="H915" s="115"/>
      <x:c r="I915" s="115"/>
      <x:c r="J915" s="115"/>
      <x:c r="K915" s="115"/>
      <x:c r="L915" s="115"/>
      <x:c r="M915" s="115"/>
      <x:c r="N915" s="115"/>
      <x:c r="O915" s="115"/>
      <x:c r="P915" s="115"/>
      <x:c r="Q915" s="115"/>
      <x:c r="R915" s="115"/>
      <x:c r="S915" s="115"/>
      <x:c r="T915" s="115"/>
      <x:c r="U915" s="115"/>
      <x:c r="V915" s="115"/>
      <x:c r="W915" s="115"/>
      <x:c r="X915" s="115"/>
      <x:c r="Y915" s="115"/>
      <x:c r="Z915" s="115"/>
      <x:c r="AA915" s="115"/>
      <x:c r="AB915" s="115"/>
      <x:c r="AC915" s="115"/>
      <x:c r="AD915" s="115"/>
      <x:c r="AE915" s="115"/>
      <x:c r="AF915" s="115"/>
      <x:c r="AG915" s="115"/>
      <x:c r="AH915" s="115"/>
      <x:c r="AI915" s="115"/>
      <x:c r="AJ915" s="115"/>
      <x:c r="AK915" s="115"/>
      <x:c r="AL915" s="115"/>
      <x:c r="AM915" s="115"/>
      <x:c r="AN915" s="115"/>
      <x:c r="AO915" s="115"/>
      <x:c r="AP915" s="115"/>
      <x:c r="AQ915" s="115"/>
      <x:c r="AR915" s="115"/>
      <x:c r="AS915" s="115"/>
      <x:c r="AT915" s="115"/>
      <x:c r="AU915" s="115"/>
      <x:c r="AV915" s="115"/>
      <x:c r="AW915" s="115"/>
      <x:c r="AX915" s="115"/>
      <x:c r="AY915" s="115"/>
      <x:c r="AZ915" s="115"/>
      <x:c r="BA915" s="115"/>
      <x:c r="BB915" s="115"/>
      <x:c r="BC915" s="115"/>
      <x:c r="BD915" s="115"/>
      <x:c r="BE915" s="115"/>
      <x:c r="BF915" s="115"/>
      <x:c r="BG915" s="115"/>
      <x:c r="BH915" s="115"/>
      <x:c r="BI915" s="115"/>
      <x:c r="BJ915" s="115"/>
      <x:c r="BK915" s="115"/>
      <x:c r="BL915" s="115"/>
      <x:c r="BM915" s="115"/>
      <x:c r="BN915" s="115"/>
      <x:c r="BO915" s="115"/>
      <x:c r="BP915" s="115"/>
      <x:c r="BQ915" s="115"/>
      <x:c r="BR915" s="115"/>
      <x:c r="BS915" s="115"/>
      <x:c r="BT915" s="115"/>
      <x:c r="BU915" s="115"/>
      <x:c r="BV915" s="115"/>
      <x:c r="BW915" s="115"/>
      <x:c r="BX915" s="115"/>
      <x:c r="BY915" s="115"/>
      <x:c r="BZ915" s="115"/>
      <x:c r="CA915" s="115"/>
      <x:c r="CB915" s="116"/>
      <x:c r="CC915" s="141" t="str">
        <x:f>IF(COUNT(G915:P915)=0,"",AVERAGE(G915:P915)*4)</x:f>
      </x:c>
      <x:c r="CD915" s="178" t="str">
        <x:f>IF(COUNT(Q915:Z915)=0,"",AVERAGE(Q915:Z915)*4)</x:f>
      </x:c>
      <x:c r="CE915" s="178" t="str">
        <x:f>IF(COUNT(AA915:AJ915)=0,"",AVERAGE(AA915:AJ915)*4)</x:f>
      </x:c>
      <x:c r="CF915" s="178" t="str">
        <x:f>IF(COUNT(AK915:AR915)=0,"",AVERAGE(AK915:AR915)*4)</x:f>
      </x:c>
      <x:c r="CG915" s="178" t="str">
        <x:f>IF(COUNT(AS915:AY915)=0,"",AVERAGE(AS915:AY915)*4)</x:f>
      </x:c>
      <x:c r="CH915" s="178" t="str">
        <x:f>IF(COUNT(AZ915:BG915)=0,"",AVERAGE(AZ915:BG915)*4)</x:f>
      </x:c>
      <x:c r="CI915" s="178" t="str">
        <x:f>IF(COUNT(BH915:BN915)=0,"",AVERAGE(BH915:BN915)*4)</x:f>
      </x:c>
      <x:c r="CJ915" s="178" t="str">
        <x:f>IF(COUNT(BO915:BU915)=0,"",AVERAGE(BO915:BU915)*4)</x:f>
      </x:c>
      <x:c r="CK915" s="178" t="str">
        <x:f>IF(COUNT(BV915:CB915)=0,"",AVERAGE(BV915:CB915)*4)</x:f>
      </x:c>
      <x:c r="CL915" s="178" t="str">
        <x:f>IF(C915="","",IF(COUNT(G915:CB915)&lt;74,"",(CC915*'تنظیمات وزن‌دهی'!$C$5+CD915*'تنظیمات وزن‌دهی'!$C$6+CE915*'تنظیمات وزن‌دهی'!$C$7+CF915*'تنظیمات وزن‌دهی'!$C$8+CG915*'تنظیمات وزن‌دهی'!$C$9+CH915*'تنظیمات وزن‌دهی'!$C$10+CI915*'تنظیمات وزن‌دهی'!$C$11+CJ915*'تنظیمات وزن‌دهی'!$C$12+CK915*'تنظیمات وزن‌دهی'!$C$13)/100))</x:f>
      </x:c>
      <x:c r="CM915" s="178" t="str">
        <x:f>IF(C915="","",IF(COUNT(G915:CB915)=0,"",IF(COUNT(G915:CB915)&lt;74,"موقت - اطلاعات ناقص",IF(CL915&gt;=17,"عالی",IF(CL915&gt;=14,"خوب",IF(CL915&gt;=10,"متوسط","ضعیف"))))))</x:f>
      </x:c>
      <x:c r="CN915" s="178" t="n">
        <x:v>11</x:v>
      </x:c>
      <x:c r="CO915" s="142" t="n">
        <x:f>IF(C915="","",COUNT(G915:CB915)/74)</x:f>
        <x:v>0</x:v>
      </x:c>
      <x:c r="CP915" s="245"/>
    </x:row>
    <x:row r="916">
      <x:c r="A916" s="165" t="n">
        <x:v>912</x:v>
      </x:c>
      <x:c r="B916" s="233" t="str">
        <x:v>خرداد</x:v>
      </x:c>
      <x:c r="C916" s="233" t="n">
        <x:f>IF('دانش‌آموزان'!E80="","",'دانش‌آموزان'!B80)</x:f>
        <x:v>76</x:v>
      </x:c>
      <x:c r="D916" s="233" t="str">
        <x:f>IF('دانش‌آموزان'!C80="","",'دانش‌آموزان'!C80)</x:f>
        <x:v>4000000764</x:v>
      </x:c>
      <x:c r="E916" s="233" t="str">
        <x:f>IF('دانش‌آموزان'!E80="","",'دانش‌آموزان'!E80&amp;" "&amp;'دانش‌آموزان'!F80)</x:f>
        <x:v>نازنین مرادی</x:v>
      </x:c>
      <x:c r="F916" s="166" t="str">
        <x:f>IF('دانش‌آموزان'!I80="","",'دانش‌آموزان'!I80)</x:f>
        <x:v>sample-7-d</x:v>
      </x:c>
      <x:c r="G916" s="114"/>
      <x:c r="H916" s="115"/>
      <x:c r="I916" s="115"/>
      <x:c r="J916" s="115"/>
      <x:c r="K916" s="115"/>
      <x:c r="L916" s="115"/>
      <x:c r="M916" s="115"/>
      <x:c r="N916" s="115"/>
      <x:c r="O916" s="115"/>
      <x:c r="P916" s="115"/>
      <x:c r="Q916" s="115"/>
      <x:c r="R916" s="115"/>
      <x:c r="S916" s="115"/>
      <x:c r="T916" s="115"/>
      <x:c r="U916" s="115"/>
      <x:c r="V916" s="115"/>
      <x:c r="W916" s="115"/>
      <x:c r="X916" s="115"/>
      <x:c r="Y916" s="115"/>
      <x:c r="Z916" s="115"/>
      <x:c r="AA916" s="115"/>
      <x:c r="AB916" s="115"/>
      <x:c r="AC916" s="115"/>
      <x:c r="AD916" s="115"/>
      <x:c r="AE916" s="115"/>
      <x:c r="AF916" s="115"/>
      <x:c r="AG916" s="115"/>
      <x:c r="AH916" s="115"/>
      <x:c r="AI916" s="115"/>
      <x:c r="AJ916" s="115"/>
      <x:c r="AK916" s="115"/>
      <x:c r="AL916" s="115"/>
      <x:c r="AM916" s="115"/>
      <x:c r="AN916" s="115"/>
      <x:c r="AO916" s="115"/>
      <x:c r="AP916" s="115"/>
      <x:c r="AQ916" s="115"/>
      <x:c r="AR916" s="115"/>
      <x:c r="AS916" s="115"/>
      <x:c r="AT916" s="115"/>
      <x:c r="AU916" s="115"/>
      <x:c r="AV916" s="115"/>
      <x:c r="AW916" s="115"/>
      <x:c r="AX916" s="115"/>
      <x:c r="AY916" s="115"/>
      <x:c r="AZ916" s="115"/>
      <x:c r="BA916" s="115"/>
      <x:c r="BB916" s="115"/>
      <x:c r="BC916" s="115"/>
      <x:c r="BD916" s="115"/>
      <x:c r="BE916" s="115"/>
      <x:c r="BF916" s="115"/>
      <x:c r="BG916" s="115"/>
      <x:c r="BH916" s="115"/>
      <x:c r="BI916" s="115"/>
      <x:c r="BJ916" s="115"/>
      <x:c r="BK916" s="115"/>
      <x:c r="BL916" s="115"/>
      <x:c r="BM916" s="115"/>
      <x:c r="BN916" s="115"/>
      <x:c r="BO916" s="115"/>
      <x:c r="BP916" s="115"/>
      <x:c r="BQ916" s="115"/>
      <x:c r="BR916" s="115"/>
      <x:c r="BS916" s="115"/>
      <x:c r="BT916" s="115"/>
      <x:c r="BU916" s="115"/>
      <x:c r="BV916" s="115"/>
      <x:c r="BW916" s="115"/>
      <x:c r="BX916" s="115"/>
      <x:c r="BY916" s="115"/>
      <x:c r="BZ916" s="115"/>
      <x:c r="CA916" s="115"/>
      <x:c r="CB916" s="116"/>
      <x:c r="CC916" s="141" t="str">
        <x:f>IF(COUNT(G916:P916)=0,"",AVERAGE(G916:P916)*4)</x:f>
      </x:c>
      <x:c r="CD916" s="178" t="str">
        <x:f>IF(COUNT(Q916:Z916)=0,"",AVERAGE(Q916:Z916)*4)</x:f>
      </x:c>
      <x:c r="CE916" s="178" t="str">
        <x:f>IF(COUNT(AA916:AJ916)=0,"",AVERAGE(AA916:AJ916)*4)</x:f>
      </x:c>
      <x:c r="CF916" s="178" t="str">
        <x:f>IF(COUNT(AK916:AR916)=0,"",AVERAGE(AK916:AR916)*4)</x:f>
      </x:c>
      <x:c r="CG916" s="178" t="str">
        <x:f>IF(COUNT(AS916:AY916)=0,"",AVERAGE(AS916:AY916)*4)</x:f>
      </x:c>
      <x:c r="CH916" s="178" t="str">
        <x:f>IF(COUNT(AZ916:BG916)=0,"",AVERAGE(AZ916:BG916)*4)</x:f>
      </x:c>
      <x:c r="CI916" s="178" t="str">
        <x:f>IF(COUNT(BH916:BN916)=0,"",AVERAGE(BH916:BN916)*4)</x:f>
      </x:c>
      <x:c r="CJ916" s="178" t="str">
        <x:f>IF(COUNT(BO916:BU916)=0,"",AVERAGE(BO916:BU916)*4)</x:f>
      </x:c>
      <x:c r="CK916" s="178" t="str">
        <x:f>IF(COUNT(BV916:CB916)=0,"",AVERAGE(BV916:CB916)*4)</x:f>
      </x:c>
      <x:c r="CL916" s="178" t="str">
        <x:f>IF(C916="","",IF(COUNT(G916:CB916)&lt;74,"",(CC916*'تنظیمات وزن‌دهی'!$C$5+CD916*'تنظیمات وزن‌دهی'!$C$6+CE916*'تنظیمات وزن‌دهی'!$C$7+CF916*'تنظیمات وزن‌دهی'!$C$8+CG916*'تنظیمات وزن‌دهی'!$C$9+CH916*'تنظیمات وزن‌دهی'!$C$10+CI916*'تنظیمات وزن‌دهی'!$C$11+CJ916*'تنظیمات وزن‌دهی'!$C$12+CK916*'تنظیمات وزن‌دهی'!$C$13)/100))</x:f>
      </x:c>
      <x:c r="CM916" s="178" t="str">
        <x:f>IF(C916="","",IF(COUNT(G916:CB916)=0,"",IF(COUNT(G916:CB916)&lt;74,"موقت - اطلاعات ناقص",IF(CL916&gt;=17,"عالی",IF(CL916&gt;=14,"خوب",IF(CL916&gt;=10,"متوسط","ضعیف"))))))</x:f>
      </x:c>
      <x:c r="CN916" s="178" t="n">
        <x:v>12</x:v>
      </x:c>
      <x:c r="CO916" s="142" t="n">
        <x:f>IF(C916="","",COUNT(G916:CB916)/74)</x:f>
        <x:v>0</x:v>
      </x:c>
      <x:c r="CP916" s="245"/>
    </x:row>
    <x:row r="917">
      <x:c r="A917" s="165" t="n">
        <x:v>913</x:v>
      </x:c>
      <x:c r="B917" s="233" t="str">
        <x:v>تیر</x:v>
      </x:c>
      <x:c r="C917" s="233" t="n">
        <x:f>IF('دانش‌آموزان'!E81="","",'دانش‌آموزان'!B81)</x:f>
        <x:v>77</x:v>
      </x:c>
      <x:c r="D917" s="233" t="str">
        <x:f>IF('دانش‌آموزان'!C81="","",'دانش‌آموزان'!C81)</x:f>
        <x:v>4000000772</x:v>
      </x:c>
      <x:c r="E917" s="233" t="str">
        <x:f>IF('دانش‌آموزان'!E81="","",'دانش‌آموزان'!E81&amp;" "&amp;'دانش‌آموزان'!F81)</x:f>
        <x:v>سینا رحیمی</x:v>
      </x:c>
      <x:c r="F917" s="166" t="str">
        <x:f>IF('دانش‌آموزان'!I81="","",'دانش‌آموزان'!I81)</x:f>
        <x:v>sample-7-d</x:v>
      </x:c>
      <x:c r="G917" s="114" t="n">
        <x:v>5</x:v>
      </x:c>
      <x:c r="H917" s="115" t="n">
        <x:v>3</x:v>
      </x:c>
      <x:c r="I917" s="115" t="n">
        <x:v>4</x:v>
      </x:c>
      <x:c r="J917" s="115" t="n">
        <x:v>3</x:v>
      </x:c>
      <x:c r="K917" s="115" t="n">
        <x:v>4</x:v>
      </x:c>
      <x:c r="L917" s="115" t="n">
        <x:v>2</x:v>
      </x:c>
      <x:c r="M917" s="115" t="n">
        <x:v>4</x:v>
      </x:c>
      <x:c r="N917" s="115" t="n">
        <x:v>5</x:v>
      </x:c>
      <x:c r="O917" s="115" t="n">
        <x:v>4</x:v>
      </x:c>
      <x:c r="P917" s="115" t="n">
        <x:v>5</x:v>
      </x:c>
      <x:c r="Q917" s="115" t="n">
        <x:v>3</x:v>
      </x:c>
      <x:c r="R917" s="115" t="n">
        <x:v>5</x:v>
      </x:c>
      <x:c r="S917" s="115" t="n">
        <x:v>3</x:v>
      </x:c>
      <x:c r="T917" s="115" t="n">
        <x:v>4</x:v>
      </x:c>
      <x:c r="U917" s="115" t="n">
        <x:v>3</x:v>
      </x:c>
      <x:c r="V917" s="115" t="n">
        <x:v>4</x:v>
      </x:c>
      <x:c r="W917" s="115" t="n">
        <x:v>2</x:v>
      </x:c>
      <x:c r="X917" s="115" t="n">
        <x:v>4</x:v>
      </x:c>
      <x:c r="Y917" s="115" t="n">
        <x:v>5</x:v>
      </x:c>
      <x:c r="Z917" s="115" t="n">
        <x:v>4</x:v>
      </x:c>
      <x:c r="AA917" s="115" t="n">
        <x:v>5</x:v>
      </x:c>
      <x:c r="AB917" s="115" t="n">
        <x:v>3</x:v>
      </x:c>
      <x:c r="AC917" s="115" t="n">
        <x:v>5</x:v>
      </x:c>
      <x:c r="AD917" s="115" t="n">
        <x:v>3</x:v>
      </x:c>
      <x:c r="AE917" s="115" t="n">
        <x:v>4</x:v>
      </x:c>
      <x:c r="AF917" s="115" t="n">
        <x:v>3</x:v>
      </x:c>
      <x:c r="AG917" s="115" t="n">
        <x:v>4</x:v>
      </x:c>
      <x:c r="AH917" s="115" t="n">
        <x:v>2</x:v>
      </x:c>
      <x:c r="AI917" s="115" t="n">
        <x:v>4</x:v>
      </x:c>
      <x:c r="AJ917" s="115" t="n">
        <x:v>5</x:v>
      </x:c>
      <x:c r="AK917" s="115" t="n">
        <x:v>4</x:v>
      </x:c>
      <x:c r="AL917" s="115" t="n">
        <x:v>5</x:v>
      </x:c>
      <x:c r="AM917" s="115" t="n">
        <x:v>3</x:v>
      </x:c>
      <x:c r="AN917" s="115" t="n">
        <x:v>5</x:v>
      </x:c>
      <x:c r="AO917" s="115" t="n">
        <x:v>3</x:v>
      </x:c>
      <x:c r="AP917" s="115" t="n">
        <x:v>4</x:v>
      </x:c>
      <x:c r="AQ917" s="115" t="n">
        <x:v>3</x:v>
      </x:c>
      <x:c r="AR917" s="115" t="n">
        <x:v>4</x:v>
      </x:c>
      <x:c r="AS917" s="115" t="n">
        <x:v>2</x:v>
      </x:c>
      <x:c r="AT917" s="115" t="n">
        <x:v>4</x:v>
      </x:c>
      <x:c r="AU917" s="115" t="n">
        <x:v>5</x:v>
      </x:c>
      <x:c r="AV917" s="115" t="n">
        <x:v>4</x:v>
      </x:c>
      <x:c r="AW917" s="115" t="n">
        <x:v>5</x:v>
      </x:c>
      <x:c r="AX917" s="115" t="n">
        <x:v>3</x:v>
      </x:c>
      <x:c r="AY917" s="115" t="n">
        <x:v>5</x:v>
      </x:c>
      <x:c r="AZ917" s="115" t="n">
        <x:v>3</x:v>
      </x:c>
      <x:c r="BA917" s="115" t="n">
        <x:v>4</x:v>
      </x:c>
      <x:c r="BB917" s="115" t="n">
        <x:v>3</x:v>
      </x:c>
      <x:c r="BC917" s="115" t="n">
        <x:v>4</x:v>
      </x:c>
      <x:c r="BD917" s="115" t="n">
        <x:v>2</x:v>
      </x:c>
      <x:c r="BE917" s="115" t="n">
        <x:v>4</x:v>
      </x:c>
      <x:c r="BF917" s="115" t="n">
        <x:v>5</x:v>
      </x:c>
      <x:c r="BG917" s="115" t="n">
        <x:v>4</x:v>
      </x:c>
      <x:c r="BH917" s="115" t="n">
        <x:v>5</x:v>
      </x:c>
      <x:c r="BI917" s="115" t="n">
        <x:v>3</x:v>
      </x:c>
      <x:c r="BJ917" s="115" t="n">
        <x:v>5</x:v>
      </x:c>
      <x:c r="BK917" s="115" t="n">
        <x:v>3</x:v>
      </x:c>
      <x:c r="BL917" s="115" t="n">
        <x:v>4</x:v>
      </x:c>
      <x:c r="BM917" s="115" t="n">
        <x:v>3</x:v>
      </x:c>
      <x:c r="BN917" s="115" t="n">
        <x:v>4</x:v>
      </x:c>
      <x:c r="BO917" s="115" t="n">
        <x:v>2</x:v>
      </x:c>
      <x:c r="BP917" s="115" t="n">
        <x:v>4</x:v>
      </x:c>
      <x:c r="BQ917" s="115" t="n">
        <x:v>5</x:v>
      </x:c>
      <x:c r="BR917" s="115" t="n">
        <x:v>4</x:v>
      </x:c>
      <x:c r="BS917" s="115" t="n">
        <x:v>5</x:v>
      </x:c>
      <x:c r="BT917" s="115" t="n">
        <x:v>3</x:v>
      </x:c>
      <x:c r="BU917" s="115" t="n">
        <x:v>5</x:v>
      </x:c>
      <x:c r="BV917" s="115" t="n">
        <x:v>3</x:v>
      </x:c>
      <x:c r="BW917" s="115" t="n">
        <x:v>4</x:v>
      </x:c>
      <x:c r="BX917" s="115" t="n">
        <x:v>3</x:v>
      </x:c>
      <x:c r="BY917" s="115" t="n">
        <x:v>4</x:v>
      </x:c>
      <x:c r="BZ917" s="115" t="n">
        <x:v>2</x:v>
      </x:c>
      <x:c r="CA917" s="115" t="n">
        <x:v>4</x:v>
      </x:c>
      <x:c r="CB917" s="116" t="n">
        <x:v>5</x:v>
      </x:c>
      <x:c r="CC917" s="141" t="n">
        <x:f>IF(COUNT(G917:P917)=0,"",AVERAGE(G917:P917)*4)</x:f>
        <x:v>15.6</x:v>
      </x:c>
      <x:c r="CD917" s="178" t="n">
        <x:f>IF(COUNT(Q917:Z917)=0,"",AVERAGE(Q917:Z917)*4)</x:f>
        <x:v>14.8</x:v>
      </x:c>
      <x:c r="CE917" s="178" t="n">
        <x:f>IF(COUNT(AA917:AJ917)=0,"",AVERAGE(AA917:AJ917)*4)</x:f>
        <x:v>15.2</x:v>
      </x:c>
      <x:c r="CF917" s="178" t="n">
        <x:f>IF(COUNT(AK917:AR917)=0,"",AVERAGE(AK917:AR917)*4)</x:f>
        <x:v>15.5</x:v>
      </x:c>
      <x:c r="CG917" s="178" t="n">
        <x:f>IF(COUNT(AS917:AY917)=0,"",AVERAGE(AS917:AY917)*4)</x:f>
        <x:v>16</x:v>
      </x:c>
      <x:c r="CH917" s="178" t="n">
        <x:f>IF(COUNT(AZ917:BG917)=0,"",AVERAGE(AZ917:BG917)*4)</x:f>
        <x:v>14.5</x:v>
      </x:c>
      <x:c r="CI917" s="178" t="n">
        <x:f>IF(COUNT(BH917:BN917)=0,"",AVERAGE(BH917:BN917)*4)</x:f>
        <x:v>15.428571428571429</x:v>
      </x:c>
      <x:c r="CJ917" s="178" t="n">
        <x:f>IF(COUNT(BO917:BU917)=0,"",AVERAGE(BO917:BU917)*4)</x:f>
        <x:v>16</x:v>
      </x:c>
      <x:c r="CK917" s="178" t="n">
        <x:f>IF(COUNT(BV917:CB917)=0,"",AVERAGE(BV917:CB917)*4)</x:f>
        <x:v>14.285714285714286</x:v>
      </x:c>
      <x:c r="CL917" s="178" t="n">
        <x:f>IF(C917="","",IF(COUNT(G917:CB917)&lt;74,"",(CC917*'تنظیمات وزن‌دهی'!$C$5+CD917*'تنظیمات وزن‌دهی'!$C$6+CE917*'تنظیمات وزن‌دهی'!$C$7+CF917*'تنظیمات وزن‌دهی'!$C$8+CG917*'تنظیمات وزن‌دهی'!$C$9+CH917*'تنظیمات وزن‌دهی'!$C$10+CI917*'تنظیمات وزن‌دهی'!$C$11+CJ917*'تنظیمات وزن‌دهی'!$C$12+CK917*'تنظیمات وزن‌دهی'!$C$13)/100))</x:f>
        <x:v>15.265</x:v>
      </x:c>
      <x:c r="CM917" s="178" t="str">
        <x:f>IF(C917="","",IF(COUNT(G917:CB917)=0,"",IF(COUNT(G917:CB917)&lt;74,"موقت - اطلاعات ناقص",IF(CL917&gt;=17,"عالی",IF(CL917&gt;=14,"خوب",IF(CL917&gt;=10,"متوسط","ضعیف"))))))</x:f>
        <x:v>خوب</x:v>
      </x:c>
      <x:c r="CN917" s="178" t="n">
        <x:v>1</x:v>
      </x:c>
      <x:c r="CO917" s="142" t="n">
        <x:f>IF(C917="","",COUNT(G917:CB917)/74)</x:f>
        <x:v>1</x:v>
      </x:c>
      <x:c r="CP917" s="245" t="str">
        <x:v>داده نمونه کامل برای ماه تیر - دانش‌آموز شماره 77</x:v>
      </x:c>
    </x:row>
    <x:row r="918">
      <x:c r="A918" s="165" t="n">
        <x:v>914</x:v>
      </x:c>
      <x:c r="B918" s="233" t="str">
        <x:v>مرداد</x:v>
      </x:c>
      <x:c r="C918" s="233" t="n">
        <x:f>IF('دانش‌آموزان'!E81="","",'دانش‌آموزان'!B81)</x:f>
        <x:v>77</x:v>
      </x:c>
      <x:c r="D918" s="233" t="str">
        <x:f>IF('دانش‌آموزان'!C81="","",'دانش‌آموزان'!C81)</x:f>
        <x:v>4000000772</x:v>
      </x:c>
      <x:c r="E918" s="233" t="str">
        <x:f>IF('دانش‌آموزان'!E81="","",'دانش‌آموزان'!E81&amp;" "&amp;'دانش‌آموزان'!F81)</x:f>
        <x:v>سینا رحیمی</x:v>
      </x:c>
      <x:c r="F918" s="166" t="str">
        <x:f>IF('دانش‌آموزان'!I81="","",'دانش‌آموزان'!I81)</x:f>
        <x:v>sample-7-d</x:v>
      </x:c>
      <x:c r="G918" s="114"/>
      <x:c r="H918" s="115"/>
      <x:c r="I918" s="115"/>
      <x:c r="J918" s="115"/>
      <x:c r="K918" s="115"/>
      <x:c r="L918" s="115"/>
      <x:c r="M918" s="115"/>
      <x:c r="N918" s="115"/>
      <x:c r="O918" s="115"/>
      <x:c r="P918" s="115"/>
      <x:c r="Q918" s="115"/>
      <x:c r="R918" s="115"/>
      <x:c r="S918" s="115"/>
      <x:c r="T918" s="115"/>
      <x:c r="U918" s="115"/>
      <x:c r="V918" s="115"/>
      <x:c r="W918" s="115"/>
      <x:c r="X918" s="115"/>
      <x:c r="Y918" s="115"/>
      <x:c r="Z918" s="115"/>
      <x:c r="AA918" s="115"/>
      <x:c r="AB918" s="115"/>
      <x:c r="AC918" s="115"/>
      <x:c r="AD918" s="115"/>
      <x:c r="AE918" s="115"/>
      <x:c r="AF918" s="115"/>
      <x:c r="AG918" s="115"/>
      <x:c r="AH918" s="115"/>
      <x:c r="AI918" s="115"/>
      <x:c r="AJ918" s="115"/>
      <x:c r="AK918" s="115"/>
      <x:c r="AL918" s="115"/>
      <x:c r="AM918" s="115"/>
      <x:c r="AN918" s="115"/>
      <x:c r="AO918" s="115"/>
      <x:c r="AP918" s="115"/>
      <x:c r="AQ918" s="115"/>
      <x:c r="AR918" s="115"/>
      <x:c r="AS918" s="115"/>
      <x:c r="AT918" s="115"/>
      <x:c r="AU918" s="115"/>
      <x:c r="AV918" s="115"/>
      <x:c r="AW918" s="115"/>
      <x:c r="AX918" s="115"/>
      <x:c r="AY918" s="115"/>
      <x:c r="AZ918" s="115"/>
      <x:c r="BA918" s="115"/>
      <x:c r="BB918" s="115"/>
      <x:c r="BC918" s="115"/>
      <x:c r="BD918" s="115"/>
      <x:c r="BE918" s="115"/>
      <x:c r="BF918" s="115"/>
      <x:c r="BG918" s="115"/>
      <x:c r="BH918" s="115"/>
      <x:c r="BI918" s="115"/>
      <x:c r="BJ918" s="115"/>
      <x:c r="BK918" s="115"/>
      <x:c r="BL918" s="115"/>
      <x:c r="BM918" s="115"/>
      <x:c r="BN918" s="115"/>
      <x:c r="BO918" s="115"/>
      <x:c r="BP918" s="115"/>
      <x:c r="BQ918" s="115"/>
      <x:c r="BR918" s="115"/>
      <x:c r="BS918" s="115"/>
      <x:c r="BT918" s="115"/>
      <x:c r="BU918" s="115"/>
      <x:c r="BV918" s="115"/>
      <x:c r="BW918" s="115"/>
      <x:c r="BX918" s="115"/>
      <x:c r="BY918" s="115"/>
      <x:c r="BZ918" s="115"/>
      <x:c r="CA918" s="115"/>
      <x:c r="CB918" s="116"/>
      <x:c r="CC918" s="141" t="str">
        <x:f>IF(COUNT(G918:P918)=0,"",AVERAGE(G918:P918)*4)</x:f>
      </x:c>
      <x:c r="CD918" s="178" t="str">
        <x:f>IF(COUNT(Q918:Z918)=0,"",AVERAGE(Q918:Z918)*4)</x:f>
      </x:c>
      <x:c r="CE918" s="178" t="str">
        <x:f>IF(COUNT(AA918:AJ918)=0,"",AVERAGE(AA918:AJ918)*4)</x:f>
      </x:c>
      <x:c r="CF918" s="178" t="str">
        <x:f>IF(COUNT(AK918:AR918)=0,"",AVERAGE(AK918:AR918)*4)</x:f>
      </x:c>
      <x:c r="CG918" s="178" t="str">
        <x:f>IF(COUNT(AS918:AY918)=0,"",AVERAGE(AS918:AY918)*4)</x:f>
      </x:c>
      <x:c r="CH918" s="178" t="str">
        <x:f>IF(COUNT(AZ918:BG918)=0,"",AVERAGE(AZ918:BG918)*4)</x:f>
      </x:c>
      <x:c r="CI918" s="178" t="str">
        <x:f>IF(COUNT(BH918:BN918)=0,"",AVERAGE(BH918:BN918)*4)</x:f>
      </x:c>
      <x:c r="CJ918" s="178" t="str">
        <x:f>IF(COUNT(BO918:BU918)=0,"",AVERAGE(BO918:BU918)*4)</x:f>
      </x:c>
      <x:c r="CK918" s="178" t="str">
        <x:f>IF(COUNT(BV918:CB918)=0,"",AVERAGE(BV918:CB918)*4)</x:f>
      </x:c>
      <x:c r="CL918" s="178" t="str">
        <x:f>IF(C918="","",IF(COUNT(G918:CB918)&lt;74,"",(CC918*'تنظیمات وزن‌دهی'!$C$5+CD918*'تنظیمات وزن‌دهی'!$C$6+CE918*'تنظیمات وزن‌دهی'!$C$7+CF918*'تنظیمات وزن‌دهی'!$C$8+CG918*'تنظیمات وزن‌دهی'!$C$9+CH918*'تنظیمات وزن‌دهی'!$C$10+CI918*'تنظیمات وزن‌دهی'!$C$11+CJ918*'تنظیمات وزن‌دهی'!$C$12+CK918*'تنظیمات وزن‌دهی'!$C$13)/100))</x:f>
      </x:c>
      <x:c r="CM918" s="178" t="str">
        <x:f>IF(C918="","",IF(COUNT(G918:CB918)=0,"",IF(COUNT(G918:CB918)&lt;74,"موقت - اطلاعات ناقص",IF(CL918&gt;=17,"عالی",IF(CL918&gt;=14,"خوب",IF(CL918&gt;=10,"متوسط","ضعیف"))))))</x:f>
      </x:c>
      <x:c r="CN918" s="178" t="n">
        <x:v>2</x:v>
      </x:c>
      <x:c r="CO918" s="142" t="n">
        <x:f>IF(C918="","",COUNT(G918:CB918)/74)</x:f>
        <x:v>0</x:v>
      </x:c>
      <x:c r="CP918" s="245"/>
    </x:row>
    <x:row r="919">
      <x:c r="A919" s="165" t="n">
        <x:v>915</x:v>
      </x:c>
      <x:c r="B919" s="233" t="str">
        <x:v>شهریور</x:v>
      </x:c>
      <x:c r="C919" s="233" t="n">
        <x:f>IF('دانش‌آموزان'!E81="","",'دانش‌آموزان'!B81)</x:f>
        <x:v>77</x:v>
      </x:c>
      <x:c r="D919" s="233" t="str">
        <x:f>IF('دانش‌آموزان'!C81="","",'دانش‌آموزان'!C81)</x:f>
        <x:v>4000000772</x:v>
      </x:c>
      <x:c r="E919" s="233" t="str">
        <x:f>IF('دانش‌آموزان'!E81="","",'دانش‌آموزان'!E81&amp;" "&amp;'دانش‌آموزان'!F81)</x:f>
        <x:v>سینا رحیمی</x:v>
      </x:c>
      <x:c r="F919" s="166" t="str">
        <x:f>IF('دانش‌آموزان'!I81="","",'دانش‌آموزان'!I81)</x:f>
        <x:v>sample-7-d</x:v>
      </x:c>
      <x:c r="G919" s="114"/>
      <x:c r="H919" s="115"/>
      <x:c r="I919" s="115"/>
      <x:c r="J919" s="115"/>
      <x:c r="K919" s="115"/>
      <x:c r="L919" s="115"/>
      <x:c r="M919" s="115"/>
      <x:c r="N919" s="115"/>
      <x:c r="O919" s="115"/>
      <x:c r="P919" s="115"/>
      <x:c r="Q919" s="115"/>
      <x:c r="R919" s="115"/>
      <x:c r="S919" s="115"/>
      <x:c r="T919" s="115"/>
      <x:c r="U919" s="115"/>
      <x:c r="V919" s="115"/>
      <x:c r="W919" s="115"/>
      <x:c r="X919" s="115"/>
      <x:c r="Y919" s="115"/>
      <x:c r="Z919" s="115"/>
      <x:c r="AA919" s="115"/>
      <x:c r="AB919" s="115"/>
      <x:c r="AC919" s="115"/>
      <x:c r="AD919" s="115"/>
      <x:c r="AE919" s="115"/>
      <x:c r="AF919" s="115"/>
      <x:c r="AG919" s="115"/>
      <x:c r="AH919" s="115"/>
      <x:c r="AI919" s="115"/>
      <x:c r="AJ919" s="115"/>
      <x:c r="AK919" s="115"/>
      <x:c r="AL919" s="115"/>
      <x:c r="AM919" s="115"/>
      <x:c r="AN919" s="115"/>
      <x:c r="AO919" s="115"/>
      <x:c r="AP919" s="115"/>
      <x:c r="AQ919" s="115"/>
      <x:c r="AR919" s="115"/>
      <x:c r="AS919" s="115"/>
      <x:c r="AT919" s="115"/>
      <x:c r="AU919" s="115"/>
      <x:c r="AV919" s="115"/>
      <x:c r="AW919" s="115"/>
      <x:c r="AX919" s="115"/>
      <x:c r="AY919" s="115"/>
      <x:c r="AZ919" s="115"/>
      <x:c r="BA919" s="115"/>
      <x:c r="BB919" s="115"/>
      <x:c r="BC919" s="115"/>
      <x:c r="BD919" s="115"/>
      <x:c r="BE919" s="115"/>
      <x:c r="BF919" s="115"/>
      <x:c r="BG919" s="115"/>
      <x:c r="BH919" s="115"/>
      <x:c r="BI919" s="115"/>
      <x:c r="BJ919" s="115"/>
      <x:c r="BK919" s="115"/>
      <x:c r="BL919" s="115"/>
      <x:c r="BM919" s="115"/>
      <x:c r="BN919" s="115"/>
      <x:c r="BO919" s="115"/>
      <x:c r="BP919" s="115"/>
      <x:c r="BQ919" s="115"/>
      <x:c r="BR919" s="115"/>
      <x:c r="BS919" s="115"/>
      <x:c r="BT919" s="115"/>
      <x:c r="BU919" s="115"/>
      <x:c r="BV919" s="115"/>
      <x:c r="BW919" s="115"/>
      <x:c r="BX919" s="115"/>
      <x:c r="BY919" s="115"/>
      <x:c r="BZ919" s="115"/>
      <x:c r="CA919" s="115"/>
      <x:c r="CB919" s="116"/>
      <x:c r="CC919" s="141" t="str">
        <x:f>IF(COUNT(G919:P919)=0,"",AVERAGE(G919:P919)*4)</x:f>
      </x:c>
      <x:c r="CD919" s="178" t="str">
        <x:f>IF(COUNT(Q919:Z919)=0,"",AVERAGE(Q919:Z919)*4)</x:f>
      </x:c>
      <x:c r="CE919" s="178" t="str">
        <x:f>IF(COUNT(AA919:AJ919)=0,"",AVERAGE(AA919:AJ919)*4)</x:f>
      </x:c>
      <x:c r="CF919" s="178" t="str">
        <x:f>IF(COUNT(AK919:AR919)=0,"",AVERAGE(AK919:AR919)*4)</x:f>
      </x:c>
      <x:c r="CG919" s="178" t="str">
        <x:f>IF(COUNT(AS919:AY919)=0,"",AVERAGE(AS919:AY919)*4)</x:f>
      </x:c>
      <x:c r="CH919" s="178" t="str">
        <x:f>IF(COUNT(AZ919:BG919)=0,"",AVERAGE(AZ919:BG919)*4)</x:f>
      </x:c>
      <x:c r="CI919" s="178" t="str">
        <x:f>IF(COUNT(BH919:BN919)=0,"",AVERAGE(BH919:BN919)*4)</x:f>
      </x:c>
      <x:c r="CJ919" s="178" t="str">
        <x:f>IF(COUNT(BO919:BU919)=0,"",AVERAGE(BO919:BU919)*4)</x:f>
      </x:c>
      <x:c r="CK919" s="178" t="str">
        <x:f>IF(COUNT(BV919:CB919)=0,"",AVERAGE(BV919:CB919)*4)</x:f>
      </x:c>
      <x:c r="CL919" s="178" t="str">
        <x:f>IF(C919="","",IF(COUNT(G919:CB919)&lt;74,"",(CC919*'تنظیمات وزن‌دهی'!$C$5+CD919*'تنظیمات وزن‌دهی'!$C$6+CE919*'تنظیمات وزن‌دهی'!$C$7+CF919*'تنظیمات وزن‌دهی'!$C$8+CG919*'تنظیمات وزن‌دهی'!$C$9+CH919*'تنظیمات وزن‌دهی'!$C$10+CI919*'تنظیمات وزن‌دهی'!$C$11+CJ919*'تنظیمات وزن‌دهی'!$C$12+CK919*'تنظیمات وزن‌دهی'!$C$13)/100))</x:f>
      </x:c>
      <x:c r="CM919" s="178" t="str">
        <x:f>IF(C919="","",IF(COUNT(G919:CB919)=0,"",IF(COUNT(G919:CB919)&lt;74,"موقت - اطلاعات ناقص",IF(CL919&gt;=17,"عالی",IF(CL919&gt;=14,"خوب",IF(CL919&gt;=10,"متوسط","ضعیف"))))))</x:f>
      </x:c>
      <x:c r="CN919" s="178" t="n">
        <x:v>3</x:v>
      </x:c>
      <x:c r="CO919" s="142" t="n">
        <x:f>IF(C919="","",COUNT(G919:CB919)/74)</x:f>
        <x:v>0</x:v>
      </x:c>
      <x:c r="CP919" s="245"/>
    </x:row>
    <x:row r="920">
      <x:c r="A920" s="165" t="n">
        <x:v>916</x:v>
      </x:c>
      <x:c r="B920" s="233" t="str">
        <x:v>مهر</x:v>
      </x:c>
      <x:c r="C920" s="233" t="n">
        <x:f>IF('دانش‌آموزان'!E81="","",'دانش‌آموزان'!B81)</x:f>
        <x:v>77</x:v>
      </x:c>
      <x:c r="D920" s="233" t="str">
        <x:f>IF('دانش‌آموزان'!C81="","",'دانش‌آموزان'!C81)</x:f>
        <x:v>4000000772</x:v>
      </x:c>
      <x:c r="E920" s="233" t="str">
        <x:f>IF('دانش‌آموزان'!E81="","",'دانش‌آموزان'!E81&amp;" "&amp;'دانش‌آموزان'!F81)</x:f>
        <x:v>سینا رحیمی</x:v>
      </x:c>
      <x:c r="F920" s="166" t="str">
        <x:f>IF('دانش‌آموزان'!I81="","",'دانش‌آموزان'!I81)</x:f>
        <x:v>sample-7-d</x:v>
      </x:c>
      <x:c r="G920" s="114"/>
      <x:c r="H920" s="115"/>
      <x:c r="I920" s="115"/>
      <x:c r="J920" s="115"/>
      <x:c r="K920" s="115"/>
      <x:c r="L920" s="115"/>
      <x:c r="M920" s="115"/>
      <x:c r="N920" s="115"/>
      <x:c r="O920" s="115"/>
      <x:c r="P920" s="115"/>
      <x:c r="Q920" s="115"/>
      <x:c r="R920" s="115"/>
      <x:c r="S920" s="115"/>
      <x:c r="T920" s="115"/>
      <x:c r="U920" s="115"/>
      <x:c r="V920" s="115"/>
      <x:c r="W920" s="115"/>
      <x:c r="X920" s="115"/>
      <x:c r="Y920" s="115"/>
      <x:c r="Z920" s="115"/>
      <x:c r="AA920" s="115"/>
      <x:c r="AB920" s="115"/>
      <x:c r="AC920" s="115"/>
      <x:c r="AD920" s="115"/>
      <x:c r="AE920" s="115"/>
      <x:c r="AF920" s="115"/>
      <x:c r="AG920" s="115"/>
      <x:c r="AH920" s="115"/>
      <x:c r="AI920" s="115"/>
      <x:c r="AJ920" s="115"/>
      <x:c r="AK920" s="115"/>
      <x:c r="AL920" s="115"/>
      <x:c r="AM920" s="115"/>
      <x:c r="AN920" s="115"/>
      <x:c r="AO920" s="115"/>
      <x:c r="AP920" s="115"/>
      <x:c r="AQ920" s="115"/>
      <x:c r="AR920" s="115"/>
      <x:c r="AS920" s="115"/>
      <x:c r="AT920" s="115"/>
      <x:c r="AU920" s="115"/>
      <x:c r="AV920" s="115"/>
      <x:c r="AW920" s="115"/>
      <x:c r="AX920" s="115"/>
      <x:c r="AY920" s="115"/>
      <x:c r="AZ920" s="115"/>
      <x:c r="BA920" s="115"/>
      <x:c r="BB920" s="115"/>
      <x:c r="BC920" s="115"/>
      <x:c r="BD920" s="115"/>
      <x:c r="BE920" s="115"/>
      <x:c r="BF920" s="115"/>
      <x:c r="BG920" s="115"/>
      <x:c r="BH920" s="115"/>
      <x:c r="BI920" s="115"/>
      <x:c r="BJ920" s="115"/>
      <x:c r="BK920" s="115"/>
      <x:c r="BL920" s="115"/>
      <x:c r="BM920" s="115"/>
      <x:c r="BN920" s="115"/>
      <x:c r="BO920" s="115"/>
      <x:c r="BP920" s="115"/>
      <x:c r="BQ920" s="115"/>
      <x:c r="BR920" s="115"/>
      <x:c r="BS920" s="115"/>
      <x:c r="BT920" s="115"/>
      <x:c r="BU920" s="115"/>
      <x:c r="BV920" s="115"/>
      <x:c r="BW920" s="115"/>
      <x:c r="BX920" s="115"/>
      <x:c r="BY920" s="115"/>
      <x:c r="BZ920" s="115"/>
      <x:c r="CA920" s="115"/>
      <x:c r="CB920" s="116"/>
      <x:c r="CC920" s="141" t="str">
        <x:f>IF(COUNT(G920:P920)=0,"",AVERAGE(G920:P920)*4)</x:f>
      </x:c>
      <x:c r="CD920" s="178" t="str">
        <x:f>IF(COUNT(Q920:Z920)=0,"",AVERAGE(Q920:Z920)*4)</x:f>
      </x:c>
      <x:c r="CE920" s="178" t="str">
        <x:f>IF(COUNT(AA920:AJ920)=0,"",AVERAGE(AA920:AJ920)*4)</x:f>
      </x:c>
      <x:c r="CF920" s="178" t="str">
        <x:f>IF(COUNT(AK920:AR920)=0,"",AVERAGE(AK920:AR920)*4)</x:f>
      </x:c>
      <x:c r="CG920" s="178" t="str">
        <x:f>IF(COUNT(AS920:AY920)=0,"",AVERAGE(AS920:AY920)*4)</x:f>
      </x:c>
      <x:c r="CH920" s="178" t="str">
        <x:f>IF(COUNT(AZ920:BG920)=0,"",AVERAGE(AZ920:BG920)*4)</x:f>
      </x:c>
      <x:c r="CI920" s="178" t="str">
        <x:f>IF(COUNT(BH920:BN920)=0,"",AVERAGE(BH920:BN920)*4)</x:f>
      </x:c>
      <x:c r="CJ920" s="178" t="str">
        <x:f>IF(COUNT(BO920:BU920)=0,"",AVERAGE(BO920:BU920)*4)</x:f>
      </x:c>
      <x:c r="CK920" s="178" t="str">
        <x:f>IF(COUNT(BV920:CB920)=0,"",AVERAGE(BV920:CB920)*4)</x:f>
      </x:c>
      <x:c r="CL920" s="178" t="str">
        <x:f>IF(C920="","",IF(COUNT(G920:CB920)&lt;74,"",(CC920*'تنظیمات وزن‌دهی'!$C$5+CD920*'تنظیمات وزن‌دهی'!$C$6+CE920*'تنظیمات وزن‌دهی'!$C$7+CF920*'تنظیمات وزن‌دهی'!$C$8+CG920*'تنظیمات وزن‌دهی'!$C$9+CH920*'تنظیمات وزن‌دهی'!$C$10+CI920*'تنظیمات وزن‌دهی'!$C$11+CJ920*'تنظیمات وزن‌دهی'!$C$12+CK920*'تنظیمات وزن‌دهی'!$C$13)/100))</x:f>
      </x:c>
      <x:c r="CM920" s="178" t="str">
        <x:f>IF(C920="","",IF(COUNT(G920:CB920)=0,"",IF(COUNT(G920:CB920)&lt;74,"موقت - اطلاعات ناقص",IF(CL920&gt;=17,"عالی",IF(CL920&gt;=14,"خوب",IF(CL920&gt;=10,"متوسط","ضعیف"))))))</x:f>
      </x:c>
      <x:c r="CN920" s="178" t="n">
        <x:v>4</x:v>
      </x:c>
      <x:c r="CO920" s="142" t="n">
        <x:f>IF(C920="","",COUNT(G920:CB920)/74)</x:f>
        <x:v>0</x:v>
      </x:c>
      <x:c r="CP920" s="245"/>
    </x:row>
    <x:row r="921">
      <x:c r="A921" s="165" t="n">
        <x:v>917</x:v>
      </x:c>
      <x:c r="B921" s="233" t="str">
        <x:v>آبان</x:v>
      </x:c>
      <x:c r="C921" s="233" t="n">
        <x:f>IF('دانش‌آموزان'!E81="","",'دانش‌آموزان'!B81)</x:f>
        <x:v>77</x:v>
      </x:c>
      <x:c r="D921" s="233" t="str">
        <x:f>IF('دانش‌آموزان'!C81="","",'دانش‌آموزان'!C81)</x:f>
        <x:v>4000000772</x:v>
      </x:c>
      <x:c r="E921" s="233" t="str">
        <x:f>IF('دانش‌آموزان'!E81="","",'دانش‌آموزان'!E81&amp;" "&amp;'دانش‌آموزان'!F81)</x:f>
        <x:v>سینا رحیمی</x:v>
      </x:c>
      <x:c r="F921" s="166" t="str">
        <x:f>IF('دانش‌آموزان'!I81="","",'دانش‌آموزان'!I81)</x:f>
        <x:v>sample-7-d</x:v>
      </x:c>
      <x:c r="G921" s="114"/>
      <x:c r="H921" s="115"/>
      <x:c r="I921" s="115"/>
      <x:c r="J921" s="115"/>
      <x:c r="K921" s="115"/>
      <x:c r="L921" s="115"/>
      <x:c r="M921" s="115"/>
      <x:c r="N921" s="115"/>
      <x:c r="O921" s="115"/>
      <x:c r="P921" s="115"/>
      <x:c r="Q921" s="115"/>
      <x:c r="R921" s="115"/>
      <x:c r="S921" s="115"/>
      <x:c r="T921" s="115"/>
      <x:c r="U921" s="115"/>
      <x:c r="V921" s="115"/>
      <x:c r="W921" s="115"/>
      <x:c r="X921" s="115"/>
      <x:c r="Y921" s="115"/>
      <x:c r="Z921" s="115"/>
      <x:c r="AA921" s="115"/>
      <x:c r="AB921" s="115"/>
      <x:c r="AC921" s="115"/>
      <x:c r="AD921" s="115"/>
      <x:c r="AE921" s="115"/>
      <x:c r="AF921" s="115"/>
      <x:c r="AG921" s="115"/>
      <x:c r="AH921" s="115"/>
      <x:c r="AI921" s="115"/>
      <x:c r="AJ921" s="115"/>
      <x:c r="AK921" s="115"/>
      <x:c r="AL921" s="115"/>
      <x:c r="AM921" s="115"/>
      <x:c r="AN921" s="115"/>
      <x:c r="AO921" s="115"/>
      <x:c r="AP921" s="115"/>
      <x:c r="AQ921" s="115"/>
      <x:c r="AR921" s="115"/>
      <x:c r="AS921" s="115"/>
      <x:c r="AT921" s="115"/>
      <x:c r="AU921" s="115"/>
      <x:c r="AV921" s="115"/>
      <x:c r="AW921" s="115"/>
      <x:c r="AX921" s="115"/>
      <x:c r="AY921" s="115"/>
      <x:c r="AZ921" s="115"/>
      <x:c r="BA921" s="115"/>
      <x:c r="BB921" s="115"/>
      <x:c r="BC921" s="115"/>
      <x:c r="BD921" s="115"/>
      <x:c r="BE921" s="115"/>
      <x:c r="BF921" s="115"/>
      <x:c r="BG921" s="115"/>
      <x:c r="BH921" s="115"/>
      <x:c r="BI921" s="115"/>
      <x:c r="BJ921" s="115"/>
      <x:c r="BK921" s="115"/>
      <x:c r="BL921" s="115"/>
      <x:c r="BM921" s="115"/>
      <x:c r="BN921" s="115"/>
      <x:c r="BO921" s="115"/>
      <x:c r="BP921" s="115"/>
      <x:c r="BQ921" s="115"/>
      <x:c r="BR921" s="115"/>
      <x:c r="BS921" s="115"/>
      <x:c r="BT921" s="115"/>
      <x:c r="BU921" s="115"/>
      <x:c r="BV921" s="115"/>
      <x:c r="BW921" s="115"/>
      <x:c r="BX921" s="115"/>
      <x:c r="BY921" s="115"/>
      <x:c r="BZ921" s="115"/>
      <x:c r="CA921" s="115"/>
      <x:c r="CB921" s="116"/>
      <x:c r="CC921" s="141" t="str">
        <x:f>IF(COUNT(G921:P921)=0,"",AVERAGE(G921:P921)*4)</x:f>
      </x:c>
      <x:c r="CD921" s="178" t="str">
        <x:f>IF(COUNT(Q921:Z921)=0,"",AVERAGE(Q921:Z921)*4)</x:f>
      </x:c>
      <x:c r="CE921" s="178" t="str">
        <x:f>IF(COUNT(AA921:AJ921)=0,"",AVERAGE(AA921:AJ921)*4)</x:f>
      </x:c>
      <x:c r="CF921" s="178" t="str">
        <x:f>IF(COUNT(AK921:AR921)=0,"",AVERAGE(AK921:AR921)*4)</x:f>
      </x:c>
      <x:c r="CG921" s="178" t="str">
        <x:f>IF(COUNT(AS921:AY921)=0,"",AVERAGE(AS921:AY921)*4)</x:f>
      </x:c>
      <x:c r="CH921" s="178" t="str">
        <x:f>IF(COUNT(AZ921:BG921)=0,"",AVERAGE(AZ921:BG921)*4)</x:f>
      </x:c>
      <x:c r="CI921" s="178" t="str">
        <x:f>IF(COUNT(BH921:BN921)=0,"",AVERAGE(BH921:BN921)*4)</x:f>
      </x:c>
      <x:c r="CJ921" s="178" t="str">
        <x:f>IF(COUNT(BO921:BU921)=0,"",AVERAGE(BO921:BU921)*4)</x:f>
      </x:c>
      <x:c r="CK921" s="178" t="str">
        <x:f>IF(COUNT(BV921:CB921)=0,"",AVERAGE(BV921:CB921)*4)</x:f>
      </x:c>
      <x:c r="CL921" s="178" t="str">
        <x:f>IF(C921="","",IF(COUNT(G921:CB921)&lt;74,"",(CC921*'تنظیمات وزن‌دهی'!$C$5+CD921*'تنظیمات وزن‌دهی'!$C$6+CE921*'تنظیمات وزن‌دهی'!$C$7+CF921*'تنظیمات وزن‌دهی'!$C$8+CG921*'تنظیمات وزن‌دهی'!$C$9+CH921*'تنظیمات وزن‌دهی'!$C$10+CI921*'تنظیمات وزن‌دهی'!$C$11+CJ921*'تنظیمات وزن‌دهی'!$C$12+CK921*'تنظیمات وزن‌دهی'!$C$13)/100))</x:f>
      </x:c>
      <x:c r="CM921" s="178" t="str">
        <x:f>IF(C921="","",IF(COUNT(G921:CB921)=0,"",IF(COUNT(G921:CB921)&lt;74,"موقت - اطلاعات ناقص",IF(CL921&gt;=17,"عالی",IF(CL921&gt;=14,"خوب",IF(CL921&gt;=10,"متوسط","ضعیف"))))))</x:f>
      </x:c>
      <x:c r="CN921" s="178" t="n">
        <x:v>5</x:v>
      </x:c>
      <x:c r="CO921" s="142" t="n">
        <x:f>IF(C921="","",COUNT(G921:CB921)/74)</x:f>
        <x:v>0</x:v>
      </x:c>
      <x:c r="CP921" s="245"/>
    </x:row>
    <x:row r="922">
      <x:c r="A922" s="165" t="n">
        <x:v>918</x:v>
      </x:c>
      <x:c r="B922" s="233" t="str">
        <x:v>آذر</x:v>
      </x:c>
      <x:c r="C922" s="233" t="n">
        <x:f>IF('دانش‌آموزان'!E81="","",'دانش‌آموزان'!B81)</x:f>
        <x:v>77</x:v>
      </x:c>
      <x:c r="D922" s="233" t="str">
        <x:f>IF('دانش‌آموزان'!C81="","",'دانش‌آموزان'!C81)</x:f>
        <x:v>4000000772</x:v>
      </x:c>
      <x:c r="E922" s="233" t="str">
        <x:f>IF('دانش‌آموزان'!E81="","",'دانش‌آموزان'!E81&amp;" "&amp;'دانش‌آموزان'!F81)</x:f>
        <x:v>سینا رحیمی</x:v>
      </x:c>
      <x:c r="F922" s="166" t="str">
        <x:f>IF('دانش‌آموزان'!I81="","",'دانش‌آموزان'!I81)</x:f>
        <x:v>sample-7-d</x:v>
      </x:c>
      <x:c r="G922" s="114"/>
      <x:c r="H922" s="115"/>
      <x:c r="I922" s="115"/>
      <x:c r="J922" s="115"/>
      <x:c r="K922" s="115"/>
      <x:c r="L922" s="115"/>
      <x:c r="M922" s="115"/>
      <x:c r="N922" s="115"/>
      <x:c r="O922" s="115"/>
      <x:c r="P922" s="115"/>
      <x:c r="Q922" s="115"/>
      <x:c r="R922" s="115"/>
      <x:c r="S922" s="115"/>
      <x:c r="T922" s="115"/>
      <x:c r="U922" s="115"/>
      <x:c r="V922" s="115"/>
      <x:c r="W922" s="115"/>
      <x:c r="X922" s="115"/>
      <x:c r="Y922" s="115"/>
      <x:c r="Z922" s="115"/>
      <x:c r="AA922" s="115"/>
      <x:c r="AB922" s="115"/>
      <x:c r="AC922" s="115"/>
      <x:c r="AD922" s="115"/>
      <x:c r="AE922" s="115"/>
      <x:c r="AF922" s="115"/>
      <x:c r="AG922" s="115"/>
      <x:c r="AH922" s="115"/>
      <x:c r="AI922" s="115"/>
      <x:c r="AJ922" s="115"/>
      <x:c r="AK922" s="115"/>
      <x:c r="AL922" s="115"/>
      <x:c r="AM922" s="115"/>
      <x:c r="AN922" s="115"/>
      <x:c r="AO922" s="115"/>
      <x:c r="AP922" s="115"/>
      <x:c r="AQ922" s="115"/>
      <x:c r="AR922" s="115"/>
      <x:c r="AS922" s="115"/>
      <x:c r="AT922" s="115"/>
      <x:c r="AU922" s="115"/>
      <x:c r="AV922" s="115"/>
      <x:c r="AW922" s="115"/>
      <x:c r="AX922" s="115"/>
      <x:c r="AY922" s="115"/>
      <x:c r="AZ922" s="115"/>
      <x:c r="BA922" s="115"/>
      <x:c r="BB922" s="115"/>
      <x:c r="BC922" s="115"/>
      <x:c r="BD922" s="115"/>
      <x:c r="BE922" s="115"/>
      <x:c r="BF922" s="115"/>
      <x:c r="BG922" s="115"/>
      <x:c r="BH922" s="115"/>
      <x:c r="BI922" s="115"/>
      <x:c r="BJ922" s="115"/>
      <x:c r="BK922" s="115"/>
      <x:c r="BL922" s="115"/>
      <x:c r="BM922" s="115"/>
      <x:c r="BN922" s="115"/>
      <x:c r="BO922" s="115"/>
      <x:c r="BP922" s="115"/>
      <x:c r="BQ922" s="115"/>
      <x:c r="BR922" s="115"/>
      <x:c r="BS922" s="115"/>
      <x:c r="BT922" s="115"/>
      <x:c r="BU922" s="115"/>
      <x:c r="BV922" s="115"/>
      <x:c r="BW922" s="115"/>
      <x:c r="BX922" s="115"/>
      <x:c r="BY922" s="115"/>
      <x:c r="BZ922" s="115"/>
      <x:c r="CA922" s="115"/>
      <x:c r="CB922" s="116"/>
      <x:c r="CC922" s="141" t="str">
        <x:f>IF(COUNT(G922:P922)=0,"",AVERAGE(G922:P922)*4)</x:f>
      </x:c>
      <x:c r="CD922" s="178" t="str">
        <x:f>IF(COUNT(Q922:Z922)=0,"",AVERAGE(Q922:Z922)*4)</x:f>
      </x:c>
      <x:c r="CE922" s="178" t="str">
        <x:f>IF(COUNT(AA922:AJ922)=0,"",AVERAGE(AA922:AJ922)*4)</x:f>
      </x:c>
      <x:c r="CF922" s="178" t="str">
        <x:f>IF(COUNT(AK922:AR922)=0,"",AVERAGE(AK922:AR922)*4)</x:f>
      </x:c>
      <x:c r="CG922" s="178" t="str">
        <x:f>IF(COUNT(AS922:AY922)=0,"",AVERAGE(AS922:AY922)*4)</x:f>
      </x:c>
      <x:c r="CH922" s="178" t="str">
        <x:f>IF(COUNT(AZ922:BG922)=0,"",AVERAGE(AZ922:BG922)*4)</x:f>
      </x:c>
      <x:c r="CI922" s="178" t="str">
        <x:f>IF(COUNT(BH922:BN922)=0,"",AVERAGE(BH922:BN922)*4)</x:f>
      </x:c>
      <x:c r="CJ922" s="178" t="str">
        <x:f>IF(COUNT(BO922:BU922)=0,"",AVERAGE(BO922:BU922)*4)</x:f>
      </x:c>
      <x:c r="CK922" s="178" t="str">
        <x:f>IF(COUNT(BV922:CB922)=0,"",AVERAGE(BV922:CB922)*4)</x:f>
      </x:c>
      <x:c r="CL922" s="178" t="str">
        <x:f>IF(C922="","",IF(COUNT(G922:CB922)&lt;74,"",(CC922*'تنظیمات وزن‌دهی'!$C$5+CD922*'تنظیمات وزن‌دهی'!$C$6+CE922*'تنظیمات وزن‌دهی'!$C$7+CF922*'تنظیمات وزن‌دهی'!$C$8+CG922*'تنظیمات وزن‌دهی'!$C$9+CH922*'تنظیمات وزن‌دهی'!$C$10+CI922*'تنظیمات وزن‌دهی'!$C$11+CJ922*'تنظیمات وزن‌دهی'!$C$12+CK922*'تنظیمات وزن‌دهی'!$C$13)/100))</x:f>
      </x:c>
      <x:c r="CM922" s="178" t="str">
        <x:f>IF(C922="","",IF(COUNT(G922:CB922)=0,"",IF(COUNT(G922:CB922)&lt;74,"موقت - اطلاعات ناقص",IF(CL922&gt;=17,"عالی",IF(CL922&gt;=14,"خوب",IF(CL922&gt;=10,"متوسط","ضعیف"))))))</x:f>
      </x:c>
      <x:c r="CN922" s="178" t="n">
        <x:v>6</x:v>
      </x:c>
      <x:c r="CO922" s="142" t="n">
        <x:f>IF(C922="","",COUNT(G922:CB922)/74)</x:f>
        <x:v>0</x:v>
      </x:c>
      <x:c r="CP922" s="245"/>
    </x:row>
    <x:row r="923">
      <x:c r="A923" s="165" t="n">
        <x:v>919</x:v>
      </x:c>
      <x:c r="B923" s="233" t="str">
        <x:v>دی</x:v>
      </x:c>
      <x:c r="C923" s="233" t="n">
        <x:f>IF('دانش‌آموزان'!E81="","",'دانش‌آموزان'!B81)</x:f>
        <x:v>77</x:v>
      </x:c>
      <x:c r="D923" s="233" t="str">
        <x:f>IF('دانش‌آموزان'!C81="","",'دانش‌آموزان'!C81)</x:f>
        <x:v>4000000772</x:v>
      </x:c>
      <x:c r="E923" s="233" t="str">
        <x:f>IF('دانش‌آموزان'!E81="","",'دانش‌آموزان'!E81&amp;" "&amp;'دانش‌آموزان'!F81)</x:f>
        <x:v>سینا رحیمی</x:v>
      </x:c>
      <x:c r="F923" s="166" t="str">
        <x:f>IF('دانش‌آموزان'!I81="","",'دانش‌آموزان'!I81)</x:f>
        <x:v>sample-7-d</x:v>
      </x:c>
      <x:c r="G923" s="114"/>
      <x:c r="H923" s="115"/>
      <x:c r="I923" s="115"/>
      <x:c r="J923" s="115"/>
      <x:c r="K923" s="115"/>
      <x:c r="L923" s="115"/>
      <x:c r="M923" s="115"/>
      <x:c r="N923" s="115"/>
      <x:c r="O923" s="115"/>
      <x:c r="P923" s="115"/>
      <x:c r="Q923" s="115"/>
      <x:c r="R923" s="115"/>
      <x:c r="S923" s="115"/>
      <x:c r="T923" s="115"/>
      <x:c r="U923" s="115"/>
      <x:c r="V923" s="115"/>
      <x:c r="W923" s="115"/>
      <x:c r="X923" s="115"/>
      <x:c r="Y923" s="115"/>
      <x:c r="Z923" s="115"/>
      <x:c r="AA923" s="115"/>
      <x:c r="AB923" s="115"/>
      <x:c r="AC923" s="115"/>
      <x:c r="AD923" s="115"/>
      <x:c r="AE923" s="115"/>
      <x:c r="AF923" s="115"/>
      <x:c r="AG923" s="115"/>
      <x:c r="AH923" s="115"/>
      <x:c r="AI923" s="115"/>
      <x:c r="AJ923" s="115"/>
      <x:c r="AK923" s="115"/>
      <x:c r="AL923" s="115"/>
      <x:c r="AM923" s="115"/>
      <x:c r="AN923" s="115"/>
      <x:c r="AO923" s="115"/>
      <x:c r="AP923" s="115"/>
      <x:c r="AQ923" s="115"/>
      <x:c r="AR923" s="115"/>
      <x:c r="AS923" s="115"/>
      <x:c r="AT923" s="115"/>
      <x:c r="AU923" s="115"/>
      <x:c r="AV923" s="115"/>
      <x:c r="AW923" s="115"/>
      <x:c r="AX923" s="115"/>
      <x:c r="AY923" s="115"/>
      <x:c r="AZ923" s="115"/>
      <x:c r="BA923" s="115"/>
      <x:c r="BB923" s="115"/>
      <x:c r="BC923" s="115"/>
      <x:c r="BD923" s="115"/>
      <x:c r="BE923" s="115"/>
      <x:c r="BF923" s="115"/>
      <x:c r="BG923" s="115"/>
      <x:c r="BH923" s="115"/>
      <x:c r="BI923" s="115"/>
      <x:c r="BJ923" s="115"/>
      <x:c r="BK923" s="115"/>
      <x:c r="BL923" s="115"/>
      <x:c r="BM923" s="115"/>
      <x:c r="BN923" s="115"/>
      <x:c r="BO923" s="115"/>
      <x:c r="BP923" s="115"/>
      <x:c r="BQ923" s="115"/>
      <x:c r="BR923" s="115"/>
      <x:c r="BS923" s="115"/>
      <x:c r="BT923" s="115"/>
      <x:c r="BU923" s="115"/>
      <x:c r="BV923" s="115"/>
      <x:c r="BW923" s="115"/>
      <x:c r="BX923" s="115"/>
      <x:c r="BY923" s="115"/>
      <x:c r="BZ923" s="115"/>
      <x:c r="CA923" s="115"/>
      <x:c r="CB923" s="116"/>
      <x:c r="CC923" s="141" t="str">
        <x:f>IF(COUNT(G923:P923)=0,"",AVERAGE(G923:P923)*4)</x:f>
      </x:c>
      <x:c r="CD923" s="178" t="str">
        <x:f>IF(COUNT(Q923:Z923)=0,"",AVERAGE(Q923:Z923)*4)</x:f>
      </x:c>
      <x:c r="CE923" s="178" t="str">
        <x:f>IF(COUNT(AA923:AJ923)=0,"",AVERAGE(AA923:AJ923)*4)</x:f>
      </x:c>
      <x:c r="CF923" s="178" t="str">
        <x:f>IF(COUNT(AK923:AR923)=0,"",AVERAGE(AK923:AR923)*4)</x:f>
      </x:c>
      <x:c r="CG923" s="178" t="str">
        <x:f>IF(COUNT(AS923:AY923)=0,"",AVERAGE(AS923:AY923)*4)</x:f>
      </x:c>
      <x:c r="CH923" s="178" t="str">
        <x:f>IF(COUNT(AZ923:BG923)=0,"",AVERAGE(AZ923:BG923)*4)</x:f>
      </x:c>
      <x:c r="CI923" s="178" t="str">
        <x:f>IF(COUNT(BH923:BN923)=0,"",AVERAGE(BH923:BN923)*4)</x:f>
      </x:c>
      <x:c r="CJ923" s="178" t="str">
        <x:f>IF(COUNT(BO923:BU923)=0,"",AVERAGE(BO923:BU923)*4)</x:f>
      </x:c>
      <x:c r="CK923" s="178" t="str">
        <x:f>IF(COUNT(BV923:CB923)=0,"",AVERAGE(BV923:CB923)*4)</x:f>
      </x:c>
      <x:c r="CL923" s="178" t="str">
        <x:f>IF(C923="","",IF(COUNT(G923:CB923)&lt;74,"",(CC923*'تنظیمات وزن‌دهی'!$C$5+CD923*'تنظیمات وزن‌دهی'!$C$6+CE923*'تنظیمات وزن‌دهی'!$C$7+CF923*'تنظیمات وزن‌دهی'!$C$8+CG923*'تنظیمات وزن‌دهی'!$C$9+CH923*'تنظیمات وزن‌دهی'!$C$10+CI923*'تنظیمات وزن‌دهی'!$C$11+CJ923*'تنظیمات وزن‌دهی'!$C$12+CK923*'تنظیمات وزن‌دهی'!$C$13)/100))</x:f>
      </x:c>
      <x:c r="CM923" s="178" t="str">
        <x:f>IF(C923="","",IF(COUNT(G923:CB923)=0,"",IF(COUNT(G923:CB923)&lt;74,"موقت - اطلاعات ناقص",IF(CL923&gt;=17,"عالی",IF(CL923&gt;=14,"خوب",IF(CL923&gt;=10,"متوسط","ضعیف"))))))</x:f>
      </x:c>
      <x:c r="CN923" s="178" t="n">
        <x:v>7</x:v>
      </x:c>
      <x:c r="CO923" s="142" t="n">
        <x:f>IF(C923="","",COUNT(G923:CB923)/74)</x:f>
        <x:v>0</x:v>
      </x:c>
      <x:c r="CP923" s="245"/>
    </x:row>
    <x:row r="924">
      <x:c r="A924" s="165" t="n">
        <x:v>920</x:v>
      </x:c>
      <x:c r="B924" s="233" t="str">
        <x:v>بهمن</x:v>
      </x:c>
      <x:c r="C924" s="233" t="n">
        <x:f>IF('دانش‌آموزان'!E81="","",'دانش‌آموزان'!B81)</x:f>
        <x:v>77</x:v>
      </x:c>
      <x:c r="D924" s="233" t="str">
        <x:f>IF('دانش‌آموزان'!C81="","",'دانش‌آموزان'!C81)</x:f>
        <x:v>4000000772</x:v>
      </x:c>
      <x:c r="E924" s="233" t="str">
        <x:f>IF('دانش‌آموزان'!E81="","",'دانش‌آموزان'!E81&amp;" "&amp;'دانش‌آموزان'!F81)</x:f>
        <x:v>سینا رحیمی</x:v>
      </x:c>
      <x:c r="F924" s="166" t="str">
        <x:f>IF('دانش‌آموزان'!I81="","",'دانش‌آموزان'!I81)</x:f>
        <x:v>sample-7-d</x:v>
      </x:c>
      <x:c r="G924" s="114"/>
      <x:c r="H924" s="115"/>
      <x:c r="I924" s="115"/>
      <x:c r="J924" s="115"/>
      <x:c r="K924" s="115"/>
      <x:c r="L924" s="115"/>
      <x:c r="M924" s="115"/>
      <x:c r="N924" s="115"/>
      <x:c r="O924" s="115"/>
      <x:c r="P924" s="115"/>
      <x:c r="Q924" s="115"/>
      <x:c r="R924" s="115"/>
      <x:c r="S924" s="115"/>
      <x:c r="T924" s="115"/>
      <x:c r="U924" s="115"/>
      <x:c r="V924" s="115"/>
      <x:c r="W924" s="115"/>
      <x:c r="X924" s="115"/>
      <x:c r="Y924" s="115"/>
      <x:c r="Z924" s="115"/>
      <x:c r="AA924" s="115"/>
      <x:c r="AB924" s="115"/>
      <x:c r="AC924" s="115"/>
      <x:c r="AD924" s="115"/>
      <x:c r="AE924" s="115"/>
      <x:c r="AF924" s="115"/>
      <x:c r="AG924" s="115"/>
      <x:c r="AH924" s="115"/>
      <x:c r="AI924" s="115"/>
      <x:c r="AJ924" s="115"/>
      <x:c r="AK924" s="115"/>
      <x:c r="AL924" s="115"/>
      <x:c r="AM924" s="115"/>
      <x:c r="AN924" s="115"/>
      <x:c r="AO924" s="115"/>
      <x:c r="AP924" s="115"/>
      <x:c r="AQ924" s="115"/>
      <x:c r="AR924" s="115"/>
      <x:c r="AS924" s="115"/>
      <x:c r="AT924" s="115"/>
      <x:c r="AU924" s="115"/>
      <x:c r="AV924" s="115"/>
      <x:c r="AW924" s="115"/>
      <x:c r="AX924" s="115"/>
      <x:c r="AY924" s="115"/>
      <x:c r="AZ924" s="115"/>
      <x:c r="BA924" s="115"/>
      <x:c r="BB924" s="115"/>
      <x:c r="BC924" s="115"/>
      <x:c r="BD924" s="115"/>
      <x:c r="BE924" s="115"/>
      <x:c r="BF924" s="115"/>
      <x:c r="BG924" s="115"/>
      <x:c r="BH924" s="115"/>
      <x:c r="BI924" s="115"/>
      <x:c r="BJ924" s="115"/>
      <x:c r="BK924" s="115"/>
      <x:c r="BL924" s="115"/>
      <x:c r="BM924" s="115"/>
      <x:c r="BN924" s="115"/>
      <x:c r="BO924" s="115"/>
      <x:c r="BP924" s="115"/>
      <x:c r="BQ924" s="115"/>
      <x:c r="BR924" s="115"/>
      <x:c r="BS924" s="115"/>
      <x:c r="BT924" s="115"/>
      <x:c r="BU924" s="115"/>
      <x:c r="BV924" s="115"/>
      <x:c r="BW924" s="115"/>
      <x:c r="BX924" s="115"/>
      <x:c r="BY924" s="115"/>
      <x:c r="BZ924" s="115"/>
      <x:c r="CA924" s="115"/>
      <x:c r="CB924" s="116"/>
      <x:c r="CC924" s="141" t="str">
        <x:f>IF(COUNT(G924:P924)=0,"",AVERAGE(G924:P924)*4)</x:f>
      </x:c>
      <x:c r="CD924" s="178" t="str">
        <x:f>IF(COUNT(Q924:Z924)=0,"",AVERAGE(Q924:Z924)*4)</x:f>
      </x:c>
      <x:c r="CE924" s="178" t="str">
        <x:f>IF(COUNT(AA924:AJ924)=0,"",AVERAGE(AA924:AJ924)*4)</x:f>
      </x:c>
      <x:c r="CF924" s="178" t="str">
        <x:f>IF(COUNT(AK924:AR924)=0,"",AVERAGE(AK924:AR924)*4)</x:f>
      </x:c>
      <x:c r="CG924" s="178" t="str">
        <x:f>IF(COUNT(AS924:AY924)=0,"",AVERAGE(AS924:AY924)*4)</x:f>
      </x:c>
      <x:c r="CH924" s="178" t="str">
        <x:f>IF(COUNT(AZ924:BG924)=0,"",AVERAGE(AZ924:BG924)*4)</x:f>
      </x:c>
      <x:c r="CI924" s="178" t="str">
        <x:f>IF(COUNT(BH924:BN924)=0,"",AVERAGE(BH924:BN924)*4)</x:f>
      </x:c>
      <x:c r="CJ924" s="178" t="str">
        <x:f>IF(COUNT(BO924:BU924)=0,"",AVERAGE(BO924:BU924)*4)</x:f>
      </x:c>
      <x:c r="CK924" s="178" t="str">
        <x:f>IF(COUNT(BV924:CB924)=0,"",AVERAGE(BV924:CB924)*4)</x:f>
      </x:c>
      <x:c r="CL924" s="178" t="str">
        <x:f>IF(C924="","",IF(COUNT(G924:CB924)&lt;74,"",(CC924*'تنظیمات وزن‌دهی'!$C$5+CD924*'تنظیمات وزن‌دهی'!$C$6+CE924*'تنظیمات وزن‌دهی'!$C$7+CF924*'تنظیمات وزن‌دهی'!$C$8+CG924*'تنظیمات وزن‌دهی'!$C$9+CH924*'تنظیمات وزن‌دهی'!$C$10+CI924*'تنظیمات وزن‌دهی'!$C$11+CJ924*'تنظیمات وزن‌دهی'!$C$12+CK924*'تنظیمات وزن‌دهی'!$C$13)/100))</x:f>
      </x:c>
      <x:c r="CM924" s="178" t="str">
        <x:f>IF(C924="","",IF(COUNT(G924:CB924)=0,"",IF(COUNT(G924:CB924)&lt;74,"موقت - اطلاعات ناقص",IF(CL924&gt;=17,"عالی",IF(CL924&gt;=14,"خوب",IF(CL924&gt;=10,"متوسط","ضعیف"))))))</x:f>
      </x:c>
      <x:c r="CN924" s="178" t="n">
        <x:v>8</x:v>
      </x:c>
      <x:c r="CO924" s="142" t="n">
        <x:f>IF(C924="","",COUNT(G924:CB924)/74)</x:f>
        <x:v>0</x:v>
      </x:c>
      <x:c r="CP924" s="245"/>
    </x:row>
    <x:row r="925">
      <x:c r="A925" s="165" t="n">
        <x:v>921</x:v>
      </x:c>
      <x:c r="B925" s="233" t="str">
        <x:v>اسفند</x:v>
      </x:c>
      <x:c r="C925" s="233" t="n">
        <x:f>IF('دانش‌آموزان'!E81="","",'دانش‌آموزان'!B81)</x:f>
        <x:v>77</x:v>
      </x:c>
      <x:c r="D925" s="233" t="str">
        <x:f>IF('دانش‌آموزان'!C81="","",'دانش‌آموزان'!C81)</x:f>
        <x:v>4000000772</x:v>
      </x:c>
      <x:c r="E925" s="233" t="str">
        <x:f>IF('دانش‌آموزان'!E81="","",'دانش‌آموزان'!E81&amp;" "&amp;'دانش‌آموزان'!F81)</x:f>
        <x:v>سینا رحیمی</x:v>
      </x:c>
      <x:c r="F925" s="166" t="str">
        <x:f>IF('دانش‌آموزان'!I81="","",'دانش‌آموزان'!I81)</x:f>
        <x:v>sample-7-d</x:v>
      </x:c>
      <x:c r="G925" s="114"/>
      <x:c r="H925" s="115"/>
      <x:c r="I925" s="115"/>
      <x:c r="J925" s="115"/>
      <x:c r="K925" s="115"/>
      <x:c r="L925" s="115"/>
      <x:c r="M925" s="115"/>
      <x:c r="N925" s="115"/>
      <x:c r="O925" s="115"/>
      <x:c r="P925" s="115"/>
      <x:c r="Q925" s="115"/>
      <x:c r="R925" s="115"/>
      <x:c r="S925" s="115"/>
      <x:c r="T925" s="115"/>
      <x:c r="U925" s="115"/>
      <x:c r="V925" s="115"/>
      <x:c r="W925" s="115"/>
      <x:c r="X925" s="115"/>
      <x:c r="Y925" s="115"/>
      <x:c r="Z925" s="115"/>
      <x:c r="AA925" s="115"/>
      <x:c r="AB925" s="115"/>
      <x:c r="AC925" s="115"/>
      <x:c r="AD925" s="115"/>
      <x:c r="AE925" s="115"/>
      <x:c r="AF925" s="115"/>
      <x:c r="AG925" s="115"/>
      <x:c r="AH925" s="115"/>
      <x:c r="AI925" s="115"/>
      <x:c r="AJ925" s="115"/>
      <x:c r="AK925" s="115"/>
      <x:c r="AL925" s="115"/>
      <x:c r="AM925" s="115"/>
      <x:c r="AN925" s="115"/>
      <x:c r="AO925" s="115"/>
      <x:c r="AP925" s="115"/>
      <x:c r="AQ925" s="115"/>
      <x:c r="AR925" s="115"/>
      <x:c r="AS925" s="115"/>
      <x:c r="AT925" s="115"/>
      <x:c r="AU925" s="115"/>
      <x:c r="AV925" s="115"/>
      <x:c r="AW925" s="115"/>
      <x:c r="AX925" s="115"/>
      <x:c r="AY925" s="115"/>
      <x:c r="AZ925" s="115"/>
      <x:c r="BA925" s="115"/>
      <x:c r="BB925" s="115"/>
      <x:c r="BC925" s="115"/>
      <x:c r="BD925" s="115"/>
      <x:c r="BE925" s="115"/>
      <x:c r="BF925" s="115"/>
      <x:c r="BG925" s="115"/>
      <x:c r="BH925" s="115"/>
      <x:c r="BI925" s="115"/>
      <x:c r="BJ925" s="115"/>
      <x:c r="BK925" s="115"/>
      <x:c r="BL925" s="115"/>
      <x:c r="BM925" s="115"/>
      <x:c r="BN925" s="115"/>
      <x:c r="BO925" s="115"/>
      <x:c r="BP925" s="115"/>
      <x:c r="BQ925" s="115"/>
      <x:c r="BR925" s="115"/>
      <x:c r="BS925" s="115"/>
      <x:c r="BT925" s="115"/>
      <x:c r="BU925" s="115"/>
      <x:c r="BV925" s="115"/>
      <x:c r="BW925" s="115"/>
      <x:c r="BX925" s="115"/>
      <x:c r="BY925" s="115"/>
      <x:c r="BZ925" s="115"/>
      <x:c r="CA925" s="115"/>
      <x:c r="CB925" s="116"/>
      <x:c r="CC925" s="141" t="str">
        <x:f>IF(COUNT(G925:P925)=0,"",AVERAGE(G925:P925)*4)</x:f>
      </x:c>
      <x:c r="CD925" s="178" t="str">
        <x:f>IF(COUNT(Q925:Z925)=0,"",AVERAGE(Q925:Z925)*4)</x:f>
      </x:c>
      <x:c r="CE925" s="178" t="str">
        <x:f>IF(COUNT(AA925:AJ925)=0,"",AVERAGE(AA925:AJ925)*4)</x:f>
      </x:c>
      <x:c r="CF925" s="178" t="str">
        <x:f>IF(COUNT(AK925:AR925)=0,"",AVERAGE(AK925:AR925)*4)</x:f>
      </x:c>
      <x:c r="CG925" s="178" t="str">
        <x:f>IF(COUNT(AS925:AY925)=0,"",AVERAGE(AS925:AY925)*4)</x:f>
      </x:c>
      <x:c r="CH925" s="178" t="str">
        <x:f>IF(COUNT(AZ925:BG925)=0,"",AVERAGE(AZ925:BG925)*4)</x:f>
      </x:c>
      <x:c r="CI925" s="178" t="str">
        <x:f>IF(COUNT(BH925:BN925)=0,"",AVERAGE(BH925:BN925)*4)</x:f>
      </x:c>
      <x:c r="CJ925" s="178" t="str">
        <x:f>IF(COUNT(BO925:BU925)=0,"",AVERAGE(BO925:BU925)*4)</x:f>
      </x:c>
      <x:c r="CK925" s="178" t="str">
        <x:f>IF(COUNT(BV925:CB925)=0,"",AVERAGE(BV925:CB925)*4)</x:f>
      </x:c>
      <x:c r="CL925" s="178" t="str">
        <x:f>IF(C925="","",IF(COUNT(G925:CB925)&lt;74,"",(CC925*'تنظیمات وزن‌دهی'!$C$5+CD925*'تنظیمات وزن‌دهی'!$C$6+CE925*'تنظیمات وزن‌دهی'!$C$7+CF925*'تنظیمات وزن‌دهی'!$C$8+CG925*'تنظیمات وزن‌دهی'!$C$9+CH925*'تنظیمات وزن‌دهی'!$C$10+CI925*'تنظیمات وزن‌دهی'!$C$11+CJ925*'تنظیمات وزن‌دهی'!$C$12+CK925*'تنظیمات وزن‌دهی'!$C$13)/100))</x:f>
      </x:c>
      <x:c r="CM925" s="178" t="str">
        <x:f>IF(C925="","",IF(COUNT(G925:CB925)=0,"",IF(COUNT(G925:CB925)&lt;74,"موقت - اطلاعات ناقص",IF(CL925&gt;=17,"عالی",IF(CL925&gt;=14,"خوب",IF(CL925&gt;=10,"متوسط","ضعیف"))))))</x:f>
      </x:c>
      <x:c r="CN925" s="178" t="n">
        <x:v>9</x:v>
      </x:c>
      <x:c r="CO925" s="142" t="n">
        <x:f>IF(C925="","",COUNT(G925:CB925)/74)</x:f>
        <x:v>0</x:v>
      </x:c>
      <x:c r="CP925" s="245"/>
    </x:row>
    <x:row r="926">
      <x:c r="A926" s="165" t="n">
        <x:v>922</x:v>
      </x:c>
      <x:c r="B926" s="233" t="str">
        <x:v>فروردین</x:v>
      </x:c>
      <x:c r="C926" s="233" t="n">
        <x:f>IF('دانش‌آموزان'!E81="","",'دانش‌آموزان'!B81)</x:f>
        <x:v>77</x:v>
      </x:c>
      <x:c r="D926" s="233" t="str">
        <x:f>IF('دانش‌آموزان'!C81="","",'دانش‌آموزان'!C81)</x:f>
        <x:v>4000000772</x:v>
      </x:c>
      <x:c r="E926" s="233" t="str">
        <x:f>IF('دانش‌آموزان'!E81="","",'دانش‌آموزان'!E81&amp;" "&amp;'دانش‌آموزان'!F81)</x:f>
        <x:v>سینا رحیمی</x:v>
      </x:c>
      <x:c r="F926" s="166" t="str">
        <x:f>IF('دانش‌آموزان'!I81="","",'دانش‌آموزان'!I81)</x:f>
        <x:v>sample-7-d</x:v>
      </x:c>
      <x:c r="G926" s="114"/>
      <x:c r="H926" s="115"/>
      <x:c r="I926" s="115"/>
      <x:c r="J926" s="115"/>
      <x:c r="K926" s="115"/>
      <x:c r="L926" s="115"/>
      <x:c r="M926" s="115"/>
      <x:c r="N926" s="115"/>
      <x:c r="O926" s="115"/>
      <x:c r="P926" s="115"/>
      <x:c r="Q926" s="115"/>
      <x:c r="R926" s="115"/>
      <x:c r="S926" s="115"/>
      <x:c r="T926" s="115"/>
      <x:c r="U926" s="115"/>
      <x:c r="V926" s="115"/>
      <x:c r="W926" s="115"/>
      <x:c r="X926" s="115"/>
      <x:c r="Y926" s="115"/>
      <x:c r="Z926" s="115"/>
      <x:c r="AA926" s="115"/>
      <x:c r="AB926" s="115"/>
      <x:c r="AC926" s="115"/>
      <x:c r="AD926" s="115"/>
      <x:c r="AE926" s="115"/>
      <x:c r="AF926" s="115"/>
      <x:c r="AG926" s="115"/>
      <x:c r="AH926" s="115"/>
      <x:c r="AI926" s="115"/>
      <x:c r="AJ926" s="115"/>
      <x:c r="AK926" s="115"/>
      <x:c r="AL926" s="115"/>
      <x:c r="AM926" s="115"/>
      <x:c r="AN926" s="115"/>
      <x:c r="AO926" s="115"/>
      <x:c r="AP926" s="115"/>
      <x:c r="AQ926" s="115"/>
      <x:c r="AR926" s="115"/>
      <x:c r="AS926" s="115"/>
      <x:c r="AT926" s="115"/>
      <x:c r="AU926" s="115"/>
      <x:c r="AV926" s="115"/>
      <x:c r="AW926" s="115"/>
      <x:c r="AX926" s="115"/>
      <x:c r="AY926" s="115"/>
      <x:c r="AZ926" s="115"/>
      <x:c r="BA926" s="115"/>
      <x:c r="BB926" s="115"/>
      <x:c r="BC926" s="115"/>
      <x:c r="BD926" s="115"/>
      <x:c r="BE926" s="115"/>
      <x:c r="BF926" s="115"/>
      <x:c r="BG926" s="115"/>
      <x:c r="BH926" s="115"/>
      <x:c r="BI926" s="115"/>
      <x:c r="BJ926" s="115"/>
      <x:c r="BK926" s="115"/>
      <x:c r="BL926" s="115"/>
      <x:c r="BM926" s="115"/>
      <x:c r="BN926" s="115"/>
      <x:c r="BO926" s="115"/>
      <x:c r="BP926" s="115"/>
      <x:c r="BQ926" s="115"/>
      <x:c r="BR926" s="115"/>
      <x:c r="BS926" s="115"/>
      <x:c r="BT926" s="115"/>
      <x:c r="BU926" s="115"/>
      <x:c r="BV926" s="115"/>
      <x:c r="BW926" s="115"/>
      <x:c r="BX926" s="115"/>
      <x:c r="BY926" s="115"/>
      <x:c r="BZ926" s="115"/>
      <x:c r="CA926" s="115"/>
      <x:c r="CB926" s="116"/>
      <x:c r="CC926" s="141" t="str">
        <x:f>IF(COUNT(G926:P926)=0,"",AVERAGE(G926:P926)*4)</x:f>
      </x:c>
      <x:c r="CD926" s="178" t="str">
        <x:f>IF(COUNT(Q926:Z926)=0,"",AVERAGE(Q926:Z926)*4)</x:f>
      </x:c>
      <x:c r="CE926" s="178" t="str">
        <x:f>IF(COUNT(AA926:AJ926)=0,"",AVERAGE(AA926:AJ926)*4)</x:f>
      </x:c>
      <x:c r="CF926" s="178" t="str">
        <x:f>IF(COUNT(AK926:AR926)=0,"",AVERAGE(AK926:AR926)*4)</x:f>
      </x:c>
      <x:c r="CG926" s="178" t="str">
        <x:f>IF(COUNT(AS926:AY926)=0,"",AVERAGE(AS926:AY926)*4)</x:f>
      </x:c>
      <x:c r="CH926" s="178" t="str">
        <x:f>IF(COUNT(AZ926:BG926)=0,"",AVERAGE(AZ926:BG926)*4)</x:f>
      </x:c>
      <x:c r="CI926" s="178" t="str">
        <x:f>IF(COUNT(BH926:BN926)=0,"",AVERAGE(BH926:BN926)*4)</x:f>
      </x:c>
      <x:c r="CJ926" s="178" t="str">
        <x:f>IF(COUNT(BO926:BU926)=0,"",AVERAGE(BO926:BU926)*4)</x:f>
      </x:c>
      <x:c r="CK926" s="178" t="str">
        <x:f>IF(COUNT(BV926:CB926)=0,"",AVERAGE(BV926:CB926)*4)</x:f>
      </x:c>
      <x:c r="CL926" s="178" t="str">
        <x:f>IF(C926="","",IF(COUNT(G926:CB926)&lt;74,"",(CC926*'تنظیمات وزن‌دهی'!$C$5+CD926*'تنظیمات وزن‌دهی'!$C$6+CE926*'تنظیمات وزن‌دهی'!$C$7+CF926*'تنظیمات وزن‌دهی'!$C$8+CG926*'تنظیمات وزن‌دهی'!$C$9+CH926*'تنظیمات وزن‌دهی'!$C$10+CI926*'تنظیمات وزن‌دهی'!$C$11+CJ926*'تنظیمات وزن‌دهی'!$C$12+CK926*'تنظیمات وزن‌دهی'!$C$13)/100))</x:f>
      </x:c>
      <x:c r="CM926" s="178" t="str">
        <x:f>IF(C926="","",IF(COUNT(G926:CB926)=0,"",IF(COUNT(G926:CB926)&lt;74,"موقت - اطلاعات ناقص",IF(CL926&gt;=17,"عالی",IF(CL926&gt;=14,"خوب",IF(CL926&gt;=10,"متوسط","ضعیف"))))))</x:f>
      </x:c>
      <x:c r="CN926" s="178" t="n">
        <x:v>10</x:v>
      </x:c>
      <x:c r="CO926" s="142" t="n">
        <x:f>IF(C926="","",COUNT(G926:CB926)/74)</x:f>
        <x:v>0</x:v>
      </x:c>
      <x:c r="CP926" s="245"/>
    </x:row>
    <x:row r="927">
      <x:c r="A927" s="165" t="n">
        <x:v>923</x:v>
      </x:c>
      <x:c r="B927" s="233" t="str">
        <x:v>اردیبهشت</x:v>
      </x:c>
      <x:c r="C927" s="233" t="n">
        <x:f>IF('دانش‌آموزان'!E81="","",'دانش‌آموزان'!B81)</x:f>
        <x:v>77</x:v>
      </x:c>
      <x:c r="D927" s="233" t="str">
        <x:f>IF('دانش‌آموزان'!C81="","",'دانش‌آموزان'!C81)</x:f>
        <x:v>4000000772</x:v>
      </x:c>
      <x:c r="E927" s="233" t="str">
        <x:f>IF('دانش‌آموزان'!E81="","",'دانش‌آموزان'!E81&amp;" "&amp;'دانش‌آموزان'!F81)</x:f>
        <x:v>سینا رحیمی</x:v>
      </x:c>
      <x:c r="F927" s="166" t="str">
        <x:f>IF('دانش‌آموزان'!I81="","",'دانش‌آموزان'!I81)</x:f>
        <x:v>sample-7-d</x:v>
      </x:c>
      <x:c r="G927" s="114"/>
      <x:c r="H927" s="115"/>
      <x:c r="I927" s="115"/>
      <x:c r="J927" s="115"/>
      <x:c r="K927" s="115"/>
      <x:c r="L927" s="115"/>
      <x:c r="M927" s="115"/>
      <x:c r="N927" s="115"/>
      <x:c r="O927" s="115"/>
      <x:c r="P927" s="115"/>
      <x:c r="Q927" s="115"/>
      <x:c r="R927" s="115"/>
      <x:c r="S927" s="115"/>
      <x:c r="T927" s="115"/>
      <x:c r="U927" s="115"/>
      <x:c r="V927" s="115"/>
      <x:c r="W927" s="115"/>
      <x:c r="X927" s="115"/>
      <x:c r="Y927" s="115"/>
      <x:c r="Z927" s="115"/>
      <x:c r="AA927" s="115"/>
      <x:c r="AB927" s="115"/>
      <x:c r="AC927" s="115"/>
      <x:c r="AD927" s="115"/>
      <x:c r="AE927" s="115"/>
      <x:c r="AF927" s="115"/>
      <x:c r="AG927" s="115"/>
      <x:c r="AH927" s="115"/>
      <x:c r="AI927" s="115"/>
      <x:c r="AJ927" s="115"/>
      <x:c r="AK927" s="115"/>
      <x:c r="AL927" s="115"/>
      <x:c r="AM927" s="115"/>
      <x:c r="AN927" s="115"/>
      <x:c r="AO927" s="115"/>
      <x:c r="AP927" s="115"/>
      <x:c r="AQ927" s="115"/>
      <x:c r="AR927" s="115"/>
      <x:c r="AS927" s="115"/>
      <x:c r="AT927" s="115"/>
      <x:c r="AU927" s="115"/>
      <x:c r="AV927" s="115"/>
      <x:c r="AW927" s="115"/>
      <x:c r="AX927" s="115"/>
      <x:c r="AY927" s="115"/>
      <x:c r="AZ927" s="115"/>
      <x:c r="BA927" s="115"/>
      <x:c r="BB927" s="115"/>
      <x:c r="BC927" s="115"/>
      <x:c r="BD927" s="115"/>
      <x:c r="BE927" s="115"/>
      <x:c r="BF927" s="115"/>
      <x:c r="BG927" s="115"/>
      <x:c r="BH927" s="115"/>
      <x:c r="BI927" s="115"/>
      <x:c r="BJ927" s="115"/>
      <x:c r="BK927" s="115"/>
      <x:c r="BL927" s="115"/>
      <x:c r="BM927" s="115"/>
      <x:c r="BN927" s="115"/>
      <x:c r="BO927" s="115"/>
      <x:c r="BP927" s="115"/>
      <x:c r="BQ927" s="115"/>
      <x:c r="BR927" s="115"/>
      <x:c r="BS927" s="115"/>
      <x:c r="BT927" s="115"/>
      <x:c r="BU927" s="115"/>
      <x:c r="BV927" s="115"/>
      <x:c r="BW927" s="115"/>
      <x:c r="BX927" s="115"/>
      <x:c r="BY927" s="115"/>
      <x:c r="BZ927" s="115"/>
      <x:c r="CA927" s="115"/>
      <x:c r="CB927" s="116"/>
      <x:c r="CC927" s="141" t="str">
        <x:f>IF(COUNT(G927:P927)=0,"",AVERAGE(G927:P927)*4)</x:f>
      </x:c>
      <x:c r="CD927" s="178" t="str">
        <x:f>IF(COUNT(Q927:Z927)=0,"",AVERAGE(Q927:Z927)*4)</x:f>
      </x:c>
      <x:c r="CE927" s="178" t="str">
        <x:f>IF(COUNT(AA927:AJ927)=0,"",AVERAGE(AA927:AJ927)*4)</x:f>
      </x:c>
      <x:c r="CF927" s="178" t="str">
        <x:f>IF(COUNT(AK927:AR927)=0,"",AVERAGE(AK927:AR927)*4)</x:f>
      </x:c>
      <x:c r="CG927" s="178" t="str">
        <x:f>IF(COUNT(AS927:AY927)=0,"",AVERAGE(AS927:AY927)*4)</x:f>
      </x:c>
      <x:c r="CH927" s="178" t="str">
        <x:f>IF(COUNT(AZ927:BG927)=0,"",AVERAGE(AZ927:BG927)*4)</x:f>
      </x:c>
      <x:c r="CI927" s="178" t="str">
        <x:f>IF(COUNT(BH927:BN927)=0,"",AVERAGE(BH927:BN927)*4)</x:f>
      </x:c>
      <x:c r="CJ927" s="178" t="str">
        <x:f>IF(COUNT(BO927:BU927)=0,"",AVERAGE(BO927:BU927)*4)</x:f>
      </x:c>
      <x:c r="CK927" s="178" t="str">
        <x:f>IF(COUNT(BV927:CB927)=0,"",AVERAGE(BV927:CB927)*4)</x:f>
      </x:c>
      <x:c r="CL927" s="178" t="str">
        <x:f>IF(C927="","",IF(COUNT(G927:CB927)&lt;74,"",(CC927*'تنظیمات وزن‌دهی'!$C$5+CD927*'تنظیمات وزن‌دهی'!$C$6+CE927*'تنظیمات وزن‌دهی'!$C$7+CF927*'تنظیمات وزن‌دهی'!$C$8+CG927*'تنظیمات وزن‌دهی'!$C$9+CH927*'تنظیمات وزن‌دهی'!$C$10+CI927*'تنظیمات وزن‌دهی'!$C$11+CJ927*'تنظیمات وزن‌دهی'!$C$12+CK927*'تنظیمات وزن‌دهی'!$C$13)/100))</x:f>
      </x:c>
      <x:c r="CM927" s="178" t="str">
        <x:f>IF(C927="","",IF(COUNT(G927:CB927)=0,"",IF(COUNT(G927:CB927)&lt;74,"موقت - اطلاعات ناقص",IF(CL927&gt;=17,"عالی",IF(CL927&gt;=14,"خوب",IF(CL927&gt;=10,"متوسط","ضعیف"))))))</x:f>
      </x:c>
      <x:c r="CN927" s="178" t="n">
        <x:v>11</x:v>
      </x:c>
      <x:c r="CO927" s="142" t="n">
        <x:f>IF(C927="","",COUNT(G927:CB927)/74)</x:f>
        <x:v>0</x:v>
      </x:c>
      <x:c r="CP927" s="245"/>
    </x:row>
    <x:row r="928">
      <x:c r="A928" s="165" t="n">
        <x:v>924</x:v>
      </x:c>
      <x:c r="B928" s="233" t="str">
        <x:v>خرداد</x:v>
      </x:c>
      <x:c r="C928" s="233" t="n">
        <x:f>IF('دانش‌آموزان'!E81="","",'دانش‌آموزان'!B81)</x:f>
        <x:v>77</x:v>
      </x:c>
      <x:c r="D928" s="233" t="str">
        <x:f>IF('دانش‌آموزان'!C81="","",'دانش‌آموزان'!C81)</x:f>
        <x:v>4000000772</x:v>
      </x:c>
      <x:c r="E928" s="233" t="str">
        <x:f>IF('دانش‌آموزان'!E81="","",'دانش‌آموزان'!E81&amp;" "&amp;'دانش‌آموزان'!F81)</x:f>
        <x:v>سینا رحیمی</x:v>
      </x:c>
      <x:c r="F928" s="166" t="str">
        <x:f>IF('دانش‌آموزان'!I81="","",'دانش‌آموزان'!I81)</x:f>
        <x:v>sample-7-d</x:v>
      </x:c>
      <x:c r="G928" s="114"/>
      <x:c r="H928" s="115"/>
      <x:c r="I928" s="115"/>
      <x:c r="J928" s="115"/>
      <x:c r="K928" s="115"/>
      <x:c r="L928" s="115"/>
      <x:c r="M928" s="115"/>
      <x:c r="N928" s="115"/>
      <x:c r="O928" s="115"/>
      <x:c r="P928" s="115"/>
      <x:c r="Q928" s="115"/>
      <x:c r="R928" s="115"/>
      <x:c r="S928" s="115"/>
      <x:c r="T928" s="115"/>
      <x:c r="U928" s="115"/>
      <x:c r="V928" s="115"/>
      <x:c r="W928" s="115"/>
      <x:c r="X928" s="115"/>
      <x:c r="Y928" s="115"/>
      <x:c r="Z928" s="115"/>
      <x:c r="AA928" s="115"/>
      <x:c r="AB928" s="115"/>
      <x:c r="AC928" s="115"/>
      <x:c r="AD928" s="115"/>
      <x:c r="AE928" s="115"/>
      <x:c r="AF928" s="115"/>
      <x:c r="AG928" s="115"/>
      <x:c r="AH928" s="115"/>
      <x:c r="AI928" s="115"/>
      <x:c r="AJ928" s="115"/>
      <x:c r="AK928" s="115"/>
      <x:c r="AL928" s="115"/>
      <x:c r="AM928" s="115"/>
      <x:c r="AN928" s="115"/>
      <x:c r="AO928" s="115"/>
      <x:c r="AP928" s="115"/>
      <x:c r="AQ928" s="115"/>
      <x:c r="AR928" s="115"/>
      <x:c r="AS928" s="115"/>
      <x:c r="AT928" s="115"/>
      <x:c r="AU928" s="115"/>
      <x:c r="AV928" s="115"/>
      <x:c r="AW928" s="115"/>
      <x:c r="AX928" s="115"/>
      <x:c r="AY928" s="115"/>
      <x:c r="AZ928" s="115"/>
      <x:c r="BA928" s="115"/>
      <x:c r="BB928" s="115"/>
      <x:c r="BC928" s="115"/>
      <x:c r="BD928" s="115"/>
      <x:c r="BE928" s="115"/>
      <x:c r="BF928" s="115"/>
      <x:c r="BG928" s="115"/>
      <x:c r="BH928" s="115"/>
      <x:c r="BI928" s="115"/>
      <x:c r="BJ928" s="115"/>
      <x:c r="BK928" s="115"/>
      <x:c r="BL928" s="115"/>
      <x:c r="BM928" s="115"/>
      <x:c r="BN928" s="115"/>
      <x:c r="BO928" s="115"/>
      <x:c r="BP928" s="115"/>
      <x:c r="BQ928" s="115"/>
      <x:c r="BR928" s="115"/>
      <x:c r="BS928" s="115"/>
      <x:c r="BT928" s="115"/>
      <x:c r="BU928" s="115"/>
      <x:c r="BV928" s="115"/>
      <x:c r="BW928" s="115"/>
      <x:c r="BX928" s="115"/>
      <x:c r="BY928" s="115"/>
      <x:c r="BZ928" s="115"/>
      <x:c r="CA928" s="115"/>
      <x:c r="CB928" s="116"/>
      <x:c r="CC928" s="141" t="str">
        <x:f>IF(COUNT(G928:P928)=0,"",AVERAGE(G928:P928)*4)</x:f>
      </x:c>
      <x:c r="CD928" s="178" t="str">
        <x:f>IF(COUNT(Q928:Z928)=0,"",AVERAGE(Q928:Z928)*4)</x:f>
      </x:c>
      <x:c r="CE928" s="178" t="str">
        <x:f>IF(COUNT(AA928:AJ928)=0,"",AVERAGE(AA928:AJ928)*4)</x:f>
      </x:c>
      <x:c r="CF928" s="178" t="str">
        <x:f>IF(COUNT(AK928:AR928)=0,"",AVERAGE(AK928:AR928)*4)</x:f>
      </x:c>
      <x:c r="CG928" s="178" t="str">
        <x:f>IF(COUNT(AS928:AY928)=0,"",AVERAGE(AS928:AY928)*4)</x:f>
      </x:c>
      <x:c r="CH928" s="178" t="str">
        <x:f>IF(COUNT(AZ928:BG928)=0,"",AVERAGE(AZ928:BG928)*4)</x:f>
      </x:c>
      <x:c r="CI928" s="178" t="str">
        <x:f>IF(COUNT(BH928:BN928)=0,"",AVERAGE(BH928:BN928)*4)</x:f>
      </x:c>
      <x:c r="CJ928" s="178" t="str">
        <x:f>IF(COUNT(BO928:BU928)=0,"",AVERAGE(BO928:BU928)*4)</x:f>
      </x:c>
      <x:c r="CK928" s="178" t="str">
        <x:f>IF(COUNT(BV928:CB928)=0,"",AVERAGE(BV928:CB928)*4)</x:f>
      </x:c>
      <x:c r="CL928" s="178" t="str">
        <x:f>IF(C928="","",IF(COUNT(G928:CB928)&lt;74,"",(CC928*'تنظیمات وزن‌دهی'!$C$5+CD928*'تنظیمات وزن‌دهی'!$C$6+CE928*'تنظیمات وزن‌دهی'!$C$7+CF928*'تنظیمات وزن‌دهی'!$C$8+CG928*'تنظیمات وزن‌دهی'!$C$9+CH928*'تنظیمات وزن‌دهی'!$C$10+CI928*'تنظیمات وزن‌دهی'!$C$11+CJ928*'تنظیمات وزن‌دهی'!$C$12+CK928*'تنظیمات وزن‌دهی'!$C$13)/100))</x:f>
      </x:c>
      <x:c r="CM928" s="178" t="str">
        <x:f>IF(C928="","",IF(COUNT(G928:CB928)=0,"",IF(COUNT(G928:CB928)&lt;74,"موقت - اطلاعات ناقص",IF(CL928&gt;=17,"عالی",IF(CL928&gt;=14,"خوب",IF(CL928&gt;=10,"متوسط","ضعیف"))))))</x:f>
      </x:c>
      <x:c r="CN928" s="178" t="n">
        <x:v>12</x:v>
      </x:c>
      <x:c r="CO928" s="142" t="n">
        <x:f>IF(C928="","",COUNT(G928:CB928)/74)</x:f>
        <x:v>0</x:v>
      </x:c>
      <x:c r="CP928" s="245"/>
    </x:row>
    <x:row r="929">
      <x:c r="A929" s="165" t="n">
        <x:v>925</x:v>
      </x:c>
      <x:c r="B929" s="233" t="str">
        <x:v>تیر</x:v>
      </x:c>
      <x:c r="C929" s="233" t="n">
        <x:f>IF('دانش‌آموزان'!E82="","",'دانش‌آموزان'!B82)</x:f>
        <x:v>78</x:v>
      </x:c>
      <x:c r="D929" s="233" t="str">
        <x:f>IF('دانش‌آموزان'!C82="","",'دانش‌آموزان'!C82)</x:f>
        <x:v>4000000780</x:v>
      </x:c>
      <x:c r="E929" s="233" t="str">
        <x:f>IF('دانش‌آموزان'!E82="","",'دانش‌آموزان'!E82&amp;" "&amp;'دانش‌آموزان'!F82)</x:f>
        <x:v>یسنا حیدری</x:v>
      </x:c>
      <x:c r="F929" s="166" t="str">
        <x:f>IF('دانش‌آموزان'!I82="","",'دانش‌آموزان'!I82)</x:f>
        <x:v>sample-7-d</x:v>
      </x:c>
      <x:c r="G929" s="114" t="n">
        <x:v>2</x:v>
      </x:c>
      <x:c r="H929" s="115" t="n">
        <x:v>4</x:v>
      </x:c>
      <x:c r="I929" s="115" t="n">
        <x:v>5</x:v>
      </x:c>
      <x:c r="J929" s="115" t="n">
        <x:v>4</x:v>
      </x:c>
      <x:c r="K929" s="115" t="n">
        <x:v>5</x:v>
      </x:c>
      <x:c r="L929" s="115" t="n">
        <x:v>3</x:v>
      </x:c>
      <x:c r="M929" s="115" t="n">
        <x:v>5</x:v>
      </x:c>
      <x:c r="N929" s="115" t="n">
        <x:v>3</x:v>
      </x:c>
      <x:c r="O929" s="115" t="n">
        <x:v>4</x:v>
      </x:c>
      <x:c r="P929" s="115" t="n">
        <x:v>3</x:v>
      </x:c>
      <x:c r="Q929" s="115" t="n">
        <x:v>4</x:v>
      </x:c>
      <x:c r="R929" s="115" t="n">
        <x:v>2</x:v>
      </x:c>
      <x:c r="S929" s="115" t="n">
        <x:v>4</x:v>
      </x:c>
      <x:c r="T929" s="115" t="n">
        <x:v>5</x:v>
      </x:c>
      <x:c r="U929" s="115" t="n">
        <x:v>4</x:v>
      </x:c>
      <x:c r="V929" s="115" t="n">
        <x:v>5</x:v>
      </x:c>
      <x:c r="W929" s="115" t="n">
        <x:v>3</x:v>
      </x:c>
      <x:c r="X929" s="115" t="n">
        <x:v>5</x:v>
      </x:c>
      <x:c r="Y929" s="115" t="n">
        <x:v>3</x:v>
      </x:c>
      <x:c r="Z929" s="115" t="n">
        <x:v>4</x:v>
      </x:c>
      <x:c r="AA929" s="115" t="n">
        <x:v>3</x:v>
      </x:c>
      <x:c r="AB929" s="115" t="n">
        <x:v>4</x:v>
      </x:c>
      <x:c r="AC929" s="115" t="n">
        <x:v>2</x:v>
      </x:c>
      <x:c r="AD929" s="115" t="n">
        <x:v>4</x:v>
      </x:c>
      <x:c r="AE929" s="115" t="n">
        <x:v>5</x:v>
      </x:c>
      <x:c r="AF929" s="115" t="n">
        <x:v>4</x:v>
      </x:c>
      <x:c r="AG929" s="115" t="n">
        <x:v>5</x:v>
      </x:c>
      <x:c r="AH929" s="115" t="n">
        <x:v>3</x:v>
      </x:c>
      <x:c r="AI929" s="115" t="n">
        <x:v>5</x:v>
      </x:c>
      <x:c r="AJ929" s="115" t="n">
        <x:v>3</x:v>
      </x:c>
      <x:c r="AK929" s="115" t="n">
        <x:v>4</x:v>
      </x:c>
      <x:c r="AL929" s="115" t="n">
        <x:v>3</x:v>
      </x:c>
      <x:c r="AM929" s="115" t="n">
        <x:v>4</x:v>
      </x:c>
      <x:c r="AN929" s="115" t="n">
        <x:v>2</x:v>
      </x:c>
      <x:c r="AO929" s="115" t="n">
        <x:v>4</x:v>
      </x:c>
      <x:c r="AP929" s="115" t="n">
        <x:v>5</x:v>
      </x:c>
      <x:c r="AQ929" s="115" t="n">
        <x:v>4</x:v>
      </x:c>
      <x:c r="AR929" s="115" t="n">
        <x:v>5</x:v>
      </x:c>
      <x:c r="AS929" s="115" t="n">
        <x:v>3</x:v>
      </x:c>
      <x:c r="AT929" s="115" t="n">
        <x:v>5</x:v>
      </x:c>
      <x:c r="AU929" s="115" t="n">
        <x:v>3</x:v>
      </x:c>
      <x:c r="AV929" s="115" t="n">
        <x:v>4</x:v>
      </x:c>
      <x:c r="AW929" s="115" t="n">
        <x:v>3</x:v>
      </x:c>
      <x:c r="AX929" s="115" t="n">
        <x:v>4</x:v>
      </x:c>
      <x:c r="AY929" s="115" t="n">
        <x:v>2</x:v>
      </x:c>
      <x:c r="AZ929" s="115" t="n">
        <x:v>4</x:v>
      </x:c>
      <x:c r="BA929" s="115" t="n">
        <x:v>5</x:v>
      </x:c>
      <x:c r="BB929" s="115" t="n">
        <x:v>4</x:v>
      </x:c>
      <x:c r="BC929" s="115" t="n">
        <x:v>5</x:v>
      </x:c>
      <x:c r="BD929" s="115" t="n">
        <x:v>3</x:v>
      </x:c>
      <x:c r="BE929" s="115" t="n">
        <x:v>5</x:v>
      </x:c>
      <x:c r="BF929" s="115" t="n">
        <x:v>3</x:v>
      </x:c>
      <x:c r="BG929" s="115" t="n">
        <x:v>4</x:v>
      </x:c>
      <x:c r="BH929" s="115" t="n">
        <x:v>3</x:v>
      </x:c>
      <x:c r="BI929" s="115" t="n">
        <x:v>4</x:v>
      </x:c>
      <x:c r="BJ929" s="115" t="n">
        <x:v>2</x:v>
      </x:c>
      <x:c r="BK929" s="115" t="n">
        <x:v>4</x:v>
      </x:c>
      <x:c r="BL929" s="115" t="n">
        <x:v>5</x:v>
      </x:c>
      <x:c r="BM929" s="115" t="n">
        <x:v>4</x:v>
      </x:c>
      <x:c r="BN929" s="115" t="n">
        <x:v>5</x:v>
      </x:c>
      <x:c r="BO929" s="115" t="n">
        <x:v>3</x:v>
      </x:c>
      <x:c r="BP929" s="115" t="n">
        <x:v>5</x:v>
      </x:c>
      <x:c r="BQ929" s="115" t="n">
        <x:v>3</x:v>
      </x:c>
      <x:c r="BR929" s="115" t="n">
        <x:v>4</x:v>
      </x:c>
      <x:c r="BS929" s="115" t="n">
        <x:v>3</x:v>
      </x:c>
      <x:c r="BT929" s="115" t="n">
        <x:v>4</x:v>
      </x:c>
      <x:c r="BU929" s="115" t="n">
        <x:v>2</x:v>
      </x:c>
      <x:c r="BV929" s="115" t="n">
        <x:v>4</x:v>
      </x:c>
      <x:c r="BW929" s="115" t="n">
        <x:v>5</x:v>
      </x:c>
      <x:c r="BX929" s="115" t="n">
        <x:v>4</x:v>
      </x:c>
      <x:c r="BY929" s="115" t="n">
        <x:v>5</x:v>
      </x:c>
      <x:c r="BZ929" s="115" t="n">
        <x:v>3</x:v>
      </x:c>
      <x:c r="CA929" s="115" t="n">
        <x:v>5</x:v>
      </x:c>
      <x:c r="CB929" s="116" t="n">
        <x:v>3</x:v>
      </x:c>
      <x:c r="CC929" s="141" t="n">
        <x:f>IF(COUNT(G929:P929)=0,"",AVERAGE(G929:P929)*4)</x:f>
        <x:v>15.2</x:v>
      </x:c>
      <x:c r="CD929" s="178" t="n">
        <x:f>IF(COUNT(Q929:Z929)=0,"",AVERAGE(Q929:Z929)*4)</x:f>
        <x:v>15.6</x:v>
      </x:c>
      <x:c r="CE929" s="178" t="n">
        <x:f>IF(COUNT(AA929:AJ929)=0,"",AVERAGE(AA929:AJ929)*4)</x:f>
        <x:v>15.2</x:v>
      </x:c>
      <x:c r="CF929" s="178" t="n">
        <x:f>IF(COUNT(AK929:AR929)=0,"",AVERAGE(AK929:AR929)*4)</x:f>
        <x:v>15.5</x:v>
      </x:c>
      <x:c r="CG929" s="178" t="n">
        <x:f>IF(COUNT(AS929:AY929)=0,"",AVERAGE(AS929:AY929)*4)</x:f>
        <x:v>13.714285714285714</x:v>
      </x:c>
      <x:c r="CH929" s="178" t="n">
        <x:f>IF(COUNT(AZ929:BG929)=0,"",AVERAGE(AZ929:BG929)*4)</x:f>
        <x:v>16.5</x:v>
      </x:c>
      <x:c r="CI929" s="178" t="n">
        <x:f>IF(COUNT(BH929:BN929)=0,"",AVERAGE(BH929:BN929)*4)</x:f>
        <x:v>15.428571428571429</x:v>
      </x:c>
      <x:c r="CJ929" s="178" t="n">
        <x:f>IF(COUNT(BO929:BU929)=0,"",AVERAGE(BO929:BU929)*4)</x:f>
        <x:v>13.714285714285714</x:v>
      </x:c>
      <x:c r="CK929" s="178" t="n">
        <x:f>IF(COUNT(BV929:CB929)=0,"",AVERAGE(BV929:CB929)*4)</x:f>
        <x:v>16.571428571428573</x:v>
      </x:c>
      <x:c r="CL929" s="178" t="n">
        <x:f>IF(C929="","",IF(COUNT(G929:CB929)&lt;74,"",(CC929*'تنظیمات وزن‌دهی'!$C$5+CD929*'تنظیمات وزن‌دهی'!$C$6+CE929*'تنظیمات وزن‌دهی'!$C$7+CF929*'تنظیمات وزن‌دهی'!$C$8+CG929*'تنظیمات وزن‌دهی'!$C$9+CH929*'تنظیمات وزن‌دهی'!$C$10+CI929*'تنظیمات وزن‌دهی'!$C$11+CJ929*'تنظیمات وزن‌دهی'!$C$12+CK929*'تنظیمات وزن‌دهی'!$C$13)/100))</x:f>
        <x:v>15.327857142857143</x:v>
      </x:c>
      <x:c r="CM929" s="178" t="str">
        <x:f>IF(C929="","",IF(COUNT(G929:CB929)=0,"",IF(COUNT(G929:CB929)&lt;74,"موقت - اطلاعات ناقص",IF(CL929&gt;=17,"عالی",IF(CL929&gt;=14,"خوب",IF(CL929&gt;=10,"متوسط","ضعیف"))))))</x:f>
        <x:v>خوب</x:v>
      </x:c>
      <x:c r="CN929" s="178" t="n">
        <x:v>1</x:v>
      </x:c>
      <x:c r="CO929" s="142" t="n">
        <x:f>IF(C929="","",COUNT(G929:CB929)/74)</x:f>
        <x:v>1</x:v>
      </x:c>
      <x:c r="CP929" s="245" t="str">
        <x:v>داده نمونه کامل برای ماه تیر - دانش‌آموز شماره 78</x:v>
      </x:c>
    </x:row>
    <x:row r="930">
      <x:c r="A930" s="165" t="n">
        <x:v>926</x:v>
      </x:c>
      <x:c r="B930" s="233" t="str">
        <x:v>مرداد</x:v>
      </x:c>
      <x:c r="C930" s="233" t="n">
        <x:f>IF('دانش‌آموزان'!E82="","",'دانش‌آموزان'!B82)</x:f>
        <x:v>78</x:v>
      </x:c>
      <x:c r="D930" s="233" t="str">
        <x:f>IF('دانش‌آموزان'!C82="","",'دانش‌آموزان'!C82)</x:f>
        <x:v>4000000780</x:v>
      </x:c>
      <x:c r="E930" s="233" t="str">
        <x:f>IF('دانش‌آموزان'!E82="","",'دانش‌آموزان'!E82&amp;" "&amp;'دانش‌آموزان'!F82)</x:f>
        <x:v>یسنا حیدری</x:v>
      </x:c>
      <x:c r="F930" s="166" t="str">
        <x:f>IF('دانش‌آموزان'!I82="","",'دانش‌آموزان'!I82)</x:f>
        <x:v>sample-7-d</x:v>
      </x:c>
      <x:c r="G930" s="114"/>
      <x:c r="H930" s="115"/>
      <x:c r="I930" s="115"/>
      <x:c r="J930" s="115"/>
      <x:c r="K930" s="115"/>
      <x:c r="L930" s="115"/>
      <x:c r="M930" s="115"/>
      <x:c r="N930" s="115"/>
      <x:c r="O930" s="115"/>
      <x:c r="P930" s="115"/>
      <x:c r="Q930" s="115"/>
      <x:c r="R930" s="115"/>
      <x:c r="S930" s="115"/>
      <x:c r="T930" s="115"/>
      <x:c r="U930" s="115"/>
      <x:c r="V930" s="115"/>
      <x:c r="W930" s="115"/>
      <x:c r="X930" s="115"/>
      <x:c r="Y930" s="115"/>
      <x:c r="Z930" s="115"/>
      <x:c r="AA930" s="115"/>
      <x:c r="AB930" s="115"/>
      <x:c r="AC930" s="115"/>
      <x:c r="AD930" s="115"/>
      <x:c r="AE930" s="115"/>
      <x:c r="AF930" s="115"/>
      <x:c r="AG930" s="115"/>
      <x:c r="AH930" s="115"/>
      <x:c r="AI930" s="115"/>
      <x:c r="AJ930" s="115"/>
      <x:c r="AK930" s="115"/>
      <x:c r="AL930" s="115"/>
      <x:c r="AM930" s="115"/>
      <x:c r="AN930" s="115"/>
      <x:c r="AO930" s="115"/>
      <x:c r="AP930" s="115"/>
      <x:c r="AQ930" s="115"/>
      <x:c r="AR930" s="115"/>
      <x:c r="AS930" s="115"/>
      <x:c r="AT930" s="115"/>
      <x:c r="AU930" s="115"/>
      <x:c r="AV930" s="115"/>
      <x:c r="AW930" s="115"/>
      <x:c r="AX930" s="115"/>
      <x:c r="AY930" s="115"/>
      <x:c r="AZ930" s="115"/>
      <x:c r="BA930" s="115"/>
      <x:c r="BB930" s="115"/>
      <x:c r="BC930" s="115"/>
      <x:c r="BD930" s="115"/>
      <x:c r="BE930" s="115"/>
      <x:c r="BF930" s="115"/>
      <x:c r="BG930" s="115"/>
      <x:c r="BH930" s="115"/>
      <x:c r="BI930" s="115"/>
      <x:c r="BJ930" s="115"/>
      <x:c r="BK930" s="115"/>
      <x:c r="BL930" s="115"/>
      <x:c r="BM930" s="115"/>
      <x:c r="BN930" s="115"/>
      <x:c r="BO930" s="115"/>
      <x:c r="BP930" s="115"/>
      <x:c r="BQ930" s="115"/>
      <x:c r="BR930" s="115"/>
      <x:c r="BS930" s="115"/>
      <x:c r="BT930" s="115"/>
      <x:c r="BU930" s="115"/>
      <x:c r="BV930" s="115"/>
      <x:c r="BW930" s="115"/>
      <x:c r="BX930" s="115"/>
      <x:c r="BY930" s="115"/>
      <x:c r="BZ930" s="115"/>
      <x:c r="CA930" s="115"/>
      <x:c r="CB930" s="116"/>
      <x:c r="CC930" s="141" t="str">
        <x:f>IF(COUNT(G930:P930)=0,"",AVERAGE(G930:P930)*4)</x:f>
      </x:c>
      <x:c r="CD930" s="178" t="str">
        <x:f>IF(COUNT(Q930:Z930)=0,"",AVERAGE(Q930:Z930)*4)</x:f>
      </x:c>
      <x:c r="CE930" s="178" t="str">
        <x:f>IF(COUNT(AA930:AJ930)=0,"",AVERAGE(AA930:AJ930)*4)</x:f>
      </x:c>
      <x:c r="CF930" s="178" t="str">
        <x:f>IF(COUNT(AK930:AR930)=0,"",AVERAGE(AK930:AR930)*4)</x:f>
      </x:c>
      <x:c r="CG930" s="178" t="str">
        <x:f>IF(COUNT(AS930:AY930)=0,"",AVERAGE(AS930:AY930)*4)</x:f>
      </x:c>
      <x:c r="CH930" s="178" t="str">
        <x:f>IF(COUNT(AZ930:BG930)=0,"",AVERAGE(AZ930:BG930)*4)</x:f>
      </x:c>
      <x:c r="CI930" s="178" t="str">
        <x:f>IF(COUNT(BH930:BN930)=0,"",AVERAGE(BH930:BN930)*4)</x:f>
      </x:c>
      <x:c r="CJ930" s="178" t="str">
        <x:f>IF(COUNT(BO930:BU930)=0,"",AVERAGE(BO930:BU930)*4)</x:f>
      </x:c>
      <x:c r="CK930" s="178" t="str">
        <x:f>IF(COUNT(BV930:CB930)=0,"",AVERAGE(BV930:CB930)*4)</x:f>
      </x:c>
      <x:c r="CL930" s="178" t="str">
        <x:f>IF(C930="","",IF(COUNT(G930:CB930)&lt;74,"",(CC930*'تنظیمات وزن‌دهی'!$C$5+CD930*'تنظیمات وزن‌دهی'!$C$6+CE930*'تنظیمات وزن‌دهی'!$C$7+CF930*'تنظیمات وزن‌دهی'!$C$8+CG930*'تنظیمات وزن‌دهی'!$C$9+CH930*'تنظیمات وزن‌دهی'!$C$10+CI930*'تنظیمات وزن‌دهی'!$C$11+CJ930*'تنظیمات وزن‌دهی'!$C$12+CK930*'تنظیمات وزن‌دهی'!$C$13)/100))</x:f>
      </x:c>
      <x:c r="CM930" s="178" t="str">
        <x:f>IF(C930="","",IF(COUNT(G930:CB930)=0,"",IF(COUNT(G930:CB930)&lt;74,"موقت - اطلاعات ناقص",IF(CL930&gt;=17,"عالی",IF(CL930&gt;=14,"خوب",IF(CL930&gt;=10,"متوسط","ضعیف"))))))</x:f>
      </x:c>
      <x:c r="CN930" s="178" t="n">
        <x:v>2</x:v>
      </x:c>
      <x:c r="CO930" s="142" t="n">
        <x:f>IF(C930="","",COUNT(G930:CB930)/74)</x:f>
        <x:v>0</x:v>
      </x:c>
      <x:c r="CP930" s="245"/>
    </x:row>
    <x:row r="931">
      <x:c r="A931" s="165" t="n">
        <x:v>927</x:v>
      </x:c>
      <x:c r="B931" s="233" t="str">
        <x:v>شهریور</x:v>
      </x:c>
      <x:c r="C931" s="233" t="n">
        <x:f>IF('دانش‌آموزان'!E82="","",'دانش‌آموزان'!B82)</x:f>
        <x:v>78</x:v>
      </x:c>
      <x:c r="D931" s="233" t="str">
        <x:f>IF('دانش‌آموزان'!C82="","",'دانش‌آموزان'!C82)</x:f>
        <x:v>4000000780</x:v>
      </x:c>
      <x:c r="E931" s="233" t="str">
        <x:f>IF('دانش‌آموزان'!E82="","",'دانش‌آموزان'!E82&amp;" "&amp;'دانش‌آموزان'!F82)</x:f>
        <x:v>یسنا حیدری</x:v>
      </x:c>
      <x:c r="F931" s="166" t="str">
        <x:f>IF('دانش‌آموزان'!I82="","",'دانش‌آموزان'!I82)</x:f>
        <x:v>sample-7-d</x:v>
      </x:c>
      <x:c r="G931" s="114"/>
      <x:c r="H931" s="115"/>
      <x:c r="I931" s="115"/>
      <x:c r="J931" s="115"/>
      <x:c r="K931" s="115"/>
      <x:c r="L931" s="115"/>
      <x:c r="M931" s="115"/>
      <x:c r="N931" s="115"/>
      <x:c r="O931" s="115"/>
      <x:c r="P931" s="115"/>
      <x:c r="Q931" s="115"/>
      <x:c r="R931" s="115"/>
      <x:c r="S931" s="115"/>
      <x:c r="T931" s="115"/>
      <x:c r="U931" s="115"/>
      <x:c r="V931" s="115"/>
      <x:c r="W931" s="115"/>
      <x:c r="X931" s="115"/>
      <x:c r="Y931" s="115"/>
      <x:c r="Z931" s="115"/>
      <x:c r="AA931" s="115"/>
      <x:c r="AB931" s="115"/>
      <x:c r="AC931" s="115"/>
      <x:c r="AD931" s="115"/>
      <x:c r="AE931" s="115"/>
      <x:c r="AF931" s="115"/>
      <x:c r="AG931" s="115"/>
      <x:c r="AH931" s="115"/>
      <x:c r="AI931" s="115"/>
      <x:c r="AJ931" s="115"/>
      <x:c r="AK931" s="115"/>
      <x:c r="AL931" s="115"/>
      <x:c r="AM931" s="115"/>
      <x:c r="AN931" s="115"/>
      <x:c r="AO931" s="115"/>
      <x:c r="AP931" s="115"/>
      <x:c r="AQ931" s="115"/>
      <x:c r="AR931" s="115"/>
      <x:c r="AS931" s="115"/>
      <x:c r="AT931" s="115"/>
      <x:c r="AU931" s="115"/>
      <x:c r="AV931" s="115"/>
      <x:c r="AW931" s="115"/>
      <x:c r="AX931" s="115"/>
      <x:c r="AY931" s="115"/>
      <x:c r="AZ931" s="115"/>
      <x:c r="BA931" s="115"/>
      <x:c r="BB931" s="115"/>
      <x:c r="BC931" s="115"/>
      <x:c r="BD931" s="115"/>
      <x:c r="BE931" s="115"/>
      <x:c r="BF931" s="115"/>
      <x:c r="BG931" s="115"/>
      <x:c r="BH931" s="115"/>
      <x:c r="BI931" s="115"/>
      <x:c r="BJ931" s="115"/>
      <x:c r="BK931" s="115"/>
      <x:c r="BL931" s="115"/>
      <x:c r="BM931" s="115"/>
      <x:c r="BN931" s="115"/>
      <x:c r="BO931" s="115"/>
      <x:c r="BP931" s="115"/>
      <x:c r="BQ931" s="115"/>
      <x:c r="BR931" s="115"/>
      <x:c r="BS931" s="115"/>
      <x:c r="BT931" s="115"/>
      <x:c r="BU931" s="115"/>
      <x:c r="BV931" s="115"/>
      <x:c r="BW931" s="115"/>
      <x:c r="BX931" s="115"/>
      <x:c r="BY931" s="115"/>
      <x:c r="BZ931" s="115"/>
      <x:c r="CA931" s="115"/>
      <x:c r="CB931" s="116"/>
      <x:c r="CC931" s="141" t="str">
        <x:f>IF(COUNT(G931:P931)=0,"",AVERAGE(G931:P931)*4)</x:f>
      </x:c>
      <x:c r="CD931" s="178" t="str">
        <x:f>IF(COUNT(Q931:Z931)=0,"",AVERAGE(Q931:Z931)*4)</x:f>
      </x:c>
      <x:c r="CE931" s="178" t="str">
        <x:f>IF(COUNT(AA931:AJ931)=0,"",AVERAGE(AA931:AJ931)*4)</x:f>
      </x:c>
      <x:c r="CF931" s="178" t="str">
        <x:f>IF(COUNT(AK931:AR931)=0,"",AVERAGE(AK931:AR931)*4)</x:f>
      </x:c>
      <x:c r="CG931" s="178" t="str">
        <x:f>IF(COUNT(AS931:AY931)=0,"",AVERAGE(AS931:AY931)*4)</x:f>
      </x:c>
      <x:c r="CH931" s="178" t="str">
        <x:f>IF(COUNT(AZ931:BG931)=0,"",AVERAGE(AZ931:BG931)*4)</x:f>
      </x:c>
      <x:c r="CI931" s="178" t="str">
        <x:f>IF(COUNT(BH931:BN931)=0,"",AVERAGE(BH931:BN931)*4)</x:f>
      </x:c>
      <x:c r="CJ931" s="178" t="str">
        <x:f>IF(COUNT(BO931:BU931)=0,"",AVERAGE(BO931:BU931)*4)</x:f>
      </x:c>
      <x:c r="CK931" s="178" t="str">
        <x:f>IF(COUNT(BV931:CB931)=0,"",AVERAGE(BV931:CB931)*4)</x:f>
      </x:c>
      <x:c r="CL931" s="178" t="str">
        <x:f>IF(C931="","",IF(COUNT(G931:CB931)&lt;74,"",(CC931*'تنظیمات وزن‌دهی'!$C$5+CD931*'تنظیمات وزن‌دهی'!$C$6+CE931*'تنظیمات وزن‌دهی'!$C$7+CF931*'تنظیمات وزن‌دهی'!$C$8+CG931*'تنظیمات وزن‌دهی'!$C$9+CH931*'تنظیمات وزن‌دهی'!$C$10+CI931*'تنظیمات وزن‌دهی'!$C$11+CJ931*'تنظیمات وزن‌دهی'!$C$12+CK931*'تنظیمات وزن‌دهی'!$C$13)/100))</x:f>
      </x:c>
      <x:c r="CM931" s="178" t="str">
        <x:f>IF(C931="","",IF(COUNT(G931:CB931)=0,"",IF(COUNT(G931:CB931)&lt;74,"موقت - اطلاعات ناقص",IF(CL931&gt;=17,"عالی",IF(CL931&gt;=14,"خوب",IF(CL931&gt;=10,"متوسط","ضعیف"))))))</x:f>
      </x:c>
      <x:c r="CN931" s="178" t="n">
        <x:v>3</x:v>
      </x:c>
      <x:c r="CO931" s="142" t="n">
        <x:f>IF(C931="","",COUNT(G931:CB931)/74)</x:f>
        <x:v>0</x:v>
      </x:c>
      <x:c r="CP931" s="245"/>
    </x:row>
    <x:row r="932">
      <x:c r="A932" s="165" t="n">
        <x:v>928</x:v>
      </x:c>
      <x:c r="B932" s="233" t="str">
        <x:v>مهر</x:v>
      </x:c>
      <x:c r="C932" s="233" t="n">
        <x:f>IF('دانش‌آموزان'!E82="","",'دانش‌آموزان'!B82)</x:f>
        <x:v>78</x:v>
      </x:c>
      <x:c r="D932" s="233" t="str">
        <x:f>IF('دانش‌آموزان'!C82="","",'دانش‌آموزان'!C82)</x:f>
        <x:v>4000000780</x:v>
      </x:c>
      <x:c r="E932" s="233" t="str">
        <x:f>IF('دانش‌آموزان'!E82="","",'دانش‌آموزان'!E82&amp;" "&amp;'دانش‌آموزان'!F82)</x:f>
        <x:v>یسنا حیدری</x:v>
      </x:c>
      <x:c r="F932" s="166" t="str">
        <x:f>IF('دانش‌آموزان'!I82="","",'دانش‌آموزان'!I82)</x:f>
        <x:v>sample-7-d</x:v>
      </x:c>
      <x:c r="G932" s="114"/>
      <x:c r="H932" s="115"/>
      <x:c r="I932" s="115"/>
      <x:c r="J932" s="115"/>
      <x:c r="K932" s="115"/>
      <x:c r="L932" s="115"/>
      <x:c r="M932" s="115"/>
      <x:c r="N932" s="115"/>
      <x:c r="O932" s="115"/>
      <x:c r="P932" s="115"/>
      <x:c r="Q932" s="115"/>
      <x:c r="R932" s="115"/>
      <x:c r="S932" s="115"/>
      <x:c r="T932" s="115"/>
      <x:c r="U932" s="115"/>
      <x:c r="V932" s="115"/>
      <x:c r="W932" s="115"/>
      <x:c r="X932" s="115"/>
      <x:c r="Y932" s="115"/>
      <x:c r="Z932" s="115"/>
      <x:c r="AA932" s="115"/>
      <x:c r="AB932" s="115"/>
      <x:c r="AC932" s="115"/>
      <x:c r="AD932" s="115"/>
      <x:c r="AE932" s="115"/>
      <x:c r="AF932" s="115"/>
      <x:c r="AG932" s="115"/>
      <x:c r="AH932" s="115"/>
      <x:c r="AI932" s="115"/>
      <x:c r="AJ932" s="115"/>
      <x:c r="AK932" s="115"/>
      <x:c r="AL932" s="115"/>
      <x:c r="AM932" s="115"/>
      <x:c r="AN932" s="115"/>
      <x:c r="AO932" s="115"/>
      <x:c r="AP932" s="115"/>
      <x:c r="AQ932" s="115"/>
      <x:c r="AR932" s="115"/>
      <x:c r="AS932" s="115"/>
      <x:c r="AT932" s="115"/>
      <x:c r="AU932" s="115"/>
      <x:c r="AV932" s="115"/>
      <x:c r="AW932" s="115"/>
      <x:c r="AX932" s="115"/>
      <x:c r="AY932" s="115"/>
      <x:c r="AZ932" s="115"/>
      <x:c r="BA932" s="115"/>
      <x:c r="BB932" s="115"/>
      <x:c r="BC932" s="115"/>
      <x:c r="BD932" s="115"/>
      <x:c r="BE932" s="115"/>
      <x:c r="BF932" s="115"/>
      <x:c r="BG932" s="115"/>
      <x:c r="BH932" s="115"/>
      <x:c r="BI932" s="115"/>
      <x:c r="BJ932" s="115"/>
      <x:c r="BK932" s="115"/>
      <x:c r="BL932" s="115"/>
      <x:c r="BM932" s="115"/>
      <x:c r="BN932" s="115"/>
      <x:c r="BO932" s="115"/>
      <x:c r="BP932" s="115"/>
      <x:c r="BQ932" s="115"/>
      <x:c r="BR932" s="115"/>
      <x:c r="BS932" s="115"/>
      <x:c r="BT932" s="115"/>
      <x:c r="BU932" s="115"/>
      <x:c r="BV932" s="115"/>
      <x:c r="BW932" s="115"/>
      <x:c r="BX932" s="115"/>
      <x:c r="BY932" s="115"/>
      <x:c r="BZ932" s="115"/>
      <x:c r="CA932" s="115"/>
      <x:c r="CB932" s="116"/>
      <x:c r="CC932" s="141" t="str">
        <x:f>IF(COUNT(G932:P932)=0,"",AVERAGE(G932:P932)*4)</x:f>
      </x:c>
      <x:c r="CD932" s="178" t="str">
        <x:f>IF(COUNT(Q932:Z932)=0,"",AVERAGE(Q932:Z932)*4)</x:f>
      </x:c>
      <x:c r="CE932" s="178" t="str">
        <x:f>IF(COUNT(AA932:AJ932)=0,"",AVERAGE(AA932:AJ932)*4)</x:f>
      </x:c>
      <x:c r="CF932" s="178" t="str">
        <x:f>IF(COUNT(AK932:AR932)=0,"",AVERAGE(AK932:AR932)*4)</x:f>
      </x:c>
      <x:c r="CG932" s="178" t="str">
        <x:f>IF(COUNT(AS932:AY932)=0,"",AVERAGE(AS932:AY932)*4)</x:f>
      </x:c>
      <x:c r="CH932" s="178" t="str">
        <x:f>IF(COUNT(AZ932:BG932)=0,"",AVERAGE(AZ932:BG932)*4)</x:f>
      </x:c>
      <x:c r="CI932" s="178" t="str">
        <x:f>IF(COUNT(BH932:BN932)=0,"",AVERAGE(BH932:BN932)*4)</x:f>
      </x:c>
      <x:c r="CJ932" s="178" t="str">
        <x:f>IF(COUNT(BO932:BU932)=0,"",AVERAGE(BO932:BU932)*4)</x:f>
      </x:c>
      <x:c r="CK932" s="178" t="str">
        <x:f>IF(COUNT(BV932:CB932)=0,"",AVERAGE(BV932:CB932)*4)</x:f>
      </x:c>
      <x:c r="CL932" s="178" t="str">
        <x:f>IF(C932="","",IF(COUNT(G932:CB932)&lt;74,"",(CC932*'تنظیمات وزن‌دهی'!$C$5+CD932*'تنظیمات وزن‌دهی'!$C$6+CE932*'تنظیمات وزن‌دهی'!$C$7+CF932*'تنظیمات وزن‌دهی'!$C$8+CG932*'تنظیمات وزن‌دهی'!$C$9+CH932*'تنظیمات وزن‌دهی'!$C$10+CI932*'تنظیمات وزن‌دهی'!$C$11+CJ932*'تنظیمات وزن‌دهی'!$C$12+CK932*'تنظیمات وزن‌دهی'!$C$13)/100))</x:f>
      </x:c>
      <x:c r="CM932" s="178" t="str">
        <x:f>IF(C932="","",IF(COUNT(G932:CB932)=0,"",IF(COUNT(G932:CB932)&lt;74,"موقت - اطلاعات ناقص",IF(CL932&gt;=17,"عالی",IF(CL932&gt;=14,"خوب",IF(CL932&gt;=10,"متوسط","ضعیف"))))))</x:f>
      </x:c>
      <x:c r="CN932" s="178" t="n">
        <x:v>4</x:v>
      </x:c>
      <x:c r="CO932" s="142" t="n">
        <x:f>IF(C932="","",COUNT(G932:CB932)/74)</x:f>
        <x:v>0</x:v>
      </x:c>
      <x:c r="CP932" s="245"/>
    </x:row>
    <x:row r="933">
      <x:c r="A933" s="165" t="n">
        <x:v>929</x:v>
      </x:c>
      <x:c r="B933" s="233" t="str">
        <x:v>آبان</x:v>
      </x:c>
      <x:c r="C933" s="233" t="n">
        <x:f>IF('دانش‌آموزان'!E82="","",'دانش‌آموزان'!B82)</x:f>
        <x:v>78</x:v>
      </x:c>
      <x:c r="D933" s="233" t="str">
        <x:f>IF('دانش‌آموزان'!C82="","",'دانش‌آموزان'!C82)</x:f>
        <x:v>4000000780</x:v>
      </x:c>
      <x:c r="E933" s="233" t="str">
        <x:f>IF('دانش‌آموزان'!E82="","",'دانش‌آموزان'!E82&amp;" "&amp;'دانش‌آموزان'!F82)</x:f>
        <x:v>یسنا حیدری</x:v>
      </x:c>
      <x:c r="F933" s="166" t="str">
        <x:f>IF('دانش‌آموزان'!I82="","",'دانش‌آموزان'!I82)</x:f>
        <x:v>sample-7-d</x:v>
      </x:c>
      <x:c r="G933" s="114"/>
      <x:c r="H933" s="115"/>
      <x:c r="I933" s="115"/>
      <x:c r="J933" s="115"/>
      <x:c r="K933" s="115"/>
      <x:c r="L933" s="115"/>
      <x:c r="M933" s="115"/>
      <x:c r="N933" s="115"/>
      <x:c r="O933" s="115"/>
      <x:c r="P933" s="115"/>
      <x:c r="Q933" s="115"/>
      <x:c r="R933" s="115"/>
      <x:c r="S933" s="115"/>
      <x:c r="T933" s="115"/>
      <x:c r="U933" s="115"/>
      <x:c r="V933" s="115"/>
      <x:c r="W933" s="115"/>
      <x:c r="X933" s="115"/>
      <x:c r="Y933" s="115"/>
      <x:c r="Z933" s="115"/>
      <x:c r="AA933" s="115"/>
      <x:c r="AB933" s="115"/>
      <x:c r="AC933" s="115"/>
      <x:c r="AD933" s="115"/>
      <x:c r="AE933" s="115"/>
      <x:c r="AF933" s="115"/>
      <x:c r="AG933" s="115"/>
      <x:c r="AH933" s="115"/>
      <x:c r="AI933" s="115"/>
      <x:c r="AJ933" s="115"/>
      <x:c r="AK933" s="115"/>
      <x:c r="AL933" s="115"/>
      <x:c r="AM933" s="115"/>
      <x:c r="AN933" s="115"/>
      <x:c r="AO933" s="115"/>
      <x:c r="AP933" s="115"/>
      <x:c r="AQ933" s="115"/>
      <x:c r="AR933" s="115"/>
      <x:c r="AS933" s="115"/>
      <x:c r="AT933" s="115"/>
      <x:c r="AU933" s="115"/>
      <x:c r="AV933" s="115"/>
      <x:c r="AW933" s="115"/>
      <x:c r="AX933" s="115"/>
      <x:c r="AY933" s="115"/>
      <x:c r="AZ933" s="115"/>
      <x:c r="BA933" s="115"/>
      <x:c r="BB933" s="115"/>
      <x:c r="BC933" s="115"/>
      <x:c r="BD933" s="115"/>
      <x:c r="BE933" s="115"/>
      <x:c r="BF933" s="115"/>
      <x:c r="BG933" s="115"/>
      <x:c r="BH933" s="115"/>
      <x:c r="BI933" s="115"/>
      <x:c r="BJ933" s="115"/>
      <x:c r="BK933" s="115"/>
      <x:c r="BL933" s="115"/>
      <x:c r="BM933" s="115"/>
      <x:c r="BN933" s="115"/>
      <x:c r="BO933" s="115"/>
      <x:c r="BP933" s="115"/>
      <x:c r="BQ933" s="115"/>
      <x:c r="BR933" s="115"/>
      <x:c r="BS933" s="115"/>
      <x:c r="BT933" s="115"/>
      <x:c r="BU933" s="115"/>
      <x:c r="BV933" s="115"/>
      <x:c r="BW933" s="115"/>
      <x:c r="BX933" s="115"/>
      <x:c r="BY933" s="115"/>
      <x:c r="BZ933" s="115"/>
      <x:c r="CA933" s="115"/>
      <x:c r="CB933" s="116"/>
      <x:c r="CC933" s="141" t="str">
        <x:f>IF(COUNT(G933:P933)=0,"",AVERAGE(G933:P933)*4)</x:f>
      </x:c>
      <x:c r="CD933" s="178" t="str">
        <x:f>IF(COUNT(Q933:Z933)=0,"",AVERAGE(Q933:Z933)*4)</x:f>
      </x:c>
      <x:c r="CE933" s="178" t="str">
        <x:f>IF(COUNT(AA933:AJ933)=0,"",AVERAGE(AA933:AJ933)*4)</x:f>
      </x:c>
      <x:c r="CF933" s="178" t="str">
        <x:f>IF(COUNT(AK933:AR933)=0,"",AVERAGE(AK933:AR933)*4)</x:f>
      </x:c>
      <x:c r="CG933" s="178" t="str">
        <x:f>IF(COUNT(AS933:AY933)=0,"",AVERAGE(AS933:AY933)*4)</x:f>
      </x:c>
      <x:c r="CH933" s="178" t="str">
        <x:f>IF(COUNT(AZ933:BG933)=0,"",AVERAGE(AZ933:BG933)*4)</x:f>
      </x:c>
      <x:c r="CI933" s="178" t="str">
        <x:f>IF(COUNT(BH933:BN933)=0,"",AVERAGE(BH933:BN933)*4)</x:f>
      </x:c>
      <x:c r="CJ933" s="178" t="str">
        <x:f>IF(COUNT(BO933:BU933)=0,"",AVERAGE(BO933:BU933)*4)</x:f>
      </x:c>
      <x:c r="CK933" s="178" t="str">
        <x:f>IF(COUNT(BV933:CB933)=0,"",AVERAGE(BV933:CB933)*4)</x:f>
      </x:c>
      <x:c r="CL933" s="178" t="str">
        <x:f>IF(C933="","",IF(COUNT(G933:CB933)&lt;74,"",(CC933*'تنظیمات وزن‌دهی'!$C$5+CD933*'تنظیمات وزن‌دهی'!$C$6+CE933*'تنظیمات وزن‌دهی'!$C$7+CF933*'تنظیمات وزن‌دهی'!$C$8+CG933*'تنظیمات وزن‌دهی'!$C$9+CH933*'تنظیمات وزن‌دهی'!$C$10+CI933*'تنظیمات وزن‌دهی'!$C$11+CJ933*'تنظیمات وزن‌دهی'!$C$12+CK933*'تنظیمات وزن‌دهی'!$C$13)/100))</x:f>
      </x:c>
      <x:c r="CM933" s="178" t="str">
        <x:f>IF(C933="","",IF(COUNT(G933:CB933)=0,"",IF(COUNT(G933:CB933)&lt;74,"موقت - اطلاعات ناقص",IF(CL933&gt;=17,"عالی",IF(CL933&gt;=14,"خوب",IF(CL933&gt;=10,"متوسط","ضعیف"))))))</x:f>
      </x:c>
      <x:c r="CN933" s="178" t="n">
        <x:v>5</x:v>
      </x:c>
      <x:c r="CO933" s="142" t="n">
        <x:f>IF(C933="","",COUNT(G933:CB933)/74)</x:f>
        <x:v>0</x:v>
      </x:c>
      <x:c r="CP933" s="245"/>
    </x:row>
    <x:row r="934">
      <x:c r="A934" s="165" t="n">
        <x:v>930</x:v>
      </x:c>
      <x:c r="B934" s="233" t="str">
        <x:v>آذر</x:v>
      </x:c>
      <x:c r="C934" s="233" t="n">
        <x:f>IF('دانش‌آموزان'!E82="","",'دانش‌آموزان'!B82)</x:f>
        <x:v>78</x:v>
      </x:c>
      <x:c r="D934" s="233" t="str">
        <x:f>IF('دانش‌آموزان'!C82="","",'دانش‌آموزان'!C82)</x:f>
        <x:v>4000000780</x:v>
      </x:c>
      <x:c r="E934" s="233" t="str">
        <x:f>IF('دانش‌آموزان'!E82="","",'دانش‌آموزان'!E82&amp;" "&amp;'دانش‌آموزان'!F82)</x:f>
        <x:v>یسنا حیدری</x:v>
      </x:c>
      <x:c r="F934" s="166" t="str">
        <x:f>IF('دانش‌آموزان'!I82="","",'دانش‌آموزان'!I82)</x:f>
        <x:v>sample-7-d</x:v>
      </x:c>
      <x:c r="G934" s="114"/>
      <x:c r="H934" s="115"/>
      <x:c r="I934" s="115"/>
      <x:c r="J934" s="115"/>
      <x:c r="K934" s="115"/>
      <x:c r="L934" s="115"/>
      <x:c r="M934" s="115"/>
      <x:c r="N934" s="115"/>
      <x:c r="O934" s="115"/>
      <x:c r="P934" s="115"/>
      <x:c r="Q934" s="115"/>
      <x:c r="R934" s="115"/>
      <x:c r="S934" s="115"/>
      <x:c r="T934" s="115"/>
      <x:c r="U934" s="115"/>
      <x:c r="V934" s="115"/>
      <x:c r="W934" s="115"/>
      <x:c r="X934" s="115"/>
      <x:c r="Y934" s="115"/>
      <x:c r="Z934" s="115"/>
      <x:c r="AA934" s="115"/>
      <x:c r="AB934" s="115"/>
      <x:c r="AC934" s="115"/>
      <x:c r="AD934" s="115"/>
      <x:c r="AE934" s="115"/>
      <x:c r="AF934" s="115"/>
      <x:c r="AG934" s="115"/>
      <x:c r="AH934" s="115"/>
      <x:c r="AI934" s="115"/>
      <x:c r="AJ934" s="115"/>
      <x:c r="AK934" s="115"/>
      <x:c r="AL934" s="115"/>
      <x:c r="AM934" s="115"/>
      <x:c r="AN934" s="115"/>
      <x:c r="AO934" s="115"/>
      <x:c r="AP934" s="115"/>
      <x:c r="AQ934" s="115"/>
      <x:c r="AR934" s="115"/>
      <x:c r="AS934" s="115"/>
      <x:c r="AT934" s="115"/>
      <x:c r="AU934" s="115"/>
      <x:c r="AV934" s="115"/>
      <x:c r="AW934" s="115"/>
      <x:c r="AX934" s="115"/>
      <x:c r="AY934" s="115"/>
      <x:c r="AZ934" s="115"/>
      <x:c r="BA934" s="115"/>
      <x:c r="BB934" s="115"/>
      <x:c r="BC934" s="115"/>
      <x:c r="BD934" s="115"/>
      <x:c r="BE934" s="115"/>
      <x:c r="BF934" s="115"/>
      <x:c r="BG934" s="115"/>
      <x:c r="BH934" s="115"/>
      <x:c r="BI934" s="115"/>
      <x:c r="BJ934" s="115"/>
      <x:c r="BK934" s="115"/>
      <x:c r="BL934" s="115"/>
      <x:c r="BM934" s="115"/>
      <x:c r="BN934" s="115"/>
      <x:c r="BO934" s="115"/>
      <x:c r="BP934" s="115"/>
      <x:c r="BQ934" s="115"/>
      <x:c r="BR934" s="115"/>
      <x:c r="BS934" s="115"/>
      <x:c r="BT934" s="115"/>
      <x:c r="BU934" s="115"/>
      <x:c r="BV934" s="115"/>
      <x:c r="BW934" s="115"/>
      <x:c r="BX934" s="115"/>
      <x:c r="BY934" s="115"/>
      <x:c r="BZ934" s="115"/>
      <x:c r="CA934" s="115"/>
      <x:c r="CB934" s="116"/>
      <x:c r="CC934" s="141" t="str">
        <x:f>IF(COUNT(G934:P934)=0,"",AVERAGE(G934:P934)*4)</x:f>
      </x:c>
      <x:c r="CD934" s="178" t="str">
        <x:f>IF(COUNT(Q934:Z934)=0,"",AVERAGE(Q934:Z934)*4)</x:f>
      </x:c>
      <x:c r="CE934" s="178" t="str">
        <x:f>IF(COUNT(AA934:AJ934)=0,"",AVERAGE(AA934:AJ934)*4)</x:f>
      </x:c>
      <x:c r="CF934" s="178" t="str">
        <x:f>IF(COUNT(AK934:AR934)=0,"",AVERAGE(AK934:AR934)*4)</x:f>
      </x:c>
      <x:c r="CG934" s="178" t="str">
        <x:f>IF(COUNT(AS934:AY934)=0,"",AVERAGE(AS934:AY934)*4)</x:f>
      </x:c>
      <x:c r="CH934" s="178" t="str">
        <x:f>IF(COUNT(AZ934:BG934)=0,"",AVERAGE(AZ934:BG934)*4)</x:f>
      </x:c>
      <x:c r="CI934" s="178" t="str">
        <x:f>IF(COUNT(BH934:BN934)=0,"",AVERAGE(BH934:BN934)*4)</x:f>
      </x:c>
      <x:c r="CJ934" s="178" t="str">
        <x:f>IF(COUNT(BO934:BU934)=0,"",AVERAGE(BO934:BU934)*4)</x:f>
      </x:c>
      <x:c r="CK934" s="178" t="str">
        <x:f>IF(COUNT(BV934:CB934)=0,"",AVERAGE(BV934:CB934)*4)</x:f>
      </x:c>
      <x:c r="CL934" s="178" t="str">
        <x:f>IF(C934="","",IF(COUNT(G934:CB934)&lt;74,"",(CC934*'تنظیمات وزن‌دهی'!$C$5+CD934*'تنظیمات وزن‌دهی'!$C$6+CE934*'تنظیمات وزن‌دهی'!$C$7+CF934*'تنظیمات وزن‌دهی'!$C$8+CG934*'تنظیمات وزن‌دهی'!$C$9+CH934*'تنظیمات وزن‌دهی'!$C$10+CI934*'تنظیمات وزن‌دهی'!$C$11+CJ934*'تنظیمات وزن‌دهی'!$C$12+CK934*'تنظیمات وزن‌دهی'!$C$13)/100))</x:f>
      </x:c>
      <x:c r="CM934" s="178" t="str">
        <x:f>IF(C934="","",IF(COUNT(G934:CB934)=0,"",IF(COUNT(G934:CB934)&lt;74,"موقت - اطلاعات ناقص",IF(CL934&gt;=17,"عالی",IF(CL934&gt;=14,"خوب",IF(CL934&gt;=10,"متوسط","ضعیف"))))))</x:f>
      </x:c>
      <x:c r="CN934" s="178" t="n">
        <x:v>6</x:v>
      </x:c>
      <x:c r="CO934" s="142" t="n">
        <x:f>IF(C934="","",COUNT(G934:CB934)/74)</x:f>
        <x:v>0</x:v>
      </x:c>
      <x:c r="CP934" s="245"/>
    </x:row>
    <x:row r="935">
      <x:c r="A935" s="165" t="n">
        <x:v>931</x:v>
      </x:c>
      <x:c r="B935" s="233" t="str">
        <x:v>دی</x:v>
      </x:c>
      <x:c r="C935" s="233" t="n">
        <x:f>IF('دانش‌آموزان'!E82="","",'دانش‌آموزان'!B82)</x:f>
        <x:v>78</x:v>
      </x:c>
      <x:c r="D935" s="233" t="str">
        <x:f>IF('دانش‌آموزان'!C82="","",'دانش‌آموزان'!C82)</x:f>
        <x:v>4000000780</x:v>
      </x:c>
      <x:c r="E935" s="233" t="str">
        <x:f>IF('دانش‌آموزان'!E82="","",'دانش‌آموزان'!E82&amp;" "&amp;'دانش‌آموزان'!F82)</x:f>
        <x:v>یسنا حیدری</x:v>
      </x:c>
      <x:c r="F935" s="166" t="str">
        <x:f>IF('دانش‌آموزان'!I82="","",'دانش‌آموزان'!I82)</x:f>
        <x:v>sample-7-d</x:v>
      </x:c>
      <x:c r="G935" s="114"/>
      <x:c r="H935" s="115"/>
      <x:c r="I935" s="115"/>
      <x:c r="J935" s="115"/>
      <x:c r="K935" s="115"/>
      <x:c r="L935" s="115"/>
      <x:c r="M935" s="115"/>
      <x:c r="N935" s="115"/>
      <x:c r="O935" s="115"/>
      <x:c r="P935" s="115"/>
      <x:c r="Q935" s="115"/>
      <x:c r="R935" s="115"/>
      <x:c r="S935" s="115"/>
      <x:c r="T935" s="115"/>
      <x:c r="U935" s="115"/>
      <x:c r="V935" s="115"/>
      <x:c r="W935" s="115"/>
      <x:c r="X935" s="115"/>
      <x:c r="Y935" s="115"/>
      <x:c r="Z935" s="115"/>
      <x:c r="AA935" s="115"/>
      <x:c r="AB935" s="115"/>
      <x:c r="AC935" s="115"/>
      <x:c r="AD935" s="115"/>
      <x:c r="AE935" s="115"/>
      <x:c r="AF935" s="115"/>
      <x:c r="AG935" s="115"/>
      <x:c r="AH935" s="115"/>
      <x:c r="AI935" s="115"/>
      <x:c r="AJ935" s="115"/>
      <x:c r="AK935" s="115"/>
      <x:c r="AL935" s="115"/>
      <x:c r="AM935" s="115"/>
      <x:c r="AN935" s="115"/>
      <x:c r="AO935" s="115"/>
      <x:c r="AP935" s="115"/>
      <x:c r="AQ935" s="115"/>
      <x:c r="AR935" s="115"/>
      <x:c r="AS935" s="115"/>
      <x:c r="AT935" s="115"/>
      <x:c r="AU935" s="115"/>
      <x:c r="AV935" s="115"/>
      <x:c r="AW935" s="115"/>
      <x:c r="AX935" s="115"/>
      <x:c r="AY935" s="115"/>
      <x:c r="AZ935" s="115"/>
      <x:c r="BA935" s="115"/>
      <x:c r="BB935" s="115"/>
      <x:c r="BC935" s="115"/>
      <x:c r="BD935" s="115"/>
      <x:c r="BE935" s="115"/>
      <x:c r="BF935" s="115"/>
      <x:c r="BG935" s="115"/>
      <x:c r="BH935" s="115"/>
      <x:c r="BI935" s="115"/>
      <x:c r="BJ935" s="115"/>
      <x:c r="BK935" s="115"/>
      <x:c r="BL935" s="115"/>
      <x:c r="BM935" s="115"/>
      <x:c r="BN935" s="115"/>
      <x:c r="BO935" s="115"/>
      <x:c r="BP935" s="115"/>
      <x:c r="BQ935" s="115"/>
      <x:c r="BR935" s="115"/>
      <x:c r="BS935" s="115"/>
      <x:c r="BT935" s="115"/>
      <x:c r="BU935" s="115"/>
      <x:c r="BV935" s="115"/>
      <x:c r="BW935" s="115"/>
      <x:c r="BX935" s="115"/>
      <x:c r="BY935" s="115"/>
      <x:c r="BZ935" s="115"/>
      <x:c r="CA935" s="115"/>
      <x:c r="CB935" s="116"/>
      <x:c r="CC935" s="141" t="str">
        <x:f>IF(COUNT(G935:P935)=0,"",AVERAGE(G935:P935)*4)</x:f>
      </x:c>
      <x:c r="CD935" s="178" t="str">
        <x:f>IF(COUNT(Q935:Z935)=0,"",AVERAGE(Q935:Z935)*4)</x:f>
      </x:c>
      <x:c r="CE935" s="178" t="str">
        <x:f>IF(COUNT(AA935:AJ935)=0,"",AVERAGE(AA935:AJ935)*4)</x:f>
      </x:c>
      <x:c r="CF935" s="178" t="str">
        <x:f>IF(COUNT(AK935:AR935)=0,"",AVERAGE(AK935:AR935)*4)</x:f>
      </x:c>
      <x:c r="CG935" s="178" t="str">
        <x:f>IF(COUNT(AS935:AY935)=0,"",AVERAGE(AS935:AY935)*4)</x:f>
      </x:c>
      <x:c r="CH935" s="178" t="str">
        <x:f>IF(COUNT(AZ935:BG935)=0,"",AVERAGE(AZ935:BG935)*4)</x:f>
      </x:c>
      <x:c r="CI935" s="178" t="str">
        <x:f>IF(COUNT(BH935:BN935)=0,"",AVERAGE(BH935:BN935)*4)</x:f>
      </x:c>
      <x:c r="CJ935" s="178" t="str">
        <x:f>IF(COUNT(BO935:BU935)=0,"",AVERAGE(BO935:BU935)*4)</x:f>
      </x:c>
      <x:c r="CK935" s="178" t="str">
        <x:f>IF(COUNT(BV935:CB935)=0,"",AVERAGE(BV935:CB935)*4)</x:f>
      </x:c>
      <x:c r="CL935" s="178" t="str">
        <x:f>IF(C935="","",IF(COUNT(G935:CB935)&lt;74,"",(CC935*'تنظیمات وزن‌دهی'!$C$5+CD935*'تنظیمات وزن‌دهی'!$C$6+CE935*'تنظیمات وزن‌دهی'!$C$7+CF935*'تنظیمات وزن‌دهی'!$C$8+CG935*'تنظیمات وزن‌دهی'!$C$9+CH935*'تنظیمات وزن‌دهی'!$C$10+CI935*'تنظیمات وزن‌دهی'!$C$11+CJ935*'تنظیمات وزن‌دهی'!$C$12+CK935*'تنظیمات وزن‌دهی'!$C$13)/100))</x:f>
      </x:c>
      <x:c r="CM935" s="178" t="str">
        <x:f>IF(C935="","",IF(COUNT(G935:CB935)=0,"",IF(COUNT(G935:CB935)&lt;74,"موقت - اطلاعات ناقص",IF(CL935&gt;=17,"عالی",IF(CL935&gt;=14,"خوب",IF(CL935&gt;=10,"متوسط","ضعیف"))))))</x:f>
      </x:c>
      <x:c r="CN935" s="178" t="n">
        <x:v>7</x:v>
      </x:c>
      <x:c r="CO935" s="142" t="n">
        <x:f>IF(C935="","",COUNT(G935:CB935)/74)</x:f>
        <x:v>0</x:v>
      </x:c>
      <x:c r="CP935" s="245"/>
    </x:row>
    <x:row r="936">
      <x:c r="A936" s="165" t="n">
        <x:v>932</x:v>
      </x:c>
      <x:c r="B936" s="233" t="str">
        <x:v>بهمن</x:v>
      </x:c>
      <x:c r="C936" s="233" t="n">
        <x:f>IF('دانش‌آموزان'!E82="","",'دانش‌آموزان'!B82)</x:f>
        <x:v>78</x:v>
      </x:c>
      <x:c r="D936" s="233" t="str">
        <x:f>IF('دانش‌آموزان'!C82="","",'دانش‌آموزان'!C82)</x:f>
        <x:v>4000000780</x:v>
      </x:c>
      <x:c r="E936" s="233" t="str">
        <x:f>IF('دانش‌آموزان'!E82="","",'دانش‌آموزان'!E82&amp;" "&amp;'دانش‌آموزان'!F82)</x:f>
        <x:v>یسنا حیدری</x:v>
      </x:c>
      <x:c r="F936" s="166" t="str">
        <x:f>IF('دانش‌آموزان'!I82="","",'دانش‌آموزان'!I82)</x:f>
        <x:v>sample-7-d</x:v>
      </x:c>
      <x:c r="G936" s="114"/>
      <x:c r="H936" s="115"/>
      <x:c r="I936" s="115"/>
      <x:c r="J936" s="115"/>
      <x:c r="K936" s="115"/>
      <x:c r="L936" s="115"/>
      <x:c r="M936" s="115"/>
      <x:c r="N936" s="115"/>
      <x:c r="O936" s="115"/>
      <x:c r="P936" s="115"/>
      <x:c r="Q936" s="115"/>
      <x:c r="R936" s="115"/>
      <x:c r="S936" s="115"/>
      <x:c r="T936" s="115"/>
      <x:c r="U936" s="115"/>
      <x:c r="V936" s="115"/>
      <x:c r="W936" s="115"/>
      <x:c r="X936" s="115"/>
      <x:c r="Y936" s="115"/>
      <x:c r="Z936" s="115"/>
      <x:c r="AA936" s="115"/>
      <x:c r="AB936" s="115"/>
      <x:c r="AC936" s="115"/>
      <x:c r="AD936" s="115"/>
      <x:c r="AE936" s="115"/>
      <x:c r="AF936" s="115"/>
      <x:c r="AG936" s="115"/>
      <x:c r="AH936" s="115"/>
      <x:c r="AI936" s="115"/>
      <x:c r="AJ936" s="115"/>
      <x:c r="AK936" s="115"/>
      <x:c r="AL936" s="115"/>
      <x:c r="AM936" s="115"/>
      <x:c r="AN936" s="115"/>
      <x:c r="AO936" s="115"/>
      <x:c r="AP936" s="115"/>
      <x:c r="AQ936" s="115"/>
      <x:c r="AR936" s="115"/>
      <x:c r="AS936" s="115"/>
      <x:c r="AT936" s="115"/>
      <x:c r="AU936" s="115"/>
      <x:c r="AV936" s="115"/>
      <x:c r="AW936" s="115"/>
      <x:c r="AX936" s="115"/>
      <x:c r="AY936" s="115"/>
      <x:c r="AZ936" s="115"/>
      <x:c r="BA936" s="115"/>
      <x:c r="BB936" s="115"/>
      <x:c r="BC936" s="115"/>
      <x:c r="BD936" s="115"/>
      <x:c r="BE936" s="115"/>
      <x:c r="BF936" s="115"/>
      <x:c r="BG936" s="115"/>
      <x:c r="BH936" s="115"/>
      <x:c r="BI936" s="115"/>
      <x:c r="BJ936" s="115"/>
      <x:c r="BK936" s="115"/>
      <x:c r="BL936" s="115"/>
      <x:c r="BM936" s="115"/>
      <x:c r="BN936" s="115"/>
      <x:c r="BO936" s="115"/>
      <x:c r="BP936" s="115"/>
      <x:c r="BQ936" s="115"/>
      <x:c r="BR936" s="115"/>
      <x:c r="BS936" s="115"/>
      <x:c r="BT936" s="115"/>
      <x:c r="BU936" s="115"/>
      <x:c r="BV936" s="115"/>
      <x:c r="BW936" s="115"/>
      <x:c r="BX936" s="115"/>
      <x:c r="BY936" s="115"/>
      <x:c r="BZ936" s="115"/>
      <x:c r="CA936" s="115"/>
      <x:c r="CB936" s="116"/>
      <x:c r="CC936" s="141" t="str">
        <x:f>IF(COUNT(G936:P936)=0,"",AVERAGE(G936:P936)*4)</x:f>
      </x:c>
      <x:c r="CD936" s="178" t="str">
        <x:f>IF(COUNT(Q936:Z936)=0,"",AVERAGE(Q936:Z936)*4)</x:f>
      </x:c>
      <x:c r="CE936" s="178" t="str">
        <x:f>IF(COUNT(AA936:AJ936)=0,"",AVERAGE(AA936:AJ936)*4)</x:f>
      </x:c>
      <x:c r="CF936" s="178" t="str">
        <x:f>IF(COUNT(AK936:AR936)=0,"",AVERAGE(AK936:AR936)*4)</x:f>
      </x:c>
      <x:c r="CG936" s="178" t="str">
        <x:f>IF(COUNT(AS936:AY936)=0,"",AVERAGE(AS936:AY936)*4)</x:f>
      </x:c>
      <x:c r="CH936" s="178" t="str">
        <x:f>IF(COUNT(AZ936:BG936)=0,"",AVERAGE(AZ936:BG936)*4)</x:f>
      </x:c>
      <x:c r="CI936" s="178" t="str">
        <x:f>IF(COUNT(BH936:BN936)=0,"",AVERAGE(BH936:BN936)*4)</x:f>
      </x:c>
      <x:c r="CJ936" s="178" t="str">
        <x:f>IF(COUNT(BO936:BU936)=0,"",AVERAGE(BO936:BU936)*4)</x:f>
      </x:c>
      <x:c r="CK936" s="178" t="str">
        <x:f>IF(COUNT(BV936:CB936)=0,"",AVERAGE(BV936:CB936)*4)</x:f>
      </x:c>
      <x:c r="CL936" s="178" t="str">
        <x:f>IF(C936="","",IF(COUNT(G936:CB936)&lt;74,"",(CC936*'تنظیمات وزن‌دهی'!$C$5+CD936*'تنظیمات وزن‌دهی'!$C$6+CE936*'تنظیمات وزن‌دهی'!$C$7+CF936*'تنظیمات وزن‌دهی'!$C$8+CG936*'تنظیمات وزن‌دهی'!$C$9+CH936*'تنظیمات وزن‌دهی'!$C$10+CI936*'تنظیمات وزن‌دهی'!$C$11+CJ936*'تنظیمات وزن‌دهی'!$C$12+CK936*'تنظیمات وزن‌دهی'!$C$13)/100))</x:f>
      </x:c>
      <x:c r="CM936" s="178" t="str">
        <x:f>IF(C936="","",IF(COUNT(G936:CB936)=0,"",IF(COUNT(G936:CB936)&lt;74,"موقت - اطلاعات ناقص",IF(CL936&gt;=17,"عالی",IF(CL936&gt;=14,"خوب",IF(CL936&gt;=10,"متوسط","ضعیف"))))))</x:f>
      </x:c>
      <x:c r="CN936" s="178" t="n">
        <x:v>8</x:v>
      </x:c>
      <x:c r="CO936" s="142" t="n">
        <x:f>IF(C936="","",COUNT(G936:CB936)/74)</x:f>
        <x:v>0</x:v>
      </x:c>
      <x:c r="CP936" s="245"/>
    </x:row>
    <x:row r="937">
      <x:c r="A937" s="165" t="n">
        <x:v>933</x:v>
      </x:c>
      <x:c r="B937" s="233" t="str">
        <x:v>اسفند</x:v>
      </x:c>
      <x:c r="C937" s="233" t="n">
        <x:f>IF('دانش‌آموزان'!E82="","",'دانش‌آموزان'!B82)</x:f>
        <x:v>78</x:v>
      </x:c>
      <x:c r="D937" s="233" t="str">
        <x:f>IF('دانش‌آموزان'!C82="","",'دانش‌آموزان'!C82)</x:f>
        <x:v>4000000780</x:v>
      </x:c>
      <x:c r="E937" s="233" t="str">
        <x:f>IF('دانش‌آموزان'!E82="","",'دانش‌آموزان'!E82&amp;" "&amp;'دانش‌آموزان'!F82)</x:f>
        <x:v>یسنا حیدری</x:v>
      </x:c>
      <x:c r="F937" s="166" t="str">
        <x:f>IF('دانش‌آموزان'!I82="","",'دانش‌آموزان'!I82)</x:f>
        <x:v>sample-7-d</x:v>
      </x:c>
      <x:c r="G937" s="114"/>
      <x:c r="H937" s="115"/>
      <x:c r="I937" s="115"/>
      <x:c r="J937" s="115"/>
      <x:c r="K937" s="115"/>
      <x:c r="L937" s="115"/>
      <x:c r="M937" s="115"/>
      <x:c r="N937" s="115"/>
      <x:c r="O937" s="115"/>
      <x:c r="P937" s="115"/>
      <x:c r="Q937" s="115"/>
      <x:c r="R937" s="115"/>
      <x:c r="S937" s="115"/>
      <x:c r="T937" s="115"/>
      <x:c r="U937" s="115"/>
      <x:c r="V937" s="115"/>
      <x:c r="W937" s="115"/>
      <x:c r="X937" s="115"/>
      <x:c r="Y937" s="115"/>
      <x:c r="Z937" s="115"/>
      <x:c r="AA937" s="115"/>
      <x:c r="AB937" s="115"/>
      <x:c r="AC937" s="115"/>
      <x:c r="AD937" s="115"/>
      <x:c r="AE937" s="115"/>
      <x:c r="AF937" s="115"/>
      <x:c r="AG937" s="115"/>
      <x:c r="AH937" s="115"/>
      <x:c r="AI937" s="115"/>
      <x:c r="AJ937" s="115"/>
      <x:c r="AK937" s="115"/>
      <x:c r="AL937" s="115"/>
      <x:c r="AM937" s="115"/>
      <x:c r="AN937" s="115"/>
      <x:c r="AO937" s="115"/>
      <x:c r="AP937" s="115"/>
      <x:c r="AQ937" s="115"/>
      <x:c r="AR937" s="115"/>
      <x:c r="AS937" s="115"/>
      <x:c r="AT937" s="115"/>
      <x:c r="AU937" s="115"/>
      <x:c r="AV937" s="115"/>
      <x:c r="AW937" s="115"/>
      <x:c r="AX937" s="115"/>
      <x:c r="AY937" s="115"/>
      <x:c r="AZ937" s="115"/>
      <x:c r="BA937" s="115"/>
      <x:c r="BB937" s="115"/>
      <x:c r="BC937" s="115"/>
      <x:c r="BD937" s="115"/>
      <x:c r="BE937" s="115"/>
      <x:c r="BF937" s="115"/>
      <x:c r="BG937" s="115"/>
      <x:c r="BH937" s="115"/>
      <x:c r="BI937" s="115"/>
      <x:c r="BJ937" s="115"/>
      <x:c r="BK937" s="115"/>
      <x:c r="BL937" s="115"/>
      <x:c r="BM937" s="115"/>
      <x:c r="BN937" s="115"/>
      <x:c r="BO937" s="115"/>
      <x:c r="BP937" s="115"/>
      <x:c r="BQ937" s="115"/>
      <x:c r="BR937" s="115"/>
      <x:c r="BS937" s="115"/>
      <x:c r="BT937" s="115"/>
      <x:c r="BU937" s="115"/>
      <x:c r="BV937" s="115"/>
      <x:c r="BW937" s="115"/>
      <x:c r="BX937" s="115"/>
      <x:c r="BY937" s="115"/>
      <x:c r="BZ937" s="115"/>
      <x:c r="CA937" s="115"/>
      <x:c r="CB937" s="116"/>
      <x:c r="CC937" s="141" t="str">
        <x:f>IF(COUNT(G937:P937)=0,"",AVERAGE(G937:P937)*4)</x:f>
      </x:c>
      <x:c r="CD937" s="178" t="str">
        <x:f>IF(COUNT(Q937:Z937)=0,"",AVERAGE(Q937:Z937)*4)</x:f>
      </x:c>
      <x:c r="CE937" s="178" t="str">
        <x:f>IF(COUNT(AA937:AJ937)=0,"",AVERAGE(AA937:AJ937)*4)</x:f>
      </x:c>
      <x:c r="CF937" s="178" t="str">
        <x:f>IF(COUNT(AK937:AR937)=0,"",AVERAGE(AK937:AR937)*4)</x:f>
      </x:c>
      <x:c r="CG937" s="178" t="str">
        <x:f>IF(COUNT(AS937:AY937)=0,"",AVERAGE(AS937:AY937)*4)</x:f>
      </x:c>
      <x:c r="CH937" s="178" t="str">
        <x:f>IF(COUNT(AZ937:BG937)=0,"",AVERAGE(AZ937:BG937)*4)</x:f>
      </x:c>
      <x:c r="CI937" s="178" t="str">
        <x:f>IF(COUNT(BH937:BN937)=0,"",AVERAGE(BH937:BN937)*4)</x:f>
      </x:c>
      <x:c r="CJ937" s="178" t="str">
        <x:f>IF(COUNT(BO937:BU937)=0,"",AVERAGE(BO937:BU937)*4)</x:f>
      </x:c>
      <x:c r="CK937" s="178" t="str">
        <x:f>IF(COUNT(BV937:CB937)=0,"",AVERAGE(BV937:CB937)*4)</x:f>
      </x:c>
      <x:c r="CL937" s="178" t="str">
        <x:f>IF(C937="","",IF(COUNT(G937:CB937)&lt;74,"",(CC937*'تنظیمات وزن‌دهی'!$C$5+CD937*'تنظیمات وزن‌دهی'!$C$6+CE937*'تنظیمات وزن‌دهی'!$C$7+CF937*'تنظیمات وزن‌دهی'!$C$8+CG937*'تنظیمات وزن‌دهی'!$C$9+CH937*'تنظیمات وزن‌دهی'!$C$10+CI937*'تنظیمات وزن‌دهی'!$C$11+CJ937*'تنظیمات وزن‌دهی'!$C$12+CK937*'تنظیمات وزن‌دهی'!$C$13)/100))</x:f>
      </x:c>
      <x:c r="CM937" s="178" t="str">
        <x:f>IF(C937="","",IF(COUNT(G937:CB937)=0,"",IF(COUNT(G937:CB937)&lt;74,"موقت - اطلاعات ناقص",IF(CL937&gt;=17,"عالی",IF(CL937&gt;=14,"خوب",IF(CL937&gt;=10,"متوسط","ضعیف"))))))</x:f>
      </x:c>
      <x:c r="CN937" s="178" t="n">
        <x:v>9</x:v>
      </x:c>
      <x:c r="CO937" s="142" t="n">
        <x:f>IF(C937="","",COUNT(G937:CB937)/74)</x:f>
        <x:v>0</x:v>
      </x:c>
      <x:c r="CP937" s="245"/>
    </x:row>
    <x:row r="938">
      <x:c r="A938" s="165" t="n">
        <x:v>934</x:v>
      </x:c>
      <x:c r="B938" s="233" t="str">
        <x:v>فروردین</x:v>
      </x:c>
      <x:c r="C938" s="233" t="n">
        <x:f>IF('دانش‌آموزان'!E82="","",'دانش‌آموزان'!B82)</x:f>
        <x:v>78</x:v>
      </x:c>
      <x:c r="D938" s="233" t="str">
        <x:f>IF('دانش‌آموزان'!C82="","",'دانش‌آموزان'!C82)</x:f>
        <x:v>4000000780</x:v>
      </x:c>
      <x:c r="E938" s="233" t="str">
        <x:f>IF('دانش‌آموزان'!E82="","",'دانش‌آموزان'!E82&amp;" "&amp;'دانش‌آموزان'!F82)</x:f>
        <x:v>یسنا حیدری</x:v>
      </x:c>
      <x:c r="F938" s="166" t="str">
        <x:f>IF('دانش‌آموزان'!I82="","",'دانش‌آموزان'!I82)</x:f>
        <x:v>sample-7-d</x:v>
      </x:c>
      <x:c r="G938" s="114"/>
      <x:c r="H938" s="115"/>
      <x:c r="I938" s="115"/>
      <x:c r="J938" s="115"/>
      <x:c r="K938" s="115"/>
      <x:c r="L938" s="115"/>
      <x:c r="M938" s="115"/>
      <x:c r="N938" s="115"/>
      <x:c r="O938" s="115"/>
      <x:c r="P938" s="115"/>
      <x:c r="Q938" s="115"/>
      <x:c r="R938" s="115"/>
      <x:c r="S938" s="115"/>
      <x:c r="T938" s="115"/>
      <x:c r="U938" s="115"/>
      <x:c r="V938" s="115"/>
      <x:c r="W938" s="115"/>
      <x:c r="X938" s="115"/>
      <x:c r="Y938" s="115"/>
      <x:c r="Z938" s="115"/>
      <x:c r="AA938" s="115"/>
      <x:c r="AB938" s="115"/>
      <x:c r="AC938" s="115"/>
      <x:c r="AD938" s="115"/>
      <x:c r="AE938" s="115"/>
      <x:c r="AF938" s="115"/>
      <x:c r="AG938" s="115"/>
      <x:c r="AH938" s="115"/>
      <x:c r="AI938" s="115"/>
      <x:c r="AJ938" s="115"/>
      <x:c r="AK938" s="115"/>
      <x:c r="AL938" s="115"/>
      <x:c r="AM938" s="115"/>
      <x:c r="AN938" s="115"/>
      <x:c r="AO938" s="115"/>
      <x:c r="AP938" s="115"/>
      <x:c r="AQ938" s="115"/>
      <x:c r="AR938" s="115"/>
      <x:c r="AS938" s="115"/>
      <x:c r="AT938" s="115"/>
      <x:c r="AU938" s="115"/>
      <x:c r="AV938" s="115"/>
      <x:c r="AW938" s="115"/>
      <x:c r="AX938" s="115"/>
      <x:c r="AY938" s="115"/>
      <x:c r="AZ938" s="115"/>
      <x:c r="BA938" s="115"/>
      <x:c r="BB938" s="115"/>
      <x:c r="BC938" s="115"/>
      <x:c r="BD938" s="115"/>
      <x:c r="BE938" s="115"/>
      <x:c r="BF938" s="115"/>
      <x:c r="BG938" s="115"/>
      <x:c r="BH938" s="115"/>
      <x:c r="BI938" s="115"/>
      <x:c r="BJ938" s="115"/>
      <x:c r="BK938" s="115"/>
      <x:c r="BL938" s="115"/>
      <x:c r="BM938" s="115"/>
      <x:c r="BN938" s="115"/>
      <x:c r="BO938" s="115"/>
      <x:c r="BP938" s="115"/>
      <x:c r="BQ938" s="115"/>
      <x:c r="BR938" s="115"/>
      <x:c r="BS938" s="115"/>
      <x:c r="BT938" s="115"/>
      <x:c r="BU938" s="115"/>
      <x:c r="BV938" s="115"/>
      <x:c r="BW938" s="115"/>
      <x:c r="BX938" s="115"/>
      <x:c r="BY938" s="115"/>
      <x:c r="BZ938" s="115"/>
      <x:c r="CA938" s="115"/>
      <x:c r="CB938" s="116"/>
      <x:c r="CC938" s="141" t="str">
        <x:f>IF(COUNT(G938:P938)=0,"",AVERAGE(G938:P938)*4)</x:f>
      </x:c>
      <x:c r="CD938" s="178" t="str">
        <x:f>IF(COUNT(Q938:Z938)=0,"",AVERAGE(Q938:Z938)*4)</x:f>
      </x:c>
      <x:c r="CE938" s="178" t="str">
        <x:f>IF(COUNT(AA938:AJ938)=0,"",AVERAGE(AA938:AJ938)*4)</x:f>
      </x:c>
      <x:c r="CF938" s="178" t="str">
        <x:f>IF(COUNT(AK938:AR938)=0,"",AVERAGE(AK938:AR938)*4)</x:f>
      </x:c>
      <x:c r="CG938" s="178" t="str">
        <x:f>IF(COUNT(AS938:AY938)=0,"",AVERAGE(AS938:AY938)*4)</x:f>
      </x:c>
      <x:c r="CH938" s="178" t="str">
        <x:f>IF(COUNT(AZ938:BG938)=0,"",AVERAGE(AZ938:BG938)*4)</x:f>
      </x:c>
      <x:c r="CI938" s="178" t="str">
        <x:f>IF(COUNT(BH938:BN938)=0,"",AVERAGE(BH938:BN938)*4)</x:f>
      </x:c>
      <x:c r="CJ938" s="178" t="str">
        <x:f>IF(COUNT(BO938:BU938)=0,"",AVERAGE(BO938:BU938)*4)</x:f>
      </x:c>
      <x:c r="CK938" s="178" t="str">
        <x:f>IF(COUNT(BV938:CB938)=0,"",AVERAGE(BV938:CB938)*4)</x:f>
      </x:c>
      <x:c r="CL938" s="178" t="str">
        <x:f>IF(C938="","",IF(COUNT(G938:CB938)&lt;74,"",(CC938*'تنظیمات وزن‌دهی'!$C$5+CD938*'تنظیمات وزن‌دهی'!$C$6+CE938*'تنظیمات وزن‌دهی'!$C$7+CF938*'تنظیمات وزن‌دهی'!$C$8+CG938*'تنظیمات وزن‌دهی'!$C$9+CH938*'تنظیمات وزن‌دهی'!$C$10+CI938*'تنظیمات وزن‌دهی'!$C$11+CJ938*'تنظیمات وزن‌دهی'!$C$12+CK938*'تنظیمات وزن‌دهی'!$C$13)/100))</x:f>
      </x:c>
      <x:c r="CM938" s="178" t="str">
        <x:f>IF(C938="","",IF(COUNT(G938:CB938)=0,"",IF(COUNT(G938:CB938)&lt;74,"موقت - اطلاعات ناقص",IF(CL938&gt;=17,"عالی",IF(CL938&gt;=14,"خوب",IF(CL938&gt;=10,"متوسط","ضعیف"))))))</x:f>
      </x:c>
      <x:c r="CN938" s="178" t="n">
        <x:v>10</x:v>
      </x:c>
      <x:c r="CO938" s="142" t="n">
        <x:f>IF(C938="","",COUNT(G938:CB938)/74)</x:f>
        <x:v>0</x:v>
      </x:c>
      <x:c r="CP938" s="245"/>
    </x:row>
    <x:row r="939">
      <x:c r="A939" s="165" t="n">
        <x:v>935</x:v>
      </x:c>
      <x:c r="B939" s="233" t="str">
        <x:v>اردیبهشت</x:v>
      </x:c>
      <x:c r="C939" s="233" t="n">
        <x:f>IF('دانش‌آموزان'!E82="","",'دانش‌آموزان'!B82)</x:f>
        <x:v>78</x:v>
      </x:c>
      <x:c r="D939" s="233" t="str">
        <x:f>IF('دانش‌آموزان'!C82="","",'دانش‌آموزان'!C82)</x:f>
        <x:v>4000000780</x:v>
      </x:c>
      <x:c r="E939" s="233" t="str">
        <x:f>IF('دانش‌آموزان'!E82="","",'دانش‌آموزان'!E82&amp;" "&amp;'دانش‌آموزان'!F82)</x:f>
        <x:v>یسنا حیدری</x:v>
      </x:c>
      <x:c r="F939" s="166" t="str">
        <x:f>IF('دانش‌آموزان'!I82="","",'دانش‌آموزان'!I82)</x:f>
        <x:v>sample-7-d</x:v>
      </x:c>
      <x:c r="G939" s="114"/>
      <x:c r="H939" s="115"/>
      <x:c r="I939" s="115"/>
      <x:c r="J939" s="115"/>
      <x:c r="K939" s="115"/>
      <x:c r="L939" s="115"/>
      <x:c r="M939" s="115"/>
      <x:c r="N939" s="115"/>
      <x:c r="O939" s="115"/>
      <x:c r="P939" s="115"/>
      <x:c r="Q939" s="115"/>
      <x:c r="R939" s="115"/>
      <x:c r="S939" s="115"/>
      <x:c r="T939" s="115"/>
      <x:c r="U939" s="115"/>
      <x:c r="V939" s="115"/>
      <x:c r="W939" s="115"/>
      <x:c r="X939" s="115"/>
      <x:c r="Y939" s="115"/>
      <x:c r="Z939" s="115"/>
      <x:c r="AA939" s="115"/>
      <x:c r="AB939" s="115"/>
      <x:c r="AC939" s="115"/>
      <x:c r="AD939" s="115"/>
      <x:c r="AE939" s="115"/>
      <x:c r="AF939" s="115"/>
      <x:c r="AG939" s="115"/>
      <x:c r="AH939" s="115"/>
      <x:c r="AI939" s="115"/>
      <x:c r="AJ939" s="115"/>
      <x:c r="AK939" s="115"/>
      <x:c r="AL939" s="115"/>
      <x:c r="AM939" s="115"/>
      <x:c r="AN939" s="115"/>
      <x:c r="AO939" s="115"/>
      <x:c r="AP939" s="115"/>
      <x:c r="AQ939" s="115"/>
      <x:c r="AR939" s="115"/>
      <x:c r="AS939" s="115"/>
      <x:c r="AT939" s="115"/>
      <x:c r="AU939" s="115"/>
      <x:c r="AV939" s="115"/>
      <x:c r="AW939" s="115"/>
      <x:c r="AX939" s="115"/>
      <x:c r="AY939" s="115"/>
      <x:c r="AZ939" s="115"/>
      <x:c r="BA939" s="115"/>
      <x:c r="BB939" s="115"/>
      <x:c r="BC939" s="115"/>
      <x:c r="BD939" s="115"/>
      <x:c r="BE939" s="115"/>
      <x:c r="BF939" s="115"/>
      <x:c r="BG939" s="115"/>
      <x:c r="BH939" s="115"/>
      <x:c r="BI939" s="115"/>
      <x:c r="BJ939" s="115"/>
      <x:c r="BK939" s="115"/>
      <x:c r="BL939" s="115"/>
      <x:c r="BM939" s="115"/>
      <x:c r="BN939" s="115"/>
      <x:c r="BO939" s="115"/>
      <x:c r="BP939" s="115"/>
      <x:c r="BQ939" s="115"/>
      <x:c r="BR939" s="115"/>
      <x:c r="BS939" s="115"/>
      <x:c r="BT939" s="115"/>
      <x:c r="BU939" s="115"/>
      <x:c r="BV939" s="115"/>
      <x:c r="BW939" s="115"/>
      <x:c r="BX939" s="115"/>
      <x:c r="BY939" s="115"/>
      <x:c r="BZ939" s="115"/>
      <x:c r="CA939" s="115"/>
      <x:c r="CB939" s="116"/>
      <x:c r="CC939" s="141" t="str">
        <x:f>IF(COUNT(G939:P939)=0,"",AVERAGE(G939:P939)*4)</x:f>
      </x:c>
      <x:c r="CD939" s="178" t="str">
        <x:f>IF(COUNT(Q939:Z939)=0,"",AVERAGE(Q939:Z939)*4)</x:f>
      </x:c>
      <x:c r="CE939" s="178" t="str">
        <x:f>IF(COUNT(AA939:AJ939)=0,"",AVERAGE(AA939:AJ939)*4)</x:f>
      </x:c>
      <x:c r="CF939" s="178" t="str">
        <x:f>IF(COUNT(AK939:AR939)=0,"",AVERAGE(AK939:AR939)*4)</x:f>
      </x:c>
      <x:c r="CG939" s="178" t="str">
        <x:f>IF(COUNT(AS939:AY939)=0,"",AVERAGE(AS939:AY939)*4)</x:f>
      </x:c>
      <x:c r="CH939" s="178" t="str">
        <x:f>IF(COUNT(AZ939:BG939)=0,"",AVERAGE(AZ939:BG939)*4)</x:f>
      </x:c>
      <x:c r="CI939" s="178" t="str">
        <x:f>IF(COUNT(BH939:BN939)=0,"",AVERAGE(BH939:BN939)*4)</x:f>
      </x:c>
      <x:c r="CJ939" s="178" t="str">
        <x:f>IF(COUNT(BO939:BU939)=0,"",AVERAGE(BO939:BU939)*4)</x:f>
      </x:c>
      <x:c r="CK939" s="178" t="str">
        <x:f>IF(COUNT(BV939:CB939)=0,"",AVERAGE(BV939:CB939)*4)</x:f>
      </x:c>
      <x:c r="CL939" s="178" t="str">
        <x:f>IF(C939="","",IF(COUNT(G939:CB939)&lt;74,"",(CC939*'تنظیمات وزن‌دهی'!$C$5+CD939*'تنظیمات وزن‌دهی'!$C$6+CE939*'تنظیمات وزن‌دهی'!$C$7+CF939*'تنظیمات وزن‌دهی'!$C$8+CG939*'تنظیمات وزن‌دهی'!$C$9+CH939*'تنظیمات وزن‌دهی'!$C$10+CI939*'تنظیمات وزن‌دهی'!$C$11+CJ939*'تنظیمات وزن‌دهی'!$C$12+CK939*'تنظیمات وزن‌دهی'!$C$13)/100))</x:f>
      </x:c>
      <x:c r="CM939" s="178" t="str">
        <x:f>IF(C939="","",IF(COUNT(G939:CB939)=0,"",IF(COUNT(G939:CB939)&lt;74,"موقت - اطلاعات ناقص",IF(CL939&gt;=17,"عالی",IF(CL939&gt;=14,"خوب",IF(CL939&gt;=10,"متوسط","ضعیف"))))))</x:f>
      </x:c>
      <x:c r="CN939" s="178" t="n">
        <x:v>11</x:v>
      </x:c>
      <x:c r="CO939" s="142" t="n">
        <x:f>IF(C939="","",COUNT(G939:CB939)/74)</x:f>
        <x:v>0</x:v>
      </x:c>
      <x:c r="CP939" s="245"/>
    </x:row>
    <x:row r="940">
      <x:c r="A940" s="165" t="n">
        <x:v>936</x:v>
      </x:c>
      <x:c r="B940" s="233" t="str">
        <x:v>خرداد</x:v>
      </x:c>
      <x:c r="C940" s="233" t="n">
        <x:f>IF('دانش‌آموزان'!E82="","",'دانش‌آموزان'!B82)</x:f>
        <x:v>78</x:v>
      </x:c>
      <x:c r="D940" s="233" t="str">
        <x:f>IF('دانش‌آموزان'!C82="","",'دانش‌آموزان'!C82)</x:f>
        <x:v>4000000780</x:v>
      </x:c>
      <x:c r="E940" s="233" t="str">
        <x:f>IF('دانش‌آموزان'!E82="","",'دانش‌آموزان'!E82&amp;" "&amp;'دانش‌آموزان'!F82)</x:f>
        <x:v>یسنا حیدری</x:v>
      </x:c>
      <x:c r="F940" s="166" t="str">
        <x:f>IF('دانش‌آموزان'!I82="","",'دانش‌آموزان'!I82)</x:f>
        <x:v>sample-7-d</x:v>
      </x:c>
      <x:c r="G940" s="114"/>
      <x:c r="H940" s="115"/>
      <x:c r="I940" s="115"/>
      <x:c r="J940" s="115"/>
      <x:c r="K940" s="115"/>
      <x:c r="L940" s="115"/>
      <x:c r="M940" s="115"/>
      <x:c r="N940" s="115"/>
      <x:c r="O940" s="115"/>
      <x:c r="P940" s="115"/>
      <x:c r="Q940" s="115"/>
      <x:c r="R940" s="115"/>
      <x:c r="S940" s="115"/>
      <x:c r="T940" s="115"/>
      <x:c r="U940" s="115"/>
      <x:c r="V940" s="115"/>
      <x:c r="W940" s="115"/>
      <x:c r="X940" s="115"/>
      <x:c r="Y940" s="115"/>
      <x:c r="Z940" s="115"/>
      <x:c r="AA940" s="115"/>
      <x:c r="AB940" s="115"/>
      <x:c r="AC940" s="115"/>
      <x:c r="AD940" s="115"/>
      <x:c r="AE940" s="115"/>
      <x:c r="AF940" s="115"/>
      <x:c r="AG940" s="115"/>
      <x:c r="AH940" s="115"/>
      <x:c r="AI940" s="115"/>
      <x:c r="AJ940" s="115"/>
      <x:c r="AK940" s="115"/>
      <x:c r="AL940" s="115"/>
      <x:c r="AM940" s="115"/>
      <x:c r="AN940" s="115"/>
      <x:c r="AO940" s="115"/>
      <x:c r="AP940" s="115"/>
      <x:c r="AQ940" s="115"/>
      <x:c r="AR940" s="115"/>
      <x:c r="AS940" s="115"/>
      <x:c r="AT940" s="115"/>
      <x:c r="AU940" s="115"/>
      <x:c r="AV940" s="115"/>
      <x:c r="AW940" s="115"/>
      <x:c r="AX940" s="115"/>
      <x:c r="AY940" s="115"/>
      <x:c r="AZ940" s="115"/>
      <x:c r="BA940" s="115"/>
      <x:c r="BB940" s="115"/>
      <x:c r="BC940" s="115"/>
      <x:c r="BD940" s="115"/>
      <x:c r="BE940" s="115"/>
      <x:c r="BF940" s="115"/>
      <x:c r="BG940" s="115"/>
      <x:c r="BH940" s="115"/>
      <x:c r="BI940" s="115"/>
      <x:c r="BJ940" s="115"/>
      <x:c r="BK940" s="115"/>
      <x:c r="BL940" s="115"/>
      <x:c r="BM940" s="115"/>
      <x:c r="BN940" s="115"/>
      <x:c r="BO940" s="115"/>
      <x:c r="BP940" s="115"/>
      <x:c r="BQ940" s="115"/>
      <x:c r="BR940" s="115"/>
      <x:c r="BS940" s="115"/>
      <x:c r="BT940" s="115"/>
      <x:c r="BU940" s="115"/>
      <x:c r="BV940" s="115"/>
      <x:c r="BW940" s="115"/>
      <x:c r="BX940" s="115"/>
      <x:c r="BY940" s="115"/>
      <x:c r="BZ940" s="115"/>
      <x:c r="CA940" s="115"/>
      <x:c r="CB940" s="116"/>
      <x:c r="CC940" s="141" t="str">
        <x:f>IF(COUNT(G940:P940)=0,"",AVERAGE(G940:P940)*4)</x:f>
      </x:c>
      <x:c r="CD940" s="178" t="str">
        <x:f>IF(COUNT(Q940:Z940)=0,"",AVERAGE(Q940:Z940)*4)</x:f>
      </x:c>
      <x:c r="CE940" s="178" t="str">
        <x:f>IF(COUNT(AA940:AJ940)=0,"",AVERAGE(AA940:AJ940)*4)</x:f>
      </x:c>
      <x:c r="CF940" s="178" t="str">
        <x:f>IF(COUNT(AK940:AR940)=0,"",AVERAGE(AK940:AR940)*4)</x:f>
      </x:c>
      <x:c r="CG940" s="178" t="str">
        <x:f>IF(COUNT(AS940:AY940)=0,"",AVERAGE(AS940:AY940)*4)</x:f>
      </x:c>
      <x:c r="CH940" s="178" t="str">
        <x:f>IF(COUNT(AZ940:BG940)=0,"",AVERAGE(AZ940:BG940)*4)</x:f>
      </x:c>
      <x:c r="CI940" s="178" t="str">
        <x:f>IF(COUNT(BH940:BN940)=0,"",AVERAGE(BH940:BN940)*4)</x:f>
      </x:c>
      <x:c r="CJ940" s="178" t="str">
        <x:f>IF(COUNT(BO940:BU940)=0,"",AVERAGE(BO940:BU940)*4)</x:f>
      </x:c>
      <x:c r="CK940" s="178" t="str">
        <x:f>IF(COUNT(BV940:CB940)=0,"",AVERAGE(BV940:CB940)*4)</x:f>
      </x:c>
      <x:c r="CL940" s="178" t="str">
        <x:f>IF(C940="","",IF(COUNT(G940:CB940)&lt;74,"",(CC940*'تنظیمات وزن‌دهی'!$C$5+CD940*'تنظیمات وزن‌دهی'!$C$6+CE940*'تنظیمات وزن‌دهی'!$C$7+CF940*'تنظیمات وزن‌دهی'!$C$8+CG940*'تنظیمات وزن‌دهی'!$C$9+CH940*'تنظیمات وزن‌دهی'!$C$10+CI940*'تنظیمات وزن‌دهی'!$C$11+CJ940*'تنظیمات وزن‌دهی'!$C$12+CK940*'تنظیمات وزن‌دهی'!$C$13)/100))</x:f>
      </x:c>
      <x:c r="CM940" s="178" t="str">
        <x:f>IF(C940="","",IF(COUNT(G940:CB940)=0,"",IF(COUNT(G940:CB940)&lt;74,"موقت - اطلاعات ناقص",IF(CL940&gt;=17,"عالی",IF(CL940&gt;=14,"خوب",IF(CL940&gt;=10,"متوسط","ضعیف"))))))</x:f>
      </x:c>
      <x:c r="CN940" s="178" t="n">
        <x:v>12</x:v>
      </x:c>
      <x:c r="CO940" s="142" t="n">
        <x:f>IF(C940="","",COUNT(G940:CB940)/74)</x:f>
        <x:v>0</x:v>
      </x:c>
      <x:c r="CP940" s="245"/>
    </x:row>
    <x:row r="941">
      <x:c r="A941" s="165" t="n">
        <x:v>937</x:v>
      </x:c>
      <x:c r="B941" s="233" t="str">
        <x:v>تیر</x:v>
      </x:c>
      <x:c r="C941" s="233" t="n">
        <x:f>IF('دانش‌آموزان'!E83="","",'دانش‌آموزان'!B83)</x:f>
        <x:v>79</x:v>
      </x:c>
      <x:c r="D941" s="233" t="str">
        <x:f>IF('دانش‌آموزان'!C83="","",'دانش‌آموزان'!C83)</x:f>
        <x:v>4000000799</x:v>
      </x:c>
      <x:c r="E941" s="233" t="str">
        <x:f>IF('دانش‌آموزان'!E83="","",'دانش‌آموزان'!E83&amp;" "&amp;'دانش‌آموزان'!F83)</x:f>
        <x:v>رضا صادقی</x:v>
      </x:c>
      <x:c r="F941" s="166" t="str">
        <x:f>IF('دانش‌آموزان'!I83="","",'دانش‌آموزان'!I83)</x:f>
        <x:v>sample-7-d</x:v>
      </x:c>
      <x:c r="G941" s="114" t="n">
        <x:v>3</x:v>
      </x:c>
      <x:c r="H941" s="115" t="n">
        <x:v>5</x:v>
      </x:c>
      <x:c r="I941" s="115" t="n">
        <x:v>3</x:v>
      </x:c>
      <x:c r="J941" s="115" t="n">
        <x:v>4</x:v>
      </x:c>
      <x:c r="K941" s="115" t="n">
        <x:v>3</x:v>
      </x:c>
      <x:c r="L941" s="115" t="n">
        <x:v>4</x:v>
      </x:c>
      <x:c r="M941" s="115" t="n">
        <x:v>2</x:v>
      </x:c>
      <x:c r="N941" s="115" t="n">
        <x:v>4</x:v>
      </x:c>
      <x:c r="O941" s="115" t="n">
        <x:v>5</x:v>
      </x:c>
      <x:c r="P941" s="115" t="n">
        <x:v>4</x:v>
      </x:c>
      <x:c r="Q941" s="115" t="n">
        <x:v>5</x:v>
      </x:c>
      <x:c r="R941" s="115" t="n">
        <x:v>3</x:v>
      </x:c>
      <x:c r="S941" s="115" t="n">
        <x:v>5</x:v>
      </x:c>
      <x:c r="T941" s="115" t="n">
        <x:v>3</x:v>
      </x:c>
      <x:c r="U941" s="115" t="n">
        <x:v>4</x:v>
      </x:c>
      <x:c r="V941" s="115" t="n">
        <x:v>3</x:v>
      </x:c>
      <x:c r="W941" s="115" t="n">
        <x:v>4</x:v>
      </x:c>
      <x:c r="X941" s="115" t="n">
        <x:v>2</x:v>
      </x:c>
      <x:c r="Y941" s="115" t="n">
        <x:v>4</x:v>
      </x:c>
      <x:c r="Z941" s="115" t="n">
        <x:v>5</x:v>
      </x:c>
      <x:c r="AA941" s="115" t="n">
        <x:v>4</x:v>
      </x:c>
      <x:c r="AB941" s="115" t="n">
        <x:v>5</x:v>
      </x:c>
      <x:c r="AC941" s="115" t="n">
        <x:v>3</x:v>
      </x:c>
      <x:c r="AD941" s="115" t="n">
        <x:v>5</x:v>
      </x:c>
      <x:c r="AE941" s="115" t="n">
        <x:v>3</x:v>
      </x:c>
      <x:c r="AF941" s="115" t="n">
        <x:v>4</x:v>
      </x:c>
      <x:c r="AG941" s="115" t="n">
        <x:v>3</x:v>
      </x:c>
      <x:c r="AH941" s="115" t="n">
        <x:v>4</x:v>
      </x:c>
      <x:c r="AI941" s="115" t="n">
        <x:v>2</x:v>
      </x:c>
      <x:c r="AJ941" s="115" t="n">
        <x:v>4</x:v>
      </x:c>
      <x:c r="AK941" s="115" t="n">
        <x:v>5</x:v>
      </x:c>
      <x:c r="AL941" s="115" t="n">
        <x:v>4</x:v>
      </x:c>
      <x:c r="AM941" s="115" t="n">
        <x:v>5</x:v>
      </x:c>
      <x:c r="AN941" s="115" t="n">
        <x:v>3</x:v>
      </x:c>
      <x:c r="AO941" s="115" t="n">
        <x:v>5</x:v>
      </x:c>
      <x:c r="AP941" s="115" t="n">
        <x:v>3</x:v>
      </x:c>
      <x:c r="AQ941" s="115" t="n">
        <x:v>4</x:v>
      </x:c>
      <x:c r="AR941" s="115" t="n">
        <x:v>3</x:v>
      </x:c>
      <x:c r="AS941" s="115" t="n">
        <x:v>4</x:v>
      </x:c>
      <x:c r="AT941" s="115" t="n">
        <x:v>2</x:v>
      </x:c>
      <x:c r="AU941" s="115" t="n">
        <x:v>4</x:v>
      </x:c>
      <x:c r="AV941" s="115" t="n">
        <x:v>5</x:v>
      </x:c>
      <x:c r="AW941" s="115" t="n">
        <x:v>4</x:v>
      </x:c>
      <x:c r="AX941" s="115" t="n">
        <x:v>5</x:v>
      </x:c>
      <x:c r="AY941" s="115" t="n">
        <x:v>3</x:v>
      </x:c>
      <x:c r="AZ941" s="115" t="n">
        <x:v>5</x:v>
      </x:c>
      <x:c r="BA941" s="115" t="n">
        <x:v>3</x:v>
      </x:c>
      <x:c r="BB941" s="115" t="n">
        <x:v>4</x:v>
      </x:c>
      <x:c r="BC941" s="115" t="n">
        <x:v>3</x:v>
      </x:c>
      <x:c r="BD941" s="115" t="n">
        <x:v>4</x:v>
      </x:c>
      <x:c r="BE941" s="115" t="n">
        <x:v>2</x:v>
      </x:c>
      <x:c r="BF941" s="115" t="n">
        <x:v>4</x:v>
      </x:c>
      <x:c r="BG941" s="115" t="n">
        <x:v>5</x:v>
      </x:c>
      <x:c r="BH941" s="115" t="n">
        <x:v>4</x:v>
      </x:c>
      <x:c r="BI941" s="115" t="n">
        <x:v>5</x:v>
      </x:c>
      <x:c r="BJ941" s="115" t="n">
        <x:v>3</x:v>
      </x:c>
      <x:c r="BK941" s="115" t="n">
        <x:v>5</x:v>
      </x:c>
      <x:c r="BL941" s="115" t="n">
        <x:v>3</x:v>
      </x:c>
      <x:c r="BM941" s="115" t="n">
        <x:v>4</x:v>
      </x:c>
      <x:c r="BN941" s="115" t="n">
        <x:v>3</x:v>
      </x:c>
      <x:c r="BO941" s="115" t="n">
        <x:v>4</x:v>
      </x:c>
      <x:c r="BP941" s="115" t="n">
        <x:v>2</x:v>
      </x:c>
      <x:c r="BQ941" s="115" t="n">
        <x:v>4</x:v>
      </x:c>
      <x:c r="BR941" s="115" t="n">
        <x:v>5</x:v>
      </x:c>
      <x:c r="BS941" s="115" t="n">
        <x:v>4</x:v>
      </x:c>
      <x:c r="BT941" s="115" t="n">
        <x:v>5</x:v>
      </x:c>
      <x:c r="BU941" s="115" t="n">
        <x:v>3</x:v>
      </x:c>
      <x:c r="BV941" s="115" t="n">
        <x:v>5</x:v>
      </x:c>
      <x:c r="BW941" s="115" t="n">
        <x:v>3</x:v>
      </x:c>
      <x:c r="BX941" s="115" t="n">
        <x:v>4</x:v>
      </x:c>
      <x:c r="BY941" s="115" t="n">
        <x:v>3</x:v>
      </x:c>
      <x:c r="BZ941" s="115" t="n">
        <x:v>4</x:v>
      </x:c>
      <x:c r="CA941" s="115" t="n">
        <x:v>2</x:v>
      </x:c>
      <x:c r="CB941" s="116" t="n">
        <x:v>4</x:v>
      </x:c>
      <x:c r="CC941" s="141" t="n">
        <x:f>IF(COUNT(G941:P941)=0,"",AVERAGE(G941:P941)*4)</x:f>
        <x:v>14.8</x:v>
      </x:c>
      <x:c r="CD941" s="178" t="n">
        <x:f>IF(COUNT(Q941:Z941)=0,"",AVERAGE(Q941:Z941)*4)</x:f>
        <x:v>15.2</x:v>
      </x:c>
      <x:c r="CE941" s="178" t="n">
        <x:f>IF(COUNT(AA941:AJ941)=0,"",AVERAGE(AA941:AJ941)*4)</x:f>
        <x:v>14.8</x:v>
      </x:c>
      <x:c r="CF941" s="178" t="n">
        <x:f>IF(COUNT(AK941:AR941)=0,"",AVERAGE(AK941:AR941)*4)</x:f>
        <x:v>16</x:v>
      </x:c>
      <x:c r="CG941" s="178" t="n">
        <x:f>IF(COUNT(AS941:AY941)=0,"",AVERAGE(AS941:AY941)*4)</x:f>
        <x:v>15.428571428571429</x:v>
      </x:c>
      <x:c r="CH941" s="178" t="n">
        <x:f>IF(COUNT(AZ941:BG941)=0,"",AVERAGE(AZ941:BG941)*4)</x:f>
        <x:v>15</x:v>
      </x:c>
      <x:c r="CI941" s="178" t="n">
        <x:f>IF(COUNT(BH941:BN941)=0,"",AVERAGE(BH941:BN941)*4)</x:f>
        <x:v>15.428571428571429</x:v>
      </x:c>
      <x:c r="CJ941" s="178" t="n">
        <x:f>IF(COUNT(BO941:BU941)=0,"",AVERAGE(BO941:BU941)*4)</x:f>
        <x:v>15.428571428571429</x:v>
      </x:c>
      <x:c r="CK941" s="178" t="n">
        <x:f>IF(COUNT(BV941:CB941)=0,"",AVERAGE(BV941:CB941)*4)</x:f>
        <x:v>14.285714285714286</x:v>
      </x:c>
      <x:c r="CL941" s="178" t="n">
        <x:f>IF(C941="","",IF(COUNT(G941:CB941)&lt;74,"",(CC941*'تنظیمات وزن‌دهی'!$C$5+CD941*'تنظیمات وزن‌دهی'!$C$6+CE941*'تنظیمات وزن‌دهی'!$C$7+CF941*'تنظیمات وزن‌دهی'!$C$8+CG941*'تنظیمات وزن‌دهی'!$C$9+CH941*'تنظیمات وزن‌دهی'!$C$10+CI941*'تنظیمات وزن‌دهی'!$C$11+CJ941*'تنظیمات وزن‌دهی'!$C$12+CK941*'تنظیمات وزن‌دهی'!$C$13)/100))</x:f>
        <x:v>15.145714285714286</x:v>
      </x:c>
      <x:c r="CM941" s="178" t="str">
        <x:f>IF(C941="","",IF(COUNT(G941:CB941)=0,"",IF(COUNT(G941:CB941)&lt;74,"موقت - اطلاعات ناقص",IF(CL941&gt;=17,"عالی",IF(CL941&gt;=14,"خوب",IF(CL941&gt;=10,"متوسط","ضعیف"))))))</x:f>
        <x:v>خوب</x:v>
      </x:c>
      <x:c r="CN941" s="178" t="n">
        <x:v>1</x:v>
      </x:c>
      <x:c r="CO941" s="142" t="n">
        <x:f>IF(C941="","",COUNT(G941:CB941)/74)</x:f>
        <x:v>1</x:v>
      </x:c>
      <x:c r="CP941" s="245" t="str">
        <x:v>داده نمونه کامل برای ماه تیر - دانش‌آموز شماره 79</x:v>
      </x:c>
    </x:row>
    <x:row r="942">
      <x:c r="A942" s="165" t="n">
        <x:v>938</x:v>
      </x:c>
      <x:c r="B942" s="233" t="str">
        <x:v>مرداد</x:v>
      </x:c>
      <x:c r="C942" s="233" t="n">
        <x:f>IF('دانش‌آموزان'!E83="","",'دانش‌آموزان'!B83)</x:f>
        <x:v>79</x:v>
      </x:c>
      <x:c r="D942" s="233" t="str">
        <x:f>IF('دانش‌آموزان'!C83="","",'دانش‌آموزان'!C83)</x:f>
        <x:v>4000000799</x:v>
      </x:c>
      <x:c r="E942" s="233" t="str">
        <x:f>IF('دانش‌آموزان'!E83="","",'دانش‌آموزان'!E83&amp;" "&amp;'دانش‌آموزان'!F83)</x:f>
        <x:v>رضا صادقی</x:v>
      </x:c>
      <x:c r="F942" s="166" t="str">
        <x:f>IF('دانش‌آموزان'!I83="","",'دانش‌آموزان'!I83)</x:f>
        <x:v>sample-7-d</x:v>
      </x:c>
      <x:c r="G942" s="114"/>
      <x:c r="H942" s="115"/>
      <x:c r="I942" s="115"/>
      <x:c r="J942" s="115"/>
      <x:c r="K942" s="115"/>
      <x:c r="L942" s="115"/>
      <x:c r="M942" s="115"/>
      <x:c r="N942" s="115"/>
      <x:c r="O942" s="115"/>
      <x:c r="P942" s="115"/>
      <x:c r="Q942" s="115"/>
      <x:c r="R942" s="115"/>
      <x:c r="S942" s="115"/>
      <x:c r="T942" s="115"/>
      <x:c r="U942" s="115"/>
      <x:c r="V942" s="115"/>
      <x:c r="W942" s="115"/>
      <x:c r="X942" s="115"/>
      <x:c r="Y942" s="115"/>
      <x:c r="Z942" s="115"/>
      <x:c r="AA942" s="115"/>
      <x:c r="AB942" s="115"/>
      <x:c r="AC942" s="115"/>
      <x:c r="AD942" s="115"/>
      <x:c r="AE942" s="115"/>
      <x:c r="AF942" s="115"/>
      <x:c r="AG942" s="115"/>
      <x:c r="AH942" s="115"/>
      <x:c r="AI942" s="115"/>
      <x:c r="AJ942" s="115"/>
      <x:c r="AK942" s="115"/>
      <x:c r="AL942" s="115"/>
      <x:c r="AM942" s="115"/>
      <x:c r="AN942" s="115"/>
      <x:c r="AO942" s="115"/>
      <x:c r="AP942" s="115"/>
      <x:c r="AQ942" s="115"/>
      <x:c r="AR942" s="115"/>
      <x:c r="AS942" s="115"/>
      <x:c r="AT942" s="115"/>
      <x:c r="AU942" s="115"/>
      <x:c r="AV942" s="115"/>
      <x:c r="AW942" s="115"/>
      <x:c r="AX942" s="115"/>
      <x:c r="AY942" s="115"/>
      <x:c r="AZ942" s="115"/>
      <x:c r="BA942" s="115"/>
      <x:c r="BB942" s="115"/>
      <x:c r="BC942" s="115"/>
      <x:c r="BD942" s="115"/>
      <x:c r="BE942" s="115"/>
      <x:c r="BF942" s="115"/>
      <x:c r="BG942" s="115"/>
      <x:c r="BH942" s="115"/>
      <x:c r="BI942" s="115"/>
      <x:c r="BJ942" s="115"/>
      <x:c r="BK942" s="115"/>
      <x:c r="BL942" s="115"/>
      <x:c r="BM942" s="115"/>
      <x:c r="BN942" s="115"/>
      <x:c r="BO942" s="115"/>
      <x:c r="BP942" s="115"/>
      <x:c r="BQ942" s="115"/>
      <x:c r="BR942" s="115"/>
      <x:c r="BS942" s="115"/>
      <x:c r="BT942" s="115"/>
      <x:c r="BU942" s="115"/>
      <x:c r="BV942" s="115"/>
      <x:c r="BW942" s="115"/>
      <x:c r="BX942" s="115"/>
      <x:c r="BY942" s="115"/>
      <x:c r="BZ942" s="115"/>
      <x:c r="CA942" s="115"/>
      <x:c r="CB942" s="116"/>
      <x:c r="CC942" s="141" t="str">
        <x:f>IF(COUNT(G942:P942)=0,"",AVERAGE(G942:P942)*4)</x:f>
      </x:c>
      <x:c r="CD942" s="178" t="str">
        <x:f>IF(COUNT(Q942:Z942)=0,"",AVERAGE(Q942:Z942)*4)</x:f>
      </x:c>
      <x:c r="CE942" s="178" t="str">
        <x:f>IF(COUNT(AA942:AJ942)=0,"",AVERAGE(AA942:AJ942)*4)</x:f>
      </x:c>
      <x:c r="CF942" s="178" t="str">
        <x:f>IF(COUNT(AK942:AR942)=0,"",AVERAGE(AK942:AR942)*4)</x:f>
      </x:c>
      <x:c r="CG942" s="178" t="str">
        <x:f>IF(COUNT(AS942:AY942)=0,"",AVERAGE(AS942:AY942)*4)</x:f>
      </x:c>
      <x:c r="CH942" s="178" t="str">
        <x:f>IF(COUNT(AZ942:BG942)=0,"",AVERAGE(AZ942:BG942)*4)</x:f>
      </x:c>
      <x:c r="CI942" s="178" t="str">
        <x:f>IF(COUNT(BH942:BN942)=0,"",AVERAGE(BH942:BN942)*4)</x:f>
      </x:c>
      <x:c r="CJ942" s="178" t="str">
        <x:f>IF(COUNT(BO942:BU942)=0,"",AVERAGE(BO942:BU942)*4)</x:f>
      </x:c>
      <x:c r="CK942" s="178" t="str">
        <x:f>IF(COUNT(BV942:CB942)=0,"",AVERAGE(BV942:CB942)*4)</x:f>
      </x:c>
      <x:c r="CL942" s="178" t="str">
        <x:f>IF(C942="","",IF(COUNT(G942:CB942)&lt;74,"",(CC942*'تنظیمات وزن‌دهی'!$C$5+CD942*'تنظیمات وزن‌دهی'!$C$6+CE942*'تنظیمات وزن‌دهی'!$C$7+CF942*'تنظیمات وزن‌دهی'!$C$8+CG942*'تنظیمات وزن‌دهی'!$C$9+CH942*'تنظیمات وزن‌دهی'!$C$10+CI942*'تنظیمات وزن‌دهی'!$C$11+CJ942*'تنظیمات وزن‌دهی'!$C$12+CK942*'تنظیمات وزن‌دهی'!$C$13)/100))</x:f>
      </x:c>
      <x:c r="CM942" s="178" t="str">
        <x:f>IF(C942="","",IF(COUNT(G942:CB942)=0,"",IF(COUNT(G942:CB942)&lt;74,"موقت - اطلاعات ناقص",IF(CL942&gt;=17,"عالی",IF(CL942&gt;=14,"خوب",IF(CL942&gt;=10,"متوسط","ضعیف"))))))</x:f>
      </x:c>
      <x:c r="CN942" s="178" t="n">
        <x:v>2</x:v>
      </x:c>
      <x:c r="CO942" s="142" t="n">
        <x:f>IF(C942="","",COUNT(G942:CB942)/74)</x:f>
        <x:v>0</x:v>
      </x:c>
      <x:c r="CP942" s="245"/>
    </x:row>
    <x:row r="943">
      <x:c r="A943" s="165" t="n">
        <x:v>939</x:v>
      </x:c>
      <x:c r="B943" s="233" t="str">
        <x:v>شهریور</x:v>
      </x:c>
      <x:c r="C943" s="233" t="n">
        <x:f>IF('دانش‌آموزان'!E83="","",'دانش‌آموزان'!B83)</x:f>
        <x:v>79</x:v>
      </x:c>
      <x:c r="D943" s="233" t="str">
        <x:f>IF('دانش‌آموزان'!C83="","",'دانش‌آموزان'!C83)</x:f>
        <x:v>4000000799</x:v>
      </x:c>
      <x:c r="E943" s="233" t="str">
        <x:f>IF('دانش‌آموزان'!E83="","",'دانش‌آموزان'!E83&amp;" "&amp;'دانش‌آموزان'!F83)</x:f>
        <x:v>رضا صادقی</x:v>
      </x:c>
      <x:c r="F943" s="166" t="str">
        <x:f>IF('دانش‌آموزان'!I83="","",'دانش‌آموزان'!I83)</x:f>
        <x:v>sample-7-d</x:v>
      </x:c>
      <x:c r="G943" s="114"/>
      <x:c r="H943" s="115"/>
      <x:c r="I943" s="115"/>
      <x:c r="J943" s="115"/>
      <x:c r="K943" s="115"/>
      <x:c r="L943" s="115"/>
      <x:c r="M943" s="115"/>
      <x:c r="N943" s="115"/>
      <x:c r="O943" s="115"/>
      <x:c r="P943" s="115"/>
      <x:c r="Q943" s="115"/>
      <x:c r="R943" s="115"/>
      <x:c r="S943" s="115"/>
      <x:c r="T943" s="115"/>
      <x:c r="U943" s="115"/>
      <x:c r="V943" s="115"/>
      <x:c r="W943" s="115"/>
      <x:c r="X943" s="115"/>
      <x:c r="Y943" s="115"/>
      <x:c r="Z943" s="115"/>
      <x:c r="AA943" s="115"/>
      <x:c r="AB943" s="115"/>
      <x:c r="AC943" s="115"/>
      <x:c r="AD943" s="115"/>
      <x:c r="AE943" s="115"/>
      <x:c r="AF943" s="115"/>
      <x:c r="AG943" s="115"/>
      <x:c r="AH943" s="115"/>
      <x:c r="AI943" s="115"/>
      <x:c r="AJ943" s="115"/>
      <x:c r="AK943" s="115"/>
      <x:c r="AL943" s="115"/>
      <x:c r="AM943" s="115"/>
      <x:c r="AN943" s="115"/>
      <x:c r="AO943" s="115"/>
      <x:c r="AP943" s="115"/>
      <x:c r="AQ943" s="115"/>
      <x:c r="AR943" s="115"/>
      <x:c r="AS943" s="115"/>
      <x:c r="AT943" s="115"/>
      <x:c r="AU943" s="115"/>
      <x:c r="AV943" s="115"/>
      <x:c r="AW943" s="115"/>
      <x:c r="AX943" s="115"/>
      <x:c r="AY943" s="115"/>
      <x:c r="AZ943" s="115"/>
      <x:c r="BA943" s="115"/>
      <x:c r="BB943" s="115"/>
      <x:c r="BC943" s="115"/>
      <x:c r="BD943" s="115"/>
      <x:c r="BE943" s="115"/>
      <x:c r="BF943" s="115"/>
      <x:c r="BG943" s="115"/>
      <x:c r="BH943" s="115"/>
      <x:c r="BI943" s="115"/>
      <x:c r="BJ943" s="115"/>
      <x:c r="BK943" s="115"/>
      <x:c r="BL943" s="115"/>
      <x:c r="BM943" s="115"/>
      <x:c r="BN943" s="115"/>
      <x:c r="BO943" s="115"/>
      <x:c r="BP943" s="115"/>
      <x:c r="BQ943" s="115"/>
      <x:c r="BR943" s="115"/>
      <x:c r="BS943" s="115"/>
      <x:c r="BT943" s="115"/>
      <x:c r="BU943" s="115"/>
      <x:c r="BV943" s="115"/>
      <x:c r="BW943" s="115"/>
      <x:c r="BX943" s="115"/>
      <x:c r="BY943" s="115"/>
      <x:c r="BZ943" s="115"/>
      <x:c r="CA943" s="115"/>
      <x:c r="CB943" s="116"/>
      <x:c r="CC943" s="141" t="str">
        <x:f>IF(COUNT(G943:P943)=0,"",AVERAGE(G943:P943)*4)</x:f>
      </x:c>
      <x:c r="CD943" s="178" t="str">
        <x:f>IF(COUNT(Q943:Z943)=0,"",AVERAGE(Q943:Z943)*4)</x:f>
      </x:c>
      <x:c r="CE943" s="178" t="str">
        <x:f>IF(COUNT(AA943:AJ943)=0,"",AVERAGE(AA943:AJ943)*4)</x:f>
      </x:c>
      <x:c r="CF943" s="178" t="str">
        <x:f>IF(COUNT(AK943:AR943)=0,"",AVERAGE(AK943:AR943)*4)</x:f>
      </x:c>
      <x:c r="CG943" s="178" t="str">
        <x:f>IF(COUNT(AS943:AY943)=0,"",AVERAGE(AS943:AY943)*4)</x:f>
      </x:c>
      <x:c r="CH943" s="178" t="str">
        <x:f>IF(COUNT(AZ943:BG943)=0,"",AVERAGE(AZ943:BG943)*4)</x:f>
      </x:c>
      <x:c r="CI943" s="178" t="str">
        <x:f>IF(COUNT(BH943:BN943)=0,"",AVERAGE(BH943:BN943)*4)</x:f>
      </x:c>
      <x:c r="CJ943" s="178" t="str">
        <x:f>IF(COUNT(BO943:BU943)=0,"",AVERAGE(BO943:BU943)*4)</x:f>
      </x:c>
      <x:c r="CK943" s="178" t="str">
        <x:f>IF(COUNT(BV943:CB943)=0,"",AVERAGE(BV943:CB943)*4)</x:f>
      </x:c>
      <x:c r="CL943" s="178" t="str">
        <x:f>IF(C943="","",IF(COUNT(G943:CB943)&lt;74,"",(CC943*'تنظیمات وزن‌دهی'!$C$5+CD943*'تنظیمات وزن‌دهی'!$C$6+CE943*'تنظیمات وزن‌دهی'!$C$7+CF943*'تنظیمات وزن‌دهی'!$C$8+CG943*'تنظیمات وزن‌دهی'!$C$9+CH943*'تنظیمات وزن‌دهی'!$C$10+CI943*'تنظیمات وزن‌دهی'!$C$11+CJ943*'تنظیمات وزن‌دهی'!$C$12+CK943*'تنظیمات وزن‌دهی'!$C$13)/100))</x:f>
      </x:c>
      <x:c r="CM943" s="178" t="str">
        <x:f>IF(C943="","",IF(COUNT(G943:CB943)=0,"",IF(COUNT(G943:CB943)&lt;74,"موقت - اطلاعات ناقص",IF(CL943&gt;=17,"عالی",IF(CL943&gt;=14,"خوب",IF(CL943&gt;=10,"متوسط","ضعیف"))))))</x:f>
      </x:c>
      <x:c r="CN943" s="178" t="n">
        <x:v>3</x:v>
      </x:c>
      <x:c r="CO943" s="142" t="n">
        <x:f>IF(C943="","",COUNT(G943:CB943)/74)</x:f>
        <x:v>0</x:v>
      </x:c>
      <x:c r="CP943" s="245"/>
    </x:row>
    <x:row r="944">
      <x:c r="A944" s="165" t="n">
        <x:v>940</x:v>
      </x:c>
      <x:c r="B944" s="233" t="str">
        <x:v>مهر</x:v>
      </x:c>
      <x:c r="C944" s="233" t="n">
        <x:f>IF('دانش‌آموزان'!E83="","",'دانش‌آموزان'!B83)</x:f>
        <x:v>79</x:v>
      </x:c>
      <x:c r="D944" s="233" t="str">
        <x:f>IF('دانش‌آموزان'!C83="","",'دانش‌آموزان'!C83)</x:f>
        <x:v>4000000799</x:v>
      </x:c>
      <x:c r="E944" s="233" t="str">
        <x:f>IF('دانش‌آموزان'!E83="","",'دانش‌آموزان'!E83&amp;" "&amp;'دانش‌آموزان'!F83)</x:f>
        <x:v>رضا صادقی</x:v>
      </x:c>
      <x:c r="F944" s="166" t="str">
        <x:f>IF('دانش‌آموزان'!I83="","",'دانش‌آموزان'!I83)</x:f>
        <x:v>sample-7-d</x:v>
      </x:c>
      <x:c r="G944" s="114"/>
      <x:c r="H944" s="115"/>
      <x:c r="I944" s="115"/>
      <x:c r="J944" s="115"/>
      <x:c r="K944" s="115"/>
      <x:c r="L944" s="115"/>
      <x:c r="M944" s="115"/>
      <x:c r="N944" s="115"/>
      <x:c r="O944" s="115"/>
      <x:c r="P944" s="115"/>
      <x:c r="Q944" s="115"/>
      <x:c r="R944" s="115"/>
      <x:c r="S944" s="115"/>
      <x:c r="T944" s="115"/>
      <x:c r="U944" s="115"/>
      <x:c r="V944" s="115"/>
      <x:c r="W944" s="115"/>
      <x:c r="X944" s="115"/>
      <x:c r="Y944" s="115"/>
      <x:c r="Z944" s="115"/>
      <x:c r="AA944" s="115"/>
      <x:c r="AB944" s="115"/>
      <x:c r="AC944" s="115"/>
      <x:c r="AD944" s="115"/>
      <x:c r="AE944" s="115"/>
      <x:c r="AF944" s="115"/>
      <x:c r="AG944" s="115"/>
      <x:c r="AH944" s="115"/>
      <x:c r="AI944" s="115"/>
      <x:c r="AJ944" s="115"/>
      <x:c r="AK944" s="115"/>
      <x:c r="AL944" s="115"/>
      <x:c r="AM944" s="115"/>
      <x:c r="AN944" s="115"/>
      <x:c r="AO944" s="115"/>
      <x:c r="AP944" s="115"/>
      <x:c r="AQ944" s="115"/>
      <x:c r="AR944" s="115"/>
      <x:c r="AS944" s="115"/>
      <x:c r="AT944" s="115"/>
      <x:c r="AU944" s="115"/>
      <x:c r="AV944" s="115"/>
      <x:c r="AW944" s="115"/>
      <x:c r="AX944" s="115"/>
      <x:c r="AY944" s="115"/>
      <x:c r="AZ944" s="115"/>
      <x:c r="BA944" s="115"/>
      <x:c r="BB944" s="115"/>
      <x:c r="BC944" s="115"/>
      <x:c r="BD944" s="115"/>
      <x:c r="BE944" s="115"/>
      <x:c r="BF944" s="115"/>
      <x:c r="BG944" s="115"/>
      <x:c r="BH944" s="115"/>
      <x:c r="BI944" s="115"/>
      <x:c r="BJ944" s="115"/>
      <x:c r="BK944" s="115"/>
      <x:c r="BL944" s="115"/>
      <x:c r="BM944" s="115"/>
      <x:c r="BN944" s="115"/>
      <x:c r="BO944" s="115"/>
      <x:c r="BP944" s="115"/>
      <x:c r="BQ944" s="115"/>
      <x:c r="BR944" s="115"/>
      <x:c r="BS944" s="115"/>
      <x:c r="BT944" s="115"/>
      <x:c r="BU944" s="115"/>
      <x:c r="BV944" s="115"/>
      <x:c r="BW944" s="115"/>
      <x:c r="BX944" s="115"/>
      <x:c r="BY944" s="115"/>
      <x:c r="BZ944" s="115"/>
      <x:c r="CA944" s="115"/>
      <x:c r="CB944" s="116"/>
      <x:c r="CC944" s="141" t="str">
        <x:f>IF(COUNT(G944:P944)=0,"",AVERAGE(G944:P944)*4)</x:f>
      </x:c>
      <x:c r="CD944" s="178" t="str">
        <x:f>IF(COUNT(Q944:Z944)=0,"",AVERAGE(Q944:Z944)*4)</x:f>
      </x:c>
      <x:c r="CE944" s="178" t="str">
        <x:f>IF(COUNT(AA944:AJ944)=0,"",AVERAGE(AA944:AJ944)*4)</x:f>
      </x:c>
      <x:c r="CF944" s="178" t="str">
        <x:f>IF(COUNT(AK944:AR944)=0,"",AVERAGE(AK944:AR944)*4)</x:f>
      </x:c>
      <x:c r="CG944" s="178" t="str">
        <x:f>IF(COUNT(AS944:AY944)=0,"",AVERAGE(AS944:AY944)*4)</x:f>
      </x:c>
      <x:c r="CH944" s="178" t="str">
        <x:f>IF(COUNT(AZ944:BG944)=0,"",AVERAGE(AZ944:BG944)*4)</x:f>
      </x:c>
      <x:c r="CI944" s="178" t="str">
        <x:f>IF(COUNT(BH944:BN944)=0,"",AVERAGE(BH944:BN944)*4)</x:f>
      </x:c>
      <x:c r="CJ944" s="178" t="str">
        <x:f>IF(COUNT(BO944:BU944)=0,"",AVERAGE(BO944:BU944)*4)</x:f>
      </x:c>
      <x:c r="CK944" s="178" t="str">
        <x:f>IF(COUNT(BV944:CB944)=0,"",AVERAGE(BV944:CB944)*4)</x:f>
      </x:c>
      <x:c r="CL944" s="178" t="str">
        <x:f>IF(C944="","",IF(COUNT(G944:CB944)&lt;74,"",(CC944*'تنظیمات وزن‌دهی'!$C$5+CD944*'تنظیمات وزن‌دهی'!$C$6+CE944*'تنظیمات وزن‌دهی'!$C$7+CF944*'تنظیمات وزن‌دهی'!$C$8+CG944*'تنظیمات وزن‌دهی'!$C$9+CH944*'تنظیمات وزن‌دهی'!$C$10+CI944*'تنظیمات وزن‌دهی'!$C$11+CJ944*'تنظیمات وزن‌دهی'!$C$12+CK944*'تنظیمات وزن‌دهی'!$C$13)/100))</x:f>
      </x:c>
      <x:c r="CM944" s="178" t="str">
        <x:f>IF(C944="","",IF(COUNT(G944:CB944)=0,"",IF(COUNT(G944:CB944)&lt;74,"موقت - اطلاعات ناقص",IF(CL944&gt;=17,"عالی",IF(CL944&gt;=14,"خوب",IF(CL944&gt;=10,"متوسط","ضعیف"))))))</x:f>
      </x:c>
      <x:c r="CN944" s="178" t="n">
        <x:v>4</x:v>
      </x:c>
      <x:c r="CO944" s="142" t="n">
        <x:f>IF(C944="","",COUNT(G944:CB944)/74)</x:f>
        <x:v>0</x:v>
      </x:c>
      <x:c r="CP944" s="245"/>
    </x:row>
    <x:row r="945">
      <x:c r="A945" s="165" t="n">
        <x:v>941</x:v>
      </x:c>
      <x:c r="B945" s="233" t="str">
        <x:v>آبان</x:v>
      </x:c>
      <x:c r="C945" s="233" t="n">
        <x:f>IF('دانش‌آموزان'!E83="","",'دانش‌آموزان'!B83)</x:f>
        <x:v>79</x:v>
      </x:c>
      <x:c r="D945" s="233" t="str">
        <x:f>IF('دانش‌آموزان'!C83="","",'دانش‌آموزان'!C83)</x:f>
        <x:v>4000000799</x:v>
      </x:c>
      <x:c r="E945" s="233" t="str">
        <x:f>IF('دانش‌آموزان'!E83="","",'دانش‌آموزان'!E83&amp;" "&amp;'دانش‌آموزان'!F83)</x:f>
        <x:v>رضا صادقی</x:v>
      </x:c>
      <x:c r="F945" s="166" t="str">
        <x:f>IF('دانش‌آموزان'!I83="","",'دانش‌آموزان'!I83)</x:f>
        <x:v>sample-7-d</x:v>
      </x:c>
      <x:c r="G945" s="114"/>
      <x:c r="H945" s="115"/>
      <x:c r="I945" s="115"/>
      <x:c r="J945" s="115"/>
      <x:c r="K945" s="115"/>
      <x:c r="L945" s="115"/>
      <x:c r="M945" s="115"/>
      <x:c r="N945" s="115"/>
      <x:c r="O945" s="115"/>
      <x:c r="P945" s="115"/>
      <x:c r="Q945" s="115"/>
      <x:c r="R945" s="115"/>
      <x:c r="S945" s="115"/>
      <x:c r="T945" s="115"/>
      <x:c r="U945" s="115"/>
      <x:c r="V945" s="115"/>
      <x:c r="W945" s="115"/>
      <x:c r="X945" s="115"/>
      <x:c r="Y945" s="115"/>
      <x:c r="Z945" s="115"/>
      <x:c r="AA945" s="115"/>
      <x:c r="AB945" s="115"/>
      <x:c r="AC945" s="115"/>
      <x:c r="AD945" s="115"/>
      <x:c r="AE945" s="115"/>
      <x:c r="AF945" s="115"/>
      <x:c r="AG945" s="115"/>
      <x:c r="AH945" s="115"/>
      <x:c r="AI945" s="115"/>
      <x:c r="AJ945" s="115"/>
      <x:c r="AK945" s="115"/>
      <x:c r="AL945" s="115"/>
      <x:c r="AM945" s="115"/>
      <x:c r="AN945" s="115"/>
      <x:c r="AO945" s="115"/>
      <x:c r="AP945" s="115"/>
      <x:c r="AQ945" s="115"/>
      <x:c r="AR945" s="115"/>
      <x:c r="AS945" s="115"/>
      <x:c r="AT945" s="115"/>
      <x:c r="AU945" s="115"/>
      <x:c r="AV945" s="115"/>
      <x:c r="AW945" s="115"/>
      <x:c r="AX945" s="115"/>
      <x:c r="AY945" s="115"/>
      <x:c r="AZ945" s="115"/>
      <x:c r="BA945" s="115"/>
      <x:c r="BB945" s="115"/>
      <x:c r="BC945" s="115"/>
      <x:c r="BD945" s="115"/>
      <x:c r="BE945" s="115"/>
      <x:c r="BF945" s="115"/>
      <x:c r="BG945" s="115"/>
      <x:c r="BH945" s="115"/>
      <x:c r="BI945" s="115"/>
      <x:c r="BJ945" s="115"/>
      <x:c r="BK945" s="115"/>
      <x:c r="BL945" s="115"/>
      <x:c r="BM945" s="115"/>
      <x:c r="BN945" s="115"/>
      <x:c r="BO945" s="115"/>
      <x:c r="BP945" s="115"/>
      <x:c r="BQ945" s="115"/>
      <x:c r="BR945" s="115"/>
      <x:c r="BS945" s="115"/>
      <x:c r="BT945" s="115"/>
      <x:c r="BU945" s="115"/>
      <x:c r="BV945" s="115"/>
      <x:c r="BW945" s="115"/>
      <x:c r="BX945" s="115"/>
      <x:c r="BY945" s="115"/>
      <x:c r="BZ945" s="115"/>
      <x:c r="CA945" s="115"/>
      <x:c r="CB945" s="116"/>
      <x:c r="CC945" s="141" t="str">
        <x:f>IF(COUNT(G945:P945)=0,"",AVERAGE(G945:P945)*4)</x:f>
      </x:c>
      <x:c r="CD945" s="178" t="str">
        <x:f>IF(COUNT(Q945:Z945)=0,"",AVERAGE(Q945:Z945)*4)</x:f>
      </x:c>
      <x:c r="CE945" s="178" t="str">
        <x:f>IF(COUNT(AA945:AJ945)=0,"",AVERAGE(AA945:AJ945)*4)</x:f>
      </x:c>
      <x:c r="CF945" s="178" t="str">
        <x:f>IF(COUNT(AK945:AR945)=0,"",AVERAGE(AK945:AR945)*4)</x:f>
      </x:c>
      <x:c r="CG945" s="178" t="str">
        <x:f>IF(COUNT(AS945:AY945)=0,"",AVERAGE(AS945:AY945)*4)</x:f>
      </x:c>
      <x:c r="CH945" s="178" t="str">
        <x:f>IF(COUNT(AZ945:BG945)=0,"",AVERAGE(AZ945:BG945)*4)</x:f>
      </x:c>
      <x:c r="CI945" s="178" t="str">
        <x:f>IF(COUNT(BH945:BN945)=0,"",AVERAGE(BH945:BN945)*4)</x:f>
      </x:c>
      <x:c r="CJ945" s="178" t="str">
        <x:f>IF(COUNT(BO945:BU945)=0,"",AVERAGE(BO945:BU945)*4)</x:f>
      </x:c>
      <x:c r="CK945" s="178" t="str">
        <x:f>IF(COUNT(BV945:CB945)=0,"",AVERAGE(BV945:CB945)*4)</x:f>
      </x:c>
      <x:c r="CL945" s="178" t="str">
        <x:f>IF(C945="","",IF(COUNT(G945:CB945)&lt;74,"",(CC945*'تنظیمات وزن‌دهی'!$C$5+CD945*'تنظیمات وزن‌دهی'!$C$6+CE945*'تنظیمات وزن‌دهی'!$C$7+CF945*'تنظیمات وزن‌دهی'!$C$8+CG945*'تنظیمات وزن‌دهی'!$C$9+CH945*'تنظیمات وزن‌دهی'!$C$10+CI945*'تنظیمات وزن‌دهی'!$C$11+CJ945*'تنظیمات وزن‌دهی'!$C$12+CK945*'تنظیمات وزن‌دهی'!$C$13)/100))</x:f>
      </x:c>
      <x:c r="CM945" s="178" t="str">
        <x:f>IF(C945="","",IF(COUNT(G945:CB945)=0,"",IF(COUNT(G945:CB945)&lt;74,"موقت - اطلاعات ناقص",IF(CL945&gt;=17,"عالی",IF(CL945&gt;=14,"خوب",IF(CL945&gt;=10,"متوسط","ضعیف"))))))</x:f>
      </x:c>
      <x:c r="CN945" s="178" t="n">
        <x:v>5</x:v>
      </x:c>
      <x:c r="CO945" s="142" t="n">
        <x:f>IF(C945="","",COUNT(G945:CB945)/74)</x:f>
        <x:v>0</x:v>
      </x:c>
      <x:c r="CP945" s="245"/>
    </x:row>
    <x:row r="946">
      <x:c r="A946" s="165" t="n">
        <x:v>942</x:v>
      </x:c>
      <x:c r="B946" s="233" t="str">
        <x:v>آذر</x:v>
      </x:c>
      <x:c r="C946" s="233" t="n">
        <x:f>IF('دانش‌آموزان'!E83="","",'دانش‌آموزان'!B83)</x:f>
        <x:v>79</x:v>
      </x:c>
      <x:c r="D946" s="233" t="str">
        <x:f>IF('دانش‌آموزان'!C83="","",'دانش‌آموزان'!C83)</x:f>
        <x:v>4000000799</x:v>
      </x:c>
      <x:c r="E946" s="233" t="str">
        <x:f>IF('دانش‌آموزان'!E83="","",'دانش‌آموزان'!E83&amp;" "&amp;'دانش‌آموزان'!F83)</x:f>
        <x:v>رضا صادقی</x:v>
      </x:c>
      <x:c r="F946" s="166" t="str">
        <x:f>IF('دانش‌آموزان'!I83="","",'دانش‌آموزان'!I83)</x:f>
        <x:v>sample-7-d</x:v>
      </x:c>
      <x:c r="G946" s="114"/>
      <x:c r="H946" s="115"/>
      <x:c r="I946" s="115"/>
      <x:c r="J946" s="115"/>
      <x:c r="K946" s="115"/>
      <x:c r="L946" s="115"/>
      <x:c r="M946" s="115"/>
      <x:c r="N946" s="115"/>
      <x:c r="O946" s="115"/>
      <x:c r="P946" s="115"/>
      <x:c r="Q946" s="115"/>
      <x:c r="R946" s="115"/>
      <x:c r="S946" s="115"/>
      <x:c r="T946" s="115"/>
      <x:c r="U946" s="115"/>
      <x:c r="V946" s="115"/>
      <x:c r="W946" s="115"/>
      <x:c r="X946" s="115"/>
      <x:c r="Y946" s="115"/>
      <x:c r="Z946" s="115"/>
      <x:c r="AA946" s="115"/>
      <x:c r="AB946" s="115"/>
      <x:c r="AC946" s="115"/>
      <x:c r="AD946" s="115"/>
      <x:c r="AE946" s="115"/>
      <x:c r="AF946" s="115"/>
      <x:c r="AG946" s="115"/>
      <x:c r="AH946" s="115"/>
      <x:c r="AI946" s="115"/>
      <x:c r="AJ946" s="115"/>
      <x:c r="AK946" s="115"/>
      <x:c r="AL946" s="115"/>
      <x:c r="AM946" s="115"/>
      <x:c r="AN946" s="115"/>
      <x:c r="AO946" s="115"/>
      <x:c r="AP946" s="115"/>
      <x:c r="AQ946" s="115"/>
      <x:c r="AR946" s="115"/>
      <x:c r="AS946" s="115"/>
      <x:c r="AT946" s="115"/>
      <x:c r="AU946" s="115"/>
      <x:c r="AV946" s="115"/>
      <x:c r="AW946" s="115"/>
      <x:c r="AX946" s="115"/>
      <x:c r="AY946" s="115"/>
      <x:c r="AZ946" s="115"/>
      <x:c r="BA946" s="115"/>
      <x:c r="BB946" s="115"/>
      <x:c r="BC946" s="115"/>
      <x:c r="BD946" s="115"/>
      <x:c r="BE946" s="115"/>
      <x:c r="BF946" s="115"/>
      <x:c r="BG946" s="115"/>
      <x:c r="BH946" s="115"/>
      <x:c r="BI946" s="115"/>
      <x:c r="BJ946" s="115"/>
      <x:c r="BK946" s="115"/>
      <x:c r="BL946" s="115"/>
      <x:c r="BM946" s="115"/>
      <x:c r="BN946" s="115"/>
      <x:c r="BO946" s="115"/>
      <x:c r="BP946" s="115"/>
      <x:c r="BQ946" s="115"/>
      <x:c r="BR946" s="115"/>
      <x:c r="BS946" s="115"/>
      <x:c r="BT946" s="115"/>
      <x:c r="BU946" s="115"/>
      <x:c r="BV946" s="115"/>
      <x:c r="BW946" s="115"/>
      <x:c r="BX946" s="115"/>
      <x:c r="BY946" s="115"/>
      <x:c r="BZ946" s="115"/>
      <x:c r="CA946" s="115"/>
      <x:c r="CB946" s="116"/>
      <x:c r="CC946" s="141" t="str">
        <x:f>IF(COUNT(G946:P946)=0,"",AVERAGE(G946:P946)*4)</x:f>
      </x:c>
      <x:c r="CD946" s="178" t="str">
        <x:f>IF(COUNT(Q946:Z946)=0,"",AVERAGE(Q946:Z946)*4)</x:f>
      </x:c>
      <x:c r="CE946" s="178" t="str">
        <x:f>IF(COUNT(AA946:AJ946)=0,"",AVERAGE(AA946:AJ946)*4)</x:f>
      </x:c>
      <x:c r="CF946" s="178" t="str">
        <x:f>IF(COUNT(AK946:AR946)=0,"",AVERAGE(AK946:AR946)*4)</x:f>
      </x:c>
      <x:c r="CG946" s="178" t="str">
        <x:f>IF(COUNT(AS946:AY946)=0,"",AVERAGE(AS946:AY946)*4)</x:f>
      </x:c>
      <x:c r="CH946" s="178" t="str">
        <x:f>IF(COUNT(AZ946:BG946)=0,"",AVERAGE(AZ946:BG946)*4)</x:f>
      </x:c>
      <x:c r="CI946" s="178" t="str">
        <x:f>IF(COUNT(BH946:BN946)=0,"",AVERAGE(BH946:BN946)*4)</x:f>
      </x:c>
      <x:c r="CJ946" s="178" t="str">
        <x:f>IF(COUNT(BO946:BU946)=0,"",AVERAGE(BO946:BU946)*4)</x:f>
      </x:c>
      <x:c r="CK946" s="178" t="str">
        <x:f>IF(COUNT(BV946:CB946)=0,"",AVERAGE(BV946:CB946)*4)</x:f>
      </x:c>
      <x:c r="CL946" s="178" t="str">
        <x:f>IF(C946="","",IF(COUNT(G946:CB946)&lt;74,"",(CC946*'تنظیمات وزن‌دهی'!$C$5+CD946*'تنظیمات وزن‌دهی'!$C$6+CE946*'تنظیمات وزن‌دهی'!$C$7+CF946*'تنظیمات وزن‌دهی'!$C$8+CG946*'تنظیمات وزن‌دهی'!$C$9+CH946*'تنظیمات وزن‌دهی'!$C$10+CI946*'تنظیمات وزن‌دهی'!$C$11+CJ946*'تنظیمات وزن‌دهی'!$C$12+CK946*'تنظیمات وزن‌دهی'!$C$13)/100))</x:f>
      </x:c>
      <x:c r="CM946" s="178" t="str">
        <x:f>IF(C946="","",IF(COUNT(G946:CB946)=0,"",IF(COUNT(G946:CB946)&lt;74,"موقت - اطلاعات ناقص",IF(CL946&gt;=17,"عالی",IF(CL946&gt;=14,"خوب",IF(CL946&gt;=10,"متوسط","ضعیف"))))))</x:f>
      </x:c>
      <x:c r="CN946" s="178" t="n">
        <x:v>6</x:v>
      </x:c>
      <x:c r="CO946" s="142" t="n">
        <x:f>IF(C946="","",COUNT(G946:CB946)/74)</x:f>
        <x:v>0</x:v>
      </x:c>
      <x:c r="CP946" s="245"/>
    </x:row>
    <x:row r="947">
      <x:c r="A947" s="165" t="n">
        <x:v>943</x:v>
      </x:c>
      <x:c r="B947" s="233" t="str">
        <x:v>دی</x:v>
      </x:c>
      <x:c r="C947" s="233" t="n">
        <x:f>IF('دانش‌آموزان'!E83="","",'دانش‌آموزان'!B83)</x:f>
        <x:v>79</x:v>
      </x:c>
      <x:c r="D947" s="233" t="str">
        <x:f>IF('دانش‌آموزان'!C83="","",'دانش‌آموزان'!C83)</x:f>
        <x:v>4000000799</x:v>
      </x:c>
      <x:c r="E947" s="233" t="str">
        <x:f>IF('دانش‌آموزان'!E83="","",'دانش‌آموزان'!E83&amp;" "&amp;'دانش‌آموزان'!F83)</x:f>
        <x:v>رضا صادقی</x:v>
      </x:c>
      <x:c r="F947" s="166" t="str">
        <x:f>IF('دانش‌آموزان'!I83="","",'دانش‌آموزان'!I83)</x:f>
        <x:v>sample-7-d</x:v>
      </x:c>
      <x:c r="G947" s="114"/>
      <x:c r="H947" s="115"/>
      <x:c r="I947" s="115"/>
      <x:c r="J947" s="115"/>
      <x:c r="K947" s="115"/>
      <x:c r="L947" s="115"/>
      <x:c r="M947" s="115"/>
      <x:c r="N947" s="115"/>
      <x:c r="O947" s="115"/>
      <x:c r="P947" s="115"/>
      <x:c r="Q947" s="115"/>
      <x:c r="R947" s="115"/>
      <x:c r="S947" s="115"/>
      <x:c r="T947" s="115"/>
      <x:c r="U947" s="115"/>
      <x:c r="V947" s="115"/>
      <x:c r="W947" s="115"/>
      <x:c r="X947" s="115"/>
      <x:c r="Y947" s="115"/>
      <x:c r="Z947" s="115"/>
      <x:c r="AA947" s="115"/>
      <x:c r="AB947" s="115"/>
      <x:c r="AC947" s="115"/>
      <x:c r="AD947" s="115"/>
      <x:c r="AE947" s="115"/>
      <x:c r="AF947" s="115"/>
      <x:c r="AG947" s="115"/>
      <x:c r="AH947" s="115"/>
      <x:c r="AI947" s="115"/>
      <x:c r="AJ947" s="115"/>
      <x:c r="AK947" s="115"/>
      <x:c r="AL947" s="115"/>
      <x:c r="AM947" s="115"/>
      <x:c r="AN947" s="115"/>
      <x:c r="AO947" s="115"/>
      <x:c r="AP947" s="115"/>
      <x:c r="AQ947" s="115"/>
      <x:c r="AR947" s="115"/>
      <x:c r="AS947" s="115"/>
      <x:c r="AT947" s="115"/>
      <x:c r="AU947" s="115"/>
      <x:c r="AV947" s="115"/>
      <x:c r="AW947" s="115"/>
      <x:c r="AX947" s="115"/>
      <x:c r="AY947" s="115"/>
      <x:c r="AZ947" s="115"/>
      <x:c r="BA947" s="115"/>
      <x:c r="BB947" s="115"/>
      <x:c r="BC947" s="115"/>
      <x:c r="BD947" s="115"/>
      <x:c r="BE947" s="115"/>
      <x:c r="BF947" s="115"/>
      <x:c r="BG947" s="115"/>
      <x:c r="BH947" s="115"/>
      <x:c r="BI947" s="115"/>
      <x:c r="BJ947" s="115"/>
      <x:c r="BK947" s="115"/>
      <x:c r="BL947" s="115"/>
      <x:c r="BM947" s="115"/>
      <x:c r="BN947" s="115"/>
      <x:c r="BO947" s="115"/>
      <x:c r="BP947" s="115"/>
      <x:c r="BQ947" s="115"/>
      <x:c r="BR947" s="115"/>
      <x:c r="BS947" s="115"/>
      <x:c r="BT947" s="115"/>
      <x:c r="BU947" s="115"/>
      <x:c r="BV947" s="115"/>
      <x:c r="BW947" s="115"/>
      <x:c r="BX947" s="115"/>
      <x:c r="BY947" s="115"/>
      <x:c r="BZ947" s="115"/>
      <x:c r="CA947" s="115"/>
      <x:c r="CB947" s="116"/>
      <x:c r="CC947" s="141" t="str">
        <x:f>IF(COUNT(G947:P947)=0,"",AVERAGE(G947:P947)*4)</x:f>
      </x:c>
      <x:c r="CD947" s="178" t="str">
        <x:f>IF(COUNT(Q947:Z947)=0,"",AVERAGE(Q947:Z947)*4)</x:f>
      </x:c>
      <x:c r="CE947" s="178" t="str">
        <x:f>IF(COUNT(AA947:AJ947)=0,"",AVERAGE(AA947:AJ947)*4)</x:f>
      </x:c>
      <x:c r="CF947" s="178" t="str">
        <x:f>IF(COUNT(AK947:AR947)=0,"",AVERAGE(AK947:AR947)*4)</x:f>
      </x:c>
      <x:c r="CG947" s="178" t="str">
        <x:f>IF(COUNT(AS947:AY947)=0,"",AVERAGE(AS947:AY947)*4)</x:f>
      </x:c>
      <x:c r="CH947" s="178" t="str">
        <x:f>IF(COUNT(AZ947:BG947)=0,"",AVERAGE(AZ947:BG947)*4)</x:f>
      </x:c>
      <x:c r="CI947" s="178" t="str">
        <x:f>IF(COUNT(BH947:BN947)=0,"",AVERAGE(BH947:BN947)*4)</x:f>
      </x:c>
      <x:c r="CJ947" s="178" t="str">
        <x:f>IF(COUNT(BO947:BU947)=0,"",AVERAGE(BO947:BU947)*4)</x:f>
      </x:c>
      <x:c r="CK947" s="178" t="str">
        <x:f>IF(COUNT(BV947:CB947)=0,"",AVERAGE(BV947:CB947)*4)</x:f>
      </x:c>
      <x:c r="CL947" s="178" t="str">
        <x:f>IF(C947="","",IF(COUNT(G947:CB947)&lt;74,"",(CC947*'تنظیمات وزن‌دهی'!$C$5+CD947*'تنظیمات وزن‌دهی'!$C$6+CE947*'تنظیمات وزن‌دهی'!$C$7+CF947*'تنظیمات وزن‌دهی'!$C$8+CG947*'تنظیمات وزن‌دهی'!$C$9+CH947*'تنظیمات وزن‌دهی'!$C$10+CI947*'تنظیمات وزن‌دهی'!$C$11+CJ947*'تنظیمات وزن‌دهی'!$C$12+CK947*'تنظیمات وزن‌دهی'!$C$13)/100))</x:f>
      </x:c>
      <x:c r="CM947" s="178" t="str">
        <x:f>IF(C947="","",IF(COUNT(G947:CB947)=0,"",IF(COUNT(G947:CB947)&lt;74,"موقت - اطلاعات ناقص",IF(CL947&gt;=17,"عالی",IF(CL947&gt;=14,"خوب",IF(CL947&gt;=10,"متوسط","ضعیف"))))))</x:f>
      </x:c>
      <x:c r="CN947" s="178" t="n">
        <x:v>7</x:v>
      </x:c>
      <x:c r="CO947" s="142" t="n">
        <x:f>IF(C947="","",COUNT(G947:CB947)/74)</x:f>
        <x:v>0</x:v>
      </x:c>
      <x:c r="CP947" s="245"/>
    </x:row>
    <x:row r="948">
      <x:c r="A948" s="165" t="n">
        <x:v>944</x:v>
      </x:c>
      <x:c r="B948" s="233" t="str">
        <x:v>بهمن</x:v>
      </x:c>
      <x:c r="C948" s="233" t="n">
        <x:f>IF('دانش‌آموزان'!E83="","",'دانش‌آموزان'!B83)</x:f>
        <x:v>79</x:v>
      </x:c>
      <x:c r="D948" s="233" t="str">
        <x:f>IF('دانش‌آموزان'!C83="","",'دانش‌آموزان'!C83)</x:f>
        <x:v>4000000799</x:v>
      </x:c>
      <x:c r="E948" s="233" t="str">
        <x:f>IF('دانش‌آموزان'!E83="","",'دانش‌آموزان'!E83&amp;" "&amp;'دانش‌آموزان'!F83)</x:f>
        <x:v>رضا صادقی</x:v>
      </x:c>
      <x:c r="F948" s="166" t="str">
        <x:f>IF('دانش‌آموزان'!I83="","",'دانش‌آموزان'!I83)</x:f>
        <x:v>sample-7-d</x:v>
      </x:c>
      <x:c r="G948" s="114"/>
      <x:c r="H948" s="115"/>
      <x:c r="I948" s="115"/>
      <x:c r="J948" s="115"/>
      <x:c r="K948" s="115"/>
      <x:c r="L948" s="115"/>
      <x:c r="M948" s="115"/>
      <x:c r="N948" s="115"/>
      <x:c r="O948" s="115"/>
      <x:c r="P948" s="115"/>
      <x:c r="Q948" s="115"/>
      <x:c r="R948" s="115"/>
      <x:c r="S948" s="115"/>
      <x:c r="T948" s="115"/>
      <x:c r="U948" s="115"/>
      <x:c r="V948" s="115"/>
      <x:c r="W948" s="115"/>
      <x:c r="X948" s="115"/>
      <x:c r="Y948" s="115"/>
      <x:c r="Z948" s="115"/>
      <x:c r="AA948" s="115"/>
      <x:c r="AB948" s="115"/>
      <x:c r="AC948" s="115"/>
      <x:c r="AD948" s="115"/>
      <x:c r="AE948" s="115"/>
      <x:c r="AF948" s="115"/>
      <x:c r="AG948" s="115"/>
      <x:c r="AH948" s="115"/>
      <x:c r="AI948" s="115"/>
      <x:c r="AJ948" s="115"/>
      <x:c r="AK948" s="115"/>
      <x:c r="AL948" s="115"/>
      <x:c r="AM948" s="115"/>
      <x:c r="AN948" s="115"/>
      <x:c r="AO948" s="115"/>
      <x:c r="AP948" s="115"/>
      <x:c r="AQ948" s="115"/>
      <x:c r="AR948" s="115"/>
      <x:c r="AS948" s="115"/>
      <x:c r="AT948" s="115"/>
      <x:c r="AU948" s="115"/>
      <x:c r="AV948" s="115"/>
      <x:c r="AW948" s="115"/>
      <x:c r="AX948" s="115"/>
      <x:c r="AY948" s="115"/>
      <x:c r="AZ948" s="115"/>
      <x:c r="BA948" s="115"/>
      <x:c r="BB948" s="115"/>
      <x:c r="BC948" s="115"/>
      <x:c r="BD948" s="115"/>
      <x:c r="BE948" s="115"/>
      <x:c r="BF948" s="115"/>
      <x:c r="BG948" s="115"/>
      <x:c r="BH948" s="115"/>
      <x:c r="BI948" s="115"/>
      <x:c r="BJ948" s="115"/>
      <x:c r="BK948" s="115"/>
      <x:c r="BL948" s="115"/>
      <x:c r="BM948" s="115"/>
      <x:c r="BN948" s="115"/>
      <x:c r="BO948" s="115"/>
      <x:c r="BP948" s="115"/>
      <x:c r="BQ948" s="115"/>
      <x:c r="BR948" s="115"/>
      <x:c r="BS948" s="115"/>
      <x:c r="BT948" s="115"/>
      <x:c r="BU948" s="115"/>
      <x:c r="BV948" s="115"/>
      <x:c r="BW948" s="115"/>
      <x:c r="BX948" s="115"/>
      <x:c r="BY948" s="115"/>
      <x:c r="BZ948" s="115"/>
      <x:c r="CA948" s="115"/>
      <x:c r="CB948" s="116"/>
      <x:c r="CC948" s="141" t="str">
        <x:f>IF(COUNT(G948:P948)=0,"",AVERAGE(G948:P948)*4)</x:f>
      </x:c>
      <x:c r="CD948" s="178" t="str">
        <x:f>IF(COUNT(Q948:Z948)=0,"",AVERAGE(Q948:Z948)*4)</x:f>
      </x:c>
      <x:c r="CE948" s="178" t="str">
        <x:f>IF(COUNT(AA948:AJ948)=0,"",AVERAGE(AA948:AJ948)*4)</x:f>
      </x:c>
      <x:c r="CF948" s="178" t="str">
        <x:f>IF(COUNT(AK948:AR948)=0,"",AVERAGE(AK948:AR948)*4)</x:f>
      </x:c>
      <x:c r="CG948" s="178" t="str">
        <x:f>IF(COUNT(AS948:AY948)=0,"",AVERAGE(AS948:AY948)*4)</x:f>
      </x:c>
      <x:c r="CH948" s="178" t="str">
        <x:f>IF(COUNT(AZ948:BG948)=0,"",AVERAGE(AZ948:BG948)*4)</x:f>
      </x:c>
      <x:c r="CI948" s="178" t="str">
        <x:f>IF(COUNT(BH948:BN948)=0,"",AVERAGE(BH948:BN948)*4)</x:f>
      </x:c>
      <x:c r="CJ948" s="178" t="str">
        <x:f>IF(COUNT(BO948:BU948)=0,"",AVERAGE(BO948:BU948)*4)</x:f>
      </x:c>
      <x:c r="CK948" s="178" t="str">
        <x:f>IF(COUNT(BV948:CB948)=0,"",AVERAGE(BV948:CB948)*4)</x:f>
      </x:c>
      <x:c r="CL948" s="178" t="str">
        <x:f>IF(C948="","",IF(COUNT(G948:CB948)&lt;74,"",(CC948*'تنظیمات وزن‌دهی'!$C$5+CD948*'تنظیمات وزن‌دهی'!$C$6+CE948*'تنظیمات وزن‌دهی'!$C$7+CF948*'تنظیمات وزن‌دهی'!$C$8+CG948*'تنظیمات وزن‌دهی'!$C$9+CH948*'تنظیمات وزن‌دهی'!$C$10+CI948*'تنظیمات وزن‌دهی'!$C$11+CJ948*'تنظیمات وزن‌دهی'!$C$12+CK948*'تنظیمات وزن‌دهی'!$C$13)/100))</x:f>
      </x:c>
      <x:c r="CM948" s="178" t="str">
        <x:f>IF(C948="","",IF(COUNT(G948:CB948)=0,"",IF(COUNT(G948:CB948)&lt;74,"موقت - اطلاعات ناقص",IF(CL948&gt;=17,"عالی",IF(CL948&gt;=14,"خوب",IF(CL948&gt;=10,"متوسط","ضعیف"))))))</x:f>
      </x:c>
      <x:c r="CN948" s="178" t="n">
        <x:v>8</x:v>
      </x:c>
      <x:c r="CO948" s="142" t="n">
        <x:f>IF(C948="","",COUNT(G948:CB948)/74)</x:f>
        <x:v>0</x:v>
      </x:c>
      <x:c r="CP948" s="245"/>
    </x:row>
    <x:row r="949">
      <x:c r="A949" s="165" t="n">
        <x:v>945</x:v>
      </x:c>
      <x:c r="B949" s="233" t="str">
        <x:v>اسفند</x:v>
      </x:c>
      <x:c r="C949" s="233" t="n">
        <x:f>IF('دانش‌آموزان'!E83="","",'دانش‌آموزان'!B83)</x:f>
        <x:v>79</x:v>
      </x:c>
      <x:c r="D949" s="233" t="str">
        <x:f>IF('دانش‌آموزان'!C83="","",'دانش‌آموزان'!C83)</x:f>
        <x:v>4000000799</x:v>
      </x:c>
      <x:c r="E949" s="233" t="str">
        <x:f>IF('دانش‌آموزان'!E83="","",'دانش‌آموزان'!E83&amp;" "&amp;'دانش‌آموزان'!F83)</x:f>
        <x:v>رضا صادقی</x:v>
      </x:c>
      <x:c r="F949" s="166" t="str">
        <x:f>IF('دانش‌آموزان'!I83="","",'دانش‌آموزان'!I83)</x:f>
        <x:v>sample-7-d</x:v>
      </x:c>
      <x:c r="G949" s="114"/>
      <x:c r="H949" s="115"/>
      <x:c r="I949" s="115"/>
      <x:c r="J949" s="115"/>
      <x:c r="K949" s="115"/>
      <x:c r="L949" s="115"/>
      <x:c r="M949" s="115"/>
      <x:c r="N949" s="115"/>
      <x:c r="O949" s="115"/>
      <x:c r="P949" s="115"/>
      <x:c r="Q949" s="115"/>
      <x:c r="R949" s="115"/>
      <x:c r="S949" s="115"/>
      <x:c r="T949" s="115"/>
      <x:c r="U949" s="115"/>
      <x:c r="V949" s="115"/>
      <x:c r="W949" s="115"/>
      <x:c r="X949" s="115"/>
      <x:c r="Y949" s="115"/>
      <x:c r="Z949" s="115"/>
      <x:c r="AA949" s="115"/>
      <x:c r="AB949" s="115"/>
      <x:c r="AC949" s="115"/>
      <x:c r="AD949" s="115"/>
      <x:c r="AE949" s="115"/>
      <x:c r="AF949" s="115"/>
      <x:c r="AG949" s="115"/>
      <x:c r="AH949" s="115"/>
      <x:c r="AI949" s="115"/>
      <x:c r="AJ949" s="115"/>
      <x:c r="AK949" s="115"/>
      <x:c r="AL949" s="115"/>
      <x:c r="AM949" s="115"/>
      <x:c r="AN949" s="115"/>
      <x:c r="AO949" s="115"/>
      <x:c r="AP949" s="115"/>
      <x:c r="AQ949" s="115"/>
      <x:c r="AR949" s="115"/>
      <x:c r="AS949" s="115"/>
      <x:c r="AT949" s="115"/>
      <x:c r="AU949" s="115"/>
      <x:c r="AV949" s="115"/>
      <x:c r="AW949" s="115"/>
      <x:c r="AX949" s="115"/>
      <x:c r="AY949" s="115"/>
      <x:c r="AZ949" s="115"/>
      <x:c r="BA949" s="115"/>
      <x:c r="BB949" s="115"/>
      <x:c r="BC949" s="115"/>
      <x:c r="BD949" s="115"/>
      <x:c r="BE949" s="115"/>
      <x:c r="BF949" s="115"/>
      <x:c r="BG949" s="115"/>
      <x:c r="BH949" s="115"/>
      <x:c r="BI949" s="115"/>
      <x:c r="BJ949" s="115"/>
      <x:c r="BK949" s="115"/>
      <x:c r="BL949" s="115"/>
      <x:c r="BM949" s="115"/>
      <x:c r="BN949" s="115"/>
      <x:c r="BO949" s="115"/>
      <x:c r="BP949" s="115"/>
      <x:c r="BQ949" s="115"/>
      <x:c r="BR949" s="115"/>
      <x:c r="BS949" s="115"/>
      <x:c r="BT949" s="115"/>
      <x:c r="BU949" s="115"/>
      <x:c r="BV949" s="115"/>
      <x:c r="BW949" s="115"/>
      <x:c r="BX949" s="115"/>
      <x:c r="BY949" s="115"/>
      <x:c r="BZ949" s="115"/>
      <x:c r="CA949" s="115"/>
      <x:c r="CB949" s="116"/>
      <x:c r="CC949" s="141" t="str">
        <x:f>IF(COUNT(G949:P949)=0,"",AVERAGE(G949:P949)*4)</x:f>
      </x:c>
      <x:c r="CD949" s="178" t="str">
        <x:f>IF(COUNT(Q949:Z949)=0,"",AVERAGE(Q949:Z949)*4)</x:f>
      </x:c>
      <x:c r="CE949" s="178" t="str">
        <x:f>IF(COUNT(AA949:AJ949)=0,"",AVERAGE(AA949:AJ949)*4)</x:f>
      </x:c>
      <x:c r="CF949" s="178" t="str">
        <x:f>IF(COUNT(AK949:AR949)=0,"",AVERAGE(AK949:AR949)*4)</x:f>
      </x:c>
      <x:c r="CG949" s="178" t="str">
        <x:f>IF(COUNT(AS949:AY949)=0,"",AVERAGE(AS949:AY949)*4)</x:f>
      </x:c>
      <x:c r="CH949" s="178" t="str">
        <x:f>IF(COUNT(AZ949:BG949)=0,"",AVERAGE(AZ949:BG949)*4)</x:f>
      </x:c>
      <x:c r="CI949" s="178" t="str">
        <x:f>IF(COUNT(BH949:BN949)=0,"",AVERAGE(BH949:BN949)*4)</x:f>
      </x:c>
      <x:c r="CJ949" s="178" t="str">
        <x:f>IF(COUNT(BO949:BU949)=0,"",AVERAGE(BO949:BU949)*4)</x:f>
      </x:c>
      <x:c r="CK949" s="178" t="str">
        <x:f>IF(COUNT(BV949:CB949)=0,"",AVERAGE(BV949:CB949)*4)</x:f>
      </x:c>
      <x:c r="CL949" s="178" t="str">
        <x:f>IF(C949="","",IF(COUNT(G949:CB949)&lt;74,"",(CC949*'تنظیمات وزن‌دهی'!$C$5+CD949*'تنظیمات وزن‌دهی'!$C$6+CE949*'تنظیمات وزن‌دهی'!$C$7+CF949*'تنظیمات وزن‌دهی'!$C$8+CG949*'تنظیمات وزن‌دهی'!$C$9+CH949*'تنظیمات وزن‌دهی'!$C$10+CI949*'تنظیمات وزن‌دهی'!$C$11+CJ949*'تنظیمات وزن‌دهی'!$C$12+CK949*'تنظیمات وزن‌دهی'!$C$13)/100))</x:f>
      </x:c>
      <x:c r="CM949" s="178" t="str">
        <x:f>IF(C949="","",IF(COUNT(G949:CB949)=0,"",IF(COUNT(G949:CB949)&lt;74,"موقت - اطلاعات ناقص",IF(CL949&gt;=17,"عالی",IF(CL949&gt;=14,"خوب",IF(CL949&gt;=10,"متوسط","ضعیف"))))))</x:f>
      </x:c>
      <x:c r="CN949" s="178" t="n">
        <x:v>9</x:v>
      </x:c>
      <x:c r="CO949" s="142" t="n">
        <x:f>IF(C949="","",COUNT(G949:CB949)/74)</x:f>
        <x:v>0</x:v>
      </x:c>
      <x:c r="CP949" s="245"/>
    </x:row>
    <x:row r="950">
      <x:c r="A950" s="165" t="n">
        <x:v>946</x:v>
      </x:c>
      <x:c r="B950" s="233" t="str">
        <x:v>فروردین</x:v>
      </x:c>
      <x:c r="C950" s="233" t="n">
        <x:f>IF('دانش‌آموزان'!E83="","",'دانش‌آموزان'!B83)</x:f>
        <x:v>79</x:v>
      </x:c>
      <x:c r="D950" s="233" t="str">
        <x:f>IF('دانش‌آموزان'!C83="","",'دانش‌آموزان'!C83)</x:f>
        <x:v>4000000799</x:v>
      </x:c>
      <x:c r="E950" s="233" t="str">
        <x:f>IF('دانش‌آموزان'!E83="","",'دانش‌آموزان'!E83&amp;" "&amp;'دانش‌آموزان'!F83)</x:f>
        <x:v>رضا صادقی</x:v>
      </x:c>
      <x:c r="F950" s="166" t="str">
        <x:f>IF('دانش‌آموزان'!I83="","",'دانش‌آموزان'!I83)</x:f>
        <x:v>sample-7-d</x:v>
      </x:c>
      <x:c r="G950" s="114"/>
      <x:c r="H950" s="115"/>
      <x:c r="I950" s="115"/>
      <x:c r="J950" s="115"/>
      <x:c r="K950" s="115"/>
      <x:c r="L950" s="115"/>
      <x:c r="M950" s="115"/>
      <x:c r="N950" s="115"/>
      <x:c r="O950" s="115"/>
      <x:c r="P950" s="115"/>
      <x:c r="Q950" s="115"/>
      <x:c r="R950" s="115"/>
      <x:c r="S950" s="115"/>
      <x:c r="T950" s="115"/>
      <x:c r="U950" s="115"/>
      <x:c r="V950" s="115"/>
      <x:c r="W950" s="115"/>
      <x:c r="X950" s="115"/>
      <x:c r="Y950" s="115"/>
      <x:c r="Z950" s="115"/>
      <x:c r="AA950" s="115"/>
      <x:c r="AB950" s="115"/>
      <x:c r="AC950" s="115"/>
      <x:c r="AD950" s="115"/>
      <x:c r="AE950" s="115"/>
      <x:c r="AF950" s="115"/>
      <x:c r="AG950" s="115"/>
      <x:c r="AH950" s="115"/>
      <x:c r="AI950" s="115"/>
      <x:c r="AJ950" s="115"/>
      <x:c r="AK950" s="115"/>
      <x:c r="AL950" s="115"/>
      <x:c r="AM950" s="115"/>
      <x:c r="AN950" s="115"/>
      <x:c r="AO950" s="115"/>
      <x:c r="AP950" s="115"/>
      <x:c r="AQ950" s="115"/>
      <x:c r="AR950" s="115"/>
      <x:c r="AS950" s="115"/>
      <x:c r="AT950" s="115"/>
      <x:c r="AU950" s="115"/>
      <x:c r="AV950" s="115"/>
      <x:c r="AW950" s="115"/>
      <x:c r="AX950" s="115"/>
      <x:c r="AY950" s="115"/>
      <x:c r="AZ950" s="115"/>
      <x:c r="BA950" s="115"/>
      <x:c r="BB950" s="115"/>
      <x:c r="BC950" s="115"/>
      <x:c r="BD950" s="115"/>
      <x:c r="BE950" s="115"/>
      <x:c r="BF950" s="115"/>
      <x:c r="BG950" s="115"/>
      <x:c r="BH950" s="115"/>
      <x:c r="BI950" s="115"/>
      <x:c r="BJ950" s="115"/>
      <x:c r="BK950" s="115"/>
      <x:c r="BL950" s="115"/>
      <x:c r="BM950" s="115"/>
      <x:c r="BN950" s="115"/>
      <x:c r="BO950" s="115"/>
      <x:c r="BP950" s="115"/>
      <x:c r="BQ950" s="115"/>
      <x:c r="BR950" s="115"/>
      <x:c r="BS950" s="115"/>
      <x:c r="BT950" s="115"/>
      <x:c r="BU950" s="115"/>
      <x:c r="BV950" s="115"/>
      <x:c r="BW950" s="115"/>
      <x:c r="BX950" s="115"/>
      <x:c r="BY950" s="115"/>
      <x:c r="BZ950" s="115"/>
      <x:c r="CA950" s="115"/>
      <x:c r="CB950" s="116"/>
      <x:c r="CC950" s="141" t="str">
        <x:f>IF(COUNT(G950:P950)=0,"",AVERAGE(G950:P950)*4)</x:f>
      </x:c>
      <x:c r="CD950" s="178" t="str">
        <x:f>IF(COUNT(Q950:Z950)=0,"",AVERAGE(Q950:Z950)*4)</x:f>
      </x:c>
      <x:c r="CE950" s="178" t="str">
        <x:f>IF(COUNT(AA950:AJ950)=0,"",AVERAGE(AA950:AJ950)*4)</x:f>
      </x:c>
      <x:c r="CF950" s="178" t="str">
        <x:f>IF(COUNT(AK950:AR950)=0,"",AVERAGE(AK950:AR950)*4)</x:f>
      </x:c>
      <x:c r="CG950" s="178" t="str">
        <x:f>IF(COUNT(AS950:AY950)=0,"",AVERAGE(AS950:AY950)*4)</x:f>
      </x:c>
      <x:c r="CH950" s="178" t="str">
        <x:f>IF(COUNT(AZ950:BG950)=0,"",AVERAGE(AZ950:BG950)*4)</x:f>
      </x:c>
      <x:c r="CI950" s="178" t="str">
        <x:f>IF(COUNT(BH950:BN950)=0,"",AVERAGE(BH950:BN950)*4)</x:f>
      </x:c>
      <x:c r="CJ950" s="178" t="str">
        <x:f>IF(COUNT(BO950:BU950)=0,"",AVERAGE(BO950:BU950)*4)</x:f>
      </x:c>
      <x:c r="CK950" s="178" t="str">
        <x:f>IF(COUNT(BV950:CB950)=0,"",AVERAGE(BV950:CB950)*4)</x:f>
      </x:c>
      <x:c r="CL950" s="178" t="str">
        <x:f>IF(C950="","",IF(COUNT(G950:CB950)&lt;74,"",(CC950*'تنظیمات وزن‌دهی'!$C$5+CD950*'تنظیمات وزن‌دهی'!$C$6+CE950*'تنظیمات وزن‌دهی'!$C$7+CF950*'تنظیمات وزن‌دهی'!$C$8+CG950*'تنظیمات وزن‌دهی'!$C$9+CH950*'تنظیمات وزن‌دهی'!$C$10+CI950*'تنظیمات وزن‌دهی'!$C$11+CJ950*'تنظیمات وزن‌دهی'!$C$12+CK950*'تنظیمات وزن‌دهی'!$C$13)/100))</x:f>
      </x:c>
      <x:c r="CM950" s="178" t="str">
        <x:f>IF(C950="","",IF(COUNT(G950:CB950)=0,"",IF(COUNT(G950:CB950)&lt;74,"موقت - اطلاعات ناقص",IF(CL950&gt;=17,"عالی",IF(CL950&gt;=14,"خوب",IF(CL950&gt;=10,"متوسط","ضعیف"))))))</x:f>
      </x:c>
      <x:c r="CN950" s="178" t="n">
        <x:v>10</x:v>
      </x:c>
      <x:c r="CO950" s="142" t="n">
        <x:f>IF(C950="","",COUNT(G950:CB950)/74)</x:f>
        <x:v>0</x:v>
      </x:c>
      <x:c r="CP950" s="245"/>
    </x:row>
    <x:row r="951">
      <x:c r="A951" s="165" t="n">
        <x:v>947</x:v>
      </x:c>
      <x:c r="B951" s="233" t="str">
        <x:v>اردیبهشت</x:v>
      </x:c>
      <x:c r="C951" s="233" t="n">
        <x:f>IF('دانش‌آموزان'!E83="","",'دانش‌آموزان'!B83)</x:f>
        <x:v>79</x:v>
      </x:c>
      <x:c r="D951" s="233" t="str">
        <x:f>IF('دانش‌آموزان'!C83="","",'دانش‌آموزان'!C83)</x:f>
        <x:v>4000000799</x:v>
      </x:c>
      <x:c r="E951" s="233" t="str">
        <x:f>IF('دانش‌آموزان'!E83="","",'دانش‌آموزان'!E83&amp;" "&amp;'دانش‌آموزان'!F83)</x:f>
        <x:v>رضا صادقی</x:v>
      </x:c>
      <x:c r="F951" s="166" t="str">
        <x:f>IF('دانش‌آموزان'!I83="","",'دانش‌آموزان'!I83)</x:f>
        <x:v>sample-7-d</x:v>
      </x:c>
      <x:c r="G951" s="114"/>
      <x:c r="H951" s="115"/>
      <x:c r="I951" s="115"/>
      <x:c r="J951" s="115"/>
      <x:c r="K951" s="115"/>
      <x:c r="L951" s="115"/>
      <x:c r="M951" s="115"/>
      <x:c r="N951" s="115"/>
      <x:c r="O951" s="115"/>
      <x:c r="P951" s="115"/>
      <x:c r="Q951" s="115"/>
      <x:c r="R951" s="115"/>
      <x:c r="S951" s="115"/>
      <x:c r="T951" s="115"/>
      <x:c r="U951" s="115"/>
      <x:c r="V951" s="115"/>
      <x:c r="W951" s="115"/>
      <x:c r="X951" s="115"/>
      <x:c r="Y951" s="115"/>
      <x:c r="Z951" s="115"/>
      <x:c r="AA951" s="115"/>
      <x:c r="AB951" s="115"/>
      <x:c r="AC951" s="115"/>
      <x:c r="AD951" s="115"/>
      <x:c r="AE951" s="115"/>
      <x:c r="AF951" s="115"/>
      <x:c r="AG951" s="115"/>
      <x:c r="AH951" s="115"/>
      <x:c r="AI951" s="115"/>
      <x:c r="AJ951" s="115"/>
      <x:c r="AK951" s="115"/>
      <x:c r="AL951" s="115"/>
      <x:c r="AM951" s="115"/>
      <x:c r="AN951" s="115"/>
      <x:c r="AO951" s="115"/>
      <x:c r="AP951" s="115"/>
      <x:c r="AQ951" s="115"/>
      <x:c r="AR951" s="115"/>
      <x:c r="AS951" s="115"/>
      <x:c r="AT951" s="115"/>
      <x:c r="AU951" s="115"/>
      <x:c r="AV951" s="115"/>
      <x:c r="AW951" s="115"/>
      <x:c r="AX951" s="115"/>
      <x:c r="AY951" s="115"/>
      <x:c r="AZ951" s="115"/>
      <x:c r="BA951" s="115"/>
      <x:c r="BB951" s="115"/>
      <x:c r="BC951" s="115"/>
      <x:c r="BD951" s="115"/>
      <x:c r="BE951" s="115"/>
      <x:c r="BF951" s="115"/>
      <x:c r="BG951" s="115"/>
      <x:c r="BH951" s="115"/>
      <x:c r="BI951" s="115"/>
      <x:c r="BJ951" s="115"/>
      <x:c r="BK951" s="115"/>
      <x:c r="BL951" s="115"/>
      <x:c r="BM951" s="115"/>
      <x:c r="BN951" s="115"/>
      <x:c r="BO951" s="115"/>
      <x:c r="BP951" s="115"/>
      <x:c r="BQ951" s="115"/>
      <x:c r="BR951" s="115"/>
      <x:c r="BS951" s="115"/>
      <x:c r="BT951" s="115"/>
      <x:c r="BU951" s="115"/>
      <x:c r="BV951" s="115"/>
      <x:c r="BW951" s="115"/>
      <x:c r="BX951" s="115"/>
      <x:c r="BY951" s="115"/>
      <x:c r="BZ951" s="115"/>
      <x:c r="CA951" s="115"/>
      <x:c r="CB951" s="116"/>
      <x:c r="CC951" s="141" t="str">
        <x:f>IF(COUNT(G951:P951)=0,"",AVERAGE(G951:P951)*4)</x:f>
      </x:c>
      <x:c r="CD951" s="178" t="str">
        <x:f>IF(COUNT(Q951:Z951)=0,"",AVERAGE(Q951:Z951)*4)</x:f>
      </x:c>
      <x:c r="CE951" s="178" t="str">
        <x:f>IF(COUNT(AA951:AJ951)=0,"",AVERAGE(AA951:AJ951)*4)</x:f>
      </x:c>
      <x:c r="CF951" s="178" t="str">
        <x:f>IF(COUNT(AK951:AR951)=0,"",AVERAGE(AK951:AR951)*4)</x:f>
      </x:c>
      <x:c r="CG951" s="178" t="str">
        <x:f>IF(COUNT(AS951:AY951)=0,"",AVERAGE(AS951:AY951)*4)</x:f>
      </x:c>
      <x:c r="CH951" s="178" t="str">
        <x:f>IF(COUNT(AZ951:BG951)=0,"",AVERAGE(AZ951:BG951)*4)</x:f>
      </x:c>
      <x:c r="CI951" s="178" t="str">
        <x:f>IF(COUNT(BH951:BN951)=0,"",AVERAGE(BH951:BN951)*4)</x:f>
      </x:c>
      <x:c r="CJ951" s="178" t="str">
        <x:f>IF(COUNT(BO951:BU951)=0,"",AVERAGE(BO951:BU951)*4)</x:f>
      </x:c>
      <x:c r="CK951" s="178" t="str">
        <x:f>IF(COUNT(BV951:CB951)=0,"",AVERAGE(BV951:CB951)*4)</x:f>
      </x:c>
      <x:c r="CL951" s="178" t="str">
        <x:f>IF(C951="","",IF(COUNT(G951:CB951)&lt;74,"",(CC951*'تنظیمات وزن‌دهی'!$C$5+CD951*'تنظیمات وزن‌دهی'!$C$6+CE951*'تنظیمات وزن‌دهی'!$C$7+CF951*'تنظیمات وزن‌دهی'!$C$8+CG951*'تنظیمات وزن‌دهی'!$C$9+CH951*'تنظیمات وزن‌دهی'!$C$10+CI951*'تنظیمات وزن‌دهی'!$C$11+CJ951*'تنظیمات وزن‌دهی'!$C$12+CK951*'تنظیمات وزن‌دهی'!$C$13)/100))</x:f>
      </x:c>
      <x:c r="CM951" s="178" t="str">
        <x:f>IF(C951="","",IF(COUNT(G951:CB951)=0,"",IF(COUNT(G951:CB951)&lt;74,"موقت - اطلاعات ناقص",IF(CL951&gt;=17,"عالی",IF(CL951&gt;=14,"خوب",IF(CL951&gt;=10,"متوسط","ضعیف"))))))</x:f>
      </x:c>
      <x:c r="CN951" s="178" t="n">
        <x:v>11</x:v>
      </x:c>
      <x:c r="CO951" s="142" t="n">
        <x:f>IF(C951="","",COUNT(G951:CB951)/74)</x:f>
        <x:v>0</x:v>
      </x:c>
      <x:c r="CP951" s="245"/>
    </x:row>
    <x:row r="952">
      <x:c r="A952" s="165" t="n">
        <x:v>948</x:v>
      </x:c>
      <x:c r="B952" s="233" t="str">
        <x:v>خرداد</x:v>
      </x:c>
      <x:c r="C952" s="233" t="n">
        <x:f>IF('دانش‌آموزان'!E83="","",'دانش‌آموزان'!B83)</x:f>
        <x:v>79</x:v>
      </x:c>
      <x:c r="D952" s="233" t="str">
        <x:f>IF('دانش‌آموزان'!C83="","",'دانش‌آموزان'!C83)</x:f>
        <x:v>4000000799</x:v>
      </x:c>
      <x:c r="E952" s="233" t="str">
        <x:f>IF('دانش‌آموزان'!E83="","",'دانش‌آموزان'!E83&amp;" "&amp;'دانش‌آموزان'!F83)</x:f>
        <x:v>رضا صادقی</x:v>
      </x:c>
      <x:c r="F952" s="166" t="str">
        <x:f>IF('دانش‌آموزان'!I83="","",'دانش‌آموزان'!I83)</x:f>
        <x:v>sample-7-d</x:v>
      </x:c>
      <x:c r="G952" s="114"/>
      <x:c r="H952" s="115"/>
      <x:c r="I952" s="115"/>
      <x:c r="J952" s="115"/>
      <x:c r="K952" s="115"/>
      <x:c r="L952" s="115"/>
      <x:c r="M952" s="115"/>
      <x:c r="N952" s="115"/>
      <x:c r="O952" s="115"/>
      <x:c r="P952" s="115"/>
      <x:c r="Q952" s="115"/>
      <x:c r="R952" s="115"/>
      <x:c r="S952" s="115"/>
      <x:c r="T952" s="115"/>
      <x:c r="U952" s="115"/>
      <x:c r="V952" s="115"/>
      <x:c r="W952" s="115"/>
      <x:c r="X952" s="115"/>
      <x:c r="Y952" s="115"/>
      <x:c r="Z952" s="115"/>
      <x:c r="AA952" s="115"/>
      <x:c r="AB952" s="115"/>
      <x:c r="AC952" s="115"/>
      <x:c r="AD952" s="115"/>
      <x:c r="AE952" s="115"/>
      <x:c r="AF952" s="115"/>
      <x:c r="AG952" s="115"/>
      <x:c r="AH952" s="115"/>
      <x:c r="AI952" s="115"/>
      <x:c r="AJ952" s="115"/>
      <x:c r="AK952" s="115"/>
      <x:c r="AL952" s="115"/>
      <x:c r="AM952" s="115"/>
      <x:c r="AN952" s="115"/>
      <x:c r="AO952" s="115"/>
      <x:c r="AP952" s="115"/>
      <x:c r="AQ952" s="115"/>
      <x:c r="AR952" s="115"/>
      <x:c r="AS952" s="115"/>
      <x:c r="AT952" s="115"/>
      <x:c r="AU952" s="115"/>
      <x:c r="AV952" s="115"/>
      <x:c r="AW952" s="115"/>
      <x:c r="AX952" s="115"/>
      <x:c r="AY952" s="115"/>
      <x:c r="AZ952" s="115"/>
      <x:c r="BA952" s="115"/>
      <x:c r="BB952" s="115"/>
      <x:c r="BC952" s="115"/>
      <x:c r="BD952" s="115"/>
      <x:c r="BE952" s="115"/>
      <x:c r="BF952" s="115"/>
      <x:c r="BG952" s="115"/>
      <x:c r="BH952" s="115"/>
      <x:c r="BI952" s="115"/>
      <x:c r="BJ952" s="115"/>
      <x:c r="BK952" s="115"/>
      <x:c r="BL952" s="115"/>
      <x:c r="BM952" s="115"/>
      <x:c r="BN952" s="115"/>
      <x:c r="BO952" s="115"/>
      <x:c r="BP952" s="115"/>
      <x:c r="BQ952" s="115"/>
      <x:c r="BR952" s="115"/>
      <x:c r="BS952" s="115"/>
      <x:c r="BT952" s="115"/>
      <x:c r="BU952" s="115"/>
      <x:c r="BV952" s="115"/>
      <x:c r="BW952" s="115"/>
      <x:c r="BX952" s="115"/>
      <x:c r="BY952" s="115"/>
      <x:c r="BZ952" s="115"/>
      <x:c r="CA952" s="115"/>
      <x:c r="CB952" s="116"/>
      <x:c r="CC952" s="141" t="str">
        <x:f>IF(COUNT(G952:P952)=0,"",AVERAGE(G952:P952)*4)</x:f>
      </x:c>
      <x:c r="CD952" s="178" t="str">
        <x:f>IF(COUNT(Q952:Z952)=0,"",AVERAGE(Q952:Z952)*4)</x:f>
      </x:c>
      <x:c r="CE952" s="178" t="str">
        <x:f>IF(COUNT(AA952:AJ952)=0,"",AVERAGE(AA952:AJ952)*4)</x:f>
      </x:c>
      <x:c r="CF952" s="178" t="str">
        <x:f>IF(COUNT(AK952:AR952)=0,"",AVERAGE(AK952:AR952)*4)</x:f>
      </x:c>
      <x:c r="CG952" s="178" t="str">
        <x:f>IF(COUNT(AS952:AY952)=0,"",AVERAGE(AS952:AY952)*4)</x:f>
      </x:c>
      <x:c r="CH952" s="178" t="str">
        <x:f>IF(COUNT(AZ952:BG952)=0,"",AVERAGE(AZ952:BG952)*4)</x:f>
      </x:c>
      <x:c r="CI952" s="178" t="str">
        <x:f>IF(COUNT(BH952:BN952)=0,"",AVERAGE(BH952:BN952)*4)</x:f>
      </x:c>
      <x:c r="CJ952" s="178" t="str">
        <x:f>IF(COUNT(BO952:BU952)=0,"",AVERAGE(BO952:BU952)*4)</x:f>
      </x:c>
      <x:c r="CK952" s="178" t="str">
        <x:f>IF(COUNT(BV952:CB952)=0,"",AVERAGE(BV952:CB952)*4)</x:f>
      </x:c>
      <x:c r="CL952" s="178" t="str">
        <x:f>IF(C952="","",IF(COUNT(G952:CB952)&lt;74,"",(CC952*'تنظیمات وزن‌دهی'!$C$5+CD952*'تنظیمات وزن‌دهی'!$C$6+CE952*'تنظیمات وزن‌دهی'!$C$7+CF952*'تنظیمات وزن‌دهی'!$C$8+CG952*'تنظیمات وزن‌دهی'!$C$9+CH952*'تنظیمات وزن‌دهی'!$C$10+CI952*'تنظیمات وزن‌دهی'!$C$11+CJ952*'تنظیمات وزن‌دهی'!$C$12+CK952*'تنظیمات وزن‌دهی'!$C$13)/100))</x:f>
      </x:c>
      <x:c r="CM952" s="178" t="str">
        <x:f>IF(C952="","",IF(COUNT(G952:CB952)=0,"",IF(COUNT(G952:CB952)&lt;74,"موقت - اطلاعات ناقص",IF(CL952&gt;=17,"عالی",IF(CL952&gt;=14,"خوب",IF(CL952&gt;=10,"متوسط","ضعیف"))))))</x:f>
      </x:c>
      <x:c r="CN952" s="178" t="n">
        <x:v>12</x:v>
      </x:c>
      <x:c r="CO952" s="142" t="n">
        <x:f>IF(C952="","",COUNT(G952:CB952)/74)</x:f>
        <x:v>0</x:v>
      </x:c>
      <x:c r="CP952" s="245"/>
    </x:row>
    <x:row r="953">
      <x:c r="A953" s="165" t="n">
        <x:v>949</x:v>
      </x:c>
      <x:c r="B953" s="233" t="str">
        <x:v>تیر</x:v>
      </x:c>
      <x:c r="C953" s="233" t="n">
        <x:f>IF('دانش‌آموزان'!E84="","",'دانش‌آموزان'!B84)</x:f>
        <x:v>80</x:v>
      </x:c>
      <x:c r="D953" s="233" t="str">
        <x:f>IF('دانش‌آموزان'!C84="","",'دانش‌آموزان'!C84)</x:f>
        <x:v>4000000802</x:v>
      </x:c>
      <x:c r="E953" s="233" t="str">
        <x:f>IF('دانش‌آموزان'!E84="","",'دانش‌آموزان'!E84&amp;" "&amp;'دانش‌آموزان'!F84)</x:f>
        <x:v>آوا کاظمی</x:v>
      </x:c>
      <x:c r="F953" s="166" t="str">
        <x:f>IF('دانش‌آموزان'!I84="","",'دانش‌آموزان'!I84)</x:f>
        <x:v>sample-7-d</x:v>
      </x:c>
      <x:c r="G953" s="114" t="n">
        <x:v>4</x:v>
      </x:c>
      <x:c r="H953" s="115" t="n">
        <x:v>2</x:v>
      </x:c>
      <x:c r="I953" s="115" t="n">
        <x:v>4</x:v>
      </x:c>
      <x:c r="J953" s="115" t="n">
        <x:v>5</x:v>
      </x:c>
      <x:c r="K953" s="115" t="n">
        <x:v>4</x:v>
      </x:c>
      <x:c r="L953" s="115" t="n">
        <x:v>5</x:v>
      </x:c>
      <x:c r="M953" s="115" t="n">
        <x:v>3</x:v>
      </x:c>
      <x:c r="N953" s="115" t="n">
        <x:v>5</x:v>
      </x:c>
      <x:c r="O953" s="115" t="n">
        <x:v>3</x:v>
      </x:c>
      <x:c r="P953" s="115" t="n">
        <x:v>4</x:v>
      </x:c>
      <x:c r="Q953" s="115" t="n">
        <x:v>3</x:v>
      </x:c>
      <x:c r="R953" s="115" t="n">
        <x:v>4</x:v>
      </x:c>
      <x:c r="S953" s="115" t="n">
        <x:v>2</x:v>
      </x:c>
      <x:c r="T953" s="115" t="n">
        <x:v>4</x:v>
      </x:c>
      <x:c r="U953" s="115" t="n">
        <x:v>5</x:v>
      </x:c>
      <x:c r="V953" s="115" t="n">
        <x:v>4</x:v>
      </x:c>
      <x:c r="W953" s="115" t="n">
        <x:v>5</x:v>
      </x:c>
      <x:c r="X953" s="115" t="n">
        <x:v>3</x:v>
      </x:c>
      <x:c r="Y953" s="115" t="n">
        <x:v>5</x:v>
      </x:c>
      <x:c r="Z953" s="115" t="n">
        <x:v>3</x:v>
      </x:c>
      <x:c r="AA953" s="115" t="n">
        <x:v>4</x:v>
      </x:c>
      <x:c r="AB953" s="115" t="n">
        <x:v>3</x:v>
      </x:c>
      <x:c r="AC953" s="115" t="n">
        <x:v>4</x:v>
      </x:c>
      <x:c r="AD953" s="115" t="n">
        <x:v>2</x:v>
      </x:c>
      <x:c r="AE953" s="115" t="n">
        <x:v>4</x:v>
      </x:c>
      <x:c r="AF953" s="115" t="n">
        <x:v>5</x:v>
      </x:c>
      <x:c r="AG953" s="115" t="n">
        <x:v>4</x:v>
      </x:c>
      <x:c r="AH953" s="115" t="n">
        <x:v>5</x:v>
      </x:c>
      <x:c r="AI953" s="115" t="n">
        <x:v>3</x:v>
      </x:c>
      <x:c r="AJ953" s="115" t="n">
        <x:v>5</x:v>
      </x:c>
      <x:c r="AK953" s="115" t="n">
        <x:v>3</x:v>
      </x:c>
      <x:c r="AL953" s="115" t="n">
        <x:v>4</x:v>
      </x:c>
      <x:c r="AM953" s="115" t="n">
        <x:v>3</x:v>
      </x:c>
      <x:c r="AN953" s="115" t="n">
        <x:v>4</x:v>
      </x:c>
      <x:c r="AO953" s="115" t="n">
        <x:v>2</x:v>
      </x:c>
      <x:c r="AP953" s="115" t="n">
        <x:v>4</x:v>
      </x:c>
      <x:c r="AQ953" s="115" t="n">
        <x:v>5</x:v>
      </x:c>
      <x:c r="AR953" s="115" t="n">
        <x:v>4</x:v>
      </x:c>
      <x:c r="AS953" s="115" t="n">
        <x:v>5</x:v>
      </x:c>
      <x:c r="AT953" s="115" t="n">
        <x:v>3</x:v>
      </x:c>
      <x:c r="AU953" s="115" t="n">
        <x:v>5</x:v>
      </x:c>
      <x:c r="AV953" s="115" t="n">
        <x:v>3</x:v>
      </x:c>
      <x:c r="AW953" s="115" t="n">
        <x:v>4</x:v>
      </x:c>
      <x:c r="AX953" s="115" t="n">
        <x:v>3</x:v>
      </x:c>
      <x:c r="AY953" s="115" t="n">
        <x:v>4</x:v>
      </x:c>
      <x:c r="AZ953" s="115" t="n">
        <x:v>2</x:v>
      </x:c>
      <x:c r="BA953" s="115" t="n">
        <x:v>4</x:v>
      </x:c>
      <x:c r="BB953" s="115" t="n">
        <x:v>5</x:v>
      </x:c>
      <x:c r="BC953" s="115" t="n">
        <x:v>4</x:v>
      </x:c>
      <x:c r="BD953" s="115" t="n">
        <x:v>5</x:v>
      </x:c>
      <x:c r="BE953" s="115" t="n">
        <x:v>3</x:v>
      </x:c>
      <x:c r="BF953" s="115" t="n">
        <x:v>5</x:v>
      </x:c>
      <x:c r="BG953" s="115" t="n">
        <x:v>3</x:v>
      </x:c>
      <x:c r="BH953" s="115" t="n">
        <x:v>4</x:v>
      </x:c>
      <x:c r="BI953" s="115" t="n">
        <x:v>3</x:v>
      </x:c>
      <x:c r="BJ953" s="115" t="n">
        <x:v>4</x:v>
      </x:c>
      <x:c r="BK953" s="115" t="n">
        <x:v>2</x:v>
      </x:c>
      <x:c r="BL953" s="115" t="n">
        <x:v>4</x:v>
      </x:c>
      <x:c r="BM953" s="115" t="n">
        <x:v>5</x:v>
      </x:c>
      <x:c r="BN953" s="115" t="n">
        <x:v>4</x:v>
      </x:c>
      <x:c r="BO953" s="115" t="n">
        <x:v>5</x:v>
      </x:c>
      <x:c r="BP953" s="115" t="n">
        <x:v>3</x:v>
      </x:c>
      <x:c r="BQ953" s="115" t="n">
        <x:v>5</x:v>
      </x:c>
      <x:c r="BR953" s="115" t="n">
        <x:v>3</x:v>
      </x:c>
      <x:c r="BS953" s="115" t="n">
        <x:v>4</x:v>
      </x:c>
      <x:c r="BT953" s="115" t="n">
        <x:v>3</x:v>
      </x:c>
      <x:c r="BU953" s="115" t="n">
        <x:v>4</x:v>
      </x:c>
      <x:c r="BV953" s="115" t="n">
        <x:v>2</x:v>
      </x:c>
      <x:c r="BW953" s="115" t="n">
        <x:v>4</x:v>
      </x:c>
      <x:c r="BX953" s="115" t="n">
        <x:v>5</x:v>
      </x:c>
      <x:c r="BY953" s="115" t="n">
        <x:v>4</x:v>
      </x:c>
      <x:c r="BZ953" s="115" t="n">
        <x:v>5</x:v>
      </x:c>
      <x:c r="CA953" s="115" t="n">
        <x:v>3</x:v>
      </x:c>
      <x:c r="CB953" s="116" t="n">
        <x:v>5</x:v>
      </x:c>
      <x:c r="CC953" s="141" t="n">
        <x:f>IF(COUNT(G953:P953)=0,"",AVERAGE(G953:P953)*4)</x:f>
        <x:v>15.6</x:v>
      </x:c>
      <x:c r="CD953" s="178" t="n">
        <x:f>IF(COUNT(Q953:Z953)=0,"",AVERAGE(Q953:Z953)*4)</x:f>
        <x:v>15.2</x:v>
      </x:c>
      <x:c r="CE953" s="178" t="n">
        <x:f>IF(COUNT(AA953:AJ953)=0,"",AVERAGE(AA953:AJ953)*4)</x:f>
        <x:v>15.6</x:v>
      </x:c>
      <x:c r="CF953" s="178" t="n">
        <x:f>IF(COUNT(AK953:AR953)=0,"",AVERAGE(AK953:AR953)*4)</x:f>
        <x:v>14.5</x:v>
      </x:c>
      <x:c r="CG953" s="178" t="n">
        <x:f>IF(COUNT(AS953:AY953)=0,"",AVERAGE(AS953:AY953)*4)</x:f>
        <x:v>15.428571428571429</x:v>
      </x:c>
      <x:c r="CH953" s="178" t="n">
        <x:f>IF(COUNT(AZ953:BG953)=0,"",AVERAGE(AZ953:BG953)*4)</x:f>
        <x:v>15.5</x:v>
      </x:c>
      <x:c r="CI953" s="178" t="n">
        <x:f>IF(COUNT(BH953:BN953)=0,"",AVERAGE(BH953:BN953)*4)</x:f>
        <x:v>14.857142857142858</x:v>
      </x:c>
      <x:c r="CJ953" s="178" t="n">
        <x:f>IF(COUNT(BO953:BU953)=0,"",AVERAGE(BO953:BU953)*4)</x:f>
        <x:v>15.428571428571429</x:v>
      </x:c>
      <x:c r="CK953" s="178" t="n">
        <x:f>IF(COUNT(BV953:CB953)=0,"",AVERAGE(BV953:CB953)*4)</x:f>
        <x:v>16</x:v>
      </x:c>
      <x:c r="CL953" s="178" t="n">
        <x:f>IF(C953="","",IF(COUNT(G953:CB953)&lt;74,"",(CC953*'تنظیمات وزن‌دهی'!$C$5+CD953*'تنظیمات وزن‌دهی'!$C$6+CE953*'تنظیمات وزن‌دهی'!$C$7+CF953*'تنظیمات وزن‌دهی'!$C$8+CG953*'تنظیمات وزن‌دهی'!$C$9+CH953*'تنظیمات وزن‌دهی'!$C$10+CI953*'تنظیمات وزن‌دهی'!$C$11+CJ953*'تنظیمات وزن‌دهی'!$C$12+CK953*'تنظیمات وزن‌دهی'!$C$13)/100))</x:f>
        <x:v>15.320714285714287</x:v>
      </x:c>
      <x:c r="CM953" s="178" t="str">
        <x:f>IF(C953="","",IF(COUNT(G953:CB953)=0,"",IF(COUNT(G953:CB953)&lt;74,"موقت - اطلاعات ناقص",IF(CL953&gt;=17,"عالی",IF(CL953&gt;=14,"خوب",IF(CL953&gt;=10,"متوسط","ضعیف"))))))</x:f>
        <x:v>خوب</x:v>
      </x:c>
      <x:c r="CN953" s="178" t="n">
        <x:v>1</x:v>
      </x:c>
      <x:c r="CO953" s="142" t="n">
        <x:f>IF(C953="","",COUNT(G953:CB953)/74)</x:f>
        <x:v>1</x:v>
      </x:c>
      <x:c r="CP953" s="245" t="str">
        <x:v>داده نمونه کامل برای ماه تیر - دانش‌آموز شماره 80</x:v>
      </x:c>
    </x:row>
    <x:row r="954">
      <x:c r="A954" s="165" t="n">
        <x:v>950</x:v>
      </x:c>
      <x:c r="B954" s="233" t="str">
        <x:v>مرداد</x:v>
      </x:c>
      <x:c r="C954" s="233" t="n">
        <x:f>IF('دانش‌آموزان'!E84="","",'دانش‌آموزان'!B84)</x:f>
        <x:v>80</x:v>
      </x:c>
      <x:c r="D954" s="233" t="str">
        <x:f>IF('دانش‌آموزان'!C84="","",'دانش‌آموزان'!C84)</x:f>
        <x:v>4000000802</x:v>
      </x:c>
      <x:c r="E954" s="233" t="str">
        <x:f>IF('دانش‌آموزان'!E84="","",'دانش‌آموزان'!E84&amp;" "&amp;'دانش‌آموزان'!F84)</x:f>
        <x:v>آوا کاظمی</x:v>
      </x:c>
      <x:c r="F954" s="166" t="str">
        <x:f>IF('دانش‌آموزان'!I84="","",'دانش‌آموزان'!I84)</x:f>
        <x:v>sample-7-d</x:v>
      </x:c>
      <x:c r="G954" s="114"/>
      <x:c r="H954" s="115"/>
      <x:c r="I954" s="115"/>
      <x:c r="J954" s="115"/>
      <x:c r="K954" s="115"/>
      <x:c r="L954" s="115"/>
      <x:c r="M954" s="115"/>
      <x:c r="N954" s="115"/>
      <x:c r="O954" s="115"/>
      <x:c r="P954" s="115"/>
      <x:c r="Q954" s="115"/>
      <x:c r="R954" s="115"/>
      <x:c r="S954" s="115"/>
      <x:c r="T954" s="115"/>
      <x:c r="U954" s="115"/>
      <x:c r="V954" s="115"/>
      <x:c r="W954" s="115"/>
      <x:c r="X954" s="115"/>
      <x:c r="Y954" s="115"/>
      <x:c r="Z954" s="115"/>
      <x:c r="AA954" s="115"/>
      <x:c r="AB954" s="115"/>
      <x:c r="AC954" s="115"/>
      <x:c r="AD954" s="115"/>
      <x:c r="AE954" s="115"/>
      <x:c r="AF954" s="115"/>
      <x:c r="AG954" s="115"/>
      <x:c r="AH954" s="115"/>
      <x:c r="AI954" s="115"/>
      <x:c r="AJ954" s="115"/>
      <x:c r="AK954" s="115"/>
      <x:c r="AL954" s="115"/>
      <x:c r="AM954" s="115"/>
      <x:c r="AN954" s="115"/>
      <x:c r="AO954" s="115"/>
      <x:c r="AP954" s="115"/>
      <x:c r="AQ954" s="115"/>
      <x:c r="AR954" s="115"/>
      <x:c r="AS954" s="115"/>
      <x:c r="AT954" s="115"/>
      <x:c r="AU954" s="115"/>
      <x:c r="AV954" s="115"/>
      <x:c r="AW954" s="115"/>
      <x:c r="AX954" s="115"/>
      <x:c r="AY954" s="115"/>
      <x:c r="AZ954" s="115"/>
      <x:c r="BA954" s="115"/>
      <x:c r="BB954" s="115"/>
      <x:c r="BC954" s="115"/>
      <x:c r="BD954" s="115"/>
      <x:c r="BE954" s="115"/>
      <x:c r="BF954" s="115"/>
      <x:c r="BG954" s="115"/>
      <x:c r="BH954" s="115"/>
      <x:c r="BI954" s="115"/>
      <x:c r="BJ954" s="115"/>
      <x:c r="BK954" s="115"/>
      <x:c r="BL954" s="115"/>
      <x:c r="BM954" s="115"/>
      <x:c r="BN954" s="115"/>
      <x:c r="BO954" s="115"/>
      <x:c r="BP954" s="115"/>
      <x:c r="BQ954" s="115"/>
      <x:c r="BR954" s="115"/>
      <x:c r="BS954" s="115"/>
      <x:c r="BT954" s="115"/>
      <x:c r="BU954" s="115"/>
      <x:c r="BV954" s="115"/>
      <x:c r="BW954" s="115"/>
      <x:c r="BX954" s="115"/>
      <x:c r="BY954" s="115"/>
      <x:c r="BZ954" s="115"/>
      <x:c r="CA954" s="115"/>
      <x:c r="CB954" s="116"/>
      <x:c r="CC954" s="141" t="str">
        <x:f>IF(COUNT(G954:P954)=0,"",AVERAGE(G954:P954)*4)</x:f>
      </x:c>
      <x:c r="CD954" s="178" t="str">
        <x:f>IF(COUNT(Q954:Z954)=0,"",AVERAGE(Q954:Z954)*4)</x:f>
      </x:c>
      <x:c r="CE954" s="178" t="str">
        <x:f>IF(COUNT(AA954:AJ954)=0,"",AVERAGE(AA954:AJ954)*4)</x:f>
      </x:c>
      <x:c r="CF954" s="178" t="str">
        <x:f>IF(COUNT(AK954:AR954)=0,"",AVERAGE(AK954:AR954)*4)</x:f>
      </x:c>
      <x:c r="CG954" s="178" t="str">
        <x:f>IF(COUNT(AS954:AY954)=0,"",AVERAGE(AS954:AY954)*4)</x:f>
      </x:c>
      <x:c r="CH954" s="178" t="str">
        <x:f>IF(COUNT(AZ954:BG954)=0,"",AVERAGE(AZ954:BG954)*4)</x:f>
      </x:c>
      <x:c r="CI954" s="178" t="str">
        <x:f>IF(COUNT(BH954:BN954)=0,"",AVERAGE(BH954:BN954)*4)</x:f>
      </x:c>
      <x:c r="CJ954" s="178" t="str">
        <x:f>IF(COUNT(BO954:BU954)=0,"",AVERAGE(BO954:BU954)*4)</x:f>
      </x:c>
      <x:c r="CK954" s="178" t="str">
        <x:f>IF(COUNT(BV954:CB954)=0,"",AVERAGE(BV954:CB954)*4)</x:f>
      </x:c>
      <x:c r="CL954" s="178" t="str">
        <x:f>IF(C954="","",IF(COUNT(G954:CB954)&lt;74,"",(CC954*'تنظیمات وزن‌دهی'!$C$5+CD954*'تنظیمات وزن‌دهی'!$C$6+CE954*'تنظیمات وزن‌دهی'!$C$7+CF954*'تنظیمات وزن‌دهی'!$C$8+CG954*'تنظیمات وزن‌دهی'!$C$9+CH954*'تنظیمات وزن‌دهی'!$C$10+CI954*'تنظیمات وزن‌دهی'!$C$11+CJ954*'تنظیمات وزن‌دهی'!$C$12+CK954*'تنظیمات وزن‌دهی'!$C$13)/100))</x:f>
      </x:c>
      <x:c r="CM954" s="178" t="str">
        <x:f>IF(C954="","",IF(COUNT(G954:CB954)=0,"",IF(COUNT(G954:CB954)&lt;74,"موقت - اطلاعات ناقص",IF(CL954&gt;=17,"عالی",IF(CL954&gt;=14,"خوب",IF(CL954&gt;=10,"متوسط","ضعیف"))))))</x:f>
      </x:c>
      <x:c r="CN954" s="178" t="n">
        <x:v>2</x:v>
      </x:c>
      <x:c r="CO954" s="142" t="n">
        <x:f>IF(C954="","",COUNT(G954:CB954)/74)</x:f>
        <x:v>0</x:v>
      </x:c>
      <x:c r="CP954" s="245"/>
    </x:row>
    <x:row r="955">
      <x:c r="A955" s="165" t="n">
        <x:v>951</x:v>
      </x:c>
      <x:c r="B955" s="233" t="str">
        <x:v>شهریور</x:v>
      </x:c>
      <x:c r="C955" s="233" t="n">
        <x:f>IF('دانش‌آموزان'!E84="","",'دانش‌آموزان'!B84)</x:f>
        <x:v>80</x:v>
      </x:c>
      <x:c r="D955" s="233" t="str">
        <x:f>IF('دانش‌آموزان'!C84="","",'دانش‌آموزان'!C84)</x:f>
        <x:v>4000000802</x:v>
      </x:c>
      <x:c r="E955" s="233" t="str">
        <x:f>IF('دانش‌آموزان'!E84="","",'دانش‌آموزان'!E84&amp;" "&amp;'دانش‌آموزان'!F84)</x:f>
        <x:v>آوا کاظمی</x:v>
      </x:c>
      <x:c r="F955" s="166" t="str">
        <x:f>IF('دانش‌آموزان'!I84="","",'دانش‌آموزان'!I84)</x:f>
        <x:v>sample-7-d</x:v>
      </x:c>
      <x:c r="G955" s="114"/>
      <x:c r="H955" s="115"/>
      <x:c r="I955" s="115"/>
      <x:c r="J955" s="115"/>
      <x:c r="K955" s="115"/>
      <x:c r="L955" s="115"/>
      <x:c r="M955" s="115"/>
      <x:c r="N955" s="115"/>
      <x:c r="O955" s="115"/>
      <x:c r="P955" s="115"/>
      <x:c r="Q955" s="115"/>
      <x:c r="R955" s="115"/>
      <x:c r="S955" s="115"/>
      <x:c r="T955" s="115"/>
      <x:c r="U955" s="115"/>
      <x:c r="V955" s="115"/>
      <x:c r="W955" s="115"/>
      <x:c r="X955" s="115"/>
      <x:c r="Y955" s="115"/>
      <x:c r="Z955" s="115"/>
      <x:c r="AA955" s="115"/>
      <x:c r="AB955" s="115"/>
      <x:c r="AC955" s="115"/>
      <x:c r="AD955" s="115"/>
      <x:c r="AE955" s="115"/>
      <x:c r="AF955" s="115"/>
      <x:c r="AG955" s="115"/>
      <x:c r="AH955" s="115"/>
      <x:c r="AI955" s="115"/>
      <x:c r="AJ955" s="115"/>
      <x:c r="AK955" s="115"/>
      <x:c r="AL955" s="115"/>
      <x:c r="AM955" s="115"/>
      <x:c r="AN955" s="115"/>
      <x:c r="AO955" s="115"/>
      <x:c r="AP955" s="115"/>
      <x:c r="AQ955" s="115"/>
      <x:c r="AR955" s="115"/>
      <x:c r="AS955" s="115"/>
      <x:c r="AT955" s="115"/>
      <x:c r="AU955" s="115"/>
      <x:c r="AV955" s="115"/>
      <x:c r="AW955" s="115"/>
      <x:c r="AX955" s="115"/>
      <x:c r="AY955" s="115"/>
      <x:c r="AZ955" s="115"/>
      <x:c r="BA955" s="115"/>
      <x:c r="BB955" s="115"/>
      <x:c r="BC955" s="115"/>
      <x:c r="BD955" s="115"/>
      <x:c r="BE955" s="115"/>
      <x:c r="BF955" s="115"/>
      <x:c r="BG955" s="115"/>
      <x:c r="BH955" s="115"/>
      <x:c r="BI955" s="115"/>
      <x:c r="BJ955" s="115"/>
      <x:c r="BK955" s="115"/>
      <x:c r="BL955" s="115"/>
      <x:c r="BM955" s="115"/>
      <x:c r="BN955" s="115"/>
      <x:c r="BO955" s="115"/>
      <x:c r="BP955" s="115"/>
      <x:c r="BQ955" s="115"/>
      <x:c r="BR955" s="115"/>
      <x:c r="BS955" s="115"/>
      <x:c r="BT955" s="115"/>
      <x:c r="BU955" s="115"/>
      <x:c r="BV955" s="115"/>
      <x:c r="BW955" s="115"/>
      <x:c r="BX955" s="115"/>
      <x:c r="BY955" s="115"/>
      <x:c r="BZ955" s="115"/>
      <x:c r="CA955" s="115"/>
      <x:c r="CB955" s="116"/>
      <x:c r="CC955" s="141" t="str">
        <x:f>IF(COUNT(G955:P955)=0,"",AVERAGE(G955:P955)*4)</x:f>
      </x:c>
      <x:c r="CD955" s="178" t="str">
        <x:f>IF(COUNT(Q955:Z955)=0,"",AVERAGE(Q955:Z955)*4)</x:f>
      </x:c>
      <x:c r="CE955" s="178" t="str">
        <x:f>IF(COUNT(AA955:AJ955)=0,"",AVERAGE(AA955:AJ955)*4)</x:f>
      </x:c>
      <x:c r="CF955" s="178" t="str">
        <x:f>IF(COUNT(AK955:AR955)=0,"",AVERAGE(AK955:AR955)*4)</x:f>
      </x:c>
      <x:c r="CG955" s="178" t="str">
        <x:f>IF(COUNT(AS955:AY955)=0,"",AVERAGE(AS955:AY955)*4)</x:f>
      </x:c>
      <x:c r="CH955" s="178" t="str">
        <x:f>IF(COUNT(AZ955:BG955)=0,"",AVERAGE(AZ955:BG955)*4)</x:f>
      </x:c>
      <x:c r="CI955" s="178" t="str">
        <x:f>IF(COUNT(BH955:BN955)=0,"",AVERAGE(BH955:BN955)*4)</x:f>
      </x:c>
      <x:c r="CJ955" s="178" t="str">
        <x:f>IF(COUNT(BO955:BU955)=0,"",AVERAGE(BO955:BU955)*4)</x:f>
      </x:c>
      <x:c r="CK955" s="178" t="str">
        <x:f>IF(COUNT(BV955:CB955)=0,"",AVERAGE(BV955:CB955)*4)</x:f>
      </x:c>
      <x:c r="CL955" s="178" t="str">
        <x:f>IF(C955="","",IF(COUNT(G955:CB955)&lt;74,"",(CC955*'تنظیمات وزن‌دهی'!$C$5+CD955*'تنظیمات وزن‌دهی'!$C$6+CE955*'تنظیمات وزن‌دهی'!$C$7+CF955*'تنظیمات وزن‌دهی'!$C$8+CG955*'تنظیمات وزن‌دهی'!$C$9+CH955*'تنظیمات وزن‌دهی'!$C$10+CI955*'تنظیمات وزن‌دهی'!$C$11+CJ955*'تنظیمات وزن‌دهی'!$C$12+CK955*'تنظیمات وزن‌دهی'!$C$13)/100))</x:f>
      </x:c>
      <x:c r="CM955" s="178" t="str">
        <x:f>IF(C955="","",IF(COUNT(G955:CB955)=0,"",IF(COUNT(G955:CB955)&lt;74,"موقت - اطلاعات ناقص",IF(CL955&gt;=17,"عالی",IF(CL955&gt;=14,"خوب",IF(CL955&gt;=10,"متوسط","ضعیف"))))))</x:f>
      </x:c>
      <x:c r="CN955" s="178" t="n">
        <x:v>3</x:v>
      </x:c>
      <x:c r="CO955" s="142" t="n">
        <x:f>IF(C955="","",COUNT(G955:CB955)/74)</x:f>
        <x:v>0</x:v>
      </x:c>
      <x:c r="CP955" s="245"/>
    </x:row>
    <x:row r="956">
      <x:c r="A956" s="165" t="n">
        <x:v>952</x:v>
      </x:c>
      <x:c r="B956" s="233" t="str">
        <x:v>مهر</x:v>
      </x:c>
      <x:c r="C956" s="233" t="n">
        <x:f>IF('دانش‌آموزان'!E84="","",'دانش‌آموزان'!B84)</x:f>
        <x:v>80</x:v>
      </x:c>
      <x:c r="D956" s="233" t="str">
        <x:f>IF('دانش‌آموزان'!C84="","",'دانش‌آموزان'!C84)</x:f>
        <x:v>4000000802</x:v>
      </x:c>
      <x:c r="E956" s="233" t="str">
        <x:f>IF('دانش‌آموزان'!E84="","",'دانش‌آموزان'!E84&amp;" "&amp;'دانش‌آموزان'!F84)</x:f>
        <x:v>آوا کاظمی</x:v>
      </x:c>
      <x:c r="F956" s="166" t="str">
        <x:f>IF('دانش‌آموزان'!I84="","",'دانش‌آموزان'!I84)</x:f>
        <x:v>sample-7-d</x:v>
      </x:c>
      <x:c r="G956" s="114"/>
      <x:c r="H956" s="115"/>
      <x:c r="I956" s="115"/>
      <x:c r="J956" s="115"/>
      <x:c r="K956" s="115"/>
      <x:c r="L956" s="115"/>
      <x:c r="M956" s="115"/>
      <x:c r="N956" s="115"/>
      <x:c r="O956" s="115"/>
      <x:c r="P956" s="115"/>
      <x:c r="Q956" s="115"/>
      <x:c r="R956" s="115"/>
      <x:c r="S956" s="115"/>
      <x:c r="T956" s="115"/>
      <x:c r="U956" s="115"/>
      <x:c r="V956" s="115"/>
      <x:c r="W956" s="115"/>
      <x:c r="X956" s="115"/>
      <x:c r="Y956" s="115"/>
      <x:c r="Z956" s="115"/>
      <x:c r="AA956" s="115"/>
      <x:c r="AB956" s="115"/>
      <x:c r="AC956" s="115"/>
      <x:c r="AD956" s="115"/>
      <x:c r="AE956" s="115"/>
      <x:c r="AF956" s="115"/>
      <x:c r="AG956" s="115"/>
      <x:c r="AH956" s="115"/>
      <x:c r="AI956" s="115"/>
      <x:c r="AJ956" s="115"/>
      <x:c r="AK956" s="115"/>
      <x:c r="AL956" s="115"/>
      <x:c r="AM956" s="115"/>
      <x:c r="AN956" s="115"/>
      <x:c r="AO956" s="115"/>
      <x:c r="AP956" s="115"/>
      <x:c r="AQ956" s="115"/>
      <x:c r="AR956" s="115"/>
      <x:c r="AS956" s="115"/>
      <x:c r="AT956" s="115"/>
      <x:c r="AU956" s="115"/>
      <x:c r="AV956" s="115"/>
      <x:c r="AW956" s="115"/>
      <x:c r="AX956" s="115"/>
      <x:c r="AY956" s="115"/>
      <x:c r="AZ956" s="115"/>
      <x:c r="BA956" s="115"/>
      <x:c r="BB956" s="115"/>
      <x:c r="BC956" s="115"/>
      <x:c r="BD956" s="115"/>
      <x:c r="BE956" s="115"/>
      <x:c r="BF956" s="115"/>
      <x:c r="BG956" s="115"/>
      <x:c r="BH956" s="115"/>
      <x:c r="BI956" s="115"/>
      <x:c r="BJ956" s="115"/>
      <x:c r="BK956" s="115"/>
      <x:c r="BL956" s="115"/>
      <x:c r="BM956" s="115"/>
      <x:c r="BN956" s="115"/>
      <x:c r="BO956" s="115"/>
      <x:c r="BP956" s="115"/>
      <x:c r="BQ956" s="115"/>
      <x:c r="BR956" s="115"/>
      <x:c r="BS956" s="115"/>
      <x:c r="BT956" s="115"/>
      <x:c r="BU956" s="115"/>
      <x:c r="BV956" s="115"/>
      <x:c r="BW956" s="115"/>
      <x:c r="BX956" s="115"/>
      <x:c r="BY956" s="115"/>
      <x:c r="BZ956" s="115"/>
      <x:c r="CA956" s="115"/>
      <x:c r="CB956" s="116"/>
      <x:c r="CC956" s="141" t="str">
        <x:f>IF(COUNT(G956:P956)=0,"",AVERAGE(G956:P956)*4)</x:f>
      </x:c>
      <x:c r="CD956" s="178" t="str">
        <x:f>IF(COUNT(Q956:Z956)=0,"",AVERAGE(Q956:Z956)*4)</x:f>
      </x:c>
      <x:c r="CE956" s="178" t="str">
        <x:f>IF(COUNT(AA956:AJ956)=0,"",AVERAGE(AA956:AJ956)*4)</x:f>
      </x:c>
      <x:c r="CF956" s="178" t="str">
        <x:f>IF(COUNT(AK956:AR956)=0,"",AVERAGE(AK956:AR956)*4)</x:f>
      </x:c>
      <x:c r="CG956" s="178" t="str">
        <x:f>IF(COUNT(AS956:AY956)=0,"",AVERAGE(AS956:AY956)*4)</x:f>
      </x:c>
      <x:c r="CH956" s="178" t="str">
        <x:f>IF(COUNT(AZ956:BG956)=0,"",AVERAGE(AZ956:BG956)*4)</x:f>
      </x:c>
      <x:c r="CI956" s="178" t="str">
        <x:f>IF(COUNT(BH956:BN956)=0,"",AVERAGE(BH956:BN956)*4)</x:f>
      </x:c>
      <x:c r="CJ956" s="178" t="str">
        <x:f>IF(COUNT(BO956:BU956)=0,"",AVERAGE(BO956:BU956)*4)</x:f>
      </x:c>
      <x:c r="CK956" s="178" t="str">
        <x:f>IF(COUNT(BV956:CB956)=0,"",AVERAGE(BV956:CB956)*4)</x:f>
      </x:c>
      <x:c r="CL956" s="178" t="str">
        <x:f>IF(C956="","",IF(COUNT(G956:CB956)&lt;74,"",(CC956*'تنظیمات وزن‌دهی'!$C$5+CD956*'تنظیمات وزن‌دهی'!$C$6+CE956*'تنظیمات وزن‌دهی'!$C$7+CF956*'تنظیمات وزن‌دهی'!$C$8+CG956*'تنظیمات وزن‌دهی'!$C$9+CH956*'تنظیمات وزن‌دهی'!$C$10+CI956*'تنظیمات وزن‌دهی'!$C$11+CJ956*'تنظیمات وزن‌دهی'!$C$12+CK956*'تنظیمات وزن‌دهی'!$C$13)/100))</x:f>
      </x:c>
      <x:c r="CM956" s="178" t="str">
        <x:f>IF(C956="","",IF(COUNT(G956:CB956)=0,"",IF(COUNT(G956:CB956)&lt;74,"موقت - اطلاعات ناقص",IF(CL956&gt;=17,"عالی",IF(CL956&gt;=14,"خوب",IF(CL956&gt;=10,"متوسط","ضعیف"))))))</x:f>
      </x:c>
      <x:c r="CN956" s="178" t="n">
        <x:v>4</x:v>
      </x:c>
      <x:c r="CO956" s="142" t="n">
        <x:f>IF(C956="","",COUNT(G956:CB956)/74)</x:f>
        <x:v>0</x:v>
      </x:c>
      <x:c r="CP956" s="245"/>
    </x:row>
    <x:row r="957">
      <x:c r="A957" s="165" t="n">
        <x:v>953</x:v>
      </x:c>
      <x:c r="B957" s="233" t="str">
        <x:v>آبان</x:v>
      </x:c>
      <x:c r="C957" s="233" t="n">
        <x:f>IF('دانش‌آموزان'!E84="","",'دانش‌آموزان'!B84)</x:f>
        <x:v>80</x:v>
      </x:c>
      <x:c r="D957" s="233" t="str">
        <x:f>IF('دانش‌آموزان'!C84="","",'دانش‌آموزان'!C84)</x:f>
        <x:v>4000000802</x:v>
      </x:c>
      <x:c r="E957" s="233" t="str">
        <x:f>IF('دانش‌آموزان'!E84="","",'دانش‌آموزان'!E84&amp;" "&amp;'دانش‌آموزان'!F84)</x:f>
        <x:v>آوا کاظمی</x:v>
      </x:c>
      <x:c r="F957" s="166" t="str">
        <x:f>IF('دانش‌آموزان'!I84="","",'دانش‌آموزان'!I84)</x:f>
        <x:v>sample-7-d</x:v>
      </x:c>
      <x:c r="G957" s="114"/>
      <x:c r="H957" s="115"/>
      <x:c r="I957" s="115"/>
      <x:c r="J957" s="115"/>
      <x:c r="K957" s="115"/>
      <x:c r="L957" s="115"/>
      <x:c r="M957" s="115"/>
      <x:c r="N957" s="115"/>
      <x:c r="O957" s="115"/>
      <x:c r="P957" s="115"/>
      <x:c r="Q957" s="115"/>
      <x:c r="R957" s="115"/>
      <x:c r="S957" s="115"/>
      <x:c r="T957" s="115"/>
      <x:c r="U957" s="115"/>
      <x:c r="V957" s="115"/>
      <x:c r="W957" s="115"/>
      <x:c r="X957" s="115"/>
      <x:c r="Y957" s="115"/>
      <x:c r="Z957" s="115"/>
      <x:c r="AA957" s="115"/>
      <x:c r="AB957" s="115"/>
      <x:c r="AC957" s="115"/>
      <x:c r="AD957" s="115"/>
      <x:c r="AE957" s="115"/>
      <x:c r="AF957" s="115"/>
      <x:c r="AG957" s="115"/>
      <x:c r="AH957" s="115"/>
      <x:c r="AI957" s="115"/>
      <x:c r="AJ957" s="115"/>
      <x:c r="AK957" s="115"/>
      <x:c r="AL957" s="115"/>
      <x:c r="AM957" s="115"/>
      <x:c r="AN957" s="115"/>
      <x:c r="AO957" s="115"/>
      <x:c r="AP957" s="115"/>
      <x:c r="AQ957" s="115"/>
      <x:c r="AR957" s="115"/>
      <x:c r="AS957" s="115"/>
      <x:c r="AT957" s="115"/>
      <x:c r="AU957" s="115"/>
      <x:c r="AV957" s="115"/>
      <x:c r="AW957" s="115"/>
      <x:c r="AX957" s="115"/>
      <x:c r="AY957" s="115"/>
      <x:c r="AZ957" s="115"/>
      <x:c r="BA957" s="115"/>
      <x:c r="BB957" s="115"/>
      <x:c r="BC957" s="115"/>
      <x:c r="BD957" s="115"/>
      <x:c r="BE957" s="115"/>
      <x:c r="BF957" s="115"/>
      <x:c r="BG957" s="115"/>
      <x:c r="BH957" s="115"/>
      <x:c r="BI957" s="115"/>
      <x:c r="BJ957" s="115"/>
      <x:c r="BK957" s="115"/>
      <x:c r="BL957" s="115"/>
      <x:c r="BM957" s="115"/>
      <x:c r="BN957" s="115"/>
      <x:c r="BO957" s="115"/>
      <x:c r="BP957" s="115"/>
      <x:c r="BQ957" s="115"/>
      <x:c r="BR957" s="115"/>
      <x:c r="BS957" s="115"/>
      <x:c r="BT957" s="115"/>
      <x:c r="BU957" s="115"/>
      <x:c r="BV957" s="115"/>
      <x:c r="BW957" s="115"/>
      <x:c r="BX957" s="115"/>
      <x:c r="BY957" s="115"/>
      <x:c r="BZ957" s="115"/>
      <x:c r="CA957" s="115"/>
      <x:c r="CB957" s="116"/>
      <x:c r="CC957" s="141" t="str">
        <x:f>IF(COUNT(G957:P957)=0,"",AVERAGE(G957:P957)*4)</x:f>
      </x:c>
      <x:c r="CD957" s="178" t="str">
        <x:f>IF(COUNT(Q957:Z957)=0,"",AVERAGE(Q957:Z957)*4)</x:f>
      </x:c>
      <x:c r="CE957" s="178" t="str">
        <x:f>IF(COUNT(AA957:AJ957)=0,"",AVERAGE(AA957:AJ957)*4)</x:f>
      </x:c>
      <x:c r="CF957" s="178" t="str">
        <x:f>IF(COUNT(AK957:AR957)=0,"",AVERAGE(AK957:AR957)*4)</x:f>
      </x:c>
      <x:c r="CG957" s="178" t="str">
        <x:f>IF(COUNT(AS957:AY957)=0,"",AVERAGE(AS957:AY957)*4)</x:f>
      </x:c>
      <x:c r="CH957" s="178" t="str">
        <x:f>IF(COUNT(AZ957:BG957)=0,"",AVERAGE(AZ957:BG957)*4)</x:f>
      </x:c>
      <x:c r="CI957" s="178" t="str">
        <x:f>IF(COUNT(BH957:BN957)=0,"",AVERAGE(BH957:BN957)*4)</x:f>
      </x:c>
      <x:c r="CJ957" s="178" t="str">
        <x:f>IF(COUNT(BO957:BU957)=0,"",AVERAGE(BO957:BU957)*4)</x:f>
      </x:c>
      <x:c r="CK957" s="178" t="str">
        <x:f>IF(COUNT(BV957:CB957)=0,"",AVERAGE(BV957:CB957)*4)</x:f>
      </x:c>
      <x:c r="CL957" s="178" t="str">
        <x:f>IF(C957="","",IF(COUNT(G957:CB957)&lt;74,"",(CC957*'تنظیمات وزن‌دهی'!$C$5+CD957*'تنظیمات وزن‌دهی'!$C$6+CE957*'تنظیمات وزن‌دهی'!$C$7+CF957*'تنظیمات وزن‌دهی'!$C$8+CG957*'تنظیمات وزن‌دهی'!$C$9+CH957*'تنظیمات وزن‌دهی'!$C$10+CI957*'تنظیمات وزن‌دهی'!$C$11+CJ957*'تنظیمات وزن‌دهی'!$C$12+CK957*'تنظیمات وزن‌دهی'!$C$13)/100))</x:f>
      </x:c>
      <x:c r="CM957" s="178" t="str">
        <x:f>IF(C957="","",IF(COUNT(G957:CB957)=0,"",IF(COUNT(G957:CB957)&lt;74,"موقت - اطلاعات ناقص",IF(CL957&gt;=17,"عالی",IF(CL957&gt;=14,"خوب",IF(CL957&gt;=10,"متوسط","ضعیف"))))))</x:f>
      </x:c>
      <x:c r="CN957" s="178" t="n">
        <x:v>5</x:v>
      </x:c>
      <x:c r="CO957" s="142" t="n">
        <x:f>IF(C957="","",COUNT(G957:CB957)/74)</x:f>
        <x:v>0</x:v>
      </x:c>
      <x:c r="CP957" s="245"/>
    </x:row>
    <x:row r="958">
      <x:c r="A958" s="165" t="n">
        <x:v>954</x:v>
      </x:c>
      <x:c r="B958" s="233" t="str">
        <x:v>آذر</x:v>
      </x:c>
      <x:c r="C958" s="233" t="n">
        <x:f>IF('دانش‌آموزان'!E84="","",'دانش‌آموزان'!B84)</x:f>
        <x:v>80</x:v>
      </x:c>
      <x:c r="D958" s="233" t="str">
        <x:f>IF('دانش‌آموزان'!C84="","",'دانش‌آموزان'!C84)</x:f>
        <x:v>4000000802</x:v>
      </x:c>
      <x:c r="E958" s="233" t="str">
        <x:f>IF('دانش‌آموزان'!E84="","",'دانش‌آموزان'!E84&amp;" "&amp;'دانش‌آموزان'!F84)</x:f>
        <x:v>آوا کاظمی</x:v>
      </x:c>
      <x:c r="F958" s="166" t="str">
        <x:f>IF('دانش‌آموزان'!I84="","",'دانش‌آموزان'!I84)</x:f>
        <x:v>sample-7-d</x:v>
      </x:c>
      <x:c r="G958" s="114"/>
      <x:c r="H958" s="115"/>
      <x:c r="I958" s="115"/>
      <x:c r="J958" s="115"/>
      <x:c r="K958" s="115"/>
      <x:c r="L958" s="115"/>
      <x:c r="M958" s="115"/>
      <x:c r="N958" s="115"/>
      <x:c r="O958" s="115"/>
      <x:c r="P958" s="115"/>
      <x:c r="Q958" s="115"/>
      <x:c r="R958" s="115"/>
      <x:c r="S958" s="115"/>
      <x:c r="T958" s="115"/>
      <x:c r="U958" s="115"/>
      <x:c r="V958" s="115"/>
      <x:c r="W958" s="115"/>
      <x:c r="X958" s="115"/>
      <x:c r="Y958" s="115"/>
      <x:c r="Z958" s="115"/>
      <x:c r="AA958" s="115"/>
      <x:c r="AB958" s="115"/>
      <x:c r="AC958" s="115"/>
      <x:c r="AD958" s="115"/>
      <x:c r="AE958" s="115"/>
      <x:c r="AF958" s="115"/>
      <x:c r="AG958" s="115"/>
      <x:c r="AH958" s="115"/>
      <x:c r="AI958" s="115"/>
      <x:c r="AJ958" s="115"/>
      <x:c r="AK958" s="115"/>
      <x:c r="AL958" s="115"/>
      <x:c r="AM958" s="115"/>
      <x:c r="AN958" s="115"/>
      <x:c r="AO958" s="115"/>
      <x:c r="AP958" s="115"/>
      <x:c r="AQ958" s="115"/>
      <x:c r="AR958" s="115"/>
      <x:c r="AS958" s="115"/>
      <x:c r="AT958" s="115"/>
      <x:c r="AU958" s="115"/>
      <x:c r="AV958" s="115"/>
      <x:c r="AW958" s="115"/>
      <x:c r="AX958" s="115"/>
      <x:c r="AY958" s="115"/>
      <x:c r="AZ958" s="115"/>
      <x:c r="BA958" s="115"/>
      <x:c r="BB958" s="115"/>
      <x:c r="BC958" s="115"/>
      <x:c r="BD958" s="115"/>
      <x:c r="BE958" s="115"/>
      <x:c r="BF958" s="115"/>
      <x:c r="BG958" s="115"/>
      <x:c r="BH958" s="115"/>
      <x:c r="BI958" s="115"/>
      <x:c r="BJ958" s="115"/>
      <x:c r="BK958" s="115"/>
      <x:c r="BL958" s="115"/>
      <x:c r="BM958" s="115"/>
      <x:c r="BN958" s="115"/>
      <x:c r="BO958" s="115"/>
      <x:c r="BP958" s="115"/>
      <x:c r="BQ958" s="115"/>
      <x:c r="BR958" s="115"/>
      <x:c r="BS958" s="115"/>
      <x:c r="BT958" s="115"/>
      <x:c r="BU958" s="115"/>
      <x:c r="BV958" s="115"/>
      <x:c r="BW958" s="115"/>
      <x:c r="BX958" s="115"/>
      <x:c r="BY958" s="115"/>
      <x:c r="BZ958" s="115"/>
      <x:c r="CA958" s="115"/>
      <x:c r="CB958" s="116"/>
      <x:c r="CC958" s="141" t="str">
        <x:f>IF(COUNT(G958:P958)=0,"",AVERAGE(G958:P958)*4)</x:f>
      </x:c>
      <x:c r="CD958" s="178" t="str">
        <x:f>IF(COUNT(Q958:Z958)=0,"",AVERAGE(Q958:Z958)*4)</x:f>
      </x:c>
      <x:c r="CE958" s="178" t="str">
        <x:f>IF(COUNT(AA958:AJ958)=0,"",AVERAGE(AA958:AJ958)*4)</x:f>
      </x:c>
      <x:c r="CF958" s="178" t="str">
        <x:f>IF(COUNT(AK958:AR958)=0,"",AVERAGE(AK958:AR958)*4)</x:f>
      </x:c>
      <x:c r="CG958" s="178" t="str">
        <x:f>IF(COUNT(AS958:AY958)=0,"",AVERAGE(AS958:AY958)*4)</x:f>
      </x:c>
      <x:c r="CH958" s="178" t="str">
        <x:f>IF(COUNT(AZ958:BG958)=0,"",AVERAGE(AZ958:BG958)*4)</x:f>
      </x:c>
      <x:c r="CI958" s="178" t="str">
        <x:f>IF(COUNT(BH958:BN958)=0,"",AVERAGE(BH958:BN958)*4)</x:f>
      </x:c>
      <x:c r="CJ958" s="178" t="str">
        <x:f>IF(COUNT(BO958:BU958)=0,"",AVERAGE(BO958:BU958)*4)</x:f>
      </x:c>
      <x:c r="CK958" s="178" t="str">
        <x:f>IF(COUNT(BV958:CB958)=0,"",AVERAGE(BV958:CB958)*4)</x:f>
      </x:c>
      <x:c r="CL958" s="178" t="str">
        <x:f>IF(C958="","",IF(COUNT(G958:CB958)&lt;74,"",(CC958*'تنظیمات وزن‌دهی'!$C$5+CD958*'تنظیمات وزن‌دهی'!$C$6+CE958*'تنظیمات وزن‌دهی'!$C$7+CF958*'تنظیمات وزن‌دهی'!$C$8+CG958*'تنظیمات وزن‌دهی'!$C$9+CH958*'تنظیمات وزن‌دهی'!$C$10+CI958*'تنظیمات وزن‌دهی'!$C$11+CJ958*'تنظیمات وزن‌دهی'!$C$12+CK958*'تنظیمات وزن‌دهی'!$C$13)/100))</x:f>
      </x:c>
      <x:c r="CM958" s="178" t="str">
        <x:f>IF(C958="","",IF(COUNT(G958:CB958)=0,"",IF(COUNT(G958:CB958)&lt;74,"موقت - اطلاعات ناقص",IF(CL958&gt;=17,"عالی",IF(CL958&gt;=14,"خوب",IF(CL958&gt;=10,"متوسط","ضعیف"))))))</x:f>
      </x:c>
      <x:c r="CN958" s="178" t="n">
        <x:v>6</x:v>
      </x:c>
      <x:c r="CO958" s="142" t="n">
        <x:f>IF(C958="","",COUNT(G958:CB958)/74)</x:f>
        <x:v>0</x:v>
      </x:c>
      <x:c r="CP958" s="245"/>
    </x:row>
    <x:row r="959">
      <x:c r="A959" s="165" t="n">
        <x:v>955</x:v>
      </x:c>
      <x:c r="B959" s="233" t="str">
        <x:v>دی</x:v>
      </x:c>
      <x:c r="C959" s="233" t="n">
        <x:f>IF('دانش‌آموزان'!E84="","",'دانش‌آموزان'!B84)</x:f>
        <x:v>80</x:v>
      </x:c>
      <x:c r="D959" s="233" t="str">
        <x:f>IF('دانش‌آموزان'!C84="","",'دانش‌آموزان'!C84)</x:f>
        <x:v>4000000802</x:v>
      </x:c>
      <x:c r="E959" s="233" t="str">
        <x:f>IF('دانش‌آموزان'!E84="","",'دانش‌آموزان'!E84&amp;" "&amp;'دانش‌آموزان'!F84)</x:f>
        <x:v>آوا کاظمی</x:v>
      </x:c>
      <x:c r="F959" s="166" t="str">
        <x:f>IF('دانش‌آموزان'!I84="","",'دانش‌آموزان'!I84)</x:f>
        <x:v>sample-7-d</x:v>
      </x:c>
      <x:c r="G959" s="114"/>
      <x:c r="H959" s="115"/>
      <x:c r="I959" s="115"/>
      <x:c r="J959" s="115"/>
      <x:c r="K959" s="115"/>
      <x:c r="L959" s="115"/>
      <x:c r="M959" s="115"/>
      <x:c r="N959" s="115"/>
      <x:c r="O959" s="115"/>
      <x:c r="P959" s="115"/>
      <x:c r="Q959" s="115"/>
      <x:c r="R959" s="115"/>
      <x:c r="S959" s="115"/>
      <x:c r="T959" s="115"/>
      <x:c r="U959" s="115"/>
      <x:c r="V959" s="115"/>
      <x:c r="W959" s="115"/>
      <x:c r="X959" s="115"/>
      <x:c r="Y959" s="115"/>
      <x:c r="Z959" s="115"/>
      <x:c r="AA959" s="115"/>
      <x:c r="AB959" s="115"/>
      <x:c r="AC959" s="115"/>
      <x:c r="AD959" s="115"/>
      <x:c r="AE959" s="115"/>
      <x:c r="AF959" s="115"/>
      <x:c r="AG959" s="115"/>
      <x:c r="AH959" s="115"/>
      <x:c r="AI959" s="115"/>
      <x:c r="AJ959" s="115"/>
      <x:c r="AK959" s="115"/>
      <x:c r="AL959" s="115"/>
      <x:c r="AM959" s="115"/>
      <x:c r="AN959" s="115"/>
      <x:c r="AO959" s="115"/>
      <x:c r="AP959" s="115"/>
      <x:c r="AQ959" s="115"/>
      <x:c r="AR959" s="115"/>
      <x:c r="AS959" s="115"/>
      <x:c r="AT959" s="115"/>
      <x:c r="AU959" s="115"/>
      <x:c r="AV959" s="115"/>
      <x:c r="AW959" s="115"/>
      <x:c r="AX959" s="115"/>
      <x:c r="AY959" s="115"/>
      <x:c r="AZ959" s="115"/>
      <x:c r="BA959" s="115"/>
      <x:c r="BB959" s="115"/>
      <x:c r="BC959" s="115"/>
      <x:c r="BD959" s="115"/>
      <x:c r="BE959" s="115"/>
      <x:c r="BF959" s="115"/>
      <x:c r="BG959" s="115"/>
      <x:c r="BH959" s="115"/>
      <x:c r="BI959" s="115"/>
      <x:c r="BJ959" s="115"/>
      <x:c r="BK959" s="115"/>
      <x:c r="BL959" s="115"/>
      <x:c r="BM959" s="115"/>
      <x:c r="BN959" s="115"/>
      <x:c r="BO959" s="115"/>
      <x:c r="BP959" s="115"/>
      <x:c r="BQ959" s="115"/>
      <x:c r="BR959" s="115"/>
      <x:c r="BS959" s="115"/>
      <x:c r="BT959" s="115"/>
      <x:c r="BU959" s="115"/>
      <x:c r="BV959" s="115"/>
      <x:c r="BW959" s="115"/>
      <x:c r="BX959" s="115"/>
      <x:c r="BY959" s="115"/>
      <x:c r="BZ959" s="115"/>
      <x:c r="CA959" s="115"/>
      <x:c r="CB959" s="116"/>
      <x:c r="CC959" s="141" t="str">
        <x:f>IF(COUNT(G959:P959)=0,"",AVERAGE(G959:P959)*4)</x:f>
      </x:c>
      <x:c r="CD959" s="178" t="str">
        <x:f>IF(COUNT(Q959:Z959)=0,"",AVERAGE(Q959:Z959)*4)</x:f>
      </x:c>
      <x:c r="CE959" s="178" t="str">
        <x:f>IF(COUNT(AA959:AJ959)=0,"",AVERAGE(AA959:AJ959)*4)</x:f>
      </x:c>
      <x:c r="CF959" s="178" t="str">
        <x:f>IF(COUNT(AK959:AR959)=0,"",AVERAGE(AK959:AR959)*4)</x:f>
      </x:c>
      <x:c r="CG959" s="178" t="str">
        <x:f>IF(COUNT(AS959:AY959)=0,"",AVERAGE(AS959:AY959)*4)</x:f>
      </x:c>
      <x:c r="CH959" s="178" t="str">
        <x:f>IF(COUNT(AZ959:BG959)=0,"",AVERAGE(AZ959:BG959)*4)</x:f>
      </x:c>
      <x:c r="CI959" s="178" t="str">
        <x:f>IF(COUNT(BH959:BN959)=0,"",AVERAGE(BH959:BN959)*4)</x:f>
      </x:c>
      <x:c r="CJ959" s="178" t="str">
        <x:f>IF(COUNT(BO959:BU959)=0,"",AVERAGE(BO959:BU959)*4)</x:f>
      </x:c>
      <x:c r="CK959" s="178" t="str">
        <x:f>IF(COUNT(BV959:CB959)=0,"",AVERAGE(BV959:CB959)*4)</x:f>
      </x:c>
      <x:c r="CL959" s="178" t="str">
        <x:f>IF(C959="","",IF(COUNT(G959:CB959)&lt;74,"",(CC959*'تنظیمات وزن‌دهی'!$C$5+CD959*'تنظیمات وزن‌دهی'!$C$6+CE959*'تنظیمات وزن‌دهی'!$C$7+CF959*'تنظیمات وزن‌دهی'!$C$8+CG959*'تنظیمات وزن‌دهی'!$C$9+CH959*'تنظیمات وزن‌دهی'!$C$10+CI959*'تنظیمات وزن‌دهی'!$C$11+CJ959*'تنظیمات وزن‌دهی'!$C$12+CK959*'تنظیمات وزن‌دهی'!$C$13)/100))</x:f>
      </x:c>
      <x:c r="CM959" s="178" t="str">
        <x:f>IF(C959="","",IF(COUNT(G959:CB959)=0,"",IF(COUNT(G959:CB959)&lt;74,"موقت - اطلاعات ناقص",IF(CL959&gt;=17,"عالی",IF(CL959&gt;=14,"خوب",IF(CL959&gt;=10,"متوسط","ضعیف"))))))</x:f>
      </x:c>
      <x:c r="CN959" s="178" t="n">
        <x:v>7</x:v>
      </x:c>
      <x:c r="CO959" s="142" t="n">
        <x:f>IF(C959="","",COUNT(G959:CB959)/74)</x:f>
        <x:v>0</x:v>
      </x:c>
      <x:c r="CP959" s="245"/>
    </x:row>
    <x:row r="960">
      <x:c r="A960" s="165" t="n">
        <x:v>956</x:v>
      </x:c>
      <x:c r="B960" s="233" t="str">
        <x:v>بهمن</x:v>
      </x:c>
      <x:c r="C960" s="233" t="n">
        <x:f>IF('دانش‌آموزان'!E84="","",'دانش‌آموزان'!B84)</x:f>
        <x:v>80</x:v>
      </x:c>
      <x:c r="D960" s="233" t="str">
        <x:f>IF('دانش‌آموزان'!C84="","",'دانش‌آموزان'!C84)</x:f>
        <x:v>4000000802</x:v>
      </x:c>
      <x:c r="E960" s="233" t="str">
        <x:f>IF('دانش‌آموزان'!E84="","",'دانش‌آموزان'!E84&amp;" "&amp;'دانش‌آموزان'!F84)</x:f>
        <x:v>آوا کاظمی</x:v>
      </x:c>
      <x:c r="F960" s="166" t="str">
        <x:f>IF('دانش‌آموزان'!I84="","",'دانش‌آموزان'!I84)</x:f>
        <x:v>sample-7-d</x:v>
      </x:c>
      <x:c r="G960" s="114"/>
      <x:c r="H960" s="115"/>
      <x:c r="I960" s="115"/>
      <x:c r="J960" s="115"/>
      <x:c r="K960" s="115"/>
      <x:c r="L960" s="115"/>
      <x:c r="M960" s="115"/>
      <x:c r="N960" s="115"/>
      <x:c r="O960" s="115"/>
      <x:c r="P960" s="115"/>
      <x:c r="Q960" s="115"/>
      <x:c r="R960" s="115"/>
      <x:c r="S960" s="115"/>
      <x:c r="T960" s="115"/>
      <x:c r="U960" s="115"/>
      <x:c r="V960" s="115"/>
      <x:c r="W960" s="115"/>
      <x:c r="X960" s="115"/>
      <x:c r="Y960" s="115"/>
      <x:c r="Z960" s="115"/>
      <x:c r="AA960" s="115"/>
      <x:c r="AB960" s="115"/>
      <x:c r="AC960" s="115"/>
      <x:c r="AD960" s="115"/>
      <x:c r="AE960" s="115"/>
      <x:c r="AF960" s="115"/>
      <x:c r="AG960" s="115"/>
      <x:c r="AH960" s="115"/>
      <x:c r="AI960" s="115"/>
      <x:c r="AJ960" s="115"/>
      <x:c r="AK960" s="115"/>
      <x:c r="AL960" s="115"/>
      <x:c r="AM960" s="115"/>
      <x:c r="AN960" s="115"/>
      <x:c r="AO960" s="115"/>
      <x:c r="AP960" s="115"/>
      <x:c r="AQ960" s="115"/>
      <x:c r="AR960" s="115"/>
      <x:c r="AS960" s="115"/>
      <x:c r="AT960" s="115"/>
      <x:c r="AU960" s="115"/>
      <x:c r="AV960" s="115"/>
      <x:c r="AW960" s="115"/>
      <x:c r="AX960" s="115"/>
      <x:c r="AY960" s="115"/>
      <x:c r="AZ960" s="115"/>
      <x:c r="BA960" s="115"/>
      <x:c r="BB960" s="115"/>
      <x:c r="BC960" s="115"/>
      <x:c r="BD960" s="115"/>
      <x:c r="BE960" s="115"/>
      <x:c r="BF960" s="115"/>
      <x:c r="BG960" s="115"/>
      <x:c r="BH960" s="115"/>
      <x:c r="BI960" s="115"/>
      <x:c r="BJ960" s="115"/>
      <x:c r="BK960" s="115"/>
      <x:c r="BL960" s="115"/>
      <x:c r="BM960" s="115"/>
      <x:c r="BN960" s="115"/>
      <x:c r="BO960" s="115"/>
      <x:c r="BP960" s="115"/>
      <x:c r="BQ960" s="115"/>
      <x:c r="BR960" s="115"/>
      <x:c r="BS960" s="115"/>
      <x:c r="BT960" s="115"/>
      <x:c r="BU960" s="115"/>
      <x:c r="BV960" s="115"/>
      <x:c r="BW960" s="115"/>
      <x:c r="BX960" s="115"/>
      <x:c r="BY960" s="115"/>
      <x:c r="BZ960" s="115"/>
      <x:c r="CA960" s="115"/>
      <x:c r="CB960" s="116"/>
      <x:c r="CC960" s="141" t="str">
        <x:f>IF(COUNT(G960:P960)=0,"",AVERAGE(G960:P960)*4)</x:f>
      </x:c>
      <x:c r="CD960" s="178" t="str">
        <x:f>IF(COUNT(Q960:Z960)=0,"",AVERAGE(Q960:Z960)*4)</x:f>
      </x:c>
      <x:c r="CE960" s="178" t="str">
        <x:f>IF(COUNT(AA960:AJ960)=0,"",AVERAGE(AA960:AJ960)*4)</x:f>
      </x:c>
      <x:c r="CF960" s="178" t="str">
        <x:f>IF(COUNT(AK960:AR960)=0,"",AVERAGE(AK960:AR960)*4)</x:f>
      </x:c>
      <x:c r="CG960" s="178" t="str">
        <x:f>IF(COUNT(AS960:AY960)=0,"",AVERAGE(AS960:AY960)*4)</x:f>
      </x:c>
      <x:c r="CH960" s="178" t="str">
        <x:f>IF(COUNT(AZ960:BG960)=0,"",AVERAGE(AZ960:BG960)*4)</x:f>
      </x:c>
      <x:c r="CI960" s="178" t="str">
        <x:f>IF(COUNT(BH960:BN960)=0,"",AVERAGE(BH960:BN960)*4)</x:f>
      </x:c>
      <x:c r="CJ960" s="178" t="str">
        <x:f>IF(COUNT(BO960:BU960)=0,"",AVERAGE(BO960:BU960)*4)</x:f>
      </x:c>
      <x:c r="CK960" s="178" t="str">
        <x:f>IF(COUNT(BV960:CB960)=0,"",AVERAGE(BV960:CB960)*4)</x:f>
      </x:c>
      <x:c r="CL960" s="178" t="str">
        <x:f>IF(C960="","",IF(COUNT(G960:CB960)&lt;74,"",(CC960*'تنظیمات وزن‌دهی'!$C$5+CD960*'تنظیمات وزن‌دهی'!$C$6+CE960*'تنظیمات وزن‌دهی'!$C$7+CF960*'تنظیمات وزن‌دهی'!$C$8+CG960*'تنظیمات وزن‌دهی'!$C$9+CH960*'تنظیمات وزن‌دهی'!$C$10+CI960*'تنظیمات وزن‌دهی'!$C$11+CJ960*'تنظیمات وزن‌دهی'!$C$12+CK960*'تنظیمات وزن‌دهی'!$C$13)/100))</x:f>
      </x:c>
      <x:c r="CM960" s="178" t="str">
        <x:f>IF(C960="","",IF(COUNT(G960:CB960)=0,"",IF(COUNT(G960:CB960)&lt;74,"موقت - اطلاعات ناقص",IF(CL960&gt;=17,"عالی",IF(CL960&gt;=14,"خوب",IF(CL960&gt;=10,"متوسط","ضعیف"))))))</x:f>
      </x:c>
      <x:c r="CN960" s="178" t="n">
        <x:v>8</x:v>
      </x:c>
      <x:c r="CO960" s="142" t="n">
        <x:f>IF(C960="","",COUNT(G960:CB960)/74)</x:f>
        <x:v>0</x:v>
      </x:c>
      <x:c r="CP960" s="245"/>
    </x:row>
    <x:row r="961">
      <x:c r="A961" s="165" t="n">
        <x:v>957</x:v>
      </x:c>
      <x:c r="B961" s="233" t="str">
        <x:v>اسفند</x:v>
      </x:c>
      <x:c r="C961" s="233" t="n">
        <x:f>IF('دانش‌آموزان'!E84="","",'دانش‌آموزان'!B84)</x:f>
        <x:v>80</x:v>
      </x:c>
      <x:c r="D961" s="233" t="str">
        <x:f>IF('دانش‌آموزان'!C84="","",'دانش‌آموزان'!C84)</x:f>
        <x:v>4000000802</x:v>
      </x:c>
      <x:c r="E961" s="233" t="str">
        <x:f>IF('دانش‌آموزان'!E84="","",'دانش‌آموزان'!E84&amp;" "&amp;'دانش‌آموزان'!F84)</x:f>
        <x:v>آوا کاظمی</x:v>
      </x:c>
      <x:c r="F961" s="166" t="str">
        <x:f>IF('دانش‌آموزان'!I84="","",'دانش‌آموزان'!I84)</x:f>
        <x:v>sample-7-d</x:v>
      </x:c>
      <x:c r="G961" s="114"/>
      <x:c r="H961" s="115"/>
      <x:c r="I961" s="115"/>
      <x:c r="J961" s="115"/>
      <x:c r="K961" s="115"/>
      <x:c r="L961" s="115"/>
      <x:c r="M961" s="115"/>
      <x:c r="N961" s="115"/>
      <x:c r="O961" s="115"/>
      <x:c r="P961" s="115"/>
      <x:c r="Q961" s="115"/>
      <x:c r="R961" s="115"/>
      <x:c r="S961" s="115"/>
      <x:c r="T961" s="115"/>
      <x:c r="U961" s="115"/>
      <x:c r="V961" s="115"/>
      <x:c r="W961" s="115"/>
      <x:c r="X961" s="115"/>
      <x:c r="Y961" s="115"/>
      <x:c r="Z961" s="115"/>
      <x:c r="AA961" s="115"/>
      <x:c r="AB961" s="115"/>
      <x:c r="AC961" s="115"/>
      <x:c r="AD961" s="115"/>
      <x:c r="AE961" s="115"/>
      <x:c r="AF961" s="115"/>
      <x:c r="AG961" s="115"/>
      <x:c r="AH961" s="115"/>
      <x:c r="AI961" s="115"/>
      <x:c r="AJ961" s="115"/>
      <x:c r="AK961" s="115"/>
      <x:c r="AL961" s="115"/>
      <x:c r="AM961" s="115"/>
      <x:c r="AN961" s="115"/>
      <x:c r="AO961" s="115"/>
      <x:c r="AP961" s="115"/>
      <x:c r="AQ961" s="115"/>
      <x:c r="AR961" s="115"/>
      <x:c r="AS961" s="115"/>
      <x:c r="AT961" s="115"/>
      <x:c r="AU961" s="115"/>
      <x:c r="AV961" s="115"/>
      <x:c r="AW961" s="115"/>
      <x:c r="AX961" s="115"/>
      <x:c r="AY961" s="115"/>
      <x:c r="AZ961" s="115"/>
      <x:c r="BA961" s="115"/>
      <x:c r="BB961" s="115"/>
      <x:c r="BC961" s="115"/>
      <x:c r="BD961" s="115"/>
      <x:c r="BE961" s="115"/>
      <x:c r="BF961" s="115"/>
      <x:c r="BG961" s="115"/>
      <x:c r="BH961" s="115"/>
      <x:c r="BI961" s="115"/>
      <x:c r="BJ961" s="115"/>
      <x:c r="BK961" s="115"/>
      <x:c r="BL961" s="115"/>
      <x:c r="BM961" s="115"/>
      <x:c r="BN961" s="115"/>
      <x:c r="BO961" s="115"/>
      <x:c r="BP961" s="115"/>
      <x:c r="BQ961" s="115"/>
      <x:c r="BR961" s="115"/>
      <x:c r="BS961" s="115"/>
      <x:c r="BT961" s="115"/>
      <x:c r="BU961" s="115"/>
      <x:c r="BV961" s="115"/>
      <x:c r="BW961" s="115"/>
      <x:c r="BX961" s="115"/>
      <x:c r="BY961" s="115"/>
      <x:c r="BZ961" s="115"/>
      <x:c r="CA961" s="115"/>
      <x:c r="CB961" s="116"/>
      <x:c r="CC961" s="141" t="str">
        <x:f>IF(COUNT(G961:P961)=0,"",AVERAGE(G961:P961)*4)</x:f>
      </x:c>
      <x:c r="CD961" s="178" t="str">
        <x:f>IF(COUNT(Q961:Z961)=0,"",AVERAGE(Q961:Z961)*4)</x:f>
      </x:c>
      <x:c r="CE961" s="178" t="str">
        <x:f>IF(COUNT(AA961:AJ961)=0,"",AVERAGE(AA961:AJ961)*4)</x:f>
      </x:c>
      <x:c r="CF961" s="178" t="str">
        <x:f>IF(COUNT(AK961:AR961)=0,"",AVERAGE(AK961:AR961)*4)</x:f>
      </x:c>
      <x:c r="CG961" s="178" t="str">
        <x:f>IF(COUNT(AS961:AY961)=0,"",AVERAGE(AS961:AY961)*4)</x:f>
      </x:c>
      <x:c r="CH961" s="178" t="str">
        <x:f>IF(COUNT(AZ961:BG961)=0,"",AVERAGE(AZ961:BG961)*4)</x:f>
      </x:c>
      <x:c r="CI961" s="178" t="str">
        <x:f>IF(COUNT(BH961:BN961)=0,"",AVERAGE(BH961:BN961)*4)</x:f>
      </x:c>
      <x:c r="CJ961" s="178" t="str">
        <x:f>IF(COUNT(BO961:BU961)=0,"",AVERAGE(BO961:BU961)*4)</x:f>
      </x:c>
      <x:c r="CK961" s="178" t="str">
        <x:f>IF(COUNT(BV961:CB961)=0,"",AVERAGE(BV961:CB961)*4)</x:f>
      </x:c>
      <x:c r="CL961" s="178" t="str">
        <x:f>IF(C961="","",IF(COUNT(G961:CB961)&lt;74,"",(CC961*'تنظیمات وزن‌دهی'!$C$5+CD961*'تنظیمات وزن‌دهی'!$C$6+CE961*'تنظیمات وزن‌دهی'!$C$7+CF961*'تنظیمات وزن‌دهی'!$C$8+CG961*'تنظیمات وزن‌دهی'!$C$9+CH961*'تنظیمات وزن‌دهی'!$C$10+CI961*'تنظیمات وزن‌دهی'!$C$11+CJ961*'تنظیمات وزن‌دهی'!$C$12+CK961*'تنظیمات وزن‌دهی'!$C$13)/100))</x:f>
      </x:c>
      <x:c r="CM961" s="178" t="str">
        <x:f>IF(C961="","",IF(COUNT(G961:CB961)=0,"",IF(COUNT(G961:CB961)&lt;74,"موقت - اطلاعات ناقص",IF(CL961&gt;=17,"عالی",IF(CL961&gt;=14,"خوب",IF(CL961&gt;=10,"متوسط","ضعیف"))))))</x:f>
      </x:c>
      <x:c r="CN961" s="178" t="n">
        <x:v>9</x:v>
      </x:c>
      <x:c r="CO961" s="142" t="n">
        <x:f>IF(C961="","",COUNT(G961:CB961)/74)</x:f>
        <x:v>0</x:v>
      </x:c>
      <x:c r="CP961" s="245"/>
    </x:row>
    <x:row r="962">
      <x:c r="A962" s="165" t="n">
        <x:v>958</x:v>
      </x:c>
      <x:c r="B962" s="233" t="str">
        <x:v>فروردین</x:v>
      </x:c>
      <x:c r="C962" s="233" t="n">
        <x:f>IF('دانش‌آموزان'!E84="","",'دانش‌آموزان'!B84)</x:f>
        <x:v>80</x:v>
      </x:c>
      <x:c r="D962" s="233" t="str">
        <x:f>IF('دانش‌آموزان'!C84="","",'دانش‌آموزان'!C84)</x:f>
        <x:v>4000000802</x:v>
      </x:c>
      <x:c r="E962" s="233" t="str">
        <x:f>IF('دانش‌آموزان'!E84="","",'دانش‌آموزان'!E84&amp;" "&amp;'دانش‌آموزان'!F84)</x:f>
        <x:v>آوا کاظمی</x:v>
      </x:c>
      <x:c r="F962" s="166" t="str">
        <x:f>IF('دانش‌آموزان'!I84="","",'دانش‌آموزان'!I84)</x:f>
        <x:v>sample-7-d</x:v>
      </x:c>
      <x:c r="G962" s="114"/>
      <x:c r="H962" s="115"/>
      <x:c r="I962" s="115"/>
      <x:c r="J962" s="115"/>
      <x:c r="K962" s="115"/>
      <x:c r="L962" s="115"/>
      <x:c r="M962" s="115"/>
      <x:c r="N962" s="115"/>
      <x:c r="O962" s="115"/>
      <x:c r="P962" s="115"/>
      <x:c r="Q962" s="115"/>
      <x:c r="R962" s="115"/>
      <x:c r="S962" s="115"/>
      <x:c r="T962" s="115"/>
      <x:c r="U962" s="115"/>
      <x:c r="V962" s="115"/>
      <x:c r="W962" s="115"/>
      <x:c r="X962" s="115"/>
      <x:c r="Y962" s="115"/>
      <x:c r="Z962" s="115"/>
      <x:c r="AA962" s="115"/>
      <x:c r="AB962" s="115"/>
      <x:c r="AC962" s="115"/>
      <x:c r="AD962" s="115"/>
      <x:c r="AE962" s="115"/>
      <x:c r="AF962" s="115"/>
      <x:c r="AG962" s="115"/>
      <x:c r="AH962" s="115"/>
      <x:c r="AI962" s="115"/>
      <x:c r="AJ962" s="115"/>
      <x:c r="AK962" s="115"/>
      <x:c r="AL962" s="115"/>
      <x:c r="AM962" s="115"/>
      <x:c r="AN962" s="115"/>
      <x:c r="AO962" s="115"/>
      <x:c r="AP962" s="115"/>
      <x:c r="AQ962" s="115"/>
      <x:c r="AR962" s="115"/>
      <x:c r="AS962" s="115"/>
      <x:c r="AT962" s="115"/>
      <x:c r="AU962" s="115"/>
      <x:c r="AV962" s="115"/>
      <x:c r="AW962" s="115"/>
      <x:c r="AX962" s="115"/>
      <x:c r="AY962" s="115"/>
      <x:c r="AZ962" s="115"/>
      <x:c r="BA962" s="115"/>
      <x:c r="BB962" s="115"/>
      <x:c r="BC962" s="115"/>
      <x:c r="BD962" s="115"/>
      <x:c r="BE962" s="115"/>
      <x:c r="BF962" s="115"/>
      <x:c r="BG962" s="115"/>
      <x:c r="BH962" s="115"/>
      <x:c r="BI962" s="115"/>
      <x:c r="BJ962" s="115"/>
      <x:c r="BK962" s="115"/>
      <x:c r="BL962" s="115"/>
      <x:c r="BM962" s="115"/>
      <x:c r="BN962" s="115"/>
      <x:c r="BO962" s="115"/>
      <x:c r="BP962" s="115"/>
      <x:c r="BQ962" s="115"/>
      <x:c r="BR962" s="115"/>
      <x:c r="BS962" s="115"/>
      <x:c r="BT962" s="115"/>
      <x:c r="BU962" s="115"/>
      <x:c r="BV962" s="115"/>
      <x:c r="BW962" s="115"/>
      <x:c r="BX962" s="115"/>
      <x:c r="BY962" s="115"/>
      <x:c r="BZ962" s="115"/>
      <x:c r="CA962" s="115"/>
      <x:c r="CB962" s="116"/>
      <x:c r="CC962" s="141" t="str">
        <x:f>IF(COUNT(G962:P962)=0,"",AVERAGE(G962:P962)*4)</x:f>
      </x:c>
      <x:c r="CD962" s="178" t="str">
        <x:f>IF(COUNT(Q962:Z962)=0,"",AVERAGE(Q962:Z962)*4)</x:f>
      </x:c>
      <x:c r="CE962" s="178" t="str">
        <x:f>IF(COUNT(AA962:AJ962)=0,"",AVERAGE(AA962:AJ962)*4)</x:f>
      </x:c>
      <x:c r="CF962" s="178" t="str">
        <x:f>IF(COUNT(AK962:AR962)=0,"",AVERAGE(AK962:AR962)*4)</x:f>
      </x:c>
      <x:c r="CG962" s="178" t="str">
        <x:f>IF(COUNT(AS962:AY962)=0,"",AVERAGE(AS962:AY962)*4)</x:f>
      </x:c>
      <x:c r="CH962" s="178" t="str">
        <x:f>IF(COUNT(AZ962:BG962)=0,"",AVERAGE(AZ962:BG962)*4)</x:f>
      </x:c>
      <x:c r="CI962" s="178" t="str">
        <x:f>IF(COUNT(BH962:BN962)=0,"",AVERAGE(BH962:BN962)*4)</x:f>
      </x:c>
      <x:c r="CJ962" s="178" t="str">
        <x:f>IF(COUNT(BO962:BU962)=0,"",AVERAGE(BO962:BU962)*4)</x:f>
      </x:c>
      <x:c r="CK962" s="178" t="str">
        <x:f>IF(COUNT(BV962:CB962)=0,"",AVERAGE(BV962:CB962)*4)</x:f>
      </x:c>
      <x:c r="CL962" s="178" t="str">
        <x:f>IF(C962="","",IF(COUNT(G962:CB962)&lt;74,"",(CC962*'تنظیمات وزن‌دهی'!$C$5+CD962*'تنظیمات وزن‌دهی'!$C$6+CE962*'تنظیمات وزن‌دهی'!$C$7+CF962*'تنظیمات وزن‌دهی'!$C$8+CG962*'تنظیمات وزن‌دهی'!$C$9+CH962*'تنظیمات وزن‌دهی'!$C$10+CI962*'تنظیمات وزن‌دهی'!$C$11+CJ962*'تنظیمات وزن‌دهی'!$C$12+CK962*'تنظیمات وزن‌دهی'!$C$13)/100))</x:f>
      </x:c>
      <x:c r="CM962" s="178" t="str">
        <x:f>IF(C962="","",IF(COUNT(G962:CB962)=0,"",IF(COUNT(G962:CB962)&lt;74,"موقت - اطلاعات ناقص",IF(CL962&gt;=17,"عالی",IF(CL962&gt;=14,"خوب",IF(CL962&gt;=10,"متوسط","ضعیف"))))))</x:f>
      </x:c>
      <x:c r="CN962" s="178" t="n">
        <x:v>10</x:v>
      </x:c>
      <x:c r="CO962" s="142" t="n">
        <x:f>IF(C962="","",COUNT(G962:CB962)/74)</x:f>
        <x:v>0</x:v>
      </x:c>
      <x:c r="CP962" s="245"/>
    </x:row>
    <x:row r="963">
      <x:c r="A963" s="165" t="n">
        <x:v>959</x:v>
      </x:c>
      <x:c r="B963" s="233" t="str">
        <x:v>اردیبهشت</x:v>
      </x:c>
      <x:c r="C963" s="233" t="n">
        <x:f>IF('دانش‌آموزان'!E84="","",'دانش‌آموزان'!B84)</x:f>
        <x:v>80</x:v>
      </x:c>
      <x:c r="D963" s="233" t="str">
        <x:f>IF('دانش‌آموزان'!C84="","",'دانش‌آموزان'!C84)</x:f>
        <x:v>4000000802</x:v>
      </x:c>
      <x:c r="E963" s="233" t="str">
        <x:f>IF('دانش‌آموزان'!E84="","",'دانش‌آموزان'!E84&amp;" "&amp;'دانش‌آموزان'!F84)</x:f>
        <x:v>آوا کاظمی</x:v>
      </x:c>
      <x:c r="F963" s="166" t="str">
        <x:f>IF('دانش‌آموزان'!I84="","",'دانش‌آموزان'!I84)</x:f>
        <x:v>sample-7-d</x:v>
      </x:c>
      <x:c r="G963" s="114"/>
      <x:c r="H963" s="115"/>
      <x:c r="I963" s="115"/>
      <x:c r="J963" s="115"/>
      <x:c r="K963" s="115"/>
      <x:c r="L963" s="115"/>
      <x:c r="M963" s="115"/>
      <x:c r="N963" s="115"/>
      <x:c r="O963" s="115"/>
      <x:c r="P963" s="115"/>
      <x:c r="Q963" s="115"/>
      <x:c r="R963" s="115"/>
      <x:c r="S963" s="115"/>
      <x:c r="T963" s="115"/>
      <x:c r="U963" s="115"/>
      <x:c r="V963" s="115"/>
      <x:c r="W963" s="115"/>
      <x:c r="X963" s="115"/>
      <x:c r="Y963" s="115"/>
      <x:c r="Z963" s="115"/>
      <x:c r="AA963" s="115"/>
      <x:c r="AB963" s="115"/>
      <x:c r="AC963" s="115"/>
      <x:c r="AD963" s="115"/>
      <x:c r="AE963" s="115"/>
      <x:c r="AF963" s="115"/>
      <x:c r="AG963" s="115"/>
      <x:c r="AH963" s="115"/>
      <x:c r="AI963" s="115"/>
      <x:c r="AJ963" s="115"/>
      <x:c r="AK963" s="115"/>
      <x:c r="AL963" s="115"/>
      <x:c r="AM963" s="115"/>
      <x:c r="AN963" s="115"/>
      <x:c r="AO963" s="115"/>
      <x:c r="AP963" s="115"/>
      <x:c r="AQ963" s="115"/>
      <x:c r="AR963" s="115"/>
      <x:c r="AS963" s="115"/>
      <x:c r="AT963" s="115"/>
      <x:c r="AU963" s="115"/>
      <x:c r="AV963" s="115"/>
      <x:c r="AW963" s="115"/>
      <x:c r="AX963" s="115"/>
      <x:c r="AY963" s="115"/>
      <x:c r="AZ963" s="115"/>
      <x:c r="BA963" s="115"/>
      <x:c r="BB963" s="115"/>
      <x:c r="BC963" s="115"/>
      <x:c r="BD963" s="115"/>
      <x:c r="BE963" s="115"/>
      <x:c r="BF963" s="115"/>
      <x:c r="BG963" s="115"/>
      <x:c r="BH963" s="115"/>
      <x:c r="BI963" s="115"/>
      <x:c r="BJ963" s="115"/>
      <x:c r="BK963" s="115"/>
      <x:c r="BL963" s="115"/>
      <x:c r="BM963" s="115"/>
      <x:c r="BN963" s="115"/>
      <x:c r="BO963" s="115"/>
      <x:c r="BP963" s="115"/>
      <x:c r="BQ963" s="115"/>
      <x:c r="BR963" s="115"/>
      <x:c r="BS963" s="115"/>
      <x:c r="BT963" s="115"/>
      <x:c r="BU963" s="115"/>
      <x:c r="BV963" s="115"/>
      <x:c r="BW963" s="115"/>
      <x:c r="BX963" s="115"/>
      <x:c r="BY963" s="115"/>
      <x:c r="BZ963" s="115"/>
      <x:c r="CA963" s="115"/>
      <x:c r="CB963" s="116"/>
      <x:c r="CC963" s="141" t="str">
        <x:f>IF(COUNT(G963:P963)=0,"",AVERAGE(G963:P963)*4)</x:f>
      </x:c>
      <x:c r="CD963" s="178" t="str">
        <x:f>IF(COUNT(Q963:Z963)=0,"",AVERAGE(Q963:Z963)*4)</x:f>
      </x:c>
      <x:c r="CE963" s="178" t="str">
        <x:f>IF(COUNT(AA963:AJ963)=0,"",AVERAGE(AA963:AJ963)*4)</x:f>
      </x:c>
      <x:c r="CF963" s="178" t="str">
        <x:f>IF(COUNT(AK963:AR963)=0,"",AVERAGE(AK963:AR963)*4)</x:f>
      </x:c>
      <x:c r="CG963" s="178" t="str">
        <x:f>IF(COUNT(AS963:AY963)=0,"",AVERAGE(AS963:AY963)*4)</x:f>
      </x:c>
      <x:c r="CH963" s="178" t="str">
        <x:f>IF(COUNT(AZ963:BG963)=0,"",AVERAGE(AZ963:BG963)*4)</x:f>
      </x:c>
      <x:c r="CI963" s="178" t="str">
        <x:f>IF(COUNT(BH963:BN963)=0,"",AVERAGE(BH963:BN963)*4)</x:f>
      </x:c>
      <x:c r="CJ963" s="178" t="str">
        <x:f>IF(COUNT(BO963:BU963)=0,"",AVERAGE(BO963:BU963)*4)</x:f>
      </x:c>
      <x:c r="CK963" s="178" t="str">
        <x:f>IF(COUNT(BV963:CB963)=0,"",AVERAGE(BV963:CB963)*4)</x:f>
      </x:c>
      <x:c r="CL963" s="178" t="str">
        <x:f>IF(C963="","",IF(COUNT(G963:CB963)&lt;74,"",(CC963*'تنظیمات وزن‌دهی'!$C$5+CD963*'تنظیمات وزن‌دهی'!$C$6+CE963*'تنظیمات وزن‌دهی'!$C$7+CF963*'تنظیمات وزن‌دهی'!$C$8+CG963*'تنظیمات وزن‌دهی'!$C$9+CH963*'تنظیمات وزن‌دهی'!$C$10+CI963*'تنظیمات وزن‌دهی'!$C$11+CJ963*'تنظیمات وزن‌دهی'!$C$12+CK963*'تنظیمات وزن‌دهی'!$C$13)/100))</x:f>
      </x:c>
      <x:c r="CM963" s="178" t="str">
        <x:f>IF(C963="","",IF(COUNT(G963:CB963)=0,"",IF(COUNT(G963:CB963)&lt;74,"موقت - اطلاعات ناقص",IF(CL963&gt;=17,"عالی",IF(CL963&gt;=14,"خوب",IF(CL963&gt;=10,"متوسط","ضعیف"))))))</x:f>
      </x:c>
      <x:c r="CN963" s="178" t="n">
        <x:v>11</x:v>
      </x:c>
      <x:c r="CO963" s="142" t="n">
        <x:f>IF(C963="","",COUNT(G963:CB963)/74)</x:f>
        <x:v>0</x:v>
      </x:c>
      <x:c r="CP963" s="245"/>
    </x:row>
    <x:row r="964">
      <x:c r="A964" s="165" t="n">
        <x:v>960</x:v>
      </x:c>
      <x:c r="B964" s="233" t="str">
        <x:v>خرداد</x:v>
      </x:c>
      <x:c r="C964" s="233" t="n">
        <x:f>IF('دانش‌آموزان'!E84="","",'دانش‌آموزان'!B84)</x:f>
        <x:v>80</x:v>
      </x:c>
      <x:c r="D964" s="233" t="str">
        <x:f>IF('دانش‌آموزان'!C84="","",'دانش‌آموزان'!C84)</x:f>
        <x:v>4000000802</x:v>
      </x:c>
      <x:c r="E964" s="233" t="str">
        <x:f>IF('دانش‌آموزان'!E84="","",'دانش‌آموزان'!E84&amp;" "&amp;'دانش‌آموزان'!F84)</x:f>
        <x:v>آوا کاظمی</x:v>
      </x:c>
      <x:c r="F964" s="166" t="str">
        <x:f>IF('دانش‌آموزان'!I84="","",'دانش‌آموزان'!I84)</x:f>
        <x:v>sample-7-d</x:v>
      </x:c>
      <x:c r="G964" s="114"/>
      <x:c r="H964" s="115"/>
      <x:c r="I964" s="115"/>
      <x:c r="J964" s="115"/>
      <x:c r="K964" s="115"/>
      <x:c r="L964" s="115"/>
      <x:c r="M964" s="115"/>
      <x:c r="N964" s="115"/>
      <x:c r="O964" s="115"/>
      <x:c r="P964" s="115"/>
      <x:c r="Q964" s="115"/>
      <x:c r="R964" s="115"/>
      <x:c r="S964" s="115"/>
      <x:c r="T964" s="115"/>
      <x:c r="U964" s="115"/>
      <x:c r="V964" s="115"/>
      <x:c r="W964" s="115"/>
      <x:c r="X964" s="115"/>
      <x:c r="Y964" s="115"/>
      <x:c r="Z964" s="115"/>
      <x:c r="AA964" s="115"/>
      <x:c r="AB964" s="115"/>
      <x:c r="AC964" s="115"/>
      <x:c r="AD964" s="115"/>
      <x:c r="AE964" s="115"/>
      <x:c r="AF964" s="115"/>
      <x:c r="AG964" s="115"/>
      <x:c r="AH964" s="115"/>
      <x:c r="AI964" s="115"/>
      <x:c r="AJ964" s="115"/>
      <x:c r="AK964" s="115"/>
      <x:c r="AL964" s="115"/>
      <x:c r="AM964" s="115"/>
      <x:c r="AN964" s="115"/>
      <x:c r="AO964" s="115"/>
      <x:c r="AP964" s="115"/>
      <x:c r="AQ964" s="115"/>
      <x:c r="AR964" s="115"/>
      <x:c r="AS964" s="115"/>
      <x:c r="AT964" s="115"/>
      <x:c r="AU964" s="115"/>
      <x:c r="AV964" s="115"/>
      <x:c r="AW964" s="115"/>
      <x:c r="AX964" s="115"/>
      <x:c r="AY964" s="115"/>
      <x:c r="AZ964" s="115"/>
      <x:c r="BA964" s="115"/>
      <x:c r="BB964" s="115"/>
      <x:c r="BC964" s="115"/>
      <x:c r="BD964" s="115"/>
      <x:c r="BE964" s="115"/>
      <x:c r="BF964" s="115"/>
      <x:c r="BG964" s="115"/>
      <x:c r="BH964" s="115"/>
      <x:c r="BI964" s="115"/>
      <x:c r="BJ964" s="115"/>
      <x:c r="BK964" s="115"/>
      <x:c r="BL964" s="115"/>
      <x:c r="BM964" s="115"/>
      <x:c r="BN964" s="115"/>
      <x:c r="BO964" s="115"/>
      <x:c r="BP964" s="115"/>
      <x:c r="BQ964" s="115"/>
      <x:c r="BR964" s="115"/>
      <x:c r="BS964" s="115"/>
      <x:c r="BT964" s="115"/>
      <x:c r="BU964" s="115"/>
      <x:c r="BV964" s="115"/>
      <x:c r="BW964" s="115"/>
      <x:c r="BX964" s="115"/>
      <x:c r="BY964" s="115"/>
      <x:c r="BZ964" s="115"/>
      <x:c r="CA964" s="115"/>
      <x:c r="CB964" s="116"/>
      <x:c r="CC964" s="141" t="str">
        <x:f>IF(COUNT(G964:P964)=0,"",AVERAGE(G964:P964)*4)</x:f>
      </x:c>
      <x:c r="CD964" s="178" t="str">
        <x:f>IF(COUNT(Q964:Z964)=0,"",AVERAGE(Q964:Z964)*4)</x:f>
      </x:c>
      <x:c r="CE964" s="178" t="str">
        <x:f>IF(COUNT(AA964:AJ964)=0,"",AVERAGE(AA964:AJ964)*4)</x:f>
      </x:c>
      <x:c r="CF964" s="178" t="str">
        <x:f>IF(COUNT(AK964:AR964)=0,"",AVERAGE(AK964:AR964)*4)</x:f>
      </x:c>
      <x:c r="CG964" s="178" t="str">
        <x:f>IF(COUNT(AS964:AY964)=0,"",AVERAGE(AS964:AY964)*4)</x:f>
      </x:c>
      <x:c r="CH964" s="178" t="str">
        <x:f>IF(COUNT(AZ964:BG964)=0,"",AVERAGE(AZ964:BG964)*4)</x:f>
      </x:c>
      <x:c r="CI964" s="178" t="str">
        <x:f>IF(COUNT(BH964:BN964)=0,"",AVERAGE(BH964:BN964)*4)</x:f>
      </x:c>
      <x:c r="CJ964" s="178" t="str">
        <x:f>IF(COUNT(BO964:BU964)=0,"",AVERAGE(BO964:BU964)*4)</x:f>
      </x:c>
      <x:c r="CK964" s="178" t="str">
        <x:f>IF(COUNT(BV964:CB964)=0,"",AVERAGE(BV964:CB964)*4)</x:f>
      </x:c>
      <x:c r="CL964" s="178" t="str">
        <x:f>IF(C964="","",IF(COUNT(G964:CB964)&lt;74,"",(CC964*'تنظیمات وزن‌دهی'!$C$5+CD964*'تنظیمات وزن‌دهی'!$C$6+CE964*'تنظیمات وزن‌دهی'!$C$7+CF964*'تنظیمات وزن‌دهی'!$C$8+CG964*'تنظیمات وزن‌دهی'!$C$9+CH964*'تنظیمات وزن‌دهی'!$C$10+CI964*'تنظیمات وزن‌دهی'!$C$11+CJ964*'تنظیمات وزن‌دهی'!$C$12+CK964*'تنظیمات وزن‌دهی'!$C$13)/100))</x:f>
      </x:c>
      <x:c r="CM964" s="178" t="str">
        <x:f>IF(C964="","",IF(COUNT(G964:CB964)=0,"",IF(COUNT(G964:CB964)&lt;74,"موقت - اطلاعات ناقص",IF(CL964&gt;=17,"عالی",IF(CL964&gt;=14,"خوب",IF(CL964&gt;=10,"متوسط","ضعیف"))))))</x:f>
      </x:c>
      <x:c r="CN964" s="178" t="n">
        <x:v>12</x:v>
      </x:c>
      <x:c r="CO964" s="142" t="n">
        <x:f>IF(C964="","",COUNT(G964:CB964)/74)</x:f>
        <x:v>0</x:v>
      </x:c>
      <x:c r="CP964" s="245"/>
    </x:row>
    <x:row r="965">
      <x:c r="A965" s="165" t="n">
        <x:v>961</x:v>
      </x:c>
      <x:c r="B965" s="233" t="str">
        <x:v>تیر</x:v>
      </x:c>
      <x:c r="C965" s="233" t="n">
        <x:f>IF('دانش‌آموزان'!E85="","",'دانش‌آموزان'!B85)</x:f>
        <x:v>81</x:v>
      </x:c>
      <x:c r="D965" s="233" t="str">
        <x:f>IF('دانش‌آموزان'!C85="","",'دانش‌آموزان'!C85)</x:f>
        <x:v>4000000810</x:v>
      </x:c>
      <x:c r="E965" s="233" t="str">
        <x:f>IF('دانش‌آموزان'!E85="","",'دانش‌آموزان'!E85&amp;" "&amp;'دانش‌آموزان'!F85)</x:f>
        <x:v>علی احمدی</x:v>
      </x:c>
      <x:c r="F965" s="166" t="str">
        <x:f>IF('دانش‌آموزان'!I85="","",'دانش‌آموزان'!I85)</x:f>
        <x:v>sample-7-d</x:v>
      </x:c>
      <x:c r="G965" s="114" t="n">
        <x:v>5</x:v>
      </x:c>
      <x:c r="H965" s="115" t="n">
        <x:v>3</x:v>
      </x:c>
      <x:c r="I965" s="115" t="n">
        <x:v>5</x:v>
      </x:c>
      <x:c r="J965" s="115" t="n">
        <x:v>3</x:v>
      </x:c>
      <x:c r="K965" s="115" t="n">
        <x:v>4</x:v>
      </x:c>
      <x:c r="L965" s="115" t="n">
        <x:v>3</x:v>
      </x:c>
      <x:c r="M965" s="115" t="n">
        <x:v>4</x:v>
      </x:c>
      <x:c r="N965" s="115" t="n">
        <x:v>2</x:v>
      </x:c>
      <x:c r="O965" s="115" t="n">
        <x:v>4</x:v>
      </x:c>
      <x:c r="P965" s="115" t="n">
        <x:v>5</x:v>
      </x:c>
      <x:c r="Q965" s="115" t="n">
        <x:v>4</x:v>
      </x:c>
      <x:c r="R965" s="115" t="n">
        <x:v>5</x:v>
      </x:c>
      <x:c r="S965" s="115" t="n">
        <x:v>3</x:v>
      </x:c>
      <x:c r="T965" s="115" t="n">
        <x:v>5</x:v>
      </x:c>
      <x:c r="U965" s="115" t="n">
        <x:v>3</x:v>
      </x:c>
      <x:c r="V965" s="115" t="n">
        <x:v>4</x:v>
      </x:c>
      <x:c r="W965" s="115" t="n">
        <x:v>3</x:v>
      </x:c>
      <x:c r="X965" s="115" t="n">
        <x:v>4</x:v>
      </x:c>
      <x:c r="Y965" s="115" t="n">
        <x:v>2</x:v>
      </x:c>
      <x:c r="Z965" s="115" t="n">
        <x:v>4</x:v>
      </x:c>
      <x:c r="AA965" s="115" t="n">
        <x:v>5</x:v>
      </x:c>
      <x:c r="AB965" s="115" t="n">
        <x:v>4</x:v>
      </x:c>
      <x:c r="AC965" s="115" t="n">
        <x:v>5</x:v>
      </x:c>
      <x:c r="AD965" s="115" t="n">
        <x:v>3</x:v>
      </x:c>
      <x:c r="AE965" s="115" t="n">
        <x:v>5</x:v>
      </x:c>
      <x:c r="AF965" s="115" t="n">
        <x:v>3</x:v>
      </x:c>
      <x:c r="AG965" s="115" t="n">
        <x:v>4</x:v>
      </x:c>
      <x:c r="AH965" s="115" t="n">
        <x:v>3</x:v>
      </x:c>
      <x:c r="AI965" s="115" t="n">
        <x:v>4</x:v>
      </x:c>
      <x:c r="AJ965" s="115" t="n">
        <x:v>2</x:v>
      </x:c>
      <x:c r="AK965" s="115" t="n">
        <x:v>4</x:v>
      </x:c>
      <x:c r="AL965" s="115" t="n">
        <x:v>5</x:v>
      </x:c>
      <x:c r="AM965" s="115" t="n">
        <x:v>4</x:v>
      </x:c>
      <x:c r="AN965" s="115" t="n">
        <x:v>5</x:v>
      </x:c>
      <x:c r="AO965" s="115" t="n">
        <x:v>3</x:v>
      </x:c>
      <x:c r="AP965" s="115" t="n">
        <x:v>5</x:v>
      </x:c>
      <x:c r="AQ965" s="115" t="n">
        <x:v>3</x:v>
      </x:c>
      <x:c r="AR965" s="115" t="n">
        <x:v>4</x:v>
      </x:c>
      <x:c r="AS965" s="115" t="n">
        <x:v>3</x:v>
      </x:c>
      <x:c r="AT965" s="115" t="n">
        <x:v>4</x:v>
      </x:c>
      <x:c r="AU965" s="115" t="n">
        <x:v>2</x:v>
      </x:c>
      <x:c r="AV965" s="115" t="n">
        <x:v>4</x:v>
      </x:c>
      <x:c r="AW965" s="115" t="n">
        <x:v>5</x:v>
      </x:c>
      <x:c r="AX965" s="115" t="n">
        <x:v>4</x:v>
      </x:c>
      <x:c r="AY965" s="115" t="n">
        <x:v>5</x:v>
      </x:c>
      <x:c r="AZ965" s="115" t="n">
        <x:v>3</x:v>
      </x:c>
      <x:c r="BA965" s="115" t="n">
        <x:v>5</x:v>
      </x:c>
      <x:c r="BB965" s="115" t="n">
        <x:v>3</x:v>
      </x:c>
      <x:c r="BC965" s="115" t="n">
        <x:v>4</x:v>
      </x:c>
      <x:c r="BD965" s="115" t="n">
        <x:v>3</x:v>
      </x:c>
      <x:c r="BE965" s="115" t="n">
        <x:v>4</x:v>
      </x:c>
      <x:c r="BF965" s="115" t="n">
        <x:v>2</x:v>
      </x:c>
      <x:c r="BG965" s="115" t="n">
        <x:v>4</x:v>
      </x:c>
      <x:c r="BH965" s="115" t="n">
        <x:v>5</x:v>
      </x:c>
      <x:c r="BI965" s="115" t="n">
        <x:v>4</x:v>
      </x:c>
      <x:c r="BJ965" s="115" t="n">
        <x:v>5</x:v>
      </x:c>
      <x:c r="BK965" s="115" t="n">
        <x:v>3</x:v>
      </x:c>
      <x:c r="BL965" s="115" t="n">
        <x:v>5</x:v>
      </x:c>
      <x:c r="BM965" s="115" t="n">
        <x:v>3</x:v>
      </x:c>
      <x:c r="BN965" s="115" t="n">
        <x:v>4</x:v>
      </x:c>
      <x:c r="BO965" s="115" t="n">
        <x:v>3</x:v>
      </x:c>
      <x:c r="BP965" s="115" t="n">
        <x:v>4</x:v>
      </x:c>
      <x:c r="BQ965" s="115" t="n">
        <x:v>2</x:v>
      </x:c>
      <x:c r="BR965" s="115" t="n">
        <x:v>4</x:v>
      </x:c>
      <x:c r="BS965" s="115" t="n">
        <x:v>5</x:v>
      </x:c>
      <x:c r="BT965" s="115" t="n">
        <x:v>4</x:v>
      </x:c>
      <x:c r="BU965" s="115" t="n">
        <x:v>5</x:v>
      </x:c>
      <x:c r="BV965" s="115" t="n">
        <x:v>3</x:v>
      </x:c>
      <x:c r="BW965" s="115" t="n">
        <x:v>5</x:v>
      </x:c>
      <x:c r="BX965" s="115" t="n">
        <x:v>3</x:v>
      </x:c>
      <x:c r="BY965" s="115" t="n">
        <x:v>4</x:v>
      </x:c>
      <x:c r="BZ965" s="115" t="n">
        <x:v>3</x:v>
      </x:c>
      <x:c r="CA965" s="115" t="n">
        <x:v>4</x:v>
      </x:c>
      <x:c r="CB965" s="116" t="n">
        <x:v>2</x:v>
      </x:c>
      <x:c r="CC965" s="141" t="n">
        <x:f>IF(COUNT(G965:P965)=0,"",AVERAGE(G965:P965)*4)</x:f>
        <x:v>15.2</x:v>
      </x:c>
      <x:c r="CD965" s="178" t="n">
        <x:f>IF(COUNT(Q965:Z965)=0,"",AVERAGE(Q965:Z965)*4)</x:f>
        <x:v>14.8</x:v>
      </x:c>
      <x:c r="CE965" s="178" t="n">
        <x:f>IF(COUNT(AA965:AJ965)=0,"",AVERAGE(AA965:AJ965)*4)</x:f>
        <x:v>15.2</x:v>
      </x:c>
      <x:c r="CF965" s="178" t="n">
        <x:f>IF(COUNT(AK965:AR965)=0,"",AVERAGE(AK965:AR965)*4)</x:f>
        <x:v>16.5</x:v>
      </x:c>
      <x:c r="CG965" s="178" t="n">
        <x:f>IF(COUNT(AS965:AY965)=0,"",AVERAGE(AS965:AY965)*4)</x:f>
        <x:v>15.428571428571429</x:v>
      </x:c>
      <x:c r="CH965" s="178" t="n">
        <x:f>IF(COUNT(AZ965:BG965)=0,"",AVERAGE(AZ965:BG965)*4)</x:f>
        <x:v>14</x:v>
      </x:c>
      <x:c r="CI965" s="178" t="n">
        <x:f>IF(COUNT(BH965:BN965)=0,"",AVERAGE(BH965:BN965)*4)</x:f>
        <x:v>16.571428571428573</x:v>
      </x:c>
      <x:c r="CJ965" s="178" t="n">
        <x:f>IF(COUNT(BO965:BU965)=0,"",AVERAGE(BO965:BU965)*4)</x:f>
        <x:v>15.428571428571429</x:v>
      </x:c>
      <x:c r="CK965" s="178" t="n">
        <x:f>IF(COUNT(BV965:CB965)=0,"",AVERAGE(BV965:CB965)*4)</x:f>
        <x:v>13.714285714285714</x:v>
      </x:c>
      <x:c r="CL965" s="178" t="n">
        <x:f>IF(C965="","",IF(COUNT(G965:CB965)&lt;74,"",(CC965*'تنظیمات وزن‌دهی'!$C$5+CD965*'تنظیمات وزن‌دهی'!$C$6+CE965*'تنظیمات وزن‌دهی'!$C$7+CF965*'تنظیمات وزن‌دهی'!$C$8+CG965*'تنظیمات وزن‌دهی'!$C$9+CH965*'تنظیمات وزن‌دهی'!$C$10+CI965*'تنظیمات وزن‌دهی'!$C$11+CJ965*'تنظیمات وزن‌دهی'!$C$12+CK965*'تنظیمات وزن‌دهی'!$C$13)/100))</x:f>
        <x:v>15.260714285714286</x:v>
      </x:c>
      <x:c r="CM965" s="178" t="str">
        <x:f>IF(C965="","",IF(COUNT(G965:CB965)=0,"",IF(COUNT(G965:CB965)&lt;74,"موقت - اطلاعات ناقص",IF(CL965&gt;=17,"عالی",IF(CL965&gt;=14,"خوب",IF(CL965&gt;=10,"متوسط","ضعیف"))))))</x:f>
        <x:v>خوب</x:v>
      </x:c>
      <x:c r="CN965" s="178" t="n">
        <x:v>1</x:v>
      </x:c>
      <x:c r="CO965" s="142" t="n">
        <x:f>IF(C965="","",COUNT(G965:CB965)/74)</x:f>
        <x:v>1</x:v>
      </x:c>
      <x:c r="CP965" s="245" t="str">
        <x:v>داده نمونه کامل برای ماه تیر - دانش‌آموز شماره 81</x:v>
      </x:c>
    </x:row>
    <x:row r="966">
      <x:c r="A966" s="165" t="n">
        <x:v>962</x:v>
      </x:c>
      <x:c r="B966" s="233" t="str">
        <x:v>مرداد</x:v>
      </x:c>
      <x:c r="C966" s="233" t="n">
        <x:f>IF('دانش‌آموزان'!E85="","",'دانش‌آموزان'!B85)</x:f>
        <x:v>81</x:v>
      </x:c>
      <x:c r="D966" s="233" t="str">
        <x:f>IF('دانش‌آموزان'!C85="","",'دانش‌آموزان'!C85)</x:f>
        <x:v>4000000810</x:v>
      </x:c>
      <x:c r="E966" s="233" t="str">
        <x:f>IF('دانش‌آموزان'!E85="","",'دانش‌آموزان'!E85&amp;" "&amp;'دانش‌آموزان'!F85)</x:f>
        <x:v>علی احمدی</x:v>
      </x:c>
      <x:c r="F966" s="166" t="str">
        <x:f>IF('دانش‌آموزان'!I85="","",'دانش‌آموزان'!I85)</x:f>
        <x:v>sample-7-d</x:v>
      </x:c>
      <x:c r="G966" s="114"/>
      <x:c r="H966" s="115"/>
      <x:c r="I966" s="115"/>
      <x:c r="J966" s="115"/>
      <x:c r="K966" s="115"/>
      <x:c r="L966" s="115"/>
      <x:c r="M966" s="115"/>
      <x:c r="N966" s="115"/>
      <x:c r="O966" s="115"/>
      <x:c r="P966" s="115"/>
      <x:c r="Q966" s="115"/>
      <x:c r="R966" s="115"/>
      <x:c r="S966" s="115"/>
      <x:c r="T966" s="115"/>
      <x:c r="U966" s="115"/>
      <x:c r="V966" s="115"/>
      <x:c r="W966" s="115"/>
      <x:c r="X966" s="115"/>
      <x:c r="Y966" s="115"/>
      <x:c r="Z966" s="115"/>
      <x:c r="AA966" s="115"/>
      <x:c r="AB966" s="115"/>
      <x:c r="AC966" s="115"/>
      <x:c r="AD966" s="115"/>
      <x:c r="AE966" s="115"/>
      <x:c r="AF966" s="115"/>
      <x:c r="AG966" s="115"/>
      <x:c r="AH966" s="115"/>
      <x:c r="AI966" s="115"/>
      <x:c r="AJ966" s="115"/>
      <x:c r="AK966" s="115"/>
      <x:c r="AL966" s="115"/>
      <x:c r="AM966" s="115"/>
      <x:c r="AN966" s="115"/>
      <x:c r="AO966" s="115"/>
      <x:c r="AP966" s="115"/>
      <x:c r="AQ966" s="115"/>
      <x:c r="AR966" s="115"/>
      <x:c r="AS966" s="115"/>
      <x:c r="AT966" s="115"/>
      <x:c r="AU966" s="115"/>
      <x:c r="AV966" s="115"/>
      <x:c r="AW966" s="115"/>
      <x:c r="AX966" s="115"/>
      <x:c r="AY966" s="115"/>
      <x:c r="AZ966" s="115"/>
      <x:c r="BA966" s="115"/>
      <x:c r="BB966" s="115"/>
      <x:c r="BC966" s="115"/>
      <x:c r="BD966" s="115"/>
      <x:c r="BE966" s="115"/>
      <x:c r="BF966" s="115"/>
      <x:c r="BG966" s="115"/>
      <x:c r="BH966" s="115"/>
      <x:c r="BI966" s="115"/>
      <x:c r="BJ966" s="115"/>
      <x:c r="BK966" s="115"/>
      <x:c r="BL966" s="115"/>
      <x:c r="BM966" s="115"/>
      <x:c r="BN966" s="115"/>
      <x:c r="BO966" s="115"/>
      <x:c r="BP966" s="115"/>
      <x:c r="BQ966" s="115"/>
      <x:c r="BR966" s="115"/>
      <x:c r="BS966" s="115"/>
      <x:c r="BT966" s="115"/>
      <x:c r="BU966" s="115"/>
      <x:c r="BV966" s="115"/>
      <x:c r="BW966" s="115"/>
      <x:c r="BX966" s="115"/>
      <x:c r="BY966" s="115"/>
      <x:c r="BZ966" s="115"/>
      <x:c r="CA966" s="115"/>
      <x:c r="CB966" s="116"/>
      <x:c r="CC966" s="141" t="str">
        <x:f>IF(COUNT(G966:P966)=0,"",AVERAGE(G966:P966)*4)</x:f>
      </x:c>
      <x:c r="CD966" s="178" t="str">
        <x:f>IF(COUNT(Q966:Z966)=0,"",AVERAGE(Q966:Z966)*4)</x:f>
      </x:c>
      <x:c r="CE966" s="178" t="str">
        <x:f>IF(COUNT(AA966:AJ966)=0,"",AVERAGE(AA966:AJ966)*4)</x:f>
      </x:c>
      <x:c r="CF966" s="178" t="str">
        <x:f>IF(COUNT(AK966:AR966)=0,"",AVERAGE(AK966:AR966)*4)</x:f>
      </x:c>
      <x:c r="CG966" s="178" t="str">
        <x:f>IF(COUNT(AS966:AY966)=0,"",AVERAGE(AS966:AY966)*4)</x:f>
      </x:c>
      <x:c r="CH966" s="178" t="str">
        <x:f>IF(COUNT(AZ966:BG966)=0,"",AVERAGE(AZ966:BG966)*4)</x:f>
      </x:c>
      <x:c r="CI966" s="178" t="str">
        <x:f>IF(COUNT(BH966:BN966)=0,"",AVERAGE(BH966:BN966)*4)</x:f>
      </x:c>
      <x:c r="CJ966" s="178" t="str">
        <x:f>IF(COUNT(BO966:BU966)=0,"",AVERAGE(BO966:BU966)*4)</x:f>
      </x:c>
      <x:c r="CK966" s="178" t="str">
        <x:f>IF(COUNT(BV966:CB966)=0,"",AVERAGE(BV966:CB966)*4)</x:f>
      </x:c>
      <x:c r="CL966" s="178" t="str">
        <x:f>IF(C966="","",IF(COUNT(G966:CB966)&lt;74,"",(CC966*'تنظیمات وزن‌دهی'!$C$5+CD966*'تنظیمات وزن‌دهی'!$C$6+CE966*'تنظیمات وزن‌دهی'!$C$7+CF966*'تنظیمات وزن‌دهی'!$C$8+CG966*'تنظیمات وزن‌دهی'!$C$9+CH966*'تنظیمات وزن‌دهی'!$C$10+CI966*'تنظیمات وزن‌دهی'!$C$11+CJ966*'تنظیمات وزن‌دهی'!$C$12+CK966*'تنظیمات وزن‌دهی'!$C$13)/100))</x:f>
      </x:c>
      <x:c r="CM966" s="178" t="str">
        <x:f>IF(C966="","",IF(COUNT(G966:CB966)=0,"",IF(COUNT(G966:CB966)&lt;74,"موقت - اطلاعات ناقص",IF(CL966&gt;=17,"عالی",IF(CL966&gt;=14,"خوب",IF(CL966&gt;=10,"متوسط","ضعیف"))))))</x:f>
      </x:c>
      <x:c r="CN966" s="178" t="n">
        <x:v>2</x:v>
      </x:c>
      <x:c r="CO966" s="142" t="n">
        <x:f>IF(C966="","",COUNT(G966:CB966)/74)</x:f>
        <x:v>0</x:v>
      </x:c>
      <x:c r="CP966" s="245"/>
    </x:row>
    <x:row r="967">
      <x:c r="A967" s="165" t="n">
        <x:v>963</x:v>
      </x:c>
      <x:c r="B967" s="233" t="str">
        <x:v>شهریور</x:v>
      </x:c>
      <x:c r="C967" s="233" t="n">
        <x:f>IF('دانش‌آموزان'!E85="","",'دانش‌آموزان'!B85)</x:f>
        <x:v>81</x:v>
      </x:c>
      <x:c r="D967" s="233" t="str">
        <x:f>IF('دانش‌آموزان'!C85="","",'دانش‌آموزان'!C85)</x:f>
        <x:v>4000000810</x:v>
      </x:c>
      <x:c r="E967" s="233" t="str">
        <x:f>IF('دانش‌آموزان'!E85="","",'دانش‌آموزان'!E85&amp;" "&amp;'دانش‌آموزان'!F85)</x:f>
        <x:v>علی احمدی</x:v>
      </x:c>
      <x:c r="F967" s="166" t="str">
        <x:f>IF('دانش‌آموزان'!I85="","",'دانش‌آموزان'!I85)</x:f>
        <x:v>sample-7-d</x:v>
      </x:c>
      <x:c r="G967" s="114"/>
      <x:c r="H967" s="115"/>
      <x:c r="I967" s="115"/>
      <x:c r="J967" s="115"/>
      <x:c r="K967" s="115"/>
      <x:c r="L967" s="115"/>
      <x:c r="M967" s="115"/>
      <x:c r="N967" s="115"/>
      <x:c r="O967" s="115"/>
      <x:c r="P967" s="115"/>
      <x:c r="Q967" s="115"/>
      <x:c r="R967" s="115"/>
      <x:c r="S967" s="115"/>
      <x:c r="T967" s="115"/>
      <x:c r="U967" s="115"/>
      <x:c r="V967" s="115"/>
      <x:c r="W967" s="115"/>
      <x:c r="X967" s="115"/>
      <x:c r="Y967" s="115"/>
      <x:c r="Z967" s="115"/>
      <x:c r="AA967" s="115"/>
      <x:c r="AB967" s="115"/>
      <x:c r="AC967" s="115"/>
      <x:c r="AD967" s="115"/>
      <x:c r="AE967" s="115"/>
      <x:c r="AF967" s="115"/>
      <x:c r="AG967" s="115"/>
      <x:c r="AH967" s="115"/>
      <x:c r="AI967" s="115"/>
      <x:c r="AJ967" s="115"/>
      <x:c r="AK967" s="115"/>
      <x:c r="AL967" s="115"/>
      <x:c r="AM967" s="115"/>
      <x:c r="AN967" s="115"/>
      <x:c r="AO967" s="115"/>
      <x:c r="AP967" s="115"/>
      <x:c r="AQ967" s="115"/>
      <x:c r="AR967" s="115"/>
      <x:c r="AS967" s="115"/>
      <x:c r="AT967" s="115"/>
      <x:c r="AU967" s="115"/>
      <x:c r="AV967" s="115"/>
      <x:c r="AW967" s="115"/>
      <x:c r="AX967" s="115"/>
      <x:c r="AY967" s="115"/>
      <x:c r="AZ967" s="115"/>
      <x:c r="BA967" s="115"/>
      <x:c r="BB967" s="115"/>
      <x:c r="BC967" s="115"/>
      <x:c r="BD967" s="115"/>
      <x:c r="BE967" s="115"/>
      <x:c r="BF967" s="115"/>
      <x:c r="BG967" s="115"/>
      <x:c r="BH967" s="115"/>
      <x:c r="BI967" s="115"/>
      <x:c r="BJ967" s="115"/>
      <x:c r="BK967" s="115"/>
      <x:c r="BL967" s="115"/>
      <x:c r="BM967" s="115"/>
      <x:c r="BN967" s="115"/>
      <x:c r="BO967" s="115"/>
      <x:c r="BP967" s="115"/>
      <x:c r="BQ967" s="115"/>
      <x:c r="BR967" s="115"/>
      <x:c r="BS967" s="115"/>
      <x:c r="BT967" s="115"/>
      <x:c r="BU967" s="115"/>
      <x:c r="BV967" s="115"/>
      <x:c r="BW967" s="115"/>
      <x:c r="BX967" s="115"/>
      <x:c r="BY967" s="115"/>
      <x:c r="BZ967" s="115"/>
      <x:c r="CA967" s="115"/>
      <x:c r="CB967" s="116"/>
      <x:c r="CC967" s="141" t="str">
        <x:f>IF(COUNT(G967:P967)=0,"",AVERAGE(G967:P967)*4)</x:f>
      </x:c>
      <x:c r="CD967" s="178" t="str">
        <x:f>IF(COUNT(Q967:Z967)=0,"",AVERAGE(Q967:Z967)*4)</x:f>
      </x:c>
      <x:c r="CE967" s="178" t="str">
        <x:f>IF(COUNT(AA967:AJ967)=0,"",AVERAGE(AA967:AJ967)*4)</x:f>
      </x:c>
      <x:c r="CF967" s="178" t="str">
        <x:f>IF(COUNT(AK967:AR967)=0,"",AVERAGE(AK967:AR967)*4)</x:f>
      </x:c>
      <x:c r="CG967" s="178" t="str">
        <x:f>IF(COUNT(AS967:AY967)=0,"",AVERAGE(AS967:AY967)*4)</x:f>
      </x:c>
      <x:c r="CH967" s="178" t="str">
        <x:f>IF(COUNT(AZ967:BG967)=0,"",AVERAGE(AZ967:BG967)*4)</x:f>
      </x:c>
      <x:c r="CI967" s="178" t="str">
        <x:f>IF(COUNT(BH967:BN967)=0,"",AVERAGE(BH967:BN967)*4)</x:f>
      </x:c>
      <x:c r="CJ967" s="178" t="str">
        <x:f>IF(COUNT(BO967:BU967)=0,"",AVERAGE(BO967:BU967)*4)</x:f>
      </x:c>
      <x:c r="CK967" s="178" t="str">
        <x:f>IF(COUNT(BV967:CB967)=0,"",AVERAGE(BV967:CB967)*4)</x:f>
      </x:c>
      <x:c r="CL967" s="178" t="str">
        <x:f>IF(C967="","",IF(COUNT(G967:CB967)&lt;74,"",(CC967*'تنظیمات وزن‌دهی'!$C$5+CD967*'تنظیمات وزن‌دهی'!$C$6+CE967*'تنظیمات وزن‌دهی'!$C$7+CF967*'تنظیمات وزن‌دهی'!$C$8+CG967*'تنظیمات وزن‌دهی'!$C$9+CH967*'تنظیمات وزن‌دهی'!$C$10+CI967*'تنظیمات وزن‌دهی'!$C$11+CJ967*'تنظیمات وزن‌دهی'!$C$12+CK967*'تنظیمات وزن‌دهی'!$C$13)/100))</x:f>
      </x:c>
      <x:c r="CM967" s="178" t="str">
        <x:f>IF(C967="","",IF(COUNT(G967:CB967)=0,"",IF(COUNT(G967:CB967)&lt;74,"موقت - اطلاعات ناقص",IF(CL967&gt;=17,"عالی",IF(CL967&gt;=14,"خوب",IF(CL967&gt;=10,"متوسط","ضعیف"))))))</x:f>
      </x:c>
      <x:c r="CN967" s="178" t="n">
        <x:v>3</x:v>
      </x:c>
      <x:c r="CO967" s="142" t="n">
        <x:f>IF(C967="","",COUNT(G967:CB967)/74)</x:f>
        <x:v>0</x:v>
      </x:c>
      <x:c r="CP967" s="245"/>
    </x:row>
    <x:row r="968">
      <x:c r="A968" s="165" t="n">
        <x:v>964</x:v>
      </x:c>
      <x:c r="B968" s="233" t="str">
        <x:v>مهر</x:v>
      </x:c>
      <x:c r="C968" s="233" t="n">
        <x:f>IF('دانش‌آموزان'!E85="","",'دانش‌آموزان'!B85)</x:f>
        <x:v>81</x:v>
      </x:c>
      <x:c r="D968" s="233" t="str">
        <x:f>IF('دانش‌آموزان'!C85="","",'دانش‌آموزان'!C85)</x:f>
        <x:v>4000000810</x:v>
      </x:c>
      <x:c r="E968" s="233" t="str">
        <x:f>IF('دانش‌آموزان'!E85="","",'دانش‌آموزان'!E85&amp;" "&amp;'دانش‌آموزان'!F85)</x:f>
        <x:v>علی احمدی</x:v>
      </x:c>
      <x:c r="F968" s="166" t="str">
        <x:f>IF('دانش‌آموزان'!I85="","",'دانش‌آموزان'!I85)</x:f>
        <x:v>sample-7-d</x:v>
      </x:c>
      <x:c r="G968" s="114"/>
      <x:c r="H968" s="115"/>
      <x:c r="I968" s="115"/>
      <x:c r="J968" s="115"/>
      <x:c r="K968" s="115"/>
      <x:c r="L968" s="115"/>
      <x:c r="M968" s="115"/>
      <x:c r="N968" s="115"/>
      <x:c r="O968" s="115"/>
      <x:c r="P968" s="115"/>
      <x:c r="Q968" s="115"/>
      <x:c r="R968" s="115"/>
      <x:c r="S968" s="115"/>
      <x:c r="T968" s="115"/>
      <x:c r="U968" s="115"/>
      <x:c r="V968" s="115"/>
      <x:c r="W968" s="115"/>
      <x:c r="X968" s="115"/>
      <x:c r="Y968" s="115"/>
      <x:c r="Z968" s="115"/>
      <x:c r="AA968" s="115"/>
      <x:c r="AB968" s="115"/>
      <x:c r="AC968" s="115"/>
      <x:c r="AD968" s="115"/>
      <x:c r="AE968" s="115"/>
      <x:c r="AF968" s="115"/>
      <x:c r="AG968" s="115"/>
      <x:c r="AH968" s="115"/>
      <x:c r="AI968" s="115"/>
      <x:c r="AJ968" s="115"/>
      <x:c r="AK968" s="115"/>
      <x:c r="AL968" s="115"/>
      <x:c r="AM968" s="115"/>
      <x:c r="AN968" s="115"/>
      <x:c r="AO968" s="115"/>
      <x:c r="AP968" s="115"/>
      <x:c r="AQ968" s="115"/>
      <x:c r="AR968" s="115"/>
      <x:c r="AS968" s="115"/>
      <x:c r="AT968" s="115"/>
      <x:c r="AU968" s="115"/>
      <x:c r="AV968" s="115"/>
      <x:c r="AW968" s="115"/>
      <x:c r="AX968" s="115"/>
      <x:c r="AY968" s="115"/>
      <x:c r="AZ968" s="115"/>
      <x:c r="BA968" s="115"/>
      <x:c r="BB968" s="115"/>
      <x:c r="BC968" s="115"/>
      <x:c r="BD968" s="115"/>
      <x:c r="BE968" s="115"/>
      <x:c r="BF968" s="115"/>
      <x:c r="BG968" s="115"/>
      <x:c r="BH968" s="115"/>
      <x:c r="BI968" s="115"/>
      <x:c r="BJ968" s="115"/>
      <x:c r="BK968" s="115"/>
      <x:c r="BL968" s="115"/>
      <x:c r="BM968" s="115"/>
      <x:c r="BN968" s="115"/>
      <x:c r="BO968" s="115"/>
      <x:c r="BP968" s="115"/>
      <x:c r="BQ968" s="115"/>
      <x:c r="BR968" s="115"/>
      <x:c r="BS968" s="115"/>
      <x:c r="BT968" s="115"/>
      <x:c r="BU968" s="115"/>
      <x:c r="BV968" s="115"/>
      <x:c r="BW968" s="115"/>
      <x:c r="BX968" s="115"/>
      <x:c r="BY968" s="115"/>
      <x:c r="BZ968" s="115"/>
      <x:c r="CA968" s="115"/>
      <x:c r="CB968" s="116"/>
      <x:c r="CC968" s="141" t="str">
        <x:f>IF(COUNT(G968:P968)=0,"",AVERAGE(G968:P968)*4)</x:f>
      </x:c>
      <x:c r="CD968" s="178" t="str">
        <x:f>IF(COUNT(Q968:Z968)=0,"",AVERAGE(Q968:Z968)*4)</x:f>
      </x:c>
      <x:c r="CE968" s="178" t="str">
        <x:f>IF(COUNT(AA968:AJ968)=0,"",AVERAGE(AA968:AJ968)*4)</x:f>
      </x:c>
      <x:c r="CF968" s="178" t="str">
        <x:f>IF(COUNT(AK968:AR968)=0,"",AVERAGE(AK968:AR968)*4)</x:f>
      </x:c>
      <x:c r="CG968" s="178" t="str">
        <x:f>IF(COUNT(AS968:AY968)=0,"",AVERAGE(AS968:AY968)*4)</x:f>
      </x:c>
      <x:c r="CH968" s="178" t="str">
        <x:f>IF(COUNT(AZ968:BG968)=0,"",AVERAGE(AZ968:BG968)*4)</x:f>
      </x:c>
      <x:c r="CI968" s="178" t="str">
        <x:f>IF(COUNT(BH968:BN968)=0,"",AVERAGE(BH968:BN968)*4)</x:f>
      </x:c>
      <x:c r="CJ968" s="178" t="str">
        <x:f>IF(COUNT(BO968:BU968)=0,"",AVERAGE(BO968:BU968)*4)</x:f>
      </x:c>
      <x:c r="CK968" s="178" t="str">
        <x:f>IF(COUNT(BV968:CB968)=0,"",AVERAGE(BV968:CB968)*4)</x:f>
      </x:c>
      <x:c r="CL968" s="178" t="str">
        <x:f>IF(C968="","",IF(COUNT(G968:CB968)&lt;74,"",(CC968*'تنظیمات وزن‌دهی'!$C$5+CD968*'تنظیمات وزن‌دهی'!$C$6+CE968*'تنظیمات وزن‌دهی'!$C$7+CF968*'تنظیمات وزن‌دهی'!$C$8+CG968*'تنظیمات وزن‌دهی'!$C$9+CH968*'تنظیمات وزن‌دهی'!$C$10+CI968*'تنظیمات وزن‌دهی'!$C$11+CJ968*'تنظیمات وزن‌دهی'!$C$12+CK968*'تنظیمات وزن‌دهی'!$C$13)/100))</x:f>
      </x:c>
      <x:c r="CM968" s="178" t="str">
        <x:f>IF(C968="","",IF(COUNT(G968:CB968)=0,"",IF(COUNT(G968:CB968)&lt;74,"موقت - اطلاعات ناقص",IF(CL968&gt;=17,"عالی",IF(CL968&gt;=14,"خوب",IF(CL968&gt;=10,"متوسط","ضعیف"))))))</x:f>
      </x:c>
      <x:c r="CN968" s="178" t="n">
        <x:v>4</x:v>
      </x:c>
      <x:c r="CO968" s="142" t="n">
        <x:f>IF(C968="","",COUNT(G968:CB968)/74)</x:f>
        <x:v>0</x:v>
      </x:c>
      <x:c r="CP968" s="245"/>
    </x:row>
    <x:row r="969">
      <x:c r="A969" s="165" t="n">
        <x:v>965</x:v>
      </x:c>
      <x:c r="B969" s="233" t="str">
        <x:v>آبان</x:v>
      </x:c>
      <x:c r="C969" s="233" t="n">
        <x:f>IF('دانش‌آموزان'!E85="","",'دانش‌آموزان'!B85)</x:f>
        <x:v>81</x:v>
      </x:c>
      <x:c r="D969" s="233" t="str">
        <x:f>IF('دانش‌آموزان'!C85="","",'دانش‌آموزان'!C85)</x:f>
        <x:v>4000000810</x:v>
      </x:c>
      <x:c r="E969" s="233" t="str">
        <x:f>IF('دانش‌آموزان'!E85="","",'دانش‌آموزان'!E85&amp;" "&amp;'دانش‌آموزان'!F85)</x:f>
        <x:v>علی احمدی</x:v>
      </x:c>
      <x:c r="F969" s="166" t="str">
        <x:f>IF('دانش‌آموزان'!I85="","",'دانش‌آموزان'!I85)</x:f>
        <x:v>sample-7-d</x:v>
      </x:c>
      <x:c r="G969" s="114"/>
      <x:c r="H969" s="115"/>
      <x:c r="I969" s="115"/>
      <x:c r="J969" s="115"/>
      <x:c r="K969" s="115"/>
      <x:c r="L969" s="115"/>
      <x:c r="M969" s="115"/>
      <x:c r="N969" s="115"/>
      <x:c r="O969" s="115"/>
      <x:c r="P969" s="115"/>
      <x:c r="Q969" s="115"/>
      <x:c r="R969" s="115"/>
      <x:c r="S969" s="115"/>
      <x:c r="T969" s="115"/>
      <x:c r="U969" s="115"/>
      <x:c r="V969" s="115"/>
      <x:c r="W969" s="115"/>
      <x:c r="X969" s="115"/>
      <x:c r="Y969" s="115"/>
      <x:c r="Z969" s="115"/>
      <x:c r="AA969" s="115"/>
      <x:c r="AB969" s="115"/>
      <x:c r="AC969" s="115"/>
      <x:c r="AD969" s="115"/>
      <x:c r="AE969" s="115"/>
      <x:c r="AF969" s="115"/>
      <x:c r="AG969" s="115"/>
      <x:c r="AH969" s="115"/>
      <x:c r="AI969" s="115"/>
      <x:c r="AJ969" s="115"/>
      <x:c r="AK969" s="115"/>
      <x:c r="AL969" s="115"/>
      <x:c r="AM969" s="115"/>
      <x:c r="AN969" s="115"/>
      <x:c r="AO969" s="115"/>
      <x:c r="AP969" s="115"/>
      <x:c r="AQ969" s="115"/>
      <x:c r="AR969" s="115"/>
      <x:c r="AS969" s="115"/>
      <x:c r="AT969" s="115"/>
      <x:c r="AU969" s="115"/>
      <x:c r="AV969" s="115"/>
      <x:c r="AW969" s="115"/>
      <x:c r="AX969" s="115"/>
      <x:c r="AY969" s="115"/>
      <x:c r="AZ969" s="115"/>
      <x:c r="BA969" s="115"/>
      <x:c r="BB969" s="115"/>
      <x:c r="BC969" s="115"/>
      <x:c r="BD969" s="115"/>
      <x:c r="BE969" s="115"/>
      <x:c r="BF969" s="115"/>
      <x:c r="BG969" s="115"/>
      <x:c r="BH969" s="115"/>
      <x:c r="BI969" s="115"/>
      <x:c r="BJ969" s="115"/>
      <x:c r="BK969" s="115"/>
      <x:c r="BL969" s="115"/>
      <x:c r="BM969" s="115"/>
      <x:c r="BN969" s="115"/>
      <x:c r="BO969" s="115"/>
      <x:c r="BP969" s="115"/>
      <x:c r="BQ969" s="115"/>
      <x:c r="BR969" s="115"/>
      <x:c r="BS969" s="115"/>
      <x:c r="BT969" s="115"/>
      <x:c r="BU969" s="115"/>
      <x:c r="BV969" s="115"/>
      <x:c r="BW969" s="115"/>
      <x:c r="BX969" s="115"/>
      <x:c r="BY969" s="115"/>
      <x:c r="BZ969" s="115"/>
      <x:c r="CA969" s="115"/>
      <x:c r="CB969" s="116"/>
      <x:c r="CC969" s="141" t="str">
        <x:f>IF(COUNT(G969:P969)=0,"",AVERAGE(G969:P969)*4)</x:f>
      </x:c>
      <x:c r="CD969" s="178" t="str">
        <x:f>IF(COUNT(Q969:Z969)=0,"",AVERAGE(Q969:Z969)*4)</x:f>
      </x:c>
      <x:c r="CE969" s="178" t="str">
        <x:f>IF(COUNT(AA969:AJ969)=0,"",AVERAGE(AA969:AJ969)*4)</x:f>
      </x:c>
      <x:c r="CF969" s="178" t="str">
        <x:f>IF(COUNT(AK969:AR969)=0,"",AVERAGE(AK969:AR969)*4)</x:f>
      </x:c>
      <x:c r="CG969" s="178" t="str">
        <x:f>IF(COUNT(AS969:AY969)=0,"",AVERAGE(AS969:AY969)*4)</x:f>
      </x:c>
      <x:c r="CH969" s="178" t="str">
        <x:f>IF(COUNT(AZ969:BG969)=0,"",AVERAGE(AZ969:BG969)*4)</x:f>
      </x:c>
      <x:c r="CI969" s="178" t="str">
        <x:f>IF(COUNT(BH969:BN969)=0,"",AVERAGE(BH969:BN969)*4)</x:f>
      </x:c>
      <x:c r="CJ969" s="178" t="str">
        <x:f>IF(COUNT(BO969:BU969)=0,"",AVERAGE(BO969:BU969)*4)</x:f>
      </x:c>
      <x:c r="CK969" s="178" t="str">
        <x:f>IF(COUNT(BV969:CB969)=0,"",AVERAGE(BV969:CB969)*4)</x:f>
      </x:c>
      <x:c r="CL969" s="178" t="str">
        <x:f>IF(C969="","",IF(COUNT(G969:CB969)&lt;74,"",(CC969*'تنظیمات وزن‌دهی'!$C$5+CD969*'تنظیمات وزن‌دهی'!$C$6+CE969*'تنظیمات وزن‌دهی'!$C$7+CF969*'تنظیمات وزن‌دهی'!$C$8+CG969*'تنظیمات وزن‌دهی'!$C$9+CH969*'تنظیمات وزن‌دهی'!$C$10+CI969*'تنظیمات وزن‌دهی'!$C$11+CJ969*'تنظیمات وزن‌دهی'!$C$12+CK969*'تنظیمات وزن‌دهی'!$C$13)/100))</x:f>
      </x:c>
      <x:c r="CM969" s="178" t="str">
        <x:f>IF(C969="","",IF(COUNT(G969:CB969)=0,"",IF(COUNT(G969:CB969)&lt;74,"موقت - اطلاعات ناقص",IF(CL969&gt;=17,"عالی",IF(CL969&gt;=14,"خوب",IF(CL969&gt;=10,"متوسط","ضعیف"))))))</x:f>
      </x:c>
      <x:c r="CN969" s="178" t="n">
        <x:v>5</x:v>
      </x:c>
      <x:c r="CO969" s="142" t="n">
        <x:f>IF(C969="","",COUNT(G969:CB969)/74)</x:f>
        <x:v>0</x:v>
      </x:c>
      <x:c r="CP969" s="245"/>
    </x:row>
    <x:row r="970">
      <x:c r="A970" s="165" t="n">
        <x:v>966</x:v>
      </x:c>
      <x:c r="B970" s="233" t="str">
        <x:v>آذر</x:v>
      </x:c>
      <x:c r="C970" s="233" t="n">
        <x:f>IF('دانش‌آموزان'!E85="","",'دانش‌آموزان'!B85)</x:f>
        <x:v>81</x:v>
      </x:c>
      <x:c r="D970" s="233" t="str">
        <x:f>IF('دانش‌آموزان'!C85="","",'دانش‌آموزان'!C85)</x:f>
        <x:v>4000000810</x:v>
      </x:c>
      <x:c r="E970" s="233" t="str">
        <x:f>IF('دانش‌آموزان'!E85="","",'دانش‌آموزان'!E85&amp;" "&amp;'دانش‌آموزان'!F85)</x:f>
        <x:v>علی احمدی</x:v>
      </x:c>
      <x:c r="F970" s="166" t="str">
        <x:f>IF('دانش‌آموزان'!I85="","",'دانش‌آموزان'!I85)</x:f>
        <x:v>sample-7-d</x:v>
      </x:c>
      <x:c r="G970" s="114"/>
      <x:c r="H970" s="115"/>
      <x:c r="I970" s="115"/>
      <x:c r="J970" s="115"/>
      <x:c r="K970" s="115"/>
      <x:c r="L970" s="115"/>
      <x:c r="M970" s="115"/>
      <x:c r="N970" s="115"/>
      <x:c r="O970" s="115"/>
      <x:c r="P970" s="115"/>
      <x:c r="Q970" s="115"/>
      <x:c r="R970" s="115"/>
      <x:c r="S970" s="115"/>
      <x:c r="T970" s="115"/>
      <x:c r="U970" s="115"/>
      <x:c r="V970" s="115"/>
      <x:c r="W970" s="115"/>
      <x:c r="X970" s="115"/>
      <x:c r="Y970" s="115"/>
      <x:c r="Z970" s="115"/>
      <x:c r="AA970" s="115"/>
      <x:c r="AB970" s="115"/>
      <x:c r="AC970" s="115"/>
      <x:c r="AD970" s="115"/>
      <x:c r="AE970" s="115"/>
      <x:c r="AF970" s="115"/>
      <x:c r="AG970" s="115"/>
      <x:c r="AH970" s="115"/>
      <x:c r="AI970" s="115"/>
      <x:c r="AJ970" s="115"/>
      <x:c r="AK970" s="115"/>
      <x:c r="AL970" s="115"/>
      <x:c r="AM970" s="115"/>
      <x:c r="AN970" s="115"/>
      <x:c r="AO970" s="115"/>
      <x:c r="AP970" s="115"/>
      <x:c r="AQ970" s="115"/>
      <x:c r="AR970" s="115"/>
      <x:c r="AS970" s="115"/>
      <x:c r="AT970" s="115"/>
      <x:c r="AU970" s="115"/>
      <x:c r="AV970" s="115"/>
      <x:c r="AW970" s="115"/>
      <x:c r="AX970" s="115"/>
      <x:c r="AY970" s="115"/>
      <x:c r="AZ970" s="115"/>
      <x:c r="BA970" s="115"/>
      <x:c r="BB970" s="115"/>
      <x:c r="BC970" s="115"/>
      <x:c r="BD970" s="115"/>
      <x:c r="BE970" s="115"/>
      <x:c r="BF970" s="115"/>
      <x:c r="BG970" s="115"/>
      <x:c r="BH970" s="115"/>
      <x:c r="BI970" s="115"/>
      <x:c r="BJ970" s="115"/>
      <x:c r="BK970" s="115"/>
      <x:c r="BL970" s="115"/>
      <x:c r="BM970" s="115"/>
      <x:c r="BN970" s="115"/>
      <x:c r="BO970" s="115"/>
      <x:c r="BP970" s="115"/>
      <x:c r="BQ970" s="115"/>
      <x:c r="BR970" s="115"/>
      <x:c r="BS970" s="115"/>
      <x:c r="BT970" s="115"/>
      <x:c r="BU970" s="115"/>
      <x:c r="BV970" s="115"/>
      <x:c r="BW970" s="115"/>
      <x:c r="BX970" s="115"/>
      <x:c r="BY970" s="115"/>
      <x:c r="BZ970" s="115"/>
      <x:c r="CA970" s="115"/>
      <x:c r="CB970" s="116"/>
      <x:c r="CC970" s="141" t="str">
        <x:f>IF(COUNT(G970:P970)=0,"",AVERAGE(G970:P970)*4)</x:f>
      </x:c>
      <x:c r="CD970" s="178" t="str">
        <x:f>IF(COUNT(Q970:Z970)=0,"",AVERAGE(Q970:Z970)*4)</x:f>
      </x:c>
      <x:c r="CE970" s="178" t="str">
        <x:f>IF(COUNT(AA970:AJ970)=0,"",AVERAGE(AA970:AJ970)*4)</x:f>
      </x:c>
      <x:c r="CF970" s="178" t="str">
        <x:f>IF(COUNT(AK970:AR970)=0,"",AVERAGE(AK970:AR970)*4)</x:f>
      </x:c>
      <x:c r="CG970" s="178" t="str">
        <x:f>IF(COUNT(AS970:AY970)=0,"",AVERAGE(AS970:AY970)*4)</x:f>
      </x:c>
      <x:c r="CH970" s="178" t="str">
        <x:f>IF(COUNT(AZ970:BG970)=0,"",AVERAGE(AZ970:BG970)*4)</x:f>
      </x:c>
      <x:c r="CI970" s="178" t="str">
        <x:f>IF(COUNT(BH970:BN970)=0,"",AVERAGE(BH970:BN970)*4)</x:f>
      </x:c>
      <x:c r="CJ970" s="178" t="str">
        <x:f>IF(COUNT(BO970:BU970)=0,"",AVERAGE(BO970:BU970)*4)</x:f>
      </x:c>
      <x:c r="CK970" s="178" t="str">
        <x:f>IF(COUNT(BV970:CB970)=0,"",AVERAGE(BV970:CB970)*4)</x:f>
      </x:c>
      <x:c r="CL970" s="178" t="str">
        <x:f>IF(C970="","",IF(COUNT(G970:CB970)&lt;74,"",(CC970*'تنظیمات وزن‌دهی'!$C$5+CD970*'تنظیمات وزن‌دهی'!$C$6+CE970*'تنظیمات وزن‌دهی'!$C$7+CF970*'تنظیمات وزن‌دهی'!$C$8+CG970*'تنظیمات وزن‌دهی'!$C$9+CH970*'تنظیمات وزن‌دهی'!$C$10+CI970*'تنظیمات وزن‌دهی'!$C$11+CJ970*'تنظیمات وزن‌دهی'!$C$12+CK970*'تنظیمات وزن‌دهی'!$C$13)/100))</x:f>
      </x:c>
      <x:c r="CM970" s="178" t="str">
        <x:f>IF(C970="","",IF(COUNT(G970:CB970)=0,"",IF(COUNT(G970:CB970)&lt;74,"موقت - اطلاعات ناقص",IF(CL970&gt;=17,"عالی",IF(CL970&gt;=14,"خوب",IF(CL970&gt;=10,"متوسط","ضعیف"))))))</x:f>
      </x:c>
      <x:c r="CN970" s="178" t="n">
        <x:v>6</x:v>
      </x:c>
      <x:c r="CO970" s="142" t="n">
        <x:f>IF(C970="","",COUNT(G970:CB970)/74)</x:f>
        <x:v>0</x:v>
      </x:c>
      <x:c r="CP970" s="245"/>
    </x:row>
    <x:row r="971">
      <x:c r="A971" s="165" t="n">
        <x:v>967</x:v>
      </x:c>
      <x:c r="B971" s="233" t="str">
        <x:v>دی</x:v>
      </x:c>
      <x:c r="C971" s="233" t="n">
        <x:f>IF('دانش‌آموزان'!E85="","",'دانش‌آموزان'!B85)</x:f>
        <x:v>81</x:v>
      </x:c>
      <x:c r="D971" s="233" t="str">
        <x:f>IF('دانش‌آموزان'!C85="","",'دانش‌آموزان'!C85)</x:f>
        <x:v>4000000810</x:v>
      </x:c>
      <x:c r="E971" s="233" t="str">
        <x:f>IF('دانش‌آموزان'!E85="","",'دانش‌آموزان'!E85&amp;" "&amp;'دانش‌آموزان'!F85)</x:f>
        <x:v>علی احمدی</x:v>
      </x:c>
      <x:c r="F971" s="166" t="str">
        <x:f>IF('دانش‌آموزان'!I85="","",'دانش‌آموزان'!I85)</x:f>
        <x:v>sample-7-d</x:v>
      </x:c>
      <x:c r="G971" s="114"/>
      <x:c r="H971" s="115"/>
      <x:c r="I971" s="115"/>
      <x:c r="J971" s="115"/>
      <x:c r="K971" s="115"/>
      <x:c r="L971" s="115"/>
      <x:c r="M971" s="115"/>
      <x:c r="N971" s="115"/>
      <x:c r="O971" s="115"/>
      <x:c r="P971" s="115"/>
      <x:c r="Q971" s="115"/>
      <x:c r="R971" s="115"/>
      <x:c r="S971" s="115"/>
      <x:c r="T971" s="115"/>
      <x:c r="U971" s="115"/>
      <x:c r="V971" s="115"/>
      <x:c r="W971" s="115"/>
      <x:c r="X971" s="115"/>
      <x:c r="Y971" s="115"/>
      <x:c r="Z971" s="115"/>
      <x:c r="AA971" s="115"/>
      <x:c r="AB971" s="115"/>
      <x:c r="AC971" s="115"/>
      <x:c r="AD971" s="115"/>
      <x:c r="AE971" s="115"/>
      <x:c r="AF971" s="115"/>
      <x:c r="AG971" s="115"/>
      <x:c r="AH971" s="115"/>
      <x:c r="AI971" s="115"/>
      <x:c r="AJ971" s="115"/>
      <x:c r="AK971" s="115"/>
      <x:c r="AL971" s="115"/>
      <x:c r="AM971" s="115"/>
      <x:c r="AN971" s="115"/>
      <x:c r="AO971" s="115"/>
      <x:c r="AP971" s="115"/>
      <x:c r="AQ971" s="115"/>
      <x:c r="AR971" s="115"/>
      <x:c r="AS971" s="115"/>
      <x:c r="AT971" s="115"/>
      <x:c r="AU971" s="115"/>
      <x:c r="AV971" s="115"/>
      <x:c r="AW971" s="115"/>
      <x:c r="AX971" s="115"/>
      <x:c r="AY971" s="115"/>
      <x:c r="AZ971" s="115"/>
      <x:c r="BA971" s="115"/>
      <x:c r="BB971" s="115"/>
      <x:c r="BC971" s="115"/>
      <x:c r="BD971" s="115"/>
      <x:c r="BE971" s="115"/>
      <x:c r="BF971" s="115"/>
      <x:c r="BG971" s="115"/>
      <x:c r="BH971" s="115"/>
      <x:c r="BI971" s="115"/>
      <x:c r="BJ971" s="115"/>
      <x:c r="BK971" s="115"/>
      <x:c r="BL971" s="115"/>
      <x:c r="BM971" s="115"/>
      <x:c r="BN971" s="115"/>
      <x:c r="BO971" s="115"/>
      <x:c r="BP971" s="115"/>
      <x:c r="BQ971" s="115"/>
      <x:c r="BR971" s="115"/>
      <x:c r="BS971" s="115"/>
      <x:c r="BT971" s="115"/>
      <x:c r="BU971" s="115"/>
      <x:c r="BV971" s="115"/>
      <x:c r="BW971" s="115"/>
      <x:c r="BX971" s="115"/>
      <x:c r="BY971" s="115"/>
      <x:c r="BZ971" s="115"/>
      <x:c r="CA971" s="115"/>
      <x:c r="CB971" s="116"/>
      <x:c r="CC971" s="141" t="str">
        <x:f>IF(COUNT(G971:P971)=0,"",AVERAGE(G971:P971)*4)</x:f>
      </x:c>
      <x:c r="CD971" s="178" t="str">
        <x:f>IF(COUNT(Q971:Z971)=0,"",AVERAGE(Q971:Z971)*4)</x:f>
      </x:c>
      <x:c r="CE971" s="178" t="str">
        <x:f>IF(COUNT(AA971:AJ971)=0,"",AVERAGE(AA971:AJ971)*4)</x:f>
      </x:c>
      <x:c r="CF971" s="178" t="str">
        <x:f>IF(COUNT(AK971:AR971)=0,"",AVERAGE(AK971:AR971)*4)</x:f>
      </x:c>
      <x:c r="CG971" s="178" t="str">
        <x:f>IF(COUNT(AS971:AY971)=0,"",AVERAGE(AS971:AY971)*4)</x:f>
      </x:c>
      <x:c r="CH971" s="178" t="str">
        <x:f>IF(COUNT(AZ971:BG971)=0,"",AVERAGE(AZ971:BG971)*4)</x:f>
      </x:c>
      <x:c r="CI971" s="178" t="str">
        <x:f>IF(COUNT(BH971:BN971)=0,"",AVERAGE(BH971:BN971)*4)</x:f>
      </x:c>
      <x:c r="CJ971" s="178" t="str">
        <x:f>IF(COUNT(BO971:BU971)=0,"",AVERAGE(BO971:BU971)*4)</x:f>
      </x:c>
      <x:c r="CK971" s="178" t="str">
        <x:f>IF(COUNT(BV971:CB971)=0,"",AVERAGE(BV971:CB971)*4)</x:f>
      </x:c>
      <x:c r="CL971" s="178" t="str">
        <x:f>IF(C971="","",IF(COUNT(G971:CB971)&lt;74,"",(CC971*'تنظیمات وزن‌دهی'!$C$5+CD971*'تنظیمات وزن‌دهی'!$C$6+CE971*'تنظیمات وزن‌دهی'!$C$7+CF971*'تنظیمات وزن‌دهی'!$C$8+CG971*'تنظیمات وزن‌دهی'!$C$9+CH971*'تنظیمات وزن‌دهی'!$C$10+CI971*'تنظیمات وزن‌دهی'!$C$11+CJ971*'تنظیمات وزن‌دهی'!$C$12+CK971*'تنظیمات وزن‌دهی'!$C$13)/100))</x:f>
      </x:c>
      <x:c r="CM971" s="178" t="str">
        <x:f>IF(C971="","",IF(COUNT(G971:CB971)=0,"",IF(COUNT(G971:CB971)&lt;74,"موقت - اطلاعات ناقص",IF(CL971&gt;=17,"عالی",IF(CL971&gt;=14,"خوب",IF(CL971&gt;=10,"متوسط","ضعیف"))))))</x:f>
      </x:c>
      <x:c r="CN971" s="178" t="n">
        <x:v>7</x:v>
      </x:c>
      <x:c r="CO971" s="142" t="n">
        <x:f>IF(C971="","",COUNT(G971:CB971)/74)</x:f>
        <x:v>0</x:v>
      </x:c>
      <x:c r="CP971" s="245"/>
    </x:row>
    <x:row r="972">
      <x:c r="A972" s="165" t="n">
        <x:v>968</x:v>
      </x:c>
      <x:c r="B972" s="233" t="str">
        <x:v>بهمن</x:v>
      </x:c>
      <x:c r="C972" s="233" t="n">
        <x:f>IF('دانش‌آموزان'!E85="","",'دانش‌آموزان'!B85)</x:f>
        <x:v>81</x:v>
      </x:c>
      <x:c r="D972" s="233" t="str">
        <x:f>IF('دانش‌آموزان'!C85="","",'دانش‌آموزان'!C85)</x:f>
        <x:v>4000000810</x:v>
      </x:c>
      <x:c r="E972" s="233" t="str">
        <x:f>IF('دانش‌آموزان'!E85="","",'دانش‌آموزان'!E85&amp;" "&amp;'دانش‌آموزان'!F85)</x:f>
        <x:v>علی احمدی</x:v>
      </x:c>
      <x:c r="F972" s="166" t="str">
        <x:f>IF('دانش‌آموزان'!I85="","",'دانش‌آموزان'!I85)</x:f>
        <x:v>sample-7-d</x:v>
      </x:c>
      <x:c r="G972" s="114"/>
      <x:c r="H972" s="115"/>
      <x:c r="I972" s="115"/>
      <x:c r="J972" s="115"/>
      <x:c r="K972" s="115"/>
      <x:c r="L972" s="115"/>
      <x:c r="M972" s="115"/>
      <x:c r="N972" s="115"/>
      <x:c r="O972" s="115"/>
      <x:c r="P972" s="115"/>
      <x:c r="Q972" s="115"/>
      <x:c r="R972" s="115"/>
      <x:c r="S972" s="115"/>
      <x:c r="T972" s="115"/>
      <x:c r="U972" s="115"/>
      <x:c r="V972" s="115"/>
      <x:c r="W972" s="115"/>
      <x:c r="X972" s="115"/>
      <x:c r="Y972" s="115"/>
      <x:c r="Z972" s="115"/>
      <x:c r="AA972" s="115"/>
      <x:c r="AB972" s="115"/>
      <x:c r="AC972" s="115"/>
      <x:c r="AD972" s="115"/>
      <x:c r="AE972" s="115"/>
      <x:c r="AF972" s="115"/>
      <x:c r="AG972" s="115"/>
      <x:c r="AH972" s="115"/>
      <x:c r="AI972" s="115"/>
      <x:c r="AJ972" s="115"/>
      <x:c r="AK972" s="115"/>
      <x:c r="AL972" s="115"/>
      <x:c r="AM972" s="115"/>
      <x:c r="AN972" s="115"/>
      <x:c r="AO972" s="115"/>
      <x:c r="AP972" s="115"/>
      <x:c r="AQ972" s="115"/>
      <x:c r="AR972" s="115"/>
      <x:c r="AS972" s="115"/>
      <x:c r="AT972" s="115"/>
      <x:c r="AU972" s="115"/>
      <x:c r="AV972" s="115"/>
      <x:c r="AW972" s="115"/>
      <x:c r="AX972" s="115"/>
      <x:c r="AY972" s="115"/>
      <x:c r="AZ972" s="115"/>
      <x:c r="BA972" s="115"/>
      <x:c r="BB972" s="115"/>
      <x:c r="BC972" s="115"/>
      <x:c r="BD972" s="115"/>
      <x:c r="BE972" s="115"/>
      <x:c r="BF972" s="115"/>
      <x:c r="BG972" s="115"/>
      <x:c r="BH972" s="115"/>
      <x:c r="BI972" s="115"/>
      <x:c r="BJ972" s="115"/>
      <x:c r="BK972" s="115"/>
      <x:c r="BL972" s="115"/>
      <x:c r="BM972" s="115"/>
      <x:c r="BN972" s="115"/>
      <x:c r="BO972" s="115"/>
      <x:c r="BP972" s="115"/>
      <x:c r="BQ972" s="115"/>
      <x:c r="BR972" s="115"/>
      <x:c r="BS972" s="115"/>
      <x:c r="BT972" s="115"/>
      <x:c r="BU972" s="115"/>
      <x:c r="BV972" s="115"/>
      <x:c r="BW972" s="115"/>
      <x:c r="BX972" s="115"/>
      <x:c r="BY972" s="115"/>
      <x:c r="BZ972" s="115"/>
      <x:c r="CA972" s="115"/>
      <x:c r="CB972" s="116"/>
      <x:c r="CC972" s="141" t="str">
        <x:f>IF(COUNT(G972:P972)=0,"",AVERAGE(G972:P972)*4)</x:f>
      </x:c>
      <x:c r="CD972" s="178" t="str">
        <x:f>IF(COUNT(Q972:Z972)=0,"",AVERAGE(Q972:Z972)*4)</x:f>
      </x:c>
      <x:c r="CE972" s="178" t="str">
        <x:f>IF(COUNT(AA972:AJ972)=0,"",AVERAGE(AA972:AJ972)*4)</x:f>
      </x:c>
      <x:c r="CF972" s="178" t="str">
        <x:f>IF(COUNT(AK972:AR972)=0,"",AVERAGE(AK972:AR972)*4)</x:f>
      </x:c>
      <x:c r="CG972" s="178" t="str">
        <x:f>IF(COUNT(AS972:AY972)=0,"",AVERAGE(AS972:AY972)*4)</x:f>
      </x:c>
      <x:c r="CH972" s="178" t="str">
        <x:f>IF(COUNT(AZ972:BG972)=0,"",AVERAGE(AZ972:BG972)*4)</x:f>
      </x:c>
      <x:c r="CI972" s="178" t="str">
        <x:f>IF(COUNT(BH972:BN972)=0,"",AVERAGE(BH972:BN972)*4)</x:f>
      </x:c>
      <x:c r="CJ972" s="178" t="str">
        <x:f>IF(COUNT(BO972:BU972)=0,"",AVERAGE(BO972:BU972)*4)</x:f>
      </x:c>
      <x:c r="CK972" s="178" t="str">
        <x:f>IF(COUNT(BV972:CB972)=0,"",AVERAGE(BV972:CB972)*4)</x:f>
      </x:c>
      <x:c r="CL972" s="178" t="str">
        <x:f>IF(C972="","",IF(COUNT(G972:CB972)&lt;74,"",(CC972*'تنظیمات وزن‌دهی'!$C$5+CD972*'تنظیمات وزن‌دهی'!$C$6+CE972*'تنظیمات وزن‌دهی'!$C$7+CF972*'تنظیمات وزن‌دهی'!$C$8+CG972*'تنظیمات وزن‌دهی'!$C$9+CH972*'تنظیمات وزن‌دهی'!$C$10+CI972*'تنظیمات وزن‌دهی'!$C$11+CJ972*'تنظیمات وزن‌دهی'!$C$12+CK972*'تنظیمات وزن‌دهی'!$C$13)/100))</x:f>
      </x:c>
      <x:c r="CM972" s="178" t="str">
        <x:f>IF(C972="","",IF(COUNT(G972:CB972)=0,"",IF(COUNT(G972:CB972)&lt;74,"موقت - اطلاعات ناقص",IF(CL972&gt;=17,"عالی",IF(CL972&gt;=14,"خوب",IF(CL972&gt;=10,"متوسط","ضعیف"))))))</x:f>
      </x:c>
      <x:c r="CN972" s="178" t="n">
        <x:v>8</x:v>
      </x:c>
      <x:c r="CO972" s="142" t="n">
        <x:f>IF(C972="","",COUNT(G972:CB972)/74)</x:f>
        <x:v>0</x:v>
      </x:c>
      <x:c r="CP972" s="245"/>
    </x:row>
    <x:row r="973">
      <x:c r="A973" s="165" t="n">
        <x:v>969</x:v>
      </x:c>
      <x:c r="B973" s="233" t="str">
        <x:v>اسفند</x:v>
      </x:c>
      <x:c r="C973" s="233" t="n">
        <x:f>IF('دانش‌آموزان'!E85="","",'دانش‌آموزان'!B85)</x:f>
        <x:v>81</x:v>
      </x:c>
      <x:c r="D973" s="233" t="str">
        <x:f>IF('دانش‌آموزان'!C85="","",'دانش‌آموزان'!C85)</x:f>
        <x:v>4000000810</x:v>
      </x:c>
      <x:c r="E973" s="233" t="str">
        <x:f>IF('دانش‌آموزان'!E85="","",'دانش‌آموزان'!E85&amp;" "&amp;'دانش‌آموزان'!F85)</x:f>
        <x:v>علی احمدی</x:v>
      </x:c>
      <x:c r="F973" s="166" t="str">
        <x:f>IF('دانش‌آموزان'!I85="","",'دانش‌آموزان'!I85)</x:f>
        <x:v>sample-7-d</x:v>
      </x:c>
      <x:c r="G973" s="114"/>
      <x:c r="H973" s="115"/>
      <x:c r="I973" s="115"/>
      <x:c r="J973" s="115"/>
      <x:c r="K973" s="115"/>
      <x:c r="L973" s="115"/>
      <x:c r="M973" s="115"/>
      <x:c r="N973" s="115"/>
      <x:c r="O973" s="115"/>
      <x:c r="P973" s="115"/>
      <x:c r="Q973" s="115"/>
      <x:c r="R973" s="115"/>
      <x:c r="S973" s="115"/>
      <x:c r="T973" s="115"/>
      <x:c r="U973" s="115"/>
      <x:c r="V973" s="115"/>
      <x:c r="W973" s="115"/>
      <x:c r="X973" s="115"/>
      <x:c r="Y973" s="115"/>
      <x:c r="Z973" s="115"/>
      <x:c r="AA973" s="115"/>
      <x:c r="AB973" s="115"/>
      <x:c r="AC973" s="115"/>
      <x:c r="AD973" s="115"/>
      <x:c r="AE973" s="115"/>
      <x:c r="AF973" s="115"/>
      <x:c r="AG973" s="115"/>
      <x:c r="AH973" s="115"/>
      <x:c r="AI973" s="115"/>
      <x:c r="AJ973" s="115"/>
      <x:c r="AK973" s="115"/>
      <x:c r="AL973" s="115"/>
      <x:c r="AM973" s="115"/>
      <x:c r="AN973" s="115"/>
      <x:c r="AO973" s="115"/>
      <x:c r="AP973" s="115"/>
      <x:c r="AQ973" s="115"/>
      <x:c r="AR973" s="115"/>
      <x:c r="AS973" s="115"/>
      <x:c r="AT973" s="115"/>
      <x:c r="AU973" s="115"/>
      <x:c r="AV973" s="115"/>
      <x:c r="AW973" s="115"/>
      <x:c r="AX973" s="115"/>
      <x:c r="AY973" s="115"/>
      <x:c r="AZ973" s="115"/>
      <x:c r="BA973" s="115"/>
      <x:c r="BB973" s="115"/>
      <x:c r="BC973" s="115"/>
      <x:c r="BD973" s="115"/>
      <x:c r="BE973" s="115"/>
      <x:c r="BF973" s="115"/>
      <x:c r="BG973" s="115"/>
      <x:c r="BH973" s="115"/>
      <x:c r="BI973" s="115"/>
      <x:c r="BJ973" s="115"/>
      <x:c r="BK973" s="115"/>
      <x:c r="BL973" s="115"/>
      <x:c r="BM973" s="115"/>
      <x:c r="BN973" s="115"/>
      <x:c r="BO973" s="115"/>
      <x:c r="BP973" s="115"/>
      <x:c r="BQ973" s="115"/>
      <x:c r="BR973" s="115"/>
      <x:c r="BS973" s="115"/>
      <x:c r="BT973" s="115"/>
      <x:c r="BU973" s="115"/>
      <x:c r="BV973" s="115"/>
      <x:c r="BW973" s="115"/>
      <x:c r="BX973" s="115"/>
      <x:c r="BY973" s="115"/>
      <x:c r="BZ973" s="115"/>
      <x:c r="CA973" s="115"/>
      <x:c r="CB973" s="116"/>
      <x:c r="CC973" s="141" t="str">
        <x:f>IF(COUNT(G973:P973)=0,"",AVERAGE(G973:P973)*4)</x:f>
      </x:c>
      <x:c r="CD973" s="178" t="str">
        <x:f>IF(COUNT(Q973:Z973)=0,"",AVERAGE(Q973:Z973)*4)</x:f>
      </x:c>
      <x:c r="CE973" s="178" t="str">
        <x:f>IF(COUNT(AA973:AJ973)=0,"",AVERAGE(AA973:AJ973)*4)</x:f>
      </x:c>
      <x:c r="CF973" s="178" t="str">
        <x:f>IF(COUNT(AK973:AR973)=0,"",AVERAGE(AK973:AR973)*4)</x:f>
      </x:c>
      <x:c r="CG973" s="178" t="str">
        <x:f>IF(COUNT(AS973:AY973)=0,"",AVERAGE(AS973:AY973)*4)</x:f>
      </x:c>
      <x:c r="CH973" s="178" t="str">
        <x:f>IF(COUNT(AZ973:BG973)=0,"",AVERAGE(AZ973:BG973)*4)</x:f>
      </x:c>
      <x:c r="CI973" s="178" t="str">
        <x:f>IF(COUNT(BH973:BN973)=0,"",AVERAGE(BH973:BN973)*4)</x:f>
      </x:c>
      <x:c r="CJ973" s="178" t="str">
        <x:f>IF(COUNT(BO973:BU973)=0,"",AVERAGE(BO973:BU973)*4)</x:f>
      </x:c>
      <x:c r="CK973" s="178" t="str">
        <x:f>IF(COUNT(BV973:CB973)=0,"",AVERAGE(BV973:CB973)*4)</x:f>
      </x:c>
      <x:c r="CL973" s="178" t="str">
        <x:f>IF(C973="","",IF(COUNT(G973:CB973)&lt;74,"",(CC973*'تنظیمات وزن‌دهی'!$C$5+CD973*'تنظیمات وزن‌دهی'!$C$6+CE973*'تنظیمات وزن‌دهی'!$C$7+CF973*'تنظیمات وزن‌دهی'!$C$8+CG973*'تنظیمات وزن‌دهی'!$C$9+CH973*'تنظیمات وزن‌دهی'!$C$10+CI973*'تنظیمات وزن‌دهی'!$C$11+CJ973*'تنظیمات وزن‌دهی'!$C$12+CK973*'تنظیمات وزن‌دهی'!$C$13)/100))</x:f>
      </x:c>
      <x:c r="CM973" s="178" t="str">
        <x:f>IF(C973="","",IF(COUNT(G973:CB973)=0,"",IF(COUNT(G973:CB973)&lt;74,"موقت - اطلاعات ناقص",IF(CL973&gt;=17,"عالی",IF(CL973&gt;=14,"خوب",IF(CL973&gt;=10,"متوسط","ضعیف"))))))</x:f>
      </x:c>
      <x:c r="CN973" s="178" t="n">
        <x:v>9</x:v>
      </x:c>
      <x:c r="CO973" s="142" t="n">
        <x:f>IF(C973="","",COUNT(G973:CB973)/74)</x:f>
        <x:v>0</x:v>
      </x:c>
      <x:c r="CP973" s="245"/>
    </x:row>
    <x:row r="974">
      <x:c r="A974" s="165" t="n">
        <x:v>970</x:v>
      </x:c>
      <x:c r="B974" s="233" t="str">
        <x:v>فروردین</x:v>
      </x:c>
      <x:c r="C974" s="233" t="n">
        <x:f>IF('دانش‌آموزان'!E85="","",'دانش‌آموزان'!B85)</x:f>
        <x:v>81</x:v>
      </x:c>
      <x:c r="D974" s="233" t="str">
        <x:f>IF('دانش‌آموزان'!C85="","",'دانش‌آموزان'!C85)</x:f>
        <x:v>4000000810</x:v>
      </x:c>
      <x:c r="E974" s="233" t="str">
        <x:f>IF('دانش‌آموزان'!E85="","",'دانش‌آموزان'!E85&amp;" "&amp;'دانش‌آموزان'!F85)</x:f>
        <x:v>علی احمدی</x:v>
      </x:c>
      <x:c r="F974" s="166" t="str">
        <x:f>IF('دانش‌آموزان'!I85="","",'دانش‌آموزان'!I85)</x:f>
        <x:v>sample-7-d</x:v>
      </x:c>
      <x:c r="G974" s="114"/>
      <x:c r="H974" s="115"/>
      <x:c r="I974" s="115"/>
      <x:c r="J974" s="115"/>
      <x:c r="K974" s="115"/>
      <x:c r="L974" s="115"/>
      <x:c r="M974" s="115"/>
      <x:c r="N974" s="115"/>
      <x:c r="O974" s="115"/>
      <x:c r="P974" s="115"/>
      <x:c r="Q974" s="115"/>
      <x:c r="R974" s="115"/>
      <x:c r="S974" s="115"/>
      <x:c r="T974" s="115"/>
      <x:c r="U974" s="115"/>
      <x:c r="V974" s="115"/>
      <x:c r="W974" s="115"/>
      <x:c r="X974" s="115"/>
      <x:c r="Y974" s="115"/>
      <x:c r="Z974" s="115"/>
      <x:c r="AA974" s="115"/>
      <x:c r="AB974" s="115"/>
      <x:c r="AC974" s="115"/>
      <x:c r="AD974" s="115"/>
      <x:c r="AE974" s="115"/>
      <x:c r="AF974" s="115"/>
      <x:c r="AG974" s="115"/>
      <x:c r="AH974" s="115"/>
      <x:c r="AI974" s="115"/>
      <x:c r="AJ974" s="115"/>
      <x:c r="AK974" s="115"/>
      <x:c r="AL974" s="115"/>
      <x:c r="AM974" s="115"/>
      <x:c r="AN974" s="115"/>
      <x:c r="AO974" s="115"/>
      <x:c r="AP974" s="115"/>
      <x:c r="AQ974" s="115"/>
      <x:c r="AR974" s="115"/>
      <x:c r="AS974" s="115"/>
      <x:c r="AT974" s="115"/>
      <x:c r="AU974" s="115"/>
      <x:c r="AV974" s="115"/>
      <x:c r="AW974" s="115"/>
      <x:c r="AX974" s="115"/>
      <x:c r="AY974" s="115"/>
      <x:c r="AZ974" s="115"/>
      <x:c r="BA974" s="115"/>
      <x:c r="BB974" s="115"/>
      <x:c r="BC974" s="115"/>
      <x:c r="BD974" s="115"/>
      <x:c r="BE974" s="115"/>
      <x:c r="BF974" s="115"/>
      <x:c r="BG974" s="115"/>
      <x:c r="BH974" s="115"/>
      <x:c r="BI974" s="115"/>
      <x:c r="BJ974" s="115"/>
      <x:c r="BK974" s="115"/>
      <x:c r="BL974" s="115"/>
      <x:c r="BM974" s="115"/>
      <x:c r="BN974" s="115"/>
      <x:c r="BO974" s="115"/>
      <x:c r="BP974" s="115"/>
      <x:c r="BQ974" s="115"/>
      <x:c r="BR974" s="115"/>
      <x:c r="BS974" s="115"/>
      <x:c r="BT974" s="115"/>
      <x:c r="BU974" s="115"/>
      <x:c r="BV974" s="115"/>
      <x:c r="BW974" s="115"/>
      <x:c r="BX974" s="115"/>
      <x:c r="BY974" s="115"/>
      <x:c r="BZ974" s="115"/>
      <x:c r="CA974" s="115"/>
      <x:c r="CB974" s="116"/>
      <x:c r="CC974" s="141" t="str">
        <x:f>IF(COUNT(G974:P974)=0,"",AVERAGE(G974:P974)*4)</x:f>
      </x:c>
      <x:c r="CD974" s="178" t="str">
        <x:f>IF(COUNT(Q974:Z974)=0,"",AVERAGE(Q974:Z974)*4)</x:f>
      </x:c>
      <x:c r="CE974" s="178" t="str">
        <x:f>IF(COUNT(AA974:AJ974)=0,"",AVERAGE(AA974:AJ974)*4)</x:f>
      </x:c>
      <x:c r="CF974" s="178" t="str">
        <x:f>IF(COUNT(AK974:AR974)=0,"",AVERAGE(AK974:AR974)*4)</x:f>
      </x:c>
      <x:c r="CG974" s="178" t="str">
        <x:f>IF(COUNT(AS974:AY974)=0,"",AVERAGE(AS974:AY974)*4)</x:f>
      </x:c>
      <x:c r="CH974" s="178" t="str">
        <x:f>IF(COUNT(AZ974:BG974)=0,"",AVERAGE(AZ974:BG974)*4)</x:f>
      </x:c>
      <x:c r="CI974" s="178" t="str">
        <x:f>IF(COUNT(BH974:BN974)=0,"",AVERAGE(BH974:BN974)*4)</x:f>
      </x:c>
      <x:c r="CJ974" s="178" t="str">
        <x:f>IF(COUNT(BO974:BU974)=0,"",AVERAGE(BO974:BU974)*4)</x:f>
      </x:c>
      <x:c r="CK974" s="178" t="str">
        <x:f>IF(COUNT(BV974:CB974)=0,"",AVERAGE(BV974:CB974)*4)</x:f>
      </x:c>
      <x:c r="CL974" s="178" t="str">
        <x:f>IF(C974="","",IF(COUNT(G974:CB974)&lt;74,"",(CC974*'تنظیمات وزن‌دهی'!$C$5+CD974*'تنظیمات وزن‌دهی'!$C$6+CE974*'تنظیمات وزن‌دهی'!$C$7+CF974*'تنظیمات وزن‌دهی'!$C$8+CG974*'تنظیمات وزن‌دهی'!$C$9+CH974*'تنظیمات وزن‌دهی'!$C$10+CI974*'تنظیمات وزن‌دهی'!$C$11+CJ974*'تنظیمات وزن‌دهی'!$C$12+CK974*'تنظیمات وزن‌دهی'!$C$13)/100))</x:f>
      </x:c>
      <x:c r="CM974" s="178" t="str">
        <x:f>IF(C974="","",IF(COUNT(G974:CB974)=0,"",IF(COUNT(G974:CB974)&lt;74,"موقت - اطلاعات ناقص",IF(CL974&gt;=17,"عالی",IF(CL974&gt;=14,"خوب",IF(CL974&gt;=10,"متوسط","ضعیف"))))))</x:f>
      </x:c>
      <x:c r="CN974" s="178" t="n">
        <x:v>10</x:v>
      </x:c>
      <x:c r="CO974" s="142" t="n">
        <x:f>IF(C974="","",COUNT(G974:CB974)/74)</x:f>
        <x:v>0</x:v>
      </x:c>
      <x:c r="CP974" s="245"/>
    </x:row>
    <x:row r="975">
      <x:c r="A975" s="165" t="n">
        <x:v>971</x:v>
      </x:c>
      <x:c r="B975" s="233" t="str">
        <x:v>اردیبهشت</x:v>
      </x:c>
      <x:c r="C975" s="233" t="n">
        <x:f>IF('دانش‌آموزان'!E85="","",'دانش‌آموزان'!B85)</x:f>
        <x:v>81</x:v>
      </x:c>
      <x:c r="D975" s="233" t="str">
        <x:f>IF('دانش‌آموزان'!C85="","",'دانش‌آموزان'!C85)</x:f>
        <x:v>4000000810</x:v>
      </x:c>
      <x:c r="E975" s="233" t="str">
        <x:f>IF('دانش‌آموزان'!E85="","",'دانش‌آموزان'!E85&amp;" "&amp;'دانش‌آموزان'!F85)</x:f>
        <x:v>علی احمدی</x:v>
      </x:c>
      <x:c r="F975" s="166" t="str">
        <x:f>IF('دانش‌آموزان'!I85="","",'دانش‌آموزان'!I85)</x:f>
        <x:v>sample-7-d</x:v>
      </x:c>
      <x:c r="G975" s="114"/>
      <x:c r="H975" s="115"/>
      <x:c r="I975" s="115"/>
      <x:c r="J975" s="115"/>
      <x:c r="K975" s="115"/>
      <x:c r="L975" s="115"/>
      <x:c r="M975" s="115"/>
      <x:c r="N975" s="115"/>
      <x:c r="O975" s="115"/>
      <x:c r="P975" s="115"/>
      <x:c r="Q975" s="115"/>
      <x:c r="R975" s="115"/>
      <x:c r="S975" s="115"/>
      <x:c r="T975" s="115"/>
      <x:c r="U975" s="115"/>
      <x:c r="V975" s="115"/>
      <x:c r="W975" s="115"/>
      <x:c r="X975" s="115"/>
      <x:c r="Y975" s="115"/>
      <x:c r="Z975" s="115"/>
      <x:c r="AA975" s="115"/>
      <x:c r="AB975" s="115"/>
      <x:c r="AC975" s="115"/>
      <x:c r="AD975" s="115"/>
      <x:c r="AE975" s="115"/>
      <x:c r="AF975" s="115"/>
      <x:c r="AG975" s="115"/>
      <x:c r="AH975" s="115"/>
      <x:c r="AI975" s="115"/>
      <x:c r="AJ975" s="115"/>
      <x:c r="AK975" s="115"/>
      <x:c r="AL975" s="115"/>
      <x:c r="AM975" s="115"/>
      <x:c r="AN975" s="115"/>
      <x:c r="AO975" s="115"/>
      <x:c r="AP975" s="115"/>
      <x:c r="AQ975" s="115"/>
      <x:c r="AR975" s="115"/>
      <x:c r="AS975" s="115"/>
      <x:c r="AT975" s="115"/>
      <x:c r="AU975" s="115"/>
      <x:c r="AV975" s="115"/>
      <x:c r="AW975" s="115"/>
      <x:c r="AX975" s="115"/>
      <x:c r="AY975" s="115"/>
      <x:c r="AZ975" s="115"/>
      <x:c r="BA975" s="115"/>
      <x:c r="BB975" s="115"/>
      <x:c r="BC975" s="115"/>
      <x:c r="BD975" s="115"/>
      <x:c r="BE975" s="115"/>
      <x:c r="BF975" s="115"/>
      <x:c r="BG975" s="115"/>
      <x:c r="BH975" s="115"/>
      <x:c r="BI975" s="115"/>
      <x:c r="BJ975" s="115"/>
      <x:c r="BK975" s="115"/>
      <x:c r="BL975" s="115"/>
      <x:c r="BM975" s="115"/>
      <x:c r="BN975" s="115"/>
      <x:c r="BO975" s="115"/>
      <x:c r="BP975" s="115"/>
      <x:c r="BQ975" s="115"/>
      <x:c r="BR975" s="115"/>
      <x:c r="BS975" s="115"/>
      <x:c r="BT975" s="115"/>
      <x:c r="BU975" s="115"/>
      <x:c r="BV975" s="115"/>
      <x:c r="BW975" s="115"/>
      <x:c r="BX975" s="115"/>
      <x:c r="BY975" s="115"/>
      <x:c r="BZ975" s="115"/>
      <x:c r="CA975" s="115"/>
      <x:c r="CB975" s="116"/>
      <x:c r="CC975" s="141" t="str">
        <x:f>IF(COUNT(G975:P975)=0,"",AVERAGE(G975:P975)*4)</x:f>
      </x:c>
      <x:c r="CD975" s="178" t="str">
        <x:f>IF(COUNT(Q975:Z975)=0,"",AVERAGE(Q975:Z975)*4)</x:f>
      </x:c>
      <x:c r="CE975" s="178" t="str">
        <x:f>IF(COUNT(AA975:AJ975)=0,"",AVERAGE(AA975:AJ975)*4)</x:f>
      </x:c>
      <x:c r="CF975" s="178" t="str">
        <x:f>IF(COUNT(AK975:AR975)=0,"",AVERAGE(AK975:AR975)*4)</x:f>
      </x:c>
      <x:c r="CG975" s="178" t="str">
        <x:f>IF(COUNT(AS975:AY975)=0,"",AVERAGE(AS975:AY975)*4)</x:f>
      </x:c>
      <x:c r="CH975" s="178" t="str">
        <x:f>IF(COUNT(AZ975:BG975)=0,"",AVERAGE(AZ975:BG975)*4)</x:f>
      </x:c>
      <x:c r="CI975" s="178" t="str">
        <x:f>IF(COUNT(BH975:BN975)=0,"",AVERAGE(BH975:BN975)*4)</x:f>
      </x:c>
      <x:c r="CJ975" s="178" t="str">
        <x:f>IF(COUNT(BO975:BU975)=0,"",AVERAGE(BO975:BU975)*4)</x:f>
      </x:c>
      <x:c r="CK975" s="178" t="str">
        <x:f>IF(COUNT(BV975:CB975)=0,"",AVERAGE(BV975:CB975)*4)</x:f>
      </x:c>
      <x:c r="CL975" s="178" t="str">
        <x:f>IF(C975="","",IF(COUNT(G975:CB975)&lt;74,"",(CC975*'تنظیمات وزن‌دهی'!$C$5+CD975*'تنظیمات وزن‌دهی'!$C$6+CE975*'تنظیمات وزن‌دهی'!$C$7+CF975*'تنظیمات وزن‌دهی'!$C$8+CG975*'تنظیمات وزن‌دهی'!$C$9+CH975*'تنظیمات وزن‌دهی'!$C$10+CI975*'تنظیمات وزن‌دهی'!$C$11+CJ975*'تنظیمات وزن‌دهی'!$C$12+CK975*'تنظیمات وزن‌دهی'!$C$13)/100))</x:f>
      </x:c>
      <x:c r="CM975" s="178" t="str">
        <x:f>IF(C975="","",IF(COUNT(G975:CB975)=0,"",IF(COUNT(G975:CB975)&lt;74,"موقت - اطلاعات ناقص",IF(CL975&gt;=17,"عالی",IF(CL975&gt;=14,"خوب",IF(CL975&gt;=10,"متوسط","ضعیف"))))))</x:f>
      </x:c>
      <x:c r="CN975" s="178" t="n">
        <x:v>11</x:v>
      </x:c>
      <x:c r="CO975" s="142" t="n">
        <x:f>IF(C975="","",COUNT(G975:CB975)/74)</x:f>
        <x:v>0</x:v>
      </x:c>
      <x:c r="CP975" s="245"/>
    </x:row>
    <x:row r="976">
      <x:c r="A976" s="165" t="n">
        <x:v>972</x:v>
      </x:c>
      <x:c r="B976" s="233" t="str">
        <x:v>خرداد</x:v>
      </x:c>
      <x:c r="C976" s="233" t="n">
        <x:f>IF('دانش‌آموزان'!E85="","",'دانش‌آموزان'!B85)</x:f>
        <x:v>81</x:v>
      </x:c>
      <x:c r="D976" s="233" t="str">
        <x:f>IF('دانش‌آموزان'!C85="","",'دانش‌آموزان'!C85)</x:f>
        <x:v>4000000810</x:v>
      </x:c>
      <x:c r="E976" s="233" t="str">
        <x:f>IF('دانش‌آموزان'!E85="","",'دانش‌آموزان'!E85&amp;" "&amp;'دانش‌آموزان'!F85)</x:f>
        <x:v>علی احمدی</x:v>
      </x:c>
      <x:c r="F976" s="166" t="str">
        <x:f>IF('دانش‌آموزان'!I85="","",'دانش‌آموزان'!I85)</x:f>
        <x:v>sample-7-d</x:v>
      </x:c>
      <x:c r="G976" s="114"/>
      <x:c r="H976" s="115"/>
      <x:c r="I976" s="115"/>
      <x:c r="J976" s="115"/>
      <x:c r="K976" s="115"/>
      <x:c r="L976" s="115"/>
      <x:c r="M976" s="115"/>
      <x:c r="N976" s="115"/>
      <x:c r="O976" s="115"/>
      <x:c r="P976" s="115"/>
      <x:c r="Q976" s="115"/>
      <x:c r="R976" s="115"/>
      <x:c r="S976" s="115"/>
      <x:c r="T976" s="115"/>
      <x:c r="U976" s="115"/>
      <x:c r="V976" s="115"/>
      <x:c r="W976" s="115"/>
      <x:c r="X976" s="115"/>
      <x:c r="Y976" s="115"/>
      <x:c r="Z976" s="115"/>
      <x:c r="AA976" s="115"/>
      <x:c r="AB976" s="115"/>
      <x:c r="AC976" s="115"/>
      <x:c r="AD976" s="115"/>
      <x:c r="AE976" s="115"/>
      <x:c r="AF976" s="115"/>
      <x:c r="AG976" s="115"/>
      <x:c r="AH976" s="115"/>
      <x:c r="AI976" s="115"/>
      <x:c r="AJ976" s="115"/>
      <x:c r="AK976" s="115"/>
      <x:c r="AL976" s="115"/>
      <x:c r="AM976" s="115"/>
      <x:c r="AN976" s="115"/>
      <x:c r="AO976" s="115"/>
      <x:c r="AP976" s="115"/>
      <x:c r="AQ976" s="115"/>
      <x:c r="AR976" s="115"/>
      <x:c r="AS976" s="115"/>
      <x:c r="AT976" s="115"/>
      <x:c r="AU976" s="115"/>
      <x:c r="AV976" s="115"/>
      <x:c r="AW976" s="115"/>
      <x:c r="AX976" s="115"/>
      <x:c r="AY976" s="115"/>
      <x:c r="AZ976" s="115"/>
      <x:c r="BA976" s="115"/>
      <x:c r="BB976" s="115"/>
      <x:c r="BC976" s="115"/>
      <x:c r="BD976" s="115"/>
      <x:c r="BE976" s="115"/>
      <x:c r="BF976" s="115"/>
      <x:c r="BG976" s="115"/>
      <x:c r="BH976" s="115"/>
      <x:c r="BI976" s="115"/>
      <x:c r="BJ976" s="115"/>
      <x:c r="BK976" s="115"/>
      <x:c r="BL976" s="115"/>
      <x:c r="BM976" s="115"/>
      <x:c r="BN976" s="115"/>
      <x:c r="BO976" s="115"/>
      <x:c r="BP976" s="115"/>
      <x:c r="BQ976" s="115"/>
      <x:c r="BR976" s="115"/>
      <x:c r="BS976" s="115"/>
      <x:c r="BT976" s="115"/>
      <x:c r="BU976" s="115"/>
      <x:c r="BV976" s="115"/>
      <x:c r="BW976" s="115"/>
      <x:c r="BX976" s="115"/>
      <x:c r="BY976" s="115"/>
      <x:c r="BZ976" s="115"/>
      <x:c r="CA976" s="115"/>
      <x:c r="CB976" s="116"/>
      <x:c r="CC976" s="141" t="str">
        <x:f>IF(COUNT(G976:P976)=0,"",AVERAGE(G976:P976)*4)</x:f>
      </x:c>
      <x:c r="CD976" s="178" t="str">
        <x:f>IF(COUNT(Q976:Z976)=0,"",AVERAGE(Q976:Z976)*4)</x:f>
      </x:c>
      <x:c r="CE976" s="178" t="str">
        <x:f>IF(COUNT(AA976:AJ976)=0,"",AVERAGE(AA976:AJ976)*4)</x:f>
      </x:c>
      <x:c r="CF976" s="178" t="str">
        <x:f>IF(COUNT(AK976:AR976)=0,"",AVERAGE(AK976:AR976)*4)</x:f>
      </x:c>
      <x:c r="CG976" s="178" t="str">
        <x:f>IF(COUNT(AS976:AY976)=0,"",AVERAGE(AS976:AY976)*4)</x:f>
      </x:c>
      <x:c r="CH976" s="178" t="str">
        <x:f>IF(COUNT(AZ976:BG976)=0,"",AVERAGE(AZ976:BG976)*4)</x:f>
      </x:c>
      <x:c r="CI976" s="178" t="str">
        <x:f>IF(COUNT(BH976:BN976)=0,"",AVERAGE(BH976:BN976)*4)</x:f>
      </x:c>
      <x:c r="CJ976" s="178" t="str">
        <x:f>IF(COUNT(BO976:BU976)=0,"",AVERAGE(BO976:BU976)*4)</x:f>
      </x:c>
      <x:c r="CK976" s="178" t="str">
        <x:f>IF(COUNT(BV976:CB976)=0,"",AVERAGE(BV976:CB976)*4)</x:f>
      </x:c>
      <x:c r="CL976" s="178" t="str">
        <x:f>IF(C976="","",IF(COUNT(G976:CB976)&lt;74,"",(CC976*'تنظیمات وزن‌دهی'!$C$5+CD976*'تنظیمات وزن‌دهی'!$C$6+CE976*'تنظیمات وزن‌دهی'!$C$7+CF976*'تنظیمات وزن‌دهی'!$C$8+CG976*'تنظیمات وزن‌دهی'!$C$9+CH976*'تنظیمات وزن‌دهی'!$C$10+CI976*'تنظیمات وزن‌دهی'!$C$11+CJ976*'تنظیمات وزن‌دهی'!$C$12+CK976*'تنظیمات وزن‌دهی'!$C$13)/100))</x:f>
      </x:c>
      <x:c r="CM976" s="178" t="str">
        <x:f>IF(C976="","",IF(COUNT(G976:CB976)=0,"",IF(COUNT(G976:CB976)&lt;74,"موقت - اطلاعات ناقص",IF(CL976&gt;=17,"عالی",IF(CL976&gt;=14,"خوب",IF(CL976&gt;=10,"متوسط","ضعیف"))))))</x:f>
      </x:c>
      <x:c r="CN976" s="178" t="n">
        <x:v>12</x:v>
      </x:c>
      <x:c r="CO976" s="142" t="n">
        <x:f>IF(C976="","",COUNT(G976:CB976)/74)</x:f>
        <x:v>0</x:v>
      </x:c>
      <x:c r="CP976" s="245"/>
    </x:row>
    <x:row r="977">
      <x:c r="A977" s="165" t="n">
        <x:v>973</x:v>
      </x:c>
      <x:c r="B977" s="233" t="str">
        <x:v>تیر</x:v>
      </x:c>
      <x:c r="C977" s="233" t="n">
        <x:f>IF('دانش‌آموزان'!E86="","",'دانش‌آموزان'!B86)</x:f>
        <x:v>82</x:v>
      </x:c>
      <x:c r="D977" s="233" t="str">
        <x:f>IF('دانش‌آموزان'!C86="","",'دانش‌آموزان'!C86)</x:f>
        <x:v>4000000829</x:v>
      </x:c>
      <x:c r="E977" s="233" t="str">
        <x:f>IF('دانش‌آموزان'!E86="","",'دانش‌آموزان'!E86&amp;" "&amp;'دانش‌آموزان'!F86)</x:f>
        <x:v>فاطمه اکبری</x:v>
      </x:c>
      <x:c r="F977" s="166" t="str">
        <x:f>IF('دانش‌آموزان'!I86="","",'دانش‌آموزان'!I86)</x:f>
        <x:v>sample-7-d</x:v>
      </x:c>
      <x:c r="G977" s="114" t="n">
        <x:v>3</x:v>
      </x:c>
      <x:c r="H977" s="115" t="n">
        <x:v>4</x:v>
      </x:c>
      <x:c r="I977" s="115" t="n">
        <x:v>2</x:v>
      </x:c>
      <x:c r="J977" s="115" t="n">
        <x:v>4</x:v>
      </x:c>
      <x:c r="K977" s="115" t="n">
        <x:v>5</x:v>
      </x:c>
      <x:c r="L977" s="115" t="n">
        <x:v>4</x:v>
      </x:c>
      <x:c r="M977" s="115" t="n">
        <x:v>5</x:v>
      </x:c>
      <x:c r="N977" s="115" t="n">
        <x:v>3</x:v>
      </x:c>
      <x:c r="O977" s="115" t="n">
        <x:v>5</x:v>
      </x:c>
      <x:c r="P977" s="115" t="n">
        <x:v>3</x:v>
      </x:c>
      <x:c r="Q977" s="115" t="n">
        <x:v>4</x:v>
      </x:c>
      <x:c r="R977" s="115" t="n">
        <x:v>3</x:v>
      </x:c>
      <x:c r="S977" s="115" t="n">
        <x:v>4</x:v>
      </x:c>
      <x:c r="T977" s="115" t="n">
        <x:v>2</x:v>
      </x:c>
      <x:c r="U977" s="115" t="n">
        <x:v>4</x:v>
      </x:c>
      <x:c r="V977" s="115" t="n">
        <x:v>5</x:v>
      </x:c>
      <x:c r="W977" s="115" t="n">
        <x:v>4</x:v>
      </x:c>
      <x:c r="X977" s="115" t="n">
        <x:v>5</x:v>
      </x:c>
      <x:c r="Y977" s="115" t="n">
        <x:v>3</x:v>
      </x:c>
      <x:c r="Z977" s="115" t="n">
        <x:v>5</x:v>
      </x:c>
      <x:c r="AA977" s="115" t="n">
        <x:v>3</x:v>
      </x:c>
      <x:c r="AB977" s="115" t="n">
        <x:v>4</x:v>
      </x:c>
      <x:c r="AC977" s="115" t="n">
        <x:v>3</x:v>
      </x:c>
      <x:c r="AD977" s="115" t="n">
        <x:v>4</x:v>
      </x:c>
      <x:c r="AE977" s="115" t="n">
        <x:v>2</x:v>
      </x:c>
      <x:c r="AF977" s="115" t="n">
        <x:v>4</x:v>
      </x:c>
      <x:c r="AG977" s="115" t="n">
        <x:v>5</x:v>
      </x:c>
      <x:c r="AH977" s="115" t="n">
        <x:v>4</x:v>
      </x:c>
      <x:c r="AI977" s="115" t="n">
        <x:v>5</x:v>
      </x:c>
      <x:c r="AJ977" s="115" t="n">
        <x:v>3</x:v>
      </x:c>
      <x:c r="AK977" s="115" t="n">
        <x:v>5</x:v>
      </x:c>
      <x:c r="AL977" s="115" t="n">
        <x:v>3</x:v>
      </x:c>
      <x:c r="AM977" s="115" t="n">
        <x:v>4</x:v>
      </x:c>
      <x:c r="AN977" s="115" t="n">
        <x:v>3</x:v>
      </x:c>
      <x:c r="AO977" s="115" t="n">
        <x:v>4</x:v>
      </x:c>
      <x:c r="AP977" s="115" t="n">
        <x:v>2</x:v>
      </x:c>
      <x:c r="AQ977" s="115" t="n">
        <x:v>4</x:v>
      </x:c>
      <x:c r="AR977" s="115" t="n">
        <x:v>5</x:v>
      </x:c>
      <x:c r="AS977" s="115" t="n">
        <x:v>4</x:v>
      </x:c>
      <x:c r="AT977" s="115" t="n">
        <x:v>5</x:v>
      </x:c>
      <x:c r="AU977" s="115" t="n">
        <x:v>3</x:v>
      </x:c>
      <x:c r="AV977" s="115" t="n">
        <x:v>5</x:v>
      </x:c>
      <x:c r="AW977" s="115" t="n">
        <x:v>3</x:v>
      </x:c>
      <x:c r="AX977" s="115" t="n">
        <x:v>4</x:v>
      </x:c>
      <x:c r="AY977" s="115" t="n">
        <x:v>3</x:v>
      </x:c>
      <x:c r="AZ977" s="115" t="n">
        <x:v>4</x:v>
      </x:c>
      <x:c r="BA977" s="115" t="n">
        <x:v>2</x:v>
      </x:c>
      <x:c r="BB977" s="115" t="n">
        <x:v>4</x:v>
      </x:c>
      <x:c r="BC977" s="115" t="n">
        <x:v>5</x:v>
      </x:c>
      <x:c r="BD977" s="115" t="n">
        <x:v>4</x:v>
      </x:c>
      <x:c r="BE977" s="115" t="n">
        <x:v>5</x:v>
      </x:c>
      <x:c r="BF977" s="115" t="n">
        <x:v>3</x:v>
      </x:c>
      <x:c r="BG977" s="115" t="n">
        <x:v>5</x:v>
      </x:c>
      <x:c r="BH977" s="115" t="n">
        <x:v>3</x:v>
      </x:c>
      <x:c r="BI977" s="115" t="n">
        <x:v>4</x:v>
      </x:c>
      <x:c r="BJ977" s="115" t="n">
        <x:v>3</x:v>
      </x:c>
      <x:c r="BK977" s="115" t="n">
        <x:v>4</x:v>
      </x:c>
      <x:c r="BL977" s="115" t="n">
        <x:v>2</x:v>
      </x:c>
      <x:c r="BM977" s="115" t="n">
        <x:v>4</x:v>
      </x:c>
      <x:c r="BN977" s="115" t="n">
        <x:v>5</x:v>
      </x:c>
      <x:c r="BO977" s="115" t="n">
        <x:v>4</x:v>
      </x:c>
      <x:c r="BP977" s="115" t="n">
        <x:v>5</x:v>
      </x:c>
      <x:c r="BQ977" s="115" t="n">
        <x:v>3</x:v>
      </x:c>
      <x:c r="BR977" s="115" t="n">
        <x:v>5</x:v>
      </x:c>
      <x:c r="BS977" s="115" t="n">
        <x:v>3</x:v>
      </x:c>
      <x:c r="BT977" s="115" t="n">
        <x:v>4</x:v>
      </x:c>
      <x:c r="BU977" s="115" t="n">
        <x:v>3</x:v>
      </x:c>
      <x:c r="BV977" s="115" t="n">
        <x:v>4</x:v>
      </x:c>
      <x:c r="BW977" s="115" t="n">
        <x:v>2</x:v>
      </x:c>
      <x:c r="BX977" s="115" t="n">
        <x:v>4</x:v>
      </x:c>
      <x:c r="BY977" s="115" t="n">
        <x:v>5</x:v>
      </x:c>
      <x:c r="BZ977" s="115" t="n">
        <x:v>4</x:v>
      </x:c>
      <x:c r="CA977" s="115" t="n">
        <x:v>5</x:v>
      </x:c>
      <x:c r="CB977" s="116" t="n">
        <x:v>3</x:v>
      </x:c>
      <x:c r="CC977" s="141" t="n">
        <x:f>IF(COUNT(G977:P977)=0,"",AVERAGE(G977:P977)*4)</x:f>
        <x:v>15.2</x:v>
      </x:c>
      <x:c r="CD977" s="178" t="n">
        <x:f>IF(COUNT(Q977:Z977)=0,"",AVERAGE(Q977:Z977)*4)</x:f>
        <x:v>15.6</x:v>
      </x:c>
      <x:c r="CE977" s="178" t="n">
        <x:f>IF(COUNT(AA977:AJ977)=0,"",AVERAGE(AA977:AJ977)*4)</x:f>
        <x:v>14.8</x:v>
      </x:c>
      <x:c r="CF977" s="178" t="n">
        <x:f>IF(COUNT(AK977:AR977)=0,"",AVERAGE(AK977:AR977)*4)</x:f>
        <x:v>15</x:v>
      </x:c>
      <x:c r="CG977" s="178" t="n">
        <x:f>IF(COUNT(AS977:AY977)=0,"",AVERAGE(AS977:AY977)*4)</x:f>
        <x:v>15.428571428571429</x:v>
      </x:c>
      <x:c r="CH977" s="178" t="n">
        <x:f>IF(COUNT(AZ977:BG977)=0,"",AVERAGE(AZ977:BG977)*4)</x:f>
        <x:v>16</x:v>
      </x:c>
      <x:c r="CI977" s="178" t="n">
        <x:f>IF(COUNT(BH977:BN977)=0,"",AVERAGE(BH977:BN977)*4)</x:f>
        <x:v>14.285714285714286</x:v>
      </x:c>
      <x:c r="CJ977" s="178" t="n">
        <x:f>IF(COUNT(BO977:BU977)=0,"",AVERAGE(BO977:BU977)*4)</x:f>
        <x:v>15.428571428571429</x:v>
      </x:c>
      <x:c r="CK977" s="178" t="n">
        <x:f>IF(COUNT(BV977:CB977)=0,"",AVERAGE(BV977:CB977)*4)</x:f>
        <x:v>15.428571428571429</x:v>
      </x:c>
      <x:c r="CL977" s="178" t="n">
        <x:f>IF(C977="","",IF(COUNT(G977:CB977)&lt;74,"",(CC977*'تنظیمات وزن‌دهی'!$C$5+CD977*'تنظیمات وزن‌دهی'!$C$6+CE977*'تنظیمات وزن‌دهی'!$C$7+CF977*'تنظیمات وزن‌دهی'!$C$8+CG977*'تنظیمات وزن‌دهی'!$C$9+CH977*'تنظیمات وزن‌دهی'!$C$10+CI977*'تنظیمات وزن‌دهی'!$C$11+CJ977*'تنظیمات وزن‌دهی'!$C$12+CK977*'تنظیمات وزن‌دهی'!$C$13)/100))</x:f>
        <x:v>15.215714285714286</x:v>
      </x:c>
      <x:c r="CM977" s="178" t="str">
        <x:f>IF(C977="","",IF(COUNT(G977:CB977)=0,"",IF(COUNT(G977:CB977)&lt;74,"موقت - اطلاعات ناقص",IF(CL977&gt;=17,"عالی",IF(CL977&gt;=14,"خوب",IF(CL977&gt;=10,"متوسط","ضعیف"))))))</x:f>
        <x:v>خوب</x:v>
      </x:c>
      <x:c r="CN977" s="178" t="n">
        <x:v>1</x:v>
      </x:c>
      <x:c r="CO977" s="142" t="n">
        <x:f>IF(C977="","",COUNT(G977:CB977)/74)</x:f>
        <x:v>1</x:v>
      </x:c>
      <x:c r="CP977" s="245" t="str">
        <x:v>داده نمونه کامل برای ماه تیر - دانش‌آموز شماره 82</x:v>
      </x:c>
    </x:row>
    <x:row r="978">
      <x:c r="A978" s="165" t="n">
        <x:v>974</x:v>
      </x:c>
      <x:c r="B978" s="233" t="str">
        <x:v>مرداد</x:v>
      </x:c>
      <x:c r="C978" s="233" t="n">
        <x:f>IF('دانش‌آموزان'!E86="","",'دانش‌آموزان'!B86)</x:f>
        <x:v>82</x:v>
      </x:c>
      <x:c r="D978" s="233" t="str">
        <x:f>IF('دانش‌آموزان'!C86="","",'دانش‌آموزان'!C86)</x:f>
        <x:v>4000000829</x:v>
      </x:c>
      <x:c r="E978" s="233" t="str">
        <x:f>IF('دانش‌آموزان'!E86="","",'دانش‌آموزان'!E86&amp;" "&amp;'دانش‌آموزان'!F86)</x:f>
        <x:v>فاطمه اکبری</x:v>
      </x:c>
      <x:c r="F978" s="166" t="str">
        <x:f>IF('دانش‌آموزان'!I86="","",'دانش‌آموزان'!I86)</x:f>
        <x:v>sample-7-d</x:v>
      </x:c>
      <x:c r="G978" s="114"/>
      <x:c r="H978" s="115"/>
      <x:c r="I978" s="115"/>
      <x:c r="J978" s="115"/>
      <x:c r="K978" s="115"/>
      <x:c r="L978" s="115"/>
      <x:c r="M978" s="115"/>
      <x:c r="N978" s="115"/>
      <x:c r="O978" s="115"/>
      <x:c r="P978" s="115"/>
      <x:c r="Q978" s="115"/>
      <x:c r="R978" s="115"/>
      <x:c r="S978" s="115"/>
      <x:c r="T978" s="115"/>
      <x:c r="U978" s="115"/>
      <x:c r="V978" s="115"/>
      <x:c r="W978" s="115"/>
      <x:c r="X978" s="115"/>
      <x:c r="Y978" s="115"/>
      <x:c r="Z978" s="115"/>
      <x:c r="AA978" s="115"/>
      <x:c r="AB978" s="115"/>
      <x:c r="AC978" s="115"/>
      <x:c r="AD978" s="115"/>
      <x:c r="AE978" s="115"/>
      <x:c r="AF978" s="115"/>
      <x:c r="AG978" s="115"/>
      <x:c r="AH978" s="115"/>
      <x:c r="AI978" s="115"/>
      <x:c r="AJ978" s="115"/>
      <x:c r="AK978" s="115"/>
      <x:c r="AL978" s="115"/>
      <x:c r="AM978" s="115"/>
      <x:c r="AN978" s="115"/>
      <x:c r="AO978" s="115"/>
      <x:c r="AP978" s="115"/>
      <x:c r="AQ978" s="115"/>
      <x:c r="AR978" s="115"/>
      <x:c r="AS978" s="115"/>
      <x:c r="AT978" s="115"/>
      <x:c r="AU978" s="115"/>
      <x:c r="AV978" s="115"/>
      <x:c r="AW978" s="115"/>
      <x:c r="AX978" s="115"/>
      <x:c r="AY978" s="115"/>
      <x:c r="AZ978" s="115"/>
      <x:c r="BA978" s="115"/>
      <x:c r="BB978" s="115"/>
      <x:c r="BC978" s="115"/>
      <x:c r="BD978" s="115"/>
      <x:c r="BE978" s="115"/>
      <x:c r="BF978" s="115"/>
      <x:c r="BG978" s="115"/>
      <x:c r="BH978" s="115"/>
      <x:c r="BI978" s="115"/>
      <x:c r="BJ978" s="115"/>
      <x:c r="BK978" s="115"/>
      <x:c r="BL978" s="115"/>
      <x:c r="BM978" s="115"/>
      <x:c r="BN978" s="115"/>
      <x:c r="BO978" s="115"/>
      <x:c r="BP978" s="115"/>
      <x:c r="BQ978" s="115"/>
      <x:c r="BR978" s="115"/>
      <x:c r="BS978" s="115"/>
      <x:c r="BT978" s="115"/>
      <x:c r="BU978" s="115"/>
      <x:c r="BV978" s="115"/>
      <x:c r="BW978" s="115"/>
      <x:c r="BX978" s="115"/>
      <x:c r="BY978" s="115"/>
      <x:c r="BZ978" s="115"/>
      <x:c r="CA978" s="115"/>
      <x:c r="CB978" s="116"/>
      <x:c r="CC978" s="141" t="str">
        <x:f>IF(COUNT(G978:P978)=0,"",AVERAGE(G978:P978)*4)</x:f>
      </x:c>
      <x:c r="CD978" s="178" t="str">
        <x:f>IF(COUNT(Q978:Z978)=0,"",AVERAGE(Q978:Z978)*4)</x:f>
      </x:c>
      <x:c r="CE978" s="178" t="str">
        <x:f>IF(COUNT(AA978:AJ978)=0,"",AVERAGE(AA978:AJ978)*4)</x:f>
      </x:c>
      <x:c r="CF978" s="178" t="str">
        <x:f>IF(COUNT(AK978:AR978)=0,"",AVERAGE(AK978:AR978)*4)</x:f>
      </x:c>
      <x:c r="CG978" s="178" t="str">
        <x:f>IF(COUNT(AS978:AY978)=0,"",AVERAGE(AS978:AY978)*4)</x:f>
      </x:c>
      <x:c r="CH978" s="178" t="str">
        <x:f>IF(COUNT(AZ978:BG978)=0,"",AVERAGE(AZ978:BG978)*4)</x:f>
      </x:c>
      <x:c r="CI978" s="178" t="str">
        <x:f>IF(COUNT(BH978:BN978)=0,"",AVERAGE(BH978:BN978)*4)</x:f>
      </x:c>
      <x:c r="CJ978" s="178" t="str">
        <x:f>IF(COUNT(BO978:BU978)=0,"",AVERAGE(BO978:BU978)*4)</x:f>
      </x:c>
      <x:c r="CK978" s="178" t="str">
        <x:f>IF(COUNT(BV978:CB978)=0,"",AVERAGE(BV978:CB978)*4)</x:f>
      </x:c>
      <x:c r="CL978" s="178" t="str">
        <x:f>IF(C978="","",IF(COUNT(G978:CB978)&lt;74,"",(CC978*'تنظیمات وزن‌دهی'!$C$5+CD978*'تنظیمات وزن‌دهی'!$C$6+CE978*'تنظیمات وزن‌دهی'!$C$7+CF978*'تنظیمات وزن‌دهی'!$C$8+CG978*'تنظیمات وزن‌دهی'!$C$9+CH978*'تنظیمات وزن‌دهی'!$C$10+CI978*'تنظیمات وزن‌دهی'!$C$11+CJ978*'تنظیمات وزن‌دهی'!$C$12+CK978*'تنظیمات وزن‌دهی'!$C$13)/100))</x:f>
      </x:c>
      <x:c r="CM978" s="178" t="str">
        <x:f>IF(C978="","",IF(COUNT(G978:CB978)=0,"",IF(COUNT(G978:CB978)&lt;74,"موقت - اطلاعات ناقص",IF(CL978&gt;=17,"عالی",IF(CL978&gt;=14,"خوب",IF(CL978&gt;=10,"متوسط","ضعیف"))))))</x:f>
      </x:c>
      <x:c r="CN978" s="178" t="n">
        <x:v>2</x:v>
      </x:c>
      <x:c r="CO978" s="142" t="n">
        <x:f>IF(C978="","",COUNT(G978:CB978)/74)</x:f>
        <x:v>0</x:v>
      </x:c>
      <x:c r="CP978" s="245"/>
    </x:row>
    <x:row r="979">
      <x:c r="A979" s="165" t="n">
        <x:v>975</x:v>
      </x:c>
      <x:c r="B979" s="233" t="str">
        <x:v>شهریور</x:v>
      </x:c>
      <x:c r="C979" s="233" t="n">
        <x:f>IF('دانش‌آموزان'!E86="","",'دانش‌آموزان'!B86)</x:f>
        <x:v>82</x:v>
      </x:c>
      <x:c r="D979" s="233" t="str">
        <x:f>IF('دانش‌آموزان'!C86="","",'دانش‌آموزان'!C86)</x:f>
        <x:v>4000000829</x:v>
      </x:c>
      <x:c r="E979" s="233" t="str">
        <x:f>IF('دانش‌آموزان'!E86="","",'دانش‌آموزان'!E86&amp;" "&amp;'دانش‌آموزان'!F86)</x:f>
        <x:v>فاطمه اکبری</x:v>
      </x:c>
      <x:c r="F979" s="166" t="str">
        <x:f>IF('دانش‌آموزان'!I86="","",'دانش‌آموزان'!I86)</x:f>
        <x:v>sample-7-d</x:v>
      </x:c>
      <x:c r="G979" s="114"/>
      <x:c r="H979" s="115"/>
      <x:c r="I979" s="115"/>
      <x:c r="J979" s="115"/>
      <x:c r="K979" s="115"/>
      <x:c r="L979" s="115"/>
      <x:c r="M979" s="115"/>
      <x:c r="N979" s="115"/>
      <x:c r="O979" s="115"/>
      <x:c r="P979" s="115"/>
      <x:c r="Q979" s="115"/>
      <x:c r="R979" s="115"/>
      <x:c r="S979" s="115"/>
      <x:c r="T979" s="115"/>
      <x:c r="U979" s="115"/>
      <x:c r="V979" s="115"/>
      <x:c r="W979" s="115"/>
      <x:c r="X979" s="115"/>
      <x:c r="Y979" s="115"/>
      <x:c r="Z979" s="115"/>
      <x:c r="AA979" s="115"/>
      <x:c r="AB979" s="115"/>
      <x:c r="AC979" s="115"/>
      <x:c r="AD979" s="115"/>
      <x:c r="AE979" s="115"/>
      <x:c r="AF979" s="115"/>
      <x:c r="AG979" s="115"/>
      <x:c r="AH979" s="115"/>
      <x:c r="AI979" s="115"/>
      <x:c r="AJ979" s="115"/>
      <x:c r="AK979" s="115"/>
      <x:c r="AL979" s="115"/>
      <x:c r="AM979" s="115"/>
      <x:c r="AN979" s="115"/>
      <x:c r="AO979" s="115"/>
      <x:c r="AP979" s="115"/>
      <x:c r="AQ979" s="115"/>
      <x:c r="AR979" s="115"/>
      <x:c r="AS979" s="115"/>
      <x:c r="AT979" s="115"/>
      <x:c r="AU979" s="115"/>
      <x:c r="AV979" s="115"/>
      <x:c r="AW979" s="115"/>
      <x:c r="AX979" s="115"/>
      <x:c r="AY979" s="115"/>
      <x:c r="AZ979" s="115"/>
      <x:c r="BA979" s="115"/>
      <x:c r="BB979" s="115"/>
      <x:c r="BC979" s="115"/>
      <x:c r="BD979" s="115"/>
      <x:c r="BE979" s="115"/>
      <x:c r="BF979" s="115"/>
      <x:c r="BG979" s="115"/>
      <x:c r="BH979" s="115"/>
      <x:c r="BI979" s="115"/>
      <x:c r="BJ979" s="115"/>
      <x:c r="BK979" s="115"/>
      <x:c r="BL979" s="115"/>
      <x:c r="BM979" s="115"/>
      <x:c r="BN979" s="115"/>
      <x:c r="BO979" s="115"/>
      <x:c r="BP979" s="115"/>
      <x:c r="BQ979" s="115"/>
      <x:c r="BR979" s="115"/>
      <x:c r="BS979" s="115"/>
      <x:c r="BT979" s="115"/>
      <x:c r="BU979" s="115"/>
      <x:c r="BV979" s="115"/>
      <x:c r="BW979" s="115"/>
      <x:c r="BX979" s="115"/>
      <x:c r="BY979" s="115"/>
      <x:c r="BZ979" s="115"/>
      <x:c r="CA979" s="115"/>
      <x:c r="CB979" s="116"/>
      <x:c r="CC979" s="141" t="str">
        <x:f>IF(COUNT(G979:P979)=0,"",AVERAGE(G979:P979)*4)</x:f>
      </x:c>
      <x:c r="CD979" s="178" t="str">
        <x:f>IF(COUNT(Q979:Z979)=0,"",AVERAGE(Q979:Z979)*4)</x:f>
      </x:c>
      <x:c r="CE979" s="178" t="str">
        <x:f>IF(COUNT(AA979:AJ979)=0,"",AVERAGE(AA979:AJ979)*4)</x:f>
      </x:c>
      <x:c r="CF979" s="178" t="str">
        <x:f>IF(COUNT(AK979:AR979)=0,"",AVERAGE(AK979:AR979)*4)</x:f>
      </x:c>
      <x:c r="CG979" s="178" t="str">
        <x:f>IF(COUNT(AS979:AY979)=0,"",AVERAGE(AS979:AY979)*4)</x:f>
      </x:c>
      <x:c r="CH979" s="178" t="str">
        <x:f>IF(COUNT(AZ979:BG979)=0,"",AVERAGE(AZ979:BG979)*4)</x:f>
      </x:c>
      <x:c r="CI979" s="178" t="str">
        <x:f>IF(COUNT(BH979:BN979)=0,"",AVERAGE(BH979:BN979)*4)</x:f>
      </x:c>
      <x:c r="CJ979" s="178" t="str">
        <x:f>IF(COUNT(BO979:BU979)=0,"",AVERAGE(BO979:BU979)*4)</x:f>
      </x:c>
      <x:c r="CK979" s="178" t="str">
        <x:f>IF(COUNT(BV979:CB979)=0,"",AVERAGE(BV979:CB979)*4)</x:f>
      </x:c>
      <x:c r="CL979" s="178" t="str">
        <x:f>IF(C979="","",IF(COUNT(G979:CB979)&lt;74,"",(CC979*'تنظیمات وزن‌دهی'!$C$5+CD979*'تنظیمات وزن‌دهی'!$C$6+CE979*'تنظیمات وزن‌دهی'!$C$7+CF979*'تنظیمات وزن‌دهی'!$C$8+CG979*'تنظیمات وزن‌دهی'!$C$9+CH979*'تنظیمات وزن‌دهی'!$C$10+CI979*'تنظیمات وزن‌دهی'!$C$11+CJ979*'تنظیمات وزن‌دهی'!$C$12+CK979*'تنظیمات وزن‌دهی'!$C$13)/100))</x:f>
      </x:c>
      <x:c r="CM979" s="178" t="str">
        <x:f>IF(C979="","",IF(COUNT(G979:CB979)=0,"",IF(COUNT(G979:CB979)&lt;74,"موقت - اطلاعات ناقص",IF(CL979&gt;=17,"عالی",IF(CL979&gt;=14,"خوب",IF(CL979&gt;=10,"متوسط","ضعیف"))))))</x:f>
      </x:c>
      <x:c r="CN979" s="178" t="n">
        <x:v>3</x:v>
      </x:c>
      <x:c r="CO979" s="142" t="n">
        <x:f>IF(C979="","",COUNT(G979:CB979)/74)</x:f>
        <x:v>0</x:v>
      </x:c>
      <x:c r="CP979" s="245"/>
    </x:row>
    <x:row r="980">
      <x:c r="A980" s="165" t="n">
        <x:v>976</x:v>
      </x:c>
      <x:c r="B980" s="233" t="str">
        <x:v>مهر</x:v>
      </x:c>
      <x:c r="C980" s="233" t="n">
        <x:f>IF('دانش‌آموزان'!E86="","",'دانش‌آموزان'!B86)</x:f>
        <x:v>82</x:v>
      </x:c>
      <x:c r="D980" s="233" t="str">
        <x:f>IF('دانش‌آموزان'!C86="","",'دانش‌آموزان'!C86)</x:f>
        <x:v>4000000829</x:v>
      </x:c>
      <x:c r="E980" s="233" t="str">
        <x:f>IF('دانش‌آموزان'!E86="","",'دانش‌آموزان'!E86&amp;" "&amp;'دانش‌آموزان'!F86)</x:f>
        <x:v>فاطمه اکبری</x:v>
      </x:c>
      <x:c r="F980" s="166" t="str">
        <x:f>IF('دانش‌آموزان'!I86="","",'دانش‌آموزان'!I86)</x:f>
        <x:v>sample-7-d</x:v>
      </x:c>
      <x:c r="G980" s="114"/>
      <x:c r="H980" s="115"/>
      <x:c r="I980" s="115"/>
      <x:c r="J980" s="115"/>
      <x:c r="K980" s="115"/>
      <x:c r="L980" s="115"/>
      <x:c r="M980" s="115"/>
      <x:c r="N980" s="115"/>
      <x:c r="O980" s="115"/>
      <x:c r="P980" s="115"/>
      <x:c r="Q980" s="115"/>
      <x:c r="R980" s="115"/>
      <x:c r="S980" s="115"/>
      <x:c r="T980" s="115"/>
      <x:c r="U980" s="115"/>
      <x:c r="V980" s="115"/>
      <x:c r="W980" s="115"/>
      <x:c r="X980" s="115"/>
      <x:c r="Y980" s="115"/>
      <x:c r="Z980" s="115"/>
      <x:c r="AA980" s="115"/>
      <x:c r="AB980" s="115"/>
      <x:c r="AC980" s="115"/>
      <x:c r="AD980" s="115"/>
      <x:c r="AE980" s="115"/>
      <x:c r="AF980" s="115"/>
      <x:c r="AG980" s="115"/>
      <x:c r="AH980" s="115"/>
      <x:c r="AI980" s="115"/>
      <x:c r="AJ980" s="115"/>
      <x:c r="AK980" s="115"/>
      <x:c r="AL980" s="115"/>
      <x:c r="AM980" s="115"/>
      <x:c r="AN980" s="115"/>
      <x:c r="AO980" s="115"/>
      <x:c r="AP980" s="115"/>
      <x:c r="AQ980" s="115"/>
      <x:c r="AR980" s="115"/>
      <x:c r="AS980" s="115"/>
      <x:c r="AT980" s="115"/>
      <x:c r="AU980" s="115"/>
      <x:c r="AV980" s="115"/>
      <x:c r="AW980" s="115"/>
      <x:c r="AX980" s="115"/>
      <x:c r="AY980" s="115"/>
      <x:c r="AZ980" s="115"/>
      <x:c r="BA980" s="115"/>
      <x:c r="BB980" s="115"/>
      <x:c r="BC980" s="115"/>
      <x:c r="BD980" s="115"/>
      <x:c r="BE980" s="115"/>
      <x:c r="BF980" s="115"/>
      <x:c r="BG980" s="115"/>
      <x:c r="BH980" s="115"/>
      <x:c r="BI980" s="115"/>
      <x:c r="BJ980" s="115"/>
      <x:c r="BK980" s="115"/>
      <x:c r="BL980" s="115"/>
      <x:c r="BM980" s="115"/>
      <x:c r="BN980" s="115"/>
      <x:c r="BO980" s="115"/>
      <x:c r="BP980" s="115"/>
      <x:c r="BQ980" s="115"/>
      <x:c r="BR980" s="115"/>
      <x:c r="BS980" s="115"/>
      <x:c r="BT980" s="115"/>
      <x:c r="BU980" s="115"/>
      <x:c r="BV980" s="115"/>
      <x:c r="BW980" s="115"/>
      <x:c r="BX980" s="115"/>
      <x:c r="BY980" s="115"/>
      <x:c r="BZ980" s="115"/>
      <x:c r="CA980" s="115"/>
      <x:c r="CB980" s="116"/>
      <x:c r="CC980" s="141" t="str">
        <x:f>IF(COUNT(G980:P980)=0,"",AVERAGE(G980:P980)*4)</x:f>
      </x:c>
      <x:c r="CD980" s="178" t="str">
        <x:f>IF(COUNT(Q980:Z980)=0,"",AVERAGE(Q980:Z980)*4)</x:f>
      </x:c>
      <x:c r="CE980" s="178" t="str">
        <x:f>IF(COUNT(AA980:AJ980)=0,"",AVERAGE(AA980:AJ980)*4)</x:f>
      </x:c>
      <x:c r="CF980" s="178" t="str">
        <x:f>IF(COUNT(AK980:AR980)=0,"",AVERAGE(AK980:AR980)*4)</x:f>
      </x:c>
      <x:c r="CG980" s="178" t="str">
        <x:f>IF(COUNT(AS980:AY980)=0,"",AVERAGE(AS980:AY980)*4)</x:f>
      </x:c>
      <x:c r="CH980" s="178" t="str">
        <x:f>IF(COUNT(AZ980:BG980)=0,"",AVERAGE(AZ980:BG980)*4)</x:f>
      </x:c>
      <x:c r="CI980" s="178" t="str">
        <x:f>IF(COUNT(BH980:BN980)=0,"",AVERAGE(BH980:BN980)*4)</x:f>
      </x:c>
      <x:c r="CJ980" s="178" t="str">
        <x:f>IF(COUNT(BO980:BU980)=0,"",AVERAGE(BO980:BU980)*4)</x:f>
      </x:c>
      <x:c r="CK980" s="178" t="str">
        <x:f>IF(COUNT(BV980:CB980)=0,"",AVERAGE(BV980:CB980)*4)</x:f>
      </x:c>
      <x:c r="CL980" s="178" t="str">
        <x:f>IF(C980="","",IF(COUNT(G980:CB980)&lt;74,"",(CC980*'تنظیمات وزن‌دهی'!$C$5+CD980*'تنظیمات وزن‌دهی'!$C$6+CE980*'تنظیمات وزن‌دهی'!$C$7+CF980*'تنظیمات وزن‌دهی'!$C$8+CG980*'تنظیمات وزن‌دهی'!$C$9+CH980*'تنظیمات وزن‌دهی'!$C$10+CI980*'تنظیمات وزن‌دهی'!$C$11+CJ980*'تنظیمات وزن‌دهی'!$C$12+CK980*'تنظیمات وزن‌دهی'!$C$13)/100))</x:f>
      </x:c>
      <x:c r="CM980" s="178" t="str">
        <x:f>IF(C980="","",IF(COUNT(G980:CB980)=0,"",IF(COUNT(G980:CB980)&lt;74,"موقت - اطلاعات ناقص",IF(CL980&gt;=17,"عالی",IF(CL980&gt;=14,"خوب",IF(CL980&gt;=10,"متوسط","ضعیف"))))))</x:f>
      </x:c>
      <x:c r="CN980" s="178" t="n">
        <x:v>4</x:v>
      </x:c>
      <x:c r="CO980" s="142" t="n">
        <x:f>IF(C980="","",COUNT(G980:CB980)/74)</x:f>
        <x:v>0</x:v>
      </x:c>
      <x:c r="CP980" s="245"/>
    </x:row>
    <x:row r="981">
      <x:c r="A981" s="165" t="n">
        <x:v>977</x:v>
      </x:c>
      <x:c r="B981" s="233" t="str">
        <x:v>آبان</x:v>
      </x:c>
      <x:c r="C981" s="233" t="n">
        <x:f>IF('دانش‌آموزان'!E86="","",'دانش‌آموزان'!B86)</x:f>
        <x:v>82</x:v>
      </x:c>
      <x:c r="D981" s="233" t="str">
        <x:f>IF('دانش‌آموزان'!C86="","",'دانش‌آموزان'!C86)</x:f>
        <x:v>4000000829</x:v>
      </x:c>
      <x:c r="E981" s="233" t="str">
        <x:f>IF('دانش‌آموزان'!E86="","",'دانش‌آموزان'!E86&amp;" "&amp;'دانش‌آموزان'!F86)</x:f>
        <x:v>فاطمه اکبری</x:v>
      </x:c>
      <x:c r="F981" s="166" t="str">
        <x:f>IF('دانش‌آموزان'!I86="","",'دانش‌آموزان'!I86)</x:f>
        <x:v>sample-7-d</x:v>
      </x:c>
      <x:c r="G981" s="114"/>
      <x:c r="H981" s="115"/>
      <x:c r="I981" s="115"/>
      <x:c r="J981" s="115"/>
      <x:c r="K981" s="115"/>
      <x:c r="L981" s="115"/>
      <x:c r="M981" s="115"/>
      <x:c r="N981" s="115"/>
      <x:c r="O981" s="115"/>
      <x:c r="P981" s="115"/>
      <x:c r="Q981" s="115"/>
      <x:c r="R981" s="115"/>
      <x:c r="S981" s="115"/>
      <x:c r="T981" s="115"/>
      <x:c r="U981" s="115"/>
      <x:c r="V981" s="115"/>
      <x:c r="W981" s="115"/>
      <x:c r="X981" s="115"/>
      <x:c r="Y981" s="115"/>
      <x:c r="Z981" s="115"/>
      <x:c r="AA981" s="115"/>
      <x:c r="AB981" s="115"/>
      <x:c r="AC981" s="115"/>
      <x:c r="AD981" s="115"/>
      <x:c r="AE981" s="115"/>
      <x:c r="AF981" s="115"/>
      <x:c r="AG981" s="115"/>
      <x:c r="AH981" s="115"/>
      <x:c r="AI981" s="115"/>
      <x:c r="AJ981" s="115"/>
      <x:c r="AK981" s="115"/>
      <x:c r="AL981" s="115"/>
      <x:c r="AM981" s="115"/>
      <x:c r="AN981" s="115"/>
      <x:c r="AO981" s="115"/>
      <x:c r="AP981" s="115"/>
      <x:c r="AQ981" s="115"/>
      <x:c r="AR981" s="115"/>
      <x:c r="AS981" s="115"/>
      <x:c r="AT981" s="115"/>
      <x:c r="AU981" s="115"/>
      <x:c r="AV981" s="115"/>
      <x:c r="AW981" s="115"/>
      <x:c r="AX981" s="115"/>
      <x:c r="AY981" s="115"/>
      <x:c r="AZ981" s="115"/>
      <x:c r="BA981" s="115"/>
      <x:c r="BB981" s="115"/>
      <x:c r="BC981" s="115"/>
      <x:c r="BD981" s="115"/>
      <x:c r="BE981" s="115"/>
      <x:c r="BF981" s="115"/>
      <x:c r="BG981" s="115"/>
      <x:c r="BH981" s="115"/>
      <x:c r="BI981" s="115"/>
      <x:c r="BJ981" s="115"/>
      <x:c r="BK981" s="115"/>
      <x:c r="BL981" s="115"/>
      <x:c r="BM981" s="115"/>
      <x:c r="BN981" s="115"/>
      <x:c r="BO981" s="115"/>
      <x:c r="BP981" s="115"/>
      <x:c r="BQ981" s="115"/>
      <x:c r="BR981" s="115"/>
      <x:c r="BS981" s="115"/>
      <x:c r="BT981" s="115"/>
      <x:c r="BU981" s="115"/>
      <x:c r="BV981" s="115"/>
      <x:c r="BW981" s="115"/>
      <x:c r="BX981" s="115"/>
      <x:c r="BY981" s="115"/>
      <x:c r="BZ981" s="115"/>
      <x:c r="CA981" s="115"/>
      <x:c r="CB981" s="116"/>
      <x:c r="CC981" s="141" t="str">
        <x:f>IF(COUNT(G981:P981)=0,"",AVERAGE(G981:P981)*4)</x:f>
      </x:c>
      <x:c r="CD981" s="178" t="str">
        <x:f>IF(COUNT(Q981:Z981)=0,"",AVERAGE(Q981:Z981)*4)</x:f>
      </x:c>
      <x:c r="CE981" s="178" t="str">
        <x:f>IF(COUNT(AA981:AJ981)=0,"",AVERAGE(AA981:AJ981)*4)</x:f>
      </x:c>
      <x:c r="CF981" s="178" t="str">
        <x:f>IF(COUNT(AK981:AR981)=0,"",AVERAGE(AK981:AR981)*4)</x:f>
      </x:c>
      <x:c r="CG981" s="178" t="str">
        <x:f>IF(COUNT(AS981:AY981)=0,"",AVERAGE(AS981:AY981)*4)</x:f>
      </x:c>
      <x:c r="CH981" s="178" t="str">
        <x:f>IF(COUNT(AZ981:BG981)=0,"",AVERAGE(AZ981:BG981)*4)</x:f>
      </x:c>
      <x:c r="CI981" s="178" t="str">
        <x:f>IF(COUNT(BH981:BN981)=0,"",AVERAGE(BH981:BN981)*4)</x:f>
      </x:c>
      <x:c r="CJ981" s="178" t="str">
        <x:f>IF(COUNT(BO981:BU981)=0,"",AVERAGE(BO981:BU981)*4)</x:f>
      </x:c>
      <x:c r="CK981" s="178" t="str">
        <x:f>IF(COUNT(BV981:CB981)=0,"",AVERAGE(BV981:CB981)*4)</x:f>
      </x:c>
      <x:c r="CL981" s="178" t="str">
        <x:f>IF(C981="","",IF(COUNT(G981:CB981)&lt;74,"",(CC981*'تنظیمات وزن‌دهی'!$C$5+CD981*'تنظیمات وزن‌دهی'!$C$6+CE981*'تنظیمات وزن‌دهی'!$C$7+CF981*'تنظیمات وزن‌دهی'!$C$8+CG981*'تنظیمات وزن‌دهی'!$C$9+CH981*'تنظیمات وزن‌دهی'!$C$10+CI981*'تنظیمات وزن‌دهی'!$C$11+CJ981*'تنظیمات وزن‌دهی'!$C$12+CK981*'تنظیمات وزن‌دهی'!$C$13)/100))</x:f>
      </x:c>
      <x:c r="CM981" s="178" t="str">
        <x:f>IF(C981="","",IF(COUNT(G981:CB981)=0,"",IF(COUNT(G981:CB981)&lt;74,"موقت - اطلاعات ناقص",IF(CL981&gt;=17,"عالی",IF(CL981&gt;=14,"خوب",IF(CL981&gt;=10,"متوسط","ضعیف"))))))</x:f>
      </x:c>
      <x:c r="CN981" s="178" t="n">
        <x:v>5</x:v>
      </x:c>
      <x:c r="CO981" s="142" t="n">
        <x:f>IF(C981="","",COUNT(G981:CB981)/74)</x:f>
        <x:v>0</x:v>
      </x:c>
      <x:c r="CP981" s="245"/>
    </x:row>
    <x:row r="982">
      <x:c r="A982" s="165" t="n">
        <x:v>978</x:v>
      </x:c>
      <x:c r="B982" s="233" t="str">
        <x:v>آذر</x:v>
      </x:c>
      <x:c r="C982" s="233" t="n">
        <x:f>IF('دانش‌آموزان'!E86="","",'دانش‌آموزان'!B86)</x:f>
        <x:v>82</x:v>
      </x:c>
      <x:c r="D982" s="233" t="str">
        <x:f>IF('دانش‌آموزان'!C86="","",'دانش‌آموزان'!C86)</x:f>
        <x:v>4000000829</x:v>
      </x:c>
      <x:c r="E982" s="233" t="str">
        <x:f>IF('دانش‌آموزان'!E86="","",'دانش‌آموزان'!E86&amp;" "&amp;'دانش‌آموزان'!F86)</x:f>
        <x:v>فاطمه اکبری</x:v>
      </x:c>
      <x:c r="F982" s="166" t="str">
        <x:f>IF('دانش‌آموزان'!I86="","",'دانش‌آموزان'!I86)</x:f>
        <x:v>sample-7-d</x:v>
      </x:c>
      <x:c r="G982" s="114"/>
      <x:c r="H982" s="115"/>
      <x:c r="I982" s="115"/>
      <x:c r="J982" s="115"/>
      <x:c r="K982" s="115"/>
      <x:c r="L982" s="115"/>
      <x:c r="M982" s="115"/>
      <x:c r="N982" s="115"/>
      <x:c r="O982" s="115"/>
      <x:c r="P982" s="115"/>
      <x:c r="Q982" s="115"/>
      <x:c r="R982" s="115"/>
      <x:c r="S982" s="115"/>
      <x:c r="T982" s="115"/>
      <x:c r="U982" s="115"/>
      <x:c r="V982" s="115"/>
      <x:c r="W982" s="115"/>
      <x:c r="X982" s="115"/>
      <x:c r="Y982" s="115"/>
      <x:c r="Z982" s="115"/>
      <x:c r="AA982" s="115"/>
      <x:c r="AB982" s="115"/>
      <x:c r="AC982" s="115"/>
      <x:c r="AD982" s="115"/>
      <x:c r="AE982" s="115"/>
      <x:c r="AF982" s="115"/>
      <x:c r="AG982" s="115"/>
      <x:c r="AH982" s="115"/>
      <x:c r="AI982" s="115"/>
      <x:c r="AJ982" s="115"/>
      <x:c r="AK982" s="115"/>
      <x:c r="AL982" s="115"/>
      <x:c r="AM982" s="115"/>
      <x:c r="AN982" s="115"/>
      <x:c r="AO982" s="115"/>
      <x:c r="AP982" s="115"/>
      <x:c r="AQ982" s="115"/>
      <x:c r="AR982" s="115"/>
      <x:c r="AS982" s="115"/>
      <x:c r="AT982" s="115"/>
      <x:c r="AU982" s="115"/>
      <x:c r="AV982" s="115"/>
      <x:c r="AW982" s="115"/>
      <x:c r="AX982" s="115"/>
      <x:c r="AY982" s="115"/>
      <x:c r="AZ982" s="115"/>
      <x:c r="BA982" s="115"/>
      <x:c r="BB982" s="115"/>
      <x:c r="BC982" s="115"/>
      <x:c r="BD982" s="115"/>
      <x:c r="BE982" s="115"/>
      <x:c r="BF982" s="115"/>
      <x:c r="BG982" s="115"/>
      <x:c r="BH982" s="115"/>
      <x:c r="BI982" s="115"/>
      <x:c r="BJ982" s="115"/>
      <x:c r="BK982" s="115"/>
      <x:c r="BL982" s="115"/>
      <x:c r="BM982" s="115"/>
      <x:c r="BN982" s="115"/>
      <x:c r="BO982" s="115"/>
      <x:c r="BP982" s="115"/>
      <x:c r="BQ982" s="115"/>
      <x:c r="BR982" s="115"/>
      <x:c r="BS982" s="115"/>
      <x:c r="BT982" s="115"/>
      <x:c r="BU982" s="115"/>
      <x:c r="BV982" s="115"/>
      <x:c r="BW982" s="115"/>
      <x:c r="BX982" s="115"/>
      <x:c r="BY982" s="115"/>
      <x:c r="BZ982" s="115"/>
      <x:c r="CA982" s="115"/>
      <x:c r="CB982" s="116"/>
      <x:c r="CC982" s="141" t="str">
        <x:f>IF(COUNT(G982:P982)=0,"",AVERAGE(G982:P982)*4)</x:f>
      </x:c>
      <x:c r="CD982" s="178" t="str">
        <x:f>IF(COUNT(Q982:Z982)=0,"",AVERAGE(Q982:Z982)*4)</x:f>
      </x:c>
      <x:c r="CE982" s="178" t="str">
        <x:f>IF(COUNT(AA982:AJ982)=0,"",AVERAGE(AA982:AJ982)*4)</x:f>
      </x:c>
      <x:c r="CF982" s="178" t="str">
        <x:f>IF(COUNT(AK982:AR982)=0,"",AVERAGE(AK982:AR982)*4)</x:f>
      </x:c>
      <x:c r="CG982" s="178" t="str">
        <x:f>IF(COUNT(AS982:AY982)=0,"",AVERAGE(AS982:AY982)*4)</x:f>
      </x:c>
      <x:c r="CH982" s="178" t="str">
        <x:f>IF(COUNT(AZ982:BG982)=0,"",AVERAGE(AZ982:BG982)*4)</x:f>
      </x:c>
      <x:c r="CI982" s="178" t="str">
        <x:f>IF(COUNT(BH982:BN982)=0,"",AVERAGE(BH982:BN982)*4)</x:f>
      </x:c>
      <x:c r="CJ982" s="178" t="str">
        <x:f>IF(COUNT(BO982:BU982)=0,"",AVERAGE(BO982:BU982)*4)</x:f>
      </x:c>
      <x:c r="CK982" s="178" t="str">
        <x:f>IF(COUNT(BV982:CB982)=0,"",AVERAGE(BV982:CB982)*4)</x:f>
      </x:c>
      <x:c r="CL982" s="178" t="str">
        <x:f>IF(C982="","",IF(COUNT(G982:CB982)&lt;74,"",(CC982*'تنظیمات وزن‌دهی'!$C$5+CD982*'تنظیمات وزن‌دهی'!$C$6+CE982*'تنظیمات وزن‌دهی'!$C$7+CF982*'تنظیمات وزن‌دهی'!$C$8+CG982*'تنظیمات وزن‌دهی'!$C$9+CH982*'تنظیمات وزن‌دهی'!$C$10+CI982*'تنظیمات وزن‌دهی'!$C$11+CJ982*'تنظیمات وزن‌دهی'!$C$12+CK982*'تنظیمات وزن‌دهی'!$C$13)/100))</x:f>
      </x:c>
      <x:c r="CM982" s="178" t="str">
        <x:f>IF(C982="","",IF(COUNT(G982:CB982)=0,"",IF(COUNT(G982:CB982)&lt;74,"موقت - اطلاعات ناقص",IF(CL982&gt;=17,"عالی",IF(CL982&gt;=14,"خوب",IF(CL982&gt;=10,"متوسط","ضعیف"))))))</x:f>
      </x:c>
      <x:c r="CN982" s="178" t="n">
        <x:v>6</x:v>
      </x:c>
      <x:c r="CO982" s="142" t="n">
        <x:f>IF(C982="","",COUNT(G982:CB982)/74)</x:f>
        <x:v>0</x:v>
      </x:c>
      <x:c r="CP982" s="245"/>
    </x:row>
    <x:row r="983">
      <x:c r="A983" s="165" t="n">
        <x:v>979</x:v>
      </x:c>
      <x:c r="B983" s="233" t="str">
        <x:v>دی</x:v>
      </x:c>
      <x:c r="C983" s="233" t="n">
        <x:f>IF('دانش‌آموزان'!E86="","",'دانش‌آموزان'!B86)</x:f>
        <x:v>82</x:v>
      </x:c>
      <x:c r="D983" s="233" t="str">
        <x:f>IF('دانش‌آموزان'!C86="","",'دانش‌آموزان'!C86)</x:f>
        <x:v>4000000829</x:v>
      </x:c>
      <x:c r="E983" s="233" t="str">
        <x:f>IF('دانش‌آموزان'!E86="","",'دانش‌آموزان'!E86&amp;" "&amp;'دانش‌آموزان'!F86)</x:f>
        <x:v>فاطمه اکبری</x:v>
      </x:c>
      <x:c r="F983" s="166" t="str">
        <x:f>IF('دانش‌آموزان'!I86="","",'دانش‌آموزان'!I86)</x:f>
        <x:v>sample-7-d</x:v>
      </x:c>
      <x:c r="G983" s="114"/>
      <x:c r="H983" s="115"/>
      <x:c r="I983" s="115"/>
      <x:c r="J983" s="115"/>
      <x:c r="K983" s="115"/>
      <x:c r="L983" s="115"/>
      <x:c r="M983" s="115"/>
      <x:c r="N983" s="115"/>
      <x:c r="O983" s="115"/>
      <x:c r="P983" s="115"/>
      <x:c r="Q983" s="115"/>
      <x:c r="R983" s="115"/>
      <x:c r="S983" s="115"/>
      <x:c r="T983" s="115"/>
      <x:c r="U983" s="115"/>
      <x:c r="V983" s="115"/>
      <x:c r="W983" s="115"/>
      <x:c r="X983" s="115"/>
      <x:c r="Y983" s="115"/>
      <x:c r="Z983" s="115"/>
      <x:c r="AA983" s="115"/>
      <x:c r="AB983" s="115"/>
      <x:c r="AC983" s="115"/>
      <x:c r="AD983" s="115"/>
      <x:c r="AE983" s="115"/>
      <x:c r="AF983" s="115"/>
      <x:c r="AG983" s="115"/>
      <x:c r="AH983" s="115"/>
      <x:c r="AI983" s="115"/>
      <x:c r="AJ983" s="115"/>
      <x:c r="AK983" s="115"/>
      <x:c r="AL983" s="115"/>
      <x:c r="AM983" s="115"/>
      <x:c r="AN983" s="115"/>
      <x:c r="AO983" s="115"/>
      <x:c r="AP983" s="115"/>
      <x:c r="AQ983" s="115"/>
      <x:c r="AR983" s="115"/>
      <x:c r="AS983" s="115"/>
      <x:c r="AT983" s="115"/>
      <x:c r="AU983" s="115"/>
      <x:c r="AV983" s="115"/>
      <x:c r="AW983" s="115"/>
      <x:c r="AX983" s="115"/>
      <x:c r="AY983" s="115"/>
      <x:c r="AZ983" s="115"/>
      <x:c r="BA983" s="115"/>
      <x:c r="BB983" s="115"/>
      <x:c r="BC983" s="115"/>
      <x:c r="BD983" s="115"/>
      <x:c r="BE983" s="115"/>
      <x:c r="BF983" s="115"/>
      <x:c r="BG983" s="115"/>
      <x:c r="BH983" s="115"/>
      <x:c r="BI983" s="115"/>
      <x:c r="BJ983" s="115"/>
      <x:c r="BK983" s="115"/>
      <x:c r="BL983" s="115"/>
      <x:c r="BM983" s="115"/>
      <x:c r="BN983" s="115"/>
      <x:c r="BO983" s="115"/>
      <x:c r="BP983" s="115"/>
      <x:c r="BQ983" s="115"/>
      <x:c r="BR983" s="115"/>
      <x:c r="BS983" s="115"/>
      <x:c r="BT983" s="115"/>
      <x:c r="BU983" s="115"/>
      <x:c r="BV983" s="115"/>
      <x:c r="BW983" s="115"/>
      <x:c r="BX983" s="115"/>
      <x:c r="BY983" s="115"/>
      <x:c r="BZ983" s="115"/>
      <x:c r="CA983" s="115"/>
      <x:c r="CB983" s="116"/>
      <x:c r="CC983" s="141" t="str">
        <x:f>IF(COUNT(G983:P983)=0,"",AVERAGE(G983:P983)*4)</x:f>
      </x:c>
      <x:c r="CD983" s="178" t="str">
        <x:f>IF(COUNT(Q983:Z983)=0,"",AVERAGE(Q983:Z983)*4)</x:f>
      </x:c>
      <x:c r="CE983" s="178" t="str">
        <x:f>IF(COUNT(AA983:AJ983)=0,"",AVERAGE(AA983:AJ983)*4)</x:f>
      </x:c>
      <x:c r="CF983" s="178" t="str">
        <x:f>IF(COUNT(AK983:AR983)=0,"",AVERAGE(AK983:AR983)*4)</x:f>
      </x:c>
      <x:c r="CG983" s="178" t="str">
        <x:f>IF(COUNT(AS983:AY983)=0,"",AVERAGE(AS983:AY983)*4)</x:f>
      </x:c>
      <x:c r="CH983" s="178" t="str">
        <x:f>IF(COUNT(AZ983:BG983)=0,"",AVERAGE(AZ983:BG983)*4)</x:f>
      </x:c>
      <x:c r="CI983" s="178" t="str">
        <x:f>IF(COUNT(BH983:BN983)=0,"",AVERAGE(BH983:BN983)*4)</x:f>
      </x:c>
      <x:c r="CJ983" s="178" t="str">
        <x:f>IF(COUNT(BO983:BU983)=0,"",AVERAGE(BO983:BU983)*4)</x:f>
      </x:c>
      <x:c r="CK983" s="178" t="str">
        <x:f>IF(COUNT(BV983:CB983)=0,"",AVERAGE(BV983:CB983)*4)</x:f>
      </x:c>
      <x:c r="CL983" s="178" t="str">
        <x:f>IF(C983="","",IF(COUNT(G983:CB983)&lt;74,"",(CC983*'تنظیمات وزن‌دهی'!$C$5+CD983*'تنظیمات وزن‌دهی'!$C$6+CE983*'تنظیمات وزن‌دهی'!$C$7+CF983*'تنظیمات وزن‌دهی'!$C$8+CG983*'تنظیمات وزن‌دهی'!$C$9+CH983*'تنظیمات وزن‌دهی'!$C$10+CI983*'تنظیمات وزن‌دهی'!$C$11+CJ983*'تنظیمات وزن‌دهی'!$C$12+CK983*'تنظیمات وزن‌دهی'!$C$13)/100))</x:f>
      </x:c>
      <x:c r="CM983" s="178" t="str">
        <x:f>IF(C983="","",IF(COUNT(G983:CB983)=0,"",IF(COUNT(G983:CB983)&lt;74,"موقت - اطلاعات ناقص",IF(CL983&gt;=17,"عالی",IF(CL983&gt;=14,"خوب",IF(CL983&gt;=10,"متوسط","ضعیف"))))))</x:f>
      </x:c>
      <x:c r="CN983" s="178" t="n">
        <x:v>7</x:v>
      </x:c>
      <x:c r="CO983" s="142" t="n">
        <x:f>IF(C983="","",COUNT(G983:CB983)/74)</x:f>
        <x:v>0</x:v>
      </x:c>
      <x:c r="CP983" s="245"/>
    </x:row>
    <x:row r="984">
      <x:c r="A984" s="165" t="n">
        <x:v>980</x:v>
      </x:c>
      <x:c r="B984" s="233" t="str">
        <x:v>بهمن</x:v>
      </x:c>
      <x:c r="C984" s="233" t="n">
        <x:f>IF('دانش‌آموزان'!E86="","",'دانش‌آموزان'!B86)</x:f>
        <x:v>82</x:v>
      </x:c>
      <x:c r="D984" s="233" t="str">
        <x:f>IF('دانش‌آموزان'!C86="","",'دانش‌آموزان'!C86)</x:f>
        <x:v>4000000829</x:v>
      </x:c>
      <x:c r="E984" s="233" t="str">
        <x:f>IF('دانش‌آموزان'!E86="","",'دانش‌آموزان'!E86&amp;" "&amp;'دانش‌آموزان'!F86)</x:f>
        <x:v>فاطمه اکبری</x:v>
      </x:c>
      <x:c r="F984" s="166" t="str">
        <x:f>IF('دانش‌آموزان'!I86="","",'دانش‌آموزان'!I86)</x:f>
        <x:v>sample-7-d</x:v>
      </x:c>
      <x:c r="G984" s="114"/>
      <x:c r="H984" s="115"/>
      <x:c r="I984" s="115"/>
      <x:c r="J984" s="115"/>
      <x:c r="K984" s="115"/>
      <x:c r="L984" s="115"/>
      <x:c r="M984" s="115"/>
      <x:c r="N984" s="115"/>
      <x:c r="O984" s="115"/>
      <x:c r="P984" s="115"/>
      <x:c r="Q984" s="115"/>
      <x:c r="R984" s="115"/>
      <x:c r="S984" s="115"/>
      <x:c r="T984" s="115"/>
      <x:c r="U984" s="115"/>
      <x:c r="V984" s="115"/>
      <x:c r="W984" s="115"/>
      <x:c r="X984" s="115"/>
      <x:c r="Y984" s="115"/>
      <x:c r="Z984" s="115"/>
      <x:c r="AA984" s="115"/>
      <x:c r="AB984" s="115"/>
      <x:c r="AC984" s="115"/>
      <x:c r="AD984" s="115"/>
      <x:c r="AE984" s="115"/>
      <x:c r="AF984" s="115"/>
      <x:c r="AG984" s="115"/>
      <x:c r="AH984" s="115"/>
      <x:c r="AI984" s="115"/>
      <x:c r="AJ984" s="115"/>
      <x:c r="AK984" s="115"/>
      <x:c r="AL984" s="115"/>
      <x:c r="AM984" s="115"/>
      <x:c r="AN984" s="115"/>
      <x:c r="AO984" s="115"/>
      <x:c r="AP984" s="115"/>
      <x:c r="AQ984" s="115"/>
      <x:c r="AR984" s="115"/>
      <x:c r="AS984" s="115"/>
      <x:c r="AT984" s="115"/>
      <x:c r="AU984" s="115"/>
      <x:c r="AV984" s="115"/>
      <x:c r="AW984" s="115"/>
      <x:c r="AX984" s="115"/>
      <x:c r="AY984" s="115"/>
      <x:c r="AZ984" s="115"/>
      <x:c r="BA984" s="115"/>
      <x:c r="BB984" s="115"/>
      <x:c r="BC984" s="115"/>
      <x:c r="BD984" s="115"/>
      <x:c r="BE984" s="115"/>
      <x:c r="BF984" s="115"/>
      <x:c r="BG984" s="115"/>
      <x:c r="BH984" s="115"/>
      <x:c r="BI984" s="115"/>
      <x:c r="BJ984" s="115"/>
      <x:c r="BK984" s="115"/>
      <x:c r="BL984" s="115"/>
      <x:c r="BM984" s="115"/>
      <x:c r="BN984" s="115"/>
      <x:c r="BO984" s="115"/>
      <x:c r="BP984" s="115"/>
      <x:c r="BQ984" s="115"/>
      <x:c r="BR984" s="115"/>
      <x:c r="BS984" s="115"/>
      <x:c r="BT984" s="115"/>
      <x:c r="BU984" s="115"/>
      <x:c r="BV984" s="115"/>
      <x:c r="BW984" s="115"/>
      <x:c r="BX984" s="115"/>
      <x:c r="BY984" s="115"/>
      <x:c r="BZ984" s="115"/>
      <x:c r="CA984" s="115"/>
      <x:c r="CB984" s="116"/>
      <x:c r="CC984" s="141" t="str">
        <x:f>IF(COUNT(G984:P984)=0,"",AVERAGE(G984:P984)*4)</x:f>
      </x:c>
      <x:c r="CD984" s="178" t="str">
        <x:f>IF(COUNT(Q984:Z984)=0,"",AVERAGE(Q984:Z984)*4)</x:f>
      </x:c>
      <x:c r="CE984" s="178" t="str">
        <x:f>IF(COUNT(AA984:AJ984)=0,"",AVERAGE(AA984:AJ984)*4)</x:f>
      </x:c>
      <x:c r="CF984" s="178" t="str">
        <x:f>IF(COUNT(AK984:AR984)=0,"",AVERAGE(AK984:AR984)*4)</x:f>
      </x:c>
      <x:c r="CG984" s="178" t="str">
        <x:f>IF(COUNT(AS984:AY984)=0,"",AVERAGE(AS984:AY984)*4)</x:f>
      </x:c>
      <x:c r="CH984" s="178" t="str">
        <x:f>IF(COUNT(AZ984:BG984)=0,"",AVERAGE(AZ984:BG984)*4)</x:f>
      </x:c>
      <x:c r="CI984" s="178" t="str">
        <x:f>IF(COUNT(BH984:BN984)=0,"",AVERAGE(BH984:BN984)*4)</x:f>
      </x:c>
      <x:c r="CJ984" s="178" t="str">
        <x:f>IF(COUNT(BO984:BU984)=0,"",AVERAGE(BO984:BU984)*4)</x:f>
      </x:c>
      <x:c r="CK984" s="178" t="str">
        <x:f>IF(COUNT(BV984:CB984)=0,"",AVERAGE(BV984:CB984)*4)</x:f>
      </x:c>
      <x:c r="CL984" s="178" t="str">
        <x:f>IF(C984="","",IF(COUNT(G984:CB984)&lt;74,"",(CC984*'تنظیمات وزن‌دهی'!$C$5+CD984*'تنظیمات وزن‌دهی'!$C$6+CE984*'تنظیمات وزن‌دهی'!$C$7+CF984*'تنظیمات وزن‌دهی'!$C$8+CG984*'تنظیمات وزن‌دهی'!$C$9+CH984*'تنظیمات وزن‌دهی'!$C$10+CI984*'تنظیمات وزن‌دهی'!$C$11+CJ984*'تنظیمات وزن‌دهی'!$C$12+CK984*'تنظیمات وزن‌دهی'!$C$13)/100))</x:f>
      </x:c>
      <x:c r="CM984" s="178" t="str">
        <x:f>IF(C984="","",IF(COUNT(G984:CB984)=0,"",IF(COUNT(G984:CB984)&lt;74,"موقت - اطلاعات ناقص",IF(CL984&gt;=17,"عالی",IF(CL984&gt;=14,"خوب",IF(CL984&gt;=10,"متوسط","ضعیف"))))))</x:f>
      </x:c>
      <x:c r="CN984" s="178" t="n">
        <x:v>8</x:v>
      </x:c>
      <x:c r="CO984" s="142" t="n">
        <x:f>IF(C984="","",COUNT(G984:CB984)/74)</x:f>
        <x:v>0</x:v>
      </x:c>
      <x:c r="CP984" s="245"/>
    </x:row>
    <x:row r="985">
      <x:c r="A985" s="165" t="n">
        <x:v>981</x:v>
      </x:c>
      <x:c r="B985" s="233" t="str">
        <x:v>اسفند</x:v>
      </x:c>
      <x:c r="C985" s="233" t="n">
        <x:f>IF('دانش‌آموزان'!E86="","",'دانش‌آموزان'!B86)</x:f>
        <x:v>82</x:v>
      </x:c>
      <x:c r="D985" s="233" t="str">
        <x:f>IF('دانش‌آموزان'!C86="","",'دانش‌آموزان'!C86)</x:f>
        <x:v>4000000829</x:v>
      </x:c>
      <x:c r="E985" s="233" t="str">
        <x:f>IF('دانش‌آموزان'!E86="","",'دانش‌آموزان'!E86&amp;" "&amp;'دانش‌آموزان'!F86)</x:f>
        <x:v>فاطمه اکبری</x:v>
      </x:c>
      <x:c r="F985" s="166" t="str">
        <x:f>IF('دانش‌آموزان'!I86="","",'دانش‌آموزان'!I86)</x:f>
        <x:v>sample-7-d</x:v>
      </x:c>
      <x:c r="G985" s="114"/>
      <x:c r="H985" s="115"/>
      <x:c r="I985" s="115"/>
      <x:c r="J985" s="115"/>
      <x:c r="K985" s="115"/>
      <x:c r="L985" s="115"/>
      <x:c r="M985" s="115"/>
      <x:c r="N985" s="115"/>
      <x:c r="O985" s="115"/>
      <x:c r="P985" s="115"/>
      <x:c r="Q985" s="115"/>
      <x:c r="R985" s="115"/>
      <x:c r="S985" s="115"/>
      <x:c r="T985" s="115"/>
      <x:c r="U985" s="115"/>
      <x:c r="V985" s="115"/>
      <x:c r="W985" s="115"/>
      <x:c r="X985" s="115"/>
      <x:c r="Y985" s="115"/>
      <x:c r="Z985" s="115"/>
      <x:c r="AA985" s="115"/>
      <x:c r="AB985" s="115"/>
      <x:c r="AC985" s="115"/>
      <x:c r="AD985" s="115"/>
      <x:c r="AE985" s="115"/>
      <x:c r="AF985" s="115"/>
      <x:c r="AG985" s="115"/>
      <x:c r="AH985" s="115"/>
      <x:c r="AI985" s="115"/>
      <x:c r="AJ985" s="115"/>
      <x:c r="AK985" s="115"/>
      <x:c r="AL985" s="115"/>
      <x:c r="AM985" s="115"/>
      <x:c r="AN985" s="115"/>
      <x:c r="AO985" s="115"/>
      <x:c r="AP985" s="115"/>
      <x:c r="AQ985" s="115"/>
      <x:c r="AR985" s="115"/>
      <x:c r="AS985" s="115"/>
      <x:c r="AT985" s="115"/>
      <x:c r="AU985" s="115"/>
      <x:c r="AV985" s="115"/>
      <x:c r="AW985" s="115"/>
      <x:c r="AX985" s="115"/>
      <x:c r="AY985" s="115"/>
      <x:c r="AZ985" s="115"/>
      <x:c r="BA985" s="115"/>
      <x:c r="BB985" s="115"/>
      <x:c r="BC985" s="115"/>
      <x:c r="BD985" s="115"/>
      <x:c r="BE985" s="115"/>
      <x:c r="BF985" s="115"/>
      <x:c r="BG985" s="115"/>
      <x:c r="BH985" s="115"/>
      <x:c r="BI985" s="115"/>
      <x:c r="BJ985" s="115"/>
      <x:c r="BK985" s="115"/>
      <x:c r="BL985" s="115"/>
      <x:c r="BM985" s="115"/>
      <x:c r="BN985" s="115"/>
      <x:c r="BO985" s="115"/>
      <x:c r="BP985" s="115"/>
      <x:c r="BQ985" s="115"/>
      <x:c r="BR985" s="115"/>
      <x:c r="BS985" s="115"/>
      <x:c r="BT985" s="115"/>
      <x:c r="BU985" s="115"/>
      <x:c r="BV985" s="115"/>
      <x:c r="BW985" s="115"/>
      <x:c r="BX985" s="115"/>
      <x:c r="BY985" s="115"/>
      <x:c r="BZ985" s="115"/>
      <x:c r="CA985" s="115"/>
      <x:c r="CB985" s="116"/>
      <x:c r="CC985" s="141" t="str">
        <x:f>IF(COUNT(G985:P985)=0,"",AVERAGE(G985:P985)*4)</x:f>
      </x:c>
      <x:c r="CD985" s="178" t="str">
        <x:f>IF(COUNT(Q985:Z985)=0,"",AVERAGE(Q985:Z985)*4)</x:f>
      </x:c>
      <x:c r="CE985" s="178" t="str">
        <x:f>IF(COUNT(AA985:AJ985)=0,"",AVERAGE(AA985:AJ985)*4)</x:f>
      </x:c>
      <x:c r="CF985" s="178" t="str">
        <x:f>IF(COUNT(AK985:AR985)=0,"",AVERAGE(AK985:AR985)*4)</x:f>
      </x:c>
      <x:c r="CG985" s="178" t="str">
        <x:f>IF(COUNT(AS985:AY985)=0,"",AVERAGE(AS985:AY985)*4)</x:f>
      </x:c>
      <x:c r="CH985" s="178" t="str">
        <x:f>IF(COUNT(AZ985:BG985)=0,"",AVERAGE(AZ985:BG985)*4)</x:f>
      </x:c>
      <x:c r="CI985" s="178" t="str">
        <x:f>IF(COUNT(BH985:BN985)=0,"",AVERAGE(BH985:BN985)*4)</x:f>
      </x:c>
      <x:c r="CJ985" s="178" t="str">
        <x:f>IF(COUNT(BO985:BU985)=0,"",AVERAGE(BO985:BU985)*4)</x:f>
      </x:c>
      <x:c r="CK985" s="178" t="str">
        <x:f>IF(COUNT(BV985:CB985)=0,"",AVERAGE(BV985:CB985)*4)</x:f>
      </x:c>
      <x:c r="CL985" s="178" t="str">
        <x:f>IF(C985="","",IF(COUNT(G985:CB985)&lt;74,"",(CC985*'تنظیمات وزن‌دهی'!$C$5+CD985*'تنظیمات وزن‌دهی'!$C$6+CE985*'تنظیمات وزن‌دهی'!$C$7+CF985*'تنظیمات وزن‌دهی'!$C$8+CG985*'تنظیمات وزن‌دهی'!$C$9+CH985*'تنظیمات وزن‌دهی'!$C$10+CI985*'تنظیمات وزن‌دهی'!$C$11+CJ985*'تنظیمات وزن‌دهی'!$C$12+CK985*'تنظیمات وزن‌دهی'!$C$13)/100))</x:f>
      </x:c>
      <x:c r="CM985" s="178" t="str">
        <x:f>IF(C985="","",IF(COUNT(G985:CB985)=0,"",IF(COUNT(G985:CB985)&lt;74,"موقت - اطلاعات ناقص",IF(CL985&gt;=17,"عالی",IF(CL985&gt;=14,"خوب",IF(CL985&gt;=10,"متوسط","ضعیف"))))))</x:f>
      </x:c>
      <x:c r="CN985" s="178" t="n">
        <x:v>9</x:v>
      </x:c>
      <x:c r="CO985" s="142" t="n">
        <x:f>IF(C985="","",COUNT(G985:CB985)/74)</x:f>
        <x:v>0</x:v>
      </x:c>
      <x:c r="CP985" s="245"/>
    </x:row>
    <x:row r="986">
      <x:c r="A986" s="165" t="n">
        <x:v>982</x:v>
      </x:c>
      <x:c r="B986" s="233" t="str">
        <x:v>فروردین</x:v>
      </x:c>
      <x:c r="C986" s="233" t="n">
        <x:f>IF('دانش‌آموزان'!E86="","",'دانش‌آموزان'!B86)</x:f>
        <x:v>82</x:v>
      </x:c>
      <x:c r="D986" s="233" t="str">
        <x:f>IF('دانش‌آموزان'!C86="","",'دانش‌آموزان'!C86)</x:f>
        <x:v>4000000829</x:v>
      </x:c>
      <x:c r="E986" s="233" t="str">
        <x:f>IF('دانش‌آموزان'!E86="","",'دانش‌آموزان'!E86&amp;" "&amp;'دانش‌آموزان'!F86)</x:f>
        <x:v>فاطمه اکبری</x:v>
      </x:c>
      <x:c r="F986" s="166" t="str">
        <x:f>IF('دانش‌آموزان'!I86="","",'دانش‌آموزان'!I86)</x:f>
        <x:v>sample-7-d</x:v>
      </x:c>
      <x:c r="G986" s="114"/>
      <x:c r="H986" s="115"/>
      <x:c r="I986" s="115"/>
      <x:c r="J986" s="115"/>
      <x:c r="K986" s="115"/>
      <x:c r="L986" s="115"/>
      <x:c r="M986" s="115"/>
      <x:c r="N986" s="115"/>
      <x:c r="O986" s="115"/>
      <x:c r="P986" s="115"/>
      <x:c r="Q986" s="115"/>
      <x:c r="R986" s="115"/>
      <x:c r="S986" s="115"/>
      <x:c r="T986" s="115"/>
      <x:c r="U986" s="115"/>
      <x:c r="V986" s="115"/>
      <x:c r="W986" s="115"/>
      <x:c r="X986" s="115"/>
      <x:c r="Y986" s="115"/>
      <x:c r="Z986" s="115"/>
      <x:c r="AA986" s="115"/>
      <x:c r="AB986" s="115"/>
      <x:c r="AC986" s="115"/>
      <x:c r="AD986" s="115"/>
      <x:c r="AE986" s="115"/>
      <x:c r="AF986" s="115"/>
      <x:c r="AG986" s="115"/>
      <x:c r="AH986" s="115"/>
      <x:c r="AI986" s="115"/>
      <x:c r="AJ986" s="115"/>
      <x:c r="AK986" s="115"/>
      <x:c r="AL986" s="115"/>
      <x:c r="AM986" s="115"/>
      <x:c r="AN986" s="115"/>
      <x:c r="AO986" s="115"/>
      <x:c r="AP986" s="115"/>
      <x:c r="AQ986" s="115"/>
      <x:c r="AR986" s="115"/>
      <x:c r="AS986" s="115"/>
      <x:c r="AT986" s="115"/>
      <x:c r="AU986" s="115"/>
      <x:c r="AV986" s="115"/>
      <x:c r="AW986" s="115"/>
      <x:c r="AX986" s="115"/>
      <x:c r="AY986" s="115"/>
      <x:c r="AZ986" s="115"/>
      <x:c r="BA986" s="115"/>
      <x:c r="BB986" s="115"/>
      <x:c r="BC986" s="115"/>
      <x:c r="BD986" s="115"/>
      <x:c r="BE986" s="115"/>
      <x:c r="BF986" s="115"/>
      <x:c r="BG986" s="115"/>
      <x:c r="BH986" s="115"/>
      <x:c r="BI986" s="115"/>
      <x:c r="BJ986" s="115"/>
      <x:c r="BK986" s="115"/>
      <x:c r="BL986" s="115"/>
      <x:c r="BM986" s="115"/>
      <x:c r="BN986" s="115"/>
      <x:c r="BO986" s="115"/>
      <x:c r="BP986" s="115"/>
      <x:c r="BQ986" s="115"/>
      <x:c r="BR986" s="115"/>
      <x:c r="BS986" s="115"/>
      <x:c r="BT986" s="115"/>
      <x:c r="BU986" s="115"/>
      <x:c r="BV986" s="115"/>
      <x:c r="BW986" s="115"/>
      <x:c r="BX986" s="115"/>
      <x:c r="BY986" s="115"/>
      <x:c r="BZ986" s="115"/>
      <x:c r="CA986" s="115"/>
      <x:c r="CB986" s="116"/>
      <x:c r="CC986" s="141" t="str">
        <x:f>IF(COUNT(G986:P986)=0,"",AVERAGE(G986:P986)*4)</x:f>
      </x:c>
      <x:c r="CD986" s="178" t="str">
        <x:f>IF(COUNT(Q986:Z986)=0,"",AVERAGE(Q986:Z986)*4)</x:f>
      </x:c>
      <x:c r="CE986" s="178" t="str">
        <x:f>IF(COUNT(AA986:AJ986)=0,"",AVERAGE(AA986:AJ986)*4)</x:f>
      </x:c>
      <x:c r="CF986" s="178" t="str">
        <x:f>IF(COUNT(AK986:AR986)=0,"",AVERAGE(AK986:AR986)*4)</x:f>
      </x:c>
      <x:c r="CG986" s="178" t="str">
        <x:f>IF(COUNT(AS986:AY986)=0,"",AVERAGE(AS986:AY986)*4)</x:f>
      </x:c>
      <x:c r="CH986" s="178" t="str">
        <x:f>IF(COUNT(AZ986:BG986)=0,"",AVERAGE(AZ986:BG986)*4)</x:f>
      </x:c>
      <x:c r="CI986" s="178" t="str">
        <x:f>IF(COUNT(BH986:BN986)=0,"",AVERAGE(BH986:BN986)*4)</x:f>
      </x:c>
      <x:c r="CJ986" s="178" t="str">
        <x:f>IF(COUNT(BO986:BU986)=0,"",AVERAGE(BO986:BU986)*4)</x:f>
      </x:c>
      <x:c r="CK986" s="178" t="str">
        <x:f>IF(COUNT(BV986:CB986)=0,"",AVERAGE(BV986:CB986)*4)</x:f>
      </x:c>
      <x:c r="CL986" s="178" t="str">
        <x:f>IF(C986="","",IF(COUNT(G986:CB986)&lt;74,"",(CC986*'تنظیمات وزن‌دهی'!$C$5+CD986*'تنظیمات وزن‌دهی'!$C$6+CE986*'تنظیمات وزن‌دهی'!$C$7+CF986*'تنظیمات وزن‌دهی'!$C$8+CG986*'تنظیمات وزن‌دهی'!$C$9+CH986*'تنظیمات وزن‌دهی'!$C$10+CI986*'تنظیمات وزن‌دهی'!$C$11+CJ986*'تنظیمات وزن‌دهی'!$C$12+CK986*'تنظیمات وزن‌دهی'!$C$13)/100))</x:f>
      </x:c>
      <x:c r="CM986" s="178" t="str">
        <x:f>IF(C986="","",IF(COUNT(G986:CB986)=0,"",IF(COUNT(G986:CB986)&lt;74,"موقت - اطلاعات ناقص",IF(CL986&gt;=17,"عالی",IF(CL986&gt;=14,"خوب",IF(CL986&gt;=10,"متوسط","ضعیف"))))))</x:f>
      </x:c>
      <x:c r="CN986" s="178" t="n">
        <x:v>10</x:v>
      </x:c>
      <x:c r="CO986" s="142" t="n">
        <x:f>IF(C986="","",COUNT(G986:CB986)/74)</x:f>
        <x:v>0</x:v>
      </x:c>
      <x:c r="CP986" s="245"/>
    </x:row>
    <x:row r="987">
      <x:c r="A987" s="165" t="n">
        <x:v>983</x:v>
      </x:c>
      <x:c r="B987" s="233" t="str">
        <x:v>اردیبهشت</x:v>
      </x:c>
      <x:c r="C987" s="233" t="n">
        <x:f>IF('دانش‌آموزان'!E86="","",'دانش‌آموزان'!B86)</x:f>
        <x:v>82</x:v>
      </x:c>
      <x:c r="D987" s="233" t="str">
        <x:f>IF('دانش‌آموزان'!C86="","",'دانش‌آموزان'!C86)</x:f>
        <x:v>4000000829</x:v>
      </x:c>
      <x:c r="E987" s="233" t="str">
        <x:f>IF('دانش‌آموزان'!E86="","",'دانش‌آموزان'!E86&amp;" "&amp;'دانش‌آموزان'!F86)</x:f>
        <x:v>فاطمه اکبری</x:v>
      </x:c>
      <x:c r="F987" s="166" t="str">
        <x:f>IF('دانش‌آموزان'!I86="","",'دانش‌آموزان'!I86)</x:f>
        <x:v>sample-7-d</x:v>
      </x:c>
      <x:c r="G987" s="114"/>
      <x:c r="H987" s="115"/>
      <x:c r="I987" s="115"/>
      <x:c r="J987" s="115"/>
      <x:c r="K987" s="115"/>
      <x:c r="L987" s="115"/>
      <x:c r="M987" s="115"/>
      <x:c r="N987" s="115"/>
      <x:c r="O987" s="115"/>
      <x:c r="P987" s="115"/>
      <x:c r="Q987" s="115"/>
      <x:c r="R987" s="115"/>
      <x:c r="S987" s="115"/>
      <x:c r="T987" s="115"/>
      <x:c r="U987" s="115"/>
      <x:c r="V987" s="115"/>
      <x:c r="W987" s="115"/>
      <x:c r="X987" s="115"/>
      <x:c r="Y987" s="115"/>
      <x:c r="Z987" s="115"/>
      <x:c r="AA987" s="115"/>
      <x:c r="AB987" s="115"/>
      <x:c r="AC987" s="115"/>
      <x:c r="AD987" s="115"/>
      <x:c r="AE987" s="115"/>
      <x:c r="AF987" s="115"/>
      <x:c r="AG987" s="115"/>
      <x:c r="AH987" s="115"/>
      <x:c r="AI987" s="115"/>
      <x:c r="AJ987" s="115"/>
      <x:c r="AK987" s="115"/>
      <x:c r="AL987" s="115"/>
      <x:c r="AM987" s="115"/>
      <x:c r="AN987" s="115"/>
      <x:c r="AO987" s="115"/>
      <x:c r="AP987" s="115"/>
      <x:c r="AQ987" s="115"/>
      <x:c r="AR987" s="115"/>
      <x:c r="AS987" s="115"/>
      <x:c r="AT987" s="115"/>
      <x:c r="AU987" s="115"/>
      <x:c r="AV987" s="115"/>
      <x:c r="AW987" s="115"/>
      <x:c r="AX987" s="115"/>
      <x:c r="AY987" s="115"/>
      <x:c r="AZ987" s="115"/>
      <x:c r="BA987" s="115"/>
      <x:c r="BB987" s="115"/>
      <x:c r="BC987" s="115"/>
      <x:c r="BD987" s="115"/>
      <x:c r="BE987" s="115"/>
      <x:c r="BF987" s="115"/>
      <x:c r="BG987" s="115"/>
      <x:c r="BH987" s="115"/>
      <x:c r="BI987" s="115"/>
      <x:c r="BJ987" s="115"/>
      <x:c r="BK987" s="115"/>
      <x:c r="BL987" s="115"/>
      <x:c r="BM987" s="115"/>
      <x:c r="BN987" s="115"/>
      <x:c r="BO987" s="115"/>
      <x:c r="BP987" s="115"/>
      <x:c r="BQ987" s="115"/>
      <x:c r="BR987" s="115"/>
      <x:c r="BS987" s="115"/>
      <x:c r="BT987" s="115"/>
      <x:c r="BU987" s="115"/>
      <x:c r="BV987" s="115"/>
      <x:c r="BW987" s="115"/>
      <x:c r="BX987" s="115"/>
      <x:c r="BY987" s="115"/>
      <x:c r="BZ987" s="115"/>
      <x:c r="CA987" s="115"/>
      <x:c r="CB987" s="116"/>
      <x:c r="CC987" s="141" t="str">
        <x:f>IF(COUNT(G987:P987)=0,"",AVERAGE(G987:P987)*4)</x:f>
      </x:c>
      <x:c r="CD987" s="178" t="str">
        <x:f>IF(COUNT(Q987:Z987)=0,"",AVERAGE(Q987:Z987)*4)</x:f>
      </x:c>
      <x:c r="CE987" s="178" t="str">
        <x:f>IF(COUNT(AA987:AJ987)=0,"",AVERAGE(AA987:AJ987)*4)</x:f>
      </x:c>
      <x:c r="CF987" s="178" t="str">
        <x:f>IF(COUNT(AK987:AR987)=0,"",AVERAGE(AK987:AR987)*4)</x:f>
      </x:c>
      <x:c r="CG987" s="178" t="str">
        <x:f>IF(COUNT(AS987:AY987)=0,"",AVERAGE(AS987:AY987)*4)</x:f>
      </x:c>
      <x:c r="CH987" s="178" t="str">
        <x:f>IF(COUNT(AZ987:BG987)=0,"",AVERAGE(AZ987:BG987)*4)</x:f>
      </x:c>
      <x:c r="CI987" s="178" t="str">
        <x:f>IF(COUNT(BH987:BN987)=0,"",AVERAGE(BH987:BN987)*4)</x:f>
      </x:c>
      <x:c r="CJ987" s="178" t="str">
        <x:f>IF(COUNT(BO987:BU987)=0,"",AVERAGE(BO987:BU987)*4)</x:f>
      </x:c>
      <x:c r="CK987" s="178" t="str">
        <x:f>IF(COUNT(BV987:CB987)=0,"",AVERAGE(BV987:CB987)*4)</x:f>
      </x:c>
      <x:c r="CL987" s="178" t="str">
        <x:f>IF(C987="","",IF(COUNT(G987:CB987)&lt;74,"",(CC987*'تنظیمات وزن‌دهی'!$C$5+CD987*'تنظیمات وزن‌دهی'!$C$6+CE987*'تنظیمات وزن‌دهی'!$C$7+CF987*'تنظیمات وزن‌دهی'!$C$8+CG987*'تنظیمات وزن‌دهی'!$C$9+CH987*'تنظیمات وزن‌دهی'!$C$10+CI987*'تنظیمات وزن‌دهی'!$C$11+CJ987*'تنظیمات وزن‌دهی'!$C$12+CK987*'تنظیمات وزن‌دهی'!$C$13)/100))</x:f>
      </x:c>
      <x:c r="CM987" s="178" t="str">
        <x:f>IF(C987="","",IF(COUNT(G987:CB987)=0,"",IF(COUNT(G987:CB987)&lt;74,"موقت - اطلاعات ناقص",IF(CL987&gt;=17,"عالی",IF(CL987&gt;=14,"خوب",IF(CL987&gt;=10,"متوسط","ضعیف"))))))</x:f>
      </x:c>
      <x:c r="CN987" s="178" t="n">
        <x:v>11</x:v>
      </x:c>
      <x:c r="CO987" s="142" t="n">
        <x:f>IF(C987="","",COUNT(G987:CB987)/74)</x:f>
        <x:v>0</x:v>
      </x:c>
      <x:c r="CP987" s="245"/>
    </x:row>
    <x:row r="988">
      <x:c r="A988" s="165" t="n">
        <x:v>984</x:v>
      </x:c>
      <x:c r="B988" s="233" t="str">
        <x:v>خرداد</x:v>
      </x:c>
      <x:c r="C988" s="233" t="n">
        <x:f>IF('دانش‌آموزان'!E86="","",'دانش‌آموزان'!B86)</x:f>
        <x:v>82</x:v>
      </x:c>
      <x:c r="D988" s="233" t="str">
        <x:f>IF('دانش‌آموزان'!C86="","",'دانش‌آموزان'!C86)</x:f>
        <x:v>4000000829</x:v>
      </x:c>
      <x:c r="E988" s="233" t="str">
        <x:f>IF('دانش‌آموزان'!E86="","",'دانش‌آموزان'!E86&amp;" "&amp;'دانش‌آموزان'!F86)</x:f>
        <x:v>فاطمه اکبری</x:v>
      </x:c>
      <x:c r="F988" s="166" t="str">
        <x:f>IF('دانش‌آموزان'!I86="","",'دانش‌آموزان'!I86)</x:f>
        <x:v>sample-7-d</x:v>
      </x:c>
      <x:c r="G988" s="114"/>
      <x:c r="H988" s="115"/>
      <x:c r="I988" s="115"/>
      <x:c r="J988" s="115"/>
      <x:c r="K988" s="115"/>
      <x:c r="L988" s="115"/>
      <x:c r="M988" s="115"/>
      <x:c r="N988" s="115"/>
      <x:c r="O988" s="115"/>
      <x:c r="P988" s="115"/>
      <x:c r="Q988" s="115"/>
      <x:c r="R988" s="115"/>
      <x:c r="S988" s="115"/>
      <x:c r="T988" s="115"/>
      <x:c r="U988" s="115"/>
      <x:c r="V988" s="115"/>
      <x:c r="W988" s="115"/>
      <x:c r="X988" s="115"/>
      <x:c r="Y988" s="115"/>
      <x:c r="Z988" s="115"/>
      <x:c r="AA988" s="115"/>
      <x:c r="AB988" s="115"/>
      <x:c r="AC988" s="115"/>
      <x:c r="AD988" s="115"/>
      <x:c r="AE988" s="115"/>
      <x:c r="AF988" s="115"/>
      <x:c r="AG988" s="115"/>
      <x:c r="AH988" s="115"/>
      <x:c r="AI988" s="115"/>
      <x:c r="AJ988" s="115"/>
      <x:c r="AK988" s="115"/>
      <x:c r="AL988" s="115"/>
      <x:c r="AM988" s="115"/>
      <x:c r="AN988" s="115"/>
      <x:c r="AO988" s="115"/>
      <x:c r="AP988" s="115"/>
      <x:c r="AQ988" s="115"/>
      <x:c r="AR988" s="115"/>
      <x:c r="AS988" s="115"/>
      <x:c r="AT988" s="115"/>
      <x:c r="AU988" s="115"/>
      <x:c r="AV988" s="115"/>
      <x:c r="AW988" s="115"/>
      <x:c r="AX988" s="115"/>
      <x:c r="AY988" s="115"/>
      <x:c r="AZ988" s="115"/>
      <x:c r="BA988" s="115"/>
      <x:c r="BB988" s="115"/>
      <x:c r="BC988" s="115"/>
      <x:c r="BD988" s="115"/>
      <x:c r="BE988" s="115"/>
      <x:c r="BF988" s="115"/>
      <x:c r="BG988" s="115"/>
      <x:c r="BH988" s="115"/>
      <x:c r="BI988" s="115"/>
      <x:c r="BJ988" s="115"/>
      <x:c r="BK988" s="115"/>
      <x:c r="BL988" s="115"/>
      <x:c r="BM988" s="115"/>
      <x:c r="BN988" s="115"/>
      <x:c r="BO988" s="115"/>
      <x:c r="BP988" s="115"/>
      <x:c r="BQ988" s="115"/>
      <x:c r="BR988" s="115"/>
      <x:c r="BS988" s="115"/>
      <x:c r="BT988" s="115"/>
      <x:c r="BU988" s="115"/>
      <x:c r="BV988" s="115"/>
      <x:c r="BW988" s="115"/>
      <x:c r="BX988" s="115"/>
      <x:c r="BY988" s="115"/>
      <x:c r="BZ988" s="115"/>
      <x:c r="CA988" s="115"/>
      <x:c r="CB988" s="116"/>
      <x:c r="CC988" s="141" t="str">
        <x:f>IF(COUNT(G988:P988)=0,"",AVERAGE(G988:P988)*4)</x:f>
      </x:c>
      <x:c r="CD988" s="178" t="str">
        <x:f>IF(COUNT(Q988:Z988)=0,"",AVERAGE(Q988:Z988)*4)</x:f>
      </x:c>
      <x:c r="CE988" s="178" t="str">
        <x:f>IF(COUNT(AA988:AJ988)=0,"",AVERAGE(AA988:AJ988)*4)</x:f>
      </x:c>
      <x:c r="CF988" s="178" t="str">
        <x:f>IF(COUNT(AK988:AR988)=0,"",AVERAGE(AK988:AR988)*4)</x:f>
      </x:c>
      <x:c r="CG988" s="178" t="str">
        <x:f>IF(COUNT(AS988:AY988)=0,"",AVERAGE(AS988:AY988)*4)</x:f>
      </x:c>
      <x:c r="CH988" s="178" t="str">
        <x:f>IF(COUNT(AZ988:BG988)=0,"",AVERAGE(AZ988:BG988)*4)</x:f>
      </x:c>
      <x:c r="CI988" s="178" t="str">
        <x:f>IF(COUNT(BH988:BN988)=0,"",AVERAGE(BH988:BN988)*4)</x:f>
      </x:c>
      <x:c r="CJ988" s="178" t="str">
        <x:f>IF(COUNT(BO988:BU988)=0,"",AVERAGE(BO988:BU988)*4)</x:f>
      </x:c>
      <x:c r="CK988" s="178" t="str">
        <x:f>IF(COUNT(BV988:CB988)=0,"",AVERAGE(BV988:CB988)*4)</x:f>
      </x:c>
      <x:c r="CL988" s="178" t="str">
        <x:f>IF(C988="","",IF(COUNT(G988:CB988)&lt;74,"",(CC988*'تنظیمات وزن‌دهی'!$C$5+CD988*'تنظیمات وزن‌دهی'!$C$6+CE988*'تنظیمات وزن‌دهی'!$C$7+CF988*'تنظیمات وزن‌دهی'!$C$8+CG988*'تنظیمات وزن‌دهی'!$C$9+CH988*'تنظیمات وزن‌دهی'!$C$10+CI988*'تنظیمات وزن‌دهی'!$C$11+CJ988*'تنظیمات وزن‌دهی'!$C$12+CK988*'تنظیمات وزن‌دهی'!$C$13)/100))</x:f>
      </x:c>
      <x:c r="CM988" s="178" t="str">
        <x:f>IF(C988="","",IF(COUNT(G988:CB988)=0,"",IF(COUNT(G988:CB988)&lt;74,"موقت - اطلاعات ناقص",IF(CL988&gt;=17,"عالی",IF(CL988&gt;=14,"خوب",IF(CL988&gt;=10,"متوسط","ضعیف"))))))</x:f>
      </x:c>
      <x:c r="CN988" s="178" t="n">
        <x:v>12</x:v>
      </x:c>
      <x:c r="CO988" s="142" t="n">
        <x:f>IF(C988="","",COUNT(G988:CB988)/74)</x:f>
        <x:v>0</x:v>
      </x:c>
      <x:c r="CP988" s="245"/>
    </x:row>
    <x:row r="989">
      <x:c r="A989" s="165" t="n">
        <x:v>985</x:v>
      </x:c>
      <x:c r="B989" s="233" t="str">
        <x:v>تیر</x:v>
      </x:c>
      <x:c r="C989" s="233" t="n">
        <x:f>IF('دانش‌آموزان'!E87="","",'دانش‌آموزان'!B87)</x:f>
        <x:v>83</x:v>
      </x:c>
      <x:c r="D989" s="233" t="str">
        <x:f>IF('دانش‌آموزان'!C87="","",'دانش‌آموزان'!C87)</x:f>
        <x:v>4000000837</x:v>
      </x:c>
      <x:c r="E989" s="233" t="str">
        <x:f>IF('دانش‌آموزان'!E87="","",'دانش‌آموزان'!E87&amp;" "&amp;'دانش‌آموزان'!F87)</x:f>
        <x:v>امیرحسین طاهری</x:v>
      </x:c>
      <x:c r="F989" s="166" t="str">
        <x:f>IF('دانش‌آموزان'!I87="","",'دانش‌آموزان'!I87)</x:f>
        <x:v>sample-7-d</x:v>
      </x:c>
      <x:c r="G989" s="114" t="n">
        <x:v>4</x:v>
      </x:c>
      <x:c r="H989" s="115" t="n">
        <x:v>5</x:v>
      </x:c>
      <x:c r="I989" s="115" t="n">
        <x:v>3</x:v>
      </x:c>
      <x:c r="J989" s="115" t="n">
        <x:v>5</x:v>
      </x:c>
      <x:c r="K989" s="115" t="n">
        <x:v>3</x:v>
      </x:c>
      <x:c r="L989" s="115" t="n">
        <x:v>4</x:v>
      </x:c>
      <x:c r="M989" s="115" t="n">
        <x:v>3</x:v>
      </x:c>
      <x:c r="N989" s="115" t="n">
        <x:v>4</x:v>
      </x:c>
      <x:c r="O989" s="115" t="n">
        <x:v>2</x:v>
      </x:c>
      <x:c r="P989" s="115" t="n">
        <x:v>4</x:v>
      </x:c>
      <x:c r="Q989" s="115" t="n">
        <x:v>5</x:v>
      </x:c>
      <x:c r="R989" s="115" t="n">
        <x:v>4</x:v>
      </x:c>
      <x:c r="S989" s="115" t="n">
        <x:v>5</x:v>
      </x:c>
      <x:c r="T989" s="115" t="n">
        <x:v>3</x:v>
      </x:c>
      <x:c r="U989" s="115" t="n">
        <x:v>5</x:v>
      </x:c>
      <x:c r="V989" s="115" t="n">
        <x:v>3</x:v>
      </x:c>
      <x:c r="W989" s="115" t="n">
        <x:v>4</x:v>
      </x:c>
      <x:c r="X989" s="115" t="n">
        <x:v>3</x:v>
      </x:c>
      <x:c r="Y989" s="115" t="n">
        <x:v>4</x:v>
      </x:c>
      <x:c r="Z989" s="115" t="n">
        <x:v>2</x:v>
      </x:c>
      <x:c r="AA989" s="115" t="n">
        <x:v>4</x:v>
      </x:c>
      <x:c r="AB989" s="115" t="n">
        <x:v>5</x:v>
      </x:c>
      <x:c r="AC989" s="115" t="n">
        <x:v>4</x:v>
      </x:c>
      <x:c r="AD989" s="115" t="n">
        <x:v>5</x:v>
      </x:c>
      <x:c r="AE989" s="115" t="n">
        <x:v>3</x:v>
      </x:c>
      <x:c r="AF989" s="115" t="n">
        <x:v>5</x:v>
      </x:c>
      <x:c r="AG989" s="115" t="n">
        <x:v>3</x:v>
      </x:c>
      <x:c r="AH989" s="115" t="n">
        <x:v>4</x:v>
      </x:c>
      <x:c r="AI989" s="115" t="n">
        <x:v>3</x:v>
      </x:c>
      <x:c r="AJ989" s="115" t="n">
        <x:v>4</x:v>
      </x:c>
      <x:c r="AK989" s="115" t="n">
        <x:v>2</x:v>
      </x:c>
      <x:c r="AL989" s="115" t="n">
        <x:v>4</x:v>
      </x:c>
      <x:c r="AM989" s="115" t="n">
        <x:v>5</x:v>
      </x:c>
      <x:c r="AN989" s="115" t="n">
        <x:v>4</x:v>
      </x:c>
      <x:c r="AO989" s="115" t="n">
        <x:v>5</x:v>
      </x:c>
      <x:c r="AP989" s="115" t="n">
        <x:v>3</x:v>
      </x:c>
      <x:c r="AQ989" s="115" t="n">
        <x:v>5</x:v>
      </x:c>
      <x:c r="AR989" s="115" t="n">
        <x:v>3</x:v>
      </x:c>
      <x:c r="AS989" s="115" t="n">
        <x:v>4</x:v>
      </x:c>
      <x:c r="AT989" s="115" t="n">
        <x:v>3</x:v>
      </x:c>
      <x:c r="AU989" s="115" t="n">
        <x:v>4</x:v>
      </x:c>
      <x:c r="AV989" s="115" t="n">
        <x:v>2</x:v>
      </x:c>
      <x:c r="AW989" s="115" t="n">
        <x:v>4</x:v>
      </x:c>
      <x:c r="AX989" s="115" t="n">
        <x:v>5</x:v>
      </x:c>
      <x:c r="AY989" s="115" t="n">
        <x:v>4</x:v>
      </x:c>
      <x:c r="AZ989" s="115" t="n">
        <x:v>5</x:v>
      </x:c>
      <x:c r="BA989" s="115" t="n">
        <x:v>3</x:v>
      </x:c>
      <x:c r="BB989" s="115" t="n">
        <x:v>5</x:v>
      </x:c>
      <x:c r="BC989" s="115" t="n">
        <x:v>3</x:v>
      </x:c>
      <x:c r="BD989" s="115" t="n">
        <x:v>4</x:v>
      </x:c>
      <x:c r="BE989" s="115" t="n">
        <x:v>3</x:v>
      </x:c>
      <x:c r="BF989" s="115" t="n">
        <x:v>4</x:v>
      </x:c>
      <x:c r="BG989" s="115" t="n">
        <x:v>2</x:v>
      </x:c>
      <x:c r="BH989" s="115" t="n">
        <x:v>4</x:v>
      </x:c>
      <x:c r="BI989" s="115" t="n">
        <x:v>5</x:v>
      </x:c>
      <x:c r="BJ989" s="115" t="n">
        <x:v>4</x:v>
      </x:c>
      <x:c r="BK989" s="115" t="n">
        <x:v>5</x:v>
      </x:c>
      <x:c r="BL989" s="115" t="n">
        <x:v>3</x:v>
      </x:c>
      <x:c r="BM989" s="115" t="n">
        <x:v>5</x:v>
      </x:c>
      <x:c r="BN989" s="115" t="n">
        <x:v>3</x:v>
      </x:c>
      <x:c r="BO989" s="115" t="n">
        <x:v>4</x:v>
      </x:c>
      <x:c r="BP989" s="115" t="n">
        <x:v>3</x:v>
      </x:c>
      <x:c r="BQ989" s="115" t="n">
        <x:v>4</x:v>
      </x:c>
      <x:c r="BR989" s="115" t="n">
        <x:v>2</x:v>
      </x:c>
      <x:c r="BS989" s="115" t="n">
        <x:v>4</x:v>
      </x:c>
      <x:c r="BT989" s="115" t="n">
        <x:v>5</x:v>
      </x:c>
      <x:c r="BU989" s="115" t="n">
        <x:v>4</x:v>
      </x:c>
      <x:c r="BV989" s="115" t="n">
        <x:v>5</x:v>
      </x:c>
      <x:c r="BW989" s="115" t="n">
        <x:v>3</x:v>
      </x:c>
      <x:c r="BX989" s="115" t="n">
        <x:v>5</x:v>
      </x:c>
      <x:c r="BY989" s="115" t="n">
        <x:v>3</x:v>
      </x:c>
      <x:c r="BZ989" s="115" t="n">
        <x:v>4</x:v>
      </x:c>
      <x:c r="CA989" s="115" t="n">
        <x:v>3</x:v>
      </x:c>
      <x:c r="CB989" s="116" t="n">
        <x:v>4</x:v>
      </x:c>
      <x:c r="CC989" s="141" t="n">
        <x:f>IF(COUNT(G989:P989)=0,"",AVERAGE(G989:P989)*4)</x:f>
        <x:v>14.8</x:v>
      </x:c>
      <x:c r="CD989" s="178" t="n">
        <x:f>IF(COUNT(Q989:Z989)=0,"",AVERAGE(Q989:Z989)*4)</x:f>
        <x:v>15.2</x:v>
      </x:c>
      <x:c r="CE989" s="178" t="n">
        <x:f>IF(COUNT(AA989:AJ989)=0,"",AVERAGE(AA989:AJ989)*4)</x:f>
        <x:v>16</x:v>
      </x:c>
      <x:c r="CF989" s="178" t="n">
        <x:f>IF(COUNT(AK989:AR989)=0,"",AVERAGE(AK989:AR989)*4)</x:f>
        <x:v>15.5</x:v>
      </x:c>
      <x:c r="CG989" s="178" t="n">
        <x:f>IF(COUNT(AS989:AY989)=0,"",AVERAGE(AS989:AY989)*4)</x:f>
        <x:v>14.857142857142858</x:v>
      </x:c>
      <x:c r="CH989" s="178" t="n">
        <x:f>IF(COUNT(AZ989:BG989)=0,"",AVERAGE(AZ989:BG989)*4)</x:f>
        <x:v>14.5</x:v>
      </x:c>
      <x:c r="CI989" s="178" t="n">
        <x:f>IF(COUNT(BH989:BN989)=0,"",AVERAGE(BH989:BN989)*4)</x:f>
        <x:v>16.571428571428573</x:v>
      </x:c>
      <x:c r="CJ989" s="178" t="n">
        <x:f>IF(COUNT(BO989:BU989)=0,"",AVERAGE(BO989:BU989)*4)</x:f>
        <x:v>14.857142857142858</x:v>
      </x:c>
      <x:c r="CK989" s="178" t="n">
        <x:f>IF(COUNT(BV989:CB989)=0,"",AVERAGE(BV989:CB989)*4)</x:f>
        <x:v>15.428571428571429</x:v>
      </x:c>
      <x:c r="CL989" s="178" t="n">
        <x:f>IF(C989="","",IF(COUNT(G989:CB989)&lt;74,"",(CC989*'تنظیمات وزن‌دهی'!$C$5+CD989*'تنظیمات وزن‌دهی'!$C$6+CE989*'تنظیمات وزن‌دهی'!$C$7+CF989*'تنظیمات وزن‌دهی'!$C$8+CG989*'تنظیمات وزن‌دهی'!$C$9+CH989*'تنظیمات وزن‌دهی'!$C$10+CI989*'تنظیمات وزن‌دهی'!$C$11+CJ989*'تنظیمات وزن‌دهی'!$C$12+CK989*'تنظیمات وزن‌دهی'!$C$13)/100))</x:f>
        <x:v>15.29642857142857</x:v>
      </x:c>
      <x:c r="CM989" s="178" t="str">
        <x:f>IF(C989="","",IF(COUNT(G989:CB989)=0,"",IF(COUNT(G989:CB989)&lt;74,"موقت - اطلاعات ناقص",IF(CL989&gt;=17,"عالی",IF(CL989&gt;=14,"خوب",IF(CL989&gt;=10,"متوسط","ضعیف"))))))</x:f>
        <x:v>خوب</x:v>
      </x:c>
      <x:c r="CN989" s="178" t="n">
        <x:v>1</x:v>
      </x:c>
      <x:c r="CO989" s="142" t="n">
        <x:f>IF(C989="","",COUNT(G989:CB989)/74)</x:f>
        <x:v>1</x:v>
      </x:c>
      <x:c r="CP989" s="245" t="str">
        <x:v>داده نمونه کامل برای ماه تیر - دانش‌آموز شماره 83</x:v>
      </x:c>
    </x:row>
    <x:row r="990">
      <x:c r="A990" s="165" t="n">
        <x:v>986</x:v>
      </x:c>
      <x:c r="B990" s="233" t="str">
        <x:v>مرداد</x:v>
      </x:c>
      <x:c r="C990" s="233" t="n">
        <x:f>IF('دانش‌آموزان'!E87="","",'دانش‌آموزان'!B87)</x:f>
        <x:v>83</x:v>
      </x:c>
      <x:c r="D990" s="233" t="str">
        <x:f>IF('دانش‌آموزان'!C87="","",'دانش‌آموزان'!C87)</x:f>
        <x:v>4000000837</x:v>
      </x:c>
      <x:c r="E990" s="233" t="str">
        <x:f>IF('دانش‌آموزان'!E87="","",'دانش‌آموزان'!E87&amp;" "&amp;'دانش‌آموزان'!F87)</x:f>
        <x:v>امیرحسین طاهری</x:v>
      </x:c>
      <x:c r="F990" s="166" t="str">
        <x:f>IF('دانش‌آموزان'!I87="","",'دانش‌آموزان'!I87)</x:f>
        <x:v>sample-7-d</x:v>
      </x:c>
      <x:c r="G990" s="114"/>
      <x:c r="H990" s="115"/>
      <x:c r="I990" s="115"/>
      <x:c r="J990" s="115"/>
      <x:c r="K990" s="115"/>
      <x:c r="L990" s="115"/>
      <x:c r="M990" s="115"/>
      <x:c r="N990" s="115"/>
      <x:c r="O990" s="115"/>
      <x:c r="P990" s="115"/>
      <x:c r="Q990" s="115"/>
      <x:c r="R990" s="115"/>
      <x:c r="S990" s="115"/>
      <x:c r="T990" s="115"/>
      <x:c r="U990" s="115"/>
      <x:c r="V990" s="115"/>
      <x:c r="W990" s="115"/>
      <x:c r="X990" s="115"/>
      <x:c r="Y990" s="115"/>
      <x:c r="Z990" s="115"/>
      <x:c r="AA990" s="115"/>
      <x:c r="AB990" s="115"/>
      <x:c r="AC990" s="115"/>
      <x:c r="AD990" s="115"/>
      <x:c r="AE990" s="115"/>
      <x:c r="AF990" s="115"/>
      <x:c r="AG990" s="115"/>
      <x:c r="AH990" s="115"/>
      <x:c r="AI990" s="115"/>
      <x:c r="AJ990" s="115"/>
      <x:c r="AK990" s="115"/>
      <x:c r="AL990" s="115"/>
      <x:c r="AM990" s="115"/>
      <x:c r="AN990" s="115"/>
      <x:c r="AO990" s="115"/>
      <x:c r="AP990" s="115"/>
      <x:c r="AQ990" s="115"/>
      <x:c r="AR990" s="115"/>
      <x:c r="AS990" s="115"/>
      <x:c r="AT990" s="115"/>
      <x:c r="AU990" s="115"/>
      <x:c r="AV990" s="115"/>
      <x:c r="AW990" s="115"/>
      <x:c r="AX990" s="115"/>
      <x:c r="AY990" s="115"/>
      <x:c r="AZ990" s="115"/>
      <x:c r="BA990" s="115"/>
      <x:c r="BB990" s="115"/>
      <x:c r="BC990" s="115"/>
      <x:c r="BD990" s="115"/>
      <x:c r="BE990" s="115"/>
      <x:c r="BF990" s="115"/>
      <x:c r="BG990" s="115"/>
      <x:c r="BH990" s="115"/>
      <x:c r="BI990" s="115"/>
      <x:c r="BJ990" s="115"/>
      <x:c r="BK990" s="115"/>
      <x:c r="BL990" s="115"/>
      <x:c r="BM990" s="115"/>
      <x:c r="BN990" s="115"/>
      <x:c r="BO990" s="115"/>
      <x:c r="BP990" s="115"/>
      <x:c r="BQ990" s="115"/>
      <x:c r="BR990" s="115"/>
      <x:c r="BS990" s="115"/>
      <x:c r="BT990" s="115"/>
      <x:c r="BU990" s="115"/>
      <x:c r="BV990" s="115"/>
      <x:c r="BW990" s="115"/>
      <x:c r="BX990" s="115"/>
      <x:c r="BY990" s="115"/>
      <x:c r="BZ990" s="115"/>
      <x:c r="CA990" s="115"/>
      <x:c r="CB990" s="116"/>
      <x:c r="CC990" s="141" t="str">
        <x:f>IF(COUNT(G990:P990)=0,"",AVERAGE(G990:P990)*4)</x:f>
      </x:c>
      <x:c r="CD990" s="178" t="str">
        <x:f>IF(COUNT(Q990:Z990)=0,"",AVERAGE(Q990:Z990)*4)</x:f>
      </x:c>
      <x:c r="CE990" s="178" t="str">
        <x:f>IF(COUNT(AA990:AJ990)=0,"",AVERAGE(AA990:AJ990)*4)</x:f>
      </x:c>
      <x:c r="CF990" s="178" t="str">
        <x:f>IF(COUNT(AK990:AR990)=0,"",AVERAGE(AK990:AR990)*4)</x:f>
      </x:c>
      <x:c r="CG990" s="178" t="str">
        <x:f>IF(COUNT(AS990:AY990)=0,"",AVERAGE(AS990:AY990)*4)</x:f>
      </x:c>
      <x:c r="CH990" s="178" t="str">
        <x:f>IF(COUNT(AZ990:BG990)=0,"",AVERAGE(AZ990:BG990)*4)</x:f>
      </x:c>
      <x:c r="CI990" s="178" t="str">
        <x:f>IF(COUNT(BH990:BN990)=0,"",AVERAGE(BH990:BN990)*4)</x:f>
      </x:c>
      <x:c r="CJ990" s="178" t="str">
        <x:f>IF(COUNT(BO990:BU990)=0,"",AVERAGE(BO990:BU990)*4)</x:f>
      </x:c>
      <x:c r="CK990" s="178" t="str">
        <x:f>IF(COUNT(BV990:CB990)=0,"",AVERAGE(BV990:CB990)*4)</x:f>
      </x:c>
      <x:c r="CL990" s="178" t="str">
        <x:f>IF(C990="","",IF(COUNT(G990:CB990)&lt;74,"",(CC990*'تنظیمات وزن‌دهی'!$C$5+CD990*'تنظیمات وزن‌دهی'!$C$6+CE990*'تنظیمات وزن‌دهی'!$C$7+CF990*'تنظیمات وزن‌دهی'!$C$8+CG990*'تنظیمات وزن‌دهی'!$C$9+CH990*'تنظیمات وزن‌دهی'!$C$10+CI990*'تنظیمات وزن‌دهی'!$C$11+CJ990*'تنظیمات وزن‌دهی'!$C$12+CK990*'تنظیمات وزن‌دهی'!$C$13)/100))</x:f>
      </x:c>
      <x:c r="CM990" s="178" t="str">
        <x:f>IF(C990="","",IF(COUNT(G990:CB990)=0,"",IF(COUNT(G990:CB990)&lt;74,"موقت - اطلاعات ناقص",IF(CL990&gt;=17,"عالی",IF(CL990&gt;=14,"خوب",IF(CL990&gt;=10,"متوسط","ضعیف"))))))</x:f>
      </x:c>
      <x:c r="CN990" s="178" t="n">
        <x:v>2</x:v>
      </x:c>
      <x:c r="CO990" s="142" t="n">
        <x:f>IF(C990="","",COUNT(G990:CB990)/74)</x:f>
        <x:v>0</x:v>
      </x:c>
      <x:c r="CP990" s="245"/>
    </x:row>
    <x:row r="991">
      <x:c r="A991" s="165" t="n">
        <x:v>987</x:v>
      </x:c>
      <x:c r="B991" s="233" t="str">
        <x:v>شهریور</x:v>
      </x:c>
      <x:c r="C991" s="233" t="n">
        <x:f>IF('دانش‌آموزان'!E87="","",'دانش‌آموزان'!B87)</x:f>
        <x:v>83</x:v>
      </x:c>
      <x:c r="D991" s="233" t="str">
        <x:f>IF('دانش‌آموزان'!C87="","",'دانش‌آموزان'!C87)</x:f>
        <x:v>4000000837</x:v>
      </x:c>
      <x:c r="E991" s="233" t="str">
        <x:f>IF('دانش‌آموزان'!E87="","",'دانش‌آموزان'!E87&amp;" "&amp;'دانش‌آموزان'!F87)</x:f>
        <x:v>امیرحسین طاهری</x:v>
      </x:c>
      <x:c r="F991" s="166" t="str">
        <x:f>IF('دانش‌آموزان'!I87="","",'دانش‌آموزان'!I87)</x:f>
        <x:v>sample-7-d</x:v>
      </x:c>
      <x:c r="G991" s="114"/>
      <x:c r="H991" s="115"/>
      <x:c r="I991" s="115"/>
      <x:c r="J991" s="115"/>
      <x:c r="K991" s="115"/>
      <x:c r="L991" s="115"/>
      <x:c r="M991" s="115"/>
      <x:c r="N991" s="115"/>
      <x:c r="O991" s="115"/>
      <x:c r="P991" s="115"/>
      <x:c r="Q991" s="115"/>
      <x:c r="R991" s="115"/>
      <x:c r="S991" s="115"/>
      <x:c r="T991" s="115"/>
      <x:c r="U991" s="115"/>
      <x:c r="V991" s="115"/>
      <x:c r="W991" s="115"/>
      <x:c r="X991" s="115"/>
      <x:c r="Y991" s="115"/>
      <x:c r="Z991" s="115"/>
      <x:c r="AA991" s="115"/>
      <x:c r="AB991" s="115"/>
      <x:c r="AC991" s="115"/>
      <x:c r="AD991" s="115"/>
      <x:c r="AE991" s="115"/>
      <x:c r="AF991" s="115"/>
      <x:c r="AG991" s="115"/>
      <x:c r="AH991" s="115"/>
      <x:c r="AI991" s="115"/>
      <x:c r="AJ991" s="115"/>
      <x:c r="AK991" s="115"/>
      <x:c r="AL991" s="115"/>
      <x:c r="AM991" s="115"/>
      <x:c r="AN991" s="115"/>
      <x:c r="AO991" s="115"/>
      <x:c r="AP991" s="115"/>
      <x:c r="AQ991" s="115"/>
      <x:c r="AR991" s="115"/>
      <x:c r="AS991" s="115"/>
      <x:c r="AT991" s="115"/>
      <x:c r="AU991" s="115"/>
      <x:c r="AV991" s="115"/>
      <x:c r="AW991" s="115"/>
      <x:c r="AX991" s="115"/>
      <x:c r="AY991" s="115"/>
      <x:c r="AZ991" s="115"/>
      <x:c r="BA991" s="115"/>
      <x:c r="BB991" s="115"/>
      <x:c r="BC991" s="115"/>
      <x:c r="BD991" s="115"/>
      <x:c r="BE991" s="115"/>
      <x:c r="BF991" s="115"/>
      <x:c r="BG991" s="115"/>
      <x:c r="BH991" s="115"/>
      <x:c r="BI991" s="115"/>
      <x:c r="BJ991" s="115"/>
      <x:c r="BK991" s="115"/>
      <x:c r="BL991" s="115"/>
      <x:c r="BM991" s="115"/>
      <x:c r="BN991" s="115"/>
      <x:c r="BO991" s="115"/>
      <x:c r="BP991" s="115"/>
      <x:c r="BQ991" s="115"/>
      <x:c r="BR991" s="115"/>
      <x:c r="BS991" s="115"/>
      <x:c r="BT991" s="115"/>
      <x:c r="BU991" s="115"/>
      <x:c r="BV991" s="115"/>
      <x:c r="BW991" s="115"/>
      <x:c r="BX991" s="115"/>
      <x:c r="BY991" s="115"/>
      <x:c r="BZ991" s="115"/>
      <x:c r="CA991" s="115"/>
      <x:c r="CB991" s="116"/>
      <x:c r="CC991" s="141" t="str">
        <x:f>IF(COUNT(G991:P991)=0,"",AVERAGE(G991:P991)*4)</x:f>
      </x:c>
      <x:c r="CD991" s="178" t="str">
        <x:f>IF(COUNT(Q991:Z991)=0,"",AVERAGE(Q991:Z991)*4)</x:f>
      </x:c>
      <x:c r="CE991" s="178" t="str">
        <x:f>IF(COUNT(AA991:AJ991)=0,"",AVERAGE(AA991:AJ991)*4)</x:f>
      </x:c>
      <x:c r="CF991" s="178" t="str">
        <x:f>IF(COUNT(AK991:AR991)=0,"",AVERAGE(AK991:AR991)*4)</x:f>
      </x:c>
      <x:c r="CG991" s="178" t="str">
        <x:f>IF(COUNT(AS991:AY991)=0,"",AVERAGE(AS991:AY991)*4)</x:f>
      </x:c>
      <x:c r="CH991" s="178" t="str">
        <x:f>IF(COUNT(AZ991:BG991)=0,"",AVERAGE(AZ991:BG991)*4)</x:f>
      </x:c>
      <x:c r="CI991" s="178" t="str">
        <x:f>IF(COUNT(BH991:BN991)=0,"",AVERAGE(BH991:BN991)*4)</x:f>
      </x:c>
      <x:c r="CJ991" s="178" t="str">
        <x:f>IF(COUNT(BO991:BU991)=0,"",AVERAGE(BO991:BU991)*4)</x:f>
      </x:c>
      <x:c r="CK991" s="178" t="str">
        <x:f>IF(COUNT(BV991:CB991)=0,"",AVERAGE(BV991:CB991)*4)</x:f>
      </x:c>
      <x:c r="CL991" s="178" t="str">
        <x:f>IF(C991="","",IF(COUNT(G991:CB991)&lt;74,"",(CC991*'تنظیمات وزن‌دهی'!$C$5+CD991*'تنظیمات وزن‌دهی'!$C$6+CE991*'تنظیمات وزن‌دهی'!$C$7+CF991*'تنظیمات وزن‌دهی'!$C$8+CG991*'تنظیمات وزن‌دهی'!$C$9+CH991*'تنظیمات وزن‌دهی'!$C$10+CI991*'تنظیمات وزن‌دهی'!$C$11+CJ991*'تنظیمات وزن‌دهی'!$C$12+CK991*'تنظیمات وزن‌دهی'!$C$13)/100))</x:f>
      </x:c>
      <x:c r="CM991" s="178" t="str">
        <x:f>IF(C991="","",IF(COUNT(G991:CB991)=0,"",IF(COUNT(G991:CB991)&lt;74,"موقت - اطلاعات ناقص",IF(CL991&gt;=17,"عالی",IF(CL991&gt;=14,"خوب",IF(CL991&gt;=10,"متوسط","ضعیف"))))))</x:f>
      </x:c>
      <x:c r="CN991" s="178" t="n">
        <x:v>3</x:v>
      </x:c>
      <x:c r="CO991" s="142" t="n">
        <x:f>IF(C991="","",COUNT(G991:CB991)/74)</x:f>
        <x:v>0</x:v>
      </x:c>
      <x:c r="CP991" s="245"/>
    </x:row>
    <x:row r="992">
      <x:c r="A992" s="165" t="n">
        <x:v>988</x:v>
      </x:c>
      <x:c r="B992" s="233" t="str">
        <x:v>مهر</x:v>
      </x:c>
      <x:c r="C992" s="233" t="n">
        <x:f>IF('دانش‌آموزان'!E87="","",'دانش‌آموزان'!B87)</x:f>
        <x:v>83</x:v>
      </x:c>
      <x:c r="D992" s="233" t="str">
        <x:f>IF('دانش‌آموزان'!C87="","",'دانش‌آموزان'!C87)</x:f>
        <x:v>4000000837</x:v>
      </x:c>
      <x:c r="E992" s="233" t="str">
        <x:f>IF('دانش‌آموزان'!E87="","",'دانش‌آموزان'!E87&amp;" "&amp;'دانش‌آموزان'!F87)</x:f>
        <x:v>امیرحسین طاهری</x:v>
      </x:c>
      <x:c r="F992" s="166" t="str">
        <x:f>IF('دانش‌آموزان'!I87="","",'دانش‌آموزان'!I87)</x:f>
        <x:v>sample-7-d</x:v>
      </x:c>
      <x:c r="G992" s="114"/>
      <x:c r="H992" s="115"/>
      <x:c r="I992" s="115"/>
      <x:c r="J992" s="115"/>
      <x:c r="K992" s="115"/>
      <x:c r="L992" s="115"/>
      <x:c r="M992" s="115"/>
      <x:c r="N992" s="115"/>
      <x:c r="O992" s="115"/>
      <x:c r="P992" s="115"/>
      <x:c r="Q992" s="115"/>
      <x:c r="R992" s="115"/>
      <x:c r="S992" s="115"/>
      <x:c r="T992" s="115"/>
      <x:c r="U992" s="115"/>
      <x:c r="V992" s="115"/>
      <x:c r="W992" s="115"/>
      <x:c r="X992" s="115"/>
      <x:c r="Y992" s="115"/>
      <x:c r="Z992" s="115"/>
      <x:c r="AA992" s="115"/>
      <x:c r="AB992" s="115"/>
      <x:c r="AC992" s="115"/>
      <x:c r="AD992" s="115"/>
      <x:c r="AE992" s="115"/>
      <x:c r="AF992" s="115"/>
      <x:c r="AG992" s="115"/>
      <x:c r="AH992" s="115"/>
      <x:c r="AI992" s="115"/>
      <x:c r="AJ992" s="115"/>
      <x:c r="AK992" s="115"/>
      <x:c r="AL992" s="115"/>
      <x:c r="AM992" s="115"/>
      <x:c r="AN992" s="115"/>
      <x:c r="AO992" s="115"/>
      <x:c r="AP992" s="115"/>
      <x:c r="AQ992" s="115"/>
      <x:c r="AR992" s="115"/>
      <x:c r="AS992" s="115"/>
      <x:c r="AT992" s="115"/>
      <x:c r="AU992" s="115"/>
      <x:c r="AV992" s="115"/>
      <x:c r="AW992" s="115"/>
      <x:c r="AX992" s="115"/>
      <x:c r="AY992" s="115"/>
      <x:c r="AZ992" s="115"/>
      <x:c r="BA992" s="115"/>
      <x:c r="BB992" s="115"/>
      <x:c r="BC992" s="115"/>
      <x:c r="BD992" s="115"/>
      <x:c r="BE992" s="115"/>
      <x:c r="BF992" s="115"/>
      <x:c r="BG992" s="115"/>
      <x:c r="BH992" s="115"/>
      <x:c r="BI992" s="115"/>
      <x:c r="BJ992" s="115"/>
      <x:c r="BK992" s="115"/>
      <x:c r="BL992" s="115"/>
      <x:c r="BM992" s="115"/>
      <x:c r="BN992" s="115"/>
      <x:c r="BO992" s="115"/>
      <x:c r="BP992" s="115"/>
      <x:c r="BQ992" s="115"/>
      <x:c r="BR992" s="115"/>
      <x:c r="BS992" s="115"/>
      <x:c r="BT992" s="115"/>
      <x:c r="BU992" s="115"/>
      <x:c r="BV992" s="115"/>
      <x:c r="BW992" s="115"/>
      <x:c r="BX992" s="115"/>
      <x:c r="BY992" s="115"/>
      <x:c r="BZ992" s="115"/>
      <x:c r="CA992" s="115"/>
      <x:c r="CB992" s="116"/>
      <x:c r="CC992" s="141" t="str">
        <x:f>IF(COUNT(G992:P992)=0,"",AVERAGE(G992:P992)*4)</x:f>
      </x:c>
      <x:c r="CD992" s="178" t="str">
        <x:f>IF(COUNT(Q992:Z992)=0,"",AVERAGE(Q992:Z992)*4)</x:f>
      </x:c>
      <x:c r="CE992" s="178" t="str">
        <x:f>IF(COUNT(AA992:AJ992)=0,"",AVERAGE(AA992:AJ992)*4)</x:f>
      </x:c>
      <x:c r="CF992" s="178" t="str">
        <x:f>IF(COUNT(AK992:AR992)=0,"",AVERAGE(AK992:AR992)*4)</x:f>
      </x:c>
      <x:c r="CG992" s="178" t="str">
        <x:f>IF(COUNT(AS992:AY992)=0,"",AVERAGE(AS992:AY992)*4)</x:f>
      </x:c>
      <x:c r="CH992" s="178" t="str">
        <x:f>IF(COUNT(AZ992:BG992)=0,"",AVERAGE(AZ992:BG992)*4)</x:f>
      </x:c>
      <x:c r="CI992" s="178" t="str">
        <x:f>IF(COUNT(BH992:BN992)=0,"",AVERAGE(BH992:BN992)*4)</x:f>
      </x:c>
      <x:c r="CJ992" s="178" t="str">
        <x:f>IF(COUNT(BO992:BU992)=0,"",AVERAGE(BO992:BU992)*4)</x:f>
      </x:c>
      <x:c r="CK992" s="178" t="str">
        <x:f>IF(COUNT(BV992:CB992)=0,"",AVERAGE(BV992:CB992)*4)</x:f>
      </x:c>
      <x:c r="CL992" s="178" t="str">
        <x:f>IF(C992="","",IF(COUNT(G992:CB992)&lt;74,"",(CC992*'تنظیمات وزن‌دهی'!$C$5+CD992*'تنظیمات وزن‌دهی'!$C$6+CE992*'تنظیمات وزن‌دهی'!$C$7+CF992*'تنظیمات وزن‌دهی'!$C$8+CG992*'تنظیمات وزن‌دهی'!$C$9+CH992*'تنظیمات وزن‌دهی'!$C$10+CI992*'تنظیمات وزن‌دهی'!$C$11+CJ992*'تنظیمات وزن‌دهی'!$C$12+CK992*'تنظیمات وزن‌دهی'!$C$13)/100))</x:f>
      </x:c>
      <x:c r="CM992" s="178" t="str">
        <x:f>IF(C992="","",IF(COUNT(G992:CB992)=0,"",IF(COUNT(G992:CB992)&lt;74,"موقت - اطلاعات ناقص",IF(CL992&gt;=17,"عالی",IF(CL992&gt;=14,"خوب",IF(CL992&gt;=10,"متوسط","ضعیف"))))))</x:f>
      </x:c>
      <x:c r="CN992" s="178" t="n">
        <x:v>4</x:v>
      </x:c>
      <x:c r="CO992" s="142" t="n">
        <x:f>IF(C992="","",COUNT(G992:CB992)/74)</x:f>
        <x:v>0</x:v>
      </x:c>
      <x:c r="CP992" s="245"/>
    </x:row>
    <x:row r="993">
      <x:c r="A993" s="165" t="n">
        <x:v>989</x:v>
      </x:c>
      <x:c r="B993" s="233" t="str">
        <x:v>آبان</x:v>
      </x:c>
      <x:c r="C993" s="233" t="n">
        <x:f>IF('دانش‌آموزان'!E87="","",'دانش‌آموزان'!B87)</x:f>
        <x:v>83</x:v>
      </x:c>
      <x:c r="D993" s="233" t="str">
        <x:f>IF('دانش‌آموزان'!C87="","",'دانش‌آموزان'!C87)</x:f>
        <x:v>4000000837</x:v>
      </x:c>
      <x:c r="E993" s="233" t="str">
        <x:f>IF('دانش‌آموزان'!E87="","",'دانش‌آموزان'!E87&amp;" "&amp;'دانش‌آموزان'!F87)</x:f>
        <x:v>امیرحسین طاهری</x:v>
      </x:c>
      <x:c r="F993" s="166" t="str">
        <x:f>IF('دانش‌آموزان'!I87="","",'دانش‌آموزان'!I87)</x:f>
        <x:v>sample-7-d</x:v>
      </x:c>
      <x:c r="G993" s="114"/>
      <x:c r="H993" s="115"/>
      <x:c r="I993" s="115"/>
      <x:c r="J993" s="115"/>
      <x:c r="K993" s="115"/>
      <x:c r="L993" s="115"/>
      <x:c r="M993" s="115"/>
      <x:c r="N993" s="115"/>
      <x:c r="O993" s="115"/>
      <x:c r="P993" s="115"/>
      <x:c r="Q993" s="115"/>
      <x:c r="R993" s="115"/>
      <x:c r="S993" s="115"/>
      <x:c r="T993" s="115"/>
      <x:c r="U993" s="115"/>
      <x:c r="V993" s="115"/>
      <x:c r="W993" s="115"/>
      <x:c r="X993" s="115"/>
      <x:c r="Y993" s="115"/>
      <x:c r="Z993" s="115"/>
      <x:c r="AA993" s="115"/>
      <x:c r="AB993" s="115"/>
      <x:c r="AC993" s="115"/>
      <x:c r="AD993" s="115"/>
      <x:c r="AE993" s="115"/>
      <x:c r="AF993" s="115"/>
      <x:c r="AG993" s="115"/>
      <x:c r="AH993" s="115"/>
      <x:c r="AI993" s="115"/>
      <x:c r="AJ993" s="115"/>
      <x:c r="AK993" s="115"/>
      <x:c r="AL993" s="115"/>
      <x:c r="AM993" s="115"/>
      <x:c r="AN993" s="115"/>
      <x:c r="AO993" s="115"/>
      <x:c r="AP993" s="115"/>
      <x:c r="AQ993" s="115"/>
      <x:c r="AR993" s="115"/>
      <x:c r="AS993" s="115"/>
      <x:c r="AT993" s="115"/>
      <x:c r="AU993" s="115"/>
      <x:c r="AV993" s="115"/>
      <x:c r="AW993" s="115"/>
      <x:c r="AX993" s="115"/>
      <x:c r="AY993" s="115"/>
      <x:c r="AZ993" s="115"/>
      <x:c r="BA993" s="115"/>
      <x:c r="BB993" s="115"/>
      <x:c r="BC993" s="115"/>
      <x:c r="BD993" s="115"/>
      <x:c r="BE993" s="115"/>
      <x:c r="BF993" s="115"/>
      <x:c r="BG993" s="115"/>
      <x:c r="BH993" s="115"/>
      <x:c r="BI993" s="115"/>
      <x:c r="BJ993" s="115"/>
      <x:c r="BK993" s="115"/>
      <x:c r="BL993" s="115"/>
      <x:c r="BM993" s="115"/>
      <x:c r="BN993" s="115"/>
      <x:c r="BO993" s="115"/>
      <x:c r="BP993" s="115"/>
      <x:c r="BQ993" s="115"/>
      <x:c r="BR993" s="115"/>
      <x:c r="BS993" s="115"/>
      <x:c r="BT993" s="115"/>
      <x:c r="BU993" s="115"/>
      <x:c r="BV993" s="115"/>
      <x:c r="BW993" s="115"/>
      <x:c r="BX993" s="115"/>
      <x:c r="BY993" s="115"/>
      <x:c r="BZ993" s="115"/>
      <x:c r="CA993" s="115"/>
      <x:c r="CB993" s="116"/>
      <x:c r="CC993" s="141" t="str">
        <x:f>IF(COUNT(G993:P993)=0,"",AVERAGE(G993:P993)*4)</x:f>
      </x:c>
      <x:c r="CD993" s="178" t="str">
        <x:f>IF(COUNT(Q993:Z993)=0,"",AVERAGE(Q993:Z993)*4)</x:f>
      </x:c>
      <x:c r="CE993" s="178" t="str">
        <x:f>IF(COUNT(AA993:AJ993)=0,"",AVERAGE(AA993:AJ993)*4)</x:f>
      </x:c>
      <x:c r="CF993" s="178" t="str">
        <x:f>IF(COUNT(AK993:AR993)=0,"",AVERAGE(AK993:AR993)*4)</x:f>
      </x:c>
      <x:c r="CG993" s="178" t="str">
        <x:f>IF(COUNT(AS993:AY993)=0,"",AVERAGE(AS993:AY993)*4)</x:f>
      </x:c>
      <x:c r="CH993" s="178" t="str">
        <x:f>IF(COUNT(AZ993:BG993)=0,"",AVERAGE(AZ993:BG993)*4)</x:f>
      </x:c>
      <x:c r="CI993" s="178" t="str">
        <x:f>IF(COUNT(BH993:BN993)=0,"",AVERAGE(BH993:BN993)*4)</x:f>
      </x:c>
      <x:c r="CJ993" s="178" t="str">
        <x:f>IF(COUNT(BO993:BU993)=0,"",AVERAGE(BO993:BU993)*4)</x:f>
      </x:c>
      <x:c r="CK993" s="178" t="str">
        <x:f>IF(COUNT(BV993:CB993)=0,"",AVERAGE(BV993:CB993)*4)</x:f>
      </x:c>
      <x:c r="CL993" s="178" t="str">
        <x:f>IF(C993="","",IF(COUNT(G993:CB993)&lt;74,"",(CC993*'تنظیمات وزن‌دهی'!$C$5+CD993*'تنظیمات وزن‌دهی'!$C$6+CE993*'تنظیمات وزن‌دهی'!$C$7+CF993*'تنظیمات وزن‌دهی'!$C$8+CG993*'تنظیمات وزن‌دهی'!$C$9+CH993*'تنظیمات وزن‌دهی'!$C$10+CI993*'تنظیمات وزن‌دهی'!$C$11+CJ993*'تنظیمات وزن‌دهی'!$C$12+CK993*'تنظیمات وزن‌دهی'!$C$13)/100))</x:f>
      </x:c>
      <x:c r="CM993" s="178" t="str">
        <x:f>IF(C993="","",IF(COUNT(G993:CB993)=0,"",IF(COUNT(G993:CB993)&lt;74,"موقت - اطلاعات ناقص",IF(CL993&gt;=17,"عالی",IF(CL993&gt;=14,"خوب",IF(CL993&gt;=10,"متوسط","ضعیف"))))))</x:f>
      </x:c>
      <x:c r="CN993" s="178" t="n">
        <x:v>5</x:v>
      </x:c>
      <x:c r="CO993" s="142" t="n">
        <x:f>IF(C993="","",COUNT(G993:CB993)/74)</x:f>
        <x:v>0</x:v>
      </x:c>
      <x:c r="CP993" s="245"/>
    </x:row>
    <x:row r="994">
      <x:c r="A994" s="165" t="n">
        <x:v>990</x:v>
      </x:c>
      <x:c r="B994" s="233" t="str">
        <x:v>آذر</x:v>
      </x:c>
      <x:c r="C994" s="233" t="n">
        <x:f>IF('دانش‌آموزان'!E87="","",'دانش‌آموزان'!B87)</x:f>
        <x:v>83</x:v>
      </x:c>
      <x:c r="D994" s="233" t="str">
        <x:f>IF('دانش‌آموزان'!C87="","",'دانش‌آموزان'!C87)</x:f>
        <x:v>4000000837</x:v>
      </x:c>
      <x:c r="E994" s="233" t="str">
        <x:f>IF('دانش‌آموزان'!E87="","",'دانش‌آموزان'!E87&amp;" "&amp;'دانش‌آموزان'!F87)</x:f>
        <x:v>امیرحسین طاهری</x:v>
      </x:c>
      <x:c r="F994" s="166" t="str">
        <x:f>IF('دانش‌آموزان'!I87="","",'دانش‌آموزان'!I87)</x:f>
        <x:v>sample-7-d</x:v>
      </x:c>
      <x:c r="G994" s="114"/>
      <x:c r="H994" s="115"/>
      <x:c r="I994" s="115"/>
      <x:c r="J994" s="115"/>
      <x:c r="K994" s="115"/>
      <x:c r="L994" s="115"/>
      <x:c r="M994" s="115"/>
      <x:c r="N994" s="115"/>
      <x:c r="O994" s="115"/>
      <x:c r="P994" s="115"/>
      <x:c r="Q994" s="115"/>
      <x:c r="R994" s="115"/>
      <x:c r="S994" s="115"/>
      <x:c r="T994" s="115"/>
      <x:c r="U994" s="115"/>
      <x:c r="V994" s="115"/>
      <x:c r="W994" s="115"/>
      <x:c r="X994" s="115"/>
      <x:c r="Y994" s="115"/>
      <x:c r="Z994" s="115"/>
      <x:c r="AA994" s="115"/>
      <x:c r="AB994" s="115"/>
      <x:c r="AC994" s="115"/>
      <x:c r="AD994" s="115"/>
      <x:c r="AE994" s="115"/>
      <x:c r="AF994" s="115"/>
      <x:c r="AG994" s="115"/>
      <x:c r="AH994" s="115"/>
      <x:c r="AI994" s="115"/>
      <x:c r="AJ994" s="115"/>
      <x:c r="AK994" s="115"/>
      <x:c r="AL994" s="115"/>
      <x:c r="AM994" s="115"/>
      <x:c r="AN994" s="115"/>
      <x:c r="AO994" s="115"/>
      <x:c r="AP994" s="115"/>
      <x:c r="AQ994" s="115"/>
      <x:c r="AR994" s="115"/>
      <x:c r="AS994" s="115"/>
      <x:c r="AT994" s="115"/>
      <x:c r="AU994" s="115"/>
      <x:c r="AV994" s="115"/>
      <x:c r="AW994" s="115"/>
      <x:c r="AX994" s="115"/>
      <x:c r="AY994" s="115"/>
      <x:c r="AZ994" s="115"/>
      <x:c r="BA994" s="115"/>
      <x:c r="BB994" s="115"/>
      <x:c r="BC994" s="115"/>
      <x:c r="BD994" s="115"/>
      <x:c r="BE994" s="115"/>
      <x:c r="BF994" s="115"/>
      <x:c r="BG994" s="115"/>
      <x:c r="BH994" s="115"/>
      <x:c r="BI994" s="115"/>
      <x:c r="BJ994" s="115"/>
      <x:c r="BK994" s="115"/>
      <x:c r="BL994" s="115"/>
      <x:c r="BM994" s="115"/>
      <x:c r="BN994" s="115"/>
      <x:c r="BO994" s="115"/>
      <x:c r="BP994" s="115"/>
      <x:c r="BQ994" s="115"/>
      <x:c r="BR994" s="115"/>
      <x:c r="BS994" s="115"/>
      <x:c r="BT994" s="115"/>
      <x:c r="BU994" s="115"/>
      <x:c r="BV994" s="115"/>
      <x:c r="BW994" s="115"/>
      <x:c r="BX994" s="115"/>
      <x:c r="BY994" s="115"/>
      <x:c r="BZ994" s="115"/>
      <x:c r="CA994" s="115"/>
      <x:c r="CB994" s="116"/>
      <x:c r="CC994" s="141" t="str">
        <x:f>IF(COUNT(G994:P994)=0,"",AVERAGE(G994:P994)*4)</x:f>
      </x:c>
      <x:c r="CD994" s="178" t="str">
        <x:f>IF(COUNT(Q994:Z994)=0,"",AVERAGE(Q994:Z994)*4)</x:f>
      </x:c>
      <x:c r="CE994" s="178" t="str">
        <x:f>IF(COUNT(AA994:AJ994)=0,"",AVERAGE(AA994:AJ994)*4)</x:f>
      </x:c>
      <x:c r="CF994" s="178" t="str">
        <x:f>IF(COUNT(AK994:AR994)=0,"",AVERAGE(AK994:AR994)*4)</x:f>
      </x:c>
      <x:c r="CG994" s="178" t="str">
        <x:f>IF(COUNT(AS994:AY994)=0,"",AVERAGE(AS994:AY994)*4)</x:f>
      </x:c>
      <x:c r="CH994" s="178" t="str">
        <x:f>IF(COUNT(AZ994:BG994)=0,"",AVERAGE(AZ994:BG994)*4)</x:f>
      </x:c>
      <x:c r="CI994" s="178" t="str">
        <x:f>IF(COUNT(BH994:BN994)=0,"",AVERAGE(BH994:BN994)*4)</x:f>
      </x:c>
      <x:c r="CJ994" s="178" t="str">
        <x:f>IF(COUNT(BO994:BU994)=0,"",AVERAGE(BO994:BU994)*4)</x:f>
      </x:c>
      <x:c r="CK994" s="178" t="str">
        <x:f>IF(COUNT(BV994:CB994)=0,"",AVERAGE(BV994:CB994)*4)</x:f>
      </x:c>
      <x:c r="CL994" s="178" t="str">
        <x:f>IF(C994="","",IF(COUNT(G994:CB994)&lt;74,"",(CC994*'تنظیمات وزن‌دهی'!$C$5+CD994*'تنظیمات وزن‌دهی'!$C$6+CE994*'تنظیمات وزن‌دهی'!$C$7+CF994*'تنظیمات وزن‌دهی'!$C$8+CG994*'تنظیمات وزن‌دهی'!$C$9+CH994*'تنظیمات وزن‌دهی'!$C$10+CI994*'تنظیمات وزن‌دهی'!$C$11+CJ994*'تنظیمات وزن‌دهی'!$C$12+CK994*'تنظیمات وزن‌دهی'!$C$13)/100))</x:f>
      </x:c>
      <x:c r="CM994" s="178" t="str">
        <x:f>IF(C994="","",IF(COUNT(G994:CB994)=0,"",IF(COUNT(G994:CB994)&lt;74,"موقت - اطلاعات ناقص",IF(CL994&gt;=17,"عالی",IF(CL994&gt;=14,"خوب",IF(CL994&gt;=10,"متوسط","ضعیف"))))))</x:f>
      </x:c>
      <x:c r="CN994" s="178" t="n">
        <x:v>6</x:v>
      </x:c>
      <x:c r="CO994" s="142" t="n">
        <x:f>IF(C994="","",COUNT(G994:CB994)/74)</x:f>
        <x:v>0</x:v>
      </x:c>
      <x:c r="CP994" s="245"/>
    </x:row>
    <x:row r="995">
      <x:c r="A995" s="165" t="n">
        <x:v>991</x:v>
      </x:c>
      <x:c r="B995" s="233" t="str">
        <x:v>دی</x:v>
      </x:c>
      <x:c r="C995" s="233" t="n">
        <x:f>IF('دانش‌آموزان'!E87="","",'دانش‌آموزان'!B87)</x:f>
        <x:v>83</x:v>
      </x:c>
      <x:c r="D995" s="233" t="str">
        <x:f>IF('دانش‌آموزان'!C87="","",'دانش‌آموزان'!C87)</x:f>
        <x:v>4000000837</x:v>
      </x:c>
      <x:c r="E995" s="233" t="str">
        <x:f>IF('دانش‌آموزان'!E87="","",'دانش‌آموزان'!E87&amp;" "&amp;'دانش‌آموزان'!F87)</x:f>
        <x:v>امیرحسین طاهری</x:v>
      </x:c>
      <x:c r="F995" s="166" t="str">
        <x:f>IF('دانش‌آموزان'!I87="","",'دانش‌آموزان'!I87)</x:f>
        <x:v>sample-7-d</x:v>
      </x:c>
      <x:c r="G995" s="114"/>
      <x:c r="H995" s="115"/>
      <x:c r="I995" s="115"/>
      <x:c r="J995" s="115"/>
      <x:c r="K995" s="115"/>
      <x:c r="L995" s="115"/>
      <x:c r="M995" s="115"/>
      <x:c r="N995" s="115"/>
      <x:c r="O995" s="115"/>
      <x:c r="P995" s="115"/>
      <x:c r="Q995" s="115"/>
      <x:c r="R995" s="115"/>
      <x:c r="S995" s="115"/>
      <x:c r="T995" s="115"/>
      <x:c r="U995" s="115"/>
      <x:c r="V995" s="115"/>
      <x:c r="W995" s="115"/>
      <x:c r="X995" s="115"/>
      <x:c r="Y995" s="115"/>
      <x:c r="Z995" s="115"/>
      <x:c r="AA995" s="115"/>
      <x:c r="AB995" s="115"/>
      <x:c r="AC995" s="115"/>
      <x:c r="AD995" s="115"/>
      <x:c r="AE995" s="115"/>
      <x:c r="AF995" s="115"/>
      <x:c r="AG995" s="115"/>
      <x:c r="AH995" s="115"/>
      <x:c r="AI995" s="115"/>
      <x:c r="AJ995" s="115"/>
      <x:c r="AK995" s="115"/>
      <x:c r="AL995" s="115"/>
      <x:c r="AM995" s="115"/>
      <x:c r="AN995" s="115"/>
      <x:c r="AO995" s="115"/>
      <x:c r="AP995" s="115"/>
      <x:c r="AQ995" s="115"/>
      <x:c r="AR995" s="115"/>
      <x:c r="AS995" s="115"/>
      <x:c r="AT995" s="115"/>
      <x:c r="AU995" s="115"/>
      <x:c r="AV995" s="115"/>
      <x:c r="AW995" s="115"/>
      <x:c r="AX995" s="115"/>
      <x:c r="AY995" s="115"/>
      <x:c r="AZ995" s="115"/>
      <x:c r="BA995" s="115"/>
      <x:c r="BB995" s="115"/>
      <x:c r="BC995" s="115"/>
      <x:c r="BD995" s="115"/>
      <x:c r="BE995" s="115"/>
      <x:c r="BF995" s="115"/>
      <x:c r="BG995" s="115"/>
      <x:c r="BH995" s="115"/>
      <x:c r="BI995" s="115"/>
      <x:c r="BJ995" s="115"/>
      <x:c r="BK995" s="115"/>
      <x:c r="BL995" s="115"/>
      <x:c r="BM995" s="115"/>
      <x:c r="BN995" s="115"/>
      <x:c r="BO995" s="115"/>
      <x:c r="BP995" s="115"/>
      <x:c r="BQ995" s="115"/>
      <x:c r="BR995" s="115"/>
      <x:c r="BS995" s="115"/>
      <x:c r="BT995" s="115"/>
      <x:c r="BU995" s="115"/>
      <x:c r="BV995" s="115"/>
      <x:c r="BW995" s="115"/>
      <x:c r="BX995" s="115"/>
      <x:c r="BY995" s="115"/>
      <x:c r="BZ995" s="115"/>
      <x:c r="CA995" s="115"/>
      <x:c r="CB995" s="116"/>
      <x:c r="CC995" s="141" t="str">
        <x:f>IF(COUNT(G995:P995)=0,"",AVERAGE(G995:P995)*4)</x:f>
      </x:c>
      <x:c r="CD995" s="178" t="str">
        <x:f>IF(COUNT(Q995:Z995)=0,"",AVERAGE(Q995:Z995)*4)</x:f>
      </x:c>
      <x:c r="CE995" s="178" t="str">
        <x:f>IF(COUNT(AA995:AJ995)=0,"",AVERAGE(AA995:AJ995)*4)</x:f>
      </x:c>
      <x:c r="CF995" s="178" t="str">
        <x:f>IF(COUNT(AK995:AR995)=0,"",AVERAGE(AK995:AR995)*4)</x:f>
      </x:c>
      <x:c r="CG995" s="178" t="str">
        <x:f>IF(COUNT(AS995:AY995)=0,"",AVERAGE(AS995:AY995)*4)</x:f>
      </x:c>
      <x:c r="CH995" s="178" t="str">
        <x:f>IF(COUNT(AZ995:BG995)=0,"",AVERAGE(AZ995:BG995)*4)</x:f>
      </x:c>
      <x:c r="CI995" s="178" t="str">
        <x:f>IF(COUNT(BH995:BN995)=0,"",AVERAGE(BH995:BN995)*4)</x:f>
      </x:c>
      <x:c r="CJ995" s="178" t="str">
        <x:f>IF(COUNT(BO995:BU995)=0,"",AVERAGE(BO995:BU995)*4)</x:f>
      </x:c>
      <x:c r="CK995" s="178" t="str">
        <x:f>IF(COUNT(BV995:CB995)=0,"",AVERAGE(BV995:CB995)*4)</x:f>
      </x:c>
      <x:c r="CL995" s="178" t="str">
        <x:f>IF(C995="","",IF(COUNT(G995:CB995)&lt;74,"",(CC995*'تنظیمات وزن‌دهی'!$C$5+CD995*'تنظیمات وزن‌دهی'!$C$6+CE995*'تنظیمات وزن‌دهی'!$C$7+CF995*'تنظیمات وزن‌دهی'!$C$8+CG995*'تنظیمات وزن‌دهی'!$C$9+CH995*'تنظیمات وزن‌دهی'!$C$10+CI995*'تنظیمات وزن‌دهی'!$C$11+CJ995*'تنظیمات وزن‌دهی'!$C$12+CK995*'تنظیمات وزن‌دهی'!$C$13)/100))</x:f>
      </x:c>
      <x:c r="CM995" s="178" t="str">
        <x:f>IF(C995="","",IF(COUNT(G995:CB995)=0,"",IF(COUNT(G995:CB995)&lt;74,"موقت - اطلاعات ناقص",IF(CL995&gt;=17,"عالی",IF(CL995&gt;=14,"خوب",IF(CL995&gt;=10,"متوسط","ضعیف"))))))</x:f>
      </x:c>
      <x:c r="CN995" s="178" t="n">
        <x:v>7</x:v>
      </x:c>
      <x:c r="CO995" s="142" t="n">
        <x:f>IF(C995="","",COUNT(G995:CB995)/74)</x:f>
        <x:v>0</x:v>
      </x:c>
      <x:c r="CP995" s="245"/>
    </x:row>
    <x:row r="996">
      <x:c r="A996" s="165" t="n">
        <x:v>992</x:v>
      </x:c>
      <x:c r="B996" s="233" t="str">
        <x:v>بهمن</x:v>
      </x:c>
      <x:c r="C996" s="233" t="n">
        <x:f>IF('دانش‌آموزان'!E87="","",'دانش‌آموزان'!B87)</x:f>
        <x:v>83</x:v>
      </x:c>
      <x:c r="D996" s="233" t="str">
        <x:f>IF('دانش‌آموزان'!C87="","",'دانش‌آموزان'!C87)</x:f>
        <x:v>4000000837</x:v>
      </x:c>
      <x:c r="E996" s="233" t="str">
        <x:f>IF('دانش‌آموزان'!E87="","",'دانش‌آموزان'!E87&amp;" "&amp;'دانش‌آموزان'!F87)</x:f>
        <x:v>امیرحسین طاهری</x:v>
      </x:c>
      <x:c r="F996" s="166" t="str">
        <x:f>IF('دانش‌آموزان'!I87="","",'دانش‌آموزان'!I87)</x:f>
        <x:v>sample-7-d</x:v>
      </x:c>
      <x:c r="G996" s="114"/>
      <x:c r="H996" s="115"/>
      <x:c r="I996" s="115"/>
      <x:c r="J996" s="115"/>
      <x:c r="K996" s="115"/>
      <x:c r="L996" s="115"/>
      <x:c r="M996" s="115"/>
      <x:c r="N996" s="115"/>
      <x:c r="O996" s="115"/>
      <x:c r="P996" s="115"/>
      <x:c r="Q996" s="115"/>
      <x:c r="R996" s="115"/>
      <x:c r="S996" s="115"/>
      <x:c r="T996" s="115"/>
      <x:c r="U996" s="115"/>
      <x:c r="V996" s="115"/>
      <x:c r="W996" s="115"/>
      <x:c r="X996" s="115"/>
      <x:c r="Y996" s="115"/>
      <x:c r="Z996" s="115"/>
      <x:c r="AA996" s="115"/>
      <x:c r="AB996" s="115"/>
      <x:c r="AC996" s="115"/>
      <x:c r="AD996" s="115"/>
      <x:c r="AE996" s="115"/>
      <x:c r="AF996" s="115"/>
      <x:c r="AG996" s="115"/>
      <x:c r="AH996" s="115"/>
      <x:c r="AI996" s="115"/>
      <x:c r="AJ996" s="115"/>
      <x:c r="AK996" s="115"/>
      <x:c r="AL996" s="115"/>
      <x:c r="AM996" s="115"/>
      <x:c r="AN996" s="115"/>
      <x:c r="AO996" s="115"/>
      <x:c r="AP996" s="115"/>
      <x:c r="AQ996" s="115"/>
      <x:c r="AR996" s="115"/>
      <x:c r="AS996" s="115"/>
      <x:c r="AT996" s="115"/>
      <x:c r="AU996" s="115"/>
      <x:c r="AV996" s="115"/>
      <x:c r="AW996" s="115"/>
      <x:c r="AX996" s="115"/>
      <x:c r="AY996" s="115"/>
      <x:c r="AZ996" s="115"/>
      <x:c r="BA996" s="115"/>
      <x:c r="BB996" s="115"/>
      <x:c r="BC996" s="115"/>
      <x:c r="BD996" s="115"/>
      <x:c r="BE996" s="115"/>
      <x:c r="BF996" s="115"/>
      <x:c r="BG996" s="115"/>
      <x:c r="BH996" s="115"/>
      <x:c r="BI996" s="115"/>
      <x:c r="BJ996" s="115"/>
      <x:c r="BK996" s="115"/>
      <x:c r="BL996" s="115"/>
      <x:c r="BM996" s="115"/>
      <x:c r="BN996" s="115"/>
      <x:c r="BO996" s="115"/>
      <x:c r="BP996" s="115"/>
      <x:c r="BQ996" s="115"/>
      <x:c r="BR996" s="115"/>
      <x:c r="BS996" s="115"/>
      <x:c r="BT996" s="115"/>
      <x:c r="BU996" s="115"/>
      <x:c r="BV996" s="115"/>
      <x:c r="BW996" s="115"/>
      <x:c r="BX996" s="115"/>
      <x:c r="BY996" s="115"/>
      <x:c r="BZ996" s="115"/>
      <x:c r="CA996" s="115"/>
      <x:c r="CB996" s="116"/>
      <x:c r="CC996" s="141" t="str">
        <x:f>IF(COUNT(G996:P996)=0,"",AVERAGE(G996:P996)*4)</x:f>
      </x:c>
      <x:c r="CD996" s="178" t="str">
        <x:f>IF(COUNT(Q996:Z996)=0,"",AVERAGE(Q996:Z996)*4)</x:f>
      </x:c>
      <x:c r="CE996" s="178" t="str">
        <x:f>IF(COUNT(AA996:AJ996)=0,"",AVERAGE(AA996:AJ996)*4)</x:f>
      </x:c>
      <x:c r="CF996" s="178" t="str">
        <x:f>IF(COUNT(AK996:AR996)=0,"",AVERAGE(AK996:AR996)*4)</x:f>
      </x:c>
      <x:c r="CG996" s="178" t="str">
        <x:f>IF(COUNT(AS996:AY996)=0,"",AVERAGE(AS996:AY996)*4)</x:f>
      </x:c>
      <x:c r="CH996" s="178" t="str">
        <x:f>IF(COUNT(AZ996:BG996)=0,"",AVERAGE(AZ996:BG996)*4)</x:f>
      </x:c>
      <x:c r="CI996" s="178" t="str">
        <x:f>IF(COUNT(BH996:BN996)=0,"",AVERAGE(BH996:BN996)*4)</x:f>
      </x:c>
      <x:c r="CJ996" s="178" t="str">
        <x:f>IF(COUNT(BO996:BU996)=0,"",AVERAGE(BO996:BU996)*4)</x:f>
      </x:c>
      <x:c r="CK996" s="178" t="str">
        <x:f>IF(COUNT(BV996:CB996)=0,"",AVERAGE(BV996:CB996)*4)</x:f>
      </x:c>
      <x:c r="CL996" s="178" t="str">
        <x:f>IF(C996="","",IF(COUNT(G996:CB996)&lt;74,"",(CC996*'تنظیمات وزن‌دهی'!$C$5+CD996*'تنظیمات وزن‌دهی'!$C$6+CE996*'تنظیمات وزن‌دهی'!$C$7+CF996*'تنظیمات وزن‌دهی'!$C$8+CG996*'تنظیمات وزن‌دهی'!$C$9+CH996*'تنظیمات وزن‌دهی'!$C$10+CI996*'تنظیمات وزن‌دهی'!$C$11+CJ996*'تنظیمات وزن‌دهی'!$C$12+CK996*'تنظیمات وزن‌دهی'!$C$13)/100))</x:f>
      </x:c>
      <x:c r="CM996" s="178" t="str">
        <x:f>IF(C996="","",IF(COUNT(G996:CB996)=0,"",IF(COUNT(G996:CB996)&lt;74,"موقت - اطلاعات ناقص",IF(CL996&gt;=17,"عالی",IF(CL996&gt;=14,"خوب",IF(CL996&gt;=10,"متوسط","ضعیف"))))))</x:f>
      </x:c>
      <x:c r="CN996" s="178" t="n">
        <x:v>8</x:v>
      </x:c>
      <x:c r="CO996" s="142" t="n">
        <x:f>IF(C996="","",COUNT(G996:CB996)/74)</x:f>
        <x:v>0</x:v>
      </x:c>
      <x:c r="CP996" s="245"/>
    </x:row>
    <x:row r="997">
      <x:c r="A997" s="165" t="n">
        <x:v>993</x:v>
      </x:c>
      <x:c r="B997" s="233" t="str">
        <x:v>اسفند</x:v>
      </x:c>
      <x:c r="C997" s="233" t="n">
        <x:f>IF('دانش‌آموزان'!E87="","",'دانش‌آموزان'!B87)</x:f>
        <x:v>83</x:v>
      </x:c>
      <x:c r="D997" s="233" t="str">
        <x:f>IF('دانش‌آموزان'!C87="","",'دانش‌آموزان'!C87)</x:f>
        <x:v>4000000837</x:v>
      </x:c>
      <x:c r="E997" s="233" t="str">
        <x:f>IF('دانش‌آموزان'!E87="","",'دانش‌آموزان'!E87&amp;" "&amp;'دانش‌آموزان'!F87)</x:f>
        <x:v>امیرحسین طاهری</x:v>
      </x:c>
      <x:c r="F997" s="166" t="str">
        <x:f>IF('دانش‌آموزان'!I87="","",'دانش‌آموزان'!I87)</x:f>
        <x:v>sample-7-d</x:v>
      </x:c>
      <x:c r="G997" s="114"/>
      <x:c r="H997" s="115"/>
      <x:c r="I997" s="115"/>
      <x:c r="J997" s="115"/>
      <x:c r="K997" s="115"/>
      <x:c r="L997" s="115"/>
      <x:c r="M997" s="115"/>
      <x:c r="N997" s="115"/>
      <x:c r="O997" s="115"/>
      <x:c r="P997" s="115"/>
      <x:c r="Q997" s="115"/>
      <x:c r="R997" s="115"/>
      <x:c r="S997" s="115"/>
      <x:c r="T997" s="115"/>
      <x:c r="U997" s="115"/>
      <x:c r="V997" s="115"/>
      <x:c r="W997" s="115"/>
      <x:c r="X997" s="115"/>
      <x:c r="Y997" s="115"/>
      <x:c r="Z997" s="115"/>
      <x:c r="AA997" s="115"/>
      <x:c r="AB997" s="115"/>
      <x:c r="AC997" s="115"/>
      <x:c r="AD997" s="115"/>
      <x:c r="AE997" s="115"/>
      <x:c r="AF997" s="115"/>
      <x:c r="AG997" s="115"/>
      <x:c r="AH997" s="115"/>
      <x:c r="AI997" s="115"/>
      <x:c r="AJ997" s="115"/>
      <x:c r="AK997" s="115"/>
      <x:c r="AL997" s="115"/>
      <x:c r="AM997" s="115"/>
      <x:c r="AN997" s="115"/>
      <x:c r="AO997" s="115"/>
      <x:c r="AP997" s="115"/>
      <x:c r="AQ997" s="115"/>
      <x:c r="AR997" s="115"/>
      <x:c r="AS997" s="115"/>
      <x:c r="AT997" s="115"/>
      <x:c r="AU997" s="115"/>
      <x:c r="AV997" s="115"/>
      <x:c r="AW997" s="115"/>
      <x:c r="AX997" s="115"/>
      <x:c r="AY997" s="115"/>
      <x:c r="AZ997" s="115"/>
      <x:c r="BA997" s="115"/>
      <x:c r="BB997" s="115"/>
      <x:c r="BC997" s="115"/>
      <x:c r="BD997" s="115"/>
      <x:c r="BE997" s="115"/>
      <x:c r="BF997" s="115"/>
      <x:c r="BG997" s="115"/>
      <x:c r="BH997" s="115"/>
      <x:c r="BI997" s="115"/>
      <x:c r="BJ997" s="115"/>
      <x:c r="BK997" s="115"/>
      <x:c r="BL997" s="115"/>
      <x:c r="BM997" s="115"/>
      <x:c r="BN997" s="115"/>
      <x:c r="BO997" s="115"/>
      <x:c r="BP997" s="115"/>
      <x:c r="BQ997" s="115"/>
      <x:c r="BR997" s="115"/>
      <x:c r="BS997" s="115"/>
      <x:c r="BT997" s="115"/>
      <x:c r="BU997" s="115"/>
      <x:c r="BV997" s="115"/>
      <x:c r="BW997" s="115"/>
      <x:c r="BX997" s="115"/>
      <x:c r="BY997" s="115"/>
      <x:c r="BZ997" s="115"/>
      <x:c r="CA997" s="115"/>
      <x:c r="CB997" s="116"/>
      <x:c r="CC997" s="141" t="str">
        <x:f>IF(COUNT(G997:P997)=0,"",AVERAGE(G997:P997)*4)</x:f>
      </x:c>
      <x:c r="CD997" s="178" t="str">
        <x:f>IF(COUNT(Q997:Z997)=0,"",AVERAGE(Q997:Z997)*4)</x:f>
      </x:c>
      <x:c r="CE997" s="178" t="str">
        <x:f>IF(COUNT(AA997:AJ997)=0,"",AVERAGE(AA997:AJ997)*4)</x:f>
      </x:c>
      <x:c r="CF997" s="178" t="str">
        <x:f>IF(COUNT(AK997:AR997)=0,"",AVERAGE(AK997:AR997)*4)</x:f>
      </x:c>
      <x:c r="CG997" s="178" t="str">
        <x:f>IF(COUNT(AS997:AY997)=0,"",AVERAGE(AS997:AY997)*4)</x:f>
      </x:c>
      <x:c r="CH997" s="178" t="str">
        <x:f>IF(COUNT(AZ997:BG997)=0,"",AVERAGE(AZ997:BG997)*4)</x:f>
      </x:c>
      <x:c r="CI997" s="178" t="str">
        <x:f>IF(COUNT(BH997:BN997)=0,"",AVERAGE(BH997:BN997)*4)</x:f>
      </x:c>
      <x:c r="CJ997" s="178" t="str">
        <x:f>IF(COUNT(BO997:BU997)=0,"",AVERAGE(BO997:BU997)*4)</x:f>
      </x:c>
      <x:c r="CK997" s="178" t="str">
        <x:f>IF(COUNT(BV997:CB997)=0,"",AVERAGE(BV997:CB997)*4)</x:f>
      </x:c>
      <x:c r="CL997" s="178" t="str">
        <x:f>IF(C997="","",IF(COUNT(G997:CB997)&lt;74,"",(CC997*'تنظیمات وزن‌دهی'!$C$5+CD997*'تنظیمات وزن‌دهی'!$C$6+CE997*'تنظیمات وزن‌دهی'!$C$7+CF997*'تنظیمات وزن‌دهی'!$C$8+CG997*'تنظیمات وزن‌دهی'!$C$9+CH997*'تنظیمات وزن‌دهی'!$C$10+CI997*'تنظیمات وزن‌دهی'!$C$11+CJ997*'تنظیمات وزن‌دهی'!$C$12+CK997*'تنظیمات وزن‌دهی'!$C$13)/100))</x:f>
      </x:c>
      <x:c r="CM997" s="178" t="str">
        <x:f>IF(C997="","",IF(COUNT(G997:CB997)=0,"",IF(COUNT(G997:CB997)&lt;74,"موقت - اطلاعات ناقص",IF(CL997&gt;=17,"عالی",IF(CL997&gt;=14,"خوب",IF(CL997&gt;=10,"متوسط","ضعیف"))))))</x:f>
      </x:c>
      <x:c r="CN997" s="178" t="n">
        <x:v>9</x:v>
      </x:c>
      <x:c r="CO997" s="142" t="n">
        <x:f>IF(C997="","",COUNT(G997:CB997)/74)</x:f>
        <x:v>0</x:v>
      </x:c>
      <x:c r="CP997" s="245"/>
    </x:row>
    <x:row r="998">
      <x:c r="A998" s="165" t="n">
        <x:v>994</x:v>
      </x:c>
      <x:c r="B998" s="233" t="str">
        <x:v>فروردین</x:v>
      </x:c>
      <x:c r="C998" s="233" t="n">
        <x:f>IF('دانش‌آموزان'!E87="","",'دانش‌آموزان'!B87)</x:f>
        <x:v>83</x:v>
      </x:c>
      <x:c r="D998" s="233" t="str">
        <x:f>IF('دانش‌آموزان'!C87="","",'دانش‌آموزان'!C87)</x:f>
        <x:v>4000000837</x:v>
      </x:c>
      <x:c r="E998" s="233" t="str">
        <x:f>IF('دانش‌آموزان'!E87="","",'دانش‌آموزان'!E87&amp;" "&amp;'دانش‌آموزان'!F87)</x:f>
        <x:v>امیرحسین طاهری</x:v>
      </x:c>
      <x:c r="F998" s="166" t="str">
        <x:f>IF('دانش‌آموزان'!I87="","",'دانش‌آموزان'!I87)</x:f>
        <x:v>sample-7-d</x:v>
      </x:c>
      <x:c r="G998" s="114"/>
      <x:c r="H998" s="115"/>
      <x:c r="I998" s="115"/>
      <x:c r="J998" s="115"/>
      <x:c r="K998" s="115"/>
      <x:c r="L998" s="115"/>
      <x:c r="M998" s="115"/>
      <x:c r="N998" s="115"/>
      <x:c r="O998" s="115"/>
      <x:c r="P998" s="115"/>
      <x:c r="Q998" s="115"/>
      <x:c r="R998" s="115"/>
      <x:c r="S998" s="115"/>
      <x:c r="T998" s="115"/>
      <x:c r="U998" s="115"/>
      <x:c r="V998" s="115"/>
      <x:c r="W998" s="115"/>
      <x:c r="X998" s="115"/>
      <x:c r="Y998" s="115"/>
      <x:c r="Z998" s="115"/>
      <x:c r="AA998" s="115"/>
      <x:c r="AB998" s="115"/>
      <x:c r="AC998" s="115"/>
      <x:c r="AD998" s="115"/>
      <x:c r="AE998" s="115"/>
      <x:c r="AF998" s="115"/>
      <x:c r="AG998" s="115"/>
      <x:c r="AH998" s="115"/>
      <x:c r="AI998" s="115"/>
      <x:c r="AJ998" s="115"/>
      <x:c r="AK998" s="115"/>
      <x:c r="AL998" s="115"/>
      <x:c r="AM998" s="115"/>
      <x:c r="AN998" s="115"/>
      <x:c r="AO998" s="115"/>
      <x:c r="AP998" s="115"/>
      <x:c r="AQ998" s="115"/>
      <x:c r="AR998" s="115"/>
      <x:c r="AS998" s="115"/>
      <x:c r="AT998" s="115"/>
      <x:c r="AU998" s="115"/>
      <x:c r="AV998" s="115"/>
      <x:c r="AW998" s="115"/>
      <x:c r="AX998" s="115"/>
      <x:c r="AY998" s="115"/>
      <x:c r="AZ998" s="115"/>
      <x:c r="BA998" s="115"/>
      <x:c r="BB998" s="115"/>
      <x:c r="BC998" s="115"/>
      <x:c r="BD998" s="115"/>
      <x:c r="BE998" s="115"/>
      <x:c r="BF998" s="115"/>
      <x:c r="BG998" s="115"/>
      <x:c r="BH998" s="115"/>
      <x:c r="BI998" s="115"/>
      <x:c r="BJ998" s="115"/>
      <x:c r="BK998" s="115"/>
      <x:c r="BL998" s="115"/>
      <x:c r="BM998" s="115"/>
      <x:c r="BN998" s="115"/>
      <x:c r="BO998" s="115"/>
      <x:c r="BP998" s="115"/>
      <x:c r="BQ998" s="115"/>
      <x:c r="BR998" s="115"/>
      <x:c r="BS998" s="115"/>
      <x:c r="BT998" s="115"/>
      <x:c r="BU998" s="115"/>
      <x:c r="BV998" s="115"/>
      <x:c r="BW998" s="115"/>
      <x:c r="BX998" s="115"/>
      <x:c r="BY998" s="115"/>
      <x:c r="BZ998" s="115"/>
      <x:c r="CA998" s="115"/>
      <x:c r="CB998" s="116"/>
      <x:c r="CC998" s="141" t="str">
        <x:f>IF(COUNT(G998:P998)=0,"",AVERAGE(G998:P998)*4)</x:f>
      </x:c>
      <x:c r="CD998" s="178" t="str">
        <x:f>IF(COUNT(Q998:Z998)=0,"",AVERAGE(Q998:Z998)*4)</x:f>
      </x:c>
      <x:c r="CE998" s="178" t="str">
        <x:f>IF(COUNT(AA998:AJ998)=0,"",AVERAGE(AA998:AJ998)*4)</x:f>
      </x:c>
      <x:c r="CF998" s="178" t="str">
        <x:f>IF(COUNT(AK998:AR998)=0,"",AVERAGE(AK998:AR998)*4)</x:f>
      </x:c>
      <x:c r="CG998" s="178" t="str">
        <x:f>IF(COUNT(AS998:AY998)=0,"",AVERAGE(AS998:AY998)*4)</x:f>
      </x:c>
      <x:c r="CH998" s="178" t="str">
        <x:f>IF(COUNT(AZ998:BG998)=0,"",AVERAGE(AZ998:BG998)*4)</x:f>
      </x:c>
      <x:c r="CI998" s="178" t="str">
        <x:f>IF(COUNT(BH998:BN998)=0,"",AVERAGE(BH998:BN998)*4)</x:f>
      </x:c>
      <x:c r="CJ998" s="178" t="str">
        <x:f>IF(COUNT(BO998:BU998)=0,"",AVERAGE(BO998:BU998)*4)</x:f>
      </x:c>
      <x:c r="CK998" s="178" t="str">
        <x:f>IF(COUNT(BV998:CB998)=0,"",AVERAGE(BV998:CB998)*4)</x:f>
      </x:c>
      <x:c r="CL998" s="178" t="str">
        <x:f>IF(C998="","",IF(COUNT(G998:CB998)&lt;74,"",(CC998*'تنظیمات وزن‌دهی'!$C$5+CD998*'تنظیمات وزن‌دهی'!$C$6+CE998*'تنظیمات وزن‌دهی'!$C$7+CF998*'تنظیمات وزن‌دهی'!$C$8+CG998*'تنظیمات وزن‌دهی'!$C$9+CH998*'تنظیمات وزن‌دهی'!$C$10+CI998*'تنظیمات وزن‌دهی'!$C$11+CJ998*'تنظیمات وزن‌دهی'!$C$12+CK998*'تنظیمات وزن‌دهی'!$C$13)/100))</x:f>
      </x:c>
      <x:c r="CM998" s="178" t="str">
        <x:f>IF(C998="","",IF(COUNT(G998:CB998)=0,"",IF(COUNT(G998:CB998)&lt;74,"موقت - اطلاعات ناقص",IF(CL998&gt;=17,"عالی",IF(CL998&gt;=14,"خوب",IF(CL998&gt;=10,"متوسط","ضعیف"))))))</x:f>
      </x:c>
      <x:c r="CN998" s="178" t="n">
        <x:v>10</x:v>
      </x:c>
      <x:c r="CO998" s="142" t="n">
        <x:f>IF(C998="","",COUNT(G998:CB998)/74)</x:f>
        <x:v>0</x:v>
      </x:c>
      <x:c r="CP998" s="245"/>
    </x:row>
    <x:row r="999">
      <x:c r="A999" s="165" t="n">
        <x:v>995</x:v>
      </x:c>
      <x:c r="B999" s="233" t="str">
        <x:v>اردیبهشت</x:v>
      </x:c>
      <x:c r="C999" s="233" t="n">
        <x:f>IF('دانش‌آموزان'!E87="","",'دانش‌آموزان'!B87)</x:f>
        <x:v>83</x:v>
      </x:c>
      <x:c r="D999" s="233" t="str">
        <x:f>IF('دانش‌آموزان'!C87="","",'دانش‌آموزان'!C87)</x:f>
        <x:v>4000000837</x:v>
      </x:c>
      <x:c r="E999" s="233" t="str">
        <x:f>IF('دانش‌آموزان'!E87="","",'دانش‌آموزان'!E87&amp;" "&amp;'دانش‌آموزان'!F87)</x:f>
        <x:v>امیرحسین طاهری</x:v>
      </x:c>
      <x:c r="F999" s="166" t="str">
        <x:f>IF('دانش‌آموزان'!I87="","",'دانش‌آموزان'!I87)</x:f>
        <x:v>sample-7-d</x:v>
      </x:c>
      <x:c r="G999" s="114"/>
      <x:c r="H999" s="115"/>
      <x:c r="I999" s="115"/>
      <x:c r="J999" s="115"/>
      <x:c r="K999" s="115"/>
      <x:c r="L999" s="115"/>
      <x:c r="M999" s="115"/>
      <x:c r="N999" s="115"/>
      <x:c r="O999" s="115"/>
      <x:c r="P999" s="115"/>
      <x:c r="Q999" s="115"/>
      <x:c r="R999" s="115"/>
      <x:c r="S999" s="115"/>
      <x:c r="T999" s="115"/>
      <x:c r="U999" s="115"/>
      <x:c r="V999" s="115"/>
      <x:c r="W999" s="115"/>
      <x:c r="X999" s="115"/>
      <x:c r="Y999" s="115"/>
      <x:c r="Z999" s="115"/>
      <x:c r="AA999" s="115"/>
      <x:c r="AB999" s="115"/>
      <x:c r="AC999" s="115"/>
      <x:c r="AD999" s="115"/>
      <x:c r="AE999" s="115"/>
      <x:c r="AF999" s="115"/>
      <x:c r="AG999" s="115"/>
      <x:c r="AH999" s="115"/>
      <x:c r="AI999" s="115"/>
      <x:c r="AJ999" s="115"/>
      <x:c r="AK999" s="115"/>
      <x:c r="AL999" s="115"/>
      <x:c r="AM999" s="115"/>
      <x:c r="AN999" s="115"/>
      <x:c r="AO999" s="115"/>
      <x:c r="AP999" s="115"/>
      <x:c r="AQ999" s="115"/>
      <x:c r="AR999" s="115"/>
      <x:c r="AS999" s="115"/>
      <x:c r="AT999" s="115"/>
      <x:c r="AU999" s="115"/>
      <x:c r="AV999" s="115"/>
      <x:c r="AW999" s="115"/>
      <x:c r="AX999" s="115"/>
      <x:c r="AY999" s="115"/>
      <x:c r="AZ999" s="115"/>
      <x:c r="BA999" s="115"/>
      <x:c r="BB999" s="115"/>
      <x:c r="BC999" s="115"/>
      <x:c r="BD999" s="115"/>
      <x:c r="BE999" s="115"/>
      <x:c r="BF999" s="115"/>
      <x:c r="BG999" s="115"/>
      <x:c r="BH999" s="115"/>
      <x:c r="BI999" s="115"/>
      <x:c r="BJ999" s="115"/>
      <x:c r="BK999" s="115"/>
      <x:c r="BL999" s="115"/>
      <x:c r="BM999" s="115"/>
      <x:c r="BN999" s="115"/>
      <x:c r="BO999" s="115"/>
      <x:c r="BP999" s="115"/>
      <x:c r="BQ999" s="115"/>
      <x:c r="BR999" s="115"/>
      <x:c r="BS999" s="115"/>
      <x:c r="BT999" s="115"/>
      <x:c r="BU999" s="115"/>
      <x:c r="BV999" s="115"/>
      <x:c r="BW999" s="115"/>
      <x:c r="BX999" s="115"/>
      <x:c r="BY999" s="115"/>
      <x:c r="BZ999" s="115"/>
      <x:c r="CA999" s="115"/>
      <x:c r="CB999" s="116"/>
      <x:c r="CC999" s="141" t="str">
        <x:f>IF(COUNT(G999:P999)=0,"",AVERAGE(G999:P999)*4)</x:f>
      </x:c>
      <x:c r="CD999" s="178" t="str">
        <x:f>IF(COUNT(Q999:Z999)=0,"",AVERAGE(Q999:Z999)*4)</x:f>
      </x:c>
      <x:c r="CE999" s="178" t="str">
        <x:f>IF(COUNT(AA999:AJ999)=0,"",AVERAGE(AA999:AJ999)*4)</x:f>
      </x:c>
      <x:c r="CF999" s="178" t="str">
        <x:f>IF(COUNT(AK999:AR999)=0,"",AVERAGE(AK999:AR999)*4)</x:f>
      </x:c>
      <x:c r="CG999" s="178" t="str">
        <x:f>IF(COUNT(AS999:AY999)=0,"",AVERAGE(AS999:AY999)*4)</x:f>
      </x:c>
      <x:c r="CH999" s="178" t="str">
        <x:f>IF(COUNT(AZ999:BG999)=0,"",AVERAGE(AZ999:BG999)*4)</x:f>
      </x:c>
      <x:c r="CI999" s="178" t="str">
        <x:f>IF(COUNT(BH999:BN999)=0,"",AVERAGE(BH999:BN999)*4)</x:f>
      </x:c>
      <x:c r="CJ999" s="178" t="str">
        <x:f>IF(COUNT(BO999:BU999)=0,"",AVERAGE(BO999:BU999)*4)</x:f>
      </x:c>
      <x:c r="CK999" s="178" t="str">
        <x:f>IF(COUNT(BV999:CB999)=0,"",AVERAGE(BV999:CB999)*4)</x:f>
      </x:c>
      <x:c r="CL999" s="178" t="str">
        <x:f>IF(C999="","",IF(COUNT(G999:CB999)&lt;74,"",(CC999*'تنظیمات وزن‌دهی'!$C$5+CD999*'تنظیمات وزن‌دهی'!$C$6+CE999*'تنظیمات وزن‌دهی'!$C$7+CF999*'تنظیمات وزن‌دهی'!$C$8+CG999*'تنظیمات وزن‌دهی'!$C$9+CH999*'تنظیمات وزن‌دهی'!$C$10+CI999*'تنظیمات وزن‌دهی'!$C$11+CJ999*'تنظیمات وزن‌دهی'!$C$12+CK999*'تنظیمات وزن‌دهی'!$C$13)/100))</x:f>
      </x:c>
      <x:c r="CM999" s="178" t="str">
        <x:f>IF(C999="","",IF(COUNT(G999:CB999)=0,"",IF(COUNT(G999:CB999)&lt;74,"موقت - اطلاعات ناقص",IF(CL999&gt;=17,"عالی",IF(CL999&gt;=14,"خوب",IF(CL999&gt;=10,"متوسط","ضعیف"))))))</x:f>
      </x:c>
      <x:c r="CN999" s="178" t="n">
        <x:v>11</x:v>
      </x:c>
      <x:c r="CO999" s="142" t="n">
        <x:f>IF(C999="","",COUNT(G999:CB999)/74)</x:f>
        <x:v>0</x:v>
      </x:c>
      <x:c r="CP999" s="245"/>
    </x:row>
    <x:row r="1000">
      <x:c r="A1000" s="165" t="n">
        <x:v>996</x:v>
      </x:c>
      <x:c r="B1000" s="233" t="str">
        <x:v>خرداد</x:v>
      </x:c>
      <x:c r="C1000" s="233" t="n">
        <x:f>IF('دانش‌آموزان'!E87="","",'دانش‌آموزان'!B87)</x:f>
        <x:v>83</x:v>
      </x:c>
      <x:c r="D1000" s="233" t="str">
        <x:f>IF('دانش‌آموزان'!C87="","",'دانش‌آموزان'!C87)</x:f>
        <x:v>4000000837</x:v>
      </x:c>
      <x:c r="E1000" s="233" t="str">
        <x:f>IF('دانش‌آموزان'!E87="","",'دانش‌آموزان'!E87&amp;" "&amp;'دانش‌آموزان'!F87)</x:f>
        <x:v>امیرحسین طاهری</x:v>
      </x:c>
      <x:c r="F1000" s="166" t="str">
        <x:f>IF('دانش‌آموزان'!I87="","",'دانش‌آموزان'!I87)</x:f>
        <x:v>sample-7-d</x:v>
      </x:c>
      <x:c r="G1000" s="114"/>
      <x:c r="H1000" s="115"/>
      <x:c r="I1000" s="115"/>
      <x:c r="J1000" s="115"/>
      <x:c r="K1000" s="115"/>
      <x:c r="L1000" s="115"/>
      <x:c r="M1000" s="115"/>
      <x:c r="N1000" s="115"/>
      <x:c r="O1000" s="115"/>
      <x:c r="P1000" s="115"/>
      <x:c r="Q1000" s="115"/>
      <x:c r="R1000" s="115"/>
      <x:c r="S1000" s="115"/>
      <x:c r="T1000" s="115"/>
      <x:c r="U1000" s="115"/>
      <x:c r="V1000" s="115"/>
      <x:c r="W1000" s="115"/>
      <x:c r="X1000" s="115"/>
      <x:c r="Y1000" s="115"/>
      <x:c r="Z1000" s="115"/>
      <x:c r="AA1000" s="115"/>
      <x:c r="AB1000" s="115"/>
      <x:c r="AC1000" s="115"/>
      <x:c r="AD1000" s="115"/>
      <x:c r="AE1000" s="115"/>
      <x:c r="AF1000" s="115"/>
      <x:c r="AG1000" s="115"/>
      <x:c r="AH1000" s="115"/>
      <x:c r="AI1000" s="115"/>
      <x:c r="AJ1000" s="115"/>
      <x:c r="AK1000" s="115"/>
      <x:c r="AL1000" s="115"/>
      <x:c r="AM1000" s="115"/>
      <x:c r="AN1000" s="115"/>
      <x:c r="AO1000" s="115"/>
      <x:c r="AP1000" s="115"/>
      <x:c r="AQ1000" s="115"/>
      <x:c r="AR1000" s="115"/>
      <x:c r="AS1000" s="115"/>
      <x:c r="AT1000" s="115"/>
      <x:c r="AU1000" s="115"/>
      <x:c r="AV1000" s="115"/>
      <x:c r="AW1000" s="115"/>
      <x:c r="AX1000" s="115"/>
      <x:c r="AY1000" s="115"/>
      <x:c r="AZ1000" s="115"/>
      <x:c r="BA1000" s="115"/>
      <x:c r="BB1000" s="115"/>
      <x:c r="BC1000" s="115"/>
      <x:c r="BD1000" s="115"/>
      <x:c r="BE1000" s="115"/>
      <x:c r="BF1000" s="115"/>
      <x:c r="BG1000" s="115"/>
      <x:c r="BH1000" s="115"/>
      <x:c r="BI1000" s="115"/>
      <x:c r="BJ1000" s="115"/>
      <x:c r="BK1000" s="115"/>
      <x:c r="BL1000" s="115"/>
      <x:c r="BM1000" s="115"/>
      <x:c r="BN1000" s="115"/>
      <x:c r="BO1000" s="115"/>
      <x:c r="BP1000" s="115"/>
      <x:c r="BQ1000" s="115"/>
      <x:c r="BR1000" s="115"/>
      <x:c r="BS1000" s="115"/>
      <x:c r="BT1000" s="115"/>
      <x:c r="BU1000" s="115"/>
      <x:c r="BV1000" s="115"/>
      <x:c r="BW1000" s="115"/>
      <x:c r="BX1000" s="115"/>
      <x:c r="BY1000" s="115"/>
      <x:c r="BZ1000" s="115"/>
      <x:c r="CA1000" s="115"/>
      <x:c r="CB1000" s="116"/>
      <x:c r="CC1000" s="141" t="str">
        <x:f>IF(COUNT(G1000:P1000)=0,"",AVERAGE(G1000:P1000)*4)</x:f>
      </x:c>
      <x:c r="CD1000" s="178" t="str">
        <x:f>IF(COUNT(Q1000:Z1000)=0,"",AVERAGE(Q1000:Z1000)*4)</x:f>
      </x:c>
      <x:c r="CE1000" s="178" t="str">
        <x:f>IF(COUNT(AA1000:AJ1000)=0,"",AVERAGE(AA1000:AJ1000)*4)</x:f>
      </x:c>
      <x:c r="CF1000" s="178" t="str">
        <x:f>IF(COUNT(AK1000:AR1000)=0,"",AVERAGE(AK1000:AR1000)*4)</x:f>
      </x:c>
      <x:c r="CG1000" s="178" t="str">
        <x:f>IF(COUNT(AS1000:AY1000)=0,"",AVERAGE(AS1000:AY1000)*4)</x:f>
      </x:c>
      <x:c r="CH1000" s="178" t="str">
        <x:f>IF(COUNT(AZ1000:BG1000)=0,"",AVERAGE(AZ1000:BG1000)*4)</x:f>
      </x:c>
      <x:c r="CI1000" s="178" t="str">
        <x:f>IF(COUNT(BH1000:BN1000)=0,"",AVERAGE(BH1000:BN1000)*4)</x:f>
      </x:c>
      <x:c r="CJ1000" s="178" t="str">
        <x:f>IF(COUNT(BO1000:BU1000)=0,"",AVERAGE(BO1000:BU1000)*4)</x:f>
      </x:c>
      <x:c r="CK1000" s="178" t="str">
        <x:f>IF(COUNT(BV1000:CB1000)=0,"",AVERAGE(BV1000:CB1000)*4)</x:f>
      </x:c>
      <x:c r="CL1000" s="178" t="str">
        <x:f>IF(C1000="","",IF(COUNT(G1000:CB1000)&lt;74,"",(CC1000*'تنظیمات وزن‌دهی'!$C$5+CD1000*'تنظیمات وزن‌دهی'!$C$6+CE1000*'تنظیمات وزن‌دهی'!$C$7+CF1000*'تنظیمات وزن‌دهی'!$C$8+CG1000*'تنظیمات وزن‌دهی'!$C$9+CH1000*'تنظیمات وزن‌دهی'!$C$10+CI1000*'تنظیمات وزن‌دهی'!$C$11+CJ1000*'تنظیمات وزن‌دهی'!$C$12+CK1000*'تنظیمات وزن‌دهی'!$C$13)/100))</x:f>
      </x:c>
      <x:c r="CM1000" s="178" t="str">
        <x:f>IF(C1000="","",IF(COUNT(G1000:CB1000)=0,"",IF(COUNT(G1000:CB1000)&lt;74,"موقت - اطلاعات ناقص",IF(CL1000&gt;=17,"عالی",IF(CL1000&gt;=14,"خوب",IF(CL1000&gt;=10,"متوسط","ضعیف"))))))</x:f>
      </x:c>
      <x:c r="CN1000" s="178" t="n">
        <x:v>12</x:v>
      </x:c>
      <x:c r="CO1000" s="142" t="n">
        <x:f>IF(C1000="","",COUNT(G1000:CB1000)/74)</x:f>
        <x:v>0</x:v>
      </x:c>
      <x:c r="CP1000" s="245"/>
    </x:row>
    <x:row r="1001">
      <x:c r="A1001" s="165" t="n">
        <x:v>997</x:v>
      </x:c>
      <x:c r="B1001" s="233" t="str">
        <x:v>تیر</x:v>
      </x:c>
      <x:c r="C1001" s="233" t="n">
        <x:f>IF('دانش‌آموزان'!E88="","",'دانش‌آموزان'!B88)</x:f>
        <x:v>84</x:v>
      </x:c>
      <x:c r="D1001" s="233" t="str">
        <x:f>IF('دانش‌آموزان'!C88="","",'دانش‌آموزان'!C88)</x:f>
        <x:v>4000000845</x:v>
      </x:c>
      <x:c r="E1001" s="233" t="str">
        <x:f>IF('دانش‌آموزان'!E88="","",'دانش‌آموزان'!E88&amp;" "&amp;'دانش‌آموزان'!F88)</x:f>
        <x:v>زهرا محمدی</x:v>
      </x:c>
      <x:c r="F1001" s="166" t="str">
        <x:f>IF('دانش‌آموزان'!I88="","",'دانش‌آموزان'!I88)</x:f>
        <x:v>sample-7-d</x:v>
      </x:c>
      <x:c r="G1001" s="114" t="n">
        <x:v>4</x:v>
      </x:c>
      <x:c r="H1001" s="115" t="n">
        <x:v>3</x:v>
      </x:c>
      <x:c r="I1001" s="115" t="n">
        <x:v>4</x:v>
      </x:c>
      <x:c r="J1001" s="115" t="n">
        <x:v>2</x:v>
      </x:c>
      <x:c r="K1001" s="115" t="n">
        <x:v>4</x:v>
      </x:c>
      <x:c r="L1001" s="115" t="n">
        <x:v>5</x:v>
      </x:c>
      <x:c r="M1001" s="115" t="n">
        <x:v>4</x:v>
      </x:c>
      <x:c r="N1001" s="115" t="n">
        <x:v>5</x:v>
      </x:c>
      <x:c r="O1001" s="115" t="n">
        <x:v>3</x:v>
      </x:c>
      <x:c r="P1001" s="115" t="n">
        <x:v>5</x:v>
      </x:c>
      <x:c r="Q1001" s="115" t="n">
        <x:v>3</x:v>
      </x:c>
      <x:c r="R1001" s="115" t="n">
        <x:v>4</x:v>
      </x:c>
      <x:c r="S1001" s="115" t="n">
        <x:v>3</x:v>
      </x:c>
      <x:c r="T1001" s="115" t="n">
        <x:v>4</x:v>
      </x:c>
      <x:c r="U1001" s="115" t="n">
        <x:v>2</x:v>
      </x:c>
      <x:c r="V1001" s="115" t="n">
        <x:v>4</x:v>
      </x:c>
      <x:c r="W1001" s="115" t="n">
        <x:v>5</x:v>
      </x:c>
      <x:c r="X1001" s="115" t="n">
        <x:v>4</x:v>
      </x:c>
      <x:c r="Y1001" s="115" t="n">
        <x:v>5</x:v>
      </x:c>
      <x:c r="Z1001" s="115" t="n">
        <x:v>3</x:v>
      </x:c>
      <x:c r="AA1001" s="115" t="n">
        <x:v>5</x:v>
      </x:c>
      <x:c r="AB1001" s="115" t="n">
        <x:v>3</x:v>
      </x:c>
      <x:c r="AC1001" s="115" t="n">
        <x:v>4</x:v>
      </x:c>
      <x:c r="AD1001" s="115" t="n">
        <x:v>3</x:v>
      </x:c>
      <x:c r="AE1001" s="115" t="n">
        <x:v>4</x:v>
      </x:c>
      <x:c r="AF1001" s="115" t="n">
        <x:v>2</x:v>
      </x:c>
      <x:c r="AG1001" s="115" t="n">
        <x:v>4</x:v>
      </x:c>
      <x:c r="AH1001" s="115" t="n">
        <x:v>5</x:v>
      </x:c>
      <x:c r="AI1001" s="115" t="n">
        <x:v>4</x:v>
      </x:c>
      <x:c r="AJ1001" s="115" t="n">
        <x:v>5</x:v>
      </x:c>
      <x:c r="AK1001" s="115" t="n">
        <x:v>3</x:v>
      </x:c>
      <x:c r="AL1001" s="115" t="n">
        <x:v>5</x:v>
      </x:c>
      <x:c r="AM1001" s="115" t="n">
        <x:v>3</x:v>
      </x:c>
      <x:c r="AN1001" s="115" t="n">
        <x:v>4</x:v>
      </x:c>
      <x:c r="AO1001" s="115" t="n">
        <x:v>3</x:v>
      </x:c>
      <x:c r="AP1001" s="115" t="n">
        <x:v>4</x:v>
      </x:c>
      <x:c r="AQ1001" s="115" t="n">
        <x:v>2</x:v>
      </x:c>
      <x:c r="AR1001" s="115" t="n">
        <x:v>4</x:v>
      </x:c>
      <x:c r="AS1001" s="115" t="n">
        <x:v>5</x:v>
      </x:c>
      <x:c r="AT1001" s="115" t="n">
        <x:v>4</x:v>
      </x:c>
      <x:c r="AU1001" s="115" t="n">
        <x:v>5</x:v>
      </x:c>
      <x:c r="AV1001" s="115" t="n">
        <x:v>3</x:v>
      </x:c>
      <x:c r="AW1001" s="115" t="n">
        <x:v>5</x:v>
      </x:c>
      <x:c r="AX1001" s="115" t="n">
        <x:v>3</x:v>
      </x:c>
      <x:c r="AY1001" s="115" t="n">
        <x:v>4</x:v>
      </x:c>
      <x:c r="AZ1001" s="115" t="n">
        <x:v>3</x:v>
      </x:c>
      <x:c r="BA1001" s="115" t="n">
        <x:v>4</x:v>
      </x:c>
      <x:c r="BB1001" s="115" t="n">
        <x:v>2</x:v>
      </x:c>
      <x:c r="BC1001" s="115" t="n">
        <x:v>4</x:v>
      </x:c>
      <x:c r="BD1001" s="115" t="n">
        <x:v>5</x:v>
      </x:c>
      <x:c r="BE1001" s="115" t="n">
        <x:v>4</x:v>
      </x:c>
      <x:c r="BF1001" s="115" t="n">
        <x:v>5</x:v>
      </x:c>
      <x:c r="BG1001" s="115" t="n">
        <x:v>3</x:v>
      </x:c>
      <x:c r="BH1001" s="115" t="n">
        <x:v>5</x:v>
      </x:c>
      <x:c r="BI1001" s="115" t="n">
        <x:v>3</x:v>
      </x:c>
      <x:c r="BJ1001" s="115" t="n">
        <x:v>4</x:v>
      </x:c>
      <x:c r="BK1001" s="115" t="n">
        <x:v>3</x:v>
      </x:c>
      <x:c r="BL1001" s="115" t="n">
        <x:v>4</x:v>
      </x:c>
      <x:c r="BM1001" s="115" t="n">
        <x:v>2</x:v>
      </x:c>
      <x:c r="BN1001" s="115" t="n">
        <x:v>4</x:v>
      </x:c>
      <x:c r="BO1001" s="115" t="n">
        <x:v>5</x:v>
      </x:c>
      <x:c r="BP1001" s="115" t="n">
        <x:v>4</x:v>
      </x:c>
      <x:c r="BQ1001" s="115" t="n">
        <x:v>5</x:v>
      </x:c>
      <x:c r="BR1001" s="115" t="n">
        <x:v>3</x:v>
      </x:c>
      <x:c r="BS1001" s="115" t="n">
        <x:v>5</x:v>
      </x:c>
      <x:c r="BT1001" s="115" t="n">
        <x:v>3</x:v>
      </x:c>
      <x:c r="BU1001" s="115" t="n">
        <x:v>4</x:v>
      </x:c>
      <x:c r="BV1001" s="115" t="n">
        <x:v>3</x:v>
      </x:c>
      <x:c r="BW1001" s="115" t="n">
        <x:v>4</x:v>
      </x:c>
      <x:c r="BX1001" s="115" t="n">
        <x:v>2</x:v>
      </x:c>
      <x:c r="BY1001" s="115" t="n">
        <x:v>4</x:v>
      </x:c>
      <x:c r="BZ1001" s="115" t="n">
        <x:v>5</x:v>
      </x:c>
      <x:c r="CA1001" s="115" t="n">
        <x:v>4</x:v>
      </x:c>
      <x:c r="CB1001" s="116" t="n">
        <x:v>5</x:v>
      </x:c>
      <x:c r="CC1001" s="141" t="n">
        <x:f>IF(COUNT(G1001:P1001)=0,"",AVERAGE(G1001:P1001)*4)</x:f>
        <x:v>15.6</x:v>
      </x:c>
      <x:c r="CD1001" s="178" t="n">
        <x:f>IF(COUNT(Q1001:Z1001)=0,"",AVERAGE(Q1001:Z1001)*4)</x:f>
        <x:v>14.8</x:v>
      </x:c>
      <x:c r="CE1001" s="178" t="n">
        <x:f>IF(COUNT(AA1001:AJ1001)=0,"",AVERAGE(AA1001:AJ1001)*4)</x:f>
        <x:v>15.6</x:v>
      </x:c>
      <x:c r="CF1001" s="178" t="n">
        <x:f>IF(COUNT(AK1001:AR1001)=0,"",AVERAGE(AK1001:AR1001)*4)</x:f>
        <x:v>14</x:v>
      </x:c>
      <x:c r="CG1001" s="178" t="n">
        <x:f>IF(COUNT(AS1001:AY1001)=0,"",AVERAGE(AS1001:AY1001)*4)</x:f>
        <x:v>16.571428571428573</x:v>
      </x:c>
      <x:c r="CH1001" s="178" t="n">
        <x:f>IF(COUNT(AZ1001:BG1001)=0,"",AVERAGE(AZ1001:BG1001)*4)</x:f>
        <x:v>15</x:v>
      </x:c>
      <x:c r="CI1001" s="178" t="n">
        <x:f>IF(COUNT(BH1001:BN1001)=0,"",AVERAGE(BH1001:BN1001)*4)</x:f>
        <x:v>14.285714285714286</x:v>
      </x:c>
      <x:c r="CJ1001" s="178" t="n">
        <x:f>IF(COUNT(BO1001:BU1001)=0,"",AVERAGE(BO1001:BU1001)*4)</x:f>
        <x:v>16.571428571428573</x:v>
      </x:c>
      <x:c r="CK1001" s="178" t="n">
        <x:f>IF(COUNT(BV1001:CB1001)=0,"",AVERAGE(BV1001:CB1001)*4)</x:f>
        <x:v>15.428571428571429</x:v>
      </x:c>
      <x:c r="CL1001" s="178" t="n">
        <x:f>IF(C1001="","",IF(COUNT(G1001:CB1001)&lt;74,"",(CC1001*'تنظیمات وزن‌دهی'!$C$5+CD1001*'تنظیمات وزن‌دهی'!$C$6+CE1001*'تنظیمات وزن‌دهی'!$C$7+CF1001*'تنظیمات وزن‌دهی'!$C$8+CG1001*'تنظیمات وزن‌دهی'!$C$9+CH1001*'تنظیمات وزن‌دهی'!$C$10+CI1001*'تنظیمات وزن‌دهی'!$C$11+CJ1001*'تنظیمات وزن‌دهی'!$C$12+CK1001*'تنظیمات وزن‌دهی'!$C$13)/100))</x:f>
        <x:v>15.214285714285715</x:v>
      </x:c>
      <x:c r="CM1001" s="178" t="str">
        <x:f>IF(C1001="","",IF(COUNT(G1001:CB1001)=0,"",IF(COUNT(G1001:CB1001)&lt;74,"موقت - اطلاعات ناقص",IF(CL1001&gt;=17,"عالی",IF(CL1001&gt;=14,"خوب",IF(CL1001&gt;=10,"متوسط","ضعیف"))))))</x:f>
        <x:v>خوب</x:v>
      </x:c>
      <x:c r="CN1001" s="178" t="n">
        <x:v>1</x:v>
      </x:c>
      <x:c r="CO1001" s="142" t="n">
        <x:f>IF(C1001="","",COUNT(G1001:CB1001)/74)</x:f>
        <x:v>1</x:v>
      </x:c>
      <x:c r="CP1001" s="245" t="str">
        <x:v>داده نمونه کامل برای ماه تیر - دانش‌آموز شماره 84</x:v>
      </x:c>
    </x:row>
    <x:row r="1002">
      <x:c r="A1002" s="165" t="n">
        <x:v>998</x:v>
      </x:c>
      <x:c r="B1002" s="233" t="str">
        <x:v>مرداد</x:v>
      </x:c>
      <x:c r="C1002" s="233" t="n">
        <x:f>IF('دانش‌آموزان'!E88="","",'دانش‌آموزان'!B88)</x:f>
        <x:v>84</x:v>
      </x:c>
      <x:c r="D1002" s="233" t="str">
        <x:f>IF('دانش‌آموزان'!C88="","",'دانش‌آموزان'!C88)</x:f>
        <x:v>4000000845</x:v>
      </x:c>
      <x:c r="E1002" s="233" t="str">
        <x:f>IF('دانش‌آموزان'!E88="","",'دانش‌آموزان'!E88&amp;" "&amp;'دانش‌آموزان'!F88)</x:f>
        <x:v>زهرا محمدی</x:v>
      </x:c>
      <x:c r="F1002" s="166" t="str">
        <x:f>IF('دانش‌آموزان'!I88="","",'دانش‌آموزان'!I88)</x:f>
        <x:v>sample-7-d</x:v>
      </x:c>
      <x:c r="G1002" s="114"/>
      <x:c r="H1002" s="115"/>
      <x:c r="I1002" s="115"/>
      <x:c r="J1002" s="115"/>
      <x:c r="K1002" s="115"/>
      <x:c r="L1002" s="115"/>
      <x:c r="M1002" s="115"/>
      <x:c r="N1002" s="115"/>
      <x:c r="O1002" s="115"/>
      <x:c r="P1002" s="115"/>
      <x:c r="Q1002" s="115"/>
      <x:c r="R1002" s="115"/>
      <x:c r="S1002" s="115"/>
      <x:c r="T1002" s="115"/>
      <x:c r="U1002" s="115"/>
      <x:c r="V1002" s="115"/>
      <x:c r="W1002" s="115"/>
      <x:c r="X1002" s="115"/>
      <x:c r="Y1002" s="115"/>
      <x:c r="Z1002" s="115"/>
      <x:c r="AA1002" s="115"/>
      <x:c r="AB1002" s="115"/>
      <x:c r="AC1002" s="115"/>
      <x:c r="AD1002" s="115"/>
      <x:c r="AE1002" s="115"/>
      <x:c r="AF1002" s="115"/>
      <x:c r="AG1002" s="115"/>
      <x:c r="AH1002" s="115"/>
      <x:c r="AI1002" s="115"/>
      <x:c r="AJ1002" s="115"/>
      <x:c r="AK1002" s="115"/>
      <x:c r="AL1002" s="115"/>
      <x:c r="AM1002" s="115"/>
      <x:c r="AN1002" s="115"/>
      <x:c r="AO1002" s="115"/>
      <x:c r="AP1002" s="115"/>
      <x:c r="AQ1002" s="115"/>
      <x:c r="AR1002" s="115"/>
      <x:c r="AS1002" s="115"/>
      <x:c r="AT1002" s="115"/>
      <x:c r="AU1002" s="115"/>
      <x:c r="AV1002" s="115"/>
      <x:c r="AW1002" s="115"/>
      <x:c r="AX1002" s="115"/>
      <x:c r="AY1002" s="115"/>
      <x:c r="AZ1002" s="115"/>
      <x:c r="BA1002" s="115"/>
      <x:c r="BB1002" s="115"/>
      <x:c r="BC1002" s="115"/>
      <x:c r="BD1002" s="115"/>
      <x:c r="BE1002" s="115"/>
      <x:c r="BF1002" s="115"/>
      <x:c r="BG1002" s="115"/>
      <x:c r="BH1002" s="115"/>
      <x:c r="BI1002" s="115"/>
      <x:c r="BJ1002" s="115"/>
      <x:c r="BK1002" s="115"/>
      <x:c r="BL1002" s="115"/>
      <x:c r="BM1002" s="115"/>
      <x:c r="BN1002" s="115"/>
      <x:c r="BO1002" s="115"/>
      <x:c r="BP1002" s="115"/>
      <x:c r="BQ1002" s="115"/>
      <x:c r="BR1002" s="115"/>
      <x:c r="BS1002" s="115"/>
      <x:c r="BT1002" s="115"/>
      <x:c r="BU1002" s="115"/>
      <x:c r="BV1002" s="115"/>
      <x:c r="BW1002" s="115"/>
      <x:c r="BX1002" s="115"/>
      <x:c r="BY1002" s="115"/>
      <x:c r="BZ1002" s="115"/>
      <x:c r="CA1002" s="115"/>
      <x:c r="CB1002" s="116"/>
      <x:c r="CC1002" s="141" t="str">
        <x:f>IF(COUNT(G1002:P1002)=0,"",AVERAGE(G1002:P1002)*4)</x:f>
      </x:c>
      <x:c r="CD1002" s="178" t="str">
        <x:f>IF(COUNT(Q1002:Z1002)=0,"",AVERAGE(Q1002:Z1002)*4)</x:f>
      </x:c>
      <x:c r="CE1002" s="178" t="str">
        <x:f>IF(COUNT(AA1002:AJ1002)=0,"",AVERAGE(AA1002:AJ1002)*4)</x:f>
      </x:c>
      <x:c r="CF1002" s="178" t="str">
        <x:f>IF(COUNT(AK1002:AR1002)=0,"",AVERAGE(AK1002:AR1002)*4)</x:f>
      </x:c>
      <x:c r="CG1002" s="178" t="str">
        <x:f>IF(COUNT(AS1002:AY1002)=0,"",AVERAGE(AS1002:AY1002)*4)</x:f>
      </x:c>
      <x:c r="CH1002" s="178" t="str">
        <x:f>IF(COUNT(AZ1002:BG1002)=0,"",AVERAGE(AZ1002:BG1002)*4)</x:f>
      </x:c>
      <x:c r="CI1002" s="178" t="str">
        <x:f>IF(COUNT(BH1002:BN1002)=0,"",AVERAGE(BH1002:BN1002)*4)</x:f>
      </x:c>
      <x:c r="CJ1002" s="178" t="str">
        <x:f>IF(COUNT(BO1002:BU1002)=0,"",AVERAGE(BO1002:BU1002)*4)</x:f>
      </x:c>
      <x:c r="CK1002" s="178" t="str">
        <x:f>IF(COUNT(BV1002:CB1002)=0,"",AVERAGE(BV1002:CB1002)*4)</x:f>
      </x:c>
      <x:c r="CL1002" s="178" t="str">
        <x:f>IF(C1002="","",IF(COUNT(G1002:CB1002)&lt;74,"",(CC1002*'تنظیمات وزن‌دهی'!$C$5+CD1002*'تنظیمات وزن‌دهی'!$C$6+CE1002*'تنظیمات وزن‌دهی'!$C$7+CF1002*'تنظیمات وزن‌دهی'!$C$8+CG1002*'تنظیمات وزن‌دهی'!$C$9+CH1002*'تنظیمات وزن‌دهی'!$C$10+CI1002*'تنظیمات وزن‌دهی'!$C$11+CJ1002*'تنظیمات وزن‌دهی'!$C$12+CK1002*'تنظیمات وزن‌دهی'!$C$13)/100))</x:f>
      </x:c>
      <x:c r="CM1002" s="178" t="str">
        <x:f>IF(C1002="","",IF(COUNT(G1002:CB1002)=0,"",IF(COUNT(G1002:CB1002)&lt;74,"موقت - اطلاعات ناقص",IF(CL1002&gt;=17,"عالی",IF(CL1002&gt;=14,"خوب",IF(CL1002&gt;=10,"متوسط","ضعیف"))))))</x:f>
      </x:c>
      <x:c r="CN1002" s="178" t="n">
        <x:v>2</x:v>
      </x:c>
      <x:c r="CO1002" s="142" t="n">
        <x:f>IF(C1002="","",COUNT(G1002:CB1002)/74)</x:f>
        <x:v>0</x:v>
      </x:c>
      <x:c r="CP1002" s="245"/>
    </x:row>
    <x:row r="1003">
      <x:c r="A1003" s="165" t="n">
        <x:v>999</x:v>
      </x:c>
      <x:c r="B1003" s="233" t="str">
        <x:v>شهریور</x:v>
      </x:c>
      <x:c r="C1003" s="233" t="n">
        <x:f>IF('دانش‌آموزان'!E88="","",'دانش‌آموزان'!B88)</x:f>
        <x:v>84</x:v>
      </x:c>
      <x:c r="D1003" s="233" t="str">
        <x:f>IF('دانش‌آموزان'!C88="","",'دانش‌آموزان'!C88)</x:f>
        <x:v>4000000845</x:v>
      </x:c>
      <x:c r="E1003" s="233" t="str">
        <x:f>IF('دانش‌آموزان'!E88="","",'دانش‌آموزان'!E88&amp;" "&amp;'دانش‌آموزان'!F88)</x:f>
        <x:v>زهرا محمدی</x:v>
      </x:c>
      <x:c r="F1003" s="166" t="str">
        <x:f>IF('دانش‌آموزان'!I88="","",'دانش‌آموزان'!I88)</x:f>
        <x:v>sample-7-d</x:v>
      </x:c>
      <x:c r="G1003" s="114"/>
      <x:c r="H1003" s="115"/>
      <x:c r="I1003" s="115"/>
      <x:c r="J1003" s="115"/>
      <x:c r="K1003" s="115"/>
      <x:c r="L1003" s="115"/>
      <x:c r="M1003" s="115"/>
      <x:c r="N1003" s="115"/>
      <x:c r="O1003" s="115"/>
      <x:c r="P1003" s="115"/>
      <x:c r="Q1003" s="115"/>
      <x:c r="R1003" s="115"/>
      <x:c r="S1003" s="115"/>
      <x:c r="T1003" s="115"/>
      <x:c r="U1003" s="115"/>
      <x:c r="V1003" s="115"/>
      <x:c r="W1003" s="115"/>
      <x:c r="X1003" s="115"/>
      <x:c r="Y1003" s="115"/>
      <x:c r="Z1003" s="115"/>
      <x:c r="AA1003" s="115"/>
      <x:c r="AB1003" s="115"/>
      <x:c r="AC1003" s="115"/>
      <x:c r="AD1003" s="115"/>
      <x:c r="AE1003" s="115"/>
      <x:c r="AF1003" s="115"/>
      <x:c r="AG1003" s="115"/>
      <x:c r="AH1003" s="115"/>
      <x:c r="AI1003" s="115"/>
      <x:c r="AJ1003" s="115"/>
      <x:c r="AK1003" s="115"/>
      <x:c r="AL1003" s="115"/>
      <x:c r="AM1003" s="115"/>
      <x:c r="AN1003" s="115"/>
      <x:c r="AO1003" s="115"/>
      <x:c r="AP1003" s="115"/>
      <x:c r="AQ1003" s="115"/>
      <x:c r="AR1003" s="115"/>
      <x:c r="AS1003" s="115"/>
      <x:c r="AT1003" s="115"/>
      <x:c r="AU1003" s="115"/>
      <x:c r="AV1003" s="115"/>
      <x:c r="AW1003" s="115"/>
      <x:c r="AX1003" s="115"/>
      <x:c r="AY1003" s="115"/>
      <x:c r="AZ1003" s="115"/>
      <x:c r="BA1003" s="115"/>
      <x:c r="BB1003" s="115"/>
      <x:c r="BC1003" s="115"/>
      <x:c r="BD1003" s="115"/>
      <x:c r="BE1003" s="115"/>
      <x:c r="BF1003" s="115"/>
      <x:c r="BG1003" s="115"/>
      <x:c r="BH1003" s="115"/>
      <x:c r="BI1003" s="115"/>
      <x:c r="BJ1003" s="115"/>
      <x:c r="BK1003" s="115"/>
      <x:c r="BL1003" s="115"/>
      <x:c r="BM1003" s="115"/>
      <x:c r="BN1003" s="115"/>
      <x:c r="BO1003" s="115"/>
      <x:c r="BP1003" s="115"/>
      <x:c r="BQ1003" s="115"/>
      <x:c r="BR1003" s="115"/>
      <x:c r="BS1003" s="115"/>
      <x:c r="BT1003" s="115"/>
      <x:c r="BU1003" s="115"/>
      <x:c r="BV1003" s="115"/>
      <x:c r="BW1003" s="115"/>
      <x:c r="BX1003" s="115"/>
      <x:c r="BY1003" s="115"/>
      <x:c r="BZ1003" s="115"/>
      <x:c r="CA1003" s="115"/>
      <x:c r="CB1003" s="116"/>
      <x:c r="CC1003" s="141" t="str">
        <x:f>IF(COUNT(G1003:P1003)=0,"",AVERAGE(G1003:P1003)*4)</x:f>
      </x:c>
      <x:c r="CD1003" s="178" t="str">
        <x:f>IF(COUNT(Q1003:Z1003)=0,"",AVERAGE(Q1003:Z1003)*4)</x:f>
      </x:c>
      <x:c r="CE1003" s="178" t="str">
        <x:f>IF(COUNT(AA1003:AJ1003)=0,"",AVERAGE(AA1003:AJ1003)*4)</x:f>
      </x:c>
      <x:c r="CF1003" s="178" t="str">
        <x:f>IF(COUNT(AK1003:AR1003)=0,"",AVERAGE(AK1003:AR1003)*4)</x:f>
      </x:c>
      <x:c r="CG1003" s="178" t="str">
        <x:f>IF(COUNT(AS1003:AY1003)=0,"",AVERAGE(AS1003:AY1003)*4)</x:f>
      </x:c>
      <x:c r="CH1003" s="178" t="str">
        <x:f>IF(COUNT(AZ1003:BG1003)=0,"",AVERAGE(AZ1003:BG1003)*4)</x:f>
      </x:c>
      <x:c r="CI1003" s="178" t="str">
        <x:f>IF(COUNT(BH1003:BN1003)=0,"",AVERAGE(BH1003:BN1003)*4)</x:f>
      </x:c>
      <x:c r="CJ1003" s="178" t="str">
        <x:f>IF(COUNT(BO1003:BU1003)=0,"",AVERAGE(BO1003:BU1003)*4)</x:f>
      </x:c>
      <x:c r="CK1003" s="178" t="str">
        <x:f>IF(COUNT(BV1003:CB1003)=0,"",AVERAGE(BV1003:CB1003)*4)</x:f>
      </x:c>
      <x:c r="CL1003" s="178" t="str">
        <x:f>IF(C1003="","",IF(COUNT(G1003:CB1003)&lt;74,"",(CC1003*'تنظیمات وزن‌دهی'!$C$5+CD1003*'تنظیمات وزن‌دهی'!$C$6+CE1003*'تنظیمات وزن‌دهی'!$C$7+CF1003*'تنظیمات وزن‌دهی'!$C$8+CG1003*'تنظیمات وزن‌دهی'!$C$9+CH1003*'تنظیمات وزن‌دهی'!$C$10+CI1003*'تنظیمات وزن‌دهی'!$C$11+CJ1003*'تنظیمات وزن‌دهی'!$C$12+CK1003*'تنظیمات وزن‌دهی'!$C$13)/100))</x:f>
      </x:c>
      <x:c r="CM1003" s="178" t="str">
        <x:f>IF(C1003="","",IF(COUNT(G1003:CB1003)=0,"",IF(COUNT(G1003:CB1003)&lt;74,"موقت - اطلاعات ناقص",IF(CL1003&gt;=17,"عالی",IF(CL1003&gt;=14,"خوب",IF(CL1003&gt;=10,"متوسط","ضعیف"))))))</x:f>
      </x:c>
      <x:c r="CN1003" s="178" t="n">
        <x:v>3</x:v>
      </x:c>
      <x:c r="CO1003" s="142" t="n">
        <x:f>IF(C1003="","",COUNT(G1003:CB1003)/74)</x:f>
        <x:v>0</x:v>
      </x:c>
      <x:c r="CP1003" s="245"/>
    </x:row>
    <x:row r="1004">
      <x:c r="A1004" s="165" t="n">
        <x:v>1000</x:v>
      </x:c>
      <x:c r="B1004" s="233" t="str">
        <x:v>مهر</x:v>
      </x:c>
      <x:c r="C1004" s="233" t="n">
        <x:f>IF('دانش‌آموزان'!E88="","",'دانش‌آموزان'!B88)</x:f>
        <x:v>84</x:v>
      </x:c>
      <x:c r="D1004" s="233" t="str">
        <x:f>IF('دانش‌آموزان'!C88="","",'دانش‌آموزان'!C88)</x:f>
        <x:v>4000000845</x:v>
      </x:c>
      <x:c r="E1004" s="233" t="str">
        <x:f>IF('دانش‌آموزان'!E88="","",'دانش‌آموزان'!E88&amp;" "&amp;'دانش‌آموزان'!F88)</x:f>
        <x:v>زهرا محمدی</x:v>
      </x:c>
      <x:c r="F1004" s="166" t="str">
        <x:f>IF('دانش‌آموزان'!I88="","",'دانش‌آموزان'!I88)</x:f>
        <x:v>sample-7-d</x:v>
      </x:c>
      <x:c r="G1004" s="114"/>
      <x:c r="H1004" s="115"/>
      <x:c r="I1004" s="115"/>
      <x:c r="J1004" s="115"/>
      <x:c r="K1004" s="115"/>
      <x:c r="L1004" s="115"/>
      <x:c r="M1004" s="115"/>
      <x:c r="N1004" s="115"/>
      <x:c r="O1004" s="115"/>
      <x:c r="P1004" s="115"/>
      <x:c r="Q1004" s="115"/>
      <x:c r="R1004" s="115"/>
      <x:c r="S1004" s="115"/>
      <x:c r="T1004" s="115"/>
      <x:c r="U1004" s="115"/>
      <x:c r="V1004" s="115"/>
      <x:c r="W1004" s="115"/>
      <x:c r="X1004" s="115"/>
      <x:c r="Y1004" s="115"/>
      <x:c r="Z1004" s="115"/>
      <x:c r="AA1004" s="115"/>
      <x:c r="AB1004" s="115"/>
      <x:c r="AC1004" s="115"/>
      <x:c r="AD1004" s="115"/>
      <x:c r="AE1004" s="115"/>
      <x:c r="AF1004" s="115"/>
      <x:c r="AG1004" s="115"/>
      <x:c r="AH1004" s="115"/>
      <x:c r="AI1004" s="115"/>
      <x:c r="AJ1004" s="115"/>
      <x:c r="AK1004" s="115"/>
      <x:c r="AL1004" s="115"/>
      <x:c r="AM1004" s="115"/>
      <x:c r="AN1004" s="115"/>
      <x:c r="AO1004" s="115"/>
      <x:c r="AP1004" s="115"/>
      <x:c r="AQ1004" s="115"/>
      <x:c r="AR1004" s="115"/>
      <x:c r="AS1004" s="115"/>
      <x:c r="AT1004" s="115"/>
      <x:c r="AU1004" s="115"/>
      <x:c r="AV1004" s="115"/>
      <x:c r="AW1004" s="115"/>
      <x:c r="AX1004" s="115"/>
      <x:c r="AY1004" s="115"/>
      <x:c r="AZ1004" s="115"/>
      <x:c r="BA1004" s="115"/>
      <x:c r="BB1004" s="115"/>
      <x:c r="BC1004" s="115"/>
      <x:c r="BD1004" s="115"/>
      <x:c r="BE1004" s="115"/>
      <x:c r="BF1004" s="115"/>
      <x:c r="BG1004" s="115"/>
      <x:c r="BH1004" s="115"/>
      <x:c r="BI1004" s="115"/>
      <x:c r="BJ1004" s="115"/>
      <x:c r="BK1004" s="115"/>
      <x:c r="BL1004" s="115"/>
      <x:c r="BM1004" s="115"/>
      <x:c r="BN1004" s="115"/>
      <x:c r="BO1004" s="115"/>
      <x:c r="BP1004" s="115"/>
      <x:c r="BQ1004" s="115"/>
      <x:c r="BR1004" s="115"/>
      <x:c r="BS1004" s="115"/>
      <x:c r="BT1004" s="115"/>
      <x:c r="BU1004" s="115"/>
      <x:c r="BV1004" s="115"/>
      <x:c r="BW1004" s="115"/>
      <x:c r="BX1004" s="115"/>
      <x:c r="BY1004" s="115"/>
      <x:c r="BZ1004" s="115"/>
      <x:c r="CA1004" s="115"/>
      <x:c r="CB1004" s="116"/>
      <x:c r="CC1004" s="141" t="str">
        <x:f>IF(COUNT(G1004:P1004)=0,"",AVERAGE(G1004:P1004)*4)</x:f>
      </x:c>
      <x:c r="CD1004" s="178" t="str">
        <x:f>IF(COUNT(Q1004:Z1004)=0,"",AVERAGE(Q1004:Z1004)*4)</x:f>
      </x:c>
      <x:c r="CE1004" s="178" t="str">
        <x:f>IF(COUNT(AA1004:AJ1004)=0,"",AVERAGE(AA1004:AJ1004)*4)</x:f>
      </x:c>
      <x:c r="CF1004" s="178" t="str">
        <x:f>IF(COUNT(AK1004:AR1004)=0,"",AVERAGE(AK1004:AR1004)*4)</x:f>
      </x:c>
      <x:c r="CG1004" s="178" t="str">
        <x:f>IF(COUNT(AS1004:AY1004)=0,"",AVERAGE(AS1004:AY1004)*4)</x:f>
      </x:c>
      <x:c r="CH1004" s="178" t="str">
        <x:f>IF(COUNT(AZ1004:BG1004)=0,"",AVERAGE(AZ1004:BG1004)*4)</x:f>
      </x:c>
      <x:c r="CI1004" s="178" t="str">
        <x:f>IF(COUNT(BH1004:BN1004)=0,"",AVERAGE(BH1004:BN1004)*4)</x:f>
      </x:c>
      <x:c r="CJ1004" s="178" t="str">
        <x:f>IF(COUNT(BO1004:BU1004)=0,"",AVERAGE(BO1004:BU1004)*4)</x:f>
      </x:c>
      <x:c r="CK1004" s="178" t="str">
        <x:f>IF(COUNT(BV1004:CB1004)=0,"",AVERAGE(BV1004:CB1004)*4)</x:f>
      </x:c>
      <x:c r="CL1004" s="178" t="str">
        <x:f>IF(C1004="","",IF(COUNT(G1004:CB1004)&lt;74,"",(CC1004*'تنظیمات وزن‌دهی'!$C$5+CD1004*'تنظیمات وزن‌دهی'!$C$6+CE1004*'تنظیمات وزن‌دهی'!$C$7+CF1004*'تنظیمات وزن‌دهی'!$C$8+CG1004*'تنظیمات وزن‌دهی'!$C$9+CH1004*'تنظیمات وزن‌دهی'!$C$10+CI1004*'تنظیمات وزن‌دهی'!$C$11+CJ1004*'تنظیمات وزن‌دهی'!$C$12+CK1004*'تنظیمات وزن‌دهی'!$C$13)/100))</x:f>
      </x:c>
      <x:c r="CM1004" s="178" t="str">
        <x:f>IF(C1004="","",IF(COUNT(G1004:CB1004)=0,"",IF(COUNT(G1004:CB1004)&lt;74,"موقت - اطلاعات ناقص",IF(CL1004&gt;=17,"عالی",IF(CL1004&gt;=14,"خوب",IF(CL1004&gt;=10,"متوسط","ضعیف"))))))</x:f>
      </x:c>
      <x:c r="CN1004" s="178" t="n">
        <x:v>4</x:v>
      </x:c>
      <x:c r="CO1004" s="142" t="n">
        <x:f>IF(C1004="","",COUNT(G1004:CB1004)/74)</x:f>
        <x:v>0</x:v>
      </x:c>
      <x:c r="CP1004" s="245"/>
    </x:row>
    <x:row r="1005">
      <x:c r="A1005" s="165" t="n">
        <x:v>1001</x:v>
      </x:c>
      <x:c r="B1005" s="233" t="str">
        <x:v>آبان</x:v>
      </x:c>
      <x:c r="C1005" s="233" t="n">
        <x:f>IF('دانش‌آموزان'!E88="","",'دانش‌آموزان'!B88)</x:f>
        <x:v>84</x:v>
      </x:c>
      <x:c r="D1005" s="233" t="str">
        <x:f>IF('دانش‌آموزان'!C88="","",'دانش‌آموزان'!C88)</x:f>
        <x:v>4000000845</x:v>
      </x:c>
      <x:c r="E1005" s="233" t="str">
        <x:f>IF('دانش‌آموزان'!E88="","",'دانش‌آموزان'!E88&amp;" "&amp;'دانش‌آموزان'!F88)</x:f>
        <x:v>زهرا محمدی</x:v>
      </x:c>
      <x:c r="F1005" s="166" t="str">
        <x:f>IF('دانش‌آموزان'!I88="","",'دانش‌آموزان'!I88)</x:f>
        <x:v>sample-7-d</x:v>
      </x:c>
      <x:c r="G1005" s="114"/>
      <x:c r="H1005" s="115"/>
      <x:c r="I1005" s="115"/>
      <x:c r="J1005" s="115"/>
      <x:c r="K1005" s="115"/>
      <x:c r="L1005" s="115"/>
      <x:c r="M1005" s="115"/>
      <x:c r="N1005" s="115"/>
      <x:c r="O1005" s="115"/>
      <x:c r="P1005" s="115"/>
      <x:c r="Q1005" s="115"/>
      <x:c r="R1005" s="115"/>
      <x:c r="S1005" s="115"/>
      <x:c r="T1005" s="115"/>
      <x:c r="U1005" s="115"/>
      <x:c r="V1005" s="115"/>
      <x:c r="W1005" s="115"/>
      <x:c r="X1005" s="115"/>
      <x:c r="Y1005" s="115"/>
      <x:c r="Z1005" s="115"/>
      <x:c r="AA1005" s="115"/>
      <x:c r="AB1005" s="115"/>
      <x:c r="AC1005" s="115"/>
      <x:c r="AD1005" s="115"/>
      <x:c r="AE1005" s="115"/>
      <x:c r="AF1005" s="115"/>
      <x:c r="AG1005" s="115"/>
      <x:c r="AH1005" s="115"/>
      <x:c r="AI1005" s="115"/>
      <x:c r="AJ1005" s="115"/>
      <x:c r="AK1005" s="115"/>
      <x:c r="AL1005" s="115"/>
      <x:c r="AM1005" s="115"/>
      <x:c r="AN1005" s="115"/>
      <x:c r="AO1005" s="115"/>
      <x:c r="AP1005" s="115"/>
      <x:c r="AQ1005" s="115"/>
      <x:c r="AR1005" s="115"/>
      <x:c r="AS1005" s="115"/>
      <x:c r="AT1005" s="115"/>
      <x:c r="AU1005" s="115"/>
      <x:c r="AV1005" s="115"/>
      <x:c r="AW1005" s="115"/>
      <x:c r="AX1005" s="115"/>
      <x:c r="AY1005" s="115"/>
      <x:c r="AZ1005" s="115"/>
      <x:c r="BA1005" s="115"/>
      <x:c r="BB1005" s="115"/>
      <x:c r="BC1005" s="115"/>
      <x:c r="BD1005" s="115"/>
      <x:c r="BE1005" s="115"/>
      <x:c r="BF1005" s="115"/>
      <x:c r="BG1005" s="115"/>
      <x:c r="BH1005" s="115"/>
      <x:c r="BI1005" s="115"/>
      <x:c r="BJ1005" s="115"/>
      <x:c r="BK1005" s="115"/>
      <x:c r="BL1005" s="115"/>
      <x:c r="BM1005" s="115"/>
      <x:c r="BN1005" s="115"/>
      <x:c r="BO1005" s="115"/>
      <x:c r="BP1005" s="115"/>
      <x:c r="BQ1005" s="115"/>
      <x:c r="BR1005" s="115"/>
      <x:c r="BS1005" s="115"/>
      <x:c r="BT1005" s="115"/>
      <x:c r="BU1005" s="115"/>
      <x:c r="BV1005" s="115"/>
      <x:c r="BW1005" s="115"/>
      <x:c r="BX1005" s="115"/>
      <x:c r="BY1005" s="115"/>
      <x:c r="BZ1005" s="115"/>
      <x:c r="CA1005" s="115"/>
      <x:c r="CB1005" s="116"/>
      <x:c r="CC1005" s="141" t="str">
        <x:f>IF(COUNT(G1005:P1005)=0,"",AVERAGE(G1005:P1005)*4)</x:f>
      </x:c>
      <x:c r="CD1005" s="178" t="str">
        <x:f>IF(COUNT(Q1005:Z1005)=0,"",AVERAGE(Q1005:Z1005)*4)</x:f>
      </x:c>
      <x:c r="CE1005" s="178" t="str">
        <x:f>IF(COUNT(AA1005:AJ1005)=0,"",AVERAGE(AA1005:AJ1005)*4)</x:f>
      </x:c>
      <x:c r="CF1005" s="178" t="str">
        <x:f>IF(COUNT(AK1005:AR1005)=0,"",AVERAGE(AK1005:AR1005)*4)</x:f>
      </x:c>
      <x:c r="CG1005" s="178" t="str">
        <x:f>IF(COUNT(AS1005:AY1005)=0,"",AVERAGE(AS1005:AY1005)*4)</x:f>
      </x:c>
      <x:c r="CH1005" s="178" t="str">
        <x:f>IF(COUNT(AZ1005:BG1005)=0,"",AVERAGE(AZ1005:BG1005)*4)</x:f>
      </x:c>
      <x:c r="CI1005" s="178" t="str">
        <x:f>IF(COUNT(BH1005:BN1005)=0,"",AVERAGE(BH1005:BN1005)*4)</x:f>
      </x:c>
      <x:c r="CJ1005" s="178" t="str">
        <x:f>IF(COUNT(BO1005:BU1005)=0,"",AVERAGE(BO1005:BU1005)*4)</x:f>
      </x:c>
      <x:c r="CK1005" s="178" t="str">
        <x:f>IF(COUNT(BV1005:CB1005)=0,"",AVERAGE(BV1005:CB1005)*4)</x:f>
      </x:c>
      <x:c r="CL1005" s="178" t="str">
        <x:f>IF(C1005="","",IF(COUNT(G1005:CB1005)&lt;74,"",(CC1005*'تنظیمات وزن‌دهی'!$C$5+CD1005*'تنظیمات وزن‌دهی'!$C$6+CE1005*'تنظیمات وزن‌دهی'!$C$7+CF1005*'تنظیمات وزن‌دهی'!$C$8+CG1005*'تنظیمات وزن‌دهی'!$C$9+CH1005*'تنظیمات وزن‌دهی'!$C$10+CI1005*'تنظیمات وزن‌دهی'!$C$11+CJ1005*'تنظیمات وزن‌دهی'!$C$12+CK1005*'تنظیمات وزن‌دهی'!$C$13)/100))</x:f>
      </x:c>
      <x:c r="CM1005" s="178" t="str">
        <x:f>IF(C1005="","",IF(COUNT(G1005:CB1005)=0,"",IF(COUNT(G1005:CB1005)&lt;74,"موقت - اطلاعات ناقص",IF(CL1005&gt;=17,"عالی",IF(CL1005&gt;=14,"خوب",IF(CL1005&gt;=10,"متوسط","ضعیف"))))))</x:f>
      </x:c>
      <x:c r="CN1005" s="178" t="n">
        <x:v>5</x:v>
      </x:c>
      <x:c r="CO1005" s="142" t="n">
        <x:f>IF(C1005="","",COUNT(G1005:CB1005)/74)</x:f>
        <x:v>0</x:v>
      </x:c>
      <x:c r="CP1005" s="245"/>
    </x:row>
    <x:row r="1006">
      <x:c r="A1006" s="165" t="n">
        <x:v>1002</x:v>
      </x:c>
      <x:c r="B1006" s="233" t="str">
        <x:v>آذر</x:v>
      </x:c>
      <x:c r="C1006" s="233" t="n">
        <x:f>IF('دانش‌آموزان'!E88="","",'دانش‌آموزان'!B88)</x:f>
        <x:v>84</x:v>
      </x:c>
      <x:c r="D1006" s="233" t="str">
        <x:f>IF('دانش‌آموزان'!C88="","",'دانش‌آموزان'!C88)</x:f>
        <x:v>4000000845</x:v>
      </x:c>
      <x:c r="E1006" s="233" t="str">
        <x:f>IF('دانش‌آموزان'!E88="","",'دانش‌آموزان'!E88&amp;" "&amp;'دانش‌آموزان'!F88)</x:f>
        <x:v>زهرا محمدی</x:v>
      </x:c>
      <x:c r="F1006" s="166" t="str">
        <x:f>IF('دانش‌آموزان'!I88="","",'دانش‌آموزان'!I88)</x:f>
        <x:v>sample-7-d</x:v>
      </x:c>
      <x:c r="G1006" s="114"/>
      <x:c r="H1006" s="115"/>
      <x:c r="I1006" s="115"/>
      <x:c r="J1006" s="115"/>
      <x:c r="K1006" s="115"/>
      <x:c r="L1006" s="115"/>
      <x:c r="M1006" s="115"/>
      <x:c r="N1006" s="115"/>
      <x:c r="O1006" s="115"/>
      <x:c r="P1006" s="115"/>
      <x:c r="Q1006" s="115"/>
      <x:c r="R1006" s="115"/>
      <x:c r="S1006" s="115"/>
      <x:c r="T1006" s="115"/>
      <x:c r="U1006" s="115"/>
      <x:c r="V1006" s="115"/>
      <x:c r="W1006" s="115"/>
      <x:c r="X1006" s="115"/>
      <x:c r="Y1006" s="115"/>
      <x:c r="Z1006" s="115"/>
      <x:c r="AA1006" s="115"/>
      <x:c r="AB1006" s="115"/>
      <x:c r="AC1006" s="115"/>
      <x:c r="AD1006" s="115"/>
      <x:c r="AE1006" s="115"/>
      <x:c r="AF1006" s="115"/>
      <x:c r="AG1006" s="115"/>
      <x:c r="AH1006" s="115"/>
      <x:c r="AI1006" s="115"/>
      <x:c r="AJ1006" s="115"/>
      <x:c r="AK1006" s="115"/>
      <x:c r="AL1006" s="115"/>
      <x:c r="AM1006" s="115"/>
      <x:c r="AN1006" s="115"/>
      <x:c r="AO1006" s="115"/>
      <x:c r="AP1006" s="115"/>
      <x:c r="AQ1006" s="115"/>
      <x:c r="AR1006" s="115"/>
      <x:c r="AS1006" s="115"/>
      <x:c r="AT1006" s="115"/>
      <x:c r="AU1006" s="115"/>
      <x:c r="AV1006" s="115"/>
      <x:c r="AW1006" s="115"/>
      <x:c r="AX1006" s="115"/>
      <x:c r="AY1006" s="115"/>
      <x:c r="AZ1006" s="115"/>
      <x:c r="BA1006" s="115"/>
      <x:c r="BB1006" s="115"/>
      <x:c r="BC1006" s="115"/>
      <x:c r="BD1006" s="115"/>
      <x:c r="BE1006" s="115"/>
      <x:c r="BF1006" s="115"/>
      <x:c r="BG1006" s="115"/>
      <x:c r="BH1006" s="115"/>
      <x:c r="BI1006" s="115"/>
      <x:c r="BJ1006" s="115"/>
      <x:c r="BK1006" s="115"/>
      <x:c r="BL1006" s="115"/>
      <x:c r="BM1006" s="115"/>
      <x:c r="BN1006" s="115"/>
      <x:c r="BO1006" s="115"/>
      <x:c r="BP1006" s="115"/>
      <x:c r="BQ1006" s="115"/>
      <x:c r="BR1006" s="115"/>
      <x:c r="BS1006" s="115"/>
      <x:c r="BT1006" s="115"/>
      <x:c r="BU1006" s="115"/>
      <x:c r="BV1006" s="115"/>
      <x:c r="BW1006" s="115"/>
      <x:c r="BX1006" s="115"/>
      <x:c r="BY1006" s="115"/>
      <x:c r="BZ1006" s="115"/>
      <x:c r="CA1006" s="115"/>
      <x:c r="CB1006" s="116"/>
      <x:c r="CC1006" s="141" t="str">
        <x:f>IF(COUNT(G1006:P1006)=0,"",AVERAGE(G1006:P1006)*4)</x:f>
      </x:c>
      <x:c r="CD1006" s="178" t="str">
        <x:f>IF(COUNT(Q1006:Z1006)=0,"",AVERAGE(Q1006:Z1006)*4)</x:f>
      </x:c>
      <x:c r="CE1006" s="178" t="str">
        <x:f>IF(COUNT(AA1006:AJ1006)=0,"",AVERAGE(AA1006:AJ1006)*4)</x:f>
      </x:c>
      <x:c r="CF1006" s="178" t="str">
        <x:f>IF(COUNT(AK1006:AR1006)=0,"",AVERAGE(AK1006:AR1006)*4)</x:f>
      </x:c>
      <x:c r="CG1006" s="178" t="str">
        <x:f>IF(COUNT(AS1006:AY1006)=0,"",AVERAGE(AS1006:AY1006)*4)</x:f>
      </x:c>
      <x:c r="CH1006" s="178" t="str">
        <x:f>IF(COUNT(AZ1006:BG1006)=0,"",AVERAGE(AZ1006:BG1006)*4)</x:f>
      </x:c>
      <x:c r="CI1006" s="178" t="str">
        <x:f>IF(COUNT(BH1006:BN1006)=0,"",AVERAGE(BH1006:BN1006)*4)</x:f>
      </x:c>
      <x:c r="CJ1006" s="178" t="str">
        <x:f>IF(COUNT(BO1006:BU1006)=0,"",AVERAGE(BO1006:BU1006)*4)</x:f>
      </x:c>
      <x:c r="CK1006" s="178" t="str">
        <x:f>IF(COUNT(BV1006:CB1006)=0,"",AVERAGE(BV1006:CB1006)*4)</x:f>
      </x:c>
      <x:c r="CL1006" s="178" t="str">
        <x:f>IF(C1006="","",IF(COUNT(G1006:CB1006)&lt;74,"",(CC1006*'تنظیمات وزن‌دهی'!$C$5+CD1006*'تنظیمات وزن‌دهی'!$C$6+CE1006*'تنظیمات وزن‌دهی'!$C$7+CF1006*'تنظیمات وزن‌دهی'!$C$8+CG1006*'تنظیمات وزن‌دهی'!$C$9+CH1006*'تنظیمات وزن‌دهی'!$C$10+CI1006*'تنظیمات وزن‌دهی'!$C$11+CJ1006*'تنظیمات وزن‌دهی'!$C$12+CK1006*'تنظیمات وزن‌دهی'!$C$13)/100))</x:f>
      </x:c>
      <x:c r="CM1006" s="178" t="str">
        <x:f>IF(C1006="","",IF(COUNT(G1006:CB1006)=0,"",IF(COUNT(G1006:CB1006)&lt;74,"موقت - اطلاعات ناقص",IF(CL1006&gt;=17,"عالی",IF(CL1006&gt;=14,"خوب",IF(CL1006&gt;=10,"متوسط","ضعیف"))))))</x:f>
      </x:c>
      <x:c r="CN1006" s="178" t="n">
        <x:v>6</x:v>
      </x:c>
      <x:c r="CO1006" s="142" t="n">
        <x:f>IF(C1006="","",COUNT(G1006:CB1006)/74)</x:f>
        <x:v>0</x:v>
      </x:c>
      <x:c r="CP1006" s="245"/>
    </x:row>
    <x:row r="1007">
      <x:c r="A1007" s="165" t="n">
        <x:v>1003</x:v>
      </x:c>
      <x:c r="B1007" s="233" t="str">
        <x:v>دی</x:v>
      </x:c>
      <x:c r="C1007" s="233" t="n">
        <x:f>IF('دانش‌آموزان'!E88="","",'دانش‌آموزان'!B88)</x:f>
        <x:v>84</x:v>
      </x:c>
      <x:c r="D1007" s="233" t="str">
        <x:f>IF('دانش‌آموزان'!C88="","",'دانش‌آموزان'!C88)</x:f>
        <x:v>4000000845</x:v>
      </x:c>
      <x:c r="E1007" s="233" t="str">
        <x:f>IF('دانش‌آموزان'!E88="","",'دانش‌آموزان'!E88&amp;" "&amp;'دانش‌آموزان'!F88)</x:f>
        <x:v>زهرا محمدی</x:v>
      </x:c>
      <x:c r="F1007" s="166" t="str">
        <x:f>IF('دانش‌آموزان'!I88="","",'دانش‌آموزان'!I88)</x:f>
        <x:v>sample-7-d</x:v>
      </x:c>
      <x:c r="G1007" s="114"/>
      <x:c r="H1007" s="115"/>
      <x:c r="I1007" s="115"/>
      <x:c r="J1007" s="115"/>
      <x:c r="K1007" s="115"/>
      <x:c r="L1007" s="115"/>
      <x:c r="M1007" s="115"/>
      <x:c r="N1007" s="115"/>
      <x:c r="O1007" s="115"/>
      <x:c r="P1007" s="115"/>
      <x:c r="Q1007" s="115"/>
      <x:c r="R1007" s="115"/>
      <x:c r="S1007" s="115"/>
      <x:c r="T1007" s="115"/>
      <x:c r="U1007" s="115"/>
      <x:c r="V1007" s="115"/>
      <x:c r="W1007" s="115"/>
      <x:c r="X1007" s="115"/>
      <x:c r="Y1007" s="115"/>
      <x:c r="Z1007" s="115"/>
      <x:c r="AA1007" s="115"/>
      <x:c r="AB1007" s="115"/>
      <x:c r="AC1007" s="115"/>
      <x:c r="AD1007" s="115"/>
      <x:c r="AE1007" s="115"/>
      <x:c r="AF1007" s="115"/>
      <x:c r="AG1007" s="115"/>
      <x:c r="AH1007" s="115"/>
      <x:c r="AI1007" s="115"/>
      <x:c r="AJ1007" s="115"/>
      <x:c r="AK1007" s="115"/>
      <x:c r="AL1007" s="115"/>
      <x:c r="AM1007" s="115"/>
      <x:c r="AN1007" s="115"/>
      <x:c r="AO1007" s="115"/>
      <x:c r="AP1007" s="115"/>
      <x:c r="AQ1007" s="115"/>
      <x:c r="AR1007" s="115"/>
      <x:c r="AS1007" s="115"/>
      <x:c r="AT1007" s="115"/>
      <x:c r="AU1007" s="115"/>
      <x:c r="AV1007" s="115"/>
      <x:c r="AW1007" s="115"/>
      <x:c r="AX1007" s="115"/>
      <x:c r="AY1007" s="115"/>
      <x:c r="AZ1007" s="115"/>
      <x:c r="BA1007" s="115"/>
      <x:c r="BB1007" s="115"/>
      <x:c r="BC1007" s="115"/>
      <x:c r="BD1007" s="115"/>
      <x:c r="BE1007" s="115"/>
      <x:c r="BF1007" s="115"/>
      <x:c r="BG1007" s="115"/>
      <x:c r="BH1007" s="115"/>
      <x:c r="BI1007" s="115"/>
      <x:c r="BJ1007" s="115"/>
      <x:c r="BK1007" s="115"/>
      <x:c r="BL1007" s="115"/>
      <x:c r="BM1007" s="115"/>
      <x:c r="BN1007" s="115"/>
      <x:c r="BO1007" s="115"/>
      <x:c r="BP1007" s="115"/>
      <x:c r="BQ1007" s="115"/>
      <x:c r="BR1007" s="115"/>
      <x:c r="BS1007" s="115"/>
      <x:c r="BT1007" s="115"/>
      <x:c r="BU1007" s="115"/>
      <x:c r="BV1007" s="115"/>
      <x:c r="BW1007" s="115"/>
      <x:c r="BX1007" s="115"/>
      <x:c r="BY1007" s="115"/>
      <x:c r="BZ1007" s="115"/>
      <x:c r="CA1007" s="115"/>
      <x:c r="CB1007" s="116"/>
      <x:c r="CC1007" s="141" t="str">
        <x:f>IF(COUNT(G1007:P1007)=0,"",AVERAGE(G1007:P1007)*4)</x:f>
      </x:c>
      <x:c r="CD1007" s="178" t="str">
        <x:f>IF(COUNT(Q1007:Z1007)=0,"",AVERAGE(Q1007:Z1007)*4)</x:f>
      </x:c>
      <x:c r="CE1007" s="178" t="str">
        <x:f>IF(COUNT(AA1007:AJ1007)=0,"",AVERAGE(AA1007:AJ1007)*4)</x:f>
      </x:c>
      <x:c r="CF1007" s="178" t="str">
        <x:f>IF(COUNT(AK1007:AR1007)=0,"",AVERAGE(AK1007:AR1007)*4)</x:f>
      </x:c>
      <x:c r="CG1007" s="178" t="str">
        <x:f>IF(COUNT(AS1007:AY1007)=0,"",AVERAGE(AS1007:AY1007)*4)</x:f>
      </x:c>
      <x:c r="CH1007" s="178" t="str">
        <x:f>IF(COUNT(AZ1007:BG1007)=0,"",AVERAGE(AZ1007:BG1007)*4)</x:f>
      </x:c>
      <x:c r="CI1007" s="178" t="str">
        <x:f>IF(COUNT(BH1007:BN1007)=0,"",AVERAGE(BH1007:BN1007)*4)</x:f>
      </x:c>
      <x:c r="CJ1007" s="178" t="str">
        <x:f>IF(COUNT(BO1007:BU1007)=0,"",AVERAGE(BO1007:BU1007)*4)</x:f>
      </x:c>
      <x:c r="CK1007" s="178" t="str">
        <x:f>IF(COUNT(BV1007:CB1007)=0,"",AVERAGE(BV1007:CB1007)*4)</x:f>
      </x:c>
      <x:c r="CL1007" s="178" t="str">
        <x:f>IF(C1007="","",IF(COUNT(G1007:CB1007)&lt;74,"",(CC1007*'تنظیمات وزن‌دهی'!$C$5+CD1007*'تنظیمات وزن‌دهی'!$C$6+CE1007*'تنظیمات وزن‌دهی'!$C$7+CF1007*'تنظیمات وزن‌دهی'!$C$8+CG1007*'تنظیمات وزن‌دهی'!$C$9+CH1007*'تنظیمات وزن‌دهی'!$C$10+CI1007*'تنظیمات وزن‌دهی'!$C$11+CJ1007*'تنظیمات وزن‌دهی'!$C$12+CK1007*'تنظیمات وزن‌دهی'!$C$13)/100))</x:f>
      </x:c>
      <x:c r="CM1007" s="178" t="str">
        <x:f>IF(C1007="","",IF(COUNT(G1007:CB1007)=0,"",IF(COUNT(G1007:CB1007)&lt;74,"موقت - اطلاعات ناقص",IF(CL1007&gt;=17,"عالی",IF(CL1007&gt;=14,"خوب",IF(CL1007&gt;=10,"متوسط","ضعیف"))))))</x:f>
      </x:c>
      <x:c r="CN1007" s="178" t="n">
        <x:v>7</x:v>
      </x:c>
      <x:c r="CO1007" s="142" t="n">
        <x:f>IF(C1007="","",COUNT(G1007:CB1007)/74)</x:f>
        <x:v>0</x:v>
      </x:c>
      <x:c r="CP1007" s="245"/>
    </x:row>
    <x:row r="1008">
      <x:c r="A1008" s="165" t="n">
        <x:v>1004</x:v>
      </x:c>
      <x:c r="B1008" s="233" t="str">
        <x:v>بهمن</x:v>
      </x:c>
      <x:c r="C1008" s="233" t="n">
        <x:f>IF('دانش‌آموزان'!E88="","",'دانش‌آموزان'!B88)</x:f>
        <x:v>84</x:v>
      </x:c>
      <x:c r="D1008" s="233" t="str">
        <x:f>IF('دانش‌آموزان'!C88="","",'دانش‌آموزان'!C88)</x:f>
        <x:v>4000000845</x:v>
      </x:c>
      <x:c r="E1008" s="233" t="str">
        <x:f>IF('دانش‌آموزان'!E88="","",'دانش‌آموزان'!E88&amp;" "&amp;'دانش‌آموزان'!F88)</x:f>
        <x:v>زهرا محمدی</x:v>
      </x:c>
      <x:c r="F1008" s="166" t="str">
        <x:f>IF('دانش‌آموزان'!I88="","",'دانش‌آموزان'!I88)</x:f>
        <x:v>sample-7-d</x:v>
      </x:c>
      <x:c r="G1008" s="114"/>
      <x:c r="H1008" s="115"/>
      <x:c r="I1008" s="115"/>
      <x:c r="J1008" s="115"/>
      <x:c r="K1008" s="115"/>
      <x:c r="L1008" s="115"/>
      <x:c r="M1008" s="115"/>
      <x:c r="N1008" s="115"/>
      <x:c r="O1008" s="115"/>
      <x:c r="P1008" s="115"/>
      <x:c r="Q1008" s="115"/>
      <x:c r="R1008" s="115"/>
      <x:c r="S1008" s="115"/>
      <x:c r="T1008" s="115"/>
      <x:c r="U1008" s="115"/>
      <x:c r="V1008" s="115"/>
      <x:c r="W1008" s="115"/>
      <x:c r="X1008" s="115"/>
      <x:c r="Y1008" s="115"/>
      <x:c r="Z1008" s="115"/>
      <x:c r="AA1008" s="115"/>
      <x:c r="AB1008" s="115"/>
      <x:c r="AC1008" s="115"/>
      <x:c r="AD1008" s="115"/>
      <x:c r="AE1008" s="115"/>
      <x:c r="AF1008" s="115"/>
      <x:c r="AG1008" s="115"/>
      <x:c r="AH1008" s="115"/>
      <x:c r="AI1008" s="115"/>
      <x:c r="AJ1008" s="115"/>
      <x:c r="AK1008" s="115"/>
      <x:c r="AL1008" s="115"/>
      <x:c r="AM1008" s="115"/>
      <x:c r="AN1008" s="115"/>
      <x:c r="AO1008" s="115"/>
      <x:c r="AP1008" s="115"/>
      <x:c r="AQ1008" s="115"/>
      <x:c r="AR1008" s="115"/>
      <x:c r="AS1008" s="115"/>
      <x:c r="AT1008" s="115"/>
      <x:c r="AU1008" s="115"/>
      <x:c r="AV1008" s="115"/>
      <x:c r="AW1008" s="115"/>
      <x:c r="AX1008" s="115"/>
      <x:c r="AY1008" s="115"/>
      <x:c r="AZ1008" s="115"/>
      <x:c r="BA1008" s="115"/>
      <x:c r="BB1008" s="115"/>
      <x:c r="BC1008" s="115"/>
      <x:c r="BD1008" s="115"/>
      <x:c r="BE1008" s="115"/>
      <x:c r="BF1008" s="115"/>
      <x:c r="BG1008" s="115"/>
      <x:c r="BH1008" s="115"/>
      <x:c r="BI1008" s="115"/>
      <x:c r="BJ1008" s="115"/>
      <x:c r="BK1008" s="115"/>
      <x:c r="BL1008" s="115"/>
      <x:c r="BM1008" s="115"/>
      <x:c r="BN1008" s="115"/>
      <x:c r="BO1008" s="115"/>
      <x:c r="BP1008" s="115"/>
      <x:c r="BQ1008" s="115"/>
      <x:c r="BR1008" s="115"/>
      <x:c r="BS1008" s="115"/>
      <x:c r="BT1008" s="115"/>
      <x:c r="BU1008" s="115"/>
      <x:c r="BV1008" s="115"/>
      <x:c r="BW1008" s="115"/>
      <x:c r="BX1008" s="115"/>
      <x:c r="BY1008" s="115"/>
      <x:c r="BZ1008" s="115"/>
      <x:c r="CA1008" s="115"/>
      <x:c r="CB1008" s="116"/>
      <x:c r="CC1008" s="141" t="str">
        <x:f>IF(COUNT(G1008:P1008)=0,"",AVERAGE(G1008:P1008)*4)</x:f>
      </x:c>
      <x:c r="CD1008" s="178" t="str">
        <x:f>IF(COUNT(Q1008:Z1008)=0,"",AVERAGE(Q1008:Z1008)*4)</x:f>
      </x:c>
      <x:c r="CE1008" s="178" t="str">
        <x:f>IF(COUNT(AA1008:AJ1008)=0,"",AVERAGE(AA1008:AJ1008)*4)</x:f>
      </x:c>
      <x:c r="CF1008" s="178" t="str">
        <x:f>IF(COUNT(AK1008:AR1008)=0,"",AVERAGE(AK1008:AR1008)*4)</x:f>
      </x:c>
      <x:c r="CG1008" s="178" t="str">
        <x:f>IF(COUNT(AS1008:AY1008)=0,"",AVERAGE(AS1008:AY1008)*4)</x:f>
      </x:c>
      <x:c r="CH1008" s="178" t="str">
        <x:f>IF(COUNT(AZ1008:BG1008)=0,"",AVERAGE(AZ1008:BG1008)*4)</x:f>
      </x:c>
      <x:c r="CI1008" s="178" t="str">
        <x:f>IF(COUNT(BH1008:BN1008)=0,"",AVERAGE(BH1008:BN1008)*4)</x:f>
      </x:c>
      <x:c r="CJ1008" s="178" t="str">
        <x:f>IF(COUNT(BO1008:BU1008)=0,"",AVERAGE(BO1008:BU1008)*4)</x:f>
      </x:c>
      <x:c r="CK1008" s="178" t="str">
        <x:f>IF(COUNT(BV1008:CB1008)=0,"",AVERAGE(BV1008:CB1008)*4)</x:f>
      </x:c>
      <x:c r="CL1008" s="178" t="str">
        <x:f>IF(C1008="","",IF(COUNT(G1008:CB1008)&lt;74,"",(CC1008*'تنظیمات وزن‌دهی'!$C$5+CD1008*'تنظیمات وزن‌دهی'!$C$6+CE1008*'تنظیمات وزن‌دهی'!$C$7+CF1008*'تنظیمات وزن‌دهی'!$C$8+CG1008*'تنظیمات وزن‌دهی'!$C$9+CH1008*'تنظیمات وزن‌دهی'!$C$10+CI1008*'تنظیمات وزن‌دهی'!$C$11+CJ1008*'تنظیمات وزن‌دهی'!$C$12+CK1008*'تنظیمات وزن‌دهی'!$C$13)/100))</x:f>
      </x:c>
      <x:c r="CM1008" s="178" t="str">
        <x:f>IF(C1008="","",IF(COUNT(G1008:CB1008)=0,"",IF(COUNT(G1008:CB1008)&lt;74,"موقت - اطلاعات ناقص",IF(CL1008&gt;=17,"عالی",IF(CL1008&gt;=14,"خوب",IF(CL1008&gt;=10,"متوسط","ضعیف"))))))</x:f>
      </x:c>
      <x:c r="CN1008" s="178" t="n">
        <x:v>8</x:v>
      </x:c>
      <x:c r="CO1008" s="142" t="n">
        <x:f>IF(C1008="","",COUNT(G1008:CB1008)/74)</x:f>
        <x:v>0</x:v>
      </x:c>
      <x:c r="CP1008" s="245"/>
    </x:row>
    <x:row r="1009">
      <x:c r="A1009" s="165" t="n">
        <x:v>1005</x:v>
      </x:c>
      <x:c r="B1009" s="233" t="str">
        <x:v>اسفند</x:v>
      </x:c>
      <x:c r="C1009" s="233" t="n">
        <x:f>IF('دانش‌آموزان'!E88="","",'دانش‌آموزان'!B88)</x:f>
        <x:v>84</x:v>
      </x:c>
      <x:c r="D1009" s="233" t="str">
        <x:f>IF('دانش‌آموزان'!C88="","",'دانش‌آموزان'!C88)</x:f>
        <x:v>4000000845</x:v>
      </x:c>
      <x:c r="E1009" s="233" t="str">
        <x:f>IF('دانش‌آموزان'!E88="","",'دانش‌آموزان'!E88&amp;" "&amp;'دانش‌آموزان'!F88)</x:f>
        <x:v>زهرا محمدی</x:v>
      </x:c>
      <x:c r="F1009" s="166" t="str">
        <x:f>IF('دانش‌آموزان'!I88="","",'دانش‌آموزان'!I88)</x:f>
        <x:v>sample-7-d</x:v>
      </x:c>
      <x:c r="G1009" s="114"/>
      <x:c r="H1009" s="115"/>
      <x:c r="I1009" s="115"/>
      <x:c r="J1009" s="115"/>
      <x:c r="K1009" s="115"/>
      <x:c r="L1009" s="115"/>
      <x:c r="M1009" s="115"/>
      <x:c r="N1009" s="115"/>
      <x:c r="O1009" s="115"/>
      <x:c r="P1009" s="115"/>
      <x:c r="Q1009" s="115"/>
      <x:c r="R1009" s="115"/>
      <x:c r="S1009" s="115"/>
      <x:c r="T1009" s="115"/>
      <x:c r="U1009" s="115"/>
      <x:c r="V1009" s="115"/>
      <x:c r="W1009" s="115"/>
      <x:c r="X1009" s="115"/>
      <x:c r="Y1009" s="115"/>
      <x:c r="Z1009" s="115"/>
      <x:c r="AA1009" s="115"/>
      <x:c r="AB1009" s="115"/>
      <x:c r="AC1009" s="115"/>
      <x:c r="AD1009" s="115"/>
      <x:c r="AE1009" s="115"/>
      <x:c r="AF1009" s="115"/>
      <x:c r="AG1009" s="115"/>
      <x:c r="AH1009" s="115"/>
      <x:c r="AI1009" s="115"/>
      <x:c r="AJ1009" s="115"/>
      <x:c r="AK1009" s="115"/>
      <x:c r="AL1009" s="115"/>
      <x:c r="AM1009" s="115"/>
      <x:c r="AN1009" s="115"/>
      <x:c r="AO1009" s="115"/>
      <x:c r="AP1009" s="115"/>
      <x:c r="AQ1009" s="115"/>
      <x:c r="AR1009" s="115"/>
      <x:c r="AS1009" s="115"/>
      <x:c r="AT1009" s="115"/>
      <x:c r="AU1009" s="115"/>
      <x:c r="AV1009" s="115"/>
      <x:c r="AW1009" s="115"/>
      <x:c r="AX1009" s="115"/>
      <x:c r="AY1009" s="115"/>
      <x:c r="AZ1009" s="115"/>
      <x:c r="BA1009" s="115"/>
      <x:c r="BB1009" s="115"/>
      <x:c r="BC1009" s="115"/>
      <x:c r="BD1009" s="115"/>
      <x:c r="BE1009" s="115"/>
      <x:c r="BF1009" s="115"/>
      <x:c r="BG1009" s="115"/>
      <x:c r="BH1009" s="115"/>
      <x:c r="BI1009" s="115"/>
      <x:c r="BJ1009" s="115"/>
      <x:c r="BK1009" s="115"/>
      <x:c r="BL1009" s="115"/>
      <x:c r="BM1009" s="115"/>
      <x:c r="BN1009" s="115"/>
      <x:c r="BO1009" s="115"/>
      <x:c r="BP1009" s="115"/>
      <x:c r="BQ1009" s="115"/>
      <x:c r="BR1009" s="115"/>
      <x:c r="BS1009" s="115"/>
      <x:c r="BT1009" s="115"/>
      <x:c r="BU1009" s="115"/>
      <x:c r="BV1009" s="115"/>
      <x:c r="BW1009" s="115"/>
      <x:c r="BX1009" s="115"/>
      <x:c r="BY1009" s="115"/>
      <x:c r="BZ1009" s="115"/>
      <x:c r="CA1009" s="115"/>
      <x:c r="CB1009" s="116"/>
      <x:c r="CC1009" s="141" t="str">
        <x:f>IF(COUNT(G1009:P1009)=0,"",AVERAGE(G1009:P1009)*4)</x:f>
      </x:c>
      <x:c r="CD1009" s="178" t="str">
        <x:f>IF(COUNT(Q1009:Z1009)=0,"",AVERAGE(Q1009:Z1009)*4)</x:f>
      </x:c>
      <x:c r="CE1009" s="178" t="str">
        <x:f>IF(COUNT(AA1009:AJ1009)=0,"",AVERAGE(AA1009:AJ1009)*4)</x:f>
      </x:c>
      <x:c r="CF1009" s="178" t="str">
        <x:f>IF(COUNT(AK1009:AR1009)=0,"",AVERAGE(AK1009:AR1009)*4)</x:f>
      </x:c>
      <x:c r="CG1009" s="178" t="str">
        <x:f>IF(COUNT(AS1009:AY1009)=0,"",AVERAGE(AS1009:AY1009)*4)</x:f>
      </x:c>
      <x:c r="CH1009" s="178" t="str">
        <x:f>IF(COUNT(AZ1009:BG1009)=0,"",AVERAGE(AZ1009:BG1009)*4)</x:f>
      </x:c>
      <x:c r="CI1009" s="178" t="str">
        <x:f>IF(COUNT(BH1009:BN1009)=0,"",AVERAGE(BH1009:BN1009)*4)</x:f>
      </x:c>
      <x:c r="CJ1009" s="178" t="str">
        <x:f>IF(COUNT(BO1009:BU1009)=0,"",AVERAGE(BO1009:BU1009)*4)</x:f>
      </x:c>
      <x:c r="CK1009" s="178" t="str">
        <x:f>IF(COUNT(BV1009:CB1009)=0,"",AVERAGE(BV1009:CB1009)*4)</x:f>
      </x:c>
      <x:c r="CL1009" s="178" t="str">
        <x:f>IF(C1009="","",IF(COUNT(G1009:CB1009)&lt;74,"",(CC1009*'تنظیمات وزن‌دهی'!$C$5+CD1009*'تنظیمات وزن‌دهی'!$C$6+CE1009*'تنظیمات وزن‌دهی'!$C$7+CF1009*'تنظیمات وزن‌دهی'!$C$8+CG1009*'تنظیمات وزن‌دهی'!$C$9+CH1009*'تنظیمات وزن‌دهی'!$C$10+CI1009*'تنظیمات وزن‌دهی'!$C$11+CJ1009*'تنظیمات وزن‌دهی'!$C$12+CK1009*'تنظیمات وزن‌دهی'!$C$13)/100))</x:f>
      </x:c>
      <x:c r="CM1009" s="178" t="str">
        <x:f>IF(C1009="","",IF(COUNT(G1009:CB1009)=0,"",IF(COUNT(G1009:CB1009)&lt;74,"موقت - اطلاعات ناقص",IF(CL1009&gt;=17,"عالی",IF(CL1009&gt;=14,"خوب",IF(CL1009&gt;=10,"متوسط","ضعیف"))))))</x:f>
      </x:c>
      <x:c r="CN1009" s="178" t="n">
        <x:v>9</x:v>
      </x:c>
      <x:c r="CO1009" s="142" t="n">
        <x:f>IF(C1009="","",COUNT(G1009:CB1009)/74)</x:f>
        <x:v>0</x:v>
      </x:c>
      <x:c r="CP1009" s="245"/>
    </x:row>
    <x:row r="1010">
      <x:c r="A1010" s="165" t="n">
        <x:v>1006</x:v>
      </x:c>
      <x:c r="B1010" s="233" t="str">
        <x:v>فروردین</x:v>
      </x:c>
      <x:c r="C1010" s="233" t="n">
        <x:f>IF('دانش‌آموزان'!E88="","",'دانش‌آموزان'!B88)</x:f>
        <x:v>84</x:v>
      </x:c>
      <x:c r="D1010" s="233" t="str">
        <x:f>IF('دانش‌آموزان'!C88="","",'دانش‌آموزان'!C88)</x:f>
        <x:v>4000000845</x:v>
      </x:c>
      <x:c r="E1010" s="233" t="str">
        <x:f>IF('دانش‌آموزان'!E88="","",'دانش‌آموزان'!E88&amp;" "&amp;'دانش‌آموزان'!F88)</x:f>
        <x:v>زهرا محمدی</x:v>
      </x:c>
      <x:c r="F1010" s="166" t="str">
        <x:f>IF('دانش‌آموزان'!I88="","",'دانش‌آموزان'!I88)</x:f>
        <x:v>sample-7-d</x:v>
      </x:c>
      <x:c r="G1010" s="114"/>
      <x:c r="H1010" s="115"/>
      <x:c r="I1010" s="115"/>
      <x:c r="J1010" s="115"/>
      <x:c r="K1010" s="115"/>
      <x:c r="L1010" s="115"/>
      <x:c r="M1010" s="115"/>
      <x:c r="N1010" s="115"/>
      <x:c r="O1010" s="115"/>
      <x:c r="P1010" s="115"/>
      <x:c r="Q1010" s="115"/>
      <x:c r="R1010" s="115"/>
      <x:c r="S1010" s="115"/>
      <x:c r="T1010" s="115"/>
      <x:c r="U1010" s="115"/>
      <x:c r="V1010" s="115"/>
      <x:c r="W1010" s="115"/>
      <x:c r="X1010" s="115"/>
      <x:c r="Y1010" s="115"/>
      <x:c r="Z1010" s="115"/>
      <x:c r="AA1010" s="115"/>
      <x:c r="AB1010" s="115"/>
      <x:c r="AC1010" s="115"/>
      <x:c r="AD1010" s="115"/>
      <x:c r="AE1010" s="115"/>
      <x:c r="AF1010" s="115"/>
      <x:c r="AG1010" s="115"/>
      <x:c r="AH1010" s="115"/>
      <x:c r="AI1010" s="115"/>
      <x:c r="AJ1010" s="115"/>
      <x:c r="AK1010" s="115"/>
      <x:c r="AL1010" s="115"/>
      <x:c r="AM1010" s="115"/>
      <x:c r="AN1010" s="115"/>
      <x:c r="AO1010" s="115"/>
      <x:c r="AP1010" s="115"/>
      <x:c r="AQ1010" s="115"/>
      <x:c r="AR1010" s="115"/>
      <x:c r="AS1010" s="115"/>
      <x:c r="AT1010" s="115"/>
      <x:c r="AU1010" s="115"/>
      <x:c r="AV1010" s="115"/>
      <x:c r="AW1010" s="115"/>
      <x:c r="AX1010" s="115"/>
      <x:c r="AY1010" s="115"/>
      <x:c r="AZ1010" s="115"/>
      <x:c r="BA1010" s="115"/>
      <x:c r="BB1010" s="115"/>
      <x:c r="BC1010" s="115"/>
      <x:c r="BD1010" s="115"/>
      <x:c r="BE1010" s="115"/>
      <x:c r="BF1010" s="115"/>
      <x:c r="BG1010" s="115"/>
      <x:c r="BH1010" s="115"/>
      <x:c r="BI1010" s="115"/>
      <x:c r="BJ1010" s="115"/>
      <x:c r="BK1010" s="115"/>
      <x:c r="BL1010" s="115"/>
      <x:c r="BM1010" s="115"/>
      <x:c r="BN1010" s="115"/>
      <x:c r="BO1010" s="115"/>
      <x:c r="BP1010" s="115"/>
      <x:c r="BQ1010" s="115"/>
      <x:c r="BR1010" s="115"/>
      <x:c r="BS1010" s="115"/>
      <x:c r="BT1010" s="115"/>
      <x:c r="BU1010" s="115"/>
      <x:c r="BV1010" s="115"/>
      <x:c r="BW1010" s="115"/>
      <x:c r="BX1010" s="115"/>
      <x:c r="BY1010" s="115"/>
      <x:c r="BZ1010" s="115"/>
      <x:c r="CA1010" s="115"/>
      <x:c r="CB1010" s="116"/>
      <x:c r="CC1010" s="141" t="str">
        <x:f>IF(COUNT(G1010:P1010)=0,"",AVERAGE(G1010:P1010)*4)</x:f>
      </x:c>
      <x:c r="CD1010" s="178" t="str">
        <x:f>IF(COUNT(Q1010:Z1010)=0,"",AVERAGE(Q1010:Z1010)*4)</x:f>
      </x:c>
      <x:c r="CE1010" s="178" t="str">
        <x:f>IF(COUNT(AA1010:AJ1010)=0,"",AVERAGE(AA1010:AJ1010)*4)</x:f>
      </x:c>
      <x:c r="CF1010" s="178" t="str">
        <x:f>IF(COUNT(AK1010:AR1010)=0,"",AVERAGE(AK1010:AR1010)*4)</x:f>
      </x:c>
      <x:c r="CG1010" s="178" t="str">
        <x:f>IF(COUNT(AS1010:AY1010)=0,"",AVERAGE(AS1010:AY1010)*4)</x:f>
      </x:c>
      <x:c r="CH1010" s="178" t="str">
        <x:f>IF(COUNT(AZ1010:BG1010)=0,"",AVERAGE(AZ1010:BG1010)*4)</x:f>
      </x:c>
      <x:c r="CI1010" s="178" t="str">
        <x:f>IF(COUNT(BH1010:BN1010)=0,"",AVERAGE(BH1010:BN1010)*4)</x:f>
      </x:c>
      <x:c r="CJ1010" s="178" t="str">
        <x:f>IF(COUNT(BO1010:BU1010)=0,"",AVERAGE(BO1010:BU1010)*4)</x:f>
      </x:c>
      <x:c r="CK1010" s="178" t="str">
        <x:f>IF(COUNT(BV1010:CB1010)=0,"",AVERAGE(BV1010:CB1010)*4)</x:f>
      </x:c>
      <x:c r="CL1010" s="178" t="str">
        <x:f>IF(C1010="","",IF(COUNT(G1010:CB1010)&lt;74,"",(CC1010*'تنظیمات وزن‌دهی'!$C$5+CD1010*'تنظیمات وزن‌دهی'!$C$6+CE1010*'تنظیمات وزن‌دهی'!$C$7+CF1010*'تنظیمات وزن‌دهی'!$C$8+CG1010*'تنظیمات وزن‌دهی'!$C$9+CH1010*'تنظیمات وزن‌دهی'!$C$10+CI1010*'تنظیمات وزن‌دهی'!$C$11+CJ1010*'تنظیمات وزن‌دهی'!$C$12+CK1010*'تنظیمات وزن‌دهی'!$C$13)/100))</x:f>
      </x:c>
      <x:c r="CM1010" s="178" t="str">
        <x:f>IF(C1010="","",IF(COUNT(G1010:CB1010)=0,"",IF(COUNT(G1010:CB1010)&lt;74,"موقت - اطلاعات ناقص",IF(CL1010&gt;=17,"عالی",IF(CL1010&gt;=14,"خوب",IF(CL1010&gt;=10,"متوسط","ضعیف"))))))</x:f>
      </x:c>
      <x:c r="CN1010" s="178" t="n">
        <x:v>10</x:v>
      </x:c>
      <x:c r="CO1010" s="142" t="n">
        <x:f>IF(C1010="","",COUNT(G1010:CB1010)/74)</x:f>
        <x:v>0</x:v>
      </x:c>
      <x:c r="CP1010" s="245"/>
    </x:row>
    <x:row r="1011">
      <x:c r="A1011" s="165" t="n">
        <x:v>1007</x:v>
      </x:c>
      <x:c r="B1011" s="233" t="str">
        <x:v>اردیبهشت</x:v>
      </x:c>
      <x:c r="C1011" s="233" t="n">
        <x:f>IF('دانش‌آموزان'!E88="","",'دانش‌آموزان'!B88)</x:f>
        <x:v>84</x:v>
      </x:c>
      <x:c r="D1011" s="233" t="str">
        <x:f>IF('دانش‌آموزان'!C88="","",'دانش‌آموزان'!C88)</x:f>
        <x:v>4000000845</x:v>
      </x:c>
      <x:c r="E1011" s="233" t="str">
        <x:f>IF('دانش‌آموزان'!E88="","",'دانش‌آموزان'!E88&amp;" "&amp;'دانش‌آموزان'!F88)</x:f>
        <x:v>زهرا محمدی</x:v>
      </x:c>
      <x:c r="F1011" s="166" t="str">
        <x:f>IF('دانش‌آموزان'!I88="","",'دانش‌آموزان'!I88)</x:f>
        <x:v>sample-7-d</x:v>
      </x:c>
      <x:c r="G1011" s="114"/>
      <x:c r="H1011" s="115"/>
      <x:c r="I1011" s="115"/>
      <x:c r="J1011" s="115"/>
      <x:c r="K1011" s="115"/>
      <x:c r="L1011" s="115"/>
      <x:c r="M1011" s="115"/>
      <x:c r="N1011" s="115"/>
      <x:c r="O1011" s="115"/>
      <x:c r="P1011" s="115"/>
      <x:c r="Q1011" s="115"/>
      <x:c r="R1011" s="115"/>
      <x:c r="S1011" s="115"/>
      <x:c r="T1011" s="115"/>
      <x:c r="U1011" s="115"/>
      <x:c r="V1011" s="115"/>
      <x:c r="W1011" s="115"/>
      <x:c r="X1011" s="115"/>
      <x:c r="Y1011" s="115"/>
      <x:c r="Z1011" s="115"/>
      <x:c r="AA1011" s="115"/>
      <x:c r="AB1011" s="115"/>
      <x:c r="AC1011" s="115"/>
      <x:c r="AD1011" s="115"/>
      <x:c r="AE1011" s="115"/>
      <x:c r="AF1011" s="115"/>
      <x:c r="AG1011" s="115"/>
      <x:c r="AH1011" s="115"/>
      <x:c r="AI1011" s="115"/>
      <x:c r="AJ1011" s="115"/>
      <x:c r="AK1011" s="115"/>
      <x:c r="AL1011" s="115"/>
      <x:c r="AM1011" s="115"/>
      <x:c r="AN1011" s="115"/>
      <x:c r="AO1011" s="115"/>
      <x:c r="AP1011" s="115"/>
      <x:c r="AQ1011" s="115"/>
      <x:c r="AR1011" s="115"/>
      <x:c r="AS1011" s="115"/>
      <x:c r="AT1011" s="115"/>
      <x:c r="AU1011" s="115"/>
      <x:c r="AV1011" s="115"/>
      <x:c r="AW1011" s="115"/>
      <x:c r="AX1011" s="115"/>
      <x:c r="AY1011" s="115"/>
      <x:c r="AZ1011" s="115"/>
      <x:c r="BA1011" s="115"/>
      <x:c r="BB1011" s="115"/>
      <x:c r="BC1011" s="115"/>
      <x:c r="BD1011" s="115"/>
      <x:c r="BE1011" s="115"/>
      <x:c r="BF1011" s="115"/>
      <x:c r="BG1011" s="115"/>
      <x:c r="BH1011" s="115"/>
      <x:c r="BI1011" s="115"/>
      <x:c r="BJ1011" s="115"/>
      <x:c r="BK1011" s="115"/>
      <x:c r="BL1011" s="115"/>
      <x:c r="BM1011" s="115"/>
      <x:c r="BN1011" s="115"/>
      <x:c r="BO1011" s="115"/>
      <x:c r="BP1011" s="115"/>
      <x:c r="BQ1011" s="115"/>
      <x:c r="BR1011" s="115"/>
      <x:c r="BS1011" s="115"/>
      <x:c r="BT1011" s="115"/>
      <x:c r="BU1011" s="115"/>
      <x:c r="BV1011" s="115"/>
      <x:c r="BW1011" s="115"/>
      <x:c r="BX1011" s="115"/>
      <x:c r="BY1011" s="115"/>
      <x:c r="BZ1011" s="115"/>
      <x:c r="CA1011" s="115"/>
      <x:c r="CB1011" s="116"/>
      <x:c r="CC1011" s="141" t="str">
        <x:f>IF(COUNT(G1011:P1011)=0,"",AVERAGE(G1011:P1011)*4)</x:f>
      </x:c>
      <x:c r="CD1011" s="178" t="str">
        <x:f>IF(COUNT(Q1011:Z1011)=0,"",AVERAGE(Q1011:Z1011)*4)</x:f>
      </x:c>
      <x:c r="CE1011" s="178" t="str">
        <x:f>IF(COUNT(AA1011:AJ1011)=0,"",AVERAGE(AA1011:AJ1011)*4)</x:f>
      </x:c>
      <x:c r="CF1011" s="178" t="str">
        <x:f>IF(COUNT(AK1011:AR1011)=0,"",AVERAGE(AK1011:AR1011)*4)</x:f>
      </x:c>
      <x:c r="CG1011" s="178" t="str">
        <x:f>IF(COUNT(AS1011:AY1011)=0,"",AVERAGE(AS1011:AY1011)*4)</x:f>
      </x:c>
      <x:c r="CH1011" s="178" t="str">
        <x:f>IF(COUNT(AZ1011:BG1011)=0,"",AVERAGE(AZ1011:BG1011)*4)</x:f>
      </x:c>
      <x:c r="CI1011" s="178" t="str">
        <x:f>IF(COUNT(BH1011:BN1011)=0,"",AVERAGE(BH1011:BN1011)*4)</x:f>
      </x:c>
      <x:c r="CJ1011" s="178" t="str">
        <x:f>IF(COUNT(BO1011:BU1011)=0,"",AVERAGE(BO1011:BU1011)*4)</x:f>
      </x:c>
      <x:c r="CK1011" s="178" t="str">
        <x:f>IF(COUNT(BV1011:CB1011)=0,"",AVERAGE(BV1011:CB1011)*4)</x:f>
      </x:c>
      <x:c r="CL1011" s="178" t="str">
        <x:f>IF(C1011="","",IF(COUNT(G1011:CB1011)&lt;74,"",(CC1011*'تنظیمات وزن‌دهی'!$C$5+CD1011*'تنظیمات وزن‌دهی'!$C$6+CE1011*'تنظیمات وزن‌دهی'!$C$7+CF1011*'تنظیمات وزن‌دهی'!$C$8+CG1011*'تنظیمات وزن‌دهی'!$C$9+CH1011*'تنظیمات وزن‌دهی'!$C$10+CI1011*'تنظیمات وزن‌دهی'!$C$11+CJ1011*'تنظیمات وزن‌دهی'!$C$12+CK1011*'تنظیمات وزن‌دهی'!$C$13)/100))</x:f>
      </x:c>
      <x:c r="CM1011" s="178" t="str">
        <x:f>IF(C1011="","",IF(COUNT(G1011:CB1011)=0,"",IF(COUNT(G1011:CB1011)&lt;74,"موقت - اطلاعات ناقص",IF(CL1011&gt;=17,"عالی",IF(CL1011&gt;=14,"خوب",IF(CL1011&gt;=10,"متوسط","ضعیف"))))))</x:f>
      </x:c>
      <x:c r="CN1011" s="178" t="n">
        <x:v>11</x:v>
      </x:c>
      <x:c r="CO1011" s="142" t="n">
        <x:f>IF(C1011="","",COUNT(G1011:CB1011)/74)</x:f>
        <x:v>0</x:v>
      </x:c>
      <x:c r="CP1011" s="245"/>
    </x:row>
    <x:row r="1012">
      <x:c r="A1012" s="165" t="n">
        <x:v>1008</x:v>
      </x:c>
      <x:c r="B1012" s="233" t="str">
        <x:v>خرداد</x:v>
      </x:c>
      <x:c r="C1012" s="233" t="n">
        <x:f>IF('دانش‌آموزان'!E88="","",'دانش‌آموزان'!B88)</x:f>
        <x:v>84</x:v>
      </x:c>
      <x:c r="D1012" s="233" t="str">
        <x:f>IF('دانش‌آموزان'!C88="","",'دانش‌آموزان'!C88)</x:f>
        <x:v>4000000845</x:v>
      </x:c>
      <x:c r="E1012" s="233" t="str">
        <x:f>IF('دانش‌آموزان'!E88="","",'دانش‌آموزان'!E88&amp;" "&amp;'دانش‌آموزان'!F88)</x:f>
        <x:v>زهرا محمدی</x:v>
      </x:c>
      <x:c r="F1012" s="166" t="str">
        <x:f>IF('دانش‌آموزان'!I88="","",'دانش‌آموزان'!I88)</x:f>
        <x:v>sample-7-d</x:v>
      </x:c>
      <x:c r="G1012" s="114"/>
      <x:c r="H1012" s="115"/>
      <x:c r="I1012" s="115"/>
      <x:c r="J1012" s="115"/>
      <x:c r="K1012" s="115"/>
      <x:c r="L1012" s="115"/>
      <x:c r="M1012" s="115"/>
      <x:c r="N1012" s="115"/>
      <x:c r="O1012" s="115"/>
      <x:c r="P1012" s="115"/>
      <x:c r="Q1012" s="115"/>
      <x:c r="R1012" s="115"/>
      <x:c r="S1012" s="115"/>
      <x:c r="T1012" s="115"/>
      <x:c r="U1012" s="115"/>
      <x:c r="V1012" s="115"/>
      <x:c r="W1012" s="115"/>
      <x:c r="X1012" s="115"/>
      <x:c r="Y1012" s="115"/>
      <x:c r="Z1012" s="115"/>
      <x:c r="AA1012" s="115"/>
      <x:c r="AB1012" s="115"/>
      <x:c r="AC1012" s="115"/>
      <x:c r="AD1012" s="115"/>
      <x:c r="AE1012" s="115"/>
      <x:c r="AF1012" s="115"/>
      <x:c r="AG1012" s="115"/>
      <x:c r="AH1012" s="115"/>
      <x:c r="AI1012" s="115"/>
      <x:c r="AJ1012" s="115"/>
      <x:c r="AK1012" s="115"/>
      <x:c r="AL1012" s="115"/>
      <x:c r="AM1012" s="115"/>
      <x:c r="AN1012" s="115"/>
      <x:c r="AO1012" s="115"/>
      <x:c r="AP1012" s="115"/>
      <x:c r="AQ1012" s="115"/>
      <x:c r="AR1012" s="115"/>
      <x:c r="AS1012" s="115"/>
      <x:c r="AT1012" s="115"/>
      <x:c r="AU1012" s="115"/>
      <x:c r="AV1012" s="115"/>
      <x:c r="AW1012" s="115"/>
      <x:c r="AX1012" s="115"/>
      <x:c r="AY1012" s="115"/>
      <x:c r="AZ1012" s="115"/>
      <x:c r="BA1012" s="115"/>
      <x:c r="BB1012" s="115"/>
      <x:c r="BC1012" s="115"/>
      <x:c r="BD1012" s="115"/>
      <x:c r="BE1012" s="115"/>
      <x:c r="BF1012" s="115"/>
      <x:c r="BG1012" s="115"/>
      <x:c r="BH1012" s="115"/>
      <x:c r="BI1012" s="115"/>
      <x:c r="BJ1012" s="115"/>
      <x:c r="BK1012" s="115"/>
      <x:c r="BL1012" s="115"/>
      <x:c r="BM1012" s="115"/>
      <x:c r="BN1012" s="115"/>
      <x:c r="BO1012" s="115"/>
      <x:c r="BP1012" s="115"/>
      <x:c r="BQ1012" s="115"/>
      <x:c r="BR1012" s="115"/>
      <x:c r="BS1012" s="115"/>
      <x:c r="BT1012" s="115"/>
      <x:c r="BU1012" s="115"/>
      <x:c r="BV1012" s="115"/>
      <x:c r="BW1012" s="115"/>
      <x:c r="BX1012" s="115"/>
      <x:c r="BY1012" s="115"/>
      <x:c r="BZ1012" s="115"/>
      <x:c r="CA1012" s="115"/>
      <x:c r="CB1012" s="116"/>
      <x:c r="CC1012" s="141" t="str">
        <x:f>IF(COUNT(G1012:P1012)=0,"",AVERAGE(G1012:P1012)*4)</x:f>
      </x:c>
      <x:c r="CD1012" s="178" t="str">
        <x:f>IF(COUNT(Q1012:Z1012)=0,"",AVERAGE(Q1012:Z1012)*4)</x:f>
      </x:c>
      <x:c r="CE1012" s="178" t="str">
        <x:f>IF(COUNT(AA1012:AJ1012)=0,"",AVERAGE(AA1012:AJ1012)*4)</x:f>
      </x:c>
      <x:c r="CF1012" s="178" t="str">
        <x:f>IF(COUNT(AK1012:AR1012)=0,"",AVERAGE(AK1012:AR1012)*4)</x:f>
      </x:c>
      <x:c r="CG1012" s="178" t="str">
        <x:f>IF(COUNT(AS1012:AY1012)=0,"",AVERAGE(AS1012:AY1012)*4)</x:f>
      </x:c>
      <x:c r="CH1012" s="178" t="str">
        <x:f>IF(COUNT(AZ1012:BG1012)=0,"",AVERAGE(AZ1012:BG1012)*4)</x:f>
      </x:c>
      <x:c r="CI1012" s="178" t="str">
        <x:f>IF(COUNT(BH1012:BN1012)=0,"",AVERAGE(BH1012:BN1012)*4)</x:f>
      </x:c>
      <x:c r="CJ1012" s="178" t="str">
        <x:f>IF(COUNT(BO1012:BU1012)=0,"",AVERAGE(BO1012:BU1012)*4)</x:f>
      </x:c>
      <x:c r="CK1012" s="178" t="str">
        <x:f>IF(COUNT(BV1012:CB1012)=0,"",AVERAGE(BV1012:CB1012)*4)</x:f>
      </x:c>
      <x:c r="CL1012" s="178" t="str">
        <x:f>IF(C1012="","",IF(COUNT(G1012:CB1012)&lt;74,"",(CC1012*'تنظیمات وزن‌دهی'!$C$5+CD1012*'تنظیمات وزن‌دهی'!$C$6+CE1012*'تنظیمات وزن‌دهی'!$C$7+CF1012*'تنظیمات وزن‌دهی'!$C$8+CG1012*'تنظیمات وزن‌دهی'!$C$9+CH1012*'تنظیمات وزن‌دهی'!$C$10+CI1012*'تنظیمات وزن‌دهی'!$C$11+CJ1012*'تنظیمات وزن‌دهی'!$C$12+CK1012*'تنظیمات وزن‌دهی'!$C$13)/100))</x:f>
      </x:c>
      <x:c r="CM1012" s="178" t="str">
        <x:f>IF(C1012="","",IF(COUNT(G1012:CB1012)=0,"",IF(COUNT(G1012:CB1012)&lt;74,"موقت - اطلاعات ناقص",IF(CL1012&gt;=17,"عالی",IF(CL1012&gt;=14,"خوب",IF(CL1012&gt;=10,"متوسط","ضعیف"))))))</x:f>
      </x:c>
      <x:c r="CN1012" s="178" t="n">
        <x:v>12</x:v>
      </x:c>
      <x:c r="CO1012" s="142" t="n">
        <x:f>IF(C1012="","",COUNT(G1012:CB1012)/74)</x:f>
        <x:v>0</x:v>
      </x:c>
      <x:c r="CP1012" s="245"/>
    </x:row>
    <x:row r="1013">
      <x:c r="A1013" s="165" t="n">
        <x:v>1009</x:v>
      </x:c>
      <x:c r="B1013" s="233" t="str">
        <x:v>تیر</x:v>
      </x:c>
      <x:c r="C1013" s="233" t="n">
        <x:f>IF('دانش‌آموزان'!E89="","",'دانش‌آموزان'!B89)</x:f>
        <x:v>85</x:v>
      </x:c>
      <x:c r="D1013" s="233" t="str">
        <x:f>IF('دانش‌آموزان'!C89="","",'دانش‌آموزان'!C89)</x:f>
        <x:v>4000000853</x:v>
      </x:c>
      <x:c r="E1013" s="233" t="str">
        <x:f>IF('دانش‌آموزان'!E89="","",'دانش‌آموزان'!E89&amp;" "&amp;'دانش‌آموزان'!F89)</x:f>
        <x:v>محمد قاسمی</x:v>
      </x:c>
      <x:c r="F1013" s="166" t="str">
        <x:f>IF('دانش‌آموزان'!I89="","",'دانش‌آموزان'!I89)</x:f>
        <x:v>sample-7-d</x:v>
      </x:c>
      <x:c r="G1013" s="114" t="n">
        <x:v>5</x:v>
      </x:c>
      <x:c r="H1013" s="115" t="n">
        <x:v>4</x:v>
      </x:c>
      <x:c r="I1013" s="115" t="n">
        <x:v>5</x:v>
      </x:c>
      <x:c r="J1013" s="115" t="n">
        <x:v>3</x:v>
      </x:c>
      <x:c r="K1013" s="115" t="n">
        <x:v>5</x:v>
      </x:c>
      <x:c r="L1013" s="115" t="n">
        <x:v>3</x:v>
      </x:c>
      <x:c r="M1013" s="115" t="n">
        <x:v>4</x:v>
      </x:c>
      <x:c r="N1013" s="115" t="n">
        <x:v>3</x:v>
      </x:c>
      <x:c r="O1013" s="115" t="n">
        <x:v>4</x:v>
      </x:c>
      <x:c r="P1013" s="115" t="n">
        <x:v>2</x:v>
      </x:c>
      <x:c r="Q1013" s="115" t="n">
        <x:v>4</x:v>
      </x:c>
      <x:c r="R1013" s="115" t="n">
        <x:v>5</x:v>
      </x:c>
      <x:c r="S1013" s="115" t="n">
        <x:v>4</x:v>
      </x:c>
      <x:c r="T1013" s="115" t="n">
        <x:v>5</x:v>
      </x:c>
      <x:c r="U1013" s="115" t="n">
        <x:v>3</x:v>
      </x:c>
      <x:c r="V1013" s="115" t="n">
        <x:v>5</x:v>
      </x:c>
      <x:c r="W1013" s="115" t="n">
        <x:v>3</x:v>
      </x:c>
      <x:c r="X1013" s="115" t="n">
        <x:v>4</x:v>
      </x:c>
      <x:c r="Y1013" s="115" t="n">
        <x:v>3</x:v>
      </x:c>
      <x:c r="Z1013" s="115" t="n">
        <x:v>4</x:v>
      </x:c>
      <x:c r="AA1013" s="115" t="n">
        <x:v>2</x:v>
      </x:c>
      <x:c r="AB1013" s="115" t="n">
        <x:v>4</x:v>
      </x:c>
      <x:c r="AC1013" s="115" t="n">
        <x:v>5</x:v>
      </x:c>
      <x:c r="AD1013" s="115" t="n">
        <x:v>4</x:v>
      </x:c>
      <x:c r="AE1013" s="115" t="n">
        <x:v>5</x:v>
      </x:c>
      <x:c r="AF1013" s="115" t="n">
        <x:v>3</x:v>
      </x:c>
      <x:c r="AG1013" s="115" t="n">
        <x:v>5</x:v>
      </x:c>
      <x:c r="AH1013" s="115" t="n">
        <x:v>3</x:v>
      </x:c>
      <x:c r="AI1013" s="115" t="n">
        <x:v>4</x:v>
      </x:c>
      <x:c r="AJ1013" s="115" t="n">
        <x:v>3</x:v>
      </x:c>
      <x:c r="AK1013" s="115" t="n">
        <x:v>4</x:v>
      </x:c>
      <x:c r="AL1013" s="115" t="n">
        <x:v>2</x:v>
      </x:c>
      <x:c r="AM1013" s="115" t="n">
        <x:v>4</x:v>
      </x:c>
      <x:c r="AN1013" s="115" t="n">
        <x:v>5</x:v>
      </x:c>
      <x:c r="AO1013" s="115" t="n">
        <x:v>4</x:v>
      </x:c>
      <x:c r="AP1013" s="115" t="n">
        <x:v>5</x:v>
      </x:c>
      <x:c r="AQ1013" s="115" t="n">
        <x:v>3</x:v>
      </x:c>
      <x:c r="AR1013" s="115" t="n">
        <x:v>5</x:v>
      </x:c>
      <x:c r="AS1013" s="115" t="n">
        <x:v>3</x:v>
      </x:c>
      <x:c r="AT1013" s="115" t="n">
        <x:v>4</x:v>
      </x:c>
      <x:c r="AU1013" s="115" t="n">
        <x:v>3</x:v>
      </x:c>
      <x:c r="AV1013" s="115" t="n">
        <x:v>4</x:v>
      </x:c>
      <x:c r="AW1013" s="115" t="n">
        <x:v>2</x:v>
      </x:c>
      <x:c r="AX1013" s="115" t="n">
        <x:v>4</x:v>
      </x:c>
      <x:c r="AY1013" s="115" t="n">
        <x:v>5</x:v>
      </x:c>
      <x:c r="AZ1013" s="115" t="n">
        <x:v>4</x:v>
      </x:c>
      <x:c r="BA1013" s="115" t="n">
        <x:v>5</x:v>
      </x:c>
      <x:c r="BB1013" s="115" t="n">
        <x:v>3</x:v>
      </x:c>
      <x:c r="BC1013" s="115" t="n">
        <x:v>5</x:v>
      </x:c>
      <x:c r="BD1013" s="115" t="n">
        <x:v>3</x:v>
      </x:c>
      <x:c r="BE1013" s="115" t="n">
        <x:v>4</x:v>
      </x:c>
      <x:c r="BF1013" s="115" t="n">
        <x:v>3</x:v>
      </x:c>
      <x:c r="BG1013" s="115" t="n">
        <x:v>4</x:v>
      </x:c>
      <x:c r="BH1013" s="115" t="n">
        <x:v>2</x:v>
      </x:c>
      <x:c r="BI1013" s="115" t="n">
        <x:v>4</x:v>
      </x:c>
      <x:c r="BJ1013" s="115" t="n">
        <x:v>5</x:v>
      </x:c>
      <x:c r="BK1013" s="115" t="n">
        <x:v>4</x:v>
      </x:c>
      <x:c r="BL1013" s="115" t="n">
        <x:v>5</x:v>
      </x:c>
      <x:c r="BM1013" s="115" t="n">
        <x:v>3</x:v>
      </x:c>
      <x:c r="BN1013" s="115" t="n">
        <x:v>5</x:v>
      </x:c>
      <x:c r="BO1013" s="115" t="n">
        <x:v>3</x:v>
      </x:c>
      <x:c r="BP1013" s="115" t="n">
        <x:v>4</x:v>
      </x:c>
      <x:c r="BQ1013" s="115" t="n">
        <x:v>3</x:v>
      </x:c>
      <x:c r="BR1013" s="115" t="n">
        <x:v>4</x:v>
      </x:c>
      <x:c r="BS1013" s="115" t="n">
        <x:v>2</x:v>
      </x:c>
      <x:c r="BT1013" s="115" t="n">
        <x:v>4</x:v>
      </x:c>
      <x:c r="BU1013" s="115" t="n">
        <x:v>5</x:v>
      </x:c>
      <x:c r="BV1013" s="115" t="n">
        <x:v>4</x:v>
      </x:c>
      <x:c r="BW1013" s="115" t="n">
        <x:v>5</x:v>
      </x:c>
      <x:c r="BX1013" s="115" t="n">
        <x:v>3</x:v>
      </x:c>
      <x:c r="BY1013" s="115" t="n">
        <x:v>5</x:v>
      </x:c>
      <x:c r="BZ1013" s="115" t="n">
        <x:v>3</x:v>
      </x:c>
      <x:c r="CA1013" s="115" t="n">
        <x:v>4</x:v>
      </x:c>
      <x:c r="CB1013" s="116" t="n">
        <x:v>3</x:v>
      </x:c>
      <x:c r="CC1013" s="141" t="n">
        <x:f>IF(COUNT(G1013:P1013)=0,"",AVERAGE(G1013:P1013)*4)</x:f>
        <x:v>15.2</x:v>
      </x:c>
      <x:c r="CD1013" s="178" t="n">
        <x:f>IF(COUNT(Q1013:Z1013)=0,"",AVERAGE(Q1013:Z1013)*4)</x:f>
        <x:v>16</x:v>
      </x:c>
      <x:c r="CE1013" s="178" t="n">
        <x:f>IF(COUNT(AA1013:AJ1013)=0,"",AVERAGE(AA1013:AJ1013)*4)</x:f>
        <x:v>15.2</x:v>
      </x:c>
      <x:c r="CF1013" s="178" t="n">
        <x:f>IF(COUNT(AK1013:AR1013)=0,"",AVERAGE(AK1013:AR1013)*4)</x:f>
        <x:v>16</x:v>
      </x:c>
      <x:c r="CG1013" s="178" t="n">
        <x:f>IF(COUNT(AS1013:AY1013)=0,"",AVERAGE(AS1013:AY1013)*4)</x:f>
        <x:v>14.285714285714286</x:v>
      </x:c>
      <x:c r="CH1013" s="178" t="n">
        <x:f>IF(COUNT(AZ1013:BG1013)=0,"",AVERAGE(AZ1013:BG1013)*4)</x:f>
        <x:v>15.5</x:v>
      </x:c>
      <x:c r="CI1013" s="178" t="n">
        <x:f>IF(COUNT(BH1013:BN1013)=0,"",AVERAGE(BH1013:BN1013)*4)</x:f>
        <x:v>16</x:v>
      </x:c>
      <x:c r="CJ1013" s="178" t="n">
        <x:f>IF(COUNT(BO1013:BU1013)=0,"",AVERAGE(BO1013:BU1013)*4)</x:f>
        <x:v>14.285714285714286</x:v>
      </x:c>
      <x:c r="CK1013" s="178" t="n">
        <x:f>IF(COUNT(BV1013:CB1013)=0,"",AVERAGE(BV1013:CB1013)*4)</x:f>
        <x:v>15.428571428571429</x:v>
      </x:c>
      <x:c r="CL1013" s="178" t="n">
        <x:f>IF(C1013="","",IF(COUNT(G1013:CB1013)&lt;74,"",(CC1013*'تنظیمات وزن‌دهی'!$C$5+CD1013*'تنظیمات وزن‌دهی'!$C$6+CE1013*'تنظیمات وزن‌دهی'!$C$7+CF1013*'تنظیمات وزن‌دهی'!$C$8+CG1013*'تنظیمات وزن‌دهی'!$C$9+CH1013*'تنظیمات وزن‌دهی'!$C$10+CI1013*'تنظیمات وزن‌دهی'!$C$11+CJ1013*'تنظیمات وزن‌دهی'!$C$12+CK1013*'تنظیمات وزن‌دهی'!$C$13)/100))</x:f>
        <x:v>15.417142857142858</x:v>
      </x:c>
      <x:c r="CM1013" s="178" t="str">
        <x:f>IF(C1013="","",IF(COUNT(G1013:CB1013)=0,"",IF(COUNT(G1013:CB1013)&lt;74,"موقت - اطلاعات ناقص",IF(CL1013&gt;=17,"عالی",IF(CL1013&gt;=14,"خوب",IF(CL1013&gt;=10,"متوسط","ضعیف"))))))</x:f>
        <x:v>خوب</x:v>
      </x:c>
      <x:c r="CN1013" s="178" t="n">
        <x:v>1</x:v>
      </x:c>
      <x:c r="CO1013" s="142" t="n">
        <x:f>IF(C1013="","",COUNT(G1013:CB1013)/74)</x:f>
        <x:v>1</x:v>
      </x:c>
      <x:c r="CP1013" s="245" t="str">
        <x:v>داده نمونه کامل برای ماه تیر - دانش‌آموز شماره 85</x:v>
      </x:c>
    </x:row>
    <x:row r="1014">
      <x:c r="A1014" s="165" t="n">
        <x:v>1010</x:v>
      </x:c>
      <x:c r="B1014" s="233" t="str">
        <x:v>مرداد</x:v>
      </x:c>
      <x:c r="C1014" s="233" t="n">
        <x:f>IF('دانش‌آموزان'!E89="","",'دانش‌آموزان'!B89)</x:f>
        <x:v>85</x:v>
      </x:c>
      <x:c r="D1014" s="233" t="str">
        <x:f>IF('دانش‌آموزان'!C89="","",'دانش‌آموزان'!C89)</x:f>
        <x:v>4000000853</x:v>
      </x:c>
      <x:c r="E1014" s="233" t="str">
        <x:f>IF('دانش‌آموزان'!E89="","",'دانش‌آموزان'!E89&amp;" "&amp;'دانش‌آموزان'!F89)</x:f>
        <x:v>محمد قاسمی</x:v>
      </x:c>
      <x:c r="F1014" s="166" t="str">
        <x:f>IF('دانش‌آموزان'!I89="","",'دانش‌آموزان'!I89)</x:f>
        <x:v>sample-7-d</x:v>
      </x:c>
      <x:c r="G1014" s="114"/>
      <x:c r="H1014" s="115"/>
      <x:c r="I1014" s="115"/>
      <x:c r="J1014" s="115"/>
      <x:c r="K1014" s="115"/>
      <x:c r="L1014" s="115"/>
      <x:c r="M1014" s="115"/>
      <x:c r="N1014" s="115"/>
      <x:c r="O1014" s="115"/>
      <x:c r="P1014" s="115"/>
      <x:c r="Q1014" s="115"/>
      <x:c r="R1014" s="115"/>
      <x:c r="S1014" s="115"/>
      <x:c r="T1014" s="115"/>
      <x:c r="U1014" s="115"/>
      <x:c r="V1014" s="115"/>
      <x:c r="W1014" s="115"/>
      <x:c r="X1014" s="115"/>
      <x:c r="Y1014" s="115"/>
      <x:c r="Z1014" s="115"/>
      <x:c r="AA1014" s="115"/>
      <x:c r="AB1014" s="115"/>
      <x:c r="AC1014" s="115"/>
      <x:c r="AD1014" s="115"/>
      <x:c r="AE1014" s="115"/>
      <x:c r="AF1014" s="115"/>
      <x:c r="AG1014" s="115"/>
      <x:c r="AH1014" s="115"/>
      <x:c r="AI1014" s="115"/>
      <x:c r="AJ1014" s="115"/>
      <x:c r="AK1014" s="115"/>
      <x:c r="AL1014" s="115"/>
      <x:c r="AM1014" s="115"/>
      <x:c r="AN1014" s="115"/>
      <x:c r="AO1014" s="115"/>
      <x:c r="AP1014" s="115"/>
      <x:c r="AQ1014" s="115"/>
      <x:c r="AR1014" s="115"/>
      <x:c r="AS1014" s="115"/>
      <x:c r="AT1014" s="115"/>
      <x:c r="AU1014" s="115"/>
      <x:c r="AV1014" s="115"/>
      <x:c r="AW1014" s="115"/>
      <x:c r="AX1014" s="115"/>
      <x:c r="AY1014" s="115"/>
      <x:c r="AZ1014" s="115"/>
      <x:c r="BA1014" s="115"/>
      <x:c r="BB1014" s="115"/>
      <x:c r="BC1014" s="115"/>
      <x:c r="BD1014" s="115"/>
      <x:c r="BE1014" s="115"/>
      <x:c r="BF1014" s="115"/>
      <x:c r="BG1014" s="115"/>
      <x:c r="BH1014" s="115"/>
      <x:c r="BI1014" s="115"/>
      <x:c r="BJ1014" s="115"/>
      <x:c r="BK1014" s="115"/>
      <x:c r="BL1014" s="115"/>
      <x:c r="BM1014" s="115"/>
      <x:c r="BN1014" s="115"/>
      <x:c r="BO1014" s="115"/>
      <x:c r="BP1014" s="115"/>
      <x:c r="BQ1014" s="115"/>
      <x:c r="BR1014" s="115"/>
      <x:c r="BS1014" s="115"/>
      <x:c r="BT1014" s="115"/>
      <x:c r="BU1014" s="115"/>
      <x:c r="BV1014" s="115"/>
      <x:c r="BW1014" s="115"/>
      <x:c r="BX1014" s="115"/>
      <x:c r="BY1014" s="115"/>
      <x:c r="BZ1014" s="115"/>
      <x:c r="CA1014" s="115"/>
      <x:c r="CB1014" s="116"/>
      <x:c r="CC1014" s="141" t="str">
        <x:f>IF(COUNT(G1014:P1014)=0,"",AVERAGE(G1014:P1014)*4)</x:f>
      </x:c>
      <x:c r="CD1014" s="178" t="str">
        <x:f>IF(COUNT(Q1014:Z1014)=0,"",AVERAGE(Q1014:Z1014)*4)</x:f>
      </x:c>
      <x:c r="CE1014" s="178" t="str">
        <x:f>IF(COUNT(AA1014:AJ1014)=0,"",AVERAGE(AA1014:AJ1014)*4)</x:f>
      </x:c>
      <x:c r="CF1014" s="178" t="str">
        <x:f>IF(COUNT(AK1014:AR1014)=0,"",AVERAGE(AK1014:AR1014)*4)</x:f>
      </x:c>
      <x:c r="CG1014" s="178" t="str">
        <x:f>IF(COUNT(AS1014:AY1014)=0,"",AVERAGE(AS1014:AY1014)*4)</x:f>
      </x:c>
      <x:c r="CH1014" s="178" t="str">
        <x:f>IF(COUNT(AZ1014:BG1014)=0,"",AVERAGE(AZ1014:BG1014)*4)</x:f>
      </x:c>
      <x:c r="CI1014" s="178" t="str">
        <x:f>IF(COUNT(BH1014:BN1014)=0,"",AVERAGE(BH1014:BN1014)*4)</x:f>
      </x:c>
      <x:c r="CJ1014" s="178" t="str">
        <x:f>IF(COUNT(BO1014:BU1014)=0,"",AVERAGE(BO1014:BU1014)*4)</x:f>
      </x:c>
      <x:c r="CK1014" s="178" t="str">
        <x:f>IF(COUNT(BV1014:CB1014)=0,"",AVERAGE(BV1014:CB1014)*4)</x:f>
      </x:c>
      <x:c r="CL1014" s="178" t="str">
        <x:f>IF(C1014="","",IF(COUNT(G1014:CB1014)&lt;74,"",(CC1014*'تنظیمات وزن‌دهی'!$C$5+CD1014*'تنظیمات وزن‌دهی'!$C$6+CE1014*'تنظیمات وزن‌دهی'!$C$7+CF1014*'تنظیمات وزن‌دهی'!$C$8+CG1014*'تنظیمات وزن‌دهی'!$C$9+CH1014*'تنظیمات وزن‌دهی'!$C$10+CI1014*'تنظیمات وزن‌دهی'!$C$11+CJ1014*'تنظیمات وزن‌دهی'!$C$12+CK1014*'تنظیمات وزن‌دهی'!$C$13)/100))</x:f>
      </x:c>
      <x:c r="CM1014" s="178" t="str">
        <x:f>IF(C1014="","",IF(COUNT(G1014:CB1014)=0,"",IF(COUNT(G1014:CB1014)&lt;74,"موقت - اطلاعات ناقص",IF(CL1014&gt;=17,"عالی",IF(CL1014&gt;=14,"خوب",IF(CL1014&gt;=10,"متوسط","ضعیف"))))))</x:f>
      </x:c>
      <x:c r="CN1014" s="178" t="n">
        <x:v>2</x:v>
      </x:c>
      <x:c r="CO1014" s="142" t="n">
        <x:f>IF(C1014="","",COUNT(G1014:CB1014)/74)</x:f>
        <x:v>0</x:v>
      </x:c>
      <x:c r="CP1014" s="245"/>
    </x:row>
    <x:row r="1015">
      <x:c r="A1015" s="165" t="n">
        <x:v>1011</x:v>
      </x:c>
      <x:c r="B1015" s="233" t="str">
        <x:v>شهریور</x:v>
      </x:c>
      <x:c r="C1015" s="233" t="n">
        <x:f>IF('دانش‌آموزان'!E89="","",'دانش‌آموزان'!B89)</x:f>
        <x:v>85</x:v>
      </x:c>
      <x:c r="D1015" s="233" t="str">
        <x:f>IF('دانش‌آموزان'!C89="","",'دانش‌آموزان'!C89)</x:f>
        <x:v>4000000853</x:v>
      </x:c>
      <x:c r="E1015" s="233" t="str">
        <x:f>IF('دانش‌آموزان'!E89="","",'دانش‌آموزان'!E89&amp;" "&amp;'دانش‌آموزان'!F89)</x:f>
        <x:v>محمد قاسمی</x:v>
      </x:c>
      <x:c r="F1015" s="166" t="str">
        <x:f>IF('دانش‌آموزان'!I89="","",'دانش‌آموزان'!I89)</x:f>
        <x:v>sample-7-d</x:v>
      </x:c>
      <x:c r="G1015" s="114"/>
      <x:c r="H1015" s="115"/>
      <x:c r="I1015" s="115"/>
      <x:c r="J1015" s="115"/>
      <x:c r="K1015" s="115"/>
      <x:c r="L1015" s="115"/>
      <x:c r="M1015" s="115"/>
      <x:c r="N1015" s="115"/>
      <x:c r="O1015" s="115"/>
      <x:c r="P1015" s="115"/>
      <x:c r="Q1015" s="115"/>
      <x:c r="R1015" s="115"/>
      <x:c r="S1015" s="115"/>
      <x:c r="T1015" s="115"/>
      <x:c r="U1015" s="115"/>
      <x:c r="V1015" s="115"/>
      <x:c r="W1015" s="115"/>
      <x:c r="X1015" s="115"/>
      <x:c r="Y1015" s="115"/>
      <x:c r="Z1015" s="115"/>
      <x:c r="AA1015" s="115"/>
      <x:c r="AB1015" s="115"/>
      <x:c r="AC1015" s="115"/>
      <x:c r="AD1015" s="115"/>
      <x:c r="AE1015" s="115"/>
      <x:c r="AF1015" s="115"/>
      <x:c r="AG1015" s="115"/>
      <x:c r="AH1015" s="115"/>
      <x:c r="AI1015" s="115"/>
      <x:c r="AJ1015" s="115"/>
      <x:c r="AK1015" s="115"/>
      <x:c r="AL1015" s="115"/>
      <x:c r="AM1015" s="115"/>
      <x:c r="AN1015" s="115"/>
      <x:c r="AO1015" s="115"/>
      <x:c r="AP1015" s="115"/>
      <x:c r="AQ1015" s="115"/>
      <x:c r="AR1015" s="115"/>
      <x:c r="AS1015" s="115"/>
      <x:c r="AT1015" s="115"/>
      <x:c r="AU1015" s="115"/>
      <x:c r="AV1015" s="115"/>
      <x:c r="AW1015" s="115"/>
      <x:c r="AX1015" s="115"/>
      <x:c r="AY1015" s="115"/>
      <x:c r="AZ1015" s="115"/>
      <x:c r="BA1015" s="115"/>
      <x:c r="BB1015" s="115"/>
      <x:c r="BC1015" s="115"/>
      <x:c r="BD1015" s="115"/>
      <x:c r="BE1015" s="115"/>
      <x:c r="BF1015" s="115"/>
      <x:c r="BG1015" s="115"/>
      <x:c r="BH1015" s="115"/>
      <x:c r="BI1015" s="115"/>
      <x:c r="BJ1015" s="115"/>
      <x:c r="BK1015" s="115"/>
      <x:c r="BL1015" s="115"/>
      <x:c r="BM1015" s="115"/>
      <x:c r="BN1015" s="115"/>
      <x:c r="BO1015" s="115"/>
      <x:c r="BP1015" s="115"/>
      <x:c r="BQ1015" s="115"/>
      <x:c r="BR1015" s="115"/>
      <x:c r="BS1015" s="115"/>
      <x:c r="BT1015" s="115"/>
      <x:c r="BU1015" s="115"/>
      <x:c r="BV1015" s="115"/>
      <x:c r="BW1015" s="115"/>
      <x:c r="BX1015" s="115"/>
      <x:c r="BY1015" s="115"/>
      <x:c r="BZ1015" s="115"/>
      <x:c r="CA1015" s="115"/>
      <x:c r="CB1015" s="116"/>
      <x:c r="CC1015" s="141" t="str">
        <x:f>IF(COUNT(G1015:P1015)=0,"",AVERAGE(G1015:P1015)*4)</x:f>
      </x:c>
      <x:c r="CD1015" s="178" t="str">
        <x:f>IF(COUNT(Q1015:Z1015)=0,"",AVERAGE(Q1015:Z1015)*4)</x:f>
      </x:c>
      <x:c r="CE1015" s="178" t="str">
        <x:f>IF(COUNT(AA1015:AJ1015)=0,"",AVERAGE(AA1015:AJ1015)*4)</x:f>
      </x:c>
      <x:c r="CF1015" s="178" t="str">
        <x:f>IF(COUNT(AK1015:AR1015)=0,"",AVERAGE(AK1015:AR1015)*4)</x:f>
      </x:c>
      <x:c r="CG1015" s="178" t="str">
        <x:f>IF(COUNT(AS1015:AY1015)=0,"",AVERAGE(AS1015:AY1015)*4)</x:f>
      </x:c>
      <x:c r="CH1015" s="178" t="str">
        <x:f>IF(COUNT(AZ1015:BG1015)=0,"",AVERAGE(AZ1015:BG1015)*4)</x:f>
      </x:c>
      <x:c r="CI1015" s="178" t="str">
        <x:f>IF(COUNT(BH1015:BN1015)=0,"",AVERAGE(BH1015:BN1015)*4)</x:f>
      </x:c>
      <x:c r="CJ1015" s="178" t="str">
        <x:f>IF(COUNT(BO1015:BU1015)=0,"",AVERAGE(BO1015:BU1015)*4)</x:f>
      </x:c>
      <x:c r="CK1015" s="178" t="str">
        <x:f>IF(COUNT(BV1015:CB1015)=0,"",AVERAGE(BV1015:CB1015)*4)</x:f>
      </x:c>
      <x:c r="CL1015" s="178" t="str">
        <x:f>IF(C1015="","",IF(COUNT(G1015:CB1015)&lt;74,"",(CC1015*'تنظیمات وزن‌دهی'!$C$5+CD1015*'تنظیمات وزن‌دهی'!$C$6+CE1015*'تنظیمات وزن‌دهی'!$C$7+CF1015*'تنظیمات وزن‌دهی'!$C$8+CG1015*'تنظیمات وزن‌دهی'!$C$9+CH1015*'تنظیمات وزن‌دهی'!$C$10+CI1015*'تنظیمات وزن‌دهی'!$C$11+CJ1015*'تنظیمات وزن‌دهی'!$C$12+CK1015*'تنظیمات وزن‌دهی'!$C$13)/100))</x:f>
      </x:c>
      <x:c r="CM1015" s="178" t="str">
        <x:f>IF(C1015="","",IF(COUNT(G1015:CB1015)=0,"",IF(COUNT(G1015:CB1015)&lt;74,"موقت - اطلاعات ناقص",IF(CL1015&gt;=17,"عالی",IF(CL1015&gt;=14,"خوب",IF(CL1015&gt;=10,"متوسط","ضعیف"))))))</x:f>
      </x:c>
      <x:c r="CN1015" s="178" t="n">
        <x:v>3</x:v>
      </x:c>
      <x:c r="CO1015" s="142" t="n">
        <x:f>IF(C1015="","",COUNT(G1015:CB1015)/74)</x:f>
        <x:v>0</x:v>
      </x:c>
      <x:c r="CP1015" s="245"/>
    </x:row>
    <x:row r="1016">
      <x:c r="A1016" s="165" t="n">
        <x:v>1012</x:v>
      </x:c>
      <x:c r="B1016" s="233" t="str">
        <x:v>مهر</x:v>
      </x:c>
      <x:c r="C1016" s="233" t="n">
        <x:f>IF('دانش‌آموزان'!E89="","",'دانش‌آموزان'!B89)</x:f>
        <x:v>85</x:v>
      </x:c>
      <x:c r="D1016" s="233" t="str">
        <x:f>IF('دانش‌آموزان'!C89="","",'دانش‌آموزان'!C89)</x:f>
        <x:v>4000000853</x:v>
      </x:c>
      <x:c r="E1016" s="233" t="str">
        <x:f>IF('دانش‌آموزان'!E89="","",'دانش‌آموزان'!E89&amp;" "&amp;'دانش‌آموزان'!F89)</x:f>
        <x:v>محمد قاسمی</x:v>
      </x:c>
      <x:c r="F1016" s="166" t="str">
        <x:f>IF('دانش‌آموزان'!I89="","",'دانش‌آموزان'!I89)</x:f>
        <x:v>sample-7-d</x:v>
      </x:c>
      <x:c r="G1016" s="114"/>
      <x:c r="H1016" s="115"/>
      <x:c r="I1016" s="115"/>
      <x:c r="J1016" s="115"/>
      <x:c r="K1016" s="115"/>
      <x:c r="L1016" s="115"/>
      <x:c r="M1016" s="115"/>
      <x:c r="N1016" s="115"/>
      <x:c r="O1016" s="115"/>
      <x:c r="P1016" s="115"/>
      <x:c r="Q1016" s="115"/>
      <x:c r="R1016" s="115"/>
      <x:c r="S1016" s="115"/>
      <x:c r="T1016" s="115"/>
      <x:c r="U1016" s="115"/>
      <x:c r="V1016" s="115"/>
      <x:c r="W1016" s="115"/>
      <x:c r="X1016" s="115"/>
      <x:c r="Y1016" s="115"/>
      <x:c r="Z1016" s="115"/>
      <x:c r="AA1016" s="115"/>
      <x:c r="AB1016" s="115"/>
      <x:c r="AC1016" s="115"/>
      <x:c r="AD1016" s="115"/>
      <x:c r="AE1016" s="115"/>
      <x:c r="AF1016" s="115"/>
      <x:c r="AG1016" s="115"/>
      <x:c r="AH1016" s="115"/>
      <x:c r="AI1016" s="115"/>
      <x:c r="AJ1016" s="115"/>
      <x:c r="AK1016" s="115"/>
      <x:c r="AL1016" s="115"/>
      <x:c r="AM1016" s="115"/>
      <x:c r="AN1016" s="115"/>
      <x:c r="AO1016" s="115"/>
      <x:c r="AP1016" s="115"/>
      <x:c r="AQ1016" s="115"/>
      <x:c r="AR1016" s="115"/>
      <x:c r="AS1016" s="115"/>
      <x:c r="AT1016" s="115"/>
      <x:c r="AU1016" s="115"/>
      <x:c r="AV1016" s="115"/>
      <x:c r="AW1016" s="115"/>
      <x:c r="AX1016" s="115"/>
      <x:c r="AY1016" s="115"/>
      <x:c r="AZ1016" s="115"/>
      <x:c r="BA1016" s="115"/>
      <x:c r="BB1016" s="115"/>
      <x:c r="BC1016" s="115"/>
      <x:c r="BD1016" s="115"/>
      <x:c r="BE1016" s="115"/>
      <x:c r="BF1016" s="115"/>
      <x:c r="BG1016" s="115"/>
      <x:c r="BH1016" s="115"/>
      <x:c r="BI1016" s="115"/>
      <x:c r="BJ1016" s="115"/>
      <x:c r="BK1016" s="115"/>
      <x:c r="BL1016" s="115"/>
      <x:c r="BM1016" s="115"/>
      <x:c r="BN1016" s="115"/>
      <x:c r="BO1016" s="115"/>
      <x:c r="BP1016" s="115"/>
      <x:c r="BQ1016" s="115"/>
      <x:c r="BR1016" s="115"/>
      <x:c r="BS1016" s="115"/>
      <x:c r="BT1016" s="115"/>
      <x:c r="BU1016" s="115"/>
      <x:c r="BV1016" s="115"/>
      <x:c r="BW1016" s="115"/>
      <x:c r="BX1016" s="115"/>
      <x:c r="BY1016" s="115"/>
      <x:c r="BZ1016" s="115"/>
      <x:c r="CA1016" s="115"/>
      <x:c r="CB1016" s="116"/>
      <x:c r="CC1016" s="141" t="str">
        <x:f>IF(COUNT(G1016:P1016)=0,"",AVERAGE(G1016:P1016)*4)</x:f>
      </x:c>
      <x:c r="CD1016" s="178" t="str">
        <x:f>IF(COUNT(Q1016:Z1016)=0,"",AVERAGE(Q1016:Z1016)*4)</x:f>
      </x:c>
      <x:c r="CE1016" s="178" t="str">
        <x:f>IF(COUNT(AA1016:AJ1016)=0,"",AVERAGE(AA1016:AJ1016)*4)</x:f>
      </x:c>
      <x:c r="CF1016" s="178" t="str">
        <x:f>IF(COUNT(AK1016:AR1016)=0,"",AVERAGE(AK1016:AR1016)*4)</x:f>
      </x:c>
      <x:c r="CG1016" s="178" t="str">
        <x:f>IF(COUNT(AS1016:AY1016)=0,"",AVERAGE(AS1016:AY1016)*4)</x:f>
      </x:c>
      <x:c r="CH1016" s="178" t="str">
        <x:f>IF(COUNT(AZ1016:BG1016)=0,"",AVERAGE(AZ1016:BG1016)*4)</x:f>
      </x:c>
      <x:c r="CI1016" s="178" t="str">
        <x:f>IF(COUNT(BH1016:BN1016)=0,"",AVERAGE(BH1016:BN1016)*4)</x:f>
      </x:c>
      <x:c r="CJ1016" s="178" t="str">
        <x:f>IF(COUNT(BO1016:BU1016)=0,"",AVERAGE(BO1016:BU1016)*4)</x:f>
      </x:c>
      <x:c r="CK1016" s="178" t="str">
        <x:f>IF(COUNT(BV1016:CB1016)=0,"",AVERAGE(BV1016:CB1016)*4)</x:f>
      </x:c>
      <x:c r="CL1016" s="178" t="str">
        <x:f>IF(C1016="","",IF(COUNT(G1016:CB1016)&lt;74,"",(CC1016*'تنظیمات وزن‌دهی'!$C$5+CD1016*'تنظیمات وزن‌دهی'!$C$6+CE1016*'تنظیمات وزن‌دهی'!$C$7+CF1016*'تنظیمات وزن‌دهی'!$C$8+CG1016*'تنظیمات وزن‌دهی'!$C$9+CH1016*'تنظیمات وزن‌دهی'!$C$10+CI1016*'تنظیمات وزن‌دهی'!$C$11+CJ1016*'تنظیمات وزن‌دهی'!$C$12+CK1016*'تنظیمات وزن‌دهی'!$C$13)/100))</x:f>
      </x:c>
      <x:c r="CM1016" s="178" t="str">
        <x:f>IF(C1016="","",IF(COUNT(G1016:CB1016)=0,"",IF(COUNT(G1016:CB1016)&lt;74,"موقت - اطلاعات ناقص",IF(CL1016&gt;=17,"عالی",IF(CL1016&gt;=14,"خوب",IF(CL1016&gt;=10,"متوسط","ضعیف"))))))</x:f>
      </x:c>
      <x:c r="CN1016" s="178" t="n">
        <x:v>4</x:v>
      </x:c>
      <x:c r="CO1016" s="142" t="n">
        <x:f>IF(C1016="","",COUNT(G1016:CB1016)/74)</x:f>
        <x:v>0</x:v>
      </x:c>
      <x:c r="CP1016" s="245"/>
    </x:row>
    <x:row r="1017">
      <x:c r="A1017" s="165" t="n">
        <x:v>1013</x:v>
      </x:c>
      <x:c r="B1017" s="233" t="str">
        <x:v>آبان</x:v>
      </x:c>
      <x:c r="C1017" s="233" t="n">
        <x:f>IF('دانش‌آموزان'!E89="","",'دانش‌آموزان'!B89)</x:f>
        <x:v>85</x:v>
      </x:c>
      <x:c r="D1017" s="233" t="str">
        <x:f>IF('دانش‌آموزان'!C89="","",'دانش‌آموزان'!C89)</x:f>
        <x:v>4000000853</x:v>
      </x:c>
      <x:c r="E1017" s="233" t="str">
        <x:f>IF('دانش‌آموزان'!E89="","",'دانش‌آموزان'!E89&amp;" "&amp;'دانش‌آموزان'!F89)</x:f>
        <x:v>محمد قاسمی</x:v>
      </x:c>
      <x:c r="F1017" s="166" t="str">
        <x:f>IF('دانش‌آموزان'!I89="","",'دانش‌آموزان'!I89)</x:f>
        <x:v>sample-7-d</x:v>
      </x:c>
      <x:c r="G1017" s="114"/>
      <x:c r="H1017" s="115"/>
      <x:c r="I1017" s="115"/>
      <x:c r="J1017" s="115"/>
      <x:c r="K1017" s="115"/>
      <x:c r="L1017" s="115"/>
      <x:c r="M1017" s="115"/>
      <x:c r="N1017" s="115"/>
      <x:c r="O1017" s="115"/>
      <x:c r="P1017" s="115"/>
      <x:c r="Q1017" s="115"/>
      <x:c r="R1017" s="115"/>
      <x:c r="S1017" s="115"/>
      <x:c r="T1017" s="115"/>
      <x:c r="U1017" s="115"/>
      <x:c r="V1017" s="115"/>
      <x:c r="W1017" s="115"/>
      <x:c r="X1017" s="115"/>
      <x:c r="Y1017" s="115"/>
      <x:c r="Z1017" s="115"/>
      <x:c r="AA1017" s="115"/>
      <x:c r="AB1017" s="115"/>
      <x:c r="AC1017" s="115"/>
      <x:c r="AD1017" s="115"/>
      <x:c r="AE1017" s="115"/>
      <x:c r="AF1017" s="115"/>
      <x:c r="AG1017" s="115"/>
      <x:c r="AH1017" s="115"/>
      <x:c r="AI1017" s="115"/>
      <x:c r="AJ1017" s="115"/>
      <x:c r="AK1017" s="115"/>
      <x:c r="AL1017" s="115"/>
      <x:c r="AM1017" s="115"/>
      <x:c r="AN1017" s="115"/>
      <x:c r="AO1017" s="115"/>
      <x:c r="AP1017" s="115"/>
      <x:c r="AQ1017" s="115"/>
      <x:c r="AR1017" s="115"/>
      <x:c r="AS1017" s="115"/>
      <x:c r="AT1017" s="115"/>
      <x:c r="AU1017" s="115"/>
      <x:c r="AV1017" s="115"/>
      <x:c r="AW1017" s="115"/>
      <x:c r="AX1017" s="115"/>
      <x:c r="AY1017" s="115"/>
      <x:c r="AZ1017" s="115"/>
      <x:c r="BA1017" s="115"/>
      <x:c r="BB1017" s="115"/>
      <x:c r="BC1017" s="115"/>
      <x:c r="BD1017" s="115"/>
      <x:c r="BE1017" s="115"/>
      <x:c r="BF1017" s="115"/>
      <x:c r="BG1017" s="115"/>
      <x:c r="BH1017" s="115"/>
      <x:c r="BI1017" s="115"/>
      <x:c r="BJ1017" s="115"/>
      <x:c r="BK1017" s="115"/>
      <x:c r="BL1017" s="115"/>
      <x:c r="BM1017" s="115"/>
      <x:c r="BN1017" s="115"/>
      <x:c r="BO1017" s="115"/>
      <x:c r="BP1017" s="115"/>
      <x:c r="BQ1017" s="115"/>
      <x:c r="BR1017" s="115"/>
      <x:c r="BS1017" s="115"/>
      <x:c r="BT1017" s="115"/>
      <x:c r="BU1017" s="115"/>
      <x:c r="BV1017" s="115"/>
      <x:c r="BW1017" s="115"/>
      <x:c r="BX1017" s="115"/>
      <x:c r="BY1017" s="115"/>
      <x:c r="BZ1017" s="115"/>
      <x:c r="CA1017" s="115"/>
      <x:c r="CB1017" s="116"/>
      <x:c r="CC1017" s="141" t="str">
        <x:f>IF(COUNT(G1017:P1017)=0,"",AVERAGE(G1017:P1017)*4)</x:f>
      </x:c>
      <x:c r="CD1017" s="178" t="str">
        <x:f>IF(COUNT(Q1017:Z1017)=0,"",AVERAGE(Q1017:Z1017)*4)</x:f>
      </x:c>
      <x:c r="CE1017" s="178" t="str">
        <x:f>IF(COUNT(AA1017:AJ1017)=0,"",AVERAGE(AA1017:AJ1017)*4)</x:f>
      </x:c>
      <x:c r="CF1017" s="178" t="str">
        <x:f>IF(COUNT(AK1017:AR1017)=0,"",AVERAGE(AK1017:AR1017)*4)</x:f>
      </x:c>
      <x:c r="CG1017" s="178" t="str">
        <x:f>IF(COUNT(AS1017:AY1017)=0,"",AVERAGE(AS1017:AY1017)*4)</x:f>
      </x:c>
      <x:c r="CH1017" s="178" t="str">
        <x:f>IF(COUNT(AZ1017:BG1017)=0,"",AVERAGE(AZ1017:BG1017)*4)</x:f>
      </x:c>
      <x:c r="CI1017" s="178" t="str">
        <x:f>IF(COUNT(BH1017:BN1017)=0,"",AVERAGE(BH1017:BN1017)*4)</x:f>
      </x:c>
      <x:c r="CJ1017" s="178" t="str">
        <x:f>IF(COUNT(BO1017:BU1017)=0,"",AVERAGE(BO1017:BU1017)*4)</x:f>
      </x:c>
      <x:c r="CK1017" s="178" t="str">
        <x:f>IF(COUNT(BV1017:CB1017)=0,"",AVERAGE(BV1017:CB1017)*4)</x:f>
      </x:c>
      <x:c r="CL1017" s="178" t="str">
        <x:f>IF(C1017="","",IF(COUNT(G1017:CB1017)&lt;74,"",(CC1017*'تنظیمات وزن‌دهی'!$C$5+CD1017*'تنظیمات وزن‌دهی'!$C$6+CE1017*'تنظیمات وزن‌دهی'!$C$7+CF1017*'تنظیمات وزن‌دهی'!$C$8+CG1017*'تنظیمات وزن‌دهی'!$C$9+CH1017*'تنظیمات وزن‌دهی'!$C$10+CI1017*'تنظیمات وزن‌دهی'!$C$11+CJ1017*'تنظیمات وزن‌دهی'!$C$12+CK1017*'تنظیمات وزن‌دهی'!$C$13)/100))</x:f>
      </x:c>
      <x:c r="CM1017" s="178" t="str">
        <x:f>IF(C1017="","",IF(COUNT(G1017:CB1017)=0,"",IF(COUNT(G1017:CB1017)&lt;74,"موقت - اطلاعات ناقص",IF(CL1017&gt;=17,"عالی",IF(CL1017&gt;=14,"خوب",IF(CL1017&gt;=10,"متوسط","ضعیف"))))))</x:f>
      </x:c>
      <x:c r="CN1017" s="178" t="n">
        <x:v>5</x:v>
      </x:c>
      <x:c r="CO1017" s="142" t="n">
        <x:f>IF(C1017="","",COUNT(G1017:CB1017)/74)</x:f>
        <x:v>0</x:v>
      </x:c>
      <x:c r="CP1017" s="245"/>
    </x:row>
    <x:row r="1018">
      <x:c r="A1018" s="165" t="n">
        <x:v>1014</x:v>
      </x:c>
      <x:c r="B1018" s="233" t="str">
        <x:v>آذر</x:v>
      </x:c>
      <x:c r="C1018" s="233" t="n">
        <x:f>IF('دانش‌آموزان'!E89="","",'دانش‌آموزان'!B89)</x:f>
        <x:v>85</x:v>
      </x:c>
      <x:c r="D1018" s="233" t="str">
        <x:f>IF('دانش‌آموزان'!C89="","",'دانش‌آموزان'!C89)</x:f>
        <x:v>4000000853</x:v>
      </x:c>
      <x:c r="E1018" s="233" t="str">
        <x:f>IF('دانش‌آموزان'!E89="","",'دانش‌آموزان'!E89&amp;" "&amp;'دانش‌آموزان'!F89)</x:f>
        <x:v>محمد قاسمی</x:v>
      </x:c>
      <x:c r="F1018" s="166" t="str">
        <x:f>IF('دانش‌آموزان'!I89="","",'دانش‌آموزان'!I89)</x:f>
        <x:v>sample-7-d</x:v>
      </x:c>
      <x:c r="G1018" s="114"/>
      <x:c r="H1018" s="115"/>
      <x:c r="I1018" s="115"/>
      <x:c r="J1018" s="115"/>
      <x:c r="K1018" s="115"/>
      <x:c r="L1018" s="115"/>
      <x:c r="M1018" s="115"/>
      <x:c r="N1018" s="115"/>
      <x:c r="O1018" s="115"/>
      <x:c r="P1018" s="115"/>
      <x:c r="Q1018" s="115"/>
      <x:c r="R1018" s="115"/>
      <x:c r="S1018" s="115"/>
      <x:c r="T1018" s="115"/>
      <x:c r="U1018" s="115"/>
      <x:c r="V1018" s="115"/>
      <x:c r="W1018" s="115"/>
      <x:c r="X1018" s="115"/>
      <x:c r="Y1018" s="115"/>
      <x:c r="Z1018" s="115"/>
      <x:c r="AA1018" s="115"/>
      <x:c r="AB1018" s="115"/>
      <x:c r="AC1018" s="115"/>
      <x:c r="AD1018" s="115"/>
      <x:c r="AE1018" s="115"/>
      <x:c r="AF1018" s="115"/>
      <x:c r="AG1018" s="115"/>
      <x:c r="AH1018" s="115"/>
      <x:c r="AI1018" s="115"/>
      <x:c r="AJ1018" s="115"/>
      <x:c r="AK1018" s="115"/>
      <x:c r="AL1018" s="115"/>
      <x:c r="AM1018" s="115"/>
      <x:c r="AN1018" s="115"/>
      <x:c r="AO1018" s="115"/>
      <x:c r="AP1018" s="115"/>
      <x:c r="AQ1018" s="115"/>
      <x:c r="AR1018" s="115"/>
      <x:c r="AS1018" s="115"/>
      <x:c r="AT1018" s="115"/>
      <x:c r="AU1018" s="115"/>
      <x:c r="AV1018" s="115"/>
      <x:c r="AW1018" s="115"/>
      <x:c r="AX1018" s="115"/>
      <x:c r="AY1018" s="115"/>
      <x:c r="AZ1018" s="115"/>
      <x:c r="BA1018" s="115"/>
      <x:c r="BB1018" s="115"/>
      <x:c r="BC1018" s="115"/>
      <x:c r="BD1018" s="115"/>
      <x:c r="BE1018" s="115"/>
      <x:c r="BF1018" s="115"/>
      <x:c r="BG1018" s="115"/>
      <x:c r="BH1018" s="115"/>
      <x:c r="BI1018" s="115"/>
      <x:c r="BJ1018" s="115"/>
      <x:c r="BK1018" s="115"/>
      <x:c r="BL1018" s="115"/>
      <x:c r="BM1018" s="115"/>
      <x:c r="BN1018" s="115"/>
      <x:c r="BO1018" s="115"/>
      <x:c r="BP1018" s="115"/>
      <x:c r="BQ1018" s="115"/>
      <x:c r="BR1018" s="115"/>
      <x:c r="BS1018" s="115"/>
      <x:c r="BT1018" s="115"/>
      <x:c r="BU1018" s="115"/>
      <x:c r="BV1018" s="115"/>
      <x:c r="BW1018" s="115"/>
      <x:c r="BX1018" s="115"/>
      <x:c r="BY1018" s="115"/>
      <x:c r="BZ1018" s="115"/>
      <x:c r="CA1018" s="115"/>
      <x:c r="CB1018" s="116"/>
      <x:c r="CC1018" s="141" t="str">
        <x:f>IF(COUNT(G1018:P1018)=0,"",AVERAGE(G1018:P1018)*4)</x:f>
      </x:c>
      <x:c r="CD1018" s="178" t="str">
        <x:f>IF(COUNT(Q1018:Z1018)=0,"",AVERAGE(Q1018:Z1018)*4)</x:f>
      </x:c>
      <x:c r="CE1018" s="178" t="str">
        <x:f>IF(COUNT(AA1018:AJ1018)=0,"",AVERAGE(AA1018:AJ1018)*4)</x:f>
      </x:c>
      <x:c r="CF1018" s="178" t="str">
        <x:f>IF(COUNT(AK1018:AR1018)=0,"",AVERAGE(AK1018:AR1018)*4)</x:f>
      </x:c>
      <x:c r="CG1018" s="178" t="str">
        <x:f>IF(COUNT(AS1018:AY1018)=0,"",AVERAGE(AS1018:AY1018)*4)</x:f>
      </x:c>
      <x:c r="CH1018" s="178" t="str">
        <x:f>IF(COUNT(AZ1018:BG1018)=0,"",AVERAGE(AZ1018:BG1018)*4)</x:f>
      </x:c>
      <x:c r="CI1018" s="178" t="str">
        <x:f>IF(COUNT(BH1018:BN1018)=0,"",AVERAGE(BH1018:BN1018)*4)</x:f>
      </x:c>
      <x:c r="CJ1018" s="178" t="str">
        <x:f>IF(COUNT(BO1018:BU1018)=0,"",AVERAGE(BO1018:BU1018)*4)</x:f>
      </x:c>
      <x:c r="CK1018" s="178" t="str">
        <x:f>IF(COUNT(BV1018:CB1018)=0,"",AVERAGE(BV1018:CB1018)*4)</x:f>
      </x:c>
      <x:c r="CL1018" s="178" t="str">
        <x:f>IF(C1018="","",IF(COUNT(G1018:CB1018)&lt;74,"",(CC1018*'تنظیمات وزن‌دهی'!$C$5+CD1018*'تنظیمات وزن‌دهی'!$C$6+CE1018*'تنظیمات وزن‌دهی'!$C$7+CF1018*'تنظیمات وزن‌دهی'!$C$8+CG1018*'تنظیمات وزن‌دهی'!$C$9+CH1018*'تنظیمات وزن‌دهی'!$C$10+CI1018*'تنظیمات وزن‌دهی'!$C$11+CJ1018*'تنظیمات وزن‌دهی'!$C$12+CK1018*'تنظیمات وزن‌دهی'!$C$13)/100))</x:f>
      </x:c>
      <x:c r="CM1018" s="178" t="str">
        <x:f>IF(C1018="","",IF(COUNT(G1018:CB1018)=0,"",IF(COUNT(G1018:CB1018)&lt;74,"موقت - اطلاعات ناقص",IF(CL1018&gt;=17,"عالی",IF(CL1018&gt;=14,"خوب",IF(CL1018&gt;=10,"متوسط","ضعیف"))))))</x:f>
      </x:c>
      <x:c r="CN1018" s="178" t="n">
        <x:v>6</x:v>
      </x:c>
      <x:c r="CO1018" s="142" t="n">
        <x:f>IF(C1018="","",COUNT(G1018:CB1018)/74)</x:f>
        <x:v>0</x:v>
      </x:c>
      <x:c r="CP1018" s="245"/>
    </x:row>
    <x:row r="1019">
      <x:c r="A1019" s="165" t="n">
        <x:v>1015</x:v>
      </x:c>
      <x:c r="B1019" s="233" t="str">
        <x:v>دی</x:v>
      </x:c>
      <x:c r="C1019" s="233" t="n">
        <x:f>IF('دانش‌آموزان'!E89="","",'دانش‌آموزان'!B89)</x:f>
        <x:v>85</x:v>
      </x:c>
      <x:c r="D1019" s="233" t="str">
        <x:f>IF('دانش‌آموزان'!C89="","",'دانش‌آموزان'!C89)</x:f>
        <x:v>4000000853</x:v>
      </x:c>
      <x:c r="E1019" s="233" t="str">
        <x:f>IF('دانش‌آموزان'!E89="","",'دانش‌آموزان'!E89&amp;" "&amp;'دانش‌آموزان'!F89)</x:f>
        <x:v>محمد قاسمی</x:v>
      </x:c>
      <x:c r="F1019" s="166" t="str">
        <x:f>IF('دانش‌آموزان'!I89="","",'دانش‌آموزان'!I89)</x:f>
        <x:v>sample-7-d</x:v>
      </x:c>
      <x:c r="G1019" s="114"/>
      <x:c r="H1019" s="115"/>
      <x:c r="I1019" s="115"/>
      <x:c r="J1019" s="115"/>
      <x:c r="K1019" s="115"/>
      <x:c r="L1019" s="115"/>
      <x:c r="M1019" s="115"/>
      <x:c r="N1019" s="115"/>
      <x:c r="O1019" s="115"/>
      <x:c r="P1019" s="115"/>
      <x:c r="Q1019" s="115"/>
      <x:c r="R1019" s="115"/>
      <x:c r="S1019" s="115"/>
      <x:c r="T1019" s="115"/>
      <x:c r="U1019" s="115"/>
      <x:c r="V1019" s="115"/>
      <x:c r="W1019" s="115"/>
      <x:c r="X1019" s="115"/>
      <x:c r="Y1019" s="115"/>
      <x:c r="Z1019" s="115"/>
      <x:c r="AA1019" s="115"/>
      <x:c r="AB1019" s="115"/>
      <x:c r="AC1019" s="115"/>
      <x:c r="AD1019" s="115"/>
      <x:c r="AE1019" s="115"/>
      <x:c r="AF1019" s="115"/>
      <x:c r="AG1019" s="115"/>
      <x:c r="AH1019" s="115"/>
      <x:c r="AI1019" s="115"/>
      <x:c r="AJ1019" s="115"/>
      <x:c r="AK1019" s="115"/>
      <x:c r="AL1019" s="115"/>
      <x:c r="AM1019" s="115"/>
      <x:c r="AN1019" s="115"/>
      <x:c r="AO1019" s="115"/>
      <x:c r="AP1019" s="115"/>
      <x:c r="AQ1019" s="115"/>
      <x:c r="AR1019" s="115"/>
      <x:c r="AS1019" s="115"/>
      <x:c r="AT1019" s="115"/>
      <x:c r="AU1019" s="115"/>
      <x:c r="AV1019" s="115"/>
      <x:c r="AW1019" s="115"/>
      <x:c r="AX1019" s="115"/>
      <x:c r="AY1019" s="115"/>
      <x:c r="AZ1019" s="115"/>
      <x:c r="BA1019" s="115"/>
      <x:c r="BB1019" s="115"/>
      <x:c r="BC1019" s="115"/>
      <x:c r="BD1019" s="115"/>
      <x:c r="BE1019" s="115"/>
      <x:c r="BF1019" s="115"/>
      <x:c r="BG1019" s="115"/>
      <x:c r="BH1019" s="115"/>
      <x:c r="BI1019" s="115"/>
      <x:c r="BJ1019" s="115"/>
      <x:c r="BK1019" s="115"/>
      <x:c r="BL1019" s="115"/>
      <x:c r="BM1019" s="115"/>
      <x:c r="BN1019" s="115"/>
      <x:c r="BO1019" s="115"/>
      <x:c r="BP1019" s="115"/>
      <x:c r="BQ1019" s="115"/>
      <x:c r="BR1019" s="115"/>
      <x:c r="BS1019" s="115"/>
      <x:c r="BT1019" s="115"/>
      <x:c r="BU1019" s="115"/>
      <x:c r="BV1019" s="115"/>
      <x:c r="BW1019" s="115"/>
      <x:c r="BX1019" s="115"/>
      <x:c r="BY1019" s="115"/>
      <x:c r="BZ1019" s="115"/>
      <x:c r="CA1019" s="115"/>
      <x:c r="CB1019" s="116"/>
      <x:c r="CC1019" s="141" t="str">
        <x:f>IF(COUNT(G1019:P1019)=0,"",AVERAGE(G1019:P1019)*4)</x:f>
      </x:c>
      <x:c r="CD1019" s="178" t="str">
        <x:f>IF(COUNT(Q1019:Z1019)=0,"",AVERAGE(Q1019:Z1019)*4)</x:f>
      </x:c>
      <x:c r="CE1019" s="178" t="str">
        <x:f>IF(COUNT(AA1019:AJ1019)=0,"",AVERAGE(AA1019:AJ1019)*4)</x:f>
      </x:c>
      <x:c r="CF1019" s="178" t="str">
        <x:f>IF(COUNT(AK1019:AR1019)=0,"",AVERAGE(AK1019:AR1019)*4)</x:f>
      </x:c>
      <x:c r="CG1019" s="178" t="str">
        <x:f>IF(COUNT(AS1019:AY1019)=0,"",AVERAGE(AS1019:AY1019)*4)</x:f>
      </x:c>
      <x:c r="CH1019" s="178" t="str">
        <x:f>IF(COUNT(AZ1019:BG1019)=0,"",AVERAGE(AZ1019:BG1019)*4)</x:f>
      </x:c>
      <x:c r="CI1019" s="178" t="str">
        <x:f>IF(COUNT(BH1019:BN1019)=0,"",AVERAGE(BH1019:BN1019)*4)</x:f>
      </x:c>
      <x:c r="CJ1019" s="178" t="str">
        <x:f>IF(COUNT(BO1019:BU1019)=0,"",AVERAGE(BO1019:BU1019)*4)</x:f>
      </x:c>
      <x:c r="CK1019" s="178" t="str">
        <x:f>IF(COUNT(BV1019:CB1019)=0,"",AVERAGE(BV1019:CB1019)*4)</x:f>
      </x:c>
      <x:c r="CL1019" s="178" t="str">
        <x:f>IF(C1019="","",IF(COUNT(G1019:CB1019)&lt;74,"",(CC1019*'تنظیمات وزن‌دهی'!$C$5+CD1019*'تنظیمات وزن‌دهی'!$C$6+CE1019*'تنظیمات وزن‌دهی'!$C$7+CF1019*'تنظیمات وزن‌دهی'!$C$8+CG1019*'تنظیمات وزن‌دهی'!$C$9+CH1019*'تنظیمات وزن‌دهی'!$C$10+CI1019*'تنظیمات وزن‌دهی'!$C$11+CJ1019*'تنظیمات وزن‌دهی'!$C$12+CK1019*'تنظیمات وزن‌دهی'!$C$13)/100))</x:f>
      </x:c>
      <x:c r="CM1019" s="178" t="str">
        <x:f>IF(C1019="","",IF(COUNT(G1019:CB1019)=0,"",IF(COUNT(G1019:CB1019)&lt;74,"موقت - اطلاعات ناقص",IF(CL1019&gt;=17,"عالی",IF(CL1019&gt;=14,"خوب",IF(CL1019&gt;=10,"متوسط","ضعیف"))))))</x:f>
      </x:c>
      <x:c r="CN1019" s="178" t="n">
        <x:v>7</x:v>
      </x:c>
      <x:c r="CO1019" s="142" t="n">
        <x:f>IF(C1019="","",COUNT(G1019:CB1019)/74)</x:f>
        <x:v>0</x:v>
      </x:c>
      <x:c r="CP1019" s="245"/>
    </x:row>
    <x:row r="1020">
      <x:c r="A1020" s="165" t="n">
        <x:v>1016</x:v>
      </x:c>
      <x:c r="B1020" s="233" t="str">
        <x:v>بهمن</x:v>
      </x:c>
      <x:c r="C1020" s="233" t="n">
        <x:f>IF('دانش‌آموزان'!E89="","",'دانش‌آموزان'!B89)</x:f>
        <x:v>85</x:v>
      </x:c>
      <x:c r="D1020" s="233" t="str">
        <x:f>IF('دانش‌آموزان'!C89="","",'دانش‌آموزان'!C89)</x:f>
        <x:v>4000000853</x:v>
      </x:c>
      <x:c r="E1020" s="233" t="str">
        <x:f>IF('دانش‌آموزان'!E89="","",'دانش‌آموزان'!E89&amp;" "&amp;'دانش‌آموزان'!F89)</x:f>
        <x:v>محمد قاسمی</x:v>
      </x:c>
      <x:c r="F1020" s="166" t="str">
        <x:f>IF('دانش‌آموزان'!I89="","",'دانش‌آموزان'!I89)</x:f>
        <x:v>sample-7-d</x:v>
      </x:c>
      <x:c r="G1020" s="114"/>
      <x:c r="H1020" s="115"/>
      <x:c r="I1020" s="115"/>
      <x:c r="J1020" s="115"/>
      <x:c r="K1020" s="115"/>
      <x:c r="L1020" s="115"/>
      <x:c r="M1020" s="115"/>
      <x:c r="N1020" s="115"/>
      <x:c r="O1020" s="115"/>
      <x:c r="P1020" s="115"/>
      <x:c r="Q1020" s="115"/>
      <x:c r="R1020" s="115"/>
      <x:c r="S1020" s="115"/>
      <x:c r="T1020" s="115"/>
      <x:c r="U1020" s="115"/>
      <x:c r="V1020" s="115"/>
      <x:c r="W1020" s="115"/>
      <x:c r="X1020" s="115"/>
      <x:c r="Y1020" s="115"/>
      <x:c r="Z1020" s="115"/>
      <x:c r="AA1020" s="115"/>
      <x:c r="AB1020" s="115"/>
      <x:c r="AC1020" s="115"/>
      <x:c r="AD1020" s="115"/>
      <x:c r="AE1020" s="115"/>
      <x:c r="AF1020" s="115"/>
      <x:c r="AG1020" s="115"/>
      <x:c r="AH1020" s="115"/>
      <x:c r="AI1020" s="115"/>
      <x:c r="AJ1020" s="115"/>
      <x:c r="AK1020" s="115"/>
      <x:c r="AL1020" s="115"/>
      <x:c r="AM1020" s="115"/>
      <x:c r="AN1020" s="115"/>
      <x:c r="AO1020" s="115"/>
      <x:c r="AP1020" s="115"/>
      <x:c r="AQ1020" s="115"/>
      <x:c r="AR1020" s="115"/>
      <x:c r="AS1020" s="115"/>
      <x:c r="AT1020" s="115"/>
      <x:c r="AU1020" s="115"/>
      <x:c r="AV1020" s="115"/>
      <x:c r="AW1020" s="115"/>
      <x:c r="AX1020" s="115"/>
      <x:c r="AY1020" s="115"/>
      <x:c r="AZ1020" s="115"/>
      <x:c r="BA1020" s="115"/>
      <x:c r="BB1020" s="115"/>
      <x:c r="BC1020" s="115"/>
      <x:c r="BD1020" s="115"/>
      <x:c r="BE1020" s="115"/>
      <x:c r="BF1020" s="115"/>
      <x:c r="BG1020" s="115"/>
      <x:c r="BH1020" s="115"/>
      <x:c r="BI1020" s="115"/>
      <x:c r="BJ1020" s="115"/>
      <x:c r="BK1020" s="115"/>
      <x:c r="BL1020" s="115"/>
      <x:c r="BM1020" s="115"/>
      <x:c r="BN1020" s="115"/>
      <x:c r="BO1020" s="115"/>
      <x:c r="BP1020" s="115"/>
      <x:c r="BQ1020" s="115"/>
      <x:c r="BR1020" s="115"/>
      <x:c r="BS1020" s="115"/>
      <x:c r="BT1020" s="115"/>
      <x:c r="BU1020" s="115"/>
      <x:c r="BV1020" s="115"/>
      <x:c r="BW1020" s="115"/>
      <x:c r="BX1020" s="115"/>
      <x:c r="BY1020" s="115"/>
      <x:c r="BZ1020" s="115"/>
      <x:c r="CA1020" s="115"/>
      <x:c r="CB1020" s="116"/>
      <x:c r="CC1020" s="141" t="str">
        <x:f>IF(COUNT(G1020:P1020)=0,"",AVERAGE(G1020:P1020)*4)</x:f>
      </x:c>
      <x:c r="CD1020" s="178" t="str">
        <x:f>IF(COUNT(Q1020:Z1020)=0,"",AVERAGE(Q1020:Z1020)*4)</x:f>
      </x:c>
      <x:c r="CE1020" s="178" t="str">
        <x:f>IF(COUNT(AA1020:AJ1020)=0,"",AVERAGE(AA1020:AJ1020)*4)</x:f>
      </x:c>
      <x:c r="CF1020" s="178" t="str">
        <x:f>IF(COUNT(AK1020:AR1020)=0,"",AVERAGE(AK1020:AR1020)*4)</x:f>
      </x:c>
      <x:c r="CG1020" s="178" t="str">
        <x:f>IF(COUNT(AS1020:AY1020)=0,"",AVERAGE(AS1020:AY1020)*4)</x:f>
      </x:c>
      <x:c r="CH1020" s="178" t="str">
        <x:f>IF(COUNT(AZ1020:BG1020)=0,"",AVERAGE(AZ1020:BG1020)*4)</x:f>
      </x:c>
      <x:c r="CI1020" s="178" t="str">
        <x:f>IF(COUNT(BH1020:BN1020)=0,"",AVERAGE(BH1020:BN1020)*4)</x:f>
      </x:c>
      <x:c r="CJ1020" s="178" t="str">
        <x:f>IF(COUNT(BO1020:BU1020)=0,"",AVERAGE(BO1020:BU1020)*4)</x:f>
      </x:c>
      <x:c r="CK1020" s="178" t="str">
        <x:f>IF(COUNT(BV1020:CB1020)=0,"",AVERAGE(BV1020:CB1020)*4)</x:f>
      </x:c>
      <x:c r="CL1020" s="178" t="str">
        <x:f>IF(C1020="","",IF(COUNT(G1020:CB1020)&lt;74,"",(CC1020*'تنظیمات وزن‌دهی'!$C$5+CD1020*'تنظیمات وزن‌دهی'!$C$6+CE1020*'تنظیمات وزن‌دهی'!$C$7+CF1020*'تنظیمات وزن‌دهی'!$C$8+CG1020*'تنظیمات وزن‌دهی'!$C$9+CH1020*'تنظیمات وزن‌دهی'!$C$10+CI1020*'تنظیمات وزن‌دهی'!$C$11+CJ1020*'تنظیمات وزن‌دهی'!$C$12+CK1020*'تنظیمات وزن‌دهی'!$C$13)/100))</x:f>
      </x:c>
      <x:c r="CM1020" s="178" t="str">
        <x:f>IF(C1020="","",IF(COUNT(G1020:CB1020)=0,"",IF(COUNT(G1020:CB1020)&lt;74,"موقت - اطلاعات ناقص",IF(CL1020&gt;=17,"عالی",IF(CL1020&gt;=14,"خوب",IF(CL1020&gt;=10,"متوسط","ضعیف"))))))</x:f>
      </x:c>
      <x:c r="CN1020" s="178" t="n">
        <x:v>8</x:v>
      </x:c>
      <x:c r="CO1020" s="142" t="n">
        <x:f>IF(C1020="","",COUNT(G1020:CB1020)/74)</x:f>
        <x:v>0</x:v>
      </x:c>
      <x:c r="CP1020" s="245"/>
    </x:row>
    <x:row r="1021">
      <x:c r="A1021" s="165" t="n">
        <x:v>1017</x:v>
      </x:c>
      <x:c r="B1021" s="233" t="str">
        <x:v>اسفند</x:v>
      </x:c>
      <x:c r="C1021" s="233" t="n">
        <x:f>IF('دانش‌آموزان'!E89="","",'دانش‌آموزان'!B89)</x:f>
        <x:v>85</x:v>
      </x:c>
      <x:c r="D1021" s="233" t="str">
        <x:f>IF('دانش‌آموزان'!C89="","",'دانش‌آموزان'!C89)</x:f>
        <x:v>4000000853</x:v>
      </x:c>
      <x:c r="E1021" s="233" t="str">
        <x:f>IF('دانش‌آموزان'!E89="","",'دانش‌آموزان'!E89&amp;" "&amp;'دانش‌آموزان'!F89)</x:f>
        <x:v>محمد قاسمی</x:v>
      </x:c>
      <x:c r="F1021" s="166" t="str">
        <x:f>IF('دانش‌آموزان'!I89="","",'دانش‌آموزان'!I89)</x:f>
        <x:v>sample-7-d</x:v>
      </x:c>
      <x:c r="G1021" s="114"/>
      <x:c r="H1021" s="115"/>
      <x:c r="I1021" s="115"/>
      <x:c r="J1021" s="115"/>
      <x:c r="K1021" s="115"/>
      <x:c r="L1021" s="115"/>
      <x:c r="M1021" s="115"/>
      <x:c r="N1021" s="115"/>
      <x:c r="O1021" s="115"/>
      <x:c r="P1021" s="115"/>
      <x:c r="Q1021" s="115"/>
      <x:c r="R1021" s="115"/>
      <x:c r="S1021" s="115"/>
      <x:c r="T1021" s="115"/>
      <x:c r="U1021" s="115"/>
      <x:c r="V1021" s="115"/>
      <x:c r="W1021" s="115"/>
      <x:c r="X1021" s="115"/>
      <x:c r="Y1021" s="115"/>
      <x:c r="Z1021" s="115"/>
      <x:c r="AA1021" s="115"/>
      <x:c r="AB1021" s="115"/>
      <x:c r="AC1021" s="115"/>
      <x:c r="AD1021" s="115"/>
      <x:c r="AE1021" s="115"/>
      <x:c r="AF1021" s="115"/>
      <x:c r="AG1021" s="115"/>
      <x:c r="AH1021" s="115"/>
      <x:c r="AI1021" s="115"/>
      <x:c r="AJ1021" s="115"/>
      <x:c r="AK1021" s="115"/>
      <x:c r="AL1021" s="115"/>
      <x:c r="AM1021" s="115"/>
      <x:c r="AN1021" s="115"/>
      <x:c r="AO1021" s="115"/>
      <x:c r="AP1021" s="115"/>
      <x:c r="AQ1021" s="115"/>
      <x:c r="AR1021" s="115"/>
      <x:c r="AS1021" s="115"/>
      <x:c r="AT1021" s="115"/>
      <x:c r="AU1021" s="115"/>
      <x:c r="AV1021" s="115"/>
      <x:c r="AW1021" s="115"/>
      <x:c r="AX1021" s="115"/>
      <x:c r="AY1021" s="115"/>
      <x:c r="AZ1021" s="115"/>
      <x:c r="BA1021" s="115"/>
      <x:c r="BB1021" s="115"/>
      <x:c r="BC1021" s="115"/>
      <x:c r="BD1021" s="115"/>
      <x:c r="BE1021" s="115"/>
      <x:c r="BF1021" s="115"/>
      <x:c r="BG1021" s="115"/>
      <x:c r="BH1021" s="115"/>
      <x:c r="BI1021" s="115"/>
      <x:c r="BJ1021" s="115"/>
      <x:c r="BK1021" s="115"/>
      <x:c r="BL1021" s="115"/>
      <x:c r="BM1021" s="115"/>
      <x:c r="BN1021" s="115"/>
      <x:c r="BO1021" s="115"/>
      <x:c r="BP1021" s="115"/>
      <x:c r="BQ1021" s="115"/>
      <x:c r="BR1021" s="115"/>
      <x:c r="BS1021" s="115"/>
      <x:c r="BT1021" s="115"/>
      <x:c r="BU1021" s="115"/>
      <x:c r="BV1021" s="115"/>
      <x:c r="BW1021" s="115"/>
      <x:c r="BX1021" s="115"/>
      <x:c r="BY1021" s="115"/>
      <x:c r="BZ1021" s="115"/>
      <x:c r="CA1021" s="115"/>
      <x:c r="CB1021" s="116"/>
      <x:c r="CC1021" s="141" t="str">
        <x:f>IF(COUNT(G1021:P1021)=0,"",AVERAGE(G1021:P1021)*4)</x:f>
      </x:c>
      <x:c r="CD1021" s="178" t="str">
        <x:f>IF(COUNT(Q1021:Z1021)=0,"",AVERAGE(Q1021:Z1021)*4)</x:f>
      </x:c>
      <x:c r="CE1021" s="178" t="str">
        <x:f>IF(COUNT(AA1021:AJ1021)=0,"",AVERAGE(AA1021:AJ1021)*4)</x:f>
      </x:c>
      <x:c r="CF1021" s="178" t="str">
        <x:f>IF(COUNT(AK1021:AR1021)=0,"",AVERAGE(AK1021:AR1021)*4)</x:f>
      </x:c>
      <x:c r="CG1021" s="178" t="str">
        <x:f>IF(COUNT(AS1021:AY1021)=0,"",AVERAGE(AS1021:AY1021)*4)</x:f>
      </x:c>
      <x:c r="CH1021" s="178" t="str">
        <x:f>IF(COUNT(AZ1021:BG1021)=0,"",AVERAGE(AZ1021:BG1021)*4)</x:f>
      </x:c>
      <x:c r="CI1021" s="178" t="str">
        <x:f>IF(COUNT(BH1021:BN1021)=0,"",AVERAGE(BH1021:BN1021)*4)</x:f>
      </x:c>
      <x:c r="CJ1021" s="178" t="str">
        <x:f>IF(COUNT(BO1021:BU1021)=0,"",AVERAGE(BO1021:BU1021)*4)</x:f>
      </x:c>
      <x:c r="CK1021" s="178" t="str">
        <x:f>IF(COUNT(BV1021:CB1021)=0,"",AVERAGE(BV1021:CB1021)*4)</x:f>
      </x:c>
      <x:c r="CL1021" s="178" t="str">
        <x:f>IF(C1021="","",IF(COUNT(G1021:CB1021)&lt;74,"",(CC1021*'تنظیمات وزن‌دهی'!$C$5+CD1021*'تنظیمات وزن‌دهی'!$C$6+CE1021*'تنظیمات وزن‌دهی'!$C$7+CF1021*'تنظیمات وزن‌دهی'!$C$8+CG1021*'تنظیمات وزن‌دهی'!$C$9+CH1021*'تنظیمات وزن‌دهی'!$C$10+CI1021*'تنظیمات وزن‌دهی'!$C$11+CJ1021*'تنظیمات وزن‌دهی'!$C$12+CK1021*'تنظیمات وزن‌دهی'!$C$13)/100))</x:f>
      </x:c>
      <x:c r="CM1021" s="178" t="str">
        <x:f>IF(C1021="","",IF(COUNT(G1021:CB1021)=0,"",IF(COUNT(G1021:CB1021)&lt;74,"موقت - اطلاعات ناقص",IF(CL1021&gt;=17,"عالی",IF(CL1021&gt;=14,"خوب",IF(CL1021&gt;=10,"متوسط","ضعیف"))))))</x:f>
      </x:c>
      <x:c r="CN1021" s="178" t="n">
        <x:v>9</x:v>
      </x:c>
      <x:c r="CO1021" s="142" t="n">
        <x:f>IF(C1021="","",COUNT(G1021:CB1021)/74)</x:f>
        <x:v>0</x:v>
      </x:c>
      <x:c r="CP1021" s="245"/>
    </x:row>
    <x:row r="1022">
      <x:c r="A1022" s="165" t="n">
        <x:v>1018</x:v>
      </x:c>
      <x:c r="B1022" s="233" t="str">
        <x:v>فروردین</x:v>
      </x:c>
      <x:c r="C1022" s="233" t="n">
        <x:f>IF('دانش‌آموزان'!E89="","",'دانش‌آموزان'!B89)</x:f>
        <x:v>85</x:v>
      </x:c>
      <x:c r="D1022" s="233" t="str">
        <x:f>IF('دانش‌آموزان'!C89="","",'دانش‌آموزان'!C89)</x:f>
        <x:v>4000000853</x:v>
      </x:c>
      <x:c r="E1022" s="233" t="str">
        <x:f>IF('دانش‌آموزان'!E89="","",'دانش‌آموزان'!E89&amp;" "&amp;'دانش‌آموزان'!F89)</x:f>
        <x:v>محمد قاسمی</x:v>
      </x:c>
      <x:c r="F1022" s="166" t="str">
        <x:f>IF('دانش‌آموزان'!I89="","",'دانش‌آموزان'!I89)</x:f>
        <x:v>sample-7-d</x:v>
      </x:c>
      <x:c r="G1022" s="114"/>
      <x:c r="H1022" s="115"/>
      <x:c r="I1022" s="115"/>
      <x:c r="J1022" s="115"/>
      <x:c r="K1022" s="115"/>
      <x:c r="L1022" s="115"/>
      <x:c r="M1022" s="115"/>
      <x:c r="N1022" s="115"/>
      <x:c r="O1022" s="115"/>
      <x:c r="P1022" s="115"/>
      <x:c r="Q1022" s="115"/>
      <x:c r="R1022" s="115"/>
      <x:c r="S1022" s="115"/>
      <x:c r="T1022" s="115"/>
      <x:c r="U1022" s="115"/>
      <x:c r="V1022" s="115"/>
      <x:c r="W1022" s="115"/>
      <x:c r="X1022" s="115"/>
      <x:c r="Y1022" s="115"/>
      <x:c r="Z1022" s="115"/>
      <x:c r="AA1022" s="115"/>
      <x:c r="AB1022" s="115"/>
      <x:c r="AC1022" s="115"/>
      <x:c r="AD1022" s="115"/>
      <x:c r="AE1022" s="115"/>
      <x:c r="AF1022" s="115"/>
      <x:c r="AG1022" s="115"/>
      <x:c r="AH1022" s="115"/>
      <x:c r="AI1022" s="115"/>
      <x:c r="AJ1022" s="115"/>
      <x:c r="AK1022" s="115"/>
      <x:c r="AL1022" s="115"/>
      <x:c r="AM1022" s="115"/>
      <x:c r="AN1022" s="115"/>
      <x:c r="AO1022" s="115"/>
      <x:c r="AP1022" s="115"/>
      <x:c r="AQ1022" s="115"/>
      <x:c r="AR1022" s="115"/>
      <x:c r="AS1022" s="115"/>
      <x:c r="AT1022" s="115"/>
      <x:c r="AU1022" s="115"/>
      <x:c r="AV1022" s="115"/>
      <x:c r="AW1022" s="115"/>
      <x:c r="AX1022" s="115"/>
      <x:c r="AY1022" s="115"/>
      <x:c r="AZ1022" s="115"/>
      <x:c r="BA1022" s="115"/>
      <x:c r="BB1022" s="115"/>
      <x:c r="BC1022" s="115"/>
      <x:c r="BD1022" s="115"/>
      <x:c r="BE1022" s="115"/>
      <x:c r="BF1022" s="115"/>
      <x:c r="BG1022" s="115"/>
      <x:c r="BH1022" s="115"/>
      <x:c r="BI1022" s="115"/>
      <x:c r="BJ1022" s="115"/>
      <x:c r="BK1022" s="115"/>
      <x:c r="BL1022" s="115"/>
      <x:c r="BM1022" s="115"/>
      <x:c r="BN1022" s="115"/>
      <x:c r="BO1022" s="115"/>
      <x:c r="BP1022" s="115"/>
      <x:c r="BQ1022" s="115"/>
      <x:c r="BR1022" s="115"/>
      <x:c r="BS1022" s="115"/>
      <x:c r="BT1022" s="115"/>
      <x:c r="BU1022" s="115"/>
      <x:c r="BV1022" s="115"/>
      <x:c r="BW1022" s="115"/>
      <x:c r="BX1022" s="115"/>
      <x:c r="BY1022" s="115"/>
      <x:c r="BZ1022" s="115"/>
      <x:c r="CA1022" s="115"/>
      <x:c r="CB1022" s="116"/>
      <x:c r="CC1022" s="141" t="str">
        <x:f>IF(COUNT(G1022:P1022)=0,"",AVERAGE(G1022:P1022)*4)</x:f>
      </x:c>
      <x:c r="CD1022" s="178" t="str">
        <x:f>IF(COUNT(Q1022:Z1022)=0,"",AVERAGE(Q1022:Z1022)*4)</x:f>
      </x:c>
      <x:c r="CE1022" s="178" t="str">
        <x:f>IF(COUNT(AA1022:AJ1022)=0,"",AVERAGE(AA1022:AJ1022)*4)</x:f>
      </x:c>
      <x:c r="CF1022" s="178" t="str">
        <x:f>IF(COUNT(AK1022:AR1022)=0,"",AVERAGE(AK1022:AR1022)*4)</x:f>
      </x:c>
      <x:c r="CG1022" s="178" t="str">
        <x:f>IF(COUNT(AS1022:AY1022)=0,"",AVERAGE(AS1022:AY1022)*4)</x:f>
      </x:c>
      <x:c r="CH1022" s="178" t="str">
        <x:f>IF(COUNT(AZ1022:BG1022)=0,"",AVERAGE(AZ1022:BG1022)*4)</x:f>
      </x:c>
      <x:c r="CI1022" s="178" t="str">
        <x:f>IF(COUNT(BH1022:BN1022)=0,"",AVERAGE(BH1022:BN1022)*4)</x:f>
      </x:c>
      <x:c r="CJ1022" s="178" t="str">
        <x:f>IF(COUNT(BO1022:BU1022)=0,"",AVERAGE(BO1022:BU1022)*4)</x:f>
      </x:c>
      <x:c r="CK1022" s="178" t="str">
        <x:f>IF(COUNT(BV1022:CB1022)=0,"",AVERAGE(BV1022:CB1022)*4)</x:f>
      </x:c>
      <x:c r="CL1022" s="178" t="str">
        <x:f>IF(C1022="","",IF(COUNT(G1022:CB1022)&lt;74,"",(CC1022*'تنظیمات وزن‌دهی'!$C$5+CD1022*'تنظیمات وزن‌دهی'!$C$6+CE1022*'تنظیمات وزن‌دهی'!$C$7+CF1022*'تنظیمات وزن‌دهی'!$C$8+CG1022*'تنظیمات وزن‌دهی'!$C$9+CH1022*'تنظیمات وزن‌دهی'!$C$10+CI1022*'تنظیمات وزن‌دهی'!$C$11+CJ1022*'تنظیمات وزن‌دهی'!$C$12+CK1022*'تنظیمات وزن‌دهی'!$C$13)/100))</x:f>
      </x:c>
      <x:c r="CM1022" s="178" t="str">
        <x:f>IF(C1022="","",IF(COUNT(G1022:CB1022)=0,"",IF(COUNT(G1022:CB1022)&lt;74,"موقت - اطلاعات ناقص",IF(CL1022&gt;=17,"عالی",IF(CL1022&gt;=14,"خوب",IF(CL1022&gt;=10,"متوسط","ضعیف"))))))</x:f>
      </x:c>
      <x:c r="CN1022" s="178" t="n">
        <x:v>10</x:v>
      </x:c>
      <x:c r="CO1022" s="142" t="n">
        <x:f>IF(C1022="","",COUNT(G1022:CB1022)/74)</x:f>
        <x:v>0</x:v>
      </x:c>
      <x:c r="CP1022" s="245"/>
    </x:row>
    <x:row r="1023">
      <x:c r="A1023" s="165" t="n">
        <x:v>1019</x:v>
      </x:c>
      <x:c r="B1023" s="233" t="str">
        <x:v>اردیبهشت</x:v>
      </x:c>
      <x:c r="C1023" s="233" t="n">
        <x:f>IF('دانش‌آموزان'!E89="","",'دانش‌آموزان'!B89)</x:f>
        <x:v>85</x:v>
      </x:c>
      <x:c r="D1023" s="233" t="str">
        <x:f>IF('دانش‌آموزان'!C89="","",'دانش‌آموزان'!C89)</x:f>
        <x:v>4000000853</x:v>
      </x:c>
      <x:c r="E1023" s="233" t="str">
        <x:f>IF('دانش‌آموزان'!E89="","",'دانش‌آموزان'!E89&amp;" "&amp;'دانش‌آموزان'!F89)</x:f>
        <x:v>محمد قاسمی</x:v>
      </x:c>
      <x:c r="F1023" s="166" t="str">
        <x:f>IF('دانش‌آموزان'!I89="","",'دانش‌آموزان'!I89)</x:f>
        <x:v>sample-7-d</x:v>
      </x:c>
      <x:c r="G1023" s="114"/>
      <x:c r="H1023" s="115"/>
      <x:c r="I1023" s="115"/>
      <x:c r="J1023" s="115"/>
      <x:c r="K1023" s="115"/>
      <x:c r="L1023" s="115"/>
      <x:c r="M1023" s="115"/>
      <x:c r="N1023" s="115"/>
      <x:c r="O1023" s="115"/>
      <x:c r="P1023" s="115"/>
      <x:c r="Q1023" s="115"/>
      <x:c r="R1023" s="115"/>
      <x:c r="S1023" s="115"/>
      <x:c r="T1023" s="115"/>
      <x:c r="U1023" s="115"/>
      <x:c r="V1023" s="115"/>
      <x:c r="W1023" s="115"/>
      <x:c r="X1023" s="115"/>
      <x:c r="Y1023" s="115"/>
      <x:c r="Z1023" s="115"/>
      <x:c r="AA1023" s="115"/>
      <x:c r="AB1023" s="115"/>
      <x:c r="AC1023" s="115"/>
      <x:c r="AD1023" s="115"/>
      <x:c r="AE1023" s="115"/>
      <x:c r="AF1023" s="115"/>
      <x:c r="AG1023" s="115"/>
      <x:c r="AH1023" s="115"/>
      <x:c r="AI1023" s="115"/>
      <x:c r="AJ1023" s="115"/>
      <x:c r="AK1023" s="115"/>
      <x:c r="AL1023" s="115"/>
      <x:c r="AM1023" s="115"/>
      <x:c r="AN1023" s="115"/>
      <x:c r="AO1023" s="115"/>
      <x:c r="AP1023" s="115"/>
      <x:c r="AQ1023" s="115"/>
      <x:c r="AR1023" s="115"/>
      <x:c r="AS1023" s="115"/>
      <x:c r="AT1023" s="115"/>
      <x:c r="AU1023" s="115"/>
      <x:c r="AV1023" s="115"/>
      <x:c r="AW1023" s="115"/>
      <x:c r="AX1023" s="115"/>
      <x:c r="AY1023" s="115"/>
      <x:c r="AZ1023" s="115"/>
      <x:c r="BA1023" s="115"/>
      <x:c r="BB1023" s="115"/>
      <x:c r="BC1023" s="115"/>
      <x:c r="BD1023" s="115"/>
      <x:c r="BE1023" s="115"/>
      <x:c r="BF1023" s="115"/>
      <x:c r="BG1023" s="115"/>
      <x:c r="BH1023" s="115"/>
      <x:c r="BI1023" s="115"/>
      <x:c r="BJ1023" s="115"/>
      <x:c r="BK1023" s="115"/>
      <x:c r="BL1023" s="115"/>
      <x:c r="BM1023" s="115"/>
      <x:c r="BN1023" s="115"/>
      <x:c r="BO1023" s="115"/>
      <x:c r="BP1023" s="115"/>
      <x:c r="BQ1023" s="115"/>
      <x:c r="BR1023" s="115"/>
      <x:c r="BS1023" s="115"/>
      <x:c r="BT1023" s="115"/>
      <x:c r="BU1023" s="115"/>
      <x:c r="BV1023" s="115"/>
      <x:c r="BW1023" s="115"/>
      <x:c r="BX1023" s="115"/>
      <x:c r="BY1023" s="115"/>
      <x:c r="BZ1023" s="115"/>
      <x:c r="CA1023" s="115"/>
      <x:c r="CB1023" s="116"/>
      <x:c r="CC1023" s="141" t="str">
        <x:f>IF(COUNT(G1023:P1023)=0,"",AVERAGE(G1023:P1023)*4)</x:f>
      </x:c>
      <x:c r="CD1023" s="178" t="str">
        <x:f>IF(COUNT(Q1023:Z1023)=0,"",AVERAGE(Q1023:Z1023)*4)</x:f>
      </x:c>
      <x:c r="CE1023" s="178" t="str">
        <x:f>IF(COUNT(AA1023:AJ1023)=0,"",AVERAGE(AA1023:AJ1023)*4)</x:f>
      </x:c>
      <x:c r="CF1023" s="178" t="str">
        <x:f>IF(COUNT(AK1023:AR1023)=0,"",AVERAGE(AK1023:AR1023)*4)</x:f>
      </x:c>
      <x:c r="CG1023" s="178" t="str">
        <x:f>IF(COUNT(AS1023:AY1023)=0,"",AVERAGE(AS1023:AY1023)*4)</x:f>
      </x:c>
      <x:c r="CH1023" s="178" t="str">
        <x:f>IF(COUNT(AZ1023:BG1023)=0,"",AVERAGE(AZ1023:BG1023)*4)</x:f>
      </x:c>
      <x:c r="CI1023" s="178" t="str">
        <x:f>IF(COUNT(BH1023:BN1023)=0,"",AVERAGE(BH1023:BN1023)*4)</x:f>
      </x:c>
      <x:c r="CJ1023" s="178" t="str">
        <x:f>IF(COUNT(BO1023:BU1023)=0,"",AVERAGE(BO1023:BU1023)*4)</x:f>
      </x:c>
      <x:c r="CK1023" s="178" t="str">
        <x:f>IF(COUNT(BV1023:CB1023)=0,"",AVERAGE(BV1023:CB1023)*4)</x:f>
      </x:c>
      <x:c r="CL1023" s="178" t="str">
        <x:f>IF(C1023="","",IF(COUNT(G1023:CB1023)&lt;74,"",(CC1023*'تنظیمات وزن‌دهی'!$C$5+CD1023*'تنظیمات وزن‌دهی'!$C$6+CE1023*'تنظیمات وزن‌دهی'!$C$7+CF1023*'تنظیمات وزن‌دهی'!$C$8+CG1023*'تنظیمات وزن‌دهی'!$C$9+CH1023*'تنظیمات وزن‌دهی'!$C$10+CI1023*'تنظیمات وزن‌دهی'!$C$11+CJ1023*'تنظیمات وزن‌دهی'!$C$12+CK1023*'تنظیمات وزن‌دهی'!$C$13)/100))</x:f>
      </x:c>
      <x:c r="CM1023" s="178" t="str">
        <x:f>IF(C1023="","",IF(COUNT(G1023:CB1023)=0,"",IF(COUNT(G1023:CB1023)&lt;74,"موقت - اطلاعات ناقص",IF(CL1023&gt;=17,"عالی",IF(CL1023&gt;=14,"خوب",IF(CL1023&gt;=10,"متوسط","ضعیف"))))))</x:f>
      </x:c>
      <x:c r="CN1023" s="178" t="n">
        <x:v>11</x:v>
      </x:c>
      <x:c r="CO1023" s="142" t="n">
        <x:f>IF(C1023="","",COUNT(G1023:CB1023)/74)</x:f>
        <x:v>0</x:v>
      </x:c>
      <x:c r="CP1023" s="245"/>
    </x:row>
    <x:row r="1024">
      <x:c r="A1024" s="165" t="n">
        <x:v>1020</x:v>
      </x:c>
      <x:c r="B1024" s="233" t="str">
        <x:v>خرداد</x:v>
      </x:c>
      <x:c r="C1024" s="233" t="n">
        <x:f>IF('دانش‌آموزان'!E89="","",'دانش‌آموزان'!B89)</x:f>
        <x:v>85</x:v>
      </x:c>
      <x:c r="D1024" s="233" t="str">
        <x:f>IF('دانش‌آموزان'!C89="","",'دانش‌آموزان'!C89)</x:f>
        <x:v>4000000853</x:v>
      </x:c>
      <x:c r="E1024" s="233" t="str">
        <x:f>IF('دانش‌آموزان'!E89="","",'دانش‌آموزان'!E89&amp;" "&amp;'دانش‌آموزان'!F89)</x:f>
        <x:v>محمد قاسمی</x:v>
      </x:c>
      <x:c r="F1024" s="166" t="str">
        <x:f>IF('دانش‌آموزان'!I89="","",'دانش‌آموزان'!I89)</x:f>
        <x:v>sample-7-d</x:v>
      </x:c>
      <x:c r="G1024" s="114"/>
      <x:c r="H1024" s="115"/>
      <x:c r="I1024" s="115"/>
      <x:c r="J1024" s="115"/>
      <x:c r="K1024" s="115"/>
      <x:c r="L1024" s="115"/>
      <x:c r="M1024" s="115"/>
      <x:c r="N1024" s="115"/>
      <x:c r="O1024" s="115"/>
      <x:c r="P1024" s="115"/>
      <x:c r="Q1024" s="115"/>
      <x:c r="R1024" s="115"/>
      <x:c r="S1024" s="115"/>
      <x:c r="T1024" s="115"/>
      <x:c r="U1024" s="115"/>
      <x:c r="V1024" s="115"/>
      <x:c r="W1024" s="115"/>
      <x:c r="X1024" s="115"/>
      <x:c r="Y1024" s="115"/>
      <x:c r="Z1024" s="115"/>
      <x:c r="AA1024" s="115"/>
      <x:c r="AB1024" s="115"/>
      <x:c r="AC1024" s="115"/>
      <x:c r="AD1024" s="115"/>
      <x:c r="AE1024" s="115"/>
      <x:c r="AF1024" s="115"/>
      <x:c r="AG1024" s="115"/>
      <x:c r="AH1024" s="115"/>
      <x:c r="AI1024" s="115"/>
      <x:c r="AJ1024" s="115"/>
      <x:c r="AK1024" s="115"/>
      <x:c r="AL1024" s="115"/>
      <x:c r="AM1024" s="115"/>
      <x:c r="AN1024" s="115"/>
      <x:c r="AO1024" s="115"/>
      <x:c r="AP1024" s="115"/>
      <x:c r="AQ1024" s="115"/>
      <x:c r="AR1024" s="115"/>
      <x:c r="AS1024" s="115"/>
      <x:c r="AT1024" s="115"/>
      <x:c r="AU1024" s="115"/>
      <x:c r="AV1024" s="115"/>
      <x:c r="AW1024" s="115"/>
      <x:c r="AX1024" s="115"/>
      <x:c r="AY1024" s="115"/>
      <x:c r="AZ1024" s="115"/>
      <x:c r="BA1024" s="115"/>
      <x:c r="BB1024" s="115"/>
      <x:c r="BC1024" s="115"/>
      <x:c r="BD1024" s="115"/>
      <x:c r="BE1024" s="115"/>
      <x:c r="BF1024" s="115"/>
      <x:c r="BG1024" s="115"/>
      <x:c r="BH1024" s="115"/>
      <x:c r="BI1024" s="115"/>
      <x:c r="BJ1024" s="115"/>
      <x:c r="BK1024" s="115"/>
      <x:c r="BL1024" s="115"/>
      <x:c r="BM1024" s="115"/>
      <x:c r="BN1024" s="115"/>
      <x:c r="BO1024" s="115"/>
      <x:c r="BP1024" s="115"/>
      <x:c r="BQ1024" s="115"/>
      <x:c r="BR1024" s="115"/>
      <x:c r="BS1024" s="115"/>
      <x:c r="BT1024" s="115"/>
      <x:c r="BU1024" s="115"/>
      <x:c r="BV1024" s="115"/>
      <x:c r="BW1024" s="115"/>
      <x:c r="BX1024" s="115"/>
      <x:c r="BY1024" s="115"/>
      <x:c r="BZ1024" s="115"/>
      <x:c r="CA1024" s="115"/>
      <x:c r="CB1024" s="116"/>
      <x:c r="CC1024" s="141" t="str">
        <x:f>IF(COUNT(G1024:P1024)=0,"",AVERAGE(G1024:P1024)*4)</x:f>
      </x:c>
      <x:c r="CD1024" s="178" t="str">
        <x:f>IF(COUNT(Q1024:Z1024)=0,"",AVERAGE(Q1024:Z1024)*4)</x:f>
      </x:c>
      <x:c r="CE1024" s="178" t="str">
        <x:f>IF(COUNT(AA1024:AJ1024)=0,"",AVERAGE(AA1024:AJ1024)*4)</x:f>
      </x:c>
      <x:c r="CF1024" s="178" t="str">
        <x:f>IF(COUNT(AK1024:AR1024)=0,"",AVERAGE(AK1024:AR1024)*4)</x:f>
      </x:c>
      <x:c r="CG1024" s="178" t="str">
        <x:f>IF(COUNT(AS1024:AY1024)=0,"",AVERAGE(AS1024:AY1024)*4)</x:f>
      </x:c>
      <x:c r="CH1024" s="178" t="str">
        <x:f>IF(COUNT(AZ1024:BG1024)=0,"",AVERAGE(AZ1024:BG1024)*4)</x:f>
      </x:c>
      <x:c r="CI1024" s="178" t="str">
        <x:f>IF(COUNT(BH1024:BN1024)=0,"",AVERAGE(BH1024:BN1024)*4)</x:f>
      </x:c>
      <x:c r="CJ1024" s="178" t="str">
        <x:f>IF(COUNT(BO1024:BU1024)=0,"",AVERAGE(BO1024:BU1024)*4)</x:f>
      </x:c>
      <x:c r="CK1024" s="178" t="str">
        <x:f>IF(COUNT(BV1024:CB1024)=0,"",AVERAGE(BV1024:CB1024)*4)</x:f>
      </x:c>
      <x:c r="CL1024" s="178" t="str">
        <x:f>IF(C1024="","",IF(COUNT(G1024:CB1024)&lt;74,"",(CC1024*'تنظیمات وزن‌دهی'!$C$5+CD1024*'تنظیمات وزن‌دهی'!$C$6+CE1024*'تنظیمات وزن‌دهی'!$C$7+CF1024*'تنظیمات وزن‌دهی'!$C$8+CG1024*'تنظیمات وزن‌دهی'!$C$9+CH1024*'تنظیمات وزن‌دهی'!$C$10+CI1024*'تنظیمات وزن‌دهی'!$C$11+CJ1024*'تنظیمات وزن‌دهی'!$C$12+CK1024*'تنظیمات وزن‌دهی'!$C$13)/100))</x:f>
      </x:c>
      <x:c r="CM1024" s="178" t="str">
        <x:f>IF(C1024="","",IF(COUNT(G1024:CB1024)=0,"",IF(COUNT(G1024:CB1024)&lt;74,"موقت - اطلاعات ناقص",IF(CL1024&gt;=17,"عالی",IF(CL1024&gt;=14,"خوب",IF(CL1024&gt;=10,"متوسط","ضعیف"))))))</x:f>
      </x:c>
      <x:c r="CN1024" s="178" t="n">
        <x:v>12</x:v>
      </x:c>
      <x:c r="CO1024" s="142" t="n">
        <x:f>IF(C1024="","",COUNT(G1024:CB1024)/74)</x:f>
        <x:v>0</x:v>
      </x:c>
      <x:c r="CP1024" s="245"/>
    </x:row>
    <x:row r="1025">
      <x:c r="A1025" s="165" t="n">
        <x:v>1021</x:v>
      </x:c>
      <x:c r="B1025" s="233" t="str">
        <x:v>تیر</x:v>
      </x:c>
      <x:c r="C1025" s="233" t="n">
        <x:f>IF('دانش‌آموزان'!E90="","",'دانش‌آموزان'!B90)</x:f>
        <x:v>86</x:v>
      </x:c>
      <x:c r="D1025" s="233" t="str">
        <x:f>IF('دانش‌آموزان'!C90="","",'دانش‌آموزان'!C90)</x:f>
        <x:v>4000000861</x:v>
      </x:c>
      <x:c r="E1025" s="233" t="str">
        <x:f>IF('دانش‌آموزان'!E90="","",'دانش‌آموزان'!E90&amp;" "&amp;'دانش‌آموزان'!F90)</x:f>
        <x:v>سارا خلیلی</x:v>
      </x:c>
      <x:c r="F1025" s="166" t="str">
        <x:f>IF('دانش‌آموزان'!I90="","",'دانش‌آموزان'!I90)</x:f>
        <x:v>sample-7-d</x:v>
      </x:c>
      <x:c r="G1025" s="114" t="n">
        <x:v>3</x:v>
      </x:c>
      <x:c r="H1025" s="115" t="n">
        <x:v>4</x:v>
      </x:c>
      <x:c r="I1025" s="115" t="n">
        <x:v>3</x:v>
      </x:c>
      <x:c r="J1025" s="115" t="n">
        <x:v>4</x:v>
      </x:c>
      <x:c r="K1025" s="115" t="n">
        <x:v>2</x:v>
      </x:c>
      <x:c r="L1025" s="115" t="n">
        <x:v>4</x:v>
      </x:c>
      <x:c r="M1025" s="115" t="n">
        <x:v>5</x:v>
      </x:c>
      <x:c r="N1025" s="115" t="n">
        <x:v>4</x:v>
      </x:c>
      <x:c r="O1025" s="115" t="n">
        <x:v>5</x:v>
      </x:c>
      <x:c r="P1025" s="115" t="n">
        <x:v>3</x:v>
      </x:c>
      <x:c r="Q1025" s="115" t="n">
        <x:v>5</x:v>
      </x:c>
      <x:c r="R1025" s="115" t="n">
        <x:v>3</x:v>
      </x:c>
      <x:c r="S1025" s="115" t="n">
        <x:v>4</x:v>
      </x:c>
      <x:c r="T1025" s="115" t="n">
        <x:v>3</x:v>
      </x:c>
      <x:c r="U1025" s="115" t="n">
        <x:v>4</x:v>
      </x:c>
      <x:c r="V1025" s="115" t="n">
        <x:v>2</x:v>
      </x:c>
      <x:c r="W1025" s="115" t="n">
        <x:v>4</x:v>
      </x:c>
      <x:c r="X1025" s="115" t="n">
        <x:v>5</x:v>
      </x:c>
      <x:c r="Y1025" s="115" t="n">
        <x:v>4</x:v>
      </x:c>
      <x:c r="Z1025" s="115" t="n">
        <x:v>5</x:v>
      </x:c>
      <x:c r="AA1025" s="115" t="n">
        <x:v>3</x:v>
      </x:c>
      <x:c r="AB1025" s="115" t="n">
        <x:v>5</x:v>
      </x:c>
      <x:c r="AC1025" s="115" t="n">
        <x:v>3</x:v>
      </x:c>
      <x:c r="AD1025" s="115" t="n">
        <x:v>4</x:v>
      </x:c>
      <x:c r="AE1025" s="115" t="n">
        <x:v>3</x:v>
      </x:c>
      <x:c r="AF1025" s="115" t="n">
        <x:v>4</x:v>
      </x:c>
      <x:c r="AG1025" s="115" t="n">
        <x:v>2</x:v>
      </x:c>
      <x:c r="AH1025" s="115" t="n">
        <x:v>4</x:v>
      </x:c>
      <x:c r="AI1025" s="115" t="n">
        <x:v>5</x:v>
      </x:c>
      <x:c r="AJ1025" s="115" t="n">
        <x:v>4</x:v>
      </x:c>
      <x:c r="AK1025" s="115" t="n">
        <x:v>5</x:v>
      </x:c>
      <x:c r="AL1025" s="115" t="n">
        <x:v>3</x:v>
      </x:c>
      <x:c r="AM1025" s="115" t="n">
        <x:v>5</x:v>
      </x:c>
      <x:c r="AN1025" s="115" t="n">
        <x:v>3</x:v>
      </x:c>
      <x:c r="AO1025" s="115" t="n">
        <x:v>4</x:v>
      </x:c>
      <x:c r="AP1025" s="115" t="n">
        <x:v>3</x:v>
      </x:c>
      <x:c r="AQ1025" s="115" t="n">
        <x:v>4</x:v>
      </x:c>
      <x:c r="AR1025" s="115" t="n">
        <x:v>2</x:v>
      </x:c>
      <x:c r="AS1025" s="115" t="n">
        <x:v>4</x:v>
      </x:c>
      <x:c r="AT1025" s="115" t="n">
        <x:v>5</x:v>
      </x:c>
      <x:c r="AU1025" s="115" t="n">
        <x:v>4</x:v>
      </x:c>
      <x:c r="AV1025" s="115" t="n">
        <x:v>5</x:v>
      </x:c>
      <x:c r="AW1025" s="115" t="n">
        <x:v>3</x:v>
      </x:c>
      <x:c r="AX1025" s="115" t="n">
        <x:v>5</x:v>
      </x:c>
      <x:c r="AY1025" s="115" t="n">
        <x:v>3</x:v>
      </x:c>
      <x:c r="AZ1025" s="115" t="n">
        <x:v>4</x:v>
      </x:c>
      <x:c r="BA1025" s="115" t="n">
        <x:v>3</x:v>
      </x:c>
      <x:c r="BB1025" s="115" t="n">
        <x:v>4</x:v>
      </x:c>
      <x:c r="BC1025" s="115" t="n">
        <x:v>2</x:v>
      </x:c>
      <x:c r="BD1025" s="115" t="n">
        <x:v>4</x:v>
      </x:c>
      <x:c r="BE1025" s="115" t="n">
        <x:v>5</x:v>
      </x:c>
      <x:c r="BF1025" s="115" t="n">
        <x:v>4</x:v>
      </x:c>
      <x:c r="BG1025" s="115" t="n">
        <x:v>5</x:v>
      </x:c>
      <x:c r="BH1025" s="115" t="n">
        <x:v>3</x:v>
      </x:c>
      <x:c r="BI1025" s="115" t="n">
        <x:v>5</x:v>
      </x:c>
      <x:c r="BJ1025" s="115" t="n">
        <x:v>3</x:v>
      </x:c>
      <x:c r="BK1025" s="115" t="n">
        <x:v>4</x:v>
      </x:c>
      <x:c r="BL1025" s="115" t="n">
        <x:v>3</x:v>
      </x:c>
      <x:c r="BM1025" s="115" t="n">
        <x:v>4</x:v>
      </x:c>
      <x:c r="BN1025" s="115" t="n">
        <x:v>2</x:v>
      </x:c>
      <x:c r="BO1025" s="115" t="n">
        <x:v>4</x:v>
      </x:c>
      <x:c r="BP1025" s="115" t="n">
        <x:v>5</x:v>
      </x:c>
      <x:c r="BQ1025" s="115" t="n">
        <x:v>4</x:v>
      </x:c>
      <x:c r="BR1025" s="115" t="n">
        <x:v>5</x:v>
      </x:c>
      <x:c r="BS1025" s="115" t="n">
        <x:v>3</x:v>
      </x:c>
      <x:c r="BT1025" s="115" t="n">
        <x:v>5</x:v>
      </x:c>
      <x:c r="BU1025" s="115" t="n">
        <x:v>3</x:v>
      </x:c>
      <x:c r="BV1025" s="115" t="n">
        <x:v>4</x:v>
      </x:c>
      <x:c r="BW1025" s="115" t="n">
        <x:v>3</x:v>
      </x:c>
      <x:c r="BX1025" s="115" t="n">
        <x:v>4</x:v>
      </x:c>
      <x:c r="BY1025" s="115" t="n">
        <x:v>2</x:v>
      </x:c>
      <x:c r="BZ1025" s="115" t="n">
        <x:v>4</x:v>
      </x:c>
      <x:c r="CA1025" s="115" t="n">
        <x:v>5</x:v>
      </x:c>
      <x:c r="CB1025" s="116" t="n">
        <x:v>4</x:v>
      </x:c>
      <x:c r="CC1025" s="141" t="n">
        <x:f>IF(COUNT(G1025:P1025)=0,"",AVERAGE(G1025:P1025)*4)</x:f>
        <x:v>14.8</x:v>
      </x:c>
      <x:c r="CD1025" s="178" t="n">
        <x:f>IF(COUNT(Q1025:Z1025)=0,"",AVERAGE(Q1025:Z1025)*4)</x:f>
        <x:v>15.6</x:v>
      </x:c>
      <x:c r="CE1025" s="178" t="n">
        <x:f>IF(COUNT(AA1025:AJ1025)=0,"",AVERAGE(AA1025:AJ1025)*4)</x:f>
        <x:v>14.8</x:v>
      </x:c>
      <x:c r="CF1025" s="178" t="n">
        <x:f>IF(COUNT(AK1025:AR1025)=0,"",AVERAGE(AK1025:AR1025)*4)</x:f>
        <x:v>14.5</x:v>
      </x:c>
      <x:c r="CG1025" s="178" t="n">
        <x:f>IF(COUNT(AS1025:AY1025)=0,"",AVERAGE(AS1025:AY1025)*4)</x:f>
        <x:v>16.571428571428573</x:v>
      </x:c>
      <x:c r="CH1025" s="178" t="n">
        <x:f>IF(COUNT(AZ1025:BG1025)=0,"",AVERAGE(AZ1025:BG1025)*4)</x:f>
        <x:v>15.5</x:v>
      </x:c>
      <x:c r="CI1025" s="178" t="n">
        <x:f>IF(COUNT(BH1025:BN1025)=0,"",AVERAGE(BH1025:BN1025)*4)</x:f>
        <x:v>13.714285714285714</x:v>
      </x:c>
      <x:c r="CJ1025" s="178" t="n">
        <x:f>IF(COUNT(BO1025:BU1025)=0,"",AVERAGE(BO1025:BU1025)*4)</x:f>
        <x:v>16.571428571428573</x:v>
      </x:c>
      <x:c r="CK1025" s="178" t="n">
        <x:f>IF(COUNT(BV1025:CB1025)=0,"",AVERAGE(BV1025:CB1025)*4)</x:f>
        <x:v>14.857142857142858</x:v>
      </x:c>
      <x:c r="CL1025" s="178" t="n">
        <x:f>IF(C1025="","",IF(COUNT(G1025:CB1025)&lt;74,"",(CC1025*'تنظیمات وزن‌دهی'!$C$5+CD1025*'تنظیمات وزن‌دهی'!$C$6+CE1025*'تنظیمات وزن‌دهی'!$C$7+CF1025*'تنظیمات وزن‌دهی'!$C$8+CG1025*'تنظیمات وزن‌دهی'!$C$9+CH1025*'تنظیمات وزن‌دهی'!$C$10+CI1025*'تنظیمات وزن‌دهی'!$C$11+CJ1025*'تنظیمات وزن‌دهی'!$C$12+CK1025*'تنظیمات وزن‌دهی'!$C$13)/100))</x:f>
        <x:v>15.089285714285715</x:v>
      </x:c>
      <x:c r="CM1025" s="178" t="str">
        <x:f>IF(C1025="","",IF(COUNT(G1025:CB1025)=0,"",IF(COUNT(G1025:CB1025)&lt;74,"موقت - اطلاعات ناقص",IF(CL1025&gt;=17,"عالی",IF(CL1025&gt;=14,"خوب",IF(CL1025&gt;=10,"متوسط","ضعیف"))))))</x:f>
        <x:v>خوب</x:v>
      </x:c>
      <x:c r="CN1025" s="178" t="n">
        <x:v>1</x:v>
      </x:c>
      <x:c r="CO1025" s="142" t="n">
        <x:f>IF(C1025="","",COUNT(G1025:CB1025)/74)</x:f>
        <x:v>1</x:v>
      </x:c>
      <x:c r="CP1025" s="245" t="str">
        <x:v>داده نمونه کامل برای ماه تیر - دانش‌آموز شماره 86</x:v>
      </x:c>
    </x:row>
    <x:row r="1026">
      <x:c r="A1026" s="165" t="n">
        <x:v>1022</x:v>
      </x:c>
      <x:c r="B1026" s="233" t="str">
        <x:v>مرداد</x:v>
      </x:c>
      <x:c r="C1026" s="233" t="n">
        <x:f>IF('دانش‌آموزان'!E90="","",'دانش‌آموزان'!B90)</x:f>
        <x:v>86</x:v>
      </x:c>
      <x:c r="D1026" s="233" t="str">
        <x:f>IF('دانش‌آموزان'!C90="","",'دانش‌آموزان'!C90)</x:f>
        <x:v>4000000861</x:v>
      </x:c>
      <x:c r="E1026" s="233" t="str">
        <x:f>IF('دانش‌آموزان'!E90="","",'دانش‌آموزان'!E90&amp;" "&amp;'دانش‌آموزان'!F90)</x:f>
        <x:v>سارا خلیلی</x:v>
      </x:c>
      <x:c r="F1026" s="166" t="str">
        <x:f>IF('دانش‌آموزان'!I90="","",'دانش‌آموزان'!I90)</x:f>
        <x:v>sample-7-d</x:v>
      </x:c>
      <x:c r="G1026" s="114"/>
      <x:c r="H1026" s="115"/>
      <x:c r="I1026" s="115"/>
      <x:c r="J1026" s="115"/>
      <x:c r="K1026" s="115"/>
      <x:c r="L1026" s="115"/>
      <x:c r="M1026" s="115"/>
      <x:c r="N1026" s="115"/>
      <x:c r="O1026" s="115"/>
      <x:c r="P1026" s="115"/>
      <x:c r="Q1026" s="115"/>
      <x:c r="R1026" s="115"/>
      <x:c r="S1026" s="115"/>
      <x:c r="T1026" s="115"/>
      <x:c r="U1026" s="115"/>
      <x:c r="V1026" s="115"/>
      <x:c r="W1026" s="115"/>
      <x:c r="X1026" s="115"/>
      <x:c r="Y1026" s="115"/>
      <x:c r="Z1026" s="115"/>
      <x:c r="AA1026" s="115"/>
      <x:c r="AB1026" s="115"/>
      <x:c r="AC1026" s="115"/>
      <x:c r="AD1026" s="115"/>
      <x:c r="AE1026" s="115"/>
      <x:c r="AF1026" s="115"/>
      <x:c r="AG1026" s="115"/>
      <x:c r="AH1026" s="115"/>
      <x:c r="AI1026" s="115"/>
      <x:c r="AJ1026" s="115"/>
      <x:c r="AK1026" s="115"/>
      <x:c r="AL1026" s="115"/>
      <x:c r="AM1026" s="115"/>
      <x:c r="AN1026" s="115"/>
      <x:c r="AO1026" s="115"/>
      <x:c r="AP1026" s="115"/>
      <x:c r="AQ1026" s="115"/>
      <x:c r="AR1026" s="115"/>
      <x:c r="AS1026" s="115"/>
      <x:c r="AT1026" s="115"/>
      <x:c r="AU1026" s="115"/>
      <x:c r="AV1026" s="115"/>
      <x:c r="AW1026" s="115"/>
      <x:c r="AX1026" s="115"/>
      <x:c r="AY1026" s="115"/>
      <x:c r="AZ1026" s="115"/>
      <x:c r="BA1026" s="115"/>
      <x:c r="BB1026" s="115"/>
      <x:c r="BC1026" s="115"/>
      <x:c r="BD1026" s="115"/>
      <x:c r="BE1026" s="115"/>
      <x:c r="BF1026" s="115"/>
      <x:c r="BG1026" s="115"/>
      <x:c r="BH1026" s="115"/>
      <x:c r="BI1026" s="115"/>
      <x:c r="BJ1026" s="115"/>
      <x:c r="BK1026" s="115"/>
      <x:c r="BL1026" s="115"/>
      <x:c r="BM1026" s="115"/>
      <x:c r="BN1026" s="115"/>
      <x:c r="BO1026" s="115"/>
      <x:c r="BP1026" s="115"/>
      <x:c r="BQ1026" s="115"/>
      <x:c r="BR1026" s="115"/>
      <x:c r="BS1026" s="115"/>
      <x:c r="BT1026" s="115"/>
      <x:c r="BU1026" s="115"/>
      <x:c r="BV1026" s="115"/>
      <x:c r="BW1026" s="115"/>
      <x:c r="BX1026" s="115"/>
      <x:c r="BY1026" s="115"/>
      <x:c r="BZ1026" s="115"/>
      <x:c r="CA1026" s="115"/>
      <x:c r="CB1026" s="116"/>
      <x:c r="CC1026" s="141" t="str">
        <x:f>IF(COUNT(G1026:P1026)=0,"",AVERAGE(G1026:P1026)*4)</x:f>
      </x:c>
      <x:c r="CD1026" s="178" t="str">
        <x:f>IF(COUNT(Q1026:Z1026)=0,"",AVERAGE(Q1026:Z1026)*4)</x:f>
      </x:c>
      <x:c r="CE1026" s="178" t="str">
        <x:f>IF(COUNT(AA1026:AJ1026)=0,"",AVERAGE(AA1026:AJ1026)*4)</x:f>
      </x:c>
      <x:c r="CF1026" s="178" t="str">
        <x:f>IF(COUNT(AK1026:AR1026)=0,"",AVERAGE(AK1026:AR1026)*4)</x:f>
      </x:c>
      <x:c r="CG1026" s="178" t="str">
        <x:f>IF(COUNT(AS1026:AY1026)=0,"",AVERAGE(AS1026:AY1026)*4)</x:f>
      </x:c>
      <x:c r="CH1026" s="178" t="str">
        <x:f>IF(COUNT(AZ1026:BG1026)=0,"",AVERAGE(AZ1026:BG1026)*4)</x:f>
      </x:c>
      <x:c r="CI1026" s="178" t="str">
        <x:f>IF(COUNT(BH1026:BN1026)=0,"",AVERAGE(BH1026:BN1026)*4)</x:f>
      </x:c>
      <x:c r="CJ1026" s="178" t="str">
        <x:f>IF(COUNT(BO1026:BU1026)=0,"",AVERAGE(BO1026:BU1026)*4)</x:f>
      </x:c>
      <x:c r="CK1026" s="178" t="str">
        <x:f>IF(COUNT(BV1026:CB1026)=0,"",AVERAGE(BV1026:CB1026)*4)</x:f>
      </x:c>
      <x:c r="CL1026" s="178" t="str">
        <x:f>IF(C1026="","",IF(COUNT(G1026:CB1026)&lt;74,"",(CC1026*'تنظیمات وزن‌دهی'!$C$5+CD1026*'تنظیمات وزن‌دهی'!$C$6+CE1026*'تنظیمات وزن‌دهی'!$C$7+CF1026*'تنظیمات وزن‌دهی'!$C$8+CG1026*'تنظیمات وزن‌دهی'!$C$9+CH1026*'تنظیمات وزن‌دهی'!$C$10+CI1026*'تنظیمات وزن‌دهی'!$C$11+CJ1026*'تنظیمات وزن‌دهی'!$C$12+CK1026*'تنظیمات وزن‌دهی'!$C$13)/100))</x:f>
      </x:c>
      <x:c r="CM1026" s="178" t="str">
        <x:f>IF(C1026="","",IF(COUNT(G1026:CB1026)=0,"",IF(COUNT(G1026:CB1026)&lt;74,"موقت - اطلاعات ناقص",IF(CL1026&gt;=17,"عالی",IF(CL1026&gt;=14,"خوب",IF(CL1026&gt;=10,"متوسط","ضعیف"))))))</x:f>
      </x:c>
      <x:c r="CN1026" s="178" t="n">
        <x:v>2</x:v>
      </x:c>
      <x:c r="CO1026" s="142" t="n">
        <x:f>IF(C1026="","",COUNT(G1026:CB1026)/74)</x:f>
        <x:v>0</x:v>
      </x:c>
      <x:c r="CP1026" s="245"/>
    </x:row>
    <x:row r="1027">
      <x:c r="A1027" s="165" t="n">
        <x:v>1023</x:v>
      </x:c>
      <x:c r="B1027" s="233" t="str">
        <x:v>شهریور</x:v>
      </x:c>
      <x:c r="C1027" s="233" t="n">
        <x:f>IF('دانش‌آموزان'!E90="","",'دانش‌آموزان'!B90)</x:f>
        <x:v>86</x:v>
      </x:c>
      <x:c r="D1027" s="233" t="str">
        <x:f>IF('دانش‌آموزان'!C90="","",'دانش‌آموزان'!C90)</x:f>
        <x:v>4000000861</x:v>
      </x:c>
      <x:c r="E1027" s="233" t="str">
        <x:f>IF('دانش‌آموزان'!E90="","",'دانش‌آموزان'!E90&amp;" "&amp;'دانش‌آموزان'!F90)</x:f>
        <x:v>سارا خلیلی</x:v>
      </x:c>
      <x:c r="F1027" s="166" t="str">
        <x:f>IF('دانش‌آموزان'!I90="","",'دانش‌آموزان'!I90)</x:f>
        <x:v>sample-7-d</x:v>
      </x:c>
      <x:c r="G1027" s="114"/>
      <x:c r="H1027" s="115"/>
      <x:c r="I1027" s="115"/>
      <x:c r="J1027" s="115"/>
      <x:c r="K1027" s="115"/>
      <x:c r="L1027" s="115"/>
      <x:c r="M1027" s="115"/>
      <x:c r="N1027" s="115"/>
      <x:c r="O1027" s="115"/>
      <x:c r="P1027" s="115"/>
      <x:c r="Q1027" s="115"/>
      <x:c r="R1027" s="115"/>
      <x:c r="S1027" s="115"/>
      <x:c r="T1027" s="115"/>
      <x:c r="U1027" s="115"/>
      <x:c r="V1027" s="115"/>
      <x:c r="W1027" s="115"/>
      <x:c r="X1027" s="115"/>
      <x:c r="Y1027" s="115"/>
      <x:c r="Z1027" s="115"/>
      <x:c r="AA1027" s="115"/>
      <x:c r="AB1027" s="115"/>
      <x:c r="AC1027" s="115"/>
      <x:c r="AD1027" s="115"/>
      <x:c r="AE1027" s="115"/>
      <x:c r="AF1027" s="115"/>
      <x:c r="AG1027" s="115"/>
      <x:c r="AH1027" s="115"/>
      <x:c r="AI1027" s="115"/>
      <x:c r="AJ1027" s="115"/>
      <x:c r="AK1027" s="115"/>
      <x:c r="AL1027" s="115"/>
      <x:c r="AM1027" s="115"/>
      <x:c r="AN1027" s="115"/>
      <x:c r="AO1027" s="115"/>
      <x:c r="AP1027" s="115"/>
      <x:c r="AQ1027" s="115"/>
      <x:c r="AR1027" s="115"/>
      <x:c r="AS1027" s="115"/>
      <x:c r="AT1027" s="115"/>
      <x:c r="AU1027" s="115"/>
      <x:c r="AV1027" s="115"/>
      <x:c r="AW1027" s="115"/>
      <x:c r="AX1027" s="115"/>
      <x:c r="AY1027" s="115"/>
      <x:c r="AZ1027" s="115"/>
      <x:c r="BA1027" s="115"/>
      <x:c r="BB1027" s="115"/>
      <x:c r="BC1027" s="115"/>
      <x:c r="BD1027" s="115"/>
      <x:c r="BE1027" s="115"/>
      <x:c r="BF1027" s="115"/>
      <x:c r="BG1027" s="115"/>
      <x:c r="BH1027" s="115"/>
      <x:c r="BI1027" s="115"/>
      <x:c r="BJ1027" s="115"/>
      <x:c r="BK1027" s="115"/>
      <x:c r="BL1027" s="115"/>
      <x:c r="BM1027" s="115"/>
      <x:c r="BN1027" s="115"/>
      <x:c r="BO1027" s="115"/>
      <x:c r="BP1027" s="115"/>
      <x:c r="BQ1027" s="115"/>
      <x:c r="BR1027" s="115"/>
      <x:c r="BS1027" s="115"/>
      <x:c r="BT1027" s="115"/>
      <x:c r="BU1027" s="115"/>
      <x:c r="BV1027" s="115"/>
      <x:c r="BW1027" s="115"/>
      <x:c r="BX1027" s="115"/>
      <x:c r="BY1027" s="115"/>
      <x:c r="BZ1027" s="115"/>
      <x:c r="CA1027" s="115"/>
      <x:c r="CB1027" s="116"/>
      <x:c r="CC1027" s="141" t="str">
        <x:f>IF(COUNT(G1027:P1027)=0,"",AVERAGE(G1027:P1027)*4)</x:f>
      </x:c>
      <x:c r="CD1027" s="178" t="str">
        <x:f>IF(COUNT(Q1027:Z1027)=0,"",AVERAGE(Q1027:Z1027)*4)</x:f>
      </x:c>
      <x:c r="CE1027" s="178" t="str">
        <x:f>IF(COUNT(AA1027:AJ1027)=0,"",AVERAGE(AA1027:AJ1027)*4)</x:f>
      </x:c>
      <x:c r="CF1027" s="178" t="str">
        <x:f>IF(COUNT(AK1027:AR1027)=0,"",AVERAGE(AK1027:AR1027)*4)</x:f>
      </x:c>
      <x:c r="CG1027" s="178" t="str">
        <x:f>IF(COUNT(AS1027:AY1027)=0,"",AVERAGE(AS1027:AY1027)*4)</x:f>
      </x:c>
      <x:c r="CH1027" s="178" t="str">
        <x:f>IF(COUNT(AZ1027:BG1027)=0,"",AVERAGE(AZ1027:BG1027)*4)</x:f>
      </x:c>
      <x:c r="CI1027" s="178" t="str">
        <x:f>IF(COUNT(BH1027:BN1027)=0,"",AVERAGE(BH1027:BN1027)*4)</x:f>
      </x:c>
      <x:c r="CJ1027" s="178" t="str">
        <x:f>IF(COUNT(BO1027:BU1027)=0,"",AVERAGE(BO1027:BU1027)*4)</x:f>
      </x:c>
      <x:c r="CK1027" s="178" t="str">
        <x:f>IF(COUNT(BV1027:CB1027)=0,"",AVERAGE(BV1027:CB1027)*4)</x:f>
      </x:c>
      <x:c r="CL1027" s="178" t="str">
        <x:f>IF(C1027="","",IF(COUNT(G1027:CB1027)&lt;74,"",(CC1027*'تنظیمات وزن‌دهی'!$C$5+CD1027*'تنظیمات وزن‌دهی'!$C$6+CE1027*'تنظیمات وزن‌دهی'!$C$7+CF1027*'تنظیمات وزن‌دهی'!$C$8+CG1027*'تنظیمات وزن‌دهی'!$C$9+CH1027*'تنظیمات وزن‌دهی'!$C$10+CI1027*'تنظیمات وزن‌دهی'!$C$11+CJ1027*'تنظیمات وزن‌دهی'!$C$12+CK1027*'تنظیمات وزن‌دهی'!$C$13)/100))</x:f>
      </x:c>
      <x:c r="CM1027" s="178" t="str">
        <x:f>IF(C1027="","",IF(COUNT(G1027:CB1027)=0,"",IF(COUNT(G1027:CB1027)&lt;74,"موقت - اطلاعات ناقص",IF(CL1027&gt;=17,"عالی",IF(CL1027&gt;=14,"خوب",IF(CL1027&gt;=10,"متوسط","ضعیف"))))))</x:f>
      </x:c>
      <x:c r="CN1027" s="178" t="n">
        <x:v>3</x:v>
      </x:c>
      <x:c r="CO1027" s="142" t="n">
        <x:f>IF(C1027="","",COUNT(G1027:CB1027)/74)</x:f>
        <x:v>0</x:v>
      </x:c>
      <x:c r="CP1027" s="245"/>
    </x:row>
    <x:row r="1028">
      <x:c r="A1028" s="165" t="n">
        <x:v>1024</x:v>
      </x:c>
      <x:c r="B1028" s="233" t="str">
        <x:v>مهر</x:v>
      </x:c>
      <x:c r="C1028" s="233" t="n">
        <x:f>IF('دانش‌آموزان'!E90="","",'دانش‌آموزان'!B90)</x:f>
        <x:v>86</x:v>
      </x:c>
      <x:c r="D1028" s="233" t="str">
        <x:f>IF('دانش‌آموزان'!C90="","",'دانش‌آموزان'!C90)</x:f>
        <x:v>4000000861</x:v>
      </x:c>
      <x:c r="E1028" s="233" t="str">
        <x:f>IF('دانش‌آموزان'!E90="","",'دانش‌آموزان'!E90&amp;" "&amp;'دانش‌آموزان'!F90)</x:f>
        <x:v>سارا خلیلی</x:v>
      </x:c>
      <x:c r="F1028" s="166" t="str">
        <x:f>IF('دانش‌آموزان'!I90="","",'دانش‌آموزان'!I90)</x:f>
        <x:v>sample-7-d</x:v>
      </x:c>
      <x:c r="G1028" s="114"/>
      <x:c r="H1028" s="115"/>
      <x:c r="I1028" s="115"/>
      <x:c r="J1028" s="115"/>
      <x:c r="K1028" s="115"/>
      <x:c r="L1028" s="115"/>
      <x:c r="M1028" s="115"/>
      <x:c r="N1028" s="115"/>
      <x:c r="O1028" s="115"/>
      <x:c r="P1028" s="115"/>
      <x:c r="Q1028" s="115"/>
      <x:c r="R1028" s="115"/>
      <x:c r="S1028" s="115"/>
      <x:c r="T1028" s="115"/>
      <x:c r="U1028" s="115"/>
      <x:c r="V1028" s="115"/>
      <x:c r="W1028" s="115"/>
      <x:c r="X1028" s="115"/>
      <x:c r="Y1028" s="115"/>
      <x:c r="Z1028" s="115"/>
      <x:c r="AA1028" s="115"/>
      <x:c r="AB1028" s="115"/>
      <x:c r="AC1028" s="115"/>
      <x:c r="AD1028" s="115"/>
      <x:c r="AE1028" s="115"/>
      <x:c r="AF1028" s="115"/>
      <x:c r="AG1028" s="115"/>
      <x:c r="AH1028" s="115"/>
      <x:c r="AI1028" s="115"/>
      <x:c r="AJ1028" s="115"/>
      <x:c r="AK1028" s="115"/>
      <x:c r="AL1028" s="115"/>
      <x:c r="AM1028" s="115"/>
      <x:c r="AN1028" s="115"/>
      <x:c r="AO1028" s="115"/>
      <x:c r="AP1028" s="115"/>
      <x:c r="AQ1028" s="115"/>
      <x:c r="AR1028" s="115"/>
      <x:c r="AS1028" s="115"/>
      <x:c r="AT1028" s="115"/>
      <x:c r="AU1028" s="115"/>
      <x:c r="AV1028" s="115"/>
      <x:c r="AW1028" s="115"/>
      <x:c r="AX1028" s="115"/>
      <x:c r="AY1028" s="115"/>
      <x:c r="AZ1028" s="115"/>
      <x:c r="BA1028" s="115"/>
      <x:c r="BB1028" s="115"/>
      <x:c r="BC1028" s="115"/>
      <x:c r="BD1028" s="115"/>
      <x:c r="BE1028" s="115"/>
      <x:c r="BF1028" s="115"/>
      <x:c r="BG1028" s="115"/>
      <x:c r="BH1028" s="115"/>
      <x:c r="BI1028" s="115"/>
      <x:c r="BJ1028" s="115"/>
      <x:c r="BK1028" s="115"/>
      <x:c r="BL1028" s="115"/>
      <x:c r="BM1028" s="115"/>
      <x:c r="BN1028" s="115"/>
      <x:c r="BO1028" s="115"/>
      <x:c r="BP1028" s="115"/>
      <x:c r="BQ1028" s="115"/>
      <x:c r="BR1028" s="115"/>
      <x:c r="BS1028" s="115"/>
      <x:c r="BT1028" s="115"/>
      <x:c r="BU1028" s="115"/>
      <x:c r="BV1028" s="115"/>
      <x:c r="BW1028" s="115"/>
      <x:c r="BX1028" s="115"/>
      <x:c r="BY1028" s="115"/>
      <x:c r="BZ1028" s="115"/>
      <x:c r="CA1028" s="115"/>
      <x:c r="CB1028" s="116"/>
      <x:c r="CC1028" s="141" t="str">
        <x:f>IF(COUNT(G1028:P1028)=0,"",AVERAGE(G1028:P1028)*4)</x:f>
      </x:c>
      <x:c r="CD1028" s="178" t="str">
        <x:f>IF(COUNT(Q1028:Z1028)=0,"",AVERAGE(Q1028:Z1028)*4)</x:f>
      </x:c>
      <x:c r="CE1028" s="178" t="str">
        <x:f>IF(COUNT(AA1028:AJ1028)=0,"",AVERAGE(AA1028:AJ1028)*4)</x:f>
      </x:c>
      <x:c r="CF1028" s="178" t="str">
        <x:f>IF(COUNT(AK1028:AR1028)=0,"",AVERAGE(AK1028:AR1028)*4)</x:f>
      </x:c>
      <x:c r="CG1028" s="178" t="str">
        <x:f>IF(COUNT(AS1028:AY1028)=0,"",AVERAGE(AS1028:AY1028)*4)</x:f>
      </x:c>
      <x:c r="CH1028" s="178" t="str">
        <x:f>IF(COUNT(AZ1028:BG1028)=0,"",AVERAGE(AZ1028:BG1028)*4)</x:f>
      </x:c>
      <x:c r="CI1028" s="178" t="str">
        <x:f>IF(COUNT(BH1028:BN1028)=0,"",AVERAGE(BH1028:BN1028)*4)</x:f>
      </x:c>
      <x:c r="CJ1028" s="178" t="str">
        <x:f>IF(COUNT(BO1028:BU1028)=0,"",AVERAGE(BO1028:BU1028)*4)</x:f>
      </x:c>
      <x:c r="CK1028" s="178" t="str">
        <x:f>IF(COUNT(BV1028:CB1028)=0,"",AVERAGE(BV1028:CB1028)*4)</x:f>
      </x:c>
      <x:c r="CL1028" s="178" t="str">
        <x:f>IF(C1028="","",IF(COUNT(G1028:CB1028)&lt;74,"",(CC1028*'تنظیمات وزن‌دهی'!$C$5+CD1028*'تنظیمات وزن‌دهی'!$C$6+CE1028*'تنظیمات وزن‌دهی'!$C$7+CF1028*'تنظیمات وزن‌دهی'!$C$8+CG1028*'تنظیمات وزن‌دهی'!$C$9+CH1028*'تنظیمات وزن‌دهی'!$C$10+CI1028*'تنظیمات وزن‌دهی'!$C$11+CJ1028*'تنظیمات وزن‌دهی'!$C$12+CK1028*'تنظیمات وزن‌دهی'!$C$13)/100))</x:f>
      </x:c>
      <x:c r="CM1028" s="178" t="str">
        <x:f>IF(C1028="","",IF(COUNT(G1028:CB1028)=0,"",IF(COUNT(G1028:CB1028)&lt;74,"موقت - اطلاعات ناقص",IF(CL1028&gt;=17,"عالی",IF(CL1028&gt;=14,"خوب",IF(CL1028&gt;=10,"متوسط","ضعیف"))))))</x:f>
      </x:c>
      <x:c r="CN1028" s="178" t="n">
        <x:v>4</x:v>
      </x:c>
      <x:c r="CO1028" s="142" t="n">
        <x:f>IF(C1028="","",COUNT(G1028:CB1028)/74)</x:f>
        <x:v>0</x:v>
      </x:c>
      <x:c r="CP1028" s="245"/>
    </x:row>
    <x:row r="1029">
      <x:c r="A1029" s="165" t="n">
        <x:v>1025</x:v>
      </x:c>
      <x:c r="B1029" s="233" t="str">
        <x:v>آبان</x:v>
      </x:c>
      <x:c r="C1029" s="233" t="n">
        <x:f>IF('دانش‌آموزان'!E90="","",'دانش‌آموزان'!B90)</x:f>
        <x:v>86</x:v>
      </x:c>
      <x:c r="D1029" s="233" t="str">
        <x:f>IF('دانش‌آموزان'!C90="","",'دانش‌آموزان'!C90)</x:f>
        <x:v>4000000861</x:v>
      </x:c>
      <x:c r="E1029" s="233" t="str">
        <x:f>IF('دانش‌آموزان'!E90="","",'دانش‌آموزان'!E90&amp;" "&amp;'دانش‌آموزان'!F90)</x:f>
        <x:v>سارا خلیلی</x:v>
      </x:c>
      <x:c r="F1029" s="166" t="str">
        <x:f>IF('دانش‌آموزان'!I90="","",'دانش‌آموزان'!I90)</x:f>
        <x:v>sample-7-d</x:v>
      </x:c>
      <x:c r="G1029" s="114"/>
      <x:c r="H1029" s="115"/>
      <x:c r="I1029" s="115"/>
      <x:c r="J1029" s="115"/>
      <x:c r="K1029" s="115"/>
      <x:c r="L1029" s="115"/>
      <x:c r="M1029" s="115"/>
      <x:c r="N1029" s="115"/>
      <x:c r="O1029" s="115"/>
      <x:c r="P1029" s="115"/>
      <x:c r="Q1029" s="115"/>
      <x:c r="R1029" s="115"/>
      <x:c r="S1029" s="115"/>
      <x:c r="T1029" s="115"/>
      <x:c r="U1029" s="115"/>
      <x:c r="V1029" s="115"/>
      <x:c r="W1029" s="115"/>
      <x:c r="X1029" s="115"/>
      <x:c r="Y1029" s="115"/>
      <x:c r="Z1029" s="115"/>
      <x:c r="AA1029" s="115"/>
      <x:c r="AB1029" s="115"/>
      <x:c r="AC1029" s="115"/>
      <x:c r="AD1029" s="115"/>
      <x:c r="AE1029" s="115"/>
      <x:c r="AF1029" s="115"/>
      <x:c r="AG1029" s="115"/>
      <x:c r="AH1029" s="115"/>
      <x:c r="AI1029" s="115"/>
      <x:c r="AJ1029" s="115"/>
      <x:c r="AK1029" s="115"/>
      <x:c r="AL1029" s="115"/>
      <x:c r="AM1029" s="115"/>
      <x:c r="AN1029" s="115"/>
      <x:c r="AO1029" s="115"/>
      <x:c r="AP1029" s="115"/>
      <x:c r="AQ1029" s="115"/>
      <x:c r="AR1029" s="115"/>
      <x:c r="AS1029" s="115"/>
      <x:c r="AT1029" s="115"/>
      <x:c r="AU1029" s="115"/>
      <x:c r="AV1029" s="115"/>
      <x:c r="AW1029" s="115"/>
      <x:c r="AX1029" s="115"/>
      <x:c r="AY1029" s="115"/>
      <x:c r="AZ1029" s="115"/>
      <x:c r="BA1029" s="115"/>
      <x:c r="BB1029" s="115"/>
      <x:c r="BC1029" s="115"/>
      <x:c r="BD1029" s="115"/>
      <x:c r="BE1029" s="115"/>
      <x:c r="BF1029" s="115"/>
      <x:c r="BG1029" s="115"/>
      <x:c r="BH1029" s="115"/>
      <x:c r="BI1029" s="115"/>
      <x:c r="BJ1029" s="115"/>
      <x:c r="BK1029" s="115"/>
      <x:c r="BL1029" s="115"/>
      <x:c r="BM1029" s="115"/>
      <x:c r="BN1029" s="115"/>
      <x:c r="BO1029" s="115"/>
      <x:c r="BP1029" s="115"/>
      <x:c r="BQ1029" s="115"/>
      <x:c r="BR1029" s="115"/>
      <x:c r="BS1029" s="115"/>
      <x:c r="BT1029" s="115"/>
      <x:c r="BU1029" s="115"/>
      <x:c r="BV1029" s="115"/>
      <x:c r="BW1029" s="115"/>
      <x:c r="BX1029" s="115"/>
      <x:c r="BY1029" s="115"/>
      <x:c r="BZ1029" s="115"/>
      <x:c r="CA1029" s="115"/>
      <x:c r="CB1029" s="116"/>
      <x:c r="CC1029" s="141" t="str">
        <x:f>IF(COUNT(G1029:P1029)=0,"",AVERAGE(G1029:P1029)*4)</x:f>
      </x:c>
      <x:c r="CD1029" s="178" t="str">
        <x:f>IF(COUNT(Q1029:Z1029)=0,"",AVERAGE(Q1029:Z1029)*4)</x:f>
      </x:c>
      <x:c r="CE1029" s="178" t="str">
        <x:f>IF(COUNT(AA1029:AJ1029)=0,"",AVERAGE(AA1029:AJ1029)*4)</x:f>
      </x:c>
      <x:c r="CF1029" s="178" t="str">
        <x:f>IF(COUNT(AK1029:AR1029)=0,"",AVERAGE(AK1029:AR1029)*4)</x:f>
      </x:c>
      <x:c r="CG1029" s="178" t="str">
        <x:f>IF(COUNT(AS1029:AY1029)=0,"",AVERAGE(AS1029:AY1029)*4)</x:f>
      </x:c>
      <x:c r="CH1029" s="178" t="str">
        <x:f>IF(COUNT(AZ1029:BG1029)=0,"",AVERAGE(AZ1029:BG1029)*4)</x:f>
      </x:c>
      <x:c r="CI1029" s="178" t="str">
        <x:f>IF(COUNT(BH1029:BN1029)=0,"",AVERAGE(BH1029:BN1029)*4)</x:f>
      </x:c>
      <x:c r="CJ1029" s="178" t="str">
        <x:f>IF(COUNT(BO1029:BU1029)=0,"",AVERAGE(BO1029:BU1029)*4)</x:f>
      </x:c>
      <x:c r="CK1029" s="178" t="str">
        <x:f>IF(COUNT(BV1029:CB1029)=0,"",AVERAGE(BV1029:CB1029)*4)</x:f>
      </x:c>
      <x:c r="CL1029" s="178" t="str">
        <x:f>IF(C1029="","",IF(COUNT(G1029:CB1029)&lt;74,"",(CC1029*'تنظیمات وزن‌دهی'!$C$5+CD1029*'تنظیمات وزن‌دهی'!$C$6+CE1029*'تنظیمات وزن‌دهی'!$C$7+CF1029*'تنظیمات وزن‌دهی'!$C$8+CG1029*'تنظیمات وزن‌دهی'!$C$9+CH1029*'تنظیمات وزن‌دهی'!$C$10+CI1029*'تنظیمات وزن‌دهی'!$C$11+CJ1029*'تنظیمات وزن‌دهی'!$C$12+CK1029*'تنظیمات وزن‌دهی'!$C$13)/100))</x:f>
      </x:c>
      <x:c r="CM1029" s="178" t="str">
        <x:f>IF(C1029="","",IF(COUNT(G1029:CB1029)=0,"",IF(COUNT(G1029:CB1029)&lt;74,"موقت - اطلاعات ناقص",IF(CL1029&gt;=17,"عالی",IF(CL1029&gt;=14,"خوب",IF(CL1029&gt;=10,"متوسط","ضعیف"))))))</x:f>
      </x:c>
      <x:c r="CN1029" s="178" t="n">
        <x:v>5</x:v>
      </x:c>
      <x:c r="CO1029" s="142" t="n">
        <x:f>IF(C1029="","",COUNT(G1029:CB1029)/74)</x:f>
        <x:v>0</x:v>
      </x:c>
      <x:c r="CP1029" s="245"/>
    </x:row>
    <x:row r="1030">
      <x:c r="A1030" s="165" t="n">
        <x:v>1026</x:v>
      </x:c>
      <x:c r="B1030" s="233" t="str">
        <x:v>آذر</x:v>
      </x:c>
      <x:c r="C1030" s="233" t="n">
        <x:f>IF('دانش‌آموزان'!E90="","",'دانش‌آموزان'!B90)</x:f>
        <x:v>86</x:v>
      </x:c>
      <x:c r="D1030" s="233" t="str">
        <x:f>IF('دانش‌آموزان'!C90="","",'دانش‌آموزان'!C90)</x:f>
        <x:v>4000000861</x:v>
      </x:c>
      <x:c r="E1030" s="233" t="str">
        <x:f>IF('دانش‌آموزان'!E90="","",'دانش‌آموزان'!E90&amp;" "&amp;'دانش‌آموزان'!F90)</x:f>
        <x:v>سارا خلیلی</x:v>
      </x:c>
      <x:c r="F1030" s="166" t="str">
        <x:f>IF('دانش‌آموزان'!I90="","",'دانش‌آموزان'!I90)</x:f>
        <x:v>sample-7-d</x:v>
      </x:c>
      <x:c r="G1030" s="114"/>
      <x:c r="H1030" s="115"/>
      <x:c r="I1030" s="115"/>
      <x:c r="J1030" s="115"/>
      <x:c r="K1030" s="115"/>
      <x:c r="L1030" s="115"/>
      <x:c r="M1030" s="115"/>
      <x:c r="N1030" s="115"/>
      <x:c r="O1030" s="115"/>
      <x:c r="P1030" s="115"/>
      <x:c r="Q1030" s="115"/>
      <x:c r="R1030" s="115"/>
      <x:c r="S1030" s="115"/>
      <x:c r="T1030" s="115"/>
      <x:c r="U1030" s="115"/>
      <x:c r="V1030" s="115"/>
      <x:c r="W1030" s="115"/>
      <x:c r="X1030" s="115"/>
      <x:c r="Y1030" s="115"/>
      <x:c r="Z1030" s="115"/>
      <x:c r="AA1030" s="115"/>
      <x:c r="AB1030" s="115"/>
      <x:c r="AC1030" s="115"/>
      <x:c r="AD1030" s="115"/>
      <x:c r="AE1030" s="115"/>
      <x:c r="AF1030" s="115"/>
      <x:c r="AG1030" s="115"/>
      <x:c r="AH1030" s="115"/>
      <x:c r="AI1030" s="115"/>
      <x:c r="AJ1030" s="115"/>
      <x:c r="AK1030" s="115"/>
      <x:c r="AL1030" s="115"/>
      <x:c r="AM1030" s="115"/>
      <x:c r="AN1030" s="115"/>
      <x:c r="AO1030" s="115"/>
      <x:c r="AP1030" s="115"/>
      <x:c r="AQ1030" s="115"/>
      <x:c r="AR1030" s="115"/>
      <x:c r="AS1030" s="115"/>
      <x:c r="AT1030" s="115"/>
      <x:c r="AU1030" s="115"/>
      <x:c r="AV1030" s="115"/>
      <x:c r="AW1030" s="115"/>
      <x:c r="AX1030" s="115"/>
      <x:c r="AY1030" s="115"/>
      <x:c r="AZ1030" s="115"/>
      <x:c r="BA1030" s="115"/>
      <x:c r="BB1030" s="115"/>
      <x:c r="BC1030" s="115"/>
      <x:c r="BD1030" s="115"/>
      <x:c r="BE1030" s="115"/>
      <x:c r="BF1030" s="115"/>
      <x:c r="BG1030" s="115"/>
      <x:c r="BH1030" s="115"/>
      <x:c r="BI1030" s="115"/>
      <x:c r="BJ1030" s="115"/>
      <x:c r="BK1030" s="115"/>
      <x:c r="BL1030" s="115"/>
      <x:c r="BM1030" s="115"/>
      <x:c r="BN1030" s="115"/>
      <x:c r="BO1030" s="115"/>
      <x:c r="BP1030" s="115"/>
      <x:c r="BQ1030" s="115"/>
      <x:c r="BR1030" s="115"/>
      <x:c r="BS1030" s="115"/>
      <x:c r="BT1030" s="115"/>
      <x:c r="BU1030" s="115"/>
      <x:c r="BV1030" s="115"/>
      <x:c r="BW1030" s="115"/>
      <x:c r="BX1030" s="115"/>
      <x:c r="BY1030" s="115"/>
      <x:c r="BZ1030" s="115"/>
      <x:c r="CA1030" s="115"/>
      <x:c r="CB1030" s="116"/>
      <x:c r="CC1030" s="141" t="str">
        <x:f>IF(COUNT(G1030:P1030)=0,"",AVERAGE(G1030:P1030)*4)</x:f>
      </x:c>
      <x:c r="CD1030" s="178" t="str">
        <x:f>IF(COUNT(Q1030:Z1030)=0,"",AVERAGE(Q1030:Z1030)*4)</x:f>
      </x:c>
      <x:c r="CE1030" s="178" t="str">
        <x:f>IF(COUNT(AA1030:AJ1030)=0,"",AVERAGE(AA1030:AJ1030)*4)</x:f>
      </x:c>
      <x:c r="CF1030" s="178" t="str">
        <x:f>IF(COUNT(AK1030:AR1030)=0,"",AVERAGE(AK1030:AR1030)*4)</x:f>
      </x:c>
      <x:c r="CG1030" s="178" t="str">
        <x:f>IF(COUNT(AS1030:AY1030)=0,"",AVERAGE(AS1030:AY1030)*4)</x:f>
      </x:c>
      <x:c r="CH1030" s="178" t="str">
        <x:f>IF(COUNT(AZ1030:BG1030)=0,"",AVERAGE(AZ1030:BG1030)*4)</x:f>
      </x:c>
      <x:c r="CI1030" s="178" t="str">
        <x:f>IF(COUNT(BH1030:BN1030)=0,"",AVERAGE(BH1030:BN1030)*4)</x:f>
      </x:c>
      <x:c r="CJ1030" s="178" t="str">
        <x:f>IF(COUNT(BO1030:BU1030)=0,"",AVERAGE(BO1030:BU1030)*4)</x:f>
      </x:c>
      <x:c r="CK1030" s="178" t="str">
        <x:f>IF(COUNT(BV1030:CB1030)=0,"",AVERAGE(BV1030:CB1030)*4)</x:f>
      </x:c>
      <x:c r="CL1030" s="178" t="str">
        <x:f>IF(C1030="","",IF(COUNT(G1030:CB1030)&lt;74,"",(CC1030*'تنظیمات وزن‌دهی'!$C$5+CD1030*'تنظیمات وزن‌دهی'!$C$6+CE1030*'تنظیمات وزن‌دهی'!$C$7+CF1030*'تنظیمات وزن‌دهی'!$C$8+CG1030*'تنظیمات وزن‌دهی'!$C$9+CH1030*'تنظیمات وزن‌دهی'!$C$10+CI1030*'تنظیمات وزن‌دهی'!$C$11+CJ1030*'تنظیمات وزن‌دهی'!$C$12+CK1030*'تنظیمات وزن‌دهی'!$C$13)/100))</x:f>
      </x:c>
      <x:c r="CM1030" s="178" t="str">
        <x:f>IF(C1030="","",IF(COUNT(G1030:CB1030)=0,"",IF(COUNT(G1030:CB1030)&lt;74,"موقت - اطلاعات ناقص",IF(CL1030&gt;=17,"عالی",IF(CL1030&gt;=14,"خوب",IF(CL1030&gt;=10,"متوسط","ضعیف"))))))</x:f>
      </x:c>
      <x:c r="CN1030" s="178" t="n">
        <x:v>6</x:v>
      </x:c>
      <x:c r="CO1030" s="142" t="n">
        <x:f>IF(C1030="","",COUNT(G1030:CB1030)/74)</x:f>
        <x:v>0</x:v>
      </x:c>
      <x:c r="CP1030" s="245"/>
    </x:row>
    <x:row r="1031">
      <x:c r="A1031" s="165" t="n">
        <x:v>1027</x:v>
      </x:c>
      <x:c r="B1031" s="233" t="str">
        <x:v>دی</x:v>
      </x:c>
      <x:c r="C1031" s="233" t="n">
        <x:f>IF('دانش‌آموزان'!E90="","",'دانش‌آموزان'!B90)</x:f>
        <x:v>86</x:v>
      </x:c>
      <x:c r="D1031" s="233" t="str">
        <x:f>IF('دانش‌آموزان'!C90="","",'دانش‌آموزان'!C90)</x:f>
        <x:v>4000000861</x:v>
      </x:c>
      <x:c r="E1031" s="233" t="str">
        <x:f>IF('دانش‌آموزان'!E90="","",'دانش‌آموزان'!E90&amp;" "&amp;'دانش‌آموزان'!F90)</x:f>
        <x:v>سارا خلیلی</x:v>
      </x:c>
      <x:c r="F1031" s="166" t="str">
        <x:f>IF('دانش‌آموزان'!I90="","",'دانش‌آموزان'!I90)</x:f>
        <x:v>sample-7-d</x:v>
      </x:c>
      <x:c r="G1031" s="114"/>
      <x:c r="H1031" s="115"/>
      <x:c r="I1031" s="115"/>
      <x:c r="J1031" s="115"/>
      <x:c r="K1031" s="115"/>
      <x:c r="L1031" s="115"/>
      <x:c r="M1031" s="115"/>
      <x:c r="N1031" s="115"/>
      <x:c r="O1031" s="115"/>
      <x:c r="P1031" s="115"/>
      <x:c r="Q1031" s="115"/>
      <x:c r="R1031" s="115"/>
      <x:c r="S1031" s="115"/>
      <x:c r="T1031" s="115"/>
      <x:c r="U1031" s="115"/>
      <x:c r="V1031" s="115"/>
      <x:c r="W1031" s="115"/>
      <x:c r="X1031" s="115"/>
      <x:c r="Y1031" s="115"/>
      <x:c r="Z1031" s="115"/>
      <x:c r="AA1031" s="115"/>
      <x:c r="AB1031" s="115"/>
      <x:c r="AC1031" s="115"/>
      <x:c r="AD1031" s="115"/>
      <x:c r="AE1031" s="115"/>
      <x:c r="AF1031" s="115"/>
      <x:c r="AG1031" s="115"/>
      <x:c r="AH1031" s="115"/>
      <x:c r="AI1031" s="115"/>
      <x:c r="AJ1031" s="115"/>
      <x:c r="AK1031" s="115"/>
      <x:c r="AL1031" s="115"/>
      <x:c r="AM1031" s="115"/>
      <x:c r="AN1031" s="115"/>
      <x:c r="AO1031" s="115"/>
      <x:c r="AP1031" s="115"/>
      <x:c r="AQ1031" s="115"/>
      <x:c r="AR1031" s="115"/>
      <x:c r="AS1031" s="115"/>
      <x:c r="AT1031" s="115"/>
      <x:c r="AU1031" s="115"/>
      <x:c r="AV1031" s="115"/>
      <x:c r="AW1031" s="115"/>
      <x:c r="AX1031" s="115"/>
      <x:c r="AY1031" s="115"/>
      <x:c r="AZ1031" s="115"/>
      <x:c r="BA1031" s="115"/>
      <x:c r="BB1031" s="115"/>
      <x:c r="BC1031" s="115"/>
      <x:c r="BD1031" s="115"/>
      <x:c r="BE1031" s="115"/>
      <x:c r="BF1031" s="115"/>
      <x:c r="BG1031" s="115"/>
      <x:c r="BH1031" s="115"/>
      <x:c r="BI1031" s="115"/>
      <x:c r="BJ1031" s="115"/>
      <x:c r="BK1031" s="115"/>
      <x:c r="BL1031" s="115"/>
      <x:c r="BM1031" s="115"/>
      <x:c r="BN1031" s="115"/>
      <x:c r="BO1031" s="115"/>
      <x:c r="BP1031" s="115"/>
      <x:c r="BQ1031" s="115"/>
      <x:c r="BR1031" s="115"/>
      <x:c r="BS1031" s="115"/>
      <x:c r="BT1031" s="115"/>
      <x:c r="BU1031" s="115"/>
      <x:c r="BV1031" s="115"/>
      <x:c r="BW1031" s="115"/>
      <x:c r="BX1031" s="115"/>
      <x:c r="BY1031" s="115"/>
      <x:c r="BZ1031" s="115"/>
      <x:c r="CA1031" s="115"/>
      <x:c r="CB1031" s="116"/>
      <x:c r="CC1031" s="141" t="str">
        <x:f>IF(COUNT(G1031:P1031)=0,"",AVERAGE(G1031:P1031)*4)</x:f>
      </x:c>
      <x:c r="CD1031" s="178" t="str">
        <x:f>IF(COUNT(Q1031:Z1031)=0,"",AVERAGE(Q1031:Z1031)*4)</x:f>
      </x:c>
      <x:c r="CE1031" s="178" t="str">
        <x:f>IF(COUNT(AA1031:AJ1031)=0,"",AVERAGE(AA1031:AJ1031)*4)</x:f>
      </x:c>
      <x:c r="CF1031" s="178" t="str">
        <x:f>IF(COUNT(AK1031:AR1031)=0,"",AVERAGE(AK1031:AR1031)*4)</x:f>
      </x:c>
      <x:c r="CG1031" s="178" t="str">
        <x:f>IF(COUNT(AS1031:AY1031)=0,"",AVERAGE(AS1031:AY1031)*4)</x:f>
      </x:c>
      <x:c r="CH1031" s="178" t="str">
        <x:f>IF(COUNT(AZ1031:BG1031)=0,"",AVERAGE(AZ1031:BG1031)*4)</x:f>
      </x:c>
      <x:c r="CI1031" s="178" t="str">
        <x:f>IF(COUNT(BH1031:BN1031)=0,"",AVERAGE(BH1031:BN1031)*4)</x:f>
      </x:c>
      <x:c r="CJ1031" s="178" t="str">
        <x:f>IF(COUNT(BO1031:BU1031)=0,"",AVERAGE(BO1031:BU1031)*4)</x:f>
      </x:c>
      <x:c r="CK1031" s="178" t="str">
        <x:f>IF(COUNT(BV1031:CB1031)=0,"",AVERAGE(BV1031:CB1031)*4)</x:f>
      </x:c>
      <x:c r="CL1031" s="178" t="str">
        <x:f>IF(C1031="","",IF(COUNT(G1031:CB1031)&lt;74,"",(CC1031*'تنظیمات وزن‌دهی'!$C$5+CD1031*'تنظیمات وزن‌دهی'!$C$6+CE1031*'تنظیمات وزن‌دهی'!$C$7+CF1031*'تنظیمات وزن‌دهی'!$C$8+CG1031*'تنظیمات وزن‌دهی'!$C$9+CH1031*'تنظیمات وزن‌دهی'!$C$10+CI1031*'تنظیمات وزن‌دهی'!$C$11+CJ1031*'تنظیمات وزن‌دهی'!$C$12+CK1031*'تنظیمات وزن‌دهی'!$C$13)/100))</x:f>
      </x:c>
      <x:c r="CM1031" s="178" t="str">
        <x:f>IF(C1031="","",IF(COUNT(G1031:CB1031)=0,"",IF(COUNT(G1031:CB1031)&lt;74,"موقت - اطلاعات ناقص",IF(CL1031&gt;=17,"عالی",IF(CL1031&gt;=14,"خوب",IF(CL1031&gt;=10,"متوسط","ضعیف"))))))</x:f>
      </x:c>
      <x:c r="CN1031" s="178" t="n">
        <x:v>7</x:v>
      </x:c>
      <x:c r="CO1031" s="142" t="n">
        <x:f>IF(C1031="","",COUNT(G1031:CB1031)/74)</x:f>
        <x:v>0</x:v>
      </x:c>
      <x:c r="CP1031" s="245"/>
    </x:row>
    <x:row r="1032">
      <x:c r="A1032" s="165" t="n">
        <x:v>1028</x:v>
      </x:c>
      <x:c r="B1032" s="233" t="str">
        <x:v>بهمن</x:v>
      </x:c>
      <x:c r="C1032" s="233" t="n">
        <x:f>IF('دانش‌آموزان'!E90="","",'دانش‌آموزان'!B90)</x:f>
        <x:v>86</x:v>
      </x:c>
      <x:c r="D1032" s="233" t="str">
        <x:f>IF('دانش‌آموزان'!C90="","",'دانش‌آموزان'!C90)</x:f>
        <x:v>4000000861</x:v>
      </x:c>
      <x:c r="E1032" s="233" t="str">
        <x:f>IF('دانش‌آموزان'!E90="","",'دانش‌آموزان'!E90&amp;" "&amp;'دانش‌آموزان'!F90)</x:f>
        <x:v>سارا خلیلی</x:v>
      </x:c>
      <x:c r="F1032" s="166" t="str">
        <x:f>IF('دانش‌آموزان'!I90="","",'دانش‌آموزان'!I90)</x:f>
        <x:v>sample-7-d</x:v>
      </x:c>
      <x:c r="G1032" s="114"/>
      <x:c r="H1032" s="115"/>
      <x:c r="I1032" s="115"/>
      <x:c r="J1032" s="115"/>
      <x:c r="K1032" s="115"/>
      <x:c r="L1032" s="115"/>
      <x:c r="M1032" s="115"/>
      <x:c r="N1032" s="115"/>
      <x:c r="O1032" s="115"/>
      <x:c r="P1032" s="115"/>
      <x:c r="Q1032" s="115"/>
      <x:c r="R1032" s="115"/>
      <x:c r="S1032" s="115"/>
      <x:c r="T1032" s="115"/>
      <x:c r="U1032" s="115"/>
      <x:c r="V1032" s="115"/>
      <x:c r="W1032" s="115"/>
      <x:c r="X1032" s="115"/>
      <x:c r="Y1032" s="115"/>
      <x:c r="Z1032" s="115"/>
      <x:c r="AA1032" s="115"/>
      <x:c r="AB1032" s="115"/>
      <x:c r="AC1032" s="115"/>
      <x:c r="AD1032" s="115"/>
      <x:c r="AE1032" s="115"/>
      <x:c r="AF1032" s="115"/>
      <x:c r="AG1032" s="115"/>
      <x:c r="AH1032" s="115"/>
      <x:c r="AI1032" s="115"/>
      <x:c r="AJ1032" s="115"/>
      <x:c r="AK1032" s="115"/>
      <x:c r="AL1032" s="115"/>
      <x:c r="AM1032" s="115"/>
      <x:c r="AN1032" s="115"/>
      <x:c r="AO1032" s="115"/>
      <x:c r="AP1032" s="115"/>
      <x:c r="AQ1032" s="115"/>
      <x:c r="AR1032" s="115"/>
      <x:c r="AS1032" s="115"/>
      <x:c r="AT1032" s="115"/>
      <x:c r="AU1032" s="115"/>
      <x:c r="AV1032" s="115"/>
      <x:c r="AW1032" s="115"/>
      <x:c r="AX1032" s="115"/>
      <x:c r="AY1032" s="115"/>
      <x:c r="AZ1032" s="115"/>
      <x:c r="BA1032" s="115"/>
      <x:c r="BB1032" s="115"/>
      <x:c r="BC1032" s="115"/>
      <x:c r="BD1032" s="115"/>
      <x:c r="BE1032" s="115"/>
      <x:c r="BF1032" s="115"/>
      <x:c r="BG1032" s="115"/>
      <x:c r="BH1032" s="115"/>
      <x:c r="BI1032" s="115"/>
      <x:c r="BJ1032" s="115"/>
      <x:c r="BK1032" s="115"/>
      <x:c r="BL1032" s="115"/>
      <x:c r="BM1032" s="115"/>
      <x:c r="BN1032" s="115"/>
      <x:c r="BO1032" s="115"/>
      <x:c r="BP1032" s="115"/>
      <x:c r="BQ1032" s="115"/>
      <x:c r="BR1032" s="115"/>
      <x:c r="BS1032" s="115"/>
      <x:c r="BT1032" s="115"/>
      <x:c r="BU1032" s="115"/>
      <x:c r="BV1032" s="115"/>
      <x:c r="BW1032" s="115"/>
      <x:c r="BX1032" s="115"/>
      <x:c r="BY1032" s="115"/>
      <x:c r="BZ1032" s="115"/>
      <x:c r="CA1032" s="115"/>
      <x:c r="CB1032" s="116"/>
      <x:c r="CC1032" s="141" t="str">
        <x:f>IF(COUNT(G1032:P1032)=0,"",AVERAGE(G1032:P1032)*4)</x:f>
      </x:c>
      <x:c r="CD1032" s="178" t="str">
        <x:f>IF(COUNT(Q1032:Z1032)=0,"",AVERAGE(Q1032:Z1032)*4)</x:f>
      </x:c>
      <x:c r="CE1032" s="178" t="str">
        <x:f>IF(COUNT(AA1032:AJ1032)=0,"",AVERAGE(AA1032:AJ1032)*4)</x:f>
      </x:c>
      <x:c r="CF1032" s="178" t="str">
        <x:f>IF(COUNT(AK1032:AR1032)=0,"",AVERAGE(AK1032:AR1032)*4)</x:f>
      </x:c>
      <x:c r="CG1032" s="178" t="str">
        <x:f>IF(COUNT(AS1032:AY1032)=0,"",AVERAGE(AS1032:AY1032)*4)</x:f>
      </x:c>
      <x:c r="CH1032" s="178" t="str">
        <x:f>IF(COUNT(AZ1032:BG1032)=0,"",AVERAGE(AZ1032:BG1032)*4)</x:f>
      </x:c>
      <x:c r="CI1032" s="178" t="str">
        <x:f>IF(COUNT(BH1032:BN1032)=0,"",AVERAGE(BH1032:BN1032)*4)</x:f>
      </x:c>
      <x:c r="CJ1032" s="178" t="str">
        <x:f>IF(COUNT(BO1032:BU1032)=0,"",AVERAGE(BO1032:BU1032)*4)</x:f>
      </x:c>
      <x:c r="CK1032" s="178" t="str">
        <x:f>IF(COUNT(BV1032:CB1032)=0,"",AVERAGE(BV1032:CB1032)*4)</x:f>
      </x:c>
      <x:c r="CL1032" s="178" t="str">
        <x:f>IF(C1032="","",IF(COUNT(G1032:CB1032)&lt;74,"",(CC1032*'تنظیمات وزن‌دهی'!$C$5+CD1032*'تنظیمات وزن‌دهی'!$C$6+CE1032*'تنظیمات وزن‌دهی'!$C$7+CF1032*'تنظیمات وزن‌دهی'!$C$8+CG1032*'تنظیمات وزن‌دهی'!$C$9+CH1032*'تنظیمات وزن‌دهی'!$C$10+CI1032*'تنظیمات وزن‌دهی'!$C$11+CJ1032*'تنظیمات وزن‌دهی'!$C$12+CK1032*'تنظیمات وزن‌دهی'!$C$13)/100))</x:f>
      </x:c>
      <x:c r="CM1032" s="178" t="str">
        <x:f>IF(C1032="","",IF(COUNT(G1032:CB1032)=0,"",IF(COUNT(G1032:CB1032)&lt;74,"موقت - اطلاعات ناقص",IF(CL1032&gt;=17,"عالی",IF(CL1032&gt;=14,"خوب",IF(CL1032&gt;=10,"متوسط","ضعیف"))))))</x:f>
      </x:c>
      <x:c r="CN1032" s="178" t="n">
        <x:v>8</x:v>
      </x:c>
      <x:c r="CO1032" s="142" t="n">
        <x:f>IF(C1032="","",COUNT(G1032:CB1032)/74)</x:f>
        <x:v>0</x:v>
      </x:c>
      <x:c r="CP1032" s="245"/>
    </x:row>
    <x:row r="1033">
      <x:c r="A1033" s="165" t="n">
        <x:v>1029</x:v>
      </x:c>
      <x:c r="B1033" s="233" t="str">
        <x:v>اسفند</x:v>
      </x:c>
      <x:c r="C1033" s="233" t="n">
        <x:f>IF('دانش‌آموزان'!E90="","",'دانش‌آموزان'!B90)</x:f>
        <x:v>86</x:v>
      </x:c>
      <x:c r="D1033" s="233" t="str">
        <x:f>IF('دانش‌آموزان'!C90="","",'دانش‌آموزان'!C90)</x:f>
        <x:v>4000000861</x:v>
      </x:c>
      <x:c r="E1033" s="233" t="str">
        <x:f>IF('دانش‌آموزان'!E90="","",'دانش‌آموزان'!E90&amp;" "&amp;'دانش‌آموزان'!F90)</x:f>
        <x:v>سارا خلیلی</x:v>
      </x:c>
      <x:c r="F1033" s="166" t="str">
        <x:f>IF('دانش‌آموزان'!I90="","",'دانش‌آموزان'!I90)</x:f>
        <x:v>sample-7-d</x:v>
      </x:c>
      <x:c r="G1033" s="114"/>
      <x:c r="H1033" s="115"/>
      <x:c r="I1033" s="115"/>
      <x:c r="J1033" s="115"/>
      <x:c r="K1033" s="115"/>
      <x:c r="L1033" s="115"/>
      <x:c r="M1033" s="115"/>
      <x:c r="N1033" s="115"/>
      <x:c r="O1033" s="115"/>
      <x:c r="P1033" s="115"/>
      <x:c r="Q1033" s="115"/>
      <x:c r="R1033" s="115"/>
      <x:c r="S1033" s="115"/>
      <x:c r="T1033" s="115"/>
      <x:c r="U1033" s="115"/>
      <x:c r="V1033" s="115"/>
      <x:c r="W1033" s="115"/>
      <x:c r="X1033" s="115"/>
      <x:c r="Y1033" s="115"/>
      <x:c r="Z1033" s="115"/>
      <x:c r="AA1033" s="115"/>
      <x:c r="AB1033" s="115"/>
      <x:c r="AC1033" s="115"/>
      <x:c r="AD1033" s="115"/>
      <x:c r="AE1033" s="115"/>
      <x:c r="AF1033" s="115"/>
      <x:c r="AG1033" s="115"/>
      <x:c r="AH1033" s="115"/>
      <x:c r="AI1033" s="115"/>
      <x:c r="AJ1033" s="115"/>
      <x:c r="AK1033" s="115"/>
      <x:c r="AL1033" s="115"/>
      <x:c r="AM1033" s="115"/>
      <x:c r="AN1033" s="115"/>
      <x:c r="AO1033" s="115"/>
      <x:c r="AP1033" s="115"/>
      <x:c r="AQ1033" s="115"/>
      <x:c r="AR1033" s="115"/>
      <x:c r="AS1033" s="115"/>
      <x:c r="AT1033" s="115"/>
      <x:c r="AU1033" s="115"/>
      <x:c r="AV1033" s="115"/>
      <x:c r="AW1033" s="115"/>
      <x:c r="AX1033" s="115"/>
      <x:c r="AY1033" s="115"/>
      <x:c r="AZ1033" s="115"/>
      <x:c r="BA1033" s="115"/>
      <x:c r="BB1033" s="115"/>
      <x:c r="BC1033" s="115"/>
      <x:c r="BD1033" s="115"/>
      <x:c r="BE1033" s="115"/>
      <x:c r="BF1033" s="115"/>
      <x:c r="BG1033" s="115"/>
      <x:c r="BH1033" s="115"/>
      <x:c r="BI1033" s="115"/>
      <x:c r="BJ1033" s="115"/>
      <x:c r="BK1033" s="115"/>
      <x:c r="BL1033" s="115"/>
      <x:c r="BM1033" s="115"/>
      <x:c r="BN1033" s="115"/>
      <x:c r="BO1033" s="115"/>
      <x:c r="BP1033" s="115"/>
      <x:c r="BQ1033" s="115"/>
      <x:c r="BR1033" s="115"/>
      <x:c r="BS1033" s="115"/>
      <x:c r="BT1033" s="115"/>
      <x:c r="BU1033" s="115"/>
      <x:c r="BV1033" s="115"/>
      <x:c r="BW1033" s="115"/>
      <x:c r="BX1033" s="115"/>
      <x:c r="BY1033" s="115"/>
      <x:c r="BZ1033" s="115"/>
      <x:c r="CA1033" s="115"/>
      <x:c r="CB1033" s="116"/>
      <x:c r="CC1033" s="141" t="str">
        <x:f>IF(COUNT(G1033:P1033)=0,"",AVERAGE(G1033:P1033)*4)</x:f>
      </x:c>
      <x:c r="CD1033" s="178" t="str">
        <x:f>IF(COUNT(Q1033:Z1033)=0,"",AVERAGE(Q1033:Z1033)*4)</x:f>
      </x:c>
      <x:c r="CE1033" s="178" t="str">
        <x:f>IF(COUNT(AA1033:AJ1033)=0,"",AVERAGE(AA1033:AJ1033)*4)</x:f>
      </x:c>
      <x:c r="CF1033" s="178" t="str">
        <x:f>IF(COUNT(AK1033:AR1033)=0,"",AVERAGE(AK1033:AR1033)*4)</x:f>
      </x:c>
      <x:c r="CG1033" s="178" t="str">
        <x:f>IF(COUNT(AS1033:AY1033)=0,"",AVERAGE(AS1033:AY1033)*4)</x:f>
      </x:c>
      <x:c r="CH1033" s="178" t="str">
        <x:f>IF(COUNT(AZ1033:BG1033)=0,"",AVERAGE(AZ1033:BG1033)*4)</x:f>
      </x:c>
      <x:c r="CI1033" s="178" t="str">
        <x:f>IF(COUNT(BH1033:BN1033)=0,"",AVERAGE(BH1033:BN1033)*4)</x:f>
      </x:c>
      <x:c r="CJ1033" s="178" t="str">
        <x:f>IF(COUNT(BO1033:BU1033)=0,"",AVERAGE(BO1033:BU1033)*4)</x:f>
      </x:c>
      <x:c r="CK1033" s="178" t="str">
        <x:f>IF(COUNT(BV1033:CB1033)=0,"",AVERAGE(BV1033:CB1033)*4)</x:f>
      </x:c>
      <x:c r="CL1033" s="178" t="str">
        <x:f>IF(C1033="","",IF(COUNT(G1033:CB1033)&lt;74,"",(CC1033*'تنظیمات وزن‌دهی'!$C$5+CD1033*'تنظیمات وزن‌دهی'!$C$6+CE1033*'تنظیمات وزن‌دهی'!$C$7+CF1033*'تنظیمات وزن‌دهی'!$C$8+CG1033*'تنظیمات وزن‌دهی'!$C$9+CH1033*'تنظیمات وزن‌دهی'!$C$10+CI1033*'تنظیمات وزن‌دهی'!$C$11+CJ1033*'تنظیمات وزن‌دهی'!$C$12+CK1033*'تنظیمات وزن‌دهی'!$C$13)/100))</x:f>
      </x:c>
      <x:c r="CM1033" s="178" t="str">
        <x:f>IF(C1033="","",IF(COUNT(G1033:CB1033)=0,"",IF(COUNT(G1033:CB1033)&lt;74,"موقت - اطلاعات ناقص",IF(CL1033&gt;=17,"عالی",IF(CL1033&gt;=14,"خوب",IF(CL1033&gt;=10,"متوسط","ضعیف"))))))</x:f>
      </x:c>
      <x:c r="CN1033" s="178" t="n">
        <x:v>9</x:v>
      </x:c>
      <x:c r="CO1033" s="142" t="n">
        <x:f>IF(C1033="","",COUNT(G1033:CB1033)/74)</x:f>
        <x:v>0</x:v>
      </x:c>
      <x:c r="CP1033" s="245"/>
    </x:row>
    <x:row r="1034">
      <x:c r="A1034" s="165" t="n">
        <x:v>1030</x:v>
      </x:c>
      <x:c r="B1034" s="233" t="str">
        <x:v>فروردین</x:v>
      </x:c>
      <x:c r="C1034" s="233" t="n">
        <x:f>IF('دانش‌آموزان'!E90="","",'دانش‌آموزان'!B90)</x:f>
        <x:v>86</x:v>
      </x:c>
      <x:c r="D1034" s="233" t="str">
        <x:f>IF('دانش‌آموزان'!C90="","",'دانش‌آموزان'!C90)</x:f>
        <x:v>4000000861</x:v>
      </x:c>
      <x:c r="E1034" s="233" t="str">
        <x:f>IF('دانش‌آموزان'!E90="","",'دانش‌آموزان'!E90&amp;" "&amp;'دانش‌آموزان'!F90)</x:f>
        <x:v>سارا خلیلی</x:v>
      </x:c>
      <x:c r="F1034" s="166" t="str">
        <x:f>IF('دانش‌آموزان'!I90="","",'دانش‌آموزان'!I90)</x:f>
        <x:v>sample-7-d</x:v>
      </x:c>
      <x:c r="G1034" s="114"/>
      <x:c r="H1034" s="115"/>
      <x:c r="I1034" s="115"/>
      <x:c r="J1034" s="115"/>
      <x:c r="K1034" s="115"/>
      <x:c r="L1034" s="115"/>
      <x:c r="M1034" s="115"/>
      <x:c r="N1034" s="115"/>
      <x:c r="O1034" s="115"/>
      <x:c r="P1034" s="115"/>
      <x:c r="Q1034" s="115"/>
      <x:c r="R1034" s="115"/>
      <x:c r="S1034" s="115"/>
      <x:c r="T1034" s="115"/>
      <x:c r="U1034" s="115"/>
      <x:c r="V1034" s="115"/>
      <x:c r="W1034" s="115"/>
      <x:c r="X1034" s="115"/>
      <x:c r="Y1034" s="115"/>
      <x:c r="Z1034" s="115"/>
      <x:c r="AA1034" s="115"/>
      <x:c r="AB1034" s="115"/>
      <x:c r="AC1034" s="115"/>
      <x:c r="AD1034" s="115"/>
      <x:c r="AE1034" s="115"/>
      <x:c r="AF1034" s="115"/>
      <x:c r="AG1034" s="115"/>
      <x:c r="AH1034" s="115"/>
      <x:c r="AI1034" s="115"/>
      <x:c r="AJ1034" s="115"/>
      <x:c r="AK1034" s="115"/>
      <x:c r="AL1034" s="115"/>
      <x:c r="AM1034" s="115"/>
      <x:c r="AN1034" s="115"/>
      <x:c r="AO1034" s="115"/>
      <x:c r="AP1034" s="115"/>
      <x:c r="AQ1034" s="115"/>
      <x:c r="AR1034" s="115"/>
      <x:c r="AS1034" s="115"/>
      <x:c r="AT1034" s="115"/>
      <x:c r="AU1034" s="115"/>
      <x:c r="AV1034" s="115"/>
      <x:c r="AW1034" s="115"/>
      <x:c r="AX1034" s="115"/>
      <x:c r="AY1034" s="115"/>
      <x:c r="AZ1034" s="115"/>
      <x:c r="BA1034" s="115"/>
      <x:c r="BB1034" s="115"/>
      <x:c r="BC1034" s="115"/>
      <x:c r="BD1034" s="115"/>
      <x:c r="BE1034" s="115"/>
      <x:c r="BF1034" s="115"/>
      <x:c r="BG1034" s="115"/>
      <x:c r="BH1034" s="115"/>
      <x:c r="BI1034" s="115"/>
      <x:c r="BJ1034" s="115"/>
      <x:c r="BK1034" s="115"/>
      <x:c r="BL1034" s="115"/>
      <x:c r="BM1034" s="115"/>
      <x:c r="BN1034" s="115"/>
      <x:c r="BO1034" s="115"/>
      <x:c r="BP1034" s="115"/>
      <x:c r="BQ1034" s="115"/>
      <x:c r="BR1034" s="115"/>
      <x:c r="BS1034" s="115"/>
      <x:c r="BT1034" s="115"/>
      <x:c r="BU1034" s="115"/>
      <x:c r="BV1034" s="115"/>
      <x:c r="BW1034" s="115"/>
      <x:c r="BX1034" s="115"/>
      <x:c r="BY1034" s="115"/>
      <x:c r="BZ1034" s="115"/>
      <x:c r="CA1034" s="115"/>
      <x:c r="CB1034" s="116"/>
      <x:c r="CC1034" s="141" t="str">
        <x:f>IF(COUNT(G1034:P1034)=0,"",AVERAGE(G1034:P1034)*4)</x:f>
      </x:c>
      <x:c r="CD1034" s="178" t="str">
        <x:f>IF(COUNT(Q1034:Z1034)=0,"",AVERAGE(Q1034:Z1034)*4)</x:f>
      </x:c>
      <x:c r="CE1034" s="178" t="str">
        <x:f>IF(COUNT(AA1034:AJ1034)=0,"",AVERAGE(AA1034:AJ1034)*4)</x:f>
      </x:c>
      <x:c r="CF1034" s="178" t="str">
        <x:f>IF(COUNT(AK1034:AR1034)=0,"",AVERAGE(AK1034:AR1034)*4)</x:f>
      </x:c>
      <x:c r="CG1034" s="178" t="str">
        <x:f>IF(COUNT(AS1034:AY1034)=0,"",AVERAGE(AS1034:AY1034)*4)</x:f>
      </x:c>
      <x:c r="CH1034" s="178" t="str">
        <x:f>IF(COUNT(AZ1034:BG1034)=0,"",AVERAGE(AZ1034:BG1034)*4)</x:f>
      </x:c>
      <x:c r="CI1034" s="178" t="str">
        <x:f>IF(COUNT(BH1034:BN1034)=0,"",AVERAGE(BH1034:BN1034)*4)</x:f>
      </x:c>
      <x:c r="CJ1034" s="178" t="str">
        <x:f>IF(COUNT(BO1034:BU1034)=0,"",AVERAGE(BO1034:BU1034)*4)</x:f>
      </x:c>
      <x:c r="CK1034" s="178" t="str">
        <x:f>IF(COUNT(BV1034:CB1034)=0,"",AVERAGE(BV1034:CB1034)*4)</x:f>
      </x:c>
      <x:c r="CL1034" s="178" t="str">
        <x:f>IF(C1034="","",IF(COUNT(G1034:CB1034)&lt;74,"",(CC1034*'تنظیمات وزن‌دهی'!$C$5+CD1034*'تنظیمات وزن‌دهی'!$C$6+CE1034*'تنظیمات وزن‌دهی'!$C$7+CF1034*'تنظیمات وزن‌دهی'!$C$8+CG1034*'تنظیمات وزن‌دهی'!$C$9+CH1034*'تنظیمات وزن‌دهی'!$C$10+CI1034*'تنظیمات وزن‌دهی'!$C$11+CJ1034*'تنظیمات وزن‌دهی'!$C$12+CK1034*'تنظیمات وزن‌دهی'!$C$13)/100))</x:f>
      </x:c>
      <x:c r="CM1034" s="178" t="str">
        <x:f>IF(C1034="","",IF(COUNT(G1034:CB1034)=0,"",IF(COUNT(G1034:CB1034)&lt;74,"موقت - اطلاعات ناقص",IF(CL1034&gt;=17,"عالی",IF(CL1034&gt;=14,"خوب",IF(CL1034&gt;=10,"متوسط","ضعیف"))))))</x:f>
      </x:c>
      <x:c r="CN1034" s="178" t="n">
        <x:v>10</x:v>
      </x:c>
      <x:c r="CO1034" s="142" t="n">
        <x:f>IF(C1034="","",COUNT(G1034:CB1034)/74)</x:f>
        <x:v>0</x:v>
      </x:c>
      <x:c r="CP1034" s="245"/>
    </x:row>
    <x:row r="1035">
      <x:c r="A1035" s="165" t="n">
        <x:v>1031</x:v>
      </x:c>
      <x:c r="B1035" s="233" t="str">
        <x:v>اردیبهشت</x:v>
      </x:c>
      <x:c r="C1035" s="233" t="n">
        <x:f>IF('دانش‌آموزان'!E90="","",'دانش‌آموزان'!B90)</x:f>
        <x:v>86</x:v>
      </x:c>
      <x:c r="D1035" s="233" t="str">
        <x:f>IF('دانش‌آموزان'!C90="","",'دانش‌آموزان'!C90)</x:f>
        <x:v>4000000861</x:v>
      </x:c>
      <x:c r="E1035" s="233" t="str">
        <x:f>IF('دانش‌آموزان'!E90="","",'دانش‌آموزان'!E90&amp;" "&amp;'دانش‌آموزان'!F90)</x:f>
        <x:v>سارا خلیلی</x:v>
      </x:c>
      <x:c r="F1035" s="166" t="str">
        <x:f>IF('دانش‌آموزان'!I90="","",'دانش‌آموزان'!I90)</x:f>
        <x:v>sample-7-d</x:v>
      </x:c>
      <x:c r="G1035" s="114"/>
      <x:c r="H1035" s="115"/>
      <x:c r="I1035" s="115"/>
      <x:c r="J1035" s="115"/>
      <x:c r="K1035" s="115"/>
      <x:c r="L1035" s="115"/>
      <x:c r="M1035" s="115"/>
      <x:c r="N1035" s="115"/>
      <x:c r="O1035" s="115"/>
      <x:c r="P1035" s="115"/>
      <x:c r="Q1035" s="115"/>
      <x:c r="R1035" s="115"/>
      <x:c r="S1035" s="115"/>
      <x:c r="T1035" s="115"/>
      <x:c r="U1035" s="115"/>
      <x:c r="V1035" s="115"/>
      <x:c r="W1035" s="115"/>
      <x:c r="X1035" s="115"/>
      <x:c r="Y1035" s="115"/>
      <x:c r="Z1035" s="115"/>
      <x:c r="AA1035" s="115"/>
      <x:c r="AB1035" s="115"/>
      <x:c r="AC1035" s="115"/>
      <x:c r="AD1035" s="115"/>
      <x:c r="AE1035" s="115"/>
      <x:c r="AF1035" s="115"/>
      <x:c r="AG1035" s="115"/>
      <x:c r="AH1035" s="115"/>
      <x:c r="AI1035" s="115"/>
      <x:c r="AJ1035" s="115"/>
      <x:c r="AK1035" s="115"/>
      <x:c r="AL1035" s="115"/>
      <x:c r="AM1035" s="115"/>
      <x:c r="AN1035" s="115"/>
      <x:c r="AO1035" s="115"/>
      <x:c r="AP1035" s="115"/>
      <x:c r="AQ1035" s="115"/>
      <x:c r="AR1035" s="115"/>
      <x:c r="AS1035" s="115"/>
      <x:c r="AT1035" s="115"/>
      <x:c r="AU1035" s="115"/>
      <x:c r="AV1035" s="115"/>
      <x:c r="AW1035" s="115"/>
      <x:c r="AX1035" s="115"/>
      <x:c r="AY1035" s="115"/>
      <x:c r="AZ1035" s="115"/>
      <x:c r="BA1035" s="115"/>
      <x:c r="BB1035" s="115"/>
      <x:c r="BC1035" s="115"/>
      <x:c r="BD1035" s="115"/>
      <x:c r="BE1035" s="115"/>
      <x:c r="BF1035" s="115"/>
      <x:c r="BG1035" s="115"/>
      <x:c r="BH1035" s="115"/>
      <x:c r="BI1035" s="115"/>
      <x:c r="BJ1035" s="115"/>
      <x:c r="BK1035" s="115"/>
      <x:c r="BL1035" s="115"/>
      <x:c r="BM1035" s="115"/>
      <x:c r="BN1035" s="115"/>
      <x:c r="BO1035" s="115"/>
      <x:c r="BP1035" s="115"/>
      <x:c r="BQ1035" s="115"/>
      <x:c r="BR1035" s="115"/>
      <x:c r="BS1035" s="115"/>
      <x:c r="BT1035" s="115"/>
      <x:c r="BU1035" s="115"/>
      <x:c r="BV1035" s="115"/>
      <x:c r="BW1035" s="115"/>
      <x:c r="BX1035" s="115"/>
      <x:c r="BY1035" s="115"/>
      <x:c r="BZ1035" s="115"/>
      <x:c r="CA1035" s="115"/>
      <x:c r="CB1035" s="116"/>
      <x:c r="CC1035" s="141" t="str">
        <x:f>IF(COUNT(G1035:P1035)=0,"",AVERAGE(G1035:P1035)*4)</x:f>
      </x:c>
      <x:c r="CD1035" s="178" t="str">
        <x:f>IF(COUNT(Q1035:Z1035)=0,"",AVERAGE(Q1035:Z1035)*4)</x:f>
      </x:c>
      <x:c r="CE1035" s="178" t="str">
        <x:f>IF(COUNT(AA1035:AJ1035)=0,"",AVERAGE(AA1035:AJ1035)*4)</x:f>
      </x:c>
      <x:c r="CF1035" s="178" t="str">
        <x:f>IF(COUNT(AK1035:AR1035)=0,"",AVERAGE(AK1035:AR1035)*4)</x:f>
      </x:c>
      <x:c r="CG1035" s="178" t="str">
        <x:f>IF(COUNT(AS1035:AY1035)=0,"",AVERAGE(AS1035:AY1035)*4)</x:f>
      </x:c>
      <x:c r="CH1035" s="178" t="str">
        <x:f>IF(COUNT(AZ1035:BG1035)=0,"",AVERAGE(AZ1035:BG1035)*4)</x:f>
      </x:c>
      <x:c r="CI1035" s="178" t="str">
        <x:f>IF(COUNT(BH1035:BN1035)=0,"",AVERAGE(BH1035:BN1035)*4)</x:f>
      </x:c>
      <x:c r="CJ1035" s="178" t="str">
        <x:f>IF(COUNT(BO1035:BU1035)=0,"",AVERAGE(BO1035:BU1035)*4)</x:f>
      </x:c>
      <x:c r="CK1035" s="178" t="str">
        <x:f>IF(COUNT(BV1035:CB1035)=0,"",AVERAGE(BV1035:CB1035)*4)</x:f>
      </x:c>
      <x:c r="CL1035" s="178" t="str">
        <x:f>IF(C1035="","",IF(COUNT(G1035:CB1035)&lt;74,"",(CC1035*'تنظیمات وزن‌دهی'!$C$5+CD1035*'تنظیمات وزن‌دهی'!$C$6+CE1035*'تنظیمات وزن‌دهی'!$C$7+CF1035*'تنظیمات وزن‌دهی'!$C$8+CG1035*'تنظیمات وزن‌دهی'!$C$9+CH1035*'تنظیمات وزن‌دهی'!$C$10+CI1035*'تنظیمات وزن‌دهی'!$C$11+CJ1035*'تنظیمات وزن‌دهی'!$C$12+CK1035*'تنظیمات وزن‌دهی'!$C$13)/100))</x:f>
      </x:c>
      <x:c r="CM1035" s="178" t="str">
        <x:f>IF(C1035="","",IF(COUNT(G1035:CB1035)=0,"",IF(COUNT(G1035:CB1035)&lt;74,"موقت - اطلاعات ناقص",IF(CL1035&gt;=17,"عالی",IF(CL1035&gt;=14,"خوب",IF(CL1035&gt;=10,"متوسط","ضعیف"))))))</x:f>
      </x:c>
      <x:c r="CN1035" s="178" t="n">
        <x:v>11</x:v>
      </x:c>
      <x:c r="CO1035" s="142" t="n">
        <x:f>IF(C1035="","",COUNT(G1035:CB1035)/74)</x:f>
        <x:v>0</x:v>
      </x:c>
      <x:c r="CP1035" s="245"/>
    </x:row>
    <x:row r="1036">
      <x:c r="A1036" s="165" t="n">
        <x:v>1032</x:v>
      </x:c>
      <x:c r="B1036" s="233" t="str">
        <x:v>خرداد</x:v>
      </x:c>
      <x:c r="C1036" s="233" t="n">
        <x:f>IF('دانش‌آموزان'!E90="","",'دانش‌آموزان'!B90)</x:f>
        <x:v>86</x:v>
      </x:c>
      <x:c r="D1036" s="233" t="str">
        <x:f>IF('دانش‌آموزان'!C90="","",'دانش‌آموزان'!C90)</x:f>
        <x:v>4000000861</x:v>
      </x:c>
      <x:c r="E1036" s="233" t="str">
        <x:f>IF('دانش‌آموزان'!E90="","",'دانش‌آموزان'!E90&amp;" "&amp;'دانش‌آموزان'!F90)</x:f>
        <x:v>سارا خلیلی</x:v>
      </x:c>
      <x:c r="F1036" s="166" t="str">
        <x:f>IF('دانش‌آموزان'!I90="","",'دانش‌آموزان'!I90)</x:f>
        <x:v>sample-7-d</x:v>
      </x:c>
      <x:c r="G1036" s="114"/>
      <x:c r="H1036" s="115"/>
      <x:c r="I1036" s="115"/>
      <x:c r="J1036" s="115"/>
      <x:c r="K1036" s="115"/>
      <x:c r="L1036" s="115"/>
      <x:c r="M1036" s="115"/>
      <x:c r="N1036" s="115"/>
      <x:c r="O1036" s="115"/>
      <x:c r="P1036" s="115"/>
      <x:c r="Q1036" s="115"/>
      <x:c r="R1036" s="115"/>
      <x:c r="S1036" s="115"/>
      <x:c r="T1036" s="115"/>
      <x:c r="U1036" s="115"/>
      <x:c r="V1036" s="115"/>
      <x:c r="W1036" s="115"/>
      <x:c r="X1036" s="115"/>
      <x:c r="Y1036" s="115"/>
      <x:c r="Z1036" s="115"/>
      <x:c r="AA1036" s="115"/>
      <x:c r="AB1036" s="115"/>
      <x:c r="AC1036" s="115"/>
      <x:c r="AD1036" s="115"/>
      <x:c r="AE1036" s="115"/>
      <x:c r="AF1036" s="115"/>
      <x:c r="AG1036" s="115"/>
      <x:c r="AH1036" s="115"/>
      <x:c r="AI1036" s="115"/>
      <x:c r="AJ1036" s="115"/>
      <x:c r="AK1036" s="115"/>
      <x:c r="AL1036" s="115"/>
      <x:c r="AM1036" s="115"/>
      <x:c r="AN1036" s="115"/>
      <x:c r="AO1036" s="115"/>
      <x:c r="AP1036" s="115"/>
      <x:c r="AQ1036" s="115"/>
      <x:c r="AR1036" s="115"/>
      <x:c r="AS1036" s="115"/>
      <x:c r="AT1036" s="115"/>
      <x:c r="AU1036" s="115"/>
      <x:c r="AV1036" s="115"/>
      <x:c r="AW1036" s="115"/>
      <x:c r="AX1036" s="115"/>
      <x:c r="AY1036" s="115"/>
      <x:c r="AZ1036" s="115"/>
      <x:c r="BA1036" s="115"/>
      <x:c r="BB1036" s="115"/>
      <x:c r="BC1036" s="115"/>
      <x:c r="BD1036" s="115"/>
      <x:c r="BE1036" s="115"/>
      <x:c r="BF1036" s="115"/>
      <x:c r="BG1036" s="115"/>
      <x:c r="BH1036" s="115"/>
      <x:c r="BI1036" s="115"/>
      <x:c r="BJ1036" s="115"/>
      <x:c r="BK1036" s="115"/>
      <x:c r="BL1036" s="115"/>
      <x:c r="BM1036" s="115"/>
      <x:c r="BN1036" s="115"/>
      <x:c r="BO1036" s="115"/>
      <x:c r="BP1036" s="115"/>
      <x:c r="BQ1036" s="115"/>
      <x:c r="BR1036" s="115"/>
      <x:c r="BS1036" s="115"/>
      <x:c r="BT1036" s="115"/>
      <x:c r="BU1036" s="115"/>
      <x:c r="BV1036" s="115"/>
      <x:c r="BW1036" s="115"/>
      <x:c r="BX1036" s="115"/>
      <x:c r="BY1036" s="115"/>
      <x:c r="BZ1036" s="115"/>
      <x:c r="CA1036" s="115"/>
      <x:c r="CB1036" s="116"/>
      <x:c r="CC1036" s="141" t="str">
        <x:f>IF(COUNT(G1036:P1036)=0,"",AVERAGE(G1036:P1036)*4)</x:f>
      </x:c>
      <x:c r="CD1036" s="178" t="str">
        <x:f>IF(COUNT(Q1036:Z1036)=0,"",AVERAGE(Q1036:Z1036)*4)</x:f>
      </x:c>
      <x:c r="CE1036" s="178" t="str">
        <x:f>IF(COUNT(AA1036:AJ1036)=0,"",AVERAGE(AA1036:AJ1036)*4)</x:f>
      </x:c>
      <x:c r="CF1036" s="178" t="str">
        <x:f>IF(COUNT(AK1036:AR1036)=0,"",AVERAGE(AK1036:AR1036)*4)</x:f>
      </x:c>
      <x:c r="CG1036" s="178" t="str">
        <x:f>IF(COUNT(AS1036:AY1036)=0,"",AVERAGE(AS1036:AY1036)*4)</x:f>
      </x:c>
      <x:c r="CH1036" s="178" t="str">
        <x:f>IF(COUNT(AZ1036:BG1036)=0,"",AVERAGE(AZ1036:BG1036)*4)</x:f>
      </x:c>
      <x:c r="CI1036" s="178" t="str">
        <x:f>IF(COUNT(BH1036:BN1036)=0,"",AVERAGE(BH1036:BN1036)*4)</x:f>
      </x:c>
      <x:c r="CJ1036" s="178" t="str">
        <x:f>IF(COUNT(BO1036:BU1036)=0,"",AVERAGE(BO1036:BU1036)*4)</x:f>
      </x:c>
      <x:c r="CK1036" s="178" t="str">
        <x:f>IF(COUNT(BV1036:CB1036)=0,"",AVERAGE(BV1036:CB1036)*4)</x:f>
      </x:c>
      <x:c r="CL1036" s="178" t="str">
        <x:f>IF(C1036="","",IF(COUNT(G1036:CB1036)&lt;74,"",(CC1036*'تنظیمات وزن‌دهی'!$C$5+CD1036*'تنظیمات وزن‌دهی'!$C$6+CE1036*'تنظیمات وزن‌دهی'!$C$7+CF1036*'تنظیمات وزن‌دهی'!$C$8+CG1036*'تنظیمات وزن‌دهی'!$C$9+CH1036*'تنظیمات وزن‌دهی'!$C$10+CI1036*'تنظیمات وزن‌دهی'!$C$11+CJ1036*'تنظیمات وزن‌دهی'!$C$12+CK1036*'تنظیمات وزن‌دهی'!$C$13)/100))</x:f>
      </x:c>
      <x:c r="CM1036" s="178" t="str">
        <x:f>IF(C1036="","",IF(COUNT(G1036:CB1036)=0,"",IF(COUNT(G1036:CB1036)&lt;74,"موقت - اطلاعات ناقص",IF(CL1036&gt;=17,"عالی",IF(CL1036&gt;=14,"خوب",IF(CL1036&gt;=10,"متوسط","ضعیف"))))))</x:f>
      </x:c>
      <x:c r="CN1036" s="178" t="n">
        <x:v>12</x:v>
      </x:c>
      <x:c r="CO1036" s="142" t="n">
        <x:f>IF(C1036="","",COUNT(G1036:CB1036)/74)</x:f>
        <x:v>0</x:v>
      </x:c>
      <x:c r="CP1036" s="245"/>
    </x:row>
    <x:row r="1037">
      <x:c r="A1037" s="165" t="n">
        <x:v>1033</x:v>
      </x:c>
      <x:c r="B1037" s="233" t="str">
        <x:v>تیر</x:v>
      </x:c>
      <x:c r="C1037" s="233" t="n">
        <x:f>IF('دانش‌آموزان'!E91="","",'دانش‌آموزان'!B91)</x:f>
        <x:v>87</x:v>
      </x:c>
      <x:c r="D1037" s="233" t="str">
        <x:f>IF('دانش‌آموزان'!C91="","",'دانش‌آموزان'!C91)</x:f>
        <x:v>4000000871</x:v>
      </x:c>
      <x:c r="E1037" s="233" t="str">
        <x:f>IF('دانش‌آموزان'!E91="","",'دانش‌آموزان'!E91&amp;" "&amp;'دانش‌آموزان'!F91)</x:f>
        <x:v>آراد حسینی</x:v>
      </x:c>
      <x:c r="F1037" s="166" t="str">
        <x:f>IF('دانش‌آموزان'!I91="","",'دانش‌آموزان'!I91)</x:f>
        <x:v>sample-7-d</x:v>
      </x:c>
      <x:c r="G1037" s="114" t="n">
        <x:v>4</x:v>
      </x:c>
      <x:c r="H1037" s="115" t="n">
        <x:v>5</x:v>
      </x:c>
      <x:c r="I1037" s="115" t="n">
        <x:v>4</x:v>
      </x:c>
      <x:c r="J1037" s="115" t="n">
        <x:v>5</x:v>
      </x:c>
      <x:c r="K1037" s="115" t="n">
        <x:v>3</x:v>
      </x:c>
      <x:c r="L1037" s="115" t="n">
        <x:v>5</x:v>
      </x:c>
      <x:c r="M1037" s="115" t="n">
        <x:v>3</x:v>
      </x:c>
      <x:c r="N1037" s="115" t="n">
        <x:v>4</x:v>
      </x:c>
      <x:c r="O1037" s="115" t="n">
        <x:v>3</x:v>
      </x:c>
      <x:c r="P1037" s="115" t="n">
        <x:v>4</x:v>
      </x:c>
      <x:c r="Q1037" s="115" t="n">
        <x:v>2</x:v>
      </x:c>
      <x:c r="R1037" s="115" t="n">
        <x:v>4</x:v>
      </x:c>
      <x:c r="S1037" s="115" t="n">
        <x:v>5</x:v>
      </x:c>
      <x:c r="T1037" s="115" t="n">
        <x:v>4</x:v>
      </x:c>
      <x:c r="U1037" s="115" t="n">
        <x:v>5</x:v>
      </x:c>
      <x:c r="V1037" s="115" t="n">
        <x:v>3</x:v>
      </x:c>
      <x:c r="W1037" s="115" t="n">
        <x:v>5</x:v>
      </x:c>
      <x:c r="X1037" s="115" t="n">
        <x:v>3</x:v>
      </x:c>
      <x:c r="Y1037" s="115" t="n">
        <x:v>4</x:v>
      </x:c>
      <x:c r="Z1037" s="115" t="n">
        <x:v>3</x:v>
      </x:c>
      <x:c r="AA1037" s="115" t="n">
        <x:v>4</x:v>
      </x:c>
      <x:c r="AB1037" s="115" t="n">
        <x:v>2</x:v>
      </x:c>
      <x:c r="AC1037" s="115" t="n">
        <x:v>4</x:v>
      </x:c>
      <x:c r="AD1037" s="115" t="n">
        <x:v>5</x:v>
      </x:c>
      <x:c r="AE1037" s="115" t="n">
        <x:v>4</x:v>
      </x:c>
      <x:c r="AF1037" s="115" t="n">
        <x:v>5</x:v>
      </x:c>
      <x:c r="AG1037" s="115" t="n">
        <x:v>3</x:v>
      </x:c>
      <x:c r="AH1037" s="115" t="n">
        <x:v>5</x:v>
      </x:c>
      <x:c r="AI1037" s="115" t="n">
        <x:v>3</x:v>
      </x:c>
      <x:c r="AJ1037" s="115" t="n">
        <x:v>4</x:v>
      </x:c>
      <x:c r="AK1037" s="115" t="n">
        <x:v>3</x:v>
      </x:c>
      <x:c r="AL1037" s="115" t="n">
        <x:v>4</x:v>
      </x:c>
      <x:c r="AM1037" s="115" t="n">
        <x:v>2</x:v>
      </x:c>
      <x:c r="AN1037" s="115" t="n">
        <x:v>4</x:v>
      </x:c>
      <x:c r="AO1037" s="115" t="n">
        <x:v>5</x:v>
      </x:c>
      <x:c r="AP1037" s="115" t="n">
        <x:v>4</x:v>
      </x:c>
      <x:c r="AQ1037" s="115" t="n">
        <x:v>5</x:v>
      </x:c>
      <x:c r="AR1037" s="115" t="n">
        <x:v>3</x:v>
      </x:c>
      <x:c r="AS1037" s="115" t="n">
        <x:v>5</x:v>
      </x:c>
      <x:c r="AT1037" s="115" t="n">
        <x:v>3</x:v>
      </x:c>
      <x:c r="AU1037" s="115" t="n">
        <x:v>4</x:v>
      </x:c>
      <x:c r="AV1037" s="115" t="n">
        <x:v>3</x:v>
      </x:c>
      <x:c r="AW1037" s="115" t="n">
        <x:v>4</x:v>
      </x:c>
      <x:c r="AX1037" s="115" t="n">
        <x:v>2</x:v>
      </x:c>
      <x:c r="AY1037" s="115" t="n">
        <x:v>4</x:v>
      </x:c>
      <x:c r="AZ1037" s="115" t="n">
        <x:v>5</x:v>
      </x:c>
      <x:c r="BA1037" s="115" t="n">
        <x:v>4</x:v>
      </x:c>
      <x:c r="BB1037" s="115" t="n">
        <x:v>5</x:v>
      </x:c>
      <x:c r="BC1037" s="115" t="n">
        <x:v>3</x:v>
      </x:c>
      <x:c r="BD1037" s="115" t="n">
        <x:v>5</x:v>
      </x:c>
      <x:c r="BE1037" s="115" t="n">
        <x:v>3</x:v>
      </x:c>
      <x:c r="BF1037" s="115" t="n">
        <x:v>4</x:v>
      </x:c>
      <x:c r="BG1037" s="115" t="n">
        <x:v>3</x:v>
      </x:c>
      <x:c r="BH1037" s="115" t="n">
        <x:v>4</x:v>
      </x:c>
      <x:c r="BI1037" s="115" t="n">
        <x:v>2</x:v>
      </x:c>
      <x:c r="BJ1037" s="115" t="n">
        <x:v>4</x:v>
      </x:c>
      <x:c r="BK1037" s="115" t="n">
        <x:v>5</x:v>
      </x:c>
      <x:c r="BL1037" s="115" t="n">
        <x:v>4</x:v>
      </x:c>
      <x:c r="BM1037" s="115" t="n">
        <x:v>5</x:v>
      </x:c>
      <x:c r="BN1037" s="115" t="n">
        <x:v>3</x:v>
      </x:c>
      <x:c r="BO1037" s="115" t="n">
        <x:v>5</x:v>
      </x:c>
      <x:c r="BP1037" s="115" t="n">
        <x:v>3</x:v>
      </x:c>
      <x:c r="BQ1037" s="115" t="n">
        <x:v>4</x:v>
      </x:c>
      <x:c r="BR1037" s="115" t="n">
        <x:v>3</x:v>
      </x:c>
      <x:c r="BS1037" s="115" t="n">
        <x:v>4</x:v>
      </x:c>
      <x:c r="BT1037" s="115" t="n">
        <x:v>2</x:v>
      </x:c>
      <x:c r="BU1037" s="115" t="n">
        <x:v>4</x:v>
      </x:c>
      <x:c r="BV1037" s="115" t="n">
        <x:v>5</x:v>
      </x:c>
      <x:c r="BW1037" s="115" t="n">
        <x:v>4</x:v>
      </x:c>
      <x:c r="BX1037" s="115" t="n">
        <x:v>5</x:v>
      </x:c>
      <x:c r="BY1037" s="115" t="n">
        <x:v>3</x:v>
      </x:c>
      <x:c r="BZ1037" s="115" t="n">
        <x:v>5</x:v>
      </x:c>
      <x:c r="CA1037" s="115" t="n">
        <x:v>3</x:v>
      </x:c>
      <x:c r="CB1037" s="116" t="n">
        <x:v>4</x:v>
      </x:c>
      <x:c r="CC1037" s="141" t="n">
        <x:f>IF(COUNT(G1037:P1037)=0,"",AVERAGE(G1037:P1037)*4)</x:f>
        <x:v>16</x:v>
      </x:c>
      <x:c r="CD1037" s="178" t="n">
        <x:f>IF(COUNT(Q1037:Z1037)=0,"",AVERAGE(Q1037:Z1037)*4)</x:f>
        <x:v>15.2</x:v>
      </x:c>
      <x:c r="CE1037" s="178" t="n">
        <x:f>IF(COUNT(AA1037:AJ1037)=0,"",AVERAGE(AA1037:AJ1037)*4)</x:f>
        <x:v>15.6</x:v>
      </x:c>
      <x:c r="CF1037" s="178" t="n">
        <x:f>IF(COUNT(AK1037:AR1037)=0,"",AVERAGE(AK1037:AR1037)*4)</x:f>
        <x:v>15</x:v>
      </x:c>
      <x:c r="CG1037" s="178" t="n">
        <x:f>IF(COUNT(AS1037:AY1037)=0,"",AVERAGE(AS1037:AY1037)*4)</x:f>
        <x:v>14.285714285714286</x:v>
      </x:c>
      <x:c r="CH1037" s="178" t="n">
        <x:f>IF(COUNT(AZ1037:BG1037)=0,"",AVERAGE(AZ1037:BG1037)*4)</x:f>
        <x:v>16</x:v>
      </x:c>
      <x:c r="CI1037" s="178" t="n">
        <x:f>IF(COUNT(BH1037:BN1037)=0,"",AVERAGE(BH1037:BN1037)*4)</x:f>
        <x:v>15.428571428571429</x:v>
      </x:c>
      <x:c r="CJ1037" s="178" t="n">
        <x:f>IF(COUNT(BO1037:BU1037)=0,"",AVERAGE(BO1037:BU1037)*4)</x:f>
        <x:v>14.285714285714286</x:v>
      </x:c>
      <x:c r="CK1037" s="178" t="n">
        <x:f>IF(COUNT(BV1037:CB1037)=0,"",AVERAGE(BV1037:CB1037)*4)</x:f>
        <x:v>16.571428571428573</x:v>
      </x:c>
      <x:c r="CL1037" s="178" t="n">
        <x:f>IF(C1037="","",IF(COUNT(G1037:CB1037)&lt;74,"",(CC1037*'تنظیمات وزن‌دهی'!$C$5+CD1037*'تنظیمات وزن‌دهی'!$C$6+CE1037*'تنظیمات وزن‌دهی'!$C$7+CF1037*'تنظیمات وزن‌دهی'!$C$8+CG1037*'تنظیمات وزن‌دهی'!$C$9+CH1037*'تنظیمات وزن‌دهی'!$C$10+CI1037*'تنظیمات وزن‌دهی'!$C$11+CJ1037*'تنظیمات وزن‌دهی'!$C$12+CK1037*'تنظیمات وزن‌دهی'!$C$13)/100))</x:f>
        <x:v>15.447142857142858</x:v>
      </x:c>
      <x:c r="CM1037" s="178" t="str">
        <x:f>IF(C1037="","",IF(COUNT(G1037:CB1037)=0,"",IF(COUNT(G1037:CB1037)&lt;74,"موقت - اطلاعات ناقص",IF(CL1037&gt;=17,"عالی",IF(CL1037&gt;=14,"خوب",IF(CL1037&gt;=10,"متوسط","ضعیف"))))))</x:f>
        <x:v>خوب</x:v>
      </x:c>
      <x:c r="CN1037" s="178" t="n">
        <x:v>1</x:v>
      </x:c>
      <x:c r="CO1037" s="142" t="n">
        <x:f>IF(C1037="","",COUNT(G1037:CB1037)/74)</x:f>
        <x:v>1</x:v>
      </x:c>
      <x:c r="CP1037" s="245" t="str">
        <x:v>داده نمونه کامل برای ماه تیر - دانش‌آموز شماره 87</x:v>
      </x:c>
    </x:row>
    <x:row r="1038">
      <x:c r="A1038" s="165" t="n">
        <x:v>1034</x:v>
      </x:c>
      <x:c r="B1038" s="233" t="str">
        <x:v>مرداد</x:v>
      </x:c>
      <x:c r="C1038" s="233" t="n">
        <x:f>IF('دانش‌آموزان'!E91="","",'دانش‌آموزان'!B91)</x:f>
        <x:v>87</x:v>
      </x:c>
      <x:c r="D1038" s="233" t="str">
        <x:f>IF('دانش‌آموزان'!C91="","",'دانش‌آموزان'!C91)</x:f>
        <x:v>4000000871</x:v>
      </x:c>
      <x:c r="E1038" s="233" t="str">
        <x:f>IF('دانش‌آموزان'!E91="","",'دانش‌آموزان'!E91&amp;" "&amp;'دانش‌آموزان'!F91)</x:f>
        <x:v>آراد حسینی</x:v>
      </x:c>
      <x:c r="F1038" s="166" t="str">
        <x:f>IF('دانش‌آموزان'!I91="","",'دانش‌آموزان'!I91)</x:f>
        <x:v>sample-7-d</x:v>
      </x:c>
      <x:c r="G1038" s="114"/>
      <x:c r="H1038" s="115"/>
      <x:c r="I1038" s="115"/>
      <x:c r="J1038" s="115"/>
      <x:c r="K1038" s="115"/>
      <x:c r="L1038" s="115"/>
      <x:c r="M1038" s="115"/>
      <x:c r="N1038" s="115"/>
      <x:c r="O1038" s="115"/>
      <x:c r="P1038" s="115"/>
      <x:c r="Q1038" s="115"/>
      <x:c r="R1038" s="115"/>
      <x:c r="S1038" s="115"/>
      <x:c r="T1038" s="115"/>
      <x:c r="U1038" s="115"/>
      <x:c r="V1038" s="115"/>
      <x:c r="W1038" s="115"/>
      <x:c r="X1038" s="115"/>
      <x:c r="Y1038" s="115"/>
      <x:c r="Z1038" s="115"/>
      <x:c r="AA1038" s="115"/>
      <x:c r="AB1038" s="115"/>
      <x:c r="AC1038" s="115"/>
      <x:c r="AD1038" s="115"/>
      <x:c r="AE1038" s="115"/>
      <x:c r="AF1038" s="115"/>
      <x:c r="AG1038" s="115"/>
      <x:c r="AH1038" s="115"/>
      <x:c r="AI1038" s="115"/>
      <x:c r="AJ1038" s="115"/>
      <x:c r="AK1038" s="115"/>
      <x:c r="AL1038" s="115"/>
      <x:c r="AM1038" s="115"/>
      <x:c r="AN1038" s="115"/>
      <x:c r="AO1038" s="115"/>
      <x:c r="AP1038" s="115"/>
      <x:c r="AQ1038" s="115"/>
      <x:c r="AR1038" s="115"/>
      <x:c r="AS1038" s="115"/>
      <x:c r="AT1038" s="115"/>
      <x:c r="AU1038" s="115"/>
      <x:c r="AV1038" s="115"/>
      <x:c r="AW1038" s="115"/>
      <x:c r="AX1038" s="115"/>
      <x:c r="AY1038" s="115"/>
      <x:c r="AZ1038" s="115"/>
      <x:c r="BA1038" s="115"/>
      <x:c r="BB1038" s="115"/>
      <x:c r="BC1038" s="115"/>
      <x:c r="BD1038" s="115"/>
      <x:c r="BE1038" s="115"/>
      <x:c r="BF1038" s="115"/>
      <x:c r="BG1038" s="115"/>
      <x:c r="BH1038" s="115"/>
      <x:c r="BI1038" s="115"/>
      <x:c r="BJ1038" s="115"/>
      <x:c r="BK1038" s="115"/>
      <x:c r="BL1038" s="115"/>
      <x:c r="BM1038" s="115"/>
      <x:c r="BN1038" s="115"/>
      <x:c r="BO1038" s="115"/>
      <x:c r="BP1038" s="115"/>
      <x:c r="BQ1038" s="115"/>
      <x:c r="BR1038" s="115"/>
      <x:c r="BS1038" s="115"/>
      <x:c r="BT1038" s="115"/>
      <x:c r="BU1038" s="115"/>
      <x:c r="BV1038" s="115"/>
      <x:c r="BW1038" s="115"/>
      <x:c r="BX1038" s="115"/>
      <x:c r="BY1038" s="115"/>
      <x:c r="BZ1038" s="115"/>
      <x:c r="CA1038" s="115"/>
      <x:c r="CB1038" s="116"/>
      <x:c r="CC1038" s="141" t="str">
        <x:f>IF(COUNT(G1038:P1038)=0,"",AVERAGE(G1038:P1038)*4)</x:f>
      </x:c>
      <x:c r="CD1038" s="178" t="str">
        <x:f>IF(COUNT(Q1038:Z1038)=0,"",AVERAGE(Q1038:Z1038)*4)</x:f>
      </x:c>
      <x:c r="CE1038" s="178" t="str">
        <x:f>IF(COUNT(AA1038:AJ1038)=0,"",AVERAGE(AA1038:AJ1038)*4)</x:f>
      </x:c>
      <x:c r="CF1038" s="178" t="str">
        <x:f>IF(COUNT(AK1038:AR1038)=0,"",AVERAGE(AK1038:AR1038)*4)</x:f>
      </x:c>
      <x:c r="CG1038" s="178" t="str">
        <x:f>IF(COUNT(AS1038:AY1038)=0,"",AVERAGE(AS1038:AY1038)*4)</x:f>
      </x:c>
      <x:c r="CH1038" s="178" t="str">
        <x:f>IF(COUNT(AZ1038:BG1038)=0,"",AVERAGE(AZ1038:BG1038)*4)</x:f>
      </x:c>
      <x:c r="CI1038" s="178" t="str">
        <x:f>IF(COUNT(BH1038:BN1038)=0,"",AVERAGE(BH1038:BN1038)*4)</x:f>
      </x:c>
      <x:c r="CJ1038" s="178" t="str">
        <x:f>IF(COUNT(BO1038:BU1038)=0,"",AVERAGE(BO1038:BU1038)*4)</x:f>
      </x:c>
      <x:c r="CK1038" s="178" t="str">
        <x:f>IF(COUNT(BV1038:CB1038)=0,"",AVERAGE(BV1038:CB1038)*4)</x:f>
      </x:c>
      <x:c r="CL1038" s="178" t="str">
        <x:f>IF(C1038="","",IF(COUNT(G1038:CB1038)&lt;74,"",(CC1038*'تنظیمات وزن‌دهی'!$C$5+CD1038*'تنظیمات وزن‌دهی'!$C$6+CE1038*'تنظیمات وزن‌دهی'!$C$7+CF1038*'تنظیمات وزن‌دهی'!$C$8+CG1038*'تنظیمات وزن‌دهی'!$C$9+CH1038*'تنظیمات وزن‌دهی'!$C$10+CI1038*'تنظیمات وزن‌دهی'!$C$11+CJ1038*'تنظیمات وزن‌دهی'!$C$12+CK1038*'تنظیمات وزن‌دهی'!$C$13)/100))</x:f>
      </x:c>
      <x:c r="CM1038" s="178" t="str">
        <x:f>IF(C1038="","",IF(COUNT(G1038:CB1038)=0,"",IF(COUNT(G1038:CB1038)&lt;74,"موقت - اطلاعات ناقص",IF(CL1038&gt;=17,"عالی",IF(CL1038&gt;=14,"خوب",IF(CL1038&gt;=10,"متوسط","ضعیف"))))))</x:f>
      </x:c>
      <x:c r="CN1038" s="178" t="n">
        <x:v>2</x:v>
      </x:c>
      <x:c r="CO1038" s="142" t="n">
        <x:f>IF(C1038="","",COUNT(G1038:CB1038)/74)</x:f>
        <x:v>0</x:v>
      </x:c>
      <x:c r="CP1038" s="245"/>
    </x:row>
    <x:row r="1039">
      <x:c r="A1039" s="165" t="n">
        <x:v>1035</x:v>
      </x:c>
      <x:c r="B1039" s="233" t="str">
        <x:v>شهریور</x:v>
      </x:c>
      <x:c r="C1039" s="233" t="n">
        <x:f>IF('دانش‌آموزان'!E91="","",'دانش‌آموزان'!B91)</x:f>
        <x:v>87</x:v>
      </x:c>
      <x:c r="D1039" s="233" t="str">
        <x:f>IF('دانش‌آموزان'!C91="","",'دانش‌آموزان'!C91)</x:f>
        <x:v>4000000871</x:v>
      </x:c>
      <x:c r="E1039" s="233" t="str">
        <x:f>IF('دانش‌آموزان'!E91="","",'دانش‌آموزان'!E91&amp;" "&amp;'دانش‌آموزان'!F91)</x:f>
        <x:v>آراد حسینی</x:v>
      </x:c>
      <x:c r="F1039" s="166" t="str">
        <x:f>IF('دانش‌آموزان'!I91="","",'دانش‌آموزان'!I91)</x:f>
        <x:v>sample-7-d</x:v>
      </x:c>
      <x:c r="G1039" s="114"/>
      <x:c r="H1039" s="115"/>
      <x:c r="I1039" s="115"/>
      <x:c r="J1039" s="115"/>
      <x:c r="K1039" s="115"/>
      <x:c r="L1039" s="115"/>
      <x:c r="M1039" s="115"/>
      <x:c r="N1039" s="115"/>
      <x:c r="O1039" s="115"/>
      <x:c r="P1039" s="115"/>
      <x:c r="Q1039" s="115"/>
      <x:c r="R1039" s="115"/>
      <x:c r="S1039" s="115"/>
      <x:c r="T1039" s="115"/>
      <x:c r="U1039" s="115"/>
      <x:c r="V1039" s="115"/>
      <x:c r="W1039" s="115"/>
      <x:c r="X1039" s="115"/>
      <x:c r="Y1039" s="115"/>
      <x:c r="Z1039" s="115"/>
      <x:c r="AA1039" s="115"/>
      <x:c r="AB1039" s="115"/>
      <x:c r="AC1039" s="115"/>
      <x:c r="AD1039" s="115"/>
      <x:c r="AE1039" s="115"/>
      <x:c r="AF1039" s="115"/>
      <x:c r="AG1039" s="115"/>
      <x:c r="AH1039" s="115"/>
      <x:c r="AI1039" s="115"/>
      <x:c r="AJ1039" s="115"/>
      <x:c r="AK1039" s="115"/>
      <x:c r="AL1039" s="115"/>
      <x:c r="AM1039" s="115"/>
      <x:c r="AN1039" s="115"/>
      <x:c r="AO1039" s="115"/>
      <x:c r="AP1039" s="115"/>
      <x:c r="AQ1039" s="115"/>
      <x:c r="AR1039" s="115"/>
      <x:c r="AS1039" s="115"/>
      <x:c r="AT1039" s="115"/>
      <x:c r="AU1039" s="115"/>
      <x:c r="AV1039" s="115"/>
      <x:c r="AW1039" s="115"/>
      <x:c r="AX1039" s="115"/>
      <x:c r="AY1039" s="115"/>
      <x:c r="AZ1039" s="115"/>
      <x:c r="BA1039" s="115"/>
      <x:c r="BB1039" s="115"/>
      <x:c r="BC1039" s="115"/>
      <x:c r="BD1039" s="115"/>
      <x:c r="BE1039" s="115"/>
      <x:c r="BF1039" s="115"/>
      <x:c r="BG1039" s="115"/>
      <x:c r="BH1039" s="115"/>
      <x:c r="BI1039" s="115"/>
      <x:c r="BJ1039" s="115"/>
      <x:c r="BK1039" s="115"/>
      <x:c r="BL1039" s="115"/>
      <x:c r="BM1039" s="115"/>
      <x:c r="BN1039" s="115"/>
      <x:c r="BO1039" s="115"/>
      <x:c r="BP1039" s="115"/>
      <x:c r="BQ1039" s="115"/>
      <x:c r="BR1039" s="115"/>
      <x:c r="BS1039" s="115"/>
      <x:c r="BT1039" s="115"/>
      <x:c r="BU1039" s="115"/>
      <x:c r="BV1039" s="115"/>
      <x:c r="BW1039" s="115"/>
      <x:c r="BX1039" s="115"/>
      <x:c r="BY1039" s="115"/>
      <x:c r="BZ1039" s="115"/>
      <x:c r="CA1039" s="115"/>
      <x:c r="CB1039" s="116"/>
      <x:c r="CC1039" s="141" t="str">
        <x:f>IF(COUNT(G1039:P1039)=0,"",AVERAGE(G1039:P1039)*4)</x:f>
      </x:c>
      <x:c r="CD1039" s="178" t="str">
        <x:f>IF(COUNT(Q1039:Z1039)=0,"",AVERAGE(Q1039:Z1039)*4)</x:f>
      </x:c>
      <x:c r="CE1039" s="178" t="str">
        <x:f>IF(COUNT(AA1039:AJ1039)=0,"",AVERAGE(AA1039:AJ1039)*4)</x:f>
      </x:c>
      <x:c r="CF1039" s="178" t="str">
        <x:f>IF(COUNT(AK1039:AR1039)=0,"",AVERAGE(AK1039:AR1039)*4)</x:f>
      </x:c>
      <x:c r="CG1039" s="178" t="str">
        <x:f>IF(COUNT(AS1039:AY1039)=0,"",AVERAGE(AS1039:AY1039)*4)</x:f>
      </x:c>
      <x:c r="CH1039" s="178" t="str">
        <x:f>IF(COUNT(AZ1039:BG1039)=0,"",AVERAGE(AZ1039:BG1039)*4)</x:f>
      </x:c>
      <x:c r="CI1039" s="178" t="str">
        <x:f>IF(COUNT(BH1039:BN1039)=0,"",AVERAGE(BH1039:BN1039)*4)</x:f>
      </x:c>
      <x:c r="CJ1039" s="178" t="str">
        <x:f>IF(COUNT(BO1039:BU1039)=0,"",AVERAGE(BO1039:BU1039)*4)</x:f>
      </x:c>
      <x:c r="CK1039" s="178" t="str">
        <x:f>IF(COUNT(BV1039:CB1039)=0,"",AVERAGE(BV1039:CB1039)*4)</x:f>
      </x:c>
      <x:c r="CL1039" s="178" t="str">
        <x:f>IF(C1039="","",IF(COUNT(G1039:CB1039)&lt;74,"",(CC1039*'تنظیمات وزن‌دهی'!$C$5+CD1039*'تنظیمات وزن‌دهی'!$C$6+CE1039*'تنظیمات وزن‌دهی'!$C$7+CF1039*'تنظیمات وزن‌دهی'!$C$8+CG1039*'تنظیمات وزن‌دهی'!$C$9+CH1039*'تنظیمات وزن‌دهی'!$C$10+CI1039*'تنظیمات وزن‌دهی'!$C$11+CJ1039*'تنظیمات وزن‌دهی'!$C$12+CK1039*'تنظیمات وزن‌دهی'!$C$13)/100))</x:f>
      </x:c>
      <x:c r="CM1039" s="178" t="str">
        <x:f>IF(C1039="","",IF(COUNT(G1039:CB1039)=0,"",IF(COUNT(G1039:CB1039)&lt;74,"موقت - اطلاعات ناقص",IF(CL1039&gt;=17,"عالی",IF(CL1039&gt;=14,"خوب",IF(CL1039&gt;=10,"متوسط","ضعیف"))))))</x:f>
      </x:c>
      <x:c r="CN1039" s="178" t="n">
        <x:v>3</x:v>
      </x:c>
      <x:c r="CO1039" s="142" t="n">
        <x:f>IF(C1039="","",COUNT(G1039:CB1039)/74)</x:f>
        <x:v>0</x:v>
      </x:c>
      <x:c r="CP1039" s="245"/>
    </x:row>
    <x:row r="1040">
      <x:c r="A1040" s="165" t="n">
        <x:v>1036</x:v>
      </x:c>
      <x:c r="B1040" s="233" t="str">
        <x:v>مهر</x:v>
      </x:c>
      <x:c r="C1040" s="233" t="n">
        <x:f>IF('دانش‌آموزان'!E91="","",'دانش‌آموزان'!B91)</x:f>
        <x:v>87</x:v>
      </x:c>
      <x:c r="D1040" s="233" t="str">
        <x:f>IF('دانش‌آموزان'!C91="","",'دانش‌آموزان'!C91)</x:f>
        <x:v>4000000871</x:v>
      </x:c>
      <x:c r="E1040" s="233" t="str">
        <x:f>IF('دانش‌آموزان'!E91="","",'دانش‌آموزان'!E91&amp;" "&amp;'دانش‌آموزان'!F91)</x:f>
        <x:v>آراد حسینی</x:v>
      </x:c>
      <x:c r="F1040" s="166" t="str">
        <x:f>IF('دانش‌آموزان'!I91="","",'دانش‌آموزان'!I91)</x:f>
        <x:v>sample-7-d</x:v>
      </x:c>
      <x:c r="G1040" s="114"/>
      <x:c r="H1040" s="115"/>
      <x:c r="I1040" s="115"/>
      <x:c r="J1040" s="115"/>
      <x:c r="K1040" s="115"/>
      <x:c r="L1040" s="115"/>
      <x:c r="M1040" s="115"/>
      <x:c r="N1040" s="115"/>
      <x:c r="O1040" s="115"/>
      <x:c r="P1040" s="115"/>
      <x:c r="Q1040" s="115"/>
      <x:c r="R1040" s="115"/>
      <x:c r="S1040" s="115"/>
      <x:c r="T1040" s="115"/>
      <x:c r="U1040" s="115"/>
      <x:c r="V1040" s="115"/>
      <x:c r="W1040" s="115"/>
      <x:c r="X1040" s="115"/>
      <x:c r="Y1040" s="115"/>
      <x:c r="Z1040" s="115"/>
      <x:c r="AA1040" s="115"/>
      <x:c r="AB1040" s="115"/>
      <x:c r="AC1040" s="115"/>
      <x:c r="AD1040" s="115"/>
      <x:c r="AE1040" s="115"/>
      <x:c r="AF1040" s="115"/>
      <x:c r="AG1040" s="115"/>
      <x:c r="AH1040" s="115"/>
      <x:c r="AI1040" s="115"/>
      <x:c r="AJ1040" s="115"/>
      <x:c r="AK1040" s="115"/>
      <x:c r="AL1040" s="115"/>
      <x:c r="AM1040" s="115"/>
      <x:c r="AN1040" s="115"/>
      <x:c r="AO1040" s="115"/>
      <x:c r="AP1040" s="115"/>
      <x:c r="AQ1040" s="115"/>
      <x:c r="AR1040" s="115"/>
      <x:c r="AS1040" s="115"/>
      <x:c r="AT1040" s="115"/>
      <x:c r="AU1040" s="115"/>
      <x:c r="AV1040" s="115"/>
      <x:c r="AW1040" s="115"/>
      <x:c r="AX1040" s="115"/>
      <x:c r="AY1040" s="115"/>
      <x:c r="AZ1040" s="115"/>
      <x:c r="BA1040" s="115"/>
      <x:c r="BB1040" s="115"/>
      <x:c r="BC1040" s="115"/>
      <x:c r="BD1040" s="115"/>
      <x:c r="BE1040" s="115"/>
      <x:c r="BF1040" s="115"/>
      <x:c r="BG1040" s="115"/>
      <x:c r="BH1040" s="115"/>
      <x:c r="BI1040" s="115"/>
      <x:c r="BJ1040" s="115"/>
      <x:c r="BK1040" s="115"/>
      <x:c r="BL1040" s="115"/>
      <x:c r="BM1040" s="115"/>
      <x:c r="BN1040" s="115"/>
      <x:c r="BO1040" s="115"/>
      <x:c r="BP1040" s="115"/>
      <x:c r="BQ1040" s="115"/>
      <x:c r="BR1040" s="115"/>
      <x:c r="BS1040" s="115"/>
      <x:c r="BT1040" s="115"/>
      <x:c r="BU1040" s="115"/>
      <x:c r="BV1040" s="115"/>
      <x:c r="BW1040" s="115"/>
      <x:c r="BX1040" s="115"/>
      <x:c r="BY1040" s="115"/>
      <x:c r="BZ1040" s="115"/>
      <x:c r="CA1040" s="115"/>
      <x:c r="CB1040" s="116"/>
      <x:c r="CC1040" s="141" t="str">
        <x:f>IF(COUNT(G1040:P1040)=0,"",AVERAGE(G1040:P1040)*4)</x:f>
      </x:c>
      <x:c r="CD1040" s="178" t="str">
        <x:f>IF(COUNT(Q1040:Z1040)=0,"",AVERAGE(Q1040:Z1040)*4)</x:f>
      </x:c>
      <x:c r="CE1040" s="178" t="str">
        <x:f>IF(COUNT(AA1040:AJ1040)=0,"",AVERAGE(AA1040:AJ1040)*4)</x:f>
      </x:c>
      <x:c r="CF1040" s="178" t="str">
        <x:f>IF(COUNT(AK1040:AR1040)=0,"",AVERAGE(AK1040:AR1040)*4)</x:f>
      </x:c>
      <x:c r="CG1040" s="178" t="str">
        <x:f>IF(COUNT(AS1040:AY1040)=0,"",AVERAGE(AS1040:AY1040)*4)</x:f>
      </x:c>
      <x:c r="CH1040" s="178" t="str">
        <x:f>IF(COUNT(AZ1040:BG1040)=0,"",AVERAGE(AZ1040:BG1040)*4)</x:f>
      </x:c>
      <x:c r="CI1040" s="178" t="str">
        <x:f>IF(COUNT(BH1040:BN1040)=0,"",AVERAGE(BH1040:BN1040)*4)</x:f>
      </x:c>
      <x:c r="CJ1040" s="178" t="str">
        <x:f>IF(COUNT(BO1040:BU1040)=0,"",AVERAGE(BO1040:BU1040)*4)</x:f>
      </x:c>
      <x:c r="CK1040" s="178" t="str">
        <x:f>IF(COUNT(BV1040:CB1040)=0,"",AVERAGE(BV1040:CB1040)*4)</x:f>
      </x:c>
      <x:c r="CL1040" s="178" t="str">
        <x:f>IF(C1040="","",IF(COUNT(G1040:CB1040)&lt;74,"",(CC1040*'تنظیمات وزن‌دهی'!$C$5+CD1040*'تنظیمات وزن‌دهی'!$C$6+CE1040*'تنظیمات وزن‌دهی'!$C$7+CF1040*'تنظیمات وزن‌دهی'!$C$8+CG1040*'تنظیمات وزن‌دهی'!$C$9+CH1040*'تنظیمات وزن‌دهی'!$C$10+CI1040*'تنظیمات وزن‌دهی'!$C$11+CJ1040*'تنظیمات وزن‌دهی'!$C$12+CK1040*'تنظیمات وزن‌دهی'!$C$13)/100))</x:f>
      </x:c>
      <x:c r="CM1040" s="178" t="str">
        <x:f>IF(C1040="","",IF(COUNT(G1040:CB1040)=0,"",IF(COUNT(G1040:CB1040)&lt;74,"موقت - اطلاعات ناقص",IF(CL1040&gt;=17,"عالی",IF(CL1040&gt;=14,"خوب",IF(CL1040&gt;=10,"متوسط","ضعیف"))))))</x:f>
      </x:c>
      <x:c r="CN1040" s="178" t="n">
        <x:v>4</x:v>
      </x:c>
      <x:c r="CO1040" s="142" t="n">
        <x:f>IF(C1040="","",COUNT(G1040:CB1040)/74)</x:f>
        <x:v>0</x:v>
      </x:c>
      <x:c r="CP1040" s="245"/>
    </x:row>
    <x:row r="1041">
      <x:c r="A1041" s="165" t="n">
        <x:v>1037</x:v>
      </x:c>
      <x:c r="B1041" s="233" t="str">
        <x:v>آبان</x:v>
      </x:c>
      <x:c r="C1041" s="233" t="n">
        <x:f>IF('دانش‌آموزان'!E91="","",'دانش‌آموزان'!B91)</x:f>
        <x:v>87</x:v>
      </x:c>
      <x:c r="D1041" s="233" t="str">
        <x:f>IF('دانش‌آموزان'!C91="","",'دانش‌آموزان'!C91)</x:f>
        <x:v>4000000871</x:v>
      </x:c>
      <x:c r="E1041" s="233" t="str">
        <x:f>IF('دانش‌آموزان'!E91="","",'دانش‌آموزان'!E91&amp;" "&amp;'دانش‌آموزان'!F91)</x:f>
        <x:v>آراد حسینی</x:v>
      </x:c>
      <x:c r="F1041" s="166" t="str">
        <x:f>IF('دانش‌آموزان'!I91="","",'دانش‌آموزان'!I91)</x:f>
        <x:v>sample-7-d</x:v>
      </x:c>
      <x:c r="G1041" s="114"/>
      <x:c r="H1041" s="115"/>
      <x:c r="I1041" s="115"/>
      <x:c r="J1041" s="115"/>
      <x:c r="K1041" s="115"/>
      <x:c r="L1041" s="115"/>
      <x:c r="M1041" s="115"/>
      <x:c r="N1041" s="115"/>
      <x:c r="O1041" s="115"/>
      <x:c r="P1041" s="115"/>
      <x:c r="Q1041" s="115"/>
      <x:c r="R1041" s="115"/>
      <x:c r="S1041" s="115"/>
      <x:c r="T1041" s="115"/>
      <x:c r="U1041" s="115"/>
      <x:c r="V1041" s="115"/>
      <x:c r="W1041" s="115"/>
      <x:c r="X1041" s="115"/>
      <x:c r="Y1041" s="115"/>
      <x:c r="Z1041" s="115"/>
      <x:c r="AA1041" s="115"/>
      <x:c r="AB1041" s="115"/>
      <x:c r="AC1041" s="115"/>
      <x:c r="AD1041" s="115"/>
      <x:c r="AE1041" s="115"/>
      <x:c r="AF1041" s="115"/>
      <x:c r="AG1041" s="115"/>
      <x:c r="AH1041" s="115"/>
      <x:c r="AI1041" s="115"/>
      <x:c r="AJ1041" s="115"/>
      <x:c r="AK1041" s="115"/>
      <x:c r="AL1041" s="115"/>
      <x:c r="AM1041" s="115"/>
      <x:c r="AN1041" s="115"/>
      <x:c r="AO1041" s="115"/>
      <x:c r="AP1041" s="115"/>
      <x:c r="AQ1041" s="115"/>
      <x:c r="AR1041" s="115"/>
      <x:c r="AS1041" s="115"/>
      <x:c r="AT1041" s="115"/>
      <x:c r="AU1041" s="115"/>
      <x:c r="AV1041" s="115"/>
      <x:c r="AW1041" s="115"/>
      <x:c r="AX1041" s="115"/>
      <x:c r="AY1041" s="115"/>
      <x:c r="AZ1041" s="115"/>
      <x:c r="BA1041" s="115"/>
      <x:c r="BB1041" s="115"/>
      <x:c r="BC1041" s="115"/>
      <x:c r="BD1041" s="115"/>
      <x:c r="BE1041" s="115"/>
      <x:c r="BF1041" s="115"/>
      <x:c r="BG1041" s="115"/>
      <x:c r="BH1041" s="115"/>
      <x:c r="BI1041" s="115"/>
      <x:c r="BJ1041" s="115"/>
      <x:c r="BK1041" s="115"/>
      <x:c r="BL1041" s="115"/>
      <x:c r="BM1041" s="115"/>
      <x:c r="BN1041" s="115"/>
      <x:c r="BO1041" s="115"/>
      <x:c r="BP1041" s="115"/>
      <x:c r="BQ1041" s="115"/>
      <x:c r="BR1041" s="115"/>
      <x:c r="BS1041" s="115"/>
      <x:c r="BT1041" s="115"/>
      <x:c r="BU1041" s="115"/>
      <x:c r="BV1041" s="115"/>
      <x:c r="BW1041" s="115"/>
      <x:c r="BX1041" s="115"/>
      <x:c r="BY1041" s="115"/>
      <x:c r="BZ1041" s="115"/>
      <x:c r="CA1041" s="115"/>
      <x:c r="CB1041" s="116"/>
      <x:c r="CC1041" s="141" t="str">
        <x:f>IF(COUNT(G1041:P1041)=0,"",AVERAGE(G1041:P1041)*4)</x:f>
      </x:c>
      <x:c r="CD1041" s="178" t="str">
        <x:f>IF(COUNT(Q1041:Z1041)=0,"",AVERAGE(Q1041:Z1041)*4)</x:f>
      </x:c>
      <x:c r="CE1041" s="178" t="str">
        <x:f>IF(COUNT(AA1041:AJ1041)=0,"",AVERAGE(AA1041:AJ1041)*4)</x:f>
      </x:c>
      <x:c r="CF1041" s="178" t="str">
        <x:f>IF(COUNT(AK1041:AR1041)=0,"",AVERAGE(AK1041:AR1041)*4)</x:f>
      </x:c>
      <x:c r="CG1041" s="178" t="str">
        <x:f>IF(COUNT(AS1041:AY1041)=0,"",AVERAGE(AS1041:AY1041)*4)</x:f>
      </x:c>
      <x:c r="CH1041" s="178" t="str">
        <x:f>IF(COUNT(AZ1041:BG1041)=0,"",AVERAGE(AZ1041:BG1041)*4)</x:f>
      </x:c>
      <x:c r="CI1041" s="178" t="str">
        <x:f>IF(COUNT(BH1041:BN1041)=0,"",AVERAGE(BH1041:BN1041)*4)</x:f>
      </x:c>
      <x:c r="CJ1041" s="178" t="str">
        <x:f>IF(COUNT(BO1041:BU1041)=0,"",AVERAGE(BO1041:BU1041)*4)</x:f>
      </x:c>
      <x:c r="CK1041" s="178" t="str">
        <x:f>IF(COUNT(BV1041:CB1041)=0,"",AVERAGE(BV1041:CB1041)*4)</x:f>
      </x:c>
      <x:c r="CL1041" s="178" t="str">
        <x:f>IF(C1041="","",IF(COUNT(G1041:CB1041)&lt;74,"",(CC1041*'تنظیمات وزن‌دهی'!$C$5+CD1041*'تنظیمات وزن‌دهی'!$C$6+CE1041*'تنظیمات وزن‌دهی'!$C$7+CF1041*'تنظیمات وزن‌دهی'!$C$8+CG1041*'تنظیمات وزن‌دهی'!$C$9+CH1041*'تنظیمات وزن‌دهی'!$C$10+CI1041*'تنظیمات وزن‌دهی'!$C$11+CJ1041*'تنظیمات وزن‌دهی'!$C$12+CK1041*'تنظیمات وزن‌دهی'!$C$13)/100))</x:f>
      </x:c>
      <x:c r="CM1041" s="178" t="str">
        <x:f>IF(C1041="","",IF(COUNT(G1041:CB1041)=0,"",IF(COUNT(G1041:CB1041)&lt;74,"موقت - اطلاعات ناقص",IF(CL1041&gt;=17,"عالی",IF(CL1041&gt;=14,"خوب",IF(CL1041&gt;=10,"متوسط","ضعیف"))))))</x:f>
      </x:c>
      <x:c r="CN1041" s="178" t="n">
        <x:v>5</x:v>
      </x:c>
      <x:c r="CO1041" s="142" t="n">
        <x:f>IF(C1041="","",COUNT(G1041:CB1041)/74)</x:f>
        <x:v>0</x:v>
      </x:c>
      <x:c r="CP1041" s="245"/>
    </x:row>
    <x:row r="1042">
      <x:c r="A1042" s="165" t="n">
        <x:v>1038</x:v>
      </x:c>
      <x:c r="B1042" s="233" t="str">
        <x:v>آذر</x:v>
      </x:c>
      <x:c r="C1042" s="233" t="n">
        <x:f>IF('دانش‌آموزان'!E91="","",'دانش‌آموزان'!B91)</x:f>
        <x:v>87</x:v>
      </x:c>
      <x:c r="D1042" s="233" t="str">
        <x:f>IF('دانش‌آموزان'!C91="","",'دانش‌آموزان'!C91)</x:f>
        <x:v>4000000871</x:v>
      </x:c>
      <x:c r="E1042" s="233" t="str">
        <x:f>IF('دانش‌آموزان'!E91="","",'دانش‌آموزان'!E91&amp;" "&amp;'دانش‌آموزان'!F91)</x:f>
        <x:v>آراد حسینی</x:v>
      </x:c>
      <x:c r="F1042" s="166" t="str">
        <x:f>IF('دانش‌آموزان'!I91="","",'دانش‌آموزان'!I91)</x:f>
        <x:v>sample-7-d</x:v>
      </x:c>
      <x:c r="G1042" s="114"/>
      <x:c r="H1042" s="115"/>
      <x:c r="I1042" s="115"/>
      <x:c r="J1042" s="115"/>
      <x:c r="K1042" s="115"/>
      <x:c r="L1042" s="115"/>
      <x:c r="M1042" s="115"/>
      <x:c r="N1042" s="115"/>
      <x:c r="O1042" s="115"/>
      <x:c r="P1042" s="115"/>
      <x:c r="Q1042" s="115"/>
      <x:c r="R1042" s="115"/>
      <x:c r="S1042" s="115"/>
      <x:c r="T1042" s="115"/>
      <x:c r="U1042" s="115"/>
      <x:c r="V1042" s="115"/>
      <x:c r="W1042" s="115"/>
      <x:c r="X1042" s="115"/>
      <x:c r="Y1042" s="115"/>
      <x:c r="Z1042" s="115"/>
      <x:c r="AA1042" s="115"/>
      <x:c r="AB1042" s="115"/>
      <x:c r="AC1042" s="115"/>
      <x:c r="AD1042" s="115"/>
      <x:c r="AE1042" s="115"/>
      <x:c r="AF1042" s="115"/>
      <x:c r="AG1042" s="115"/>
      <x:c r="AH1042" s="115"/>
      <x:c r="AI1042" s="115"/>
      <x:c r="AJ1042" s="115"/>
      <x:c r="AK1042" s="115"/>
      <x:c r="AL1042" s="115"/>
      <x:c r="AM1042" s="115"/>
      <x:c r="AN1042" s="115"/>
      <x:c r="AO1042" s="115"/>
      <x:c r="AP1042" s="115"/>
      <x:c r="AQ1042" s="115"/>
      <x:c r="AR1042" s="115"/>
      <x:c r="AS1042" s="115"/>
      <x:c r="AT1042" s="115"/>
      <x:c r="AU1042" s="115"/>
      <x:c r="AV1042" s="115"/>
      <x:c r="AW1042" s="115"/>
      <x:c r="AX1042" s="115"/>
      <x:c r="AY1042" s="115"/>
      <x:c r="AZ1042" s="115"/>
      <x:c r="BA1042" s="115"/>
      <x:c r="BB1042" s="115"/>
      <x:c r="BC1042" s="115"/>
      <x:c r="BD1042" s="115"/>
      <x:c r="BE1042" s="115"/>
      <x:c r="BF1042" s="115"/>
      <x:c r="BG1042" s="115"/>
      <x:c r="BH1042" s="115"/>
      <x:c r="BI1042" s="115"/>
      <x:c r="BJ1042" s="115"/>
      <x:c r="BK1042" s="115"/>
      <x:c r="BL1042" s="115"/>
      <x:c r="BM1042" s="115"/>
      <x:c r="BN1042" s="115"/>
      <x:c r="BO1042" s="115"/>
      <x:c r="BP1042" s="115"/>
      <x:c r="BQ1042" s="115"/>
      <x:c r="BR1042" s="115"/>
      <x:c r="BS1042" s="115"/>
      <x:c r="BT1042" s="115"/>
      <x:c r="BU1042" s="115"/>
      <x:c r="BV1042" s="115"/>
      <x:c r="BW1042" s="115"/>
      <x:c r="BX1042" s="115"/>
      <x:c r="BY1042" s="115"/>
      <x:c r="BZ1042" s="115"/>
      <x:c r="CA1042" s="115"/>
      <x:c r="CB1042" s="116"/>
      <x:c r="CC1042" s="141" t="str">
        <x:f>IF(COUNT(G1042:P1042)=0,"",AVERAGE(G1042:P1042)*4)</x:f>
      </x:c>
      <x:c r="CD1042" s="178" t="str">
        <x:f>IF(COUNT(Q1042:Z1042)=0,"",AVERAGE(Q1042:Z1042)*4)</x:f>
      </x:c>
      <x:c r="CE1042" s="178" t="str">
        <x:f>IF(COUNT(AA1042:AJ1042)=0,"",AVERAGE(AA1042:AJ1042)*4)</x:f>
      </x:c>
      <x:c r="CF1042" s="178" t="str">
        <x:f>IF(COUNT(AK1042:AR1042)=0,"",AVERAGE(AK1042:AR1042)*4)</x:f>
      </x:c>
      <x:c r="CG1042" s="178" t="str">
        <x:f>IF(COUNT(AS1042:AY1042)=0,"",AVERAGE(AS1042:AY1042)*4)</x:f>
      </x:c>
      <x:c r="CH1042" s="178" t="str">
        <x:f>IF(COUNT(AZ1042:BG1042)=0,"",AVERAGE(AZ1042:BG1042)*4)</x:f>
      </x:c>
      <x:c r="CI1042" s="178" t="str">
        <x:f>IF(COUNT(BH1042:BN1042)=0,"",AVERAGE(BH1042:BN1042)*4)</x:f>
      </x:c>
      <x:c r="CJ1042" s="178" t="str">
        <x:f>IF(COUNT(BO1042:BU1042)=0,"",AVERAGE(BO1042:BU1042)*4)</x:f>
      </x:c>
      <x:c r="CK1042" s="178" t="str">
        <x:f>IF(COUNT(BV1042:CB1042)=0,"",AVERAGE(BV1042:CB1042)*4)</x:f>
      </x:c>
      <x:c r="CL1042" s="178" t="str">
        <x:f>IF(C1042="","",IF(COUNT(G1042:CB1042)&lt;74,"",(CC1042*'تنظیمات وزن‌دهی'!$C$5+CD1042*'تنظیمات وزن‌دهی'!$C$6+CE1042*'تنظیمات وزن‌دهی'!$C$7+CF1042*'تنظیمات وزن‌دهی'!$C$8+CG1042*'تنظیمات وزن‌دهی'!$C$9+CH1042*'تنظیمات وزن‌دهی'!$C$10+CI1042*'تنظیمات وزن‌دهی'!$C$11+CJ1042*'تنظیمات وزن‌دهی'!$C$12+CK1042*'تنظیمات وزن‌دهی'!$C$13)/100))</x:f>
      </x:c>
      <x:c r="CM1042" s="178" t="str">
        <x:f>IF(C1042="","",IF(COUNT(G1042:CB1042)=0,"",IF(COUNT(G1042:CB1042)&lt;74,"موقت - اطلاعات ناقص",IF(CL1042&gt;=17,"عالی",IF(CL1042&gt;=14,"خوب",IF(CL1042&gt;=10,"متوسط","ضعیف"))))))</x:f>
      </x:c>
      <x:c r="CN1042" s="178" t="n">
        <x:v>6</x:v>
      </x:c>
      <x:c r="CO1042" s="142" t="n">
        <x:f>IF(C1042="","",COUNT(G1042:CB1042)/74)</x:f>
        <x:v>0</x:v>
      </x:c>
      <x:c r="CP1042" s="245"/>
    </x:row>
    <x:row r="1043">
      <x:c r="A1043" s="165" t="n">
        <x:v>1039</x:v>
      </x:c>
      <x:c r="B1043" s="233" t="str">
        <x:v>دی</x:v>
      </x:c>
      <x:c r="C1043" s="233" t="n">
        <x:f>IF('دانش‌آموزان'!E91="","",'دانش‌آموزان'!B91)</x:f>
        <x:v>87</x:v>
      </x:c>
      <x:c r="D1043" s="233" t="str">
        <x:f>IF('دانش‌آموزان'!C91="","",'دانش‌آموزان'!C91)</x:f>
        <x:v>4000000871</x:v>
      </x:c>
      <x:c r="E1043" s="233" t="str">
        <x:f>IF('دانش‌آموزان'!E91="","",'دانش‌آموزان'!E91&amp;" "&amp;'دانش‌آموزان'!F91)</x:f>
        <x:v>آراد حسینی</x:v>
      </x:c>
      <x:c r="F1043" s="166" t="str">
        <x:f>IF('دانش‌آموزان'!I91="","",'دانش‌آموزان'!I91)</x:f>
        <x:v>sample-7-d</x:v>
      </x:c>
      <x:c r="G1043" s="114"/>
      <x:c r="H1043" s="115"/>
      <x:c r="I1043" s="115"/>
      <x:c r="J1043" s="115"/>
      <x:c r="K1043" s="115"/>
      <x:c r="L1043" s="115"/>
      <x:c r="M1043" s="115"/>
      <x:c r="N1043" s="115"/>
      <x:c r="O1043" s="115"/>
      <x:c r="P1043" s="115"/>
      <x:c r="Q1043" s="115"/>
      <x:c r="R1043" s="115"/>
      <x:c r="S1043" s="115"/>
      <x:c r="T1043" s="115"/>
      <x:c r="U1043" s="115"/>
      <x:c r="V1043" s="115"/>
      <x:c r="W1043" s="115"/>
      <x:c r="X1043" s="115"/>
      <x:c r="Y1043" s="115"/>
      <x:c r="Z1043" s="115"/>
      <x:c r="AA1043" s="115"/>
      <x:c r="AB1043" s="115"/>
      <x:c r="AC1043" s="115"/>
      <x:c r="AD1043" s="115"/>
      <x:c r="AE1043" s="115"/>
      <x:c r="AF1043" s="115"/>
      <x:c r="AG1043" s="115"/>
      <x:c r="AH1043" s="115"/>
      <x:c r="AI1043" s="115"/>
      <x:c r="AJ1043" s="115"/>
      <x:c r="AK1043" s="115"/>
      <x:c r="AL1043" s="115"/>
      <x:c r="AM1043" s="115"/>
      <x:c r="AN1043" s="115"/>
      <x:c r="AO1043" s="115"/>
      <x:c r="AP1043" s="115"/>
      <x:c r="AQ1043" s="115"/>
      <x:c r="AR1043" s="115"/>
      <x:c r="AS1043" s="115"/>
      <x:c r="AT1043" s="115"/>
      <x:c r="AU1043" s="115"/>
      <x:c r="AV1043" s="115"/>
      <x:c r="AW1043" s="115"/>
      <x:c r="AX1043" s="115"/>
      <x:c r="AY1043" s="115"/>
      <x:c r="AZ1043" s="115"/>
      <x:c r="BA1043" s="115"/>
      <x:c r="BB1043" s="115"/>
      <x:c r="BC1043" s="115"/>
      <x:c r="BD1043" s="115"/>
      <x:c r="BE1043" s="115"/>
      <x:c r="BF1043" s="115"/>
      <x:c r="BG1043" s="115"/>
      <x:c r="BH1043" s="115"/>
      <x:c r="BI1043" s="115"/>
      <x:c r="BJ1043" s="115"/>
      <x:c r="BK1043" s="115"/>
      <x:c r="BL1043" s="115"/>
      <x:c r="BM1043" s="115"/>
      <x:c r="BN1043" s="115"/>
      <x:c r="BO1043" s="115"/>
      <x:c r="BP1043" s="115"/>
      <x:c r="BQ1043" s="115"/>
      <x:c r="BR1043" s="115"/>
      <x:c r="BS1043" s="115"/>
      <x:c r="BT1043" s="115"/>
      <x:c r="BU1043" s="115"/>
      <x:c r="BV1043" s="115"/>
      <x:c r="BW1043" s="115"/>
      <x:c r="BX1043" s="115"/>
      <x:c r="BY1043" s="115"/>
      <x:c r="BZ1043" s="115"/>
      <x:c r="CA1043" s="115"/>
      <x:c r="CB1043" s="116"/>
      <x:c r="CC1043" s="141" t="str">
        <x:f>IF(COUNT(G1043:P1043)=0,"",AVERAGE(G1043:P1043)*4)</x:f>
      </x:c>
      <x:c r="CD1043" s="178" t="str">
        <x:f>IF(COUNT(Q1043:Z1043)=0,"",AVERAGE(Q1043:Z1043)*4)</x:f>
      </x:c>
      <x:c r="CE1043" s="178" t="str">
        <x:f>IF(COUNT(AA1043:AJ1043)=0,"",AVERAGE(AA1043:AJ1043)*4)</x:f>
      </x:c>
      <x:c r="CF1043" s="178" t="str">
        <x:f>IF(COUNT(AK1043:AR1043)=0,"",AVERAGE(AK1043:AR1043)*4)</x:f>
      </x:c>
      <x:c r="CG1043" s="178" t="str">
        <x:f>IF(COUNT(AS1043:AY1043)=0,"",AVERAGE(AS1043:AY1043)*4)</x:f>
      </x:c>
      <x:c r="CH1043" s="178" t="str">
        <x:f>IF(COUNT(AZ1043:BG1043)=0,"",AVERAGE(AZ1043:BG1043)*4)</x:f>
      </x:c>
      <x:c r="CI1043" s="178" t="str">
        <x:f>IF(COUNT(BH1043:BN1043)=0,"",AVERAGE(BH1043:BN1043)*4)</x:f>
      </x:c>
      <x:c r="CJ1043" s="178" t="str">
        <x:f>IF(COUNT(BO1043:BU1043)=0,"",AVERAGE(BO1043:BU1043)*4)</x:f>
      </x:c>
      <x:c r="CK1043" s="178" t="str">
        <x:f>IF(COUNT(BV1043:CB1043)=0,"",AVERAGE(BV1043:CB1043)*4)</x:f>
      </x:c>
      <x:c r="CL1043" s="178" t="str">
        <x:f>IF(C1043="","",IF(COUNT(G1043:CB1043)&lt;74,"",(CC1043*'تنظیمات وزن‌دهی'!$C$5+CD1043*'تنظیمات وزن‌دهی'!$C$6+CE1043*'تنظیمات وزن‌دهی'!$C$7+CF1043*'تنظیمات وزن‌دهی'!$C$8+CG1043*'تنظیمات وزن‌دهی'!$C$9+CH1043*'تنظیمات وزن‌دهی'!$C$10+CI1043*'تنظیمات وزن‌دهی'!$C$11+CJ1043*'تنظیمات وزن‌دهی'!$C$12+CK1043*'تنظیمات وزن‌دهی'!$C$13)/100))</x:f>
      </x:c>
      <x:c r="CM1043" s="178" t="str">
        <x:f>IF(C1043="","",IF(COUNT(G1043:CB1043)=0,"",IF(COUNT(G1043:CB1043)&lt;74,"موقت - اطلاعات ناقص",IF(CL1043&gt;=17,"عالی",IF(CL1043&gt;=14,"خوب",IF(CL1043&gt;=10,"متوسط","ضعیف"))))))</x:f>
      </x:c>
      <x:c r="CN1043" s="178" t="n">
        <x:v>7</x:v>
      </x:c>
      <x:c r="CO1043" s="142" t="n">
        <x:f>IF(C1043="","",COUNT(G1043:CB1043)/74)</x:f>
        <x:v>0</x:v>
      </x:c>
      <x:c r="CP1043" s="245"/>
    </x:row>
    <x:row r="1044">
      <x:c r="A1044" s="165" t="n">
        <x:v>1040</x:v>
      </x:c>
      <x:c r="B1044" s="233" t="str">
        <x:v>بهمن</x:v>
      </x:c>
      <x:c r="C1044" s="233" t="n">
        <x:f>IF('دانش‌آموزان'!E91="","",'دانش‌آموزان'!B91)</x:f>
        <x:v>87</x:v>
      </x:c>
      <x:c r="D1044" s="233" t="str">
        <x:f>IF('دانش‌آموزان'!C91="","",'دانش‌آموزان'!C91)</x:f>
        <x:v>4000000871</x:v>
      </x:c>
      <x:c r="E1044" s="233" t="str">
        <x:f>IF('دانش‌آموزان'!E91="","",'دانش‌آموزان'!E91&amp;" "&amp;'دانش‌آموزان'!F91)</x:f>
        <x:v>آراد حسینی</x:v>
      </x:c>
      <x:c r="F1044" s="166" t="str">
        <x:f>IF('دانش‌آموزان'!I91="","",'دانش‌آموزان'!I91)</x:f>
        <x:v>sample-7-d</x:v>
      </x:c>
      <x:c r="G1044" s="114"/>
      <x:c r="H1044" s="115"/>
      <x:c r="I1044" s="115"/>
      <x:c r="J1044" s="115"/>
      <x:c r="K1044" s="115"/>
      <x:c r="L1044" s="115"/>
      <x:c r="M1044" s="115"/>
      <x:c r="N1044" s="115"/>
      <x:c r="O1044" s="115"/>
      <x:c r="P1044" s="115"/>
      <x:c r="Q1044" s="115"/>
      <x:c r="R1044" s="115"/>
      <x:c r="S1044" s="115"/>
      <x:c r="T1044" s="115"/>
      <x:c r="U1044" s="115"/>
      <x:c r="V1044" s="115"/>
      <x:c r="W1044" s="115"/>
      <x:c r="X1044" s="115"/>
      <x:c r="Y1044" s="115"/>
      <x:c r="Z1044" s="115"/>
      <x:c r="AA1044" s="115"/>
      <x:c r="AB1044" s="115"/>
      <x:c r="AC1044" s="115"/>
      <x:c r="AD1044" s="115"/>
      <x:c r="AE1044" s="115"/>
      <x:c r="AF1044" s="115"/>
      <x:c r="AG1044" s="115"/>
      <x:c r="AH1044" s="115"/>
      <x:c r="AI1044" s="115"/>
      <x:c r="AJ1044" s="115"/>
      <x:c r="AK1044" s="115"/>
      <x:c r="AL1044" s="115"/>
      <x:c r="AM1044" s="115"/>
      <x:c r="AN1044" s="115"/>
      <x:c r="AO1044" s="115"/>
      <x:c r="AP1044" s="115"/>
      <x:c r="AQ1044" s="115"/>
      <x:c r="AR1044" s="115"/>
      <x:c r="AS1044" s="115"/>
      <x:c r="AT1044" s="115"/>
      <x:c r="AU1044" s="115"/>
      <x:c r="AV1044" s="115"/>
      <x:c r="AW1044" s="115"/>
      <x:c r="AX1044" s="115"/>
      <x:c r="AY1044" s="115"/>
      <x:c r="AZ1044" s="115"/>
      <x:c r="BA1044" s="115"/>
      <x:c r="BB1044" s="115"/>
      <x:c r="BC1044" s="115"/>
      <x:c r="BD1044" s="115"/>
      <x:c r="BE1044" s="115"/>
      <x:c r="BF1044" s="115"/>
      <x:c r="BG1044" s="115"/>
      <x:c r="BH1044" s="115"/>
      <x:c r="BI1044" s="115"/>
      <x:c r="BJ1044" s="115"/>
      <x:c r="BK1044" s="115"/>
      <x:c r="BL1044" s="115"/>
      <x:c r="BM1044" s="115"/>
      <x:c r="BN1044" s="115"/>
      <x:c r="BO1044" s="115"/>
      <x:c r="BP1044" s="115"/>
      <x:c r="BQ1044" s="115"/>
      <x:c r="BR1044" s="115"/>
      <x:c r="BS1044" s="115"/>
      <x:c r="BT1044" s="115"/>
      <x:c r="BU1044" s="115"/>
      <x:c r="BV1044" s="115"/>
      <x:c r="BW1044" s="115"/>
      <x:c r="BX1044" s="115"/>
      <x:c r="BY1044" s="115"/>
      <x:c r="BZ1044" s="115"/>
      <x:c r="CA1044" s="115"/>
      <x:c r="CB1044" s="116"/>
      <x:c r="CC1044" s="141" t="str">
        <x:f>IF(COUNT(G1044:P1044)=0,"",AVERAGE(G1044:P1044)*4)</x:f>
      </x:c>
      <x:c r="CD1044" s="178" t="str">
        <x:f>IF(COUNT(Q1044:Z1044)=0,"",AVERAGE(Q1044:Z1044)*4)</x:f>
      </x:c>
      <x:c r="CE1044" s="178" t="str">
        <x:f>IF(COUNT(AA1044:AJ1044)=0,"",AVERAGE(AA1044:AJ1044)*4)</x:f>
      </x:c>
      <x:c r="CF1044" s="178" t="str">
        <x:f>IF(COUNT(AK1044:AR1044)=0,"",AVERAGE(AK1044:AR1044)*4)</x:f>
      </x:c>
      <x:c r="CG1044" s="178" t="str">
        <x:f>IF(COUNT(AS1044:AY1044)=0,"",AVERAGE(AS1044:AY1044)*4)</x:f>
      </x:c>
      <x:c r="CH1044" s="178" t="str">
        <x:f>IF(COUNT(AZ1044:BG1044)=0,"",AVERAGE(AZ1044:BG1044)*4)</x:f>
      </x:c>
      <x:c r="CI1044" s="178" t="str">
        <x:f>IF(COUNT(BH1044:BN1044)=0,"",AVERAGE(BH1044:BN1044)*4)</x:f>
      </x:c>
      <x:c r="CJ1044" s="178" t="str">
        <x:f>IF(COUNT(BO1044:BU1044)=0,"",AVERAGE(BO1044:BU1044)*4)</x:f>
      </x:c>
      <x:c r="CK1044" s="178" t="str">
        <x:f>IF(COUNT(BV1044:CB1044)=0,"",AVERAGE(BV1044:CB1044)*4)</x:f>
      </x:c>
      <x:c r="CL1044" s="178" t="str">
        <x:f>IF(C1044="","",IF(COUNT(G1044:CB1044)&lt;74,"",(CC1044*'تنظیمات وزن‌دهی'!$C$5+CD1044*'تنظیمات وزن‌دهی'!$C$6+CE1044*'تنظیمات وزن‌دهی'!$C$7+CF1044*'تنظیمات وزن‌دهی'!$C$8+CG1044*'تنظیمات وزن‌دهی'!$C$9+CH1044*'تنظیمات وزن‌دهی'!$C$10+CI1044*'تنظیمات وزن‌دهی'!$C$11+CJ1044*'تنظیمات وزن‌دهی'!$C$12+CK1044*'تنظیمات وزن‌دهی'!$C$13)/100))</x:f>
      </x:c>
      <x:c r="CM1044" s="178" t="str">
        <x:f>IF(C1044="","",IF(COUNT(G1044:CB1044)=0,"",IF(COUNT(G1044:CB1044)&lt;74,"موقت - اطلاعات ناقص",IF(CL1044&gt;=17,"عالی",IF(CL1044&gt;=14,"خوب",IF(CL1044&gt;=10,"متوسط","ضعیف"))))))</x:f>
      </x:c>
      <x:c r="CN1044" s="178" t="n">
        <x:v>8</x:v>
      </x:c>
      <x:c r="CO1044" s="142" t="n">
        <x:f>IF(C1044="","",COUNT(G1044:CB1044)/74)</x:f>
        <x:v>0</x:v>
      </x:c>
      <x:c r="CP1044" s="245"/>
    </x:row>
    <x:row r="1045">
      <x:c r="A1045" s="165" t="n">
        <x:v>1041</x:v>
      </x:c>
      <x:c r="B1045" s="233" t="str">
        <x:v>اسفند</x:v>
      </x:c>
      <x:c r="C1045" s="233" t="n">
        <x:f>IF('دانش‌آموزان'!E91="","",'دانش‌آموزان'!B91)</x:f>
        <x:v>87</x:v>
      </x:c>
      <x:c r="D1045" s="233" t="str">
        <x:f>IF('دانش‌آموزان'!C91="","",'دانش‌آموزان'!C91)</x:f>
        <x:v>4000000871</x:v>
      </x:c>
      <x:c r="E1045" s="233" t="str">
        <x:f>IF('دانش‌آموزان'!E91="","",'دانش‌آموزان'!E91&amp;" "&amp;'دانش‌آموزان'!F91)</x:f>
        <x:v>آراد حسینی</x:v>
      </x:c>
      <x:c r="F1045" s="166" t="str">
        <x:f>IF('دانش‌آموزان'!I91="","",'دانش‌آموزان'!I91)</x:f>
        <x:v>sample-7-d</x:v>
      </x:c>
      <x:c r="G1045" s="114"/>
      <x:c r="H1045" s="115"/>
      <x:c r="I1045" s="115"/>
      <x:c r="J1045" s="115"/>
      <x:c r="K1045" s="115"/>
      <x:c r="L1045" s="115"/>
      <x:c r="M1045" s="115"/>
      <x:c r="N1045" s="115"/>
      <x:c r="O1045" s="115"/>
      <x:c r="P1045" s="115"/>
      <x:c r="Q1045" s="115"/>
      <x:c r="R1045" s="115"/>
      <x:c r="S1045" s="115"/>
      <x:c r="T1045" s="115"/>
      <x:c r="U1045" s="115"/>
      <x:c r="V1045" s="115"/>
      <x:c r="W1045" s="115"/>
      <x:c r="X1045" s="115"/>
      <x:c r="Y1045" s="115"/>
      <x:c r="Z1045" s="115"/>
      <x:c r="AA1045" s="115"/>
      <x:c r="AB1045" s="115"/>
      <x:c r="AC1045" s="115"/>
      <x:c r="AD1045" s="115"/>
      <x:c r="AE1045" s="115"/>
      <x:c r="AF1045" s="115"/>
      <x:c r="AG1045" s="115"/>
      <x:c r="AH1045" s="115"/>
      <x:c r="AI1045" s="115"/>
      <x:c r="AJ1045" s="115"/>
      <x:c r="AK1045" s="115"/>
      <x:c r="AL1045" s="115"/>
      <x:c r="AM1045" s="115"/>
      <x:c r="AN1045" s="115"/>
      <x:c r="AO1045" s="115"/>
      <x:c r="AP1045" s="115"/>
      <x:c r="AQ1045" s="115"/>
      <x:c r="AR1045" s="115"/>
      <x:c r="AS1045" s="115"/>
      <x:c r="AT1045" s="115"/>
      <x:c r="AU1045" s="115"/>
      <x:c r="AV1045" s="115"/>
      <x:c r="AW1045" s="115"/>
      <x:c r="AX1045" s="115"/>
      <x:c r="AY1045" s="115"/>
      <x:c r="AZ1045" s="115"/>
      <x:c r="BA1045" s="115"/>
      <x:c r="BB1045" s="115"/>
      <x:c r="BC1045" s="115"/>
      <x:c r="BD1045" s="115"/>
      <x:c r="BE1045" s="115"/>
      <x:c r="BF1045" s="115"/>
      <x:c r="BG1045" s="115"/>
      <x:c r="BH1045" s="115"/>
      <x:c r="BI1045" s="115"/>
      <x:c r="BJ1045" s="115"/>
      <x:c r="BK1045" s="115"/>
      <x:c r="BL1045" s="115"/>
      <x:c r="BM1045" s="115"/>
      <x:c r="BN1045" s="115"/>
      <x:c r="BO1045" s="115"/>
      <x:c r="BP1045" s="115"/>
      <x:c r="BQ1045" s="115"/>
      <x:c r="BR1045" s="115"/>
      <x:c r="BS1045" s="115"/>
      <x:c r="BT1045" s="115"/>
      <x:c r="BU1045" s="115"/>
      <x:c r="BV1045" s="115"/>
      <x:c r="BW1045" s="115"/>
      <x:c r="BX1045" s="115"/>
      <x:c r="BY1045" s="115"/>
      <x:c r="BZ1045" s="115"/>
      <x:c r="CA1045" s="115"/>
      <x:c r="CB1045" s="116"/>
      <x:c r="CC1045" s="141" t="str">
        <x:f>IF(COUNT(G1045:P1045)=0,"",AVERAGE(G1045:P1045)*4)</x:f>
      </x:c>
      <x:c r="CD1045" s="178" t="str">
        <x:f>IF(COUNT(Q1045:Z1045)=0,"",AVERAGE(Q1045:Z1045)*4)</x:f>
      </x:c>
      <x:c r="CE1045" s="178" t="str">
        <x:f>IF(COUNT(AA1045:AJ1045)=0,"",AVERAGE(AA1045:AJ1045)*4)</x:f>
      </x:c>
      <x:c r="CF1045" s="178" t="str">
        <x:f>IF(COUNT(AK1045:AR1045)=0,"",AVERAGE(AK1045:AR1045)*4)</x:f>
      </x:c>
      <x:c r="CG1045" s="178" t="str">
        <x:f>IF(COUNT(AS1045:AY1045)=0,"",AVERAGE(AS1045:AY1045)*4)</x:f>
      </x:c>
      <x:c r="CH1045" s="178" t="str">
        <x:f>IF(COUNT(AZ1045:BG1045)=0,"",AVERAGE(AZ1045:BG1045)*4)</x:f>
      </x:c>
      <x:c r="CI1045" s="178" t="str">
        <x:f>IF(COUNT(BH1045:BN1045)=0,"",AVERAGE(BH1045:BN1045)*4)</x:f>
      </x:c>
      <x:c r="CJ1045" s="178" t="str">
        <x:f>IF(COUNT(BO1045:BU1045)=0,"",AVERAGE(BO1045:BU1045)*4)</x:f>
      </x:c>
      <x:c r="CK1045" s="178" t="str">
        <x:f>IF(COUNT(BV1045:CB1045)=0,"",AVERAGE(BV1045:CB1045)*4)</x:f>
      </x:c>
      <x:c r="CL1045" s="178" t="str">
        <x:f>IF(C1045="","",IF(COUNT(G1045:CB1045)&lt;74,"",(CC1045*'تنظیمات وزن‌دهی'!$C$5+CD1045*'تنظیمات وزن‌دهی'!$C$6+CE1045*'تنظیمات وزن‌دهی'!$C$7+CF1045*'تنظیمات وزن‌دهی'!$C$8+CG1045*'تنظیمات وزن‌دهی'!$C$9+CH1045*'تنظیمات وزن‌دهی'!$C$10+CI1045*'تنظیمات وزن‌دهی'!$C$11+CJ1045*'تنظیمات وزن‌دهی'!$C$12+CK1045*'تنظیمات وزن‌دهی'!$C$13)/100))</x:f>
      </x:c>
      <x:c r="CM1045" s="178" t="str">
        <x:f>IF(C1045="","",IF(COUNT(G1045:CB1045)=0,"",IF(COUNT(G1045:CB1045)&lt;74,"موقت - اطلاعات ناقص",IF(CL1045&gt;=17,"عالی",IF(CL1045&gt;=14,"خوب",IF(CL1045&gt;=10,"متوسط","ضعیف"))))))</x:f>
      </x:c>
      <x:c r="CN1045" s="178" t="n">
        <x:v>9</x:v>
      </x:c>
      <x:c r="CO1045" s="142" t="n">
        <x:f>IF(C1045="","",COUNT(G1045:CB1045)/74)</x:f>
        <x:v>0</x:v>
      </x:c>
      <x:c r="CP1045" s="245"/>
    </x:row>
    <x:row r="1046">
      <x:c r="A1046" s="165" t="n">
        <x:v>1042</x:v>
      </x:c>
      <x:c r="B1046" s="233" t="str">
        <x:v>فروردین</x:v>
      </x:c>
      <x:c r="C1046" s="233" t="n">
        <x:f>IF('دانش‌آموزان'!E91="","",'دانش‌آموزان'!B91)</x:f>
        <x:v>87</x:v>
      </x:c>
      <x:c r="D1046" s="233" t="str">
        <x:f>IF('دانش‌آموزان'!C91="","",'دانش‌آموزان'!C91)</x:f>
        <x:v>4000000871</x:v>
      </x:c>
      <x:c r="E1046" s="233" t="str">
        <x:f>IF('دانش‌آموزان'!E91="","",'دانش‌آموزان'!E91&amp;" "&amp;'دانش‌آموزان'!F91)</x:f>
        <x:v>آراد حسینی</x:v>
      </x:c>
      <x:c r="F1046" s="166" t="str">
        <x:f>IF('دانش‌آموزان'!I91="","",'دانش‌آموزان'!I91)</x:f>
        <x:v>sample-7-d</x:v>
      </x:c>
      <x:c r="G1046" s="114"/>
      <x:c r="H1046" s="115"/>
      <x:c r="I1046" s="115"/>
      <x:c r="J1046" s="115"/>
      <x:c r="K1046" s="115"/>
      <x:c r="L1046" s="115"/>
      <x:c r="M1046" s="115"/>
      <x:c r="N1046" s="115"/>
      <x:c r="O1046" s="115"/>
      <x:c r="P1046" s="115"/>
      <x:c r="Q1046" s="115"/>
      <x:c r="R1046" s="115"/>
      <x:c r="S1046" s="115"/>
      <x:c r="T1046" s="115"/>
      <x:c r="U1046" s="115"/>
      <x:c r="V1046" s="115"/>
      <x:c r="W1046" s="115"/>
      <x:c r="X1046" s="115"/>
      <x:c r="Y1046" s="115"/>
      <x:c r="Z1046" s="115"/>
      <x:c r="AA1046" s="115"/>
      <x:c r="AB1046" s="115"/>
      <x:c r="AC1046" s="115"/>
      <x:c r="AD1046" s="115"/>
      <x:c r="AE1046" s="115"/>
      <x:c r="AF1046" s="115"/>
      <x:c r="AG1046" s="115"/>
      <x:c r="AH1046" s="115"/>
      <x:c r="AI1046" s="115"/>
      <x:c r="AJ1046" s="115"/>
      <x:c r="AK1046" s="115"/>
      <x:c r="AL1046" s="115"/>
      <x:c r="AM1046" s="115"/>
      <x:c r="AN1046" s="115"/>
      <x:c r="AO1046" s="115"/>
      <x:c r="AP1046" s="115"/>
      <x:c r="AQ1046" s="115"/>
      <x:c r="AR1046" s="115"/>
      <x:c r="AS1046" s="115"/>
      <x:c r="AT1046" s="115"/>
      <x:c r="AU1046" s="115"/>
      <x:c r="AV1046" s="115"/>
      <x:c r="AW1046" s="115"/>
      <x:c r="AX1046" s="115"/>
      <x:c r="AY1046" s="115"/>
      <x:c r="AZ1046" s="115"/>
      <x:c r="BA1046" s="115"/>
      <x:c r="BB1046" s="115"/>
      <x:c r="BC1046" s="115"/>
      <x:c r="BD1046" s="115"/>
      <x:c r="BE1046" s="115"/>
      <x:c r="BF1046" s="115"/>
      <x:c r="BG1046" s="115"/>
      <x:c r="BH1046" s="115"/>
      <x:c r="BI1046" s="115"/>
      <x:c r="BJ1046" s="115"/>
      <x:c r="BK1046" s="115"/>
      <x:c r="BL1046" s="115"/>
      <x:c r="BM1046" s="115"/>
      <x:c r="BN1046" s="115"/>
      <x:c r="BO1046" s="115"/>
      <x:c r="BP1046" s="115"/>
      <x:c r="BQ1046" s="115"/>
      <x:c r="BR1046" s="115"/>
      <x:c r="BS1046" s="115"/>
      <x:c r="BT1046" s="115"/>
      <x:c r="BU1046" s="115"/>
      <x:c r="BV1046" s="115"/>
      <x:c r="BW1046" s="115"/>
      <x:c r="BX1046" s="115"/>
      <x:c r="BY1046" s="115"/>
      <x:c r="BZ1046" s="115"/>
      <x:c r="CA1046" s="115"/>
      <x:c r="CB1046" s="116"/>
      <x:c r="CC1046" s="141" t="str">
        <x:f>IF(COUNT(G1046:P1046)=0,"",AVERAGE(G1046:P1046)*4)</x:f>
      </x:c>
      <x:c r="CD1046" s="178" t="str">
        <x:f>IF(COUNT(Q1046:Z1046)=0,"",AVERAGE(Q1046:Z1046)*4)</x:f>
      </x:c>
      <x:c r="CE1046" s="178" t="str">
        <x:f>IF(COUNT(AA1046:AJ1046)=0,"",AVERAGE(AA1046:AJ1046)*4)</x:f>
      </x:c>
      <x:c r="CF1046" s="178" t="str">
        <x:f>IF(COUNT(AK1046:AR1046)=0,"",AVERAGE(AK1046:AR1046)*4)</x:f>
      </x:c>
      <x:c r="CG1046" s="178" t="str">
        <x:f>IF(COUNT(AS1046:AY1046)=0,"",AVERAGE(AS1046:AY1046)*4)</x:f>
      </x:c>
      <x:c r="CH1046" s="178" t="str">
        <x:f>IF(COUNT(AZ1046:BG1046)=0,"",AVERAGE(AZ1046:BG1046)*4)</x:f>
      </x:c>
      <x:c r="CI1046" s="178" t="str">
        <x:f>IF(COUNT(BH1046:BN1046)=0,"",AVERAGE(BH1046:BN1046)*4)</x:f>
      </x:c>
      <x:c r="CJ1046" s="178" t="str">
        <x:f>IF(COUNT(BO1046:BU1046)=0,"",AVERAGE(BO1046:BU1046)*4)</x:f>
      </x:c>
      <x:c r="CK1046" s="178" t="str">
        <x:f>IF(COUNT(BV1046:CB1046)=0,"",AVERAGE(BV1046:CB1046)*4)</x:f>
      </x:c>
      <x:c r="CL1046" s="178" t="str">
        <x:f>IF(C1046="","",IF(COUNT(G1046:CB1046)&lt;74,"",(CC1046*'تنظیمات وزن‌دهی'!$C$5+CD1046*'تنظیمات وزن‌دهی'!$C$6+CE1046*'تنظیمات وزن‌دهی'!$C$7+CF1046*'تنظیمات وزن‌دهی'!$C$8+CG1046*'تنظیمات وزن‌دهی'!$C$9+CH1046*'تنظیمات وزن‌دهی'!$C$10+CI1046*'تنظیمات وزن‌دهی'!$C$11+CJ1046*'تنظیمات وزن‌دهی'!$C$12+CK1046*'تنظیمات وزن‌دهی'!$C$13)/100))</x:f>
      </x:c>
      <x:c r="CM1046" s="178" t="str">
        <x:f>IF(C1046="","",IF(COUNT(G1046:CB1046)=0,"",IF(COUNT(G1046:CB1046)&lt;74,"موقت - اطلاعات ناقص",IF(CL1046&gt;=17,"عالی",IF(CL1046&gt;=14,"خوب",IF(CL1046&gt;=10,"متوسط","ضعیف"))))))</x:f>
      </x:c>
      <x:c r="CN1046" s="178" t="n">
        <x:v>10</x:v>
      </x:c>
      <x:c r="CO1046" s="142" t="n">
        <x:f>IF(C1046="","",COUNT(G1046:CB1046)/74)</x:f>
        <x:v>0</x:v>
      </x:c>
      <x:c r="CP1046" s="245"/>
    </x:row>
    <x:row r="1047">
      <x:c r="A1047" s="165" t="n">
        <x:v>1043</x:v>
      </x:c>
      <x:c r="B1047" s="233" t="str">
        <x:v>اردیبهشت</x:v>
      </x:c>
      <x:c r="C1047" s="233" t="n">
        <x:f>IF('دانش‌آموزان'!E91="","",'دانش‌آموزان'!B91)</x:f>
        <x:v>87</x:v>
      </x:c>
      <x:c r="D1047" s="233" t="str">
        <x:f>IF('دانش‌آموزان'!C91="","",'دانش‌آموزان'!C91)</x:f>
        <x:v>4000000871</x:v>
      </x:c>
      <x:c r="E1047" s="233" t="str">
        <x:f>IF('دانش‌آموزان'!E91="","",'دانش‌آموزان'!E91&amp;" "&amp;'دانش‌آموزان'!F91)</x:f>
        <x:v>آراد حسینی</x:v>
      </x:c>
      <x:c r="F1047" s="166" t="str">
        <x:f>IF('دانش‌آموزان'!I91="","",'دانش‌آموزان'!I91)</x:f>
        <x:v>sample-7-d</x:v>
      </x:c>
      <x:c r="G1047" s="114"/>
      <x:c r="H1047" s="115"/>
      <x:c r="I1047" s="115"/>
      <x:c r="J1047" s="115"/>
      <x:c r="K1047" s="115"/>
      <x:c r="L1047" s="115"/>
      <x:c r="M1047" s="115"/>
      <x:c r="N1047" s="115"/>
      <x:c r="O1047" s="115"/>
      <x:c r="P1047" s="115"/>
      <x:c r="Q1047" s="115"/>
      <x:c r="R1047" s="115"/>
      <x:c r="S1047" s="115"/>
      <x:c r="T1047" s="115"/>
      <x:c r="U1047" s="115"/>
      <x:c r="V1047" s="115"/>
      <x:c r="W1047" s="115"/>
      <x:c r="X1047" s="115"/>
      <x:c r="Y1047" s="115"/>
      <x:c r="Z1047" s="115"/>
      <x:c r="AA1047" s="115"/>
      <x:c r="AB1047" s="115"/>
      <x:c r="AC1047" s="115"/>
      <x:c r="AD1047" s="115"/>
      <x:c r="AE1047" s="115"/>
      <x:c r="AF1047" s="115"/>
      <x:c r="AG1047" s="115"/>
      <x:c r="AH1047" s="115"/>
      <x:c r="AI1047" s="115"/>
      <x:c r="AJ1047" s="115"/>
      <x:c r="AK1047" s="115"/>
      <x:c r="AL1047" s="115"/>
      <x:c r="AM1047" s="115"/>
      <x:c r="AN1047" s="115"/>
      <x:c r="AO1047" s="115"/>
      <x:c r="AP1047" s="115"/>
      <x:c r="AQ1047" s="115"/>
      <x:c r="AR1047" s="115"/>
      <x:c r="AS1047" s="115"/>
      <x:c r="AT1047" s="115"/>
      <x:c r="AU1047" s="115"/>
      <x:c r="AV1047" s="115"/>
      <x:c r="AW1047" s="115"/>
      <x:c r="AX1047" s="115"/>
      <x:c r="AY1047" s="115"/>
      <x:c r="AZ1047" s="115"/>
      <x:c r="BA1047" s="115"/>
      <x:c r="BB1047" s="115"/>
      <x:c r="BC1047" s="115"/>
      <x:c r="BD1047" s="115"/>
      <x:c r="BE1047" s="115"/>
      <x:c r="BF1047" s="115"/>
      <x:c r="BG1047" s="115"/>
      <x:c r="BH1047" s="115"/>
      <x:c r="BI1047" s="115"/>
      <x:c r="BJ1047" s="115"/>
      <x:c r="BK1047" s="115"/>
      <x:c r="BL1047" s="115"/>
      <x:c r="BM1047" s="115"/>
      <x:c r="BN1047" s="115"/>
      <x:c r="BO1047" s="115"/>
      <x:c r="BP1047" s="115"/>
      <x:c r="BQ1047" s="115"/>
      <x:c r="BR1047" s="115"/>
      <x:c r="BS1047" s="115"/>
      <x:c r="BT1047" s="115"/>
      <x:c r="BU1047" s="115"/>
      <x:c r="BV1047" s="115"/>
      <x:c r="BW1047" s="115"/>
      <x:c r="BX1047" s="115"/>
      <x:c r="BY1047" s="115"/>
      <x:c r="BZ1047" s="115"/>
      <x:c r="CA1047" s="115"/>
      <x:c r="CB1047" s="116"/>
      <x:c r="CC1047" s="141" t="str">
        <x:f>IF(COUNT(G1047:P1047)=0,"",AVERAGE(G1047:P1047)*4)</x:f>
      </x:c>
      <x:c r="CD1047" s="178" t="str">
        <x:f>IF(COUNT(Q1047:Z1047)=0,"",AVERAGE(Q1047:Z1047)*4)</x:f>
      </x:c>
      <x:c r="CE1047" s="178" t="str">
        <x:f>IF(COUNT(AA1047:AJ1047)=0,"",AVERAGE(AA1047:AJ1047)*4)</x:f>
      </x:c>
      <x:c r="CF1047" s="178" t="str">
        <x:f>IF(COUNT(AK1047:AR1047)=0,"",AVERAGE(AK1047:AR1047)*4)</x:f>
      </x:c>
      <x:c r="CG1047" s="178" t="str">
        <x:f>IF(COUNT(AS1047:AY1047)=0,"",AVERAGE(AS1047:AY1047)*4)</x:f>
      </x:c>
      <x:c r="CH1047" s="178" t="str">
        <x:f>IF(COUNT(AZ1047:BG1047)=0,"",AVERAGE(AZ1047:BG1047)*4)</x:f>
      </x:c>
      <x:c r="CI1047" s="178" t="str">
        <x:f>IF(COUNT(BH1047:BN1047)=0,"",AVERAGE(BH1047:BN1047)*4)</x:f>
      </x:c>
      <x:c r="CJ1047" s="178" t="str">
        <x:f>IF(COUNT(BO1047:BU1047)=0,"",AVERAGE(BO1047:BU1047)*4)</x:f>
      </x:c>
      <x:c r="CK1047" s="178" t="str">
        <x:f>IF(COUNT(BV1047:CB1047)=0,"",AVERAGE(BV1047:CB1047)*4)</x:f>
      </x:c>
      <x:c r="CL1047" s="178" t="str">
        <x:f>IF(C1047="","",IF(COUNT(G1047:CB1047)&lt;74,"",(CC1047*'تنظیمات وزن‌دهی'!$C$5+CD1047*'تنظیمات وزن‌دهی'!$C$6+CE1047*'تنظیمات وزن‌دهی'!$C$7+CF1047*'تنظیمات وزن‌دهی'!$C$8+CG1047*'تنظیمات وزن‌دهی'!$C$9+CH1047*'تنظیمات وزن‌دهی'!$C$10+CI1047*'تنظیمات وزن‌دهی'!$C$11+CJ1047*'تنظیمات وزن‌دهی'!$C$12+CK1047*'تنظیمات وزن‌دهی'!$C$13)/100))</x:f>
      </x:c>
      <x:c r="CM1047" s="178" t="str">
        <x:f>IF(C1047="","",IF(COUNT(G1047:CB1047)=0,"",IF(COUNT(G1047:CB1047)&lt;74,"موقت - اطلاعات ناقص",IF(CL1047&gt;=17,"عالی",IF(CL1047&gt;=14,"خوب",IF(CL1047&gt;=10,"متوسط","ضعیف"))))))</x:f>
      </x:c>
      <x:c r="CN1047" s="178" t="n">
        <x:v>11</x:v>
      </x:c>
      <x:c r="CO1047" s="142" t="n">
        <x:f>IF(C1047="","",COUNT(G1047:CB1047)/74)</x:f>
        <x:v>0</x:v>
      </x:c>
      <x:c r="CP1047" s="245"/>
    </x:row>
    <x:row r="1048">
      <x:c r="A1048" s="165" t="n">
        <x:v>1044</x:v>
      </x:c>
      <x:c r="B1048" s="233" t="str">
        <x:v>خرداد</x:v>
      </x:c>
      <x:c r="C1048" s="233" t="n">
        <x:f>IF('دانش‌آموزان'!E91="","",'دانش‌آموزان'!B91)</x:f>
        <x:v>87</x:v>
      </x:c>
      <x:c r="D1048" s="233" t="str">
        <x:f>IF('دانش‌آموزان'!C91="","",'دانش‌آموزان'!C91)</x:f>
        <x:v>4000000871</x:v>
      </x:c>
      <x:c r="E1048" s="233" t="str">
        <x:f>IF('دانش‌آموزان'!E91="","",'دانش‌آموزان'!E91&amp;" "&amp;'دانش‌آموزان'!F91)</x:f>
        <x:v>آراد حسینی</x:v>
      </x:c>
      <x:c r="F1048" s="166" t="str">
        <x:f>IF('دانش‌آموزان'!I91="","",'دانش‌آموزان'!I91)</x:f>
        <x:v>sample-7-d</x:v>
      </x:c>
      <x:c r="G1048" s="114"/>
      <x:c r="H1048" s="115"/>
      <x:c r="I1048" s="115"/>
      <x:c r="J1048" s="115"/>
      <x:c r="K1048" s="115"/>
      <x:c r="L1048" s="115"/>
      <x:c r="M1048" s="115"/>
      <x:c r="N1048" s="115"/>
      <x:c r="O1048" s="115"/>
      <x:c r="P1048" s="115"/>
      <x:c r="Q1048" s="115"/>
      <x:c r="R1048" s="115"/>
      <x:c r="S1048" s="115"/>
      <x:c r="T1048" s="115"/>
      <x:c r="U1048" s="115"/>
      <x:c r="V1048" s="115"/>
      <x:c r="W1048" s="115"/>
      <x:c r="X1048" s="115"/>
      <x:c r="Y1048" s="115"/>
      <x:c r="Z1048" s="115"/>
      <x:c r="AA1048" s="115"/>
      <x:c r="AB1048" s="115"/>
      <x:c r="AC1048" s="115"/>
      <x:c r="AD1048" s="115"/>
      <x:c r="AE1048" s="115"/>
      <x:c r="AF1048" s="115"/>
      <x:c r="AG1048" s="115"/>
      <x:c r="AH1048" s="115"/>
      <x:c r="AI1048" s="115"/>
      <x:c r="AJ1048" s="115"/>
      <x:c r="AK1048" s="115"/>
      <x:c r="AL1048" s="115"/>
      <x:c r="AM1048" s="115"/>
      <x:c r="AN1048" s="115"/>
      <x:c r="AO1048" s="115"/>
      <x:c r="AP1048" s="115"/>
      <x:c r="AQ1048" s="115"/>
      <x:c r="AR1048" s="115"/>
      <x:c r="AS1048" s="115"/>
      <x:c r="AT1048" s="115"/>
      <x:c r="AU1048" s="115"/>
      <x:c r="AV1048" s="115"/>
      <x:c r="AW1048" s="115"/>
      <x:c r="AX1048" s="115"/>
      <x:c r="AY1048" s="115"/>
      <x:c r="AZ1048" s="115"/>
      <x:c r="BA1048" s="115"/>
      <x:c r="BB1048" s="115"/>
      <x:c r="BC1048" s="115"/>
      <x:c r="BD1048" s="115"/>
      <x:c r="BE1048" s="115"/>
      <x:c r="BF1048" s="115"/>
      <x:c r="BG1048" s="115"/>
      <x:c r="BH1048" s="115"/>
      <x:c r="BI1048" s="115"/>
      <x:c r="BJ1048" s="115"/>
      <x:c r="BK1048" s="115"/>
      <x:c r="BL1048" s="115"/>
      <x:c r="BM1048" s="115"/>
      <x:c r="BN1048" s="115"/>
      <x:c r="BO1048" s="115"/>
      <x:c r="BP1048" s="115"/>
      <x:c r="BQ1048" s="115"/>
      <x:c r="BR1048" s="115"/>
      <x:c r="BS1048" s="115"/>
      <x:c r="BT1048" s="115"/>
      <x:c r="BU1048" s="115"/>
      <x:c r="BV1048" s="115"/>
      <x:c r="BW1048" s="115"/>
      <x:c r="BX1048" s="115"/>
      <x:c r="BY1048" s="115"/>
      <x:c r="BZ1048" s="115"/>
      <x:c r="CA1048" s="115"/>
      <x:c r="CB1048" s="116"/>
      <x:c r="CC1048" s="141" t="str">
        <x:f>IF(COUNT(G1048:P1048)=0,"",AVERAGE(G1048:P1048)*4)</x:f>
      </x:c>
      <x:c r="CD1048" s="178" t="str">
        <x:f>IF(COUNT(Q1048:Z1048)=0,"",AVERAGE(Q1048:Z1048)*4)</x:f>
      </x:c>
      <x:c r="CE1048" s="178" t="str">
        <x:f>IF(COUNT(AA1048:AJ1048)=0,"",AVERAGE(AA1048:AJ1048)*4)</x:f>
      </x:c>
      <x:c r="CF1048" s="178" t="str">
        <x:f>IF(COUNT(AK1048:AR1048)=0,"",AVERAGE(AK1048:AR1048)*4)</x:f>
      </x:c>
      <x:c r="CG1048" s="178" t="str">
        <x:f>IF(COUNT(AS1048:AY1048)=0,"",AVERAGE(AS1048:AY1048)*4)</x:f>
      </x:c>
      <x:c r="CH1048" s="178" t="str">
        <x:f>IF(COUNT(AZ1048:BG1048)=0,"",AVERAGE(AZ1048:BG1048)*4)</x:f>
      </x:c>
      <x:c r="CI1048" s="178" t="str">
        <x:f>IF(COUNT(BH1048:BN1048)=0,"",AVERAGE(BH1048:BN1048)*4)</x:f>
      </x:c>
      <x:c r="CJ1048" s="178" t="str">
        <x:f>IF(COUNT(BO1048:BU1048)=0,"",AVERAGE(BO1048:BU1048)*4)</x:f>
      </x:c>
      <x:c r="CK1048" s="178" t="str">
        <x:f>IF(COUNT(BV1048:CB1048)=0,"",AVERAGE(BV1048:CB1048)*4)</x:f>
      </x:c>
      <x:c r="CL1048" s="178" t="str">
        <x:f>IF(C1048="","",IF(COUNT(G1048:CB1048)&lt;74,"",(CC1048*'تنظیمات وزن‌دهی'!$C$5+CD1048*'تنظیمات وزن‌دهی'!$C$6+CE1048*'تنظیمات وزن‌دهی'!$C$7+CF1048*'تنظیمات وزن‌دهی'!$C$8+CG1048*'تنظیمات وزن‌دهی'!$C$9+CH1048*'تنظیمات وزن‌دهی'!$C$10+CI1048*'تنظیمات وزن‌دهی'!$C$11+CJ1048*'تنظیمات وزن‌دهی'!$C$12+CK1048*'تنظیمات وزن‌دهی'!$C$13)/100))</x:f>
      </x:c>
      <x:c r="CM1048" s="178" t="str">
        <x:f>IF(C1048="","",IF(COUNT(G1048:CB1048)=0,"",IF(COUNT(G1048:CB1048)&lt;74,"موقت - اطلاعات ناقص",IF(CL1048&gt;=17,"عالی",IF(CL1048&gt;=14,"خوب",IF(CL1048&gt;=10,"متوسط","ضعیف"))))))</x:f>
      </x:c>
      <x:c r="CN1048" s="178" t="n">
        <x:v>12</x:v>
      </x:c>
      <x:c r="CO1048" s="142" t="n">
        <x:f>IF(C1048="","",COUNT(G1048:CB1048)/74)</x:f>
        <x:v>0</x:v>
      </x:c>
      <x:c r="CP1048" s="245"/>
    </x:row>
    <x:row r="1049">
      <x:c r="A1049" s="165" t="n">
        <x:v>1045</x:v>
      </x:c>
      <x:c r="B1049" s="233" t="str">
        <x:v>تیر</x:v>
      </x:c>
      <x:c r="C1049" s="233" t="n">
        <x:f>IF('دانش‌آموزان'!E92="","",'دانش‌آموزان'!B92)</x:f>
        <x:v>88</x:v>
      </x:c>
      <x:c r="D1049" s="233" t="str">
        <x:f>IF('دانش‌آموزان'!C92="","",'دانش‌آموزان'!C92)</x:f>
        <x:v>4000000888</x:v>
      </x:c>
      <x:c r="E1049" s="233" t="str">
        <x:f>IF('دانش‌آموزان'!E92="","",'دانش‌آموزان'!E92&amp;" "&amp;'دانش‌آموزان'!F92)</x:f>
        <x:v>نگار جعفری</x:v>
      </x:c>
      <x:c r="F1049" s="166" t="str">
        <x:f>IF('دانش‌آموزان'!I92="","",'دانش‌آموزان'!I92)</x:f>
        <x:v>sample-7-d</x:v>
      </x:c>
      <x:c r="G1049" s="114" t="n">
        <x:v>5</x:v>
      </x:c>
      <x:c r="H1049" s="115" t="n">
        <x:v>3</x:v>
      </x:c>
      <x:c r="I1049" s="115" t="n">
        <x:v>4</x:v>
      </x:c>
      <x:c r="J1049" s="115" t="n">
        <x:v>3</x:v>
      </x:c>
      <x:c r="K1049" s="115" t="n">
        <x:v>4</x:v>
      </x:c>
      <x:c r="L1049" s="115" t="n">
        <x:v>2</x:v>
      </x:c>
      <x:c r="M1049" s="115" t="n">
        <x:v>4</x:v>
      </x:c>
      <x:c r="N1049" s="115" t="n">
        <x:v>5</x:v>
      </x:c>
      <x:c r="O1049" s="115" t="n">
        <x:v>4</x:v>
      </x:c>
      <x:c r="P1049" s="115" t="n">
        <x:v>5</x:v>
      </x:c>
      <x:c r="Q1049" s="115" t="n">
        <x:v>3</x:v>
      </x:c>
      <x:c r="R1049" s="115" t="n">
        <x:v>5</x:v>
      </x:c>
      <x:c r="S1049" s="115" t="n">
        <x:v>3</x:v>
      </x:c>
      <x:c r="T1049" s="115" t="n">
        <x:v>4</x:v>
      </x:c>
      <x:c r="U1049" s="115" t="n">
        <x:v>3</x:v>
      </x:c>
      <x:c r="V1049" s="115" t="n">
        <x:v>4</x:v>
      </x:c>
      <x:c r="W1049" s="115" t="n">
        <x:v>2</x:v>
      </x:c>
      <x:c r="X1049" s="115" t="n">
        <x:v>4</x:v>
      </x:c>
      <x:c r="Y1049" s="115" t="n">
        <x:v>5</x:v>
      </x:c>
      <x:c r="Z1049" s="115" t="n">
        <x:v>4</x:v>
      </x:c>
      <x:c r="AA1049" s="115" t="n">
        <x:v>5</x:v>
      </x:c>
      <x:c r="AB1049" s="115" t="n">
        <x:v>3</x:v>
      </x:c>
      <x:c r="AC1049" s="115" t="n">
        <x:v>5</x:v>
      </x:c>
      <x:c r="AD1049" s="115" t="n">
        <x:v>3</x:v>
      </x:c>
      <x:c r="AE1049" s="115" t="n">
        <x:v>4</x:v>
      </x:c>
      <x:c r="AF1049" s="115" t="n">
        <x:v>3</x:v>
      </x:c>
      <x:c r="AG1049" s="115" t="n">
        <x:v>4</x:v>
      </x:c>
      <x:c r="AH1049" s="115" t="n">
        <x:v>2</x:v>
      </x:c>
      <x:c r="AI1049" s="115" t="n">
        <x:v>4</x:v>
      </x:c>
      <x:c r="AJ1049" s="115" t="n">
        <x:v>5</x:v>
      </x:c>
      <x:c r="AK1049" s="115" t="n">
        <x:v>4</x:v>
      </x:c>
      <x:c r="AL1049" s="115" t="n">
        <x:v>5</x:v>
      </x:c>
      <x:c r="AM1049" s="115" t="n">
        <x:v>3</x:v>
      </x:c>
      <x:c r="AN1049" s="115" t="n">
        <x:v>5</x:v>
      </x:c>
      <x:c r="AO1049" s="115" t="n">
        <x:v>3</x:v>
      </x:c>
      <x:c r="AP1049" s="115" t="n">
        <x:v>4</x:v>
      </x:c>
      <x:c r="AQ1049" s="115" t="n">
        <x:v>3</x:v>
      </x:c>
      <x:c r="AR1049" s="115" t="n">
        <x:v>4</x:v>
      </x:c>
      <x:c r="AS1049" s="115" t="n">
        <x:v>2</x:v>
      </x:c>
      <x:c r="AT1049" s="115" t="n">
        <x:v>4</x:v>
      </x:c>
      <x:c r="AU1049" s="115" t="n">
        <x:v>5</x:v>
      </x:c>
      <x:c r="AV1049" s="115" t="n">
        <x:v>4</x:v>
      </x:c>
      <x:c r="AW1049" s="115" t="n">
        <x:v>5</x:v>
      </x:c>
      <x:c r="AX1049" s="115" t="n">
        <x:v>3</x:v>
      </x:c>
      <x:c r="AY1049" s="115" t="n">
        <x:v>5</x:v>
      </x:c>
      <x:c r="AZ1049" s="115" t="n">
        <x:v>3</x:v>
      </x:c>
      <x:c r="BA1049" s="115" t="n">
        <x:v>4</x:v>
      </x:c>
      <x:c r="BB1049" s="115" t="n">
        <x:v>3</x:v>
      </x:c>
      <x:c r="BC1049" s="115" t="n">
        <x:v>4</x:v>
      </x:c>
      <x:c r="BD1049" s="115" t="n">
        <x:v>2</x:v>
      </x:c>
      <x:c r="BE1049" s="115" t="n">
        <x:v>4</x:v>
      </x:c>
      <x:c r="BF1049" s="115" t="n">
        <x:v>5</x:v>
      </x:c>
      <x:c r="BG1049" s="115" t="n">
        <x:v>4</x:v>
      </x:c>
      <x:c r="BH1049" s="115" t="n">
        <x:v>5</x:v>
      </x:c>
      <x:c r="BI1049" s="115" t="n">
        <x:v>3</x:v>
      </x:c>
      <x:c r="BJ1049" s="115" t="n">
        <x:v>5</x:v>
      </x:c>
      <x:c r="BK1049" s="115" t="n">
        <x:v>3</x:v>
      </x:c>
      <x:c r="BL1049" s="115" t="n">
        <x:v>4</x:v>
      </x:c>
      <x:c r="BM1049" s="115" t="n">
        <x:v>3</x:v>
      </x:c>
      <x:c r="BN1049" s="115" t="n">
        <x:v>4</x:v>
      </x:c>
      <x:c r="BO1049" s="115" t="n">
        <x:v>2</x:v>
      </x:c>
      <x:c r="BP1049" s="115" t="n">
        <x:v>4</x:v>
      </x:c>
      <x:c r="BQ1049" s="115" t="n">
        <x:v>5</x:v>
      </x:c>
      <x:c r="BR1049" s="115" t="n">
        <x:v>4</x:v>
      </x:c>
      <x:c r="BS1049" s="115" t="n">
        <x:v>5</x:v>
      </x:c>
      <x:c r="BT1049" s="115" t="n">
        <x:v>3</x:v>
      </x:c>
      <x:c r="BU1049" s="115" t="n">
        <x:v>5</x:v>
      </x:c>
      <x:c r="BV1049" s="115" t="n">
        <x:v>3</x:v>
      </x:c>
      <x:c r="BW1049" s="115" t="n">
        <x:v>4</x:v>
      </x:c>
      <x:c r="BX1049" s="115" t="n">
        <x:v>3</x:v>
      </x:c>
      <x:c r="BY1049" s="115" t="n">
        <x:v>4</x:v>
      </x:c>
      <x:c r="BZ1049" s="115" t="n">
        <x:v>2</x:v>
      </x:c>
      <x:c r="CA1049" s="115" t="n">
        <x:v>4</x:v>
      </x:c>
      <x:c r="CB1049" s="116" t="n">
        <x:v>5</x:v>
      </x:c>
      <x:c r="CC1049" s="141" t="n">
        <x:f>IF(COUNT(G1049:P1049)=0,"",AVERAGE(G1049:P1049)*4)</x:f>
        <x:v>15.6</x:v>
      </x:c>
      <x:c r="CD1049" s="178" t="n">
        <x:f>IF(COUNT(Q1049:Z1049)=0,"",AVERAGE(Q1049:Z1049)*4)</x:f>
        <x:v>14.8</x:v>
      </x:c>
      <x:c r="CE1049" s="178" t="n">
        <x:f>IF(COUNT(AA1049:AJ1049)=0,"",AVERAGE(AA1049:AJ1049)*4)</x:f>
        <x:v>15.2</x:v>
      </x:c>
      <x:c r="CF1049" s="178" t="n">
        <x:f>IF(COUNT(AK1049:AR1049)=0,"",AVERAGE(AK1049:AR1049)*4)</x:f>
        <x:v>15.5</x:v>
      </x:c>
      <x:c r="CG1049" s="178" t="n">
        <x:f>IF(COUNT(AS1049:AY1049)=0,"",AVERAGE(AS1049:AY1049)*4)</x:f>
        <x:v>16</x:v>
      </x:c>
      <x:c r="CH1049" s="178" t="n">
        <x:f>IF(COUNT(AZ1049:BG1049)=0,"",AVERAGE(AZ1049:BG1049)*4)</x:f>
        <x:v>14.5</x:v>
      </x:c>
      <x:c r="CI1049" s="178" t="n">
        <x:f>IF(COUNT(BH1049:BN1049)=0,"",AVERAGE(BH1049:BN1049)*4)</x:f>
        <x:v>15.428571428571429</x:v>
      </x:c>
      <x:c r="CJ1049" s="178" t="n">
        <x:f>IF(COUNT(BO1049:BU1049)=0,"",AVERAGE(BO1049:BU1049)*4)</x:f>
        <x:v>16</x:v>
      </x:c>
      <x:c r="CK1049" s="178" t="n">
        <x:f>IF(COUNT(BV1049:CB1049)=0,"",AVERAGE(BV1049:CB1049)*4)</x:f>
        <x:v>14.285714285714286</x:v>
      </x:c>
      <x:c r="CL1049" s="178" t="n">
        <x:f>IF(C1049="","",IF(COUNT(G1049:CB1049)&lt;74,"",(CC1049*'تنظیمات وزن‌دهی'!$C$5+CD1049*'تنظیمات وزن‌دهی'!$C$6+CE1049*'تنظیمات وزن‌دهی'!$C$7+CF1049*'تنظیمات وزن‌دهی'!$C$8+CG1049*'تنظیمات وزن‌دهی'!$C$9+CH1049*'تنظیمات وزن‌دهی'!$C$10+CI1049*'تنظیمات وزن‌دهی'!$C$11+CJ1049*'تنظیمات وزن‌دهی'!$C$12+CK1049*'تنظیمات وزن‌دهی'!$C$13)/100))</x:f>
        <x:v>15.265</x:v>
      </x:c>
      <x:c r="CM1049" s="178" t="str">
        <x:f>IF(C1049="","",IF(COUNT(G1049:CB1049)=0,"",IF(COUNT(G1049:CB1049)&lt;74,"موقت - اطلاعات ناقص",IF(CL1049&gt;=17,"عالی",IF(CL1049&gt;=14,"خوب",IF(CL1049&gt;=10,"متوسط","ضعیف"))))))</x:f>
        <x:v>خوب</x:v>
      </x:c>
      <x:c r="CN1049" s="178" t="n">
        <x:v>1</x:v>
      </x:c>
      <x:c r="CO1049" s="142" t="n">
        <x:f>IF(C1049="","",COUNT(G1049:CB1049)/74)</x:f>
        <x:v>1</x:v>
      </x:c>
      <x:c r="CP1049" s="245" t="str">
        <x:v>داده نمونه کامل برای ماه تیر - دانش‌آموز شماره 88</x:v>
      </x:c>
    </x:row>
    <x:row r="1050">
      <x:c r="A1050" s="165" t="n">
        <x:v>1046</x:v>
      </x:c>
      <x:c r="B1050" s="233" t="str">
        <x:v>مرداد</x:v>
      </x:c>
      <x:c r="C1050" s="233" t="n">
        <x:f>IF('دانش‌آموزان'!E92="","",'دانش‌آموزان'!B92)</x:f>
        <x:v>88</x:v>
      </x:c>
      <x:c r="D1050" s="233" t="str">
        <x:f>IF('دانش‌آموزان'!C92="","",'دانش‌آموزان'!C92)</x:f>
        <x:v>4000000888</x:v>
      </x:c>
      <x:c r="E1050" s="233" t="str">
        <x:f>IF('دانش‌آموزان'!E92="","",'دانش‌آموزان'!E92&amp;" "&amp;'دانش‌آموزان'!F92)</x:f>
        <x:v>نگار جعفری</x:v>
      </x:c>
      <x:c r="F1050" s="166" t="str">
        <x:f>IF('دانش‌آموزان'!I92="","",'دانش‌آموزان'!I92)</x:f>
        <x:v>sample-7-d</x:v>
      </x:c>
      <x:c r="G1050" s="114"/>
      <x:c r="H1050" s="115"/>
      <x:c r="I1050" s="115"/>
      <x:c r="J1050" s="115"/>
      <x:c r="K1050" s="115"/>
      <x:c r="L1050" s="115"/>
      <x:c r="M1050" s="115"/>
      <x:c r="N1050" s="115"/>
      <x:c r="O1050" s="115"/>
      <x:c r="P1050" s="115"/>
      <x:c r="Q1050" s="115"/>
      <x:c r="R1050" s="115"/>
      <x:c r="S1050" s="115"/>
      <x:c r="T1050" s="115"/>
      <x:c r="U1050" s="115"/>
      <x:c r="V1050" s="115"/>
      <x:c r="W1050" s="115"/>
      <x:c r="X1050" s="115"/>
      <x:c r="Y1050" s="115"/>
      <x:c r="Z1050" s="115"/>
      <x:c r="AA1050" s="115"/>
      <x:c r="AB1050" s="115"/>
      <x:c r="AC1050" s="115"/>
      <x:c r="AD1050" s="115"/>
      <x:c r="AE1050" s="115"/>
      <x:c r="AF1050" s="115"/>
      <x:c r="AG1050" s="115"/>
      <x:c r="AH1050" s="115"/>
      <x:c r="AI1050" s="115"/>
      <x:c r="AJ1050" s="115"/>
      <x:c r="AK1050" s="115"/>
      <x:c r="AL1050" s="115"/>
      <x:c r="AM1050" s="115"/>
      <x:c r="AN1050" s="115"/>
      <x:c r="AO1050" s="115"/>
      <x:c r="AP1050" s="115"/>
      <x:c r="AQ1050" s="115"/>
      <x:c r="AR1050" s="115"/>
      <x:c r="AS1050" s="115"/>
      <x:c r="AT1050" s="115"/>
      <x:c r="AU1050" s="115"/>
      <x:c r="AV1050" s="115"/>
      <x:c r="AW1050" s="115"/>
      <x:c r="AX1050" s="115"/>
      <x:c r="AY1050" s="115"/>
      <x:c r="AZ1050" s="115"/>
      <x:c r="BA1050" s="115"/>
      <x:c r="BB1050" s="115"/>
      <x:c r="BC1050" s="115"/>
      <x:c r="BD1050" s="115"/>
      <x:c r="BE1050" s="115"/>
      <x:c r="BF1050" s="115"/>
      <x:c r="BG1050" s="115"/>
      <x:c r="BH1050" s="115"/>
      <x:c r="BI1050" s="115"/>
      <x:c r="BJ1050" s="115"/>
      <x:c r="BK1050" s="115"/>
      <x:c r="BL1050" s="115"/>
      <x:c r="BM1050" s="115"/>
      <x:c r="BN1050" s="115"/>
      <x:c r="BO1050" s="115"/>
      <x:c r="BP1050" s="115"/>
      <x:c r="BQ1050" s="115"/>
      <x:c r="BR1050" s="115"/>
      <x:c r="BS1050" s="115"/>
      <x:c r="BT1050" s="115"/>
      <x:c r="BU1050" s="115"/>
      <x:c r="BV1050" s="115"/>
      <x:c r="BW1050" s="115"/>
      <x:c r="BX1050" s="115"/>
      <x:c r="BY1050" s="115"/>
      <x:c r="BZ1050" s="115"/>
      <x:c r="CA1050" s="115"/>
      <x:c r="CB1050" s="116"/>
      <x:c r="CC1050" s="141" t="str">
        <x:f>IF(COUNT(G1050:P1050)=0,"",AVERAGE(G1050:P1050)*4)</x:f>
      </x:c>
      <x:c r="CD1050" s="178" t="str">
        <x:f>IF(COUNT(Q1050:Z1050)=0,"",AVERAGE(Q1050:Z1050)*4)</x:f>
      </x:c>
      <x:c r="CE1050" s="178" t="str">
        <x:f>IF(COUNT(AA1050:AJ1050)=0,"",AVERAGE(AA1050:AJ1050)*4)</x:f>
      </x:c>
      <x:c r="CF1050" s="178" t="str">
        <x:f>IF(COUNT(AK1050:AR1050)=0,"",AVERAGE(AK1050:AR1050)*4)</x:f>
      </x:c>
      <x:c r="CG1050" s="178" t="str">
        <x:f>IF(COUNT(AS1050:AY1050)=0,"",AVERAGE(AS1050:AY1050)*4)</x:f>
      </x:c>
      <x:c r="CH1050" s="178" t="str">
        <x:f>IF(COUNT(AZ1050:BG1050)=0,"",AVERAGE(AZ1050:BG1050)*4)</x:f>
      </x:c>
      <x:c r="CI1050" s="178" t="str">
        <x:f>IF(COUNT(BH1050:BN1050)=0,"",AVERAGE(BH1050:BN1050)*4)</x:f>
      </x:c>
      <x:c r="CJ1050" s="178" t="str">
        <x:f>IF(COUNT(BO1050:BU1050)=0,"",AVERAGE(BO1050:BU1050)*4)</x:f>
      </x:c>
      <x:c r="CK1050" s="178" t="str">
        <x:f>IF(COUNT(BV1050:CB1050)=0,"",AVERAGE(BV1050:CB1050)*4)</x:f>
      </x:c>
      <x:c r="CL1050" s="178" t="str">
        <x:f>IF(C1050="","",IF(COUNT(G1050:CB1050)&lt;74,"",(CC1050*'تنظیمات وزن‌دهی'!$C$5+CD1050*'تنظیمات وزن‌دهی'!$C$6+CE1050*'تنظیمات وزن‌دهی'!$C$7+CF1050*'تنظیمات وزن‌دهی'!$C$8+CG1050*'تنظیمات وزن‌دهی'!$C$9+CH1050*'تنظیمات وزن‌دهی'!$C$10+CI1050*'تنظیمات وزن‌دهی'!$C$11+CJ1050*'تنظیمات وزن‌دهی'!$C$12+CK1050*'تنظیمات وزن‌دهی'!$C$13)/100))</x:f>
      </x:c>
      <x:c r="CM1050" s="178" t="str">
        <x:f>IF(C1050="","",IF(COUNT(G1050:CB1050)=0,"",IF(COUNT(G1050:CB1050)&lt;74,"موقت - اطلاعات ناقص",IF(CL1050&gt;=17,"عالی",IF(CL1050&gt;=14,"خوب",IF(CL1050&gt;=10,"متوسط","ضعیف"))))))</x:f>
      </x:c>
      <x:c r="CN1050" s="178" t="n">
        <x:v>2</x:v>
      </x:c>
      <x:c r="CO1050" s="142" t="n">
        <x:f>IF(C1050="","",COUNT(G1050:CB1050)/74)</x:f>
        <x:v>0</x:v>
      </x:c>
      <x:c r="CP1050" s="245"/>
    </x:row>
    <x:row r="1051">
      <x:c r="A1051" s="165" t="n">
        <x:v>1047</x:v>
      </x:c>
      <x:c r="B1051" s="233" t="str">
        <x:v>شهریور</x:v>
      </x:c>
      <x:c r="C1051" s="233" t="n">
        <x:f>IF('دانش‌آموزان'!E92="","",'دانش‌آموزان'!B92)</x:f>
        <x:v>88</x:v>
      </x:c>
      <x:c r="D1051" s="233" t="str">
        <x:f>IF('دانش‌آموزان'!C92="","",'دانش‌آموزان'!C92)</x:f>
        <x:v>4000000888</x:v>
      </x:c>
      <x:c r="E1051" s="233" t="str">
        <x:f>IF('دانش‌آموزان'!E92="","",'دانش‌آموزان'!E92&amp;" "&amp;'دانش‌آموزان'!F92)</x:f>
        <x:v>نگار جعفری</x:v>
      </x:c>
      <x:c r="F1051" s="166" t="str">
        <x:f>IF('دانش‌آموزان'!I92="","",'دانش‌آموزان'!I92)</x:f>
        <x:v>sample-7-d</x:v>
      </x:c>
      <x:c r="G1051" s="114"/>
      <x:c r="H1051" s="115"/>
      <x:c r="I1051" s="115"/>
      <x:c r="J1051" s="115"/>
      <x:c r="K1051" s="115"/>
      <x:c r="L1051" s="115"/>
      <x:c r="M1051" s="115"/>
      <x:c r="N1051" s="115"/>
      <x:c r="O1051" s="115"/>
      <x:c r="P1051" s="115"/>
      <x:c r="Q1051" s="115"/>
      <x:c r="R1051" s="115"/>
      <x:c r="S1051" s="115"/>
      <x:c r="T1051" s="115"/>
      <x:c r="U1051" s="115"/>
      <x:c r="V1051" s="115"/>
      <x:c r="W1051" s="115"/>
      <x:c r="X1051" s="115"/>
      <x:c r="Y1051" s="115"/>
      <x:c r="Z1051" s="115"/>
      <x:c r="AA1051" s="115"/>
      <x:c r="AB1051" s="115"/>
      <x:c r="AC1051" s="115"/>
      <x:c r="AD1051" s="115"/>
      <x:c r="AE1051" s="115"/>
      <x:c r="AF1051" s="115"/>
      <x:c r="AG1051" s="115"/>
      <x:c r="AH1051" s="115"/>
      <x:c r="AI1051" s="115"/>
      <x:c r="AJ1051" s="115"/>
      <x:c r="AK1051" s="115"/>
      <x:c r="AL1051" s="115"/>
      <x:c r="AM1051" s="115"/>
      <x:c r="AN1051" s="115"/>
      <x:c r="AO1051" s="115"/>
      <x:c r="AP1051" s="115"/>
      <x:c r="AQ1051" s="115"/>
      <x:c r="AR1051" s="115"/>
      <x:c r="AS1051" s="115"/>
      <x:c r="AT1051" s="115"/>
      <x:c r="AU1051" s="115"/>
      <x:c r="AV1051" s="115"/>
      <x:c r="AW1051" s="115"/>
      <x:c r="AX1051" s="115"/>
      <x:c r="AY1051" s="115"/>
      <x:c r="AZ1051" s="115"/>
      <x:c r="BA1051" s="115"/>
      <x:c r="BB1051" s="115"/>
      <x:c r="BC1051" s="115"/>
      <x:c r="BD1051" s="115"/>
      <x:c r="BE1051" s="115"/>
      <x:c r="BF1051" s="115"/>
      <x:c r="BG1051" s="115"/>
      <x:c r="BH1051" s="115"/>
      <x:c r="BI1051" s="115"/>
      <x:c r="BJ1051" s="115"/>
      <x:c r="BK1051" s="115"/>
      <x:c r="BL1051" s="115"/>
      <x:c r="BM1051" s="115"/>
      <x:c r="BN1051" s="115"/>
      <x:c r="BO1051" s="115"/>
      <x:c r="BP1051" s="115"/>
      <x:c r="BQ1051" s="115"/>
      <x:c r="BR1051" s="115"/>
      <x:c r="BS1051" s="115"/>
      <x:c r="BT1051" s="115"/>
      <x:c r="BU1051" s="115"/>
      <x:c r="BV1051" s="115"/>
      <x:c r="BW1051" s="115"/>
      <x:c r="BX1051" s="115"/>
      <x:c r="BY1051" s="115"/>
      <x:c r="BZ1051" s="115"/>
      <x:c r="CA1051" s="115"/>
      <x:c r="CB1051" s="116"/>
      <x:c r="CC1051" s="141" t="str">
        <x:f>IF(COUNT(G1051:P1051)=0,"",AVERAGE(G1051:P1051)*4)</x:f>
      </x:c>
      <x:c r="CD1051" s="178" t="str">
        <x:f>IF(COUNT(Q1051:Z1051)=0,"",AVERAGE(Q1051:Z1051)*4)</x:f>
      </x:c>
      <x:c r="CE1051" s="178" t="str">
        <x:f>IF(COUNT(AA1051:AJ1051)=0,"",AVERAGE(AA1051:AJ1051)*4)</x:f>
      </x:c>
      <x:c r="CF1051" s="178" t="str">
        <x:f>IF(COUNT(AK1051:AR1051)=0,"",AVERAGE(AK1051:AR1051)*4)</x:f>
      </x:c>
      <x:c r="CG1051" s="178" t="str">
        <x:f>IF(COUNT(AS1051:AY1051)=0,"",AVERAGE(AS1051:AY1051)*4)</x:f>
      </x:c>
      <x:c r="CH1051" s="178" t="str">
        <x:f>IF(COUNT(AZ1051:BG1051)=0,"",AVERAGE(AZ1051:BG1051)*4)</x:f>
      </x:c>
      <x:c r="CI1051" s="178" t="str">
        <x:f>IF(COUNT(BH1051:BN1051)=0,"",AVERAGE(BH1051:BN1051)*4)</x:f>
      </x:c>
      <x:c r="CJ1051" s="178" t="str">
        <x:f>IF(COUNT(BO1051:BU1051)=0,"",AVERAGE(BO1051:BU1051)*4)</x:f>
      </x:c>
      <x:c r="CK1051" s="178" t="str">
        <x:f>IF(COUNT(BV1051:CB1051)=0,"",AVERAGE(BV1051:CB1051)*4)</x:f>
      </x:c>
      <x:c r="CL1051" s="178" t="str">
        <x:f>IF(C1051="","",IF(COUNT(G1051:CB1051)&lt;74,"",(CC1051*'تنظیمات وزن‌دهی'!$C$5+CD1051*'تنظیمات وزن‌دهی'!$C$6+CE1051*'تنظیمات وزن‌دهی'!$C$7+CF1051*'تنظیمات وزن‌دهی'!$C$8+CG1051*'تنظیمات وزن‌دهی'!$C$9+CH1051*'تنظیمات وزن‌دهی'!$C$10+CI1051*'تنظیمات وزن‌دهی'!$C$11+CJ1051*'تنظیمات وزن‌دهی'!$C$12+CK1051*'تنظیمات وزن‌دهی'!$C$13)/100))</x:f>
      </x:c>
      <x:c r="CM1051" s="178" t="str">
        <x:f>IF(C1051="","",IF(COUNT(G1051:CB1051)=0,"",IF(COUNT(G1051:CB1051)&lt;74,"موقت - اطلاعات ناقص",IF(CL1051&gt;=17,"عالی",IF(CL1051&gt;=14,"خوب",IF(CL1051&gt;=10,"متوسط","ضعیف"))))))</x:f>
      </x:c>
      <x:c r="CN1051" s="178" t="n">
        <x:v>3</x:v>
      </x:c>
      <x:c r="CO1051" s="142" t="n">
        <x:f>IF(C1051="","",COUNT(G1051:CB1051)/74)</x:f>
        <x:v>0</x:v>
      </x:c>
      <x:c r="CP1051" s="245"/>
    </x:row>
    <x:row r="1052">
      <x:c r="A1052" s="165" t="n">
        <x:v>1048</x:v>
      </x:c>
      <x:c r="B1052" s="233" t="str">
        <x:v>مهر</x:v>
      </x:c>
      <x:c r="C1052" s="233" t="n">
        <x:f>IF('دانش‌آموزان'!E92="","",'دانش‌آموزان'!B92)</x:f>
        <x:v>88</x:v>
      </x:c>
      <x:c r="D1052" s="233" t="str">
        <x:f>IF('دانش‌آموزان'!C92="","",'دانش‌آموزان'!C92)</x:f>
        <x:v>4000000888</x:v>
      </x:c>
      <x:c r="E1052" s="233" t="str">
        <x:f>IF('دانش‌آموزان'!E92="","",'دانش‌آموزان'!E92&amp;" "&amp;'دانش‌آموزان'!F92)</x:f>
        <x:v>نگار جعفری</x:v>
      </x:c>
      <x:c r="F1052" s="166" t="str">
        <x:f>IF('دانش‌آموزان'!I92="","",'دانش‌آموزان'!I92)</x:f>
        <x:v>sample-7-d</x:v>
      </x:c>
      <x:c r="G1052" s="114"/>
      <x:c r="H1052" s="115"/>
      <x:c r="I1052" s="115"/>
      <x:c r="J1052" s="115"/>
      <x:c r="K1052" s="115"/>
      <x:c r="L1052" s="115"/>
      <x:c r="M1052" s="115"/>
      <x:c r="N1052" s="115"/>
      <x:c r="O1052" s="115"/>
      <x:c r="P1052" s="115"/>
      <x:c r="Q1052" s="115"/>
      <x:c r="R1052" s="115"/>
      <x:c r="S1052" s="115"/>
      <x:c r="T1052" s="115"/>
      <x:c r="U1052" s="115"/>
      <x:c r="V1052" s="115"/>
      <x:c r="W1052" s="115"/>
      <x:c r="X1052" s="115"/>
      <x:c r="Y1052" s="115"/>
      <x:c r="Z1052" s="115"/>
      <x:c r="AA1052" s="115"/>
      <x:c r="AB1052" s="115"/>
      <x:c r="AC1052" s="115"/>
      <x:c r="AD1052" s="115"/>
      <x:c r="AE1052" s="115"/>
      <x:c r="AF1052" s="115"/>
      <x:c r="AG1052" s="115"/>
      <x:c r="AH1052" s="115"/>
      <x:c r="AI1052" s="115"/>
      <x:c r="AJ1052" s="115"/>
      <x:c r="AK1052" s="115"/>
      <x:c r="AL1052" s="115"/>
      <x:c r="AM1052" s="115"/>
      <x:c r="AN1052" s="115"/>
      <x:c r="AO1052" s="115"/>
      <x:c r="AP1052" s="115"/>
      <x:c r="AQ1052" s="115"/>
      <x:c r="AR1052" s="115"/>
      <x:c r="AS1052" s="115"/>
      <x:c r="AT1052" s="115"/>
      <x:c r="AU1052" s="115"/>
      <x:c r="AV1052" s="115"/>
      <x:c r="AW1052" s="115"/>
      <x:c r="AX1052" s="115"/>
      <x:c r="AY1052" s="115"/>
      <x:c r="AZ1052" s="115"/>
      <x:c r="BA1052" s="115"/>
      <x:c r="BB1052" s="115"/>
      <x:c r="BC1052" s="115"/>
      <x:c r="BD1052" s="115"/>
      <x:c r="BE1052" s="115"/>
      <x:c r="BF1052" s="115"/>
      <x:c r="BG1052" s="115"/>
      <x:c r="BH1052" s="115"/>
      <x:c r="BI1052" s="115"/>
      <x:c r="BJ1052" s="115"/>
      <x:c r="BK1052" s="115"/>
      <x:c r="BL1052" s="115"/>
      <x:c r="BM1052" s="115"/>
      <x:c r="BN1052" s="115"/>
      <x:c r="BO1052" s="115"/>
      <x:c r="BP1052" s="115"/>
      <x:c r="BQ1052" s="115"/>
      <x:c r="BR1052" s="115"/>
      <x:c r="BS1052" s="115"/>
      <x:c r="BT1052" s="115"/>
      <x:c r="BU1052" s="115"/>
      <x:c r="BV1052" s="115"/>
      <x:c r="BW1052" s="115"/>
      <x:c r="BX1052" s="115"/>
      <x:c r="BY1052" s="115"/>
      <x:c r="BZ1052" s="115"/>
      <x:c r="CA1052" s="115"/>
      <x:c r="CB1052" s="116"/>
      <x:c r="CC1052" s="141" t="str">
        <x:f>IF(COUNT(G1052:P1052)=0,"",AVERAGE(G1052:P1052)*4)</x:f>
      </x:c>
      <x:c r="CD1052" s="178" t="str">
        <x:f>IF(COUNT(Q1052:Z1052)=0,"",AVERAGE(Q1052:Z1052)*4)</x:f>
      </x:c>
      <x:c r="CE1052" s="178" t="str">
        <x:f>IF(COUNT(AA1052:AJ1052)=0,"",AVERAGE(AA1052:AJ1052)*4)</x:f>
      </x:c>
      <x:c r="CF1052" s="178" t="str">
        <x:f>IF(COUNT(AK1052:AR1052)=0,"",AVERAGE(AK1052:AR1052)*4)</x:f>
      </x:c>
      <x:c r="CG1052" s="178" t="str">
        <x:f>IF(COUNT(AS1052:AY1052)=0,"",AVERAGE(AS1052:AY1052)*4)</x:f>
      </x:c>
      <x:c r="CH1052" s="178" t="str">
        <x:f>IF(COUNT(AZ1052:BG1052)=0,"",AVERAGE(AZ1052:BG1052)*4)</x:f>
      </x:c>
      <x:c r="CI1052" s="178" t="str">
        <x:f>IF(COUNT(BH1052:BN1052)=0,"",AVERAGE(BH1052:BN1052)*4)</x:f>
      </x:c>
      <x:c r="CJ1052" s="178" t="str">
        <x:f>IF(COUNT(BO1052:BU1052)=0,"",AVERAGE(BO1052:BU1052)*4)</x:f>
      </x:c>
      <x:c r="CK1052" s="178" t="str">
        <x:f>IF(COUNT(BV1052:CB1052)=0,"",AVERAGE(BV1052:CB1052)*4)</x:f>
      </x:c>
      <x:c r="CL1052" s="178" t="str">
        <x:f>IF(C1052="","",IF(COUNT(G1052:CB1052)&lt;74,"",(CC1052*'تنظیمات وزن‌دهی'!$C$5+CD1052*'تنظیمات وزن‌دهی'!$C$6+CE1052*'تنظیمات وزن‌دهی'!$C$7+CF1052*'تنظیمات وزن‌دهی'!$C$8+CG1052*'تنظیمات وزن‌دهی'!$C$9+CH1052*'تنظیمات وزن‌دهی'!$C$10+CI1052*'تنظیمات وزن‌دهی'!$C$11+CJ1052*'تنظیمات وزن‌دهی'!$C$12+CK1052*'تنظیمات وزن‌دهی'!$C$13)/100))</x:f>
      </x:c>
      <x:c r="CM1052" s="178" t="str">
        <x:f>IF(C1052="","",IF(COUNT(G1052:CB1052)=0,"",IF(COUNT(G1052:CB1052)&lt;74,"موقت - اطلاعات ناقص",IF(CL1052&gt;=17,"عالی",IF(CL1052&gt;=14,"خوب",IF(CL1052&gt;=10,"متوسط","ضعیف"))))))</x:f>
      </x:c>
      <x:c r="CN1052" s="178" t="n">
        <x:v>4</x:v>
      </x:c>
      <x:c r="CO1052" s="142" t="n">
        <x:f>IF(C1052="","",COUNT(G1052:CB1052)/74)</x:f>
        <x:v>0</x:v>
      </x:c>
      <x:c r="CP1052" s="245"/>
    </x:row>
    <x:row r="1053">
      <x:c r="A1053" s="165" t="n">
        <x:v>1049</x:v>
      </x:c>
      <x:c r="B1053" s="233" t="str">
        <x:v>آبان</x:v>
      </x:c>
      <x:c r="C1053" s="233" t="n">
        <x:f>IF('دانش‌آموزان'!E92="","",'دانش‌آموزان'!B92)</x:f>
        <x:v>88</x:v>
      </x:c>
      <x:c r="D1053" s="233" t="str">
        <x:f>IF('دانش‌آموزان'!C92="","",'دانش‌آموزان'!C92)</x:f>
        <x:v>4000000888</x:v>
      </x:c>
      <x:c r="E1053" s="233" t="str">
        <x:f>IF('دانش‌آموزان'!E92="","",'دانش‌آموزان'!E92&amp;" "&amp;'دانش‌آموزان'!F92)</x:f>
        <x:v>نگار جعفری</x:v>
      </x:c>
      <x:c r="F1053" s="166" t="str">
        <x:f>IF('دانش‌آموزان'!I92="","",'دانش‌آموزان'!I92)</x:f>
        <x:v>sample-7-d</x:v>
      </x:c>
      <x:c r="G1053" s="114"/>
      <x:c r="H1053" s="115"/>
      <x:c r="I1053" s="115"/>
      <x:c r="J1053" s="115"/>
      <x:c r="K1053" s="115"/>
      <x:c r="L1053" s="115"/>
      <x:c r="M1053" s="115"/>
      <x:c r="N1053" s="115"/>
      <x:c r="O1053" s="115"/>
      <x:c r="P1053" s="115"/>
      <x:c r="Q1053" s="115"/>
      <x:c r="R1053" s="115"/>
      <x:c r="S1053" s="115"/>
      <x:c r="T1053" s="115"/>
      <x:c r="U1053" s="115"/>
      <x:c r="V1053" s="115"/>
      <x:c r="W1053" s="115"/>
      <x:c r="X1053" s="115"/>
      <x:c r="Y1053" s="115"/>
      <x:c r="Z1053" s="115"/>
      <x:c r="AA1053" s="115"/>
      <x:c r="AB1053" s="115"/>
      <x:c r="AC1053" s="115"/>
      <x:c r="AD1053" s="115"/>
      <x:c r="AE1053" s="115"/>
      <x:c r="AF1053" s="115"/>
      <x:c r="AG1053" s="115"/>
      <x:c r="AH1053" s="115"/>
      <x:c r="AI1053" s="115"/>
      <x:c r="AJ1053" s="115"/>
      <x:c r="AK1053" s="115"/>
      <x:c r="AL1053" s="115"/>
      <x:c r="AM1053" s="115"/>
      <x:c r="AN1053" s="115"/>
      <x:c r="AO1053" s="115"/>
      <x:c r="AP1053" s="115"/>
      <x:c r="AQ1053" s="115"/>
      <x:c r="AR1053" s="115"/>
      <x:c r="AS1053" s="115"/>
      <x:c r="AT1053" s="115"/>
      <x:c r="AU1053" s="115"/>
      <x:c r="AV1053" s="115"/>
      <x:c r="AW1053" s="115"/>
      <x:c r="AX1053" s="115"/>
      <x:c r="AY1053" s="115"/>
      <x:c r="AZ1053" s="115"/>
      <x:c r="BA1053" s="115"/>
      <x:c r="BB1053" s="115"/>
      <x:c r="BC1053" s="115"/>
      <x:c r="BD1053" s="115"/>
      <x:c r="BE1053" s="115"/>
      <x:c r="BF1053" s="115"/>
      <x:c r="BG1053" s="115"/>
      <x:c r="BH1053" s="115"/>
      <x:c r="BI1053" s="115"/>
      <x:c r="BJ1053" s="115"/>
      <x:c r="BK1053" s="115"/>
      <x:c r="BL1053" s="115"/>
      <x:c r="BM1053" s="115"/>
      <x:c r="BN1053" s="115"/>
      <x:c r="BO1053" s="115"/>
      <x:c r="BP1053" s="115"/>
      <x:c r="BQ1053" s="115"/>
      <x:c r="BR1053" s="115"/>
      <x:c r="BS1053" s="115"/>
      <x:c r="BT1053" s="115"/>
      <x:c r="BU1053" s="115"/>
      <x:c r="BV1053" s="115"/>
      <x:c r="BW1053" s="115"/>
      <x:c r="BX1053" s="115"/>
      <x:c r="BY1053" s="115"/>
      <x:c r="BZ1053" s="115"/>
      <x:c r="CA1053" s="115"/>
      <x:c r="CB1053" s="116"/>
      <x:c r="CC1053" s="141" t="str">
        <x:f>IF(COUNT(G1053:P1053)=0,"",AVERAGE(G1053:P1053)*4)</x:f>
      </x:c>
      <x:c r="CD1053" s="178" t="str">
        <x:f>IF(COUNT(Q1053:Z1053)=0,"",AVERAGE(Q1053:Z1053)*4)</x:f>
      </x:c>
      <x:c r="CE1053" s="178" t="str">
        <x:f>IF(COUNT(AA1053:AJ1053)=0,"",AVERAGE(AA1053:AJ1053)*4)</x:f>
      </x:c>
      <x:c r="CF1053" s="178" t="str">
        <x:f>IF(COUNT(AK1053:AR1053)=0,"",AVERAGE(AK1053:AR1053)*4)</x:f>
      </x:c>
      <x:c r="CG1053" s="178" t="str">
        <x:f>IF(COUNT(AS1053:AY1053)=0,"",AVERAGE(AS1053:AY1053)*4)</x:f>
      </x:c>
      <x:c r="CH1053" s="178" t="str">
        <x:f>IF(COUNT(AZ1053:BG1053)=0,"",AVERAGE(AZ1053:BG1053)*4)</x:f>
      </x:c>
      <x:c r="CI1053" s="178" t="str">
        <x:f>IF(COUNT(BH1053:BN1053)=0,"",AVERAGE(BH1053:BN1053)*4)</x:f>
      </x:c>
      <x:c r="CJ1053" s="178" t="str">
        <x:f>IF(COUNT(BO1053:BU1053)=0,"",AVERAGE(BO1053:BU1053)*4)</x:f>
      </x:c>
      <x:c r="CK1053" s="178" t="str">
        <x:f>IF(COUNT(BV1053:CB1053)=0,"",AVERAGE(BV1053:CB1053)*4)</x:f>
      </x:c>
      <x:c r="CL1053" s="178" t="str">
        <x:f>IF(C1053="","",IF(COUNT(G1053:CB1053)&lt;74,"",(CC1053*'تنظیمات وزن‌دهی'!$C$5+CD1053*'تنظیمات وزن‌دهی'!$C$6+CE1053*'تنظیمات وزن‌دهی'!$C$7+CF1053*'تنظیمات وزن‌دهی'!$C$8+CG1053*'تنظیمات وزن‌دهی'!$C$9+CH1053*'تنظیمات وزن‌دهی'!$C$10+CI1053*'تنظیمات وزن‌دهی'!$C$11+CJ1053*'تنظیمات وزن‌دهی'!$C$12+CK1053*'تنظیمات وزن‌دهی'!$C$13)/100))</x:f>
      </x:c>
      <x:c r="CM1053" s="178" t="str">
        <x:f>IF(C1053="","",IF(COUNT(G1053:CB1053)=0,"",IF(COUNT(G1053:CB1053)&lt;74,"موقت - اطلاعات ناقص",IF(CL1053&gt;=17,"عالی",IF(CL1053&gt;=14,"خوب",IF(CL1053&gt;=10,"متوسط","ضعیف"))))))</x:f>
      </x:c>
      <x:c r="CN1053" s="178" t="n">
        <x:v>5</x:v>
      </x:c>
      <x:c r="CO1053" s="142" t="n">
        <x:f>IF(C1053="","",COUNT(G1053:CB1053)/74)</x:f>
        <x:v>0</x:v>
      </x:c>
      <x:c r="CP1053" s="245"/>
    </x:row>
    <x:row r="1054">
      <x:c r="A1054" s="165" t="n">
        <x:v>1050</x:v>
      </x:c>
      <x:c r="B1054" s="233" t="str">
        <x:v>آذر</x:v>
      </x:c>
      <x:c r="C1054" s="233" t="n">
        <x:f>IF('دانش‌آموزان'!E92="","",'دانش‌آموزان'!B92)</x:f>
        <x:v>88</x:v>
      </x:c>
      <x:c r="D1054" s="233" t="str">
        <x:f>IF('دانش‌آموزان'!C92="","",'دانش‌آموزان'!C92)</x:f>
        <x:v>4000000888</x:v>
      </x:c>
      <x:c r="E1054" s="233" t="str">
        <x:f>IF('دانش‌آموزان'!E92="","",'دانش‌آموزان'!E92&amp;" "&amp;'دانش‌آموزان'!F92)</x:f>
        <x:v>نگار جعفری</x:v>
      </x:c>
      <x:c r="F1054" s="166" t="str">
        <x:f>IF('دانش‌آموزان'!I92="","",'دانش‌آموزان'!I92)</x:f>
        <x:v>sample-7-d</x:v>
      </x:c>
      <x:c r="G1054" s="114"/>
      <x:c r="H1054" s="115"/>
      <x:c r="I1054" s="115"/>
      <x:c r="J1054" s="115"/>
      <x:c r="K1054" s="115"/>
      <x:c r="L1054" s="115"/>
      <x:c r="M1054" s="115"/>
      <x:c r="N1054" s="115"/>
      <x:c r="O1054" s="115"/>
      <x:c r="P1054" s="115"/>
      <x:c r="Q1054" s="115"/>
      <x:c r="R1054" s="115"/>
      <x:c r="S1054" s="115"/>
      <x:c r="T1054" s="115"/>
      <x:c r="U1054" s="115"/>
      <x:c r="V1054" s="115"/>
      <x:c r="W1054" s="115"/>
      <x:c r="X1054" s="115"/>
      <x:c r="Y1054" s="115"/>
      <x:c r="Z1054" s="115"/>
      <x:c r="AA1054" s="115"/>
      <x:c r="AB1054" s="115"/>
      <x:c r="AC1054" s="115"/>
      <x:c r="AD1054" s="115"/>
      <x:c r="AE1054" s="115"/>
      <x:c r="AF1054" s="115"/>
      <x:c r="AG1054" s="115"/>
      <x:c r="AH1054" s="115"/>
      <x:c r="AI1054" s="115"/>
      <x:c r="AJ1054" s="115"/>
      <x:c r="AK1054" s="115"/>
      <x:c r="AL1054" s="115"/>
      <x:c r="AM1054" s="115"/>
      <x:c r="AN1054" s="115"/>
      <x:c r="AO1054" s="115"/>
      <x:c r="AP1054" s="115"/>
      <x:c r="AQ1054" s="115"/>
      <x:c r="AR1054" s="115"/>
      <x:c r="AS1054" s="115"/>
      <x:c r="AT1054" s="115"/>
      <x:c r="AU1054" s="115"/>
      <x:c r="AV1054" s="115"/>
      <x:c r="AW1054" s="115"/>
      <x:c r="AX1054" s="115"/>
      <x:c r="AY1054" s="115"/>
      <x:c r="AZ1054" s="115"/>
      <x:c r="BA1054" s="115"/>
      <x:c r="BB1054" s="115"/>
      <x:c r="BC1054" s="115"/>
      <x:c r="BD1054" s="115"/>
      <x:c r="BE1054" s="115"/>
      <x:c r="BF1054" s="115"/>
      <x:c r="BG1054" s="115"/>
      <x:c r="BH1054" s="115"/>
      <x:c r="BI1054" s="115"/>
      <x:c r="BJ1054" s="115"/>
      <x:c r="BK1054" s="115"/>
      <x:c r="BL1054" s="115"/>
      <x:c r="BM1054" s="115"/>
      <x:c r="BN1054" s="115"/>
      <x:c r="BO1054" s="115"/>
      <x:c r="BP1054" s="115"/>
      <x:c r="BQ1054" s="115"/>
      <x:c r="BR1054" s="115"/>
      <x:c r="BS1054" s="115"/>
      <x:c r="BT1054" s="115"/>
      <x:c r="BU1054" s="115"/>
      <x:c r="BV1054" s="115"/>
      <x:c r="BW1054" s="115"/>
      <x:c r="BX1054" s="115"/>
      <x:c r="BY1054" s="115"/>
      <x:c r="BZ1054" s="115"/>
      <x:c r="CA1054" s="115"/>
      <x:c r="CB1054" s="116"/>
      <x:c r="CC1054" s="141" t="str">
        <x:f>IF(COUNT(G1054:P1054)=0,"",AVERAGE(G1054:P1054)*4)</x:f>
      </x:c>
      <x:c r="CD1054" s="178" t="str">
        <x:f>IF(COUNT(Q1054:Z1054)=0,"",AVERAGE(Q1054:Z1054)*4)</x:f>
      </x:c>
      <x:c r="CE1054" s="178" t="str">
        <x:f>IF(COUNT(AA1054:AJ1054)=0,"",AVERAGE(AA1054:AJ1054)*4)</x:f>
      </x:c>
      <x:c r="CF1054" s="178" t="str">
        <x:f>IF(COUNT(AK1054:AR1054)=0,"",AVERAGE(AK1054:AR1054)*4)</x:f>
      </x:c>
      <x:c r="CG1054" s="178" t="str">
        <x:f>IF(COUNT(AS1054:AY1054)=0,"",AVERAGE(AS1054:AY1054)*4)</x:f>
      </x:c>
      <x:c r="CH1054" s="178" t="str">
        <x:f>IF(COUNT(AZ1054:BG1054)=0,"",AVERAGE(AZ1054:BG1054)*4)</x:f>
      </x:c>
      <x:c r="CI1054" s="178" t="str">
        <x:f>IF(COUNT(BH1054:BN1054)=0,"",AVERAGE(BH1054:BN1054)*4)</x:f>
      </x:c>
      <x:c r="CJ1054" s="178" t="str">
        <x:f>IF(COUNT(BO1054:BU1054)=0,"",AVERAGE(BO1054:BU1054)*4)</x:f>
      </x:c>
      <x:c r="CK1054" s="178" t="str">
        <x:f>IF(COUNT(BV1054:CB1054)=0,"",AVERAGE(BV1054:CB1054)*4)</x:f>
      </x:c>
      <x:c r="CL1054" s="178" t="str">
        <x:f>IF(C1054="","",IF(COUNT(G1054:CB1054)&lt;74,"",(CC1054*'تنظیمات وزن‌دهی'!$C$5+CD1054*'تنظیمات وزن‌دهی'!$C$6+CE1054*'تنظیمات وزن‌دهی'!$C$7+CF1054*'تنظیمات وزن‌دهی'!$C$8+CG1054*'تنظیمات وزن‌دهی'!$C$9+CH1054*'تنظیمات وزن‌دهی'!$C$10+CI1054*'تنظیمات وزن‌دهی'!$C$11+CJ1054*'تنظیمات وزن‌دهی'!$C$12+CK1054*'تنظیمات وزن‌دهی'!$C$13)/100))</x:f>
      </x:c>
      <x:c r="CM1054" s="178" t="str">
        <x:f>IF(C1054="","",IF(COUNT(G1054:CB1054)=0,"",IF(COUNT(G1054:CB1054)&lt;74,"موقت - اطلاعات ناقص",IF(CL1054&gt;=17,"عالی",IF(CL1054&gt;=14,"خوب",IF(CL1054&gt;=10,"متوسط","ضعیف"))))))</x:f>
      </x:c>
      <x:c r="CN1054" s="178" t="n">
        <x:v>6</x:v>
      </x:c>
      <x:c r="CO1054" s="142" t="n">
        <x:f>IF(C1054="","",COUNT(G1054:CB1054)/74)</x:f>
        <x:v>0</x:v>
      </x:c>
      <x:c r="CP1054" s="245"/>
    </x:row>
    <x:row r="1055">
      <x:c r="A1055" s="165" t="n">
        <x:v>1051</x:v>
      </x:c>
      <x:c r="B1055" s="233" t="str">
        <x:v>دی</x:v>
      </x:c>
      <x:c r="C1055" s="233" t="n">
        <x:f>IF('دانش‌آموزان'!E92="","",'دانش‌آموزان'!B92)</x:f>
        <x:v>88</x:v>
      </x:c>
      <x:c r="D1055" s="233" t="str">
        <x:f>IF('دانش‌آموزان'!C92="","",'دانش‌آموزان'!C92)</x:f>
        <x:v>4000000888</x:v>
      </x:c>
      <x:c r="E1055" s="233" t="str">
        <x:f>IF('دانش‌آموزان'!E92="","",'دانش‌آموزان'!E92&amp;" "&amp;'دانش‌آموزان'!F92)</x:f>
        <x:v>نگار جعفری</x:v>
      </x:c>
      <x:c r="F1055" s="166" t="str">
        <x:f>IF('دانش‌آموزان'!I92="","",'دانش‌آموزان'!I92)</x:f>
        <x:v>sample-7-d</x:v>
      </x:c>
      <x:c r="G1055" s="114"/>
      <x:c r="H1055" s="115"/>
      <x:c r="I1055" s="115"/>
      <x:c r="J1055" s="115"/>
      <x:c r="K1055" s="115"/>
      <x:c r="L1055" s="115"/>
      <x:c r="M1055" s="115"/>
      <x:c r="N1055" s="115"/>
      <x:c r="O1055" s="115"/>
      <x:c r="P1055" s="115"/>
      <x:c r="Q1055" s="115"/>
      <x:c r="R1055" s="115"/>
      <x:c r="S1055" s="115"/>
      <x:c r="T1055" s="115"/>
      <x:c r="U1055" s="115"/>
      <x:c r="V1055" s="115"/>
      <x:c r="W1055" s="115"/>
      <x:c r="X1055" s="115"/>
      <x:c r="Y1055" s="115"/>
      <x:c r="Z1055" s="115"/>
      <x:c r="AA1055" s="115"/>
      <x:c r="AB1055" s="115"/>
      <x:c r="AC1055" s="115"/>
      <x:c r="AD1055" s="115"/>
      <x:c r="AE1055" s="115"/>
      <x:c r="AF1055" s="115"/>
      <x:c r="AG1055" s="115"/>
      <x:c r="AH1055" s="115"/>
      <x:c r="AI1055" s="115"/>
      <x:c r="AJ1055" s="115"/>
      <x:c r="AK1055" s="115"/>
      <x:c r="AL1055" s="115"/>
      <x:c r="AM1055" s="115"/>
      <x:c r="AN1055" s="115"/>
      <x:c r="AO1055" s="115"/>
      <x:c r="AP1055" s="115"/>
      <x:c r="AQ1055" s="115"/>
      <x:c r="AR1055" s="115"/>
      <x:c r="AS1055" s="115"/>
      <x:c r="AT1055" s="115"/>
      <x:c r="AU1055" s="115"/>
      <x:c r="AV1055" s="115"/>
      <x:c r="AW1055" s="115"/>
      <x:c r="AX1055" s="115"/>
      <x:c r="AY1055" s="115"/>
      <x:c r="AZ1055" s="115"/>
      <x:c r="BA1055" s="115"/>
      <x:c r="BB1055" s="115"/>
      <x:c r="BC1055" s="115"/>
      <x:c r="BD1055" s="115"/>
      <x:c r="BE1055" s="115"/>
      <x:c r="BF1055" s="115"/>
      <x:c r="BG1055" s="115"/>
      <x:c r="BH1055" s="115"/>
      <x:c r="BI1055" s="115"/>
      <x:c r="BJ1055" s="115"/>
      <x:c r="BK1055" s="115"/>
      <x:c r="BL1055" s="115"/>
      <x:c r="BM1055" s="115"/>
      <x:c r="BN1055" s="115"/>
      <x:c r="BO1055" s="115"/>
      <x:c r="BP1055" s="115"/>
      <x:c r="BQ1055" s="115"/>
      <x:c r="BR1055" s="115"/>
      <x:c r="BS1055" s="115"/>
      <x:c r="BT1055" s="115"/>
      <x:c r="BU1055" s="115"/>
      <x:c r="BV1055" s="115"/>
      <x:c r="BW1055" s="115"/>
      <x:c r="BX1055" s="115"/>
      <x:c r="BY1055" s="115"/>
      <x:c r="BZ1055" s="115"/>
      <x:c r="CA1055" s="115"/>
      <x:c r="CB1055" s="116"/>
      <x:c r="CC1055" s="141" t="str">
        <x:f>IF(COUNT(G1055:P1055)=0,"",AVERAGE(G1055:P1055)*4)</x:f>
      </x:c>
      <x:c r="CD1055" s="178" t="str">
        <x:f>IF(COUNT(Q1055:Z1055)=0,"",AVERAGE(Q1055:Z1055)*4)</x:f>
      </x:c>
      <x:c r="CE1055" s="178" t="str">
        <x:f>IF(COUNT(AA1055:AJ1055)=0,"",AVERAGE(AA1055:AJ1055)*4)</x:f>
      </x:c>
      <x:c r="CF1055" s="178" t="str">
        <x:f>IF(COUNT(AK1055:AR1055)=0,"",AVERAGE(AK1055:AR1055)*4)</x:f>
      </x:c>
      <x:c r="CG1055" s="178" t="str">
        <x:f>IF(COUNT(AS1055:AY1055)=0,"",AVERAGE(AS1055:AY1055)*4)</x:f>
      </x:c>
      <x:c r="CH1055" s="178" t="str">
        <x:f>IF(COUNT(AZ1055:BG1055)=0,"",AVERAGE(AZ1055:BG1055)*4)</x:f>
      </x:c>
      <x:c r="CI1055" s="178" t="str">
        <x:f>IF(COUNT(BH1055:BN1055)=0,"",AVERAGE(BH1055:BN1055)*4)</x:f>
      </x:c>
      <x:c r="CJ1055" s="178" t="str">
        <x:f>IF(COUNT(BO1055:BU1055)=0,"",AVERAGE(BO1055:BU1055)*4)</x:f>
      </x:c>
      <x:c r="CK1055" s="178" t="str">
        <x:f>IF(COUNT(BV1055:CB1055)=0,"",AVERAGE(BV1055:CB1055)*4)</x:f>
      </x:c>
      <x:c r="CL1055" s="178" t="str">
        <x:f>IF(C1055="","",IF(COUNT(G1055:CB1055)&lt;74,"",(CC1055*'تنظیمات وزن‌دهی'!$C$5+CD1055*'تنظیمات وزن‌دهی'!$C$6+CE1055*'تنظیمات وزن‌دهی'!$C$7+CF1055*'تنظیمات وزن‌دهی'!$C$8+CG1055*'تنظیمات وزن‌دهی'!$C$9+CH1055*'تنظیمات وزن‌دهی'!$C$10+CI1055*'تنظیمات وزن‌دهی'!$C$11+CJ1055*'تنظیمات وزن‌دهی'!$C$12+CK1055*'تنظیمات وزن‌دهی'!$C$13)/100))</x:f>
      </x:c>
      <x:c r="CM1055" s="178" t="str">
        <x:f>IF(C1055="","",IF(COUNT(G1055:CB1055)=0,"",IF(COUNT(G1055:CB1055)&lt;74,"موقت - اطلاعات ناقص",IF(CL1055&gt;=17,"عالی",IF(CL1055&gt;=14,"خوب",IF(CL1055&gt;=10,"متوسط","ضعیف"))))))</x:f>
      </x:c>
      <x:c r="CN1055" s="178" t="n">
        <x:v>7</x:v>
      </x:c>
      <x:c r="CO1055" s="142" t="n">
        <x:f>IF(C1055="","",COUNT(G1055:CB1055)/74)</x:f>
        <x:v>0</x:v>
      </x:c>
      <x:c r="CP1055" s="245"/>
    </x:row>
    <x:row r="1056">
      <x:c r="A1056" s="165" t="n">
        <x:v>1052</x:v>
      </x:c>
      <x:c r="B1056" s="233" t="str">
        <x:v>بهمن</x:v>
      </x:c>
      <x:c r="C1056" s="233" t="n">
        <x:f>IF('دانش‌آموزان'!E92="","",'دانش‌آموزان'!B92)</x:f>
        <x:v>88</x:v>
      </x:c>
      <x:c r="D1056" s="233" t="str">
        <x:f>IF('دانش‌آموزان'!C92="","",'دانش‌آموزان'!C92)</x:f>
        <x:v>4000000888</x:v>
      </x:c>
      <x:c r="E1056" s="233" t="str">
        <x:f>IF('دانش‌آموزان'!E92="","",'دانش‌آموزان'!E92&amp;" "&amp;'دانش‌آموزان'!F92)</x:f>
        <x:v>نگار جعفری</x:v>
      </x:c>
      <x:c r="F1056" s="166" t="str">
        <x:f>IF('دانش‌آموزان'!I92="","",'دانش‌آموزان'!I92)</x:f>
        <x:v>sample-7-d</x:v>
      </x:c>
      <x:c r="G1056" s="114"/>
      <x:c r="H1056" s="115"/>
      <x:c r="I1056" s="115"/>
      <x:c r="J1056" s="115"/>
      <x:c r="K1056" s="115"/>
      <x:c r="L1056" s="115"/>
      <x:c r="M1056" s="115"/>
      <x:c r="N1056" s="115"/>
      <x:c r="O1056" s="115"/>
      <x:c r="P1056" s="115"/>
      <x:c r="Q1056" s="115"/>
      <x:c r="R1056" s="115"/>
      <x:c r="S1056" s="115"/>
      <x:c r="T1056" s="115"/>
      <x:c r="U1056" s="115"/>
      <x:c r="V1056" s="115"/>
      <x:c r="W1056" s="115"/>
      <x:c r="X1056" s="115"/>
      <x:c r="Y1056" s="115"/>
      <x:c r="Z1056" s="115"/>
      <x:c r="AA1056" s="115"/>
      <x:c r="AB1056" s="115"/>
      <x:c r="AC1056" s="115"/>
      <x:c r="AD1056" s="115"/>
      <x:c r="AE1056" s="115"/>
      <x:c r="AF1056" s="115"/>
      <x:c r="AG1056" s="115"/>
      <x:c r="AH1056" s="115"/>
      <x:c r="AI1056" s="115"/>
      <x:c r="AJ1056" s="115"/>
      <x:c r="AK1056" s="115"/>
      <x:c r="AL1056" s="115"/>
      <x:c r="AM1056" s="115"/>
      <x:c r="AN1056" s="115"/>
      <x:c r="AO1056" s="115"/>
      <x:c r="AP1056" s="115"/>
      <x:c r="AQ1056" s="115"/>
      <x:c r="AR1056" s="115"/>
      <x:c r="AS1056" s="115"/>
      <x:c r="AT1056" s="115"/>
      <x:c r="AU1056" s="115"/>
      <x:c r="AV1056" s="115"/>
      <x:c r="AW1056" s="115"/>
      <x:c r="AX1056" s="115"/>
      <x:c r="AY1056" s="115"/>
      <x:c r="AZ1056" s="115"/>
      <x:c r="BA1056" s="115"/>
      <x:c r="BB1056" s="115"/>
      <x:c r="BC1056" s="115"/>
      <x:c r="BD1056" s="115"/>
      <x:c r="BE1056" s="115"/>
      <x:c r="BF1056" s="115"/>
      <x:c r="BG1056" s="115"/>
      <x:c r="BH1056" s="115"/>
      <x:c r="BI1056" s="115"/>
      <x:c r="BJ1056" s="115"/>
      <x:c r="BK1056" s="115"/>
      <x:c r="BL1056" s="115"/>
      <x:c r="BM1056" s="115"/>
      <x:c r="BN1056" s="115"/>
      <x:c r="BO1056" s="115"/>
      <x:c r="BP1056" s="115"/>
      <x:c r="BQ1056" s="115"/>
      <x:c r="BR1056" s="115"/>
      <x:c r="BS1056" s="115"/>
      <x:c r="BT1056" s="115"/>
      <x:c r="BU1056" s="115"/>
      <x:c r="BV1056" s="115"/>
      <x:c r="BW1056" s="115"/>
      <x:c r="BX1056" s="115"/>
      <x:c r="BY1056" s="115"/>
      <x:c r="BZ1056" s="115"/>
      <x:c r="CA1056" s="115"/>
      <x:c r="CB1056" s="116"/>
      <x:c r="CC1056" s="141" t="str">
        <x:f>IF(COUNT(G1056:P1056)=0,"",AVERAGE(G1056:P1056)*4)</x:f>
      </x:c>
      <x:c r="CD1056" s="178" t="str">
        <x:f>IF(COUNT(Q1056:Z1056)=0,"",AVERAGE(Q1056:Z1056)*4)</x:f>
      </x:c>
      <x:c r="CE1056" s="178" t="str">
        <x:f>IF(COUNT(AA1056:AJ1056)=0,"",AVERAGE(AA1056:AJ1056)*4)</x:f>
      </x:c>
      <x:c r="CF1056" s="178" t="str">
        <x:f>IF(COUNT(AK1056:AR1056)=0,"",AVERAGE(AK1056:AR1056)*4)</x:f>
      </x:c>
      <x:c r="CG1056" s="178" t="str">
        <x:f>IF(COUNT(AS1056:AY1056)=0,"",AVERAGE(AS1056:AY1056)*4)</x:f>
      </x:c>
      <x:c r="CH1056" s="178" t="str">
        <x:f>IF(COUNT(AZ1056:BG1056)=0,"",AVERAGE(AZ1056:BG1056)*4)</x:f>
      </x:c>
      <x:c r="CI1056" s="178" t="str">
        <x:f>IF(COUNT(BH1056:BN1056)=0,"",AVERAGE(BH1056:BN1056)*4)</x:f>
      </x:c>
      <x:c r="CJ1056" s="178" t="str">
        <x:f>IF(COUNT(BO1056:BU1056)=0,"",AVERAGE(BO1056:BU1056)*4)</x:f>
      </x:c>
      <x:c r="CK1056" s="178" t="str">
        <x:f>IF(COUNT(BV1056:CB1056)=0,"",AVERAGE(BV1056:CB1056)*4)</x:f>
      </x:c>
      <x:c r="CL1056" s="178" t="str">
        <x:f>IF(C1056="","",IF(COUNT(G1056:CB1056)&lt;74,"",(CC1056*'تنظیمات وزن‌دهی'!$C$5+CD1056*'تنظیمات وزن‌دهی'!$C$6+CE1056*'تنظیمات وزن‌دهی'!$C$7+CF1056*'تنظیمات وزن‌دهی'!$C$8+CG1056*'تنظیمات وزن‌دهی'!$C$9+CH1056*'تنظیمات وزن‌دهی'!$C$10+CI1056*'تنظیمات وزن‌دهی'!$C$11+CJ1056*'تنظیمات وزن‌دهی'!$C$12+CK1056*'تنظیمات وزن‌دهی'!$C$13)/100))</x:f>
      </x:c>
      <x:c r="CM1056" s="178" t="str">
        <x:f>IF(C1056="","",IF(COUNT(G1056:CB1056)=0,"",IF(COUNT(G1056:CB1056)&lt;74,"موقت - اطلاعات ناقص",IF(CL1056&gt;=17,"عالی",IF(CL1056&gt;=14,"خوب",IF(CL1056&gt;=10,"متوسط","ضعیف"))))))</x:f>
      </x:c>
      <x:c r="CN1056" s="178" t="n">
        <x:v>8</x:v>
      </x:c>
      <x:c r="CO1056" s="142" t="n">
        <x:f>IF(C1056="","",COUNT(G1056:CB1056)/74)</x:f>
        <x:v>0</x:v>
      </x:c>
      <x:c r="CP1056" s="245"/>
    </x:row>
    <x:row r="1057">
      <x:c r="A1057" s="165" t="n">
        <x:v>1053</x:v>
      </x:c>
      <x:c r="B1057" s="233" t="str">
        <x:v>اسفند</x:v>
      </x:c>
      <x:c r="C1057" s="233" t="n">
        <x:f>IF('دانش‌آموزان'!E92="","",'دانش‌آموزان'!B92)</x:f>
        <x:v>88</x:v>
      </x:c>
      <x:c r="D1057" s="233" t="str">
        <x:f>IF('دانش‌آموزان'!C92="","",'دانش‌آموزان'!C92)</x:f>
        <x:v>4000000888</x:v>
      </x:c>
      <x:c r="E1057" s="233" t="str">
        <x:f>IF('دانش‌آموزان'!E92="","",'دانش‌آموزان'!E92&amp;" "&amp;'دانش‌آموزان'!F92)</x:f>
        <x:v>نگار جعفری</x:v>
      </x:c>
      <x:c r="F1057" s="166" t="str">
        <x:f>IF('دانش‌آموزان'!I92="","",'دانش‌آموزان'!I92)</x:f>
        <x:v>sample-7-d</x:v>
      </x:c>
      <x:c r="G1057" s="114"/>
      <x:c r="H1057" s="115"/>
      <x:c r="I1057" s="115"/>
      <x:c r="J1057" s="115"/>
      <x:c r="K1057" s="115"/>
      <x:c r="L1057" s="115"/>
      <x:c r="M1057" s="115"/>
      <x:c r="N1057" s="115"/>
      <x:c r="O1057" s="115"/>
      <x:c r="P1057" s="115"/>
      <x:c r="Q1057" s="115"/>
      <x:c r="R1057" s="115"/>
      <x:c r="S1057" s="115"/>
      <x:c r="T1057" s="115"/>
      <x:c r="U1057" s="115"/>
      <x:c r="V1057" s="115"/>
      <x:c r="W1057" s="115"/>
      <x:c r="X1057" s="115"/>
      <x:c r="Y1057" s="115"/>
      <x:c r="Z1057" s="115"/>
      <x:c r="AA1057" s="115"/>
      <x:c r="AB1057" s="115"/>
      <x:c r="AC1057" s="115"/>
      <x:c r="AD1057" s="115"/>
      <x:c r="AE1057" s="115"/>
      <x:c r="AF1057" s="115"/>
      <x:c r="AG1057" s="115"/>
      <x:c r="AH1057" s="115"/>
      <x:c r="AI1057" s="115"/>
      <x:c r="AJ1057" s="115"/>
      <x:c r="AK1057" s="115"/>
      <x:c r="AL1057" s="115"/>
      <x:c r="AM1057" s="115"/>
      <x:c r="AN1057" s="115"/>
      <x:c r="AO1057" s="115"/>
      <x:c r="AP1057" s="115"/>
      <x:c r="AQ1057" s="115"/>
      <x:c r="AR1057" s="115"/>
      <x:c r="AS1057" s="115"/>
      <x:c r="AT1057" s="115"/>
      <x:c r="AU1057" s="115"/>
      <x:c r="AV1057" s="115"/>
      <x:c r="AW1057" s="115"/>
      <x:c r="AX1057" s="115"/>
      <x:c r="AY1057" s="115"/>
      <x:c r="AZ1057" s="115"/>
      <x:c r="BA1057" s="115"/>
      <x:c r="BB1057" s="115"/>
      <x:c r="BC1057" s="115"/>
      <x:c r="BD1057" s="115"/>
      <x:c r="BE1057" s="115"/>
      <x:c r="BF1057" s="115"/>
      <x:c r="BG1057" s="115"/>
      <x:c r="BH1057" s="115"/>
      <x:c r="BI1057" s="115"/>
      <x:c r="BJ1057" s="115"/>
      <x:c r="BK1057" s="115"/>
      <x:c r="BL1057" s="115"/>
      <x:c r="BM1057" s="115"/>
      <x:c r="BN1057" s="115"/>
      <x:c r="BO1057" s="115"/>
      <x:c r="BP1057" s="115"/>
      <x:c r="BQ1057" s="115"/>
      <x:c r="BR1057" s="115"/>
      <x:c r="BS1057" s="115"/>
      <x:c r="BT1057" s="115"/>
      <x:c r="BU1057" s="115"/>
      <x:c r="BV1057" s="115"/>
      <x:c r="BW1057" s="115"/>
      <x:c r="BX1057" s="115"/>
      <x:c r="BY1057" s="115"/>
      <x:c r="BZ1057" s="115"/>
      <x:c r="CA1057" s="115"/>
      <x:c r="CB1057" s="116"/>
      <x:c r="CC1057" s="141" t="str">
        <x:f>IF(COUNT(G1057:P1057)=0,"",AVERAGE(G1057:P1057)*4)</x:f>
      </x:c>
      <x:c r="CD1057" s="178" t="str">
        <x:f>IF(COUNT(Q1057:Z1057)=0,"",AVERAGE(Q1057:Z1057)*4)</x:f>
      </x:c>
      <x:c r="CE1057" s="178" t="str">
        <x:f>IF(COUNT(AA1057:AJ1057)=0,"",AVERAGE(AA1057:AJ1057)*4)</x:f>
      </x:c>
      <x:c r="CF1057" s="178" t="str">
        <x:f>IF(COUNT(AK1057:AR1057)=0,"",AVERAGE(AK1057:AR1057)*4)</x:f>
      </x:c>
      <x:c r="CG1057" s="178" t="str">
        <x:f>IF(COUNT(AS1057:AY1057)=0,"",AVERAGE(AS1057:AY1057)*4)</x:f>
      </x:c>
      <x:c r="CH1057" s="178" t="str">
        <x:f>IF(COUNT(AZ1057:BG1057)=0,"",AVERAGE(AZ1057:BG1057)*4)</x:f>
      </x:c>
      <x:c r="CI1057" s="178" t="str">
        <x:f>IF(COUNT(BH1057:BN1057)=0,"",AVERAGE(BH1057:BN1057)*4)</x:f>
      </x:c>
      <x:c r="CJ1057" s="178" t="str">
        <x:f>IF(COUNT(BO1057:BU1057)=0,"",AVERAGE(BO1057:BU1057)*4)</x:f>
      </x:c>
      <x:c r="CK1057" s="178" t="str">
        <x:f>IF(COUNT(BV1057:CB1057)=0,"",AVERAGE(BV1057:CB1057)*4)</x:f>
      </x:c>
      <x:c r="CL1057" s="178" t="str">
        <x:f>IF(C1057="","",IF(COUNT(G1057:CB1057)&lt;74,"",(CC1057*'تنظیمات وزن‌دهی'!$C$5+CD1057*'تنظیمات وزن‌دهی'!$C$6+CE1057*'تنظیمات وزن‌دهی'!$C$7+CF1057*'تنظیمات وزن‌دهی'!$C$8+CG1057*'تنظیمات وزن‌دهی'!$C$9+CH1057*'تنظیمات وزن‌دهی'!$C$10+CI1057*'تنظیمات وزن‌دهی'!$C$11+CJ1057*'تنظیمات وزن‌دهی'!$C$12+CK1057*'تنظیمات وزن‌دهی'!$C$13)/100))</x:f>
      </x:c>
      <x:c r="CM1057" s="178" t="str">
        <x:f>IF(C1057="","",IF(COUNT(G1057:CB1057)=0,"",IF(COUNT(G1057:CB1057)&lt;74,"موقت - اطلاعات ناقص",IF(CL1057&gt;=17,"عالی",IF(CL1057&gt;=14,"خوب",IF(CL1057&gt;=10,"متوسط","ضعیف"))))))</x:f>
      </x:c>
      <x:c r="CN1057" s="178" t="n">
        <x:v>9</x:v>
      </x:c>
      <x:c r="CO1057" s="142" t="n">
        <x:f>IF(C1057="","",COUNT(G1057:CB1057)/74)</x:f>
        <x:v>0</x:v>
      </x:c>
      <x:c r="CP1057" s="245"/>
    </x:row>
    <x:row r="1058">
      <x:c r="A1058" s="165" t="n">
        <x:v>1054</x:v>
      </x:c>
      <x:c r="B1058" s="233" t="str">
        <x:v>فروردین</x:v>
      </x:c>
      <x:c r="C1058" s="233" t="n">
        <x:f>IF('دانش‌آموزان'!E92="","",'دانش‌آموزان'!B92)</x:f>
        <x:v>88</x:v>
      </x:c>
      <x:c r="D1058" s="233" t="str">
        <x:f>IF('دانش‌آموزان'!C92="","",'دانش‌آموزان'!C92)</x:f>
        <x:v>4000000888</x:v>
      </x:c>
      <x:c r="E1058" s="233" t="str">
        <x:f>IF('دانش‌آموزان'!E92="","",'دانش‌آموزان'!E92&amp;" "&amp;'دانش‌آموزان'!F92)</x:f>
        <x:v>نگار جعفری</x:v>
      </x:c>
      <x:c r="F1058" s="166" t="str">
        <x:f>IF('دانش‌آموزان'!I92="","",'دانش‌آموزان'!I92)</x:f>
        <x:v>sample-7-d</x:v>
      </x:c>
      <x:c r="G1058" s="114"/>
      <x:c r="H1058" s="115"/>
      <x:c r="I1058" s="115"/>
      <x:c r="J1058" s="115"/>
      <x:c r="K1058" s="115"/>
      <x:c r="L1058" s="115"/>
      <x:c r="M1058" s="115"/>
      <x:c r="N1058" s="115"/>
      <x:c r="O1058" s="115"/>
      <x:c r="P1058" s="115"/>
      <x:c r="Q1058" s="115"/>
      <x:c r="R1058" s="115"/>
      <x:c r="S1058" s="115"/>
      <x:c r="T1058" s="115"/>
      <x:c r="U1058" s="115"/>
      <x:c r="V1058" s="115"/>
      <x:c r="W1058" s="115"/>
      <x:c r="X1058" s="115"/>
      <x:c r="Y1058" s="115"/>
      <x:c r="Z1058" s="115"/>
      <x:c r="AA1058" s="115"/>
      <x:c r="AB1058" s="115"/>
      <x:c r="AC1058" s="115"/>
      <x:c r="AD1058" s="115"/>
      <x:c r="AE1058" s="115"/>
      <x:c r="AF1058" s="115"/>
      <x:c r="AG1058" s="115"/>
      <x:c r="AH1058" s="115"/>
      <x:c r="AI1058" s="115"/>
      <x:c r="AJ1058" s="115"/>
      <x:c r="AK1058" s="115"/>
      <x:c r="AL1058" s="115"/>
      <x:c r="AM1058" s="115"/>
      <x:c r="AN1058" s="115"/>
      <x:c r="AO1058" s="115"/>
      <x:c r="AP1058" s="115"/>
      <x:c r="AQ1058" s="115"/>
      <x:c r="AR1058" s="115"/>
      <x:c r="AS1058" s="115"/>
      <x:c r="AT1058" s="115"/>
      <x:c r="AU1058" s="115"/>
      <x:c r="AV1058" s="115"/>
      <x:c r="AW1058" s="115"/>
      <x:c r="AX1058" s="115"/>
      <x:c r="AY1058" s="115"/>
      <x:c r="AZ1058" s="115"/>
      <x:c r="BA1058" s="115"/>
      <x:c r="BB1058" s="115"/>
      <x:c r="BC1058" s="115"/>
      <x:c r="BD1058" s="115"/>
      <x:c r="BE1058" s="115"/>
      <x:c r="BF1058" s="115"/>
      <x:c r="BG1058" s="115"/>
      <x:c r="BH1058" s="115"/>
      <x:c r="BI1058" s="115"/>
      <x:c r="BJ1058" s="115"/>
      <x:c r="BK1058" s="115"/>
      <x:c r="BL1058" s="115"/>
      <x:c r="BM1058" s="115"/>
      <x:c r="BN1058" s="115"/>
      <x:c r="BO1058" s="115"/>
      <x:c r="BP1058" s="115"/>
      <x:c r="BQ1058" s="115"/>
      <x:c r="BR1058" s="115"/>
      <x:c r="BS1058" s="115"/>
      <x:c r="BT1058" s="115"/>
      <x:c r="BU1058" s="115"/>
      <x:c r="BV1058" s="115"/>
      <x:c r="BW1058" s="115"/>
      <x:c r="BX1058" s="115"/>
      <x:c r="BY1058" s="115"/>
      <x:c r="BZ1058" s="115"/>
      <x:c r="CA1058" s="115"/>
      <x:c r="CB1058" s="116"/>
      <x:c r="CC1058" s="141" t="str">
        <x:f>IF(COUNT(G1058:P1058)=0,"",AVERAGE(G1058:P1058)*4)</x:f>
      </x:c>
      <x:c r="CD1058" s="178" t="str">
        <x:f>IF(COUNT(Q1058:Z1058)=0,"",AVERAGE(Q1058:Z1058)*4)</x:f>
      </x:c>
      <x:c r="CE1058" s="178" t="str">
        <x:f>IF(COUNT(AA1058:AJ1058)=0,"",AVERAGE(AA1058:AJ1058)*4)</x:f>
      </x:c>
      <x:c r="CF1058" s="178" t="str">
        <x:f>IF(COUNT(AK1058:AR1058)=0,"",AVERAGE(AK1058:AR1058)*4)</x:f>
      </x:c>
      <x:c r="CG1058" s="178" t="str">
        <x:f>IF(COUNT(AS1058:AY1058)=0,"",AVERAGE(AS1058:AY1058)*4)</x:f>
      </x:c>
      <x:c r="CH1058" s="178" t="str">
        <x:f>IF(COUNT(AZ1058:BG1058)=0,"",AVERAGE(AZ1058:BG1058)*4)</x:f>
      </x:c>
      <x:c r="CI1058" s="178" t="str">
        <x:f>IF(COUNT(BH1058:BN1058)=0,"",AVERAGE(BH1058:BN1058)*4)</x:f>
      </x:c>
      <x:c r="CJ1058" s="178" t="str">
        <x:f>IF(COUNT(BO1058:BU1058)=0,"",AVERAGE(BO1058:BU1058)*4)</x:f>
      </x:c>
      <x:c r="CK1058" s="178" t="str">
        <x:f>IF(COUNT(BV1058:CB1058)=0,"",AVERAGE(BV1058:CB1058)*4)</x:f>
      </x:c>
      <x:c r="CL1058" s="178" t="str">
        <x:f>IF(C1058="","",IF(COUNT(G1058:CB1058)&lt;74,"",(CC1058*'تنظیمات وزن‌دهی'!$C$5+CD1058*'تنظیمات وزن‌دهی'!$C$6+CE1058*'تنظیمات وزن‌دهی'!$C$7+CF1058*'تنظیمات وزن‌دهی'!$C$8+CG1058*'تنظیمات وزن‌دهی'!$C$9+CH1058*'تنظیمات وزن‌دهی'!$C$10+CI1058*'تنظیمات وزن‌دهی'!$C$11+CJ1058*'تنظیمات وزن‌دهی'!$C$12+CK1058*'تنظیمات وزن‌دهی'!$C$13)/100))</x:f>
      </x:c>
      <x:c r="CM1058" s="178" t="str">
        <x:f>IF(C1058="","",IF(COUNT(G1058:CB1058)=0,"",IF(COUNT(G1058:CB1058)&lt;74,"موقت - اطلاعات ناقص",IF(CL1058&gt;=17,"عالی",IF(CL1058&gt;=14,"خوب",IF(CL1058&gt;=10,"متوسط","ضعیف"))))))</x:f>
      </x:c>
      <x:c r="CN1058" s="178" t="n">
        <x:v>10</x:v>
      </x:c>
      <x:c r="CO1058" s="142" t="n">
        <x:f>IF(C1058="","",COUNT(G1058:CB1058)/74)</x:f>
        <x:v>0</x:v>
      </x:c>
      <x:c r="CP1058" s="245"/>
    </x:row>
    <x:row r="1059">
      <x:c r="A1059" s="165" t="n">
        <x:v>1055</x:v>
      </x:c>
      <x:c r="B1059" s="233" t="str">
        <x:v>اردیبهشت</x:v>
      </x:c>
      <x:c r="C1059" s="233" t="n">
        <x:f>IF('دانش‌آموزان'!E92="","",'دانش‌آموزان'!B92)</x:f>
        <x:v>88</x:v>
      </x:c>
      <x:c r="D1059" s="233" t="str">
        <x:f>IF('دانش‌آموزان'!C92="","",'دانش‌آموزان'!C92)</x:f>
        <x:v>4000000888</x:v>
      </x:c>
      <x:c r="E1059" s="233" t="str">
        <x:f>IF('دانش‌آموزان'!E92="","",'دانش‌آموزان'!E92&amp;" "&amp;'دانش‌آموزان'!F92)</x:f>
        <x:v>نگار جعفری</x:v>
      </x:c>
      <x:c r="F1059" s="166" t="str">
        <x:f>IF('دانش‌آموزان'!I92="","",'دانش‌آموزان'!I92)</x:f>
        <x:v>sample-7-d</x:v>
      </x:c>
      <x:c r="G1059" s="114"/>
      <x:c r="H1059" s="115"/>
      <x:c r="I1059" s="115"/>
      <x:c r="J1059" s="115"/>
      <x:c r="K1059" s="115"/>
      <x:c r="L1059" s="115"/>
      <x:c r="M1059" s="115"/>
      <x:c r="N1059" s="115"/>
      <x:c r="O1059" s="115"/>
      <x:c r="P1059" s="115"/>
      <x:c r="Q1059" s="115"/>
      <x:c r="R1059" s="115"/>
      <x:c r="S1059" s="115"/>
      <x:c r="T1059" s="115"/>
      <x:c r="U1059" s="115"/>
      <x:c r="V1059" s="115"/>
      <x:c r="W1059" s="115"/>
      <x:c r="X1059" s="115"/>
      <x:c r="Y1059" s="115"/>
      <x:c r="Z1059" s="115"/>
      <x:c r="AA1059" s="115"/>
      <x:c r="AB1059" s="115"/>
      <x:c r="AC1059" s="115"/>
      <x:c r="AD1059" s="115"/>
      <x:c r="AE1059" s="115"/>
      <x:c r="AF1059" s="115"/>
      <x:c r="AG1059" s="115"/>
      <x:c r="AH1059" s="115"/>
      <x:c r="AI1059" s="115"/>
      <x:c r="AJ1059" s="115"/>
      <x:c r="AK1059" s="115"/>
      <x:c r="AL1059" s="115"/>
      <x:c r="AM1059" s="115"/>
      <x:c r="AN1059" s="115"/>
      <x:c r="AO1059" s="115"/>
      <x:c r="AP1059" s="115"/>
      <x:c r="AQ1059" s="115"/>
      <x:c r="AR1059" s="115"/>
      <x:c r="AS1059" s="115"/>
      <x:c r="AT1059" s="115"/>
      <x:c r="AU1059" s="115"/>
      <x:c r="AV1059" s="115"/>
      <x:c r="AW1059" s="115"/>
      <x:c r="AX1059" s="115"/>
      <x:c r="AY1059" s="115"/>
      <x:c r="AZ1059" s="115"/>
      <x:c r="BA1059" s="115"/>
      <x:c r="BB1059" s="115"/>
      <x:c r="BC1059" s="115"/>
      <x:c r="BD1059" s="115"/>
      <x:c r="BE1059" s="115"/>
      <x:c r="BF1059" s="115"/>
      <x:c r="BG1059" s="115"/>
      <x:c r="BH1059" s="115"/>
      <x:c r="BI1059" s="115"/>
      <x:c r="BJ1059" s="115"/>
      <x:c r="BK1059" s="115"/>
      <x:c r="BL1059" s="115"/>
      <x:c r="BM1059" s="115"/>
      <x:c r="BN1059" s="115"/>
      <x:c r="BO1059" s="115"/>
      <x:c r="BP1059" s="115"/>
      <x:c r="BQ1059" s="115"/>
      <x:c r="BR1059" s="115"/>
      <x:c r="BS1059" s="115"/>
      <x:c r="BT1059" s="115"/>
      <x:c r="BU1059" s="115"/>
      <x:c r="BV1059" s="115"/>
      <x:c r="BW1059" s="115"/>
      <x:c r="BX1059" s="115"/>
      <x:c r="BY1059" s="115"/>
      <x:c r="BZ1059" s="115"/>
      <x:c r="CA1059" s="115"/>
      <x:c r="CB1059" s="116"/>
      <x:c r="CC1059" s="141" t="str">
        <x:f>IF(COUNT(G1059:P1059)=0,"",AVERAGE(G1059:P1059)*4)</x:f>
      </x:c>
      <x:c r="CD1059" s="178" t="str">
        <x:f>IF(COUNT(Q1059:Z1059)=0,"",AVERAGE(Q1059:Z1059)*4)</x:f>
      </x:c>
      <x:c r="CE1059" s="178" t="str">
        <x:f>IF(COUNT(AA1059:AJ1059)=0,"",AVERAGE(AA1059:AJ1059)*4)</x:f>
      </x:c>
      <x:c r="CF1059" s="178" t="str">
        <x:f>IF(COUNT(AK1059:AR1059)=0,"",AVERAGE(AK1059:AR1059)*4)</x:f>
      </x:c>
      <x:c r="CG1059" s="178" t="str">
        <x:f>IF(COUNT(AS1059:AY1059)=0,"",AVERAGE(AS1059:AY1059)*4)</x:f>
      </x:c>
      <x:c r="CH1059" s="178" t="str">
        <x:f>IF(COUNT(AZ1059:BG1059)=0,"",AVERAGE(AZ1059:BG1059)*4)</x:f>
      </x:c>
      <x:c r="CI1059" s="178" t="str">
        <x:f>IF(COUNT(BH1059:BN1059)=0,"",AVERAGE(BH1059:BN1059)*4)</x:f>
      </x:c>
      <x:c r="CJ1059" s="178" t="str">
        <x:f>IF(COUNT(BO1059:BU1059)=0,"",AVERAGE(BO1059:BU1059)*4)</x:f>
      </x:c>
      <x:c r="CK1059" s="178" t="str">
        <x:f>IF(COUNT(BV1059:CB1059)=0,"",AVERAGE(BV1059:CB1059)*4)</x:f>
      </x:c>
      <x:c r="CL1059" s="178" t="str">
        <x:f>IF(C1059="","",IF(COUNT(G1059:CB1059)&lt;74,"",(CC1059*'تنظیمات وزن‌دهی'!$C$5+CD1059*'تنظیمات وزن‌دهی'!$C$6+CE1059*'تنظیمات وزن‌دهی'!$C$7+CF1059*'تنظیمات وزن‌دهی'!$C$8+CG1059*'تنظیمات وزن‌دهی'!$C$9+CH1059*'تنظیمات وزن‌دهی'!$C$10+CI1059*'تنظیمات وزن‌دهی'!$C$11+CJ1059*'تنظیمات وزن‌دهی'!$C$12+CK1059*'تنظیمات وزن‌دهی'!$C$13)/100))</x:f>
      </x:c>
      <x:c r="CM1059" s="178" t="str">
        <x:f>IF(C1059="","",IF(COUNT(G1059:CB1059)=0,"",IF(COUNT(G1059:CB1059)&lt;74,"موقت - اطلاعات ناقص",IF(CL1059&gt;=17,"عالی",IF(CL1059&gt;=14,"خوب",IF(CL1059&gt;=10,"متوسط","ضعیف"))))))</x:f>
      </x:c>
      <x:c r="CN1059" s="178" t="n">
        <x:v>11</x:v>
      </x:c>
      <x:c r="CO1059" s="142" t="n">
        <x:f>IF(C1059="","",COUNT(G1059:CB1059)/74)</x:f>
        <x:v>0</x:v>
      </x:c>
      <x:c r="CP1059" s="245"/>
    </x:row>
    <x:row r="1060">
      <x:c r="A1060" s="165" t="n">
        <x:v>1056</x:v>
      </x:c>
      <x:c r="B1060" s="233" t="str">
        <x:v>خرداد</x:v>
      </x:c>
      <x:c r="C1060" s="233" t="n">
        <x:f>IF('دانش‌آموزان'!E92="","",'دانش‌آموزان'!B92)</x:f>
        <x:v>88</x:v>
      </x:c>
      <x:c r="D1060" s="233" t="str">
        <x:f>IF('دانش‌آموزان'!C92="","",'دانش‌آموزان'!C92)</x:f>
        <x:v>4000000888</x:v>
      </x:c>
      <x:c r="E1060" s="233" t="str">
        <x:f>IF('دانش‌آموزان'!E92="","",'دانش‌آموزان'!E92&amp;" "&amp;'دانش‌آموزان'!F92)</x:f>
        <x:v>نگار جعفری</x:v>
      </x:c>
      <x:c r="F1060" s="166" t="str">
        <x:f>IF('دانش‌آموزان'!I92="","",'دانش‌آموزان'!I92)</x:f>
        <x:v>sample-7-d</x:v>
      </x:c>
      <x:c r="G1060" s="114"/>
      <x:c r="H1060" s="115"/>
      <x:c r="I1060" s="115"/>
      <x:c r="J1060" s="115"/>
      <x:c r="K1060" s="115"/>
      <x:c r="L1060" s="115"/>
      <x:c r="M1060" s="115"/>
      <x:c r="N1060" s="115"/>
      <x:c r="O1060" s="115"/>
      <x:c r="P1060" s="115"/>
      <x:c r="Q1060" s="115"/>
      <x:c r="R1060" s="115"/>
      <x:c r="S1060" s="115"/>
      <x:c r="T1060" s="115"/>
      <x:c r="U1060" s="115"/>
      <x:c r="V1060" s="115"/>
      <x:c r="W1060" s="115"/>
      <x:c r="X1060" s="115"/>
      <x:c r="Y1060" s="115"/>
      <x:c r="Z1060" s="115"/>
      <x:c r="AA1060" s="115"/>
      <x:c r="AB1060" s="115"/>
      <x:c r="AC1060" s="115"/>
      <x:c r="AD1060" s="115"/>
      <x:c r="AE1060" s="115"/>
      <x:c r="AF1060" s="115"/>
      <x:c r="AG1060" s="115"/>
      <x:c r="AH1060" s="115"/>
      <x:c r="AI1060" s="115"/>
      <x:c r="AJ1060" s="115"/>
      <x:c r="AK1060" s="115"/>
      <x:c r="AL1060" s="115"/>
      <x:c r="AM1060" s="115"/>
      <x:c r="AN1060" s="115"/>
      <x:c r="AO1060" s="115"/>
      <x:c r="AP1060" s="115"/>
      <x:c r="AQ1060" s="115"/>
      <x:c r="AR1060" s="115"/>
      <x:c r="AS1060" s="115"/>
      <x:c r="AT1060" s="115"/>
      <x:c r="AU1060" s="115"/>
      <x:c r="AV1060" s="115"/>
      <x:c r="AW1060" s="115"/>
      <x:c r="AX1060" s="115"/>
      <x:c r="AY1060" s="115"/>
      <x:c r="AZ1060" s="115"/>
      <x:c r="BA1060" s="115"/>
      <x:c r="BB1060" s="115"/>
      <x:c r="BC1060" s="115"/>
      <x:c r="BD1060" s="115"/>
      <x:c r="BE1060" s="115"/>
      <x:c r="BF1060" s="115"/>
      <x:c r="BG1060" s="115"/>
      <x:c r="BH1060" s="115"/>
      <x:c r="BI1060" s="115"/>
      <x:c r="BJ1060" s="115"/>
      <x:c r="BK1060" s="115"/>
      <x:c r="BL1060" s="115"/>
      <x:c r="BM1060" s="115"/>
      <x:c r="BN1060" s="115"/>
      <x:c r="BO1060" s="115"/>
      <x:c r="BP1060" s="115"/>
      <x:c r="BQ1060" s="115"/>
      <x:c r="BR1060" s="115"/>
      <x:c r="BS1060" s="115"/>
      <x:c r="BT1060" s="115"/>
      <x:c r="BU1060" s="115"/>
      <x:c r="BV1060" s="115"/>
      <x:c r="BW1060" s="115"/>
      <x:c r="BX1060" s="115"/>
      <x:c r="BY1060" s="115"/>
      <x:c r="BZ1060" s="115"/>
      <x:c r="CA1060" s="115"/>
      <x:c r="CB1060" s="116"/>
      <x:c r="CC1060" s="141" t="str">
        <x:f>IF(COUNT(G1060:P1060)=0,"",AVERAGE(G1060:P1060)*4)</x:f>
      </x:c>
      <x:c r="CD1060" s="178" t="str">
        <x:f>IF(COUNT(Q1060:Z1060)=0,"",AVERAGE(Q1060:Z1060)*4)</x:f>
      </x:c>
      <x:c r="CE1060" s="178" t="str">
        <x:f>IF(COUNT(AA1060:AJ1060)=0,"",AVERAGE(AA1060:AJ1060)*4)</x:f>
      </x:c>
      <x:c r="CF1060" s="178" t="str">
        <x:f>IF(COUNT(AK1060:AR1060)=0,"",AVERAGE(AK1060:AR1060)*4)</x:f>
      </x:c>
      <x:c r="CG1060" s="178" t="str">
        <x:f>IF(COUNT(AS1060:AY1060)=0,"",AVERAGE(AS1060:AY1060)*4)</x:f>
      </x:c>
      <x:c r="CH1060" s="178" t="str">
        <x:f>IF(COUNT(AZ1060:BG1060)=0,"",AVERAGE(AZ1060:BG1060)*4)</x:f>
      </x:c>
      <x:c r="CI1060" s="178" t="str">
        <x:f>IF(COUNT(BH1060:BN1060)=0,"",AVERAGE(BH1060:BN1060)*4)</x:f>
      </x:c>
      <x:c r="CJ1060" s="178" t="str">
        <x:f>IF(COUNT(BO1060:BU1060)=0,"",AVERAGE(BO1060:BU1060)*4)</x:f>
      </x:c>
      <x:c r="CK1060" s="178" t="str">
        <x:f>IF(COUNT(BV1060:CB1060)=0,"",AVERAGE(BV1060:CB1060)*4)</x:f>
      </x:c>
      <x:c r="CL1060" s="178" t="str">
        <x:f>IF(C1060="","",IF(COUNT(G1060:CB1060)&lt;74,"",(CC1060*'تنظیمات وزن‌دهی'!$C$5+CD1060*'تنظیمات وزن‌دهی'!$C$6+CE1060*'تنظیمات وزن‌دهی'!$C$7+CF1060*'تنظیمات وزن‌دهی'!$C$8+CG1060*'تنظیمات وزن‌دهی'!$C$9+CH1060*'تنظیمات وزن‌دهی'!$C$10+CI1060*'تنظیمات وزن‌دهی'!$C$11+CJ1060*'تنظیمات وزن‌دهی'!$C$12+CK1060*'تنظیمات وزن‌دهی'!$C$13)/100))</x:f>
      </x:c>
      <x:c r="CM1060" s="178" t="str">
        <x:f>IF(C1060="","",IF(COUNT(G1060:CB1060)=0,"",IF(COUNT(G1060:CB1060)&lt;74,"موقت - اطلاعات ناقص",IF(CL1060&gt;=17,"عالی",IF(CL1060&gt;=14,"خوب",IF(CL1060&gt;=10,"متوسط","ضعیف"))))))</x:f>
      </x:c>
      <x:c r="CN1060" s="178" t="n">
        <x:v>12</x:v>
      </x:c>
      <x:c r="CO1060" s="142" t="n">
        <x:f>IF(C1060="","",COUNT(G1060:CB1060)/74)</x:f>
        <x:v>0</x:v>
      </x:c>
      <x:c r="CP1060" s="245"/>
    </x:row>
    <x:row r="1061">
      <x:c r="A1061" s="165" t="n">
        <x:v>1057</x:v>
      </x:c>
      <x:c r="B1061" s="233" t="str">
        <x:v>تیر</x:v>
      </x:c>
      <x:c r="C1061" s="233" t="n">
        <x:f>IF('دانش‌آموزان'!E93="","",'دانش‌آموزان'!B93)</x:f>
        <x:v>89</x:v>
      </x:c>
      <x:c r="D1061" s="233" t="str">
        <x:f>IF('دانش‌آموزان'!C93="","",'دانش‌آموزان'!C93)</x:f>
        <x:v>4000000896</x:v>
      </x:c>
      <x:c r="E1061" s="233" t="str">
        <x:f>IF('دانش‌آموزان'!E93="","",'دانش‌آموزان'!E93&amp;" "&amp;'دانش‌آموزان'!F93)</x:f>
        <x:v>سام امینی</x:v>
      </x:c>
      <x:c r="F1061" s="166" t="str">
        <x:f>IF('دانش‌آموزان'!I93="","",'دانش‌آموزان'!I93)</x:f>
        <x:v>sample-7-d</x:v>
      </x:c>
      <x:c r="G1061" s="114" t="n">
        <x:v>2</x:v>
      </x:c>
      <x:c r="H1061" s="115" t="n">
        <x:v>4</x:v>
      </x:c>
      <x:c r="I1061" s="115" t="n">
        <x:v>5</x:v>
      </x:c>
      <x:c r="J1061" s="115" t="n">
        <x:v>4</x:v>
      </x:c>
      <x:c r="K1061" s="115" t="n">
        <x:v>5</x:v>
      </x:c>
      <x:c r="L1061" s="115" t="n">
        <x:v>3</x:v>
      </x:c>
      <x:c r="M1061" s="115" t="n">
        <x:v>5</x:v>
      </x:c>
      <x:c r="N1061" s="115" t="n">
        <x:v>3</x:v>
      </x:c>
      <x:c r="O1061" s="115" t="n">
        <x:v>4</x:v>
      </x:c>
      <x:c r="P1061" s="115" t="n">
        <x:v>3</x:v>
      </x:c>
      <x:c r="Q1061" s="115" t="n">
        <x:v>4</x:v>
      </x:c>
      <x:c r="R1061" s="115" t="n">
        <x:v>2</x:v>
      </x:c>
      <x:c r="S1061" s="115" t="n">
        <x:v>4</x:v>
      </x:c>
      <x:c r="T1061" s="115" t="n">
        <x:v>5</x:v>
      </x:c>
      <x:c r="U1061" s="115" t="n">
        <x:v>4</x:v>
      </x:c>
      <x:c r="V1061" s="115" t="n">
        <x:v>5</x:v>
      </x:c>
      <x:c r="W1061" s="115" t="n">
        <x:v>3</x:v>
      </x:c>
      <x:c r="X1061" s="115" t="n">
        <x:v>5</x:v>
      </x:c>
      <x:c r="Y1061" s="115" t="n">
        <x:v>3</x:v>
      </x:c>
      <x:c r="Z1061" s="115" t="n">
        <x:v>4</x:v>
      </x:c>
      <x:c r="AA1061" s="115" t="n">
        <x:v>3</x:v>
      </x:c>
      <x:c r="AB1061" s="115" t="n">
        <x:v>4</x:v>
      </x:c>
      <x:c r="AC1061" s="115" t="n">
        <x:v>2</x:v>
      </x:c>
      <x:c r="AD1061" s="115" t="n">
        <x:v>4</x:v>
      </x:c>
      <x:c r="AE1061" s="115" t="n">
        <x:v>5</x:v>
      </x:c>
      <x:c r="AF1061" s="115" t="n">
        <x:v>4</x:v>
      </x:c>
      <x:c r="AG1061" s="115" t="n">
        <x:v>5</x:v>
      </x:c>
      <x:c r="AH1061" s="115" t="n">
        <x:v>3</x:v>
      </x:c>
      <x:c r="AI1061" s="115" t="n">
        <x:v>5</x:v>
      </x:c>
      <x:c r="AJ1061" s="115" t="n">
        <x:v>3</x:v>
      </x:c>
      <x:c r="AK1061" s="115" t="n">
        <x:v>4</x:v>
      </x:c>
      <x:c r="AL1061" s="115" t="n">
        <x:v>3</x:v>
      </x:c>
      <x:c r="AM1061" s="115" t="n">
        <x:v>4</x:v>
      </x:c>
      <x:c r="AN1061" s="115" t="n">
        <x:v>2</x:v>
      </x:c>
      <x:c r="AO1061" s="115" t="n">
        <x:v>4</x:v>
      </x:c>
      <x:c r="AP1061" s="115" t="n">
        <x:v>5</x:v>
      </x:c>
      <x:c r="AQ1061" s="115" t="n">
        <x:v>4</x:v>
      </x:c>
      <x:c r="AR1061" s="115" t="n">
        <x:v>5</x:v>
      </x:c>
      <x:c r="AS1061" s="115" t="n">
        <x:v>3</x:v>
      </x:c>
      <x:c r="AT1061" s="115" t="n">
        <x:v>5</x:v>
      </x:c>
      <x:c r="AU1061" s="115" t="n">
        <x:v>3</x:v>
      </x:c>
      <x:c r="AV1061" s="115" t="n">
        <x:v>4</x:v>
      </x:c>
      <x:c r="AW1061" s="115" t="n">
        <x:v>3</x:v>
      </x:c>
      <x:c r="AX1061" s="115" t="n">
        <x:v>4</x:v>
      </x:c>
      <x:c r="AY1061" s="115" t="n">
        <x:v>2</x:v>
      </x:c>
      <x:c r="AZ1061" s="115" t="n">
        <x:v>4</x:v>
      </x:c>
      <x:c r="BA1061" s="115" t="n">
        <x:v>5</x:v>
      </x:c>
      <x:c r="BB1061" s="115" t="n">
        <x:v>4</x:v>
      </x:c>
      <x:c r="BC1061" s="115" t="n">
        <x:v>5</x:v>
      </x:c>
      <x:c r="BD1061" s="115" t="n">
        <x:v>3</x:v>
      </x:c>
      <x:c r="BE1061" s="115" t="n">
        <x:v>5</x:v>
      </x:c>
      <x:c r="BF1061" s="115" t="n">
        <x:v>3</x:v>
      </x:c>
      <x:c r="BG1061" s="115" t="n">
        <x:v>4</x:v>
      </x:c>
      <x:c r="BH1061" s="115" t="n">
        <x:v>3</x:v>
      </x:c>
      <x:c r="BI1061" s="115" t="n">
        <x:v>4</x:v>
      </x:c>
      <x:c r="BJ1061" s="115" t="n">
        <x:v>2</x:v>
      </x:c>
      <x:c r="BK1061" s="115" t="n">
        <x:v>4</x:v>
      </x:c>
      <x:c r="BL1061" s="115" t="n">
        <x:v>5</x:v>
      </x:c>
      <x:c r="BM1061" s="115" t="n">
        <x:v>4</x:v>
      </x:c>
      <x:c r="BN1061" s="115" t="n">
        <x:v>5</x:v>
      </x:c>
      <x:c r="BO1061" s="115" t="n">
        <x:v>3</x:v>
      </x:c>
      <x:c r="BP1061" s="115" t="n">
        <x:v>5</x:v>
      </x:c>
      <x:c r="BQ1061" s="115" t="n">
        <x:v>3</x:v>
      </x:c>
      <x:c r="BR1061" s="115" t="n">
        <x:v>4</x:v>
      </x:c>
      <x:c r="BS1061" s="115" t="n">
        <x:v>3</x:v>
      </x:c>
      <x:c r="BT1061" s="115" t="n">
        <x:v>4</x:v>
      </x:c>
      <x:c r="BU1061" s="115" t="n">
        <x:v>2</x:v>
      </x:c>
      <x:c r="BV1061" s="115" t="n">
        <x:v>4</x:v>
      </x:c>
      <x:c r="BW1061" s="115" t="n">
        <x:v>5</x:v>
      </x:c>
      <x:c r="BX1061" s="115" t="n">
        <x:v>4</x:v>
      </x:c>
      <x:c r="BY1061" s="115" t="n">
        <x:v>5</x:v>
      </x:c>
      <x:c r="BZ1061" s="115" t="n">
        <x:v>3</x:v>
      </x:c>
      <x:c r="CA1061" s="115" t="n">
        <x:v>5</x:v>
      </x:c>
      <x:c r="CB1061" s="116" t="n">
        <x:v>3</x:v>
      </x:c>
      <x:c r="CC1061" s="141" t="n">
        <x:f>IF(COUNT(G1061:P1061)=0,"",AVERAGE(G1061:P1061)*4)</x:f>
        <x:v>15.2</x:v>
      </x:c>
      <x:c r="CD1061" s="178" t="n">
        <x:f>IF(COUNT(Q1061:Z1061)=0,"",AVERAGE(Q1061:Z1061)*4)</x:f>
        <x:v>15.6</x:v>
      </x:c>
      <x:c r="CE1061" s="178" t="n">
        <x:f>IF(COUNT(AA1061:AJ1061)=0,"",AVERAGE(AA1061:AJ1061)*4)</x:f>
        <x:v>15.2</x:v>
      </x:c>
      <x:c r="CF1061" s="178" t="n">
        <x:f>IF(COUNT(AK1061:AR1061)=0,"",AVERAGE(AK1061:AR1061)*4)</x:f>
        <x:v>15.5</x:v>
      </x:c>
      <x:c r="CG1061" s="178" t="n">
        <x:f>IF(COUNT(AS1061:AY1061)=0,"",AVERAGE(AS1061:AY1061)*4)</x:f>
        <x:v>13.714285714285714</x:v>
      </x:c>
      <x:c r="CH1061" s="178" t="n">
        <x:f>IF(COUNT(AZ1061:BG1061)=0,"",AVERAGE(AZ1061:BG1061)*4)</x:f>
        <x:v>16.5</x:v>
      </x:c>
      <x:c r="CI1061" s="178" t="n">
        <x:f>IF(COUNT(BH1061:BN1061)=0,"",AVERAGE(BH1061:BN1061)*4)</x:f>
        <x:v>15.428571428571429</x:v>
      </x:c>
      <x:c r="CJ1061" s="178" t="n">
        <x:f>IF(COUNT(BO1061:BU1061)=0,"",AVERAGE(BO1061:BU1061)*4)</x:f>
        <x:v>13.714285714285714</x:v>
      </x:c>
      <x:c r="CK1061" s="178" t="n">
        <x:f>IF(COUNT(BV1061:CB1061)=0,"",AVERAGE(BV1061:CB1061)*4)</x:f>
        <x:v>16.571428571428573</x:v>
      </x:c>
      <x:c r="CL1061" s="178" t="n">
        <x:f>IF(C1061="","",IF(COUNT(G1061:CB1061)&lt;74,"",(CC1061*'تنظیمات وزن‌دهی'!$C$5+CD1061*'تنظیمات وزن‌دهی'!$C$6+CE1061*'تنظیمات وزن‌دهی'!$C$7+CF1061*'تنظیمات وزن‌دهی'!$C$8+CG1061*'تنظیمات وزن‌دهی'!$C$9+CH1061*'تنظیمات وزن‌دهی'!$C$10+CI1061*'تنظیمات وزن‌دهی'!$C$11+CJ1061*'تنظیمات وزن‌دهی'!$C$12+CK1061*'تنظیمات وزن‌دهی'!$C$13)/100))</x:f>
        <x:v>15.327857142857143</x:v>
      </x:c>
      <x:c r="CM1061" s="178" t="str">
        <x:f>IF(C1061="","",IF(COUNT(G1061:CB1061)=0,"",IF(COUNT(G1061:CB1061)&lt;74,"موقت - اطلاعات ناقص",IF(CL1061&gt;=17,"عالی",IF(CL1061&gt;=14,"خوب",IF(CL1061&gt;=10,"متوسط","ضعیف"))))))</x:f>
        <x:v>خوب</x:v>
      </x:c>
      <x:c r="CN1061" s="178" t="n">
        <x:v>1</x:v>
      </x:c>
      <x:c r="CO1061" s="142" t="n">
        <x:f>IF(C1061="","",COUNT(G1061:CB1061)/74)</x:f>
        <x:v>1</x:v>
      </x:c>
      <x:c r="CP1061" s="245" t="str">
        <x:v>داده نمونه کامل برای ماه تیر - دانش‌آموز شماره 89</x:v>
      </x:c>
    </x:row>
    <x:row r="1062">
      <x:c r="A1062" s="165" t="n">
        <x:v>1058</x:v>
      </x:c>
      <x:c r="B1062" s="233" t="str">
        <x:v>مرداد</x:v>
      </x:c>
      <x:c r="C1062" s="233" t="n">
        <x:f>IF('دانش‌آموزان'!E93="","",'دانش‌آموزان'!B93)</x:f>
        <x:v>89</x:v>
      </x:c>
      <x:c r="D1062" s="233" t="str">
        <x:f>IF('دانش‌آموزان'!C93="","",'دانش‌آموزان'!C93)</x:f>
        <x:v>4000000896</x:v>
      </x:c>
      <x:c r="E1062" s="233" t="str">
        <x:f>IF('دانش‌آموزان'!E93="","",'دانش‌آموزان'!E93&amp;" "&amp;'دانش‌آموزان'!F93)</x:f>
        <x:v>سام امینی</x:v>
      </x:c>
      <x:c r="F1062" s="166" t="str">
        <x:f>IF('دانش‌آموزان'!I93="","",'دانش‌آموزان'!I93)</x:f>
        <x:v>sample-7-d</x:v>
      </x:c>
      <x:c r="G1062" s="114"/>
      <x:c r="H1062" s="115"/>
      <x:c r="I1062" s="115"/>
      <x:c r="J1062" s="115"/>
      <x:c r="K1062" s="115"/>
      <x:c r="L1062" s="115"/>
      <x:c r="M1062" s="115"/>
      <x:c r="N1062" s="115"/>
      <x:c r="O1062" s="115"/>
      <x:c r="P1062" s="115"/>
      <x:c r="Q1062" s="115"/>
      <x:c r="R1062" s="115"/>
      <x:c r="S1062" s="115"/>
      <x:c r="T1062" s="115"/>
      <x:c r="U1062" s="115"/>
      <x:c r="V1062" s="115"/>
      <x:c r="W1062" s="115"/>
      <x:c r="X1062" s="115"/>
      <x:c r="Y1062" s="115"/>
      <x:c r="Z1062" s="115"/>
      <x:c r="AA1062" s="115"/>
      <x:c r="AB1062" s="115"/>
      <x:c r="AC1062" s="115"/>
      <x:c r="AD1062" s="115"/>
      <x:c r="AE1062" s="115"/>
      <x:c r="AF1062" s="115"/>
      <x:c r="AG1062" s="115"/>
      <x:c r="AH1062" s="115"/>
      <x:c r="AI1062" s="115"/>
      <x:c r="AJ1062" s="115"/>
      <x:c r="AK1062" s="115"/>
      <x:c r="AL1062" s="115"/>
      <x:c r="AM1062" s="115"/>
      <x:c r="AN1062" s="115"/>
      <x:c r="AO1062" s="115"/>
      <x:c r="AP1062" s="115"/>
      <x:c r="AQ1062" s="115"/>
      <x:c r="AR1062" s="115"/>
      <x:c r="AS1062" s="115"/>
      <x:c r="AT1062" s="115"/>
      <x:c r="AU1062" s="115"/>
      <x:c r="AV1062" s="115"/>
      <x:c r="AW1062" s="115"/>
      <x:c r="AX1062" s="115"/>
      <x:c r="AY1062" s="115"/>
      <x:c r="AZ1062" s="115"/>
      <x:c r="BA1062" s="115"/>
      <x:c r="BB1062" s="115"/>
      <x:c r="BC1062" s="115"/>
      <x:c r="BD1062" s="115"/>
      <x:c r="BE1062" s="115"/>
      <x:c r="BF1062" s="115"/>
      <x:c r="BG1062" s="115"/>
      <x:c r="BH1062" s="115"/>
      <x:c r="BI1062" s="115"/>
      <x:c r="BJ1062" s="115"/>
      <x:c r="BK1062" s="115"/>
      <x:c r="BL1062" s="115"/>
      <x:c r="BM1062" s="115"/>
      <x:c r="BN1062" s="115"/>
      <x:c r="BO1062" s="115"/>
      <x:c r="BP1062" s="115"/>
      <x:c r="BQ1062" s="115"/>
      <x:c r="BR1062" s="115"/>
      <x:c r="BS1062" s="115"/>
      <x:c r="BT1062" s="115"/>
      <x:c r="BU1062" s="115"/>
      <x:c r="BV1062" s="115"/>
      <x:c r="BW1062" s="115"/>
      <x:c r="BX1062" s="115"/>
      <x:c r="BY1062" s="115"/>
      <x:c r="BZ1062" s="115"/>
      <x:c r="CA1062" s="115"/>
      <x:c r="CB1062" s="116"/>
      <x:c r="CC1062" s="141" t="str">
        <x:f>IF(COUNT(G1062:P1062)=0,"",AVERAGE(G1062:P1062)*4)</x:f>
      </x:c>
      <x:c r="CD1062" s="178" t="str">
        <x:f>IF(COUNT(Q1062:Z1062)=0,"",AVERAGE(Q1062:Z1062)*4)</x:f>
      </x:c>
      <x:c r="CE1062" s="178" t="str">
        <x:f>IF(COUNT(AA1062:AJ1062)=0,"",AVERAGE(AA1062:AJ1062)*4)</x:f>
      </x:c>
      <x:c r="CF1062" s="178" t="str">
        <x:f>IF(COUNT(AK1062:AR1062)=0,"",AVERAGE(AK1062:AR1062)*4)</x:f>
      </x:c>
      <x:c r="CG1062" s="178" t="str">
        <x:f>IF(COUNT(AS1062:AY1062)=0,"",AVERAGE(AS1062:AY1062)*4)</x:f>
      </x:c>
      <x:c r="CH1062" s="178" t="str">
        <x:f>IF(COUNT(AZ1062:BG1062)=0,"",AVERAGE(AZ1062:BG1062)*4)</x:f>
      </x:c>
      <x:c r="CI1062" s="178" t="str">
        <x:f>IF(COUNT(BH1062:BN1062)=0,"",AVERAGE(BH1062:BN1062)*4)</x:f>
      </x:c>
      <x:c r="CJ1062" s="178" t="str">
        <x:f>IF(COUNT(BO1062:BU1062)=0,"",AVERAGE(BO1062:BU1062)*4)</x:f>
      </x:c>
      <x:c r="CK1062" s="178" t="str">
        <x:f>IF(COUNT(BV1062:CB1062)=0,"",AVERAGE(BV1062:CB1062)*4)</x:f>
      </x:c>
      <x:c r="CL1062" s="178" t="str">
        <x:f>IF(C1062="","",IF(COUNT(G1062:CB1062)&lt;74,"",(CC1062*'تنظیمات وزن‌دهی'!$C$5+CD1062*'تنظیمات وزن‌دهی'!$C$6+CE1062*'تنظیمات وزن‌دهی'!$C$7+CF1062*'تنظیمات وزن‌دهی'!$C$8+CG1062*'تنظیمات وزن‌دهی'!$C$9+CH1062*'تنظیمات وزن‌دهی'!$C$10+CI1062*'تنظیمات وزن‌دهی'!$C$11+CJ1062*'تنظیمات وزن‌دهی'!$C$12+CK1062*'تنظیمات وزن‌دهی'!$C$13)/100))</x:f>
      </x:c>
      <x:c r="CM1062" s="178" t="str">
        <x:f>IF(C1062="","",IF(COUNT(G1062:CB1062)=0,"",IF(COUNT(G1062:CB1062)&lt;74,"موقت - اطلاعات ناقص",IF(CL1062&gt;=17,"عالی",IF(CL1062&gt;=14,"خوب",IF(CL1062&gt;=10,"متوسط","ضعیف"))))))</x:f>
      </x:c>
      <x:c r="CN1062" s="178" t="n">
        <x:v>2</x:v>
      </x:c>
      <x:c r="CO1062" s="142" t="n">
        <x:f>IF(C1062="","",COUNT(G1062:CB1062)/74)</x:f>
        <x:v>0</x:v>
      </x:c>
      <x:c r="CP1062" s="245"/>
    </x:row>
    <x:row r="1063">
      <x:c r="A1063" s="165" t="n">
        <x:v>1059</x:v>
      </x:c>
      <x:c r="B1063" s="233" t="str">
        <x:v>شهریور</x:v>
      </x:c>
      <x:c r="C1063" s="233" t="n">
        <x:f>IF('دانش‌آموزان'!E93="","",'دانش‌آموزان'!B93)</x:f>
        <x:v>89</x:v>
      </x:c>
      <x:c r="D1063" s="233" t="str">
        <x:f>IF('دانش‌آموزان'!C93="","",'دانش‌آموزان'!C93)</x:f>
        <x:v>4000000896</x:v>
      </x:c>
      <x:c r="E1063" s="233" t="str">
        <x:f>IF('دانش‌آموزان'!E93="","",'دانش‌آموزان'!E93&amp;" "&amp;'دانش‌آموزان'!F93)</x:f>
        <x:v>سام امینی</x:v>
      </x:c>
      <x:c r="F1063" s="166" t="str">
        <x:f>IF('دانش‌آموزان'!I93="","",'دانش‌آموزان'!I93)</x:f>
        <x:v>sample-7-d</x:v>
      </x:c>
      <x:c r="G1063" s="114"/>
      <x:c r="H1063" s="115"/>
      <x:c r="I1063" s="115"/>
      <x:c r="J1063" s="115"/>
      <x:c r="K1063" s="115"/>
      <x:c r="L1063" s="115"/>
      <x:c r="M1063" s="115"/>
      <x:c r="N1063" s="115"/>
      <x:c r="O1063" s="115"/>
      <x:c r="P1063" s="115"/>
      <x:c r="Q1063" s="115"/>
      <x:c r="R1063" s="115"/>
      <x:c r="S1063" s="115"/>
      <x:c r="T1063" s="115"/>
      <x:c r="U1063" s="115"/>
      <x:c r="V1063" s="115"/>
      <x:c r="W1063" s="115"/>
      <x:c r="X1063" s="115"/>
      <x:c r="Y1063" s="115"/>
      <x:c r="Z1063" s="115"/>
      <x:c r="AA1063" s="115"/>
      <x:c r="AB1063" s="115"/>
      <x:c r="AC1063" s="115"/>
      <x:c r="AD1063" s="115"/>
      <x:c r="AE1063" s="115"/>
      <x:c r="AF1063" s="115"/>
      <x:c r="AG1063" s="115"/>
      <x:c r="AH1063" s="115"/>
      <x:c r="AI1063" s="115"/>
      <x:c r="AJ1063" s="115"/>
      <x:c r="AK1063" s="115"/>
      <x:c r="AL1063" s="115"/>
      <x:c r="AM1063" s="115"/>
      <x:c r="AN1063" s="115"/>
      <x:c r="AO1063" s="115"/>
      <x:c r="AP1063" s="115"/>
      <x:c r="AQ1063" s="115"/>
      <x:c r="AR1063" s="115"/>
      <x:c r="AS1063" s="115"/>
      <x:c r="AT1063" s="115"/>
      <x:c r="AU1063" s="115"/>
      <x:c r="AV1063" s="115"/>
      <x:c r="AW1063" s="115"/>
      <x:c r="AX1063" s="115"/>
      <x:c r="AY1063" s="115"/>
      <x:c r="AZ1063" s="115"/>
      <x:c r="BA1063" s="115"/>
      <x:c r="BB1063" s="115"/>
      <x:c r="BC1063" s="115"/>
      <x:c r="BD1063" s="115"/>
      <x:c r="BE1063" s="115"/>
      <x:c r="BF1063" s="115"/>
      <x:c r="BG1063" s="115"/>
      <x:c r="BH1063" s="115"/>
      <x:c r="BI1063" s="115"/>
      <x:c r="BJ1063" s="115"/>
      <x:c r="BK1063" s="115"/>
      <x:c r="BL1063" s="115"/>
      <x:c r="BM1063" s="115"/>
      <x:c r="BN1063" s="115"/>
      <x:c r="BO1063" s="115"/>
      <x:c r="BP1063" s="115"/>
      <x:c r="BQ1063" s="115"/>
      <x:c r="BR1063" s="115"/>
      <x:c r="BS1063" s="115"/>
      <x:c r="BT1063" s="115"/>
      <x:c r="BU1063" s="115"/>
      <x:c r="BV1063" s="115"/>
      <x:c r="BW1063" s="115"/>
      <x:c r="BX1063" s="115"/>
      <x:c r="BY1063" s="115"/>
      <x:c r="BZ1063" s="115"/>
      <x:c r="CA1063" s="115"/>
      <x:c r="CB1063" s="116"/>
      <x:c r="CC1063" s="141" t="str">
        <x:f>IF(COUNT(G1063:P1063)=0,"",AVERAGE(G1063:P1063)*4)</x:f>
      </x:c>
      <x:c r="CD1063" s="178" t="str">
        <x:f>IF(COUNT(Q1063:Z1063)=0,"",AVERAGE(Q1063:Z1063)*4)</x:f>
      </x:c>
      <x:c r="CE1063" s="178" t="str">
        <x:f>IF(COUNT(AA1063:AJ1063)=0,"",AVERAGE(AA1063:AJ1063)*4)</x:f>
      </x:c>
      <x:c r="CF1063" s="178" t="str">
        <x:f>IF(COUNT(AK1063:AR1063)=0,"",AVERAGE(AK1063:AR1063)*4)</x:f>
      </x:c>
      <x:c r="CG1063" s="178" t="str">
        <x:f>IF(COUNT(AS1063:AY1063)=0,"",AVERAGE(AS1063:AY1063)*4)</x:f>
      </x:c>
      <x:c r="CH1063" s="178" t="str">
        <x:f>IF(COUNT(AZ1063:BG1063)=0,"",AVERAGE(AZ1063:BG1063)*4)</x:f>
      </x:c>
      <x:c r="CI1063" s="178" t="str">
        <x:f>IF(COUNT(BH1063:BN1063)=0,"",AVERAGE(BH1063:BN1063)*4)</x:f>
      </x:c>
      <x:c r="CJ1063" s="178" t="str">
        <x:f>IF(COUNT(BO1063:BU1063)=0,"",AVERAGE(BO1063:BU1063)*4)</x:f>
      </x:c>
      <x:c r="CK1063" s="178" t="str">
        <x:f>IF(COUNT(BV1063:CB1063)=0,"",AVERAGE(BV1063:CB1063)*4)</x:f>
      </x:c>
      <x:c r="CL1063" s="178" t="str">
        <x:f>IF(C1063="","",IF(COUNT(G1063:CB1063)&lt;74,"",(CC1063*'تنظیمات وزن‌دهی'!$C$5+CD1063*'تنظیمات وزن‌دهی'!$C$6+CE1063*'تنظیمات وزن‌دهی'!$C$7+CF1063*'تنظیمات وزن‌دهی'!$C$8+CG1063*'تنظیمات وزن‌دهی'!$C$9+CH1063*'تنظیمات وزن‌دهی'!$C$10+CI1063*'تنظیمات وزن‌دهی'!$C$11+CJ1063*'تنظیمات وزن‌دهی'!$C$12+CK1063*'تنظیمات وزن‌دهی'!$C$13)/100))</x:f>
      </x:c>
      <x:c r="CM1063" s="178" t="str">
        <x:f>IF(C1063="","",IF(COUNT(G1063:CB1063)=0,"",IF(COUNT(G1063:CB1063)&lt;74,"موقت - اطلاعات ناقص",IF(CL1063&gt;=17,"عالی",IF(CL1063&gt;=14,"خوب",IF(CL1063&gt;=10,"متوسط","ضعیف"))))))</x:f>
      </x:c>
      <x:c r="CN1063" s="178" t="n">
        <x:v>3</x:v>
      </x:c>
      <x:c r="CO1063" s="142" t="n">
        <x:f>IF(C1063="","",COUNT(G1063:CB1063)/74)</x:f>
        <x:v>0</x:v>
      </x:c>
      <x:c r="CP1063" s="245"/>
    </x:row>
    <x:row r="1064">
      <x:c r="A1064" s="165" t="n">
        <x:v>1060</x:v>
      </x:c>
      <x:c r="B1064" s="233" t="str">
        <x:v>مهر</x:v>
      </x:c>
      <x:c r="C1064" s="233" t="n">
        <x:f>IF('دانش‌آموزان'!E93="","",'دانش‌آموزان'!B93)</x:f>
        <x:v>89</x:v>
      </x:c>
      <x:c r="D1064" s="233" t="str">
        <x:f>IF('دانش‌آموزان'!C93="","",'دانش‌آموزان'!C93)</x:f>
        <x:v>4000000896</x:v>
      </x:c>
      <x:c r="E1064" s="233" t="str">
        <x:f>IF('دانش‌آموزان'!E93="","",'دانش‌آموزان'!E93&amp;" "&amp;'دانش‌آموزان'!F93)</x:f>
        <x:v>سام امینی</x:v>
      </x:c>
      <x:c r="F1064" s="166" t="str">
        <x:f>IF('دانش‌آموزان'!I93="","",'دانش‌آموزان'!I93)</x:f>
        <x:v>sample-7-d</x:v>
      </x:c>
      <x:c r="G1064" s="114"/>
      <x:c r="H1064" s="115"/>
      <x:c r="I1064" s="115"/>
      <x:c r="J1064" s="115"/>
      <x:c r="K1064" s="115"/>
      <x:c r="L1064" s="115"/>
      <x:c r="M1064" s="115"/>
      <x:c r="N1064" s="115"/>
      <x:c r="O1064" s="115"/>
      <x:c r="P1064" s="115"/>
      <x:c r="Q1064" s="115"/>
      <x:c r="R1064" s="115"/>
      <x:c r="S1064" s="115"/>
      <x:c r="T1064" s="115"/>
      <x:c r="U1064" s="115"/>
      <x:c r="V1064" s="115"/>
      <x:c r="W1064" s="115"/>
      <x:c r="X1064" s="115"/>
      <x:c r="Y1064" s="115"/>
      <x:c r="Z1064" s="115"/>
      <x:c r="AA1064" s="115"/>
      <x:c r="AB1064" s="115"/>
      <x:c r="AC1064" s="115"/>
      <x:c r="AD1064" s="115"/>
      <x:c r="AE1064" s="115"/>
      <x:c r="AF1064" s="115"/>
      <x:c r="AG1064" s="115"/>
      <x:c r="AH1064" s="115"/>
      <x:c r="AI1064" s="115"/>
      <x:c r="AJ1064" s="115"/>
      <x:c r="AK1064" s="115"/>
      <x:c r="AL1064" s="115"/>
      <x:c r="AM1064" s="115"/>
      <x:c r="AN1064" s="115"/>
      <x:c r="AO1064" s="115"/>
      <x:c r="AP1064" s="115"/>
      <x:c r="AQ1064" s="115"/>
      <x:c r="AR1064" s="115"/>
      <x:c r="AS1064" s="115"/>
      <x:c r="AT1064" s="115"/>
      <x:c r="AU1064" s="115"/>
      <x:c r="AV1064" s="115"/>
      <x:c r="AW1064" s="115"/>
      <x:c r="AX1064" s="115"/>
      <x:c r="AY1064" s="115"/>
      <x:c r="AZ1064" s="115"/>
      <x:c r="BA1064" s="115"/>
      <x:c r="BB1064" s="115"/>
      <x:c r="BC1064" s="115"/>
      <x:c r="BD1064" s="115"/>
      <x:c r="BE1064" s="115"/>
      <x:c r="BF1064" s="115"/>
      <x:c r="BG1064" s="115"/>
      <x:c r="BH1064" s="115"/>
      <x:c r="BI1064" s="115"/>
      <x:c r="BJ1064" s="115"/>
      <x:c r="BK1064" s="115"/>
      <x:c r="BL1064" s="115"/>
      <x:c r="BM1064" s="115"/>
      <x:c r="BN1064" s="115"/>
      <x:c r="BO1064" s="115"/>
      <x:c r="BP1064" s="115"/>
      <x:c r="BQ1064" s="115"/>
      <x:c r="BR1064" s="115"/>
      <x:c r="BS1064" s="115"/>
      <x:c r="BT1064" s="115"/>
      <x:c r="BU1064" s="115"/>
      <x:c r="BV1064" s="115"/>
      <x:c r="BW1064" s="115"/>
      <x:c r="BX1064" s="115"/>
      <x:c r="BY1064" s="115"/>
      <x:c r="BZ1064" s="115"/>
      <x:c r="CA1064" s="115"/>
      <x:c r="CB1064" s="116"/>
      <x:c r="CC1064" s="141" t="str">
        <x:f>IF(COUNT(G1064:P1064)=0,"",AVERAGE(G1064:P1064)*4)</x:f>
      </x:c>
      <x:c r="CD1064" s="178" t="str">
        <x:f>IF(COUNT(Q1064:Z1064)=0,"",AVERAGE(Q1064:Z1064)*4)</x:f>
      </x:c>
      <x:c r="CE1064" s="178" t="str">
        <x:f>IF(COUNT(AA1064:AJ1064)=0,"",AVERAGE(AA1064:AJ1064)*4)</x:f>
      </x:c>
      <x:c r="CF1064" s="178" t="str">
        <x:f>IF(COUNT(AK1064:AR1064)=0,"",AVERAGE(AK1064:AR1064)*4)</x:f>
      </x:c>
      <x:c r="CG1064" s="178" t="str">
        <x:f>IF(COUNT(AS1064:AY1064)=0,"",AVERAGE(AS1064:AY1064)*4)</x:f>
      </x:c>
      <x:c r="CH1064" s="178" t="str">
        <x:f>IF(COUNT(AZ1064:BG1064)=0,"",AVERAGE(AZ1064:BG1064)*4)</x:f>
      </x:c>
      <x:c r="CI1064" s="178" t="str">
        <x:f>IF(COUNT(BH1064:BN1064)=0,"",AVERAGE(BH1064:BN1064)*4)</x:f>
      </x:c>
      <x:c r="CJ1064" s="178" t="str">
        <x:f>IF(COUNT(BO1064:BU1064)=0,"",AVERAGE(BO1064:BU1064)*4)</x:f>
      </x:c>
      <x:c r="CK1064" s="178" t="str">
        <x:f>IF(COUNT(BV1064:CB1064)=0,"",AVERAGE(BV1064:CB1064)*4)</x:f>
      </x:c>
      <x:c r="CL1064" s="178" t="str">
        <x:f>IF(C1064="","",IF(COUNT(G1064:CB1064)&lt;74,"",(CC1064*'تنظیمات وزن‌دهی'!$C$5+CD1064*'تنظیمات وزن‌دهی'!$C$6+CE1064*'تنظیمات وزن‌دهی'!$C$7+CF1064*'تنظیمات وزن‌دهی'!$C$8+CG1064*'تنظیمات وزن‌دهی'!$C$9+CH1064*'تنظیمات وزن‌دهی'!$C$10+CI1064*'تنظیمات وزن‌دهی'!$C$11+CJ1064*'تنظیمات وزن‌دهی'!$C$12+CK1064*'تنظیمات وزن‌دهی'!$C$13)/100))</x:f>
      </x:c>
      <x:c r="CM1064" s="178" t="str">
        <x:f>IF(C1064="","",IF(COUNT(G1064:CB1064)=0,"",IF(COUNT(G1064:CB1064)&lt;74,"موقت - اطلاعات ناقص",IF(CL1064&gt;=17,"عالی",IF(CL1064&gt;=14,"خوب",IF(CL1064&gt;=10,"متوسط","ضعیف"))))))</x:f>
      </x:c>
      <x:c r="CN1064" s="178" t="n">
        <x:v>4</x:v>
      </x:c>
      <x:c r="CO1064" s="142" t="n">
        <x:f>IF(C1064="","",COUNT(G1064:CB1064)/74)</x:f>
        <x:v>0</x:v>
      </x:c>
      <x:c r="CP1064" s="245"/>
    </x:row>
    <x:row r="1065">
      <x:c r="A1065" s="165" t="n">
        <x:v>1061</x:v>
      </x:c>
      <x:c r="B1065" s="233" t="str">
        <x:v>آبان</x:v>
      </x:c>
      <x:c r="C1065" s="233" t="n">
        <x:f>IF('دانش‌آموزان'!E93="","",'دانش‌آموزان'!B93)</x:f>
        <x:v>89</x:v>
      </x:c>
      <x:c r="D1065" s="233" t="str">
        <x:f>IF('دانش‌آموزان'!C93="","",'دانش‌آموزان'!C93)</x:f>
        <x:v>4000000896</x:v>
      </x:c>
      <x:c r="E1065" s="233" t="str">
        <x:f>IF('دانش‌آموزان'!E93="","",'دانش‌آموزان'!E93&amp;" "&amp;'دانش‌آموزان'!F93)</x:f>
        <x:v>سام امینی</x:v>
      </x:c>
      <x:c r="F1065" s="166" t="str">
        <x:f>IF('دانش‌آموزان'!I93="","",'دانش‌آموزان'!I93)</x:f>
        <x:v>sample-7-d</x:v>
      </x:c>
      <x:c r="G1065" s="114"/>
      <x:c r="H1065" s="115"/>
      <x:c r="I1065" s="115"/>
      <x:c r="J1065" s="115"/>
      <x:c r="K1065" s="115"/>
      <x:c r="L1065" s="115"/>
      <x:c r="M1065" s="115"/>
      <x:c r="N1065" s="115"/>
      <x:c r="O1065" s="115"/>
      <x:c r="P1065" s="115"/>
      <x:c r="Q1065" s="115"/>
      <x:c r="R1065" s="115"/>
      <x:c r="S1065" s="115"/>
      <x:c r="T1065" s="115"/>
      <x:c r="U1065" s="115"/>
      <x:c r="V1065" s="115"/>
      <x:c r="W1065" s="115"/>
      <x:c r="X1065" s="115"/>
      <x:c r="Y1065" s="115"/>
      <x:c r="Z1065" s="115"/>
      <x:c r="AA1065" s="115"/>
      <x:c r="AB1065" s="115"/>
      <x:c r="AC1065" s="115"/>
      <x:c r="AD1065" s="115"/>
      <x:c r="AE1065" s="115"/>
      <x:c r="AF1065" s="115"/>
      <x:c r="AG1065" s="115"/>
      <x:c r="AH1065" s="115"/>
      <x:c r="AI1065" s="115"/>
      <x:c r="AJ1065" s="115"/>
      <x:c r="AK1065" s="115"/>
      <x:c r="AL1065" s="115"/>
      <x:c r="AM1065" s="115"/>
      <x:c r="AN1065" s="115"/>
      <x:c r="AO1065" s="115"/>
      <x:c r="AP1065" s="115"/>
      <x:c r="AQ1065" s="115"/>
      <x:c r="AR1065" s="115"/>
      <x:c r="AS1065" s="115"/>
      <x:c r="AT1065" s="115"/>
      <x:c r="AU1065" s="115"/>
      <x:c r="AV1065" s="115"/>
      <x:c r="AW1065" s="115"/>
      <x:c r="AX1065" s="115"/>
      <x:c r="AY1065" s="115"/>
      <x:c r="AZ1065" s="115"/>
      <x:c r="BA1065" s="115"/>
      <x:c r="BB1065" s="115"/>
      <x:c r="BC1065" s="115"/>
      <x:c r="BD1065" s="115"/>
      <x:c r="BE1065" s="115"/>
      <x:c r="BF1065" s="115"/>
      <x:c r="BG1065" s="115"/>
      <x:c r="BH1065" s="115"/>
      <x:c r="BI1065" s="115"/>
      <x:c r="BJ1065" s="115"/>
      <x:c r="BK1065" s="115"/>
      <x:c r="BL1065" s="115"/>
      <x:c r="BM1065" s="115"/>
      <x:c r="BN1065" s="115"/>
      <x:c r="BO1065" s="115"/>
      <x:c r="BP1065" s="115"/>
      <x:c r="BQ1065" s="115"/>
      <x:c r="BR1065" s="115"/>
      <x:c r="BS1065" s="115"/>
      <x:c r="BT1065" s="115"/>
      <x:c r="BU1065" s="115"/>
      <x:c r="BV1065" s="115"/>
      <x:c r="BW1065" s="115"/>
      <x:c r="BX1065" s="115"/>
      <x:c r="BY1065" s="115"/>
      <x:c r="BZ1065" s="115"/>
      <x:c r="CA1065" s="115"/>
      <x:c r="CB1065" s="116"/>
      <x:c r="CC1065" s="141" t="str">
        <x:f>IF(COUNT(G1065:P1065)=0,"",AVERAGE(G1065:P1065)*4)</x:f>
      </x:c>
      <x:c r="CD1065" s="178" t="str">
        <x:f>IF(COUNT(Q1065:Z1065)=0,"",AVERAGE(Q1065:Z1065)*4)</x:f>
      </x:c>
      <x:c r="CE1065" s="178" t="str">
        <x:f>IF(COUNT(AA1065:AJ1065)=0,"",AVERAGE(AA1065:AJ1065)*4)</x:f>
      </x:c>
      <x:c r="CF1065" s="178" t="str">
        <x:f>IF(COUNT(AK1065:AR1065)=0,"",AVERAGE(AK1065:AR1065)*4)</x:f>
      </x:c>
      <x:c r="CG1065" s="178" t="str">
        <x:f>IF(COUNT(AS1065:AY1065)=0,"",AVERAGE(AS1065:AY1065)*4)</x:f>
      </x:c>
      <x:c r="CH1065" s="178" t="str">
        <x:f>IF(COUNT(AZ1065:BG1065)=0,"",AVERAGE(AZ1065:BG1065)*4)</x:f>
      </x:c>
      <x:c r="CI1065" s="178" t="str">
        <x:f>IF(COUNT(BH1065:BN1065)=0,"",AVERAGE(BH1065:BN1065)*4)</x:f>
      </x:c>
      <x:c r="CJ1065" s="178" t="str">
        <x:f>IF(COUNT(BO1065:BU1065)=0,"",AVERAGE(BO1065:BU1065)*4)</x:f>
      </x:c>
      <x:c r="CK1065" s="178" t="str">
        <x:f>IF(COUNT(BV1065:CB1065)=0,"",AVERAGE(BV1065:CB1065)*4)</x:f>
      </x:c>
      <x:c r="CL1065" s="178" t="str">
        <x:f>IF(C1065="","",IF(COUNT(G1065:CB1065)&lt;74,"",(CC1065*'تنظیمات وزن‌دهی'!$C$5+CD1065*'تنظیمات وزن‌دهی'!$C$6+CE1065*'تنظیمات وزن‌دهی'!$C$7+CF1065*'تنظیمات وزن‌دهی'!$C$8+CG1065*'تنظیمات وزن‌دهی'!$C$9+CH1065*'تنظیمات وزن‌دهی'!$C$10+CI1065*'تنظیمات وزن‌دهی'!$C$11+CJ1065*'تنظیمات وزن‌دهی'!$C$12+CK1065*'تنظیمات وزن‌دهی'!$C$13)/100))</x:f>
      </x:c>
      <x:c r="CM1065" s="178" t="str">
        <x:f>IF(C1065="","",IF(COUNT(G1065:CB1065)=0,"",IF(COUNT(G1065:CB1065)&lt;74,"موقت - اطلاعات ناقص",IF(CL1065&gt;=17,"عالی",IF(CL1065&gt;=14,"خوب",IF(CL1065&gt;=10,"متوسط","ضعیف"))))))</x:f>
      </x:c>
      <x:c r="CN1065" s="178" t="n">
        <x:v>5</x:v>
      </x:c>
      <x:c r="CO1065" s="142" t="n">
        <x:f>IF(C1065="","",COUNT(G1065:CB1065)/74)</x:f>
        <x:v>0</x:v>
      </x:c>
      <x:c r="CP1065" s="245"/>
    </x:row>
    <x:row r="1066">
      <x:c r="A1066" s="165" t="n">
        <x:v>1062</x:v>
      </x:c>
      <x:c r="B1066" s="233" t="str">
        <x:v>آذر</x:v>
      </x:c>
      <x:c r="C1066" s="233" t="n">
        <x:f>IF('دانش‌آموزان'!E93="","",'دانش‌آموزان'!B93)</x:f>
        <x:v>89</x:v>
      </x:c>
      <x:c r="D1066" s="233" t="str">
        <x:f>IF('دانش‌آموزان'!C93="","",'دانش‌آموزان'!C93)</x:f>
        <x:v>4000000896</x:v>
      </x:c>
      <x:c r="E1066" s="233" t="str">
        <x:f>IF('دانش‌آموزان'!E93="","",'دانش‌آموزان'!E93&amp;" "&amp;'دانش‌آموزان'!F93)</x:f>
        <x:v>سام امینی</x:v>
      </x:c>
      <x:c r="F1066" s="166" t="str">
        <x:f>IF('دانش‌آموزان'!I93="","",'دانش‌آموزان'!I93)</x:f>
        <x:v>sample-7-d</x:v>
      </x:c>
      <x:c r="G1066" s="114"/>
      <x:c r="H1066" s="115"/>
      <x:c r="I1066" s="115"/>
      <x:c r="J1066" s="115"/>
      <x:c r="K1066" s="115"/>
      <x:c r="L1066" s="115"/>
      <x:c r="M1066" s="115"/>
      <x:c r="N1066" s="115"/>
      <x:c r="O1066" s="115"/>
      <x:c r="P1066" s="115"/>
      <x:c r="Q1066" s="115"/>
      <x:c r="R1066" s="115"/>
      <x:c r="S1066" s="115"/>
      <x:c r="T1066" s="115"/>
      <x:c r="U1066" s="115"/>
      <x:c r="V1066" s="115"/>
      <x:c r="W1066" s="115"/>
      <x:c r="X1066" s="115"/>
      <x:c r="Y1066" s="115"/>
      <x:c r="Z1066" s="115"/>
      <x:c r="AA1066" s="115"/>
      <x:c r="AB1066" s="115"/>
      <x:c r="AC1066" s="115"/>
      <x:c r="AD1066" s="115"/>
      <x:c r="AE1066" s="115"/>
      <x:c r="AF1066" s="115"/>
      <x:c r="AG1066" s="115"/>
      <x:c r="AH1066" s="115"/>
      <x:c r="AI1066" s="115"/>
      <x:c r="AJ1066" s="115"/>
      <x:c r="AK1066" s="115"/>
      <x:c r="AL1066" s="115"/>
      <x:c r="AM1066" s="115"/>
      <x:c r="AN1066" s="115"/>
      <x:c r="AO1066" s="115"/>
      <x:c r="AP1066" s="115"/>
      <x:c r="AQ1066" s="115"/>
      <x:c r="AR1066" s="115"/>
      <x:c r="AS1066" s="115"/>
      <x:c r="AT1066" s="115"/>
      <x:c r="AU1066" s="115"/>
      <x:c r="AV1066" s="115"/>
      <x:c r="AW1066" s="115"/>
      <x:c r="AX1066" s="115"/>
      <x:c r="AY1066" s="115"/>
      <x:c r="AZ1066" s="115"/>
      <x:c r="BA1066" s="115"/>
      <x:c r="BB1066" s="115"/>
      <x:c r="BC1066" s="115"/>
      <x:c r="BD1066" s="115"/>
      <x:c r="BE1066" s="115"/>
      <x:c r="BF1066" s="115"/>
      <x:c r="BG1066" s="115"/>
      <x:c r="BH1066" s="115"/>
      <x:c r="BI1066" s="115"/>
      <x:c r="BJ1066" s="115"/>
      <x:c r="BK1066" s="115"/>
      <x:c r="BL1066" s="115"/>
      <x:c r="BM1066" s="115"/>
      <x:c r="BN1066" s="115"/>
      <x:c r="BO1066" s="115"/>
      <x:c r="BP1066" s="115"/>
      <x:c r="BQ1066" s="115"/>
      <x:c r="BR1066" s="115"/>
      <x:c r="BS1066" s="115"/>
      <x:c r="BT1066" s="115"/>
      <x:c r="BU1066" s="115"/>
      <x:c r="BV1066" s="115"/>
      <x:c r="BW1066" s="115"/>
      <x:c r="BX1066" s="115"/>
      <x:c r="BY1066" s="115"/>
      <x:c r="BZ1066" s="115"/>
      <x:c r="CA1066" s="115"/>
      <x:c r="CB1066" s="116"/>
      <x:c r="CC1066" s="141" t="str">
        <x:f>IF(COUNT(G1066:P1066)=0,"",AVERAGE(G1066:P1066)*4)</x:f>
      </x:c>
      <x:c r="CD1066" s="178" t="str">
        <x:f>IF(COUNT(Q1066:Z1066)=0,"",AVERAGE(Q1066:Z1066)*4)</x:f>
      </x:c>
      <x:c r="CE1066" s="178" t="str">
        <x:f>IF(COUNT(AA1066:AJ1066)=0,"",AVERAGE(AA1066:AJ1066)*4)</x:f>
      </x:c>
      <x:c r="CF1066" s="178" t="str">
        <x:f>IF(COUNT(AK1066:AR1066)=0,"",AVERAGE(AK1066:AR1066)*4)</x:f>
      </x:c>
      <x:c r="CG1066" s="178" t="str">
        <x:f>IF(COUNT(AS1066:AY1066)=0,"",AVERAGE(AS1066:AY1066)*4)</x:f>
      </x:c>
      <x:c r="CH1066" s="178" t="str">
        <x:f>IF(COUNT(AZ1066:BG1066)=0,"",AVERAGE(AZ1066:BG1066)*4)</x:f>
      </x:c>
      <x:c r="CI1066" s="178" t="str">
        <x:f>IF(COUNT(BH1066:BN1066)=0,"",AVERAGE(BH1066:BN1066)*4)</x:f>
      </x:c>
      <x:c r="CJ1066" s="178" t="str">
        <x:f>IF(COUNT(BO1066:BU1066)=0,"",AVERAGE(BO1066:BU1066)*4)</x:f>
      </x:c>
      <x:c r="CK1066" s="178" t="str">
        <x:f>IF(COUNT(BV1066:CB1066)=0,"",AVERAGE(BV1066:CB1066)*4)</x:f>
      </x:c>
      <x:c r="CL1066" s="178" t="str">
        <x:f>IF(C1066="","",IF(COUNT(G1066:CB1066)&lt;74,"",(CC1066*'تنظیمات وزن‌دهی'!$C$5+CD1066*'تنظیمات وزن‌دهی'!$C$6+CE1066*'تنظیمات وزن‌دهی'!$C$7+CF1066*'تنظیمات وزن‌دهی'!$C$8+CG1066*'تنظیمات وزن‌دهی'!$C$9+CH1066*'تنظیمات وزن‌دهی'!$C$10+CI1066*'تنظیمات وزن‌دهی'!$C$11+CJ1066*'تنظیمات وزن‌دهی'!$C$12+CK1066*'تنظیمات وزن‌دهی'!$C$13)/100))</x:f>
      </x:c>
      <x:c r="CM1066" s="178" t="str">
        <x:f>IF(C1066="","",IF(COUNT(G1066:CB1066)=0,"",IF(COUNT(G1066:CB1066)&lt;74,"موقت - اطلاعات ناقص",IF(CL1066&gt;=17,"عالی",IF(CL1066&gt;=14,"خوب",IF(CL1066&gt;=10,"متوسط","ضعیف"))))))</x:f>
      </x:c>
      <x:c r="CN1066" s="178" t="n">
        <x:v>6</x:v>
      </x:c>
      <x:c r="CO1066" s="142" t="n">
        <x:f>IF(C1066="","",COUNT(G1066:CB1066)/74)</x:f>
        <x:v>0</x:v>
      </x:c>
      <x:c r="CP1066" s="245"/>
    </x:row>
    <x:row r="1067">
      <x:c r="A1067" s="165" t="n">
        <x:v>1063</x:v>
      </x:c>
      <x:c r="B1067" s="233" t="str">
        <x:v>دی</x:v>
      </x:c>
      <x:c r="C1067" s="233" t="n">
        <x:f>IF('دانش‌آموزان'!E93="","",'دانش‌آموزان'!B93)</x:f>
        <x:v>89</x:v>
      </x:c>
      <x:c r="D1067" s="233" t="str">
        <x:f>IF('دانش‌آموزان'!C93="","",'دانش‌آموزان'!C93)</x:f>
        <x:v>4000000896</x:v>
      </x:c>
      <x:c r="E1067" s="233" t="str">
        <x:f>IF('دانش‌آموزان'!E93="","",'دانش‌آموزان'!E93&amp;" "&amp;'دانش‌آموزان'!F93)</x:f>
        <x:v>سام امینی</x:v>
      </x:c>
      <x:c r="F1067" s="166" t="str">
        <x:f>IF('دانش‌آموزان'!I93="","",'دانش‌آموزان'!I93)</x:f>
        <x:v>sample-7-d</x:v>
      </x:c>
      <x:c r="G1067" s="114"/>
      <x:c r="H1067" s="115"/>
      <x:c r="I1067" s="115"/>
      <x:c r="J1067" s="115"/>
      <x:c r="K1067" s="115"/>
      <x:c r="L1067" s="115"/>
      <x:c r="M1067" s="115"/>
      <x:c r="N1067" s="115"/>
      <x:c r="O1067" s="115"/>
      <x:c r="P1067" s="115"/>
      <x:c r="Q1067" s="115"/>
      <x:c r="R1067" s="115"/>
      <x:c r="S1067" s="115"/>
      <x:c r="T1067" s="115"/>
      <x:c r="U1067" s="115"/>
      <x:c r="V1067" s="115"/>
      <x:c r="W1067" s="115"/>
      <x:c r="X1067" s="115"/>
      <x:c r="Y1067" s="115"/>
      <x:c r="Z1067" s="115"/>
      <x:c r="AA1067" s="115"/>
      <x:c r="AB1067" s="115"/>
      <x:c r="AC1067" s="115"/>
      <x:c r="AD1067" s="115"/>
      <x:c r="AE1067" s="115"/>
      <x:c r="AF1067" s="115"/>
      <x:c r="AG1067" s="115"/>
      <x:c r="AH1067" s="115"/>
      <x:c r="AI1067" s="115"/>
      <x:c r="AJ1067" s="115"/>
      <x:c r="AK1067" s="115"/>
      <x:c r="AL1067" s="115"/>
      <x:c r="AM1067" s="115"/>
      <x:c r="AN1067" s="115"/>
      <x:c r="AO1067" s="115"/>
      <x:c r="AP1067" s="115"/>
      <x:c r="AQ1067" s="115"/>
      <x:c r="AR1067" s="115"/>
      <x:c r="AS1067" s="115"/>
      <x:c r="AT1067" s="115"/>
      <x:c r="AU1067" s="115"/>
      <x:c r="AV1067" s="115"/>
      <x:c r="AW1067" s="115"/>
      <x:c r="AX1067" s="115"/>
      <x:c r="AY1067" s="115"/>
      <x:c r="AZ1067" s="115"/>
      <x:c r="BA1067" s="115"/>
      <x:c r="BB1067" s="115"/>
      <x:c r="BC1067" s="115"/>
      <x:c r="BD1067" s="115"/>
      <x:c r="BE1067" s="115"/>
      <x:c r="BF1067" s="115"/>
      <x:c r="BG1067" s="115"/>
      <x:c r="BH1067" s="115"/>
      <x:c r="BI1067" s="115"/>
      <x:c r="BJ1067" s="115"/>
      <x:c r="BK1067" s="115"/>
      <x:c r="BL1067" s="115"/>
      <x:c r="BM1067" s="115"/>
      <x:c r="BN1067" s="115"/>
      <x:c r="BO1067" s="115"/>
      <x:c r="BP1067" s="115"/>
      <x:c r="BQ1067" s="115"/>
      <x:c r="BR1067" s="115"/>
      <x:c r="BS1067" s="115"/>
      <x:c r="BT1067" s="115"/>
      <x:c r="BU1067" s="115"/>
      <x:c r="BV1067" s="115"/>
      <x:c r="BW1067" s="115"/>
      <x:c r="BX1067" s="115"/>
      <x:c r="BY1067" s="115"/>
      <x:c r="BZ1067" s="115"/>
      <x:c r="CA1067" s="115"/>
      <x:c r="CB1067" s="116"/>
      <x:c r="CC1067" s="141" t="str">
        <x:f>IF(COUNT(G1067:P1067)=0,"",AVERAGE(G1067:P1067)*4)</x:f>
      </x:c>
      <x:c r="CD1067" s="178" t="str">
        <x:f>IF(COUNT(Q1067:Z1067)=0,"",AVERAGE(Q1067:Z1067)*4)</x:f>
      </x:c>
      <x:c r="CE1067" s="178" t="str">
        <x:f>IF(COUNT(AA1067:AJ1067)=0,"",AVERAGE(AA1067:AJ1067)*4)</x:f>
      </x:c>
      <x:c r="CF1067" s="178" t="str">
        <x:f>IF(COUNT(AK1067:AR1067)=0,"",AVERAGE(AK1067:AR1067)*4)</x:f>
      </x:c>
      <x:c r="CG1067" s="178" t="str">
        <x:f>IF(COUNT(AS1067:AY1067)=0,"",AVERAGE(AS1067:AY1067)*4)</x:f>
      </x:c>
      <x:c r="CH1067" s="178" t="str">
        <x:f>IF(COUNT(AZ1067:BG1067)=0,"",AVERAGE(AZ1067:BG1067)*4)</x:f>
      </x:c>
      <x:c r="CI1067" s="178" t="str">
        <x:f>IF(COUNT(BH1067:BN1067)=0,"",AVERAGE(BH1067:BN1067)*4)</x:f>
      </x:c>
      <x:c r="CJ1067" s="178" t="str">
        <x:f>IF(COUNT(BO1067:BU1067)=0,"",AVERAGE(BO1067:BU1067)*4)</x:f>
      </x:c>
      <x:c r="CK1067" s="178" t="str">
        <x:f>IF(COUNT(BV1067:CB1067)=0,"",AVERAGE(BV1067:CB1067)*4)</x:f>
      </x:c>
      <x:c r="CL1067" s="178" t="str">
        <x:f>IF(C1067="","",IF(COUNT(G1067:CB1067)&lt;74,"",(CC1067*'تنظیمات وزن‌دهی'!$C$5+CD1067*'تنظیمات وزن‌دهی'!$C$6+CE1067*'تنظیمات وزن‌دهی'!$C$7+CF1067*'تنظیمات وزن‌دهی'!$C$8+CG1067*'تنظیمات وزن‌دهی'!$C$9+CH1067*'تنظیمات وزن‌دهی'!$C$10+CI1067*'تنظیمات وزن‌دهی'!$C$11+CJ1067*'تنظیمات وزن‌دهی'!$C$12+CK1067*'تنظیمات وزن‌دهی'!$C$13)/100))</x:f>
      </x:c>
      <x:c r="CM1067" s="178" t="str">
        <x:f>IF(C1067="","",IF(COUNT(G1067:CB1067)=0,"",IF(COUNT(G1067:CB1067)&lt;74,"موقت - اطلاعات ناقص",IF(CL1067&gt;=17,"عالی",IF(CL1067&gt;=14,"خوب",IF(CL1067&gt;=10,"متوسط","ضعیف"))))))</x:f>
      </x:c>
      <x:c r="CN1067" s="178" t="n">
        <x:v>7</x:v>
      </x:c>
      <x:c r="CO1067" s="142" t="n">
        <x:f>IF(C1067="","",COUNT(G1067:CB1067)/74)</x:f>
        <x:v>0</x:v>
      </x:c>
      <x:c r="CP1067" s="245"/>
    </x:row>
    <x:row r="1068">
      <x:c r="A1068" s="165" t="n">
        <x:v>1064</x:v>
      </x:c>
      <x:c r="B1068" s="233" t="str">
        <x:v>بهمن</x:v>
      </x:c>
      <x:c r="C1068" s="233" t="n">
        <x:f>IF('دانش‌آموزان'!E93="","",'دانش‌آموزان'!B93)</x:f>
        <x:v>89</x:v>
      </x:c>
      <x:c r="D1068" s="233" t="str">
        <x:f>IF('دانش‌آموزان'!C93="","",'دانش‌آموزان'!C93)</x:f>
        <x:v>4000000896</x:v>
      </x:c>
      <x:c r="E1068" s="233" t="str">
        <x:f>IF('دانش‌آموزان'!E93="","",'دانش‌آموزان'!E93&amp;" "&amp;'دانش‌آموزان'!F93)</x:f>
        <x:v>سام امینی</x:v>
      </x:c>
      <x:c r="F1068" s="166" t="str">
        <x:f>IF('دانش‌آموزان'!I93="","",'دانش‌آموزان'!I93)</x:f>
        <x:v>sample-7-d</x:v>
      </x:c>
      <x:c r="G1068" s="114"/>
      <x:c r="H1068" s="115"/>
      <x:c r="I1068" s="115"/>
      <x:c r="J1068" s="115"/>
      <x:c r="K1068" s="115"/>
      <x:c r="L1068" s="115"/>
      <x:c r="M1068" s="115"/>
      <x:c r="N1068" s="115"/>
      <x:c r="O1068" s="115"/>
      <x:c r="P1068" s="115"/>
      <x:c r="Q1068" s="115"/>
      <x:c r="R1068" s="115"/>
      <x:c r="S1068" s="115"/>
      <x:c r="T1068" s="115"/>
      <x:c r="U1068" s="115"/>
      <x:c r="V1068" s="115"/>
      <x:c r="W1068" s="115"/>
      <x:c r="X1068" s="115"/>
      <x:c r="Y1068" s="115"/>
      <x:c r="Z1068" s="115"/>
      <x:c r="AA1068" s="115"/>
      <x:c r="AB1068" s="115"/>
      <x:c r="AC1068" s="115"/>
      <x:c r="AD1068" s="115"/>
      <x:c r="AE1068" s="115"/>
      <x:c r="AF1068" s="115"/>
      <x:c r="AG1068" s="115"/>
      <x:c r="AH1068" s="115"/>
      <x:c r="AI1068" s="115"/>
      <x:c r="AJ1068" s="115"/>
      <x:c r="AK1068" s="115"/>
      <x:c r="AL1068" s="115"/>
      <x:c r="AM1068" s="115"/>
      <x:c r="AN1068" s="115"/>
      <x:c r="AO1068" s="115"/>
      <x:c r="AP1068" s="115"/>
      <x:c r="AQ1068" s="115"/>
      <x:c r="AR1068" s="115"/>
      <x:c r="AS1068" s="115"/>
      <x:c r="AT1068" s="115"/>
      <x:c r="AU1068" s="115"/>
      <x:c r="AV1068" s="115"/>
      <x:c r="AW1068" s="115"/>
      <x:c r="AX1068" s="115"/>
      <x:c r="AY1068" s="115"/>
      <x:c r="AZ1068" s="115"/>
      <x:c r="BA1068" s="115"/>
      <x:c r="BB1068" s="115"/>
      <x:c r="BC1068" s="115"/>
      <x:c r="BD1068" s="115"/>
      <x:c r="BE1068" s="115"/>
      <x:c r="BF1068" s="115"/>
      <x:c r="BG1068" s="115"/>
      <x:c r="BH1068" s="115"/>
      <x:c r="BI1068" s="115"/>
      <x:c r="BJ1068" s="115"/>
      <x:c r="BK1068" s="115"/>
      <x:c r="BL1068" s="115"/>
      <x:c r="BM1068" s="115"/>
      <x:c r="BN1068" s="115"/>
      <x:c r="BO1068" s="115"/>
      <x:c r="BP1068" s="115"/>
      <x:c r="BQ1068" s="115"/>
      <x:c r="BR1068" s="115"/>
      <x:c r="BS1068" s="115"/>
      <x:c r="BT1068" s="115"/>
      <x:c r="BU1068" s="115"/>
      <x:c r="BV1068" s="115"/>
      <x:c r="BW1068" s="115"/>
      <x:c r="BX1068" s="115"/>
      <x:c r="BY1068" s="115"/>
      <x:c r="BZ1068" s="115"/>
      <x:c r="CA1068" s="115"/>
      <x:c r="CB1068" s="116"/>
      <x:c r="CC1068" s="141" t="str">
        <x:f>IF(COUNT(G1068:P1068)=0,"",AVERAGE(G1068:P1068)*4)</x:f>
      </x:c>
      <x:c r="CD1068" s="178" t="str">
        <x:f>IF(COUNT(Q1068:Z1068)=0,"",AVERAGE(Q1068:Z1068)*4)</x:f>
      </x:c>
      <x:c r="CE1068" s="178" t="str">
        <x:f>IF(COUNT(AA1068:AJ1068)=0,"",AVERAGE(AA1068:AJ1068)*4)</x:f>
      </x:c>
      <x:c r="CF1068" s="178" t="str">
        <x:f>IF(COUNT(AK1068:AR1068)=0,"",AVERAGE(AK1068:AR1068)*4)</x:f>
      </x:c>
      <x:c r="CG1068" s="178" t="str">
        <x:f>IF(COUNT(AS1068:AY1068)=0,"",AVERAGE(AS1068:AY1068)*4)</x:f>
      </x:c>
      <x:c r="CH1068" s="178" t="str">
        <x:f>IF(COUNT(AZ1068:BG1068)=0,"",AVERAGE(AZ1068:BG1068)*4)</x:f>
      </x:c>
      <x:c r="CI1068" s="178" t="str">
        <x:f>IF(COUNT(BH1068:BN1068)=0,"",AVERAGE(BH1068:BN1068)*4)</x:f>
      </x:c>
      <x:c r="CJ1068" s="178" t="str">
        <x:f>IF(COUNT(BO1068:BU1068)=0,"",AVERAGE(BO1068:BU1068)*4)</x:f>
      </x:c>
      <x:c r="CK1068" s="178" t="str">
        <x:f>IF(COUNT(BV1068:CB1068)=0,"",AVERAGE(BV1068:CB1068)*4)</x:f>
      </x:c>
      <x:c r="CL1068" s="178" t="str">
        <x:f>IF(C1068="","",IF(COUNT(G1068:CB1068)&lt;74,"",(CC1068*'تنظیمات وزن‌دهی'!$C$5+CD1068*'تنظیمات وزن‌دهی'!$C$6+CE1068*'تنظیمات وزن‌دهی'!$C$7+CF1068*'تنظیمات وزن‌دهی'!$C$8+CG1068*'تنظیمات وزن‌دهی'!$C$9+CH1068*'تنظیمات وزن‌دهی'!$C$10+CI1068*'تنظیمات وزن‌دهی'!$C$11+CJ1068*'تنظیمات وزن‌دهی'!$C$12+CK1068*'تنظیمات وزن‌دهی'!$C$13)/100))</x:f>
      </x:c>
      <x:c r="CM1068" s="178" t="str">
        <x:f>IF(C1068="","",IF(COUNT(G1068:CB1068)=0,"",IF(COUNT(G1068:CB1068)&lt;74,"موقت - اطلاعات ناقص",IF(CL1068&gt;=17,"عالی",IF(CL1068&gt;=14,"خوب",IF(CL1068&gt;=10,"متوسط","ضعیف"))))))</x:f>
      </x:c>
      <x:c r="CN1068" s="178" t="n">
        <x:v>8</x:v>
      </x:c>
      <x:c r="CO1068" s="142" t="n">
        <x:f>IF(C1068="","",COUNT(G1068:CB1068)/74)</x:f>
        <x:v>0</x:v>
      </x:c>
      <x:c r="CP1068" s="245"/>
    </x:row>
    <x:row r="1069">
      <x:c r="A1069" s="165" t="n">
        <x:v>1065</x:v>
      </x:c>
      <x:c r="B1069" s="233" t="str">
        <x:v>اسفند</x:v>
      </x:c>
      <x:c r="C1069" s="233" t="n">
        <x:f>IF('دانش‌آموزان'!E93="","",'دانش‌آموزان'!B93)</x:f>
        <x:v>89</x:v>
      </x:c>
      <x:c r="D1069" s="233" t="str">
        <x:f>IF('دانش‌آموزان'!C93="","",'دانش‌آموزان'!C93)</x:f>
        <x:v>4000000896</x:v>
      </x:c>
      <x:c r="E1069" s="233" t="str">
        <x:f>IF('دانش‌آموزان'!E93="","",'دانش‌آموزان'!E93&amp;" "&amp;'دانش‌آموزان'!F93)</x:f>
        <x:v>سام امینی</x:v>
      </x:c>
      <x:c r="F1069" s="166" t="str">
        <x:f>IF('دانش‌آموزان'!I93="","",'دانش‌آموزان'!I93)</x:f>
        <x:v>sample-7-d</x:v>
      </x:c>
      <x:c r="G1069" s="114"/>
      <x:c r="H1069" s="115"/>
      <x:c r="I1069" s="115"/>
      <x:c r="J1069" s="115"/>
      <x:c r="K1069" s="115"/>
      <x:c r="L1069" s="115"/>
      <x:c r="M1069" s="115"/>
      <x:c r="N1069" s="115"/>
      <x:c r="O1069" s="115"/>
      <x:c r="P1069" s="115"/>
      <x:c r="Q1069" s="115"/>
      <x:c r="R1069" s="115"/>
      <x:c r="S1069" s="115"/>
      <x:c r="T1069" s="115"/>
      <x:c r="U1069" s="115"/>
      <x:c r="V1069" s="115"/>
      <x:c r="W1069" s="115"/>
      <x:c r="X1069" s="115"/>
      <x:c r="Y1069" s="115"/>
      <x:c r="Z1069" s="115"/>
      <x:c r="AA1069" s="115"/>
      <x:c r="AB1069" s="115"/>
      <x:c r="AC1069" s="115"/>
      <x:c r="AD1069" s="115"/>
      <x:c r="AE1069" s="115"/>
      <x:c r="AF1069" s="115"/>
      <x:c r="AG1069" s="115"/>
      <x:c r="AH1069" s="115"/>
      <x:c r="AI1069" s="115"/>
      <x:c r="AJ1069" s="115"/>
      <x:c r="AK1069" s="115"/>
      <x:c r="AL1069" s="115"/>
      <x:c r="AM1069" s="115"/>
      <x:c r="AN1069" s="115"/>
      <x:c r="AO1069" s="115"/>
      <x:c r="AP1069" s="115"/>
      <x:c r="AQ1069" s="115"/>
      <x:c r="AR1069" s="115"/>
      <x:c r="AS1069" s="115"/>
      <x:c r="AT1069" s="115"/>
      <x:c r="AU1069" s="115"/>
      <x:c r="AV1069" s="115"/>
      <x:c r="AW1069" s="115"/>
      <x:c r="AX1069" s="115"/>
      <x:c r="AY1069" s="115"/>
      <x:c r="AZ1069" s="115"/>
      <x:c r="BA1069" s="115"/>
      <x:c r="BB1069" s="115"/>
      <x:c r="BC1069" s="115"/>
      <x:c r="BD1069" s="115"/>
      <x:c r="BE1069" s="115"/>
      <x:c r="BF1069" s="115"/>
      <x:c r="BG1069" s="115"/>
      <x:c r="BH1069" s="115"/>
      <x:c r="BI1069" s="115"/>
      <x:c r="BJ1069" s="115"/>
      <x:c r="BK1069" s="115"/>
      <x:c r="BL1069" s="115"/>
      <x:c r="BM1069" s="115"/>
      <x:c r="BN1069" s="115"/>
      <x:c r="BO1069" s="115"/>
      <x:c r="BP1069" s="115"/>
      <x:c r="BQ1069" s="115"/>
      <x:c r="BR1069" s="115"/>
      <x:c r="BS1069" s="115"/>
      <x:c r="BT1069" s="115"/>
      <x:c r="BU1069" s="115"/>
      <x:c r="BV1069" s="115"/>
      <x:c r="BW1069" s="115"/>
      <x:c r="BX1069" s="115"/>
      <x:c r="BY1069" s="115"/>
      <x:c r="BZ1069" s="115"/>
      <x:c r="CA1069" s="115"/>
      <x:c r="CB1069" s="116"/>
      <x:c r="CC1069" s="141" t="str">
        <x:f>IF(COUNT(G1069:P1069)=0,"",AVERAGE(G1069:P1069)*4)</x:f>
      </x:c>
      <x:c r="CD1069" s="178" t="str">
        <x:f>IF(COUNT(Q1069:Z1069)=0,"",AVERAGE(Q1069:Z1069)*4)</x:f>
      </x:c>
      <x:c r="CE1069" s="178" t="str">
        <x:f>IF(COUNT(AA1069:AJ1069)=0,"",AVERAGE(AA1069:AJ1069)*4)</x:f>
      </x:c>
      <x:c r="CF1069" s="178" t="str">
        <x:f>IF(COUNT(AK1069:AR1069)=0,"",AVERAGE(AK1069:AR1069)*4)</x:f>
      </x:c>
      <x:c r="CG1069" s="178" t="str">
        <x:f>IF(COUNT(AS1069:AY1069)=0,"",AVERAGE(AS1069:AY1069)*4)</x:f>
      </x:c>
      <x:c r="CH1069" s="178" t="str">
        <x:f>IF(COUNT(AZ1069:BG1069)=0,"",AVERAGE(AZ1069:BG1069)*4)</x:f>
      </x:c>
      <x:c r="CI1069" s="178" t="str">
        <x:f>IF(COUNT(BH1069:BN1069)=0,"",AVERAGE(BH1069:BN1069)*4)</x:f>
      </x:c>
      <x:c r="CJ1069" s="178" t="str">
        <x:f>IF(COUNT(BO1069:BU1069)=0,"",AVERAGE(BO1069:BU1069)*4)</x:f>
      </x:c>
      <x:c r="CK1069" s="178" t="str">
        <x:f>IF(COUNT(BV1069:CB1069)=0,"",AVERAGE(BV1069:CB1069)*4)</x:f>
      </x:c>
      <x:c r="CL1069" s="178" t="str">
        <x:f>IF(C1069="","",IF(COUNT(G1069:CB1069)&lt;74,"",(CC1069*'تنظیمات وزن‌دهی'!$C$5+CD1069*'تنظیمات وزن‌دهی'!$C$6+CE1069*'تنظیمات وزن‌دهی'!$C$7+CF1069*'تنظیمات وزن‌دهی'!$C$8+CG1069*'تنظیمات وزن‌دهی'!$C$9+CH1069*'تنظیمات وزن‌دهی'!$C$10+CI1069*'تنظیمات وزن‌دهی'!$C$11+CJ1069*'تنظیمات وزن‌دهی'!$C$12+CK1069*'تنظیمات وزن‌دهی'!$C$13)/100))</x:f>
      </x:c>
      <x:c r="CM1069" s="178" t="str">
        <x:f>IF(C1069="","",IF(COUNT(G1069:CB1069)=0,"",IF(COUNT(G1069:CB1069)&lt;74,"موقت - اطلاعات ناقص",IF(CL1069&gt;=17,"عالی",IF(CL1069&gt;=14,"خوب",IF(CL1069&gt;=10,"متوسط","ضعیف"))))))</x:f>
      </x:c>
      <x:c r="CN1069" s="178" t="n">
        <x:v>9</x:v>
      </x:c>
      <x:c r="CO1069" s="142" t="n">
        <x:f>IF(C1069="","",COUNT(G1069:CB1069)/74)</x:f>
        <x:v>0</x:v>
      </x:c>
      <x:c r="CP1069" s="245"/>
    </x:row>
    <x:row r="1070">
      <x:c r="A1070" s="165" t="n">
        <x:v>1066</x:v>
      </x:c>
      <x:c r="B1070" s="233" t="str">
        <x:v>فروردین</x:v>
      </x:c>
      <x:c r="C1070" s="233" t="n">
        <x:f>IF('دانش‌آموزان'!E93="","",'دانش‌آموزان'!B93)</x:f>
        <x:v>89</x:v>
      </x:c>
      <x:c r="D1070" s="233" t="str">
        <x:f>IF('دانش‌آموزان'!C93="","",'دانش‌آموزان'!C93)</x:f>
        <x:v>4000000896</x:v>
      </x:c>
      <x:c r="E1070" s="233" t="str">
        <x:f>IF('دانش‌آموزان'!E93="","",'دانش‌آموزان'!E93&amp;" "&amp;'دانش‌آموزان'!F93)</x:f>
        <x:v>سام امینی</x:v>
      </x:c>
      <x:c r="F1070" s="166" t="str">
        <x:f>IF('دانش‌آموزان'!I93="","",'دانش‌آموزان'!I93)</x:f>
        <x:v>sample-7-d</x:v>
      </x:c>
      <x:c r="G1070" s="114"/>
      <x:c r="H1070" s="115"/>
      <x:c r="I1070" s="115"/>
      <x:c r="J1070" s="115"/>
      <x:c r="K1070" s="115"/>
      <x:c r="L1070" s="115"/>
      <x:c r="M1070" s="115"/>
      <x:c r="N1070" s="115"/>
      <x:c r="O1070" s="115"/>
      <x:c r="P1070" s="115"/>
      <x:c r="Q1070" s="115"/>
      <x:c r="R1070" s="115"/>
      <x:c r="S1070" s="115"/>
      <x:c r="T1070" s="115"/>
      <x:c r="U1070" s="115"/>
      <x:c r="V1070" s="115"/>
      <x:c r="W1070" s="115"/>
      <x:c r="X1070" s="115"/>
      <x:c r="Y1070" s="115"/>
      <x:c r="Z1070" s="115"/>
      <x:c r="AA1070" s="115"/>
      <x:c r="AB1070" s="115"/>
      <x:c r="AC1070" s="115"/>
      <x:c r="AD1070" s="115"/>
      <x:c r="AE1070" s="115"/>
      <x:c r="AF1070" s="115"/>
      <x:c r="AG1070" s="115"/>
      <x:c r="AH1070" s="115"/>
      <x:c r="AI1070" s="115"/>
      <x:c r="AJ1070" s="115"/>
      <x:c r="AK1070" s="115"/>
      <x:c r="AL1070" s="115"/>
      <x:c r="AM1070" s="115"/>
      <x:c r="AN1070" s="115"/>
      <x:c r="AO1070" s="115"/>
      <x:c r="AP1070" s="115"/>
      <x:c r="AQ1070" s="115"/>
      <x:c r="AR1070" s="115"/>
      <x:c r="AS1070" s="115"/>
      <x:c r="AT1070" s="115"/>
      <x:c r="AU1070" s="115"/>
      <x:c r="AV1070" s="115"/>
      <x:c r="AW1070" s="115"/>
      <x:c r="AX1070" s="115"/>
      <x:c r="AY1070" s="115"/>
      <x:c r="AZ1070" s="115"/>
      <x:c r="BA1070" s="115"/>
      <x:c r="BB1070" s="115"/>
      <x:c r="BC1070" s="115"/>
      <x:c r="BD1070" s="115"/>
      <x:c r="BE1070" s="115"/>
      <x:c r="BF1070" s="115"/>
      <x:c r="BG1070" s="115"/>
      <x:c r="BH1070" s="115"/>
      <x:c r="BI1070" s="115"/>
      <x:c r="BJ1070" s="115"/>
      <x:c r="BK1070" s="115"/>
      <x:c r="BL1070" s="115"/>
      <x:c r="BM1070" s="115"/>
      <x:c r="BN1070" s="115"/>
      <x:c r="BO1070" s="115"/>
      <x:c r="BP1070" s="115"/>
      <x:c r="BQ1070" s="115"/>
      <x:c r="BR1070" s="115"/>
      <x:c r="BS1070" s="115"/>
      <x:c r="BT1070" s="115"/>
      <x:c r="BU1070" s="115"/>
      <x:c r="BV1070" s="115"/>
      <x:c r="BW1070" s="115"/>
      <x:c r="BX1070" s="115"/>
      <x:c r="BY1070" s="115"/>
      <x:c r="BZ1070" s="115"/>
      <x:c r="CA1070" s="115"/>
      <x:c r="CB1070" s="116"/>
      <x:c r="CC1070" s="141" t="str">
        <x:f>IF(COUNT(G1070:P1070)=0,"",AVERAGE(G1070:P1070)*4)</x:f>
      </x:c>
      <x:c r="CD1070" s="178" t="str">
        <x:f>IF(COUNT(Q1070:Z1070)=0,"",AVERAGE(Q1070:Z1070)*4)</x:f>
      </x:c>
      <x:c r="CE1070" s="178" t="str">
        <x:f>IF(COUNT(AA1070:AJ1070)=0,"",AVERAGE(AA1070:AJ1070)*4)</x:f>
      </x:c>
      <x:c r="CF1070" s="178" t="str">
        <x:f>IF(COUNT(AK1070:AR1070)=0,"",AVERAGE(AK1070:AR1070)*4)</x:f>
      </x:c>
      <x:c r="CG1070" s="178" t="str">
        <x:f>IF(COUNT(AS1070:AY1070)=0,"",AVERAGE(AS1070:AY1070)*4)</x:f>
      </x:c>
      <x:c r="CH1070" s="178" t="str">
        <x:f>IF(COUNT(AZ1070:BG1070)=0,"",AVERAGE(AZ1070:BG1070)*4)</x:f>
      </x:c>
      <x:c r="CI1070" s="178" t="str">
        <x:f>IF(COUNT(BH1070:BN1070)=0,"",AVERAGE(BH1070:BN1070)*4)</x:f>
      </x:c>
      <x:c r="CJ1070" s="178" t="str">
        <x:f>IF(COUNT(BO1070:BU1070)=0,"",AVERAGE(BO1070:BU1070)*4)</x:f>
      </x:c>
      <x:c r="CK1070" s="178" t="str">
        <x:f>IF(COUNT(BV1070:CB1070)=0,"",AVERAGE(BV1070:CB1070)*4)</x:f>
      </x:c>
      <x:c r="CL1070" s="178" t="str">
        <x:f>IF(C1070="","",IF(COUNT(G1070:CB1070)&lt;74,"",(CC1070*'تنظیمات وزن‌دهی'!$C$5+CD1070*'تنظیمات وزن‌دهی'!$C$6+CE1070*'تنظیمات وزن‌دهی'!$C$7+CF1070*'تنظیمات وزن‌دهی'!$C$8+CG1070*'تنظیمات وزن‌دهی'!$C$9+CH1070*'تنظیمات وزن‌دهی'!$C$10+CI1070*'تنظیمات وزن‌دهی'!$C$11+CJ1070*'تنظیمات وزن‌دهی'!$C$12+CK1070*'تنظیمات وزن‌دهی'!$C$13)/100))</x:f>
      </x:c>
      <x:c r="CM1070" s="178" t="str">
        <x:f>IF(C1070="","",IF(COUNT(G1070:CB1070)=0,"",IF(COUNT(G1070:CB1070)&lt;74,"موقت - اطلاعات ناقص",IF(CL1070&gt;=17,"عالی",IF(CL1070&gt;=14,"خوب",IF(CL1070&gt;=10,"متوسط","ضعیف"))))))</x:f>
      </x:c>
      <x:c r="CN1070" s="178" t="n">
        <x:v>10</x:v>
      </x:c>
      <x:c r="CO1070" s="142" t="n">
        <x:f>IF(C1070="","",COUNT(G1070:CB1070)/74)</x:f>
        <x:v>0</x:v>
      </x:c>
      <x:c r="CP1070" s="245"/>
    </x:row>
    <x:row r="1071">
      <x:c r="A1071" s="165" t="n">
        <x:v>1067</x:v>
      </x:c>
      <x:c r="B1071" s="233" t="str">
        <x:v>اردیبهشت</x:v>
      </x:c>
      <x:c r="C1071" s="233" t="n">
        <x:f>IF('دانش‌آموزان'!E93="","",'دانش‌آموزان'!B93)</x:f>
        <x:v>89</x:v>
      </x:c>
      <x:c r="D1071" s="233" t="str">
        <x:f>IF('دانش‌آموزان'!C93="","",'دانش‌آموزان'!C93)</x:f>
        <x:v>4000000896</x:v>
      </x:c>
      <x:c r="E1071" s="233" t="str">
        <x:f>IF('دانش‌آموزان'!E93="","",'دانش‌آموزان'!E93&amp;" "&amp;'دانش‌آموزان'!F93)</x:f>
        <x:v>سام امینی</x:v>
      </x:c>
      <x:c r="F1071" s="166" t="str">
        <x:f>IF('دانش‌آموزان'!I93="","",'دانش‌آموزان'!I93)</x:f>
        <x:v>sample-7-d</x:v>
      </x:c>
      <x:c r="G1071" s="114"/>
      <x:c r="H1071" s="115"/>
      <x:c r="I1071" s="115"/>
      <x:c r="J1071" s="115"/>
      <x:c r="K1071" s="115"/>
      <x:c r="L1071" s="115"/>
      <x:c r="M1071" s="115"/>
      <x:c r="N1071" s="115"/>
      <x:c r="O1071" s="115"/>
      <x:c r="P1071" s="115"/>
      <x:c r="Q1071" s="115"/>
      <x:c r="R1071" s="115"/>
      <x:c r="S1071" s="115"/>
      <x:c r="T1071" s="115"/>
      <x:c r="U1071" s="115"/>
      <x:c r="V1071" s="115"/>
      <x:c r="W1071" s="115"/>
      <x:c r="X1071" s="115"/>
      <x:c r="Y1071" s="115"/>
      <x:c r="Z1071" s="115"/>
      <x:c r="AA1071" s="115"/>
      <x:c r="AB1071" s="115"/>
      <x:c r="AC1071" s="115"/>
      <x:c r="AD1071" s="115"/>
      <x:c r="AE1071" s="115"/>
      <x:c r="AF1071" s="115"/>
      <x:c r="AG1071" s="115"/>
      <x:c r="AH1071" s="115"/>
      <x:c r="AI1071" s="115"/>
      <x:c r="AJ1071" s="115"/>
      <x:c r="AK1071" s="115"/>
      <x:c r="AL1071" s="115"/>
      <x:c r="AM1071" s="115"/>
      <x:c r="AN1071" s="115"/>
      <x:c r="AO1071" s="115"/>
      <x:c r="AP1071" s="115"/>
      <x:c r="AQ1071" s="115"/>
      <x:c r="AR1071" s="115"/>
      <x:c r="AS1071" s="115"/>
      <x:c r="AT1071" s="115"/>
      <x:c r="AU1071" s="115"/>
      <x:c r="AV1071" s="115"/>
      <x:c r="AW1071" s="115"/>
      <x:c r="AX1071" s="115"/>
      <x:c r="AY1071" s="115"/>
      <x:c r="AZ1071" s="115"/>
      <x:c r="BA1071" s="115"/>
      <x:c r="BB1071" s="115"/>
      <x:c r="BC1071" s="115"/>
      <x:c r="BD1071" s="115"/>
      <x:c r="BE1071" s="115"/>
      <x:c r="BF1071" s="115"/>
      <x:c r="BG1071" s="115"/>
      <x:c r="BH1071" s="115"/>
      <x:c r="BI1071" s="115"/>
      <x:c r="BJ1071" s="115"/>
      <x:c r="BK1071" s="115"/>
      <x:c r="BL1071" s="115"/>
      <x:c r="BM1071" s="115"/>
      <x:c r="BN1071" s="115"/>
      <x:c r="BO1071" s="115"/>
      <x:c r="BP1071" s="115"/>
      <x:c r="BQ1071" s="115"/>
      <x:c r="BR1071" s="115"/>
      <x:c r="BS1071" s="115"/>
      <x:c r="BT1071" s="115"/>
      <x:c r="BU1071" s="115"/>
      <x:c r="BV1071" s="115"/>
      <x:c r="BW1071" s="115"/>
      <x:c r="BX1071" s="115"/>
      <x:c r="BY1071" s="115"/>
      <x:c r="BZ1071" s="115"/>
      <x:c r="CA1071" s="115"/>
      <x:c r="CB1071" s="116"/>
      <x:c r="CC1071" s="141" t="str">
        <x:f>IF(COUNT(G1071:P1071)=0,"",AVERAGE(G1071:P1071)*4)</x:f>
      </x:c>
      <x:c r="CD1071" s="178" t="str">
        <x:f>IF(COUNT(Q1071:Z1071)=0,"",AVERAGE(Q1071:Z1071)*4)</x:f>
      </x:c>
      <x:c r="CE1071" s="178" t="str">
        <x:f>IF(COUNT(AA1071:AJ1071)=0,"",AVERAGE(AA1071:AJ1071)*4)</x:f>
      </x:c>
      <x:c r="CF1071" s="178" t="str">
        <x:f>IF(COUNT(AK1071:AR1071)=0,"",AVERAGE(AK1071:AR1071)*4)</x:f>
      </x:c>
      <x:c r="CG1071" s="178" t="str">
        <x:f>IF(COUNT(AS1071:AY1071)=0,"",AVERAGE(AS1071:AY1071)*4)</x:f>
      </x:c>
      <x:c r="CH1071" s="178" t="str">
        <x:f>IF(COUNT(AZ1071:BG1071)=0,"",AVERAGE(AZ1071:BG1071)*4)</x:f>
      </x:c>
      <x:c r="CI1071" s="178" t="str">
        <x:f>IF(COUNT(BH1071:BN1071)=0,"",AVERAGE(BH1071:BN1071)*4)</x:f>
      </x:c>
      <x:c r="CJ1071" s="178" t="str">
        <x:f>IF(COUNT(BO1071:BU1071)=0,"",AVERAGE(BO1071:BU1071)*4)</x:f>
      </x:c>
      <x:c r="CK1071" s="178" t="str">
        <x:f>IF(COUNT(BV1071:CB1071)=0,"",AVERAGE(BV1071:CB1071)*4)</x:f>
      </x:c>
      <x:c r="CL1071" s="178" t="str">
        <x:f>IF(C1071="","",IF(COUNT(G1071:CB1071)&lt;74,"",(CC1071*'تنظیمات وزن‌دهی'!$C$5+CD1071*'تنظیمات وزن‌دهی'!$C$6+CE1071*'تنظیمات وزن‌دهی'!$C$7+CF1071*'تنظیمات وزن‌دهی'!$C$8+CG1071*'تنظیمات وزن‌دهی'!$C$9+CH1071*'تنظیمات وزن‌دهی'!$C$10+CI1071*'تنظیمات وزن‌دهی'!$C$11+CJ1071*'تنظیمات وزن‌دهی'!$C$12+CK1071*'تنظیمات وزن‌دهی'!$C$13)/100))</x:f>
      </x:c>
      <x:c r="CM1071" s="178" t="str">
        <x:f>IF(C1071="","",IF(COUNT(G1071:CB1071)=0,"",IF(COUNT(G1071:CB1071)&lt;74,"موقت - اطلاعات ناقص",IF(CL1071&gt;=17,"عالی",IF(CL1071&gt;=14,"خوب",IF(CL1071&gt;=10,"متوسط","ضعیف"))))))</x:f>
      </x:c>
      <x:c r="CN1071" s="178" t="n">
        <x:v>11</x:v>
      </x:c>
      <x:c r="CO1071" s="142" t="n">
        <x:f>IF(C1071="","",COUNT(G1071:CB1071)/74)</x:f>
        <x:v>0</x:v>
      </x:c>
      <x:c r="CP1071" s="245"/>
    </x:row>
    <x:row r="1072">
      <x:c r="A1072" s="165" t="n">
        <x:v>1068</x:v>
      </x:c>
      <x:c r="B1072" s="233" t="str">
        <x:v>خرداد</x:v>
      </x:c>
      <x:c r="C1072" s="233" t="n">
        <x:f>IF('دانش‌آموزان'!E93="","",'دانش‌آموزان'!B93)</x:f>
        <x:v>89</x:v>
      </x:c>
      <x:c r="D1072" s="233" t="str">
        <x:f>IF('دانش‌آموزان'!C93="","",'دانش‌آموزان'!C93)</x:f>
        <x:v>4000000896</x:v>
      </x:c>
      <x:c r="E1072" s="233" t="str">
        <x:f>IF('دانش‌آموزان'!E93="","",'دانش‌آموزان'!E93&amp;" "&amp;'دانش‌آموزان'!F93)</x:f>
        <x:v>سام امینی</x:v>
      </x:c>
      <x:c r="F1072" s="166" t="str">
        <x:f>IF('دانش‌آموزان'!I93="","",'دانش‌آموزان'!I93)</x:f>
        <x:v>sample-7-d</x:v>
      </x:c>
      <x:c r="G1072" s="114"/>
      <x:c r="H1072" s="115"/>
      <x:c r="I1072" s="115"/>
      <x:c r="J1072" s="115"/>
      <x:c r="K1072" s="115"/>
      <x:c r="L1072" s="115"/>
      <x:c r="M1072" s="115"/>
      <x:c r="N1072" s="115"/>
      <x:c r="O1072" s="115"/>
      <x:c r="P1072" s="115"/>
      <x:c r="Q1072" s="115"/>
      <x:c r="R1072" s="115"/>
      <x:c r="S1072" s="115"/>
      <x:c r="T1072" s="115"/>
      <x:c r="U1072" s="115"/>
      <x:c r="V1072" s="115"/>
      <x:c r="W1072" s="115"/>
      <x:c r="X1072" s="115"/>
      <x:c r="Y1072" s="115"/>
      <x:c r="Z1072" s="115"/>
      <x:c r="AA1072" s="115"/>
      <x:c r="AB1072" s="115"/>
      <x:c r="AC1072" s="115"/>
      <x:c r="AD1072" s="115"/>
      <x:c r="AE1072" s="115"/>
      <x:c r="AF1072" s="115"/>
      <x:c r="AG1072" s="115"/>
      <x:c r="AH1072" s="115"/>
      <x:c r="AI1072" s="115"/>
      <x:c r="AJ1072" s="115"/>
      <x:c r="AK1072" s="115"/>
      <x:c r="AL1072" s="115"/>
      <x:c r="AM1072" s="115"/>
      <x:c r="AN1072" s="115"/>
      <x:c r="AO1072" s="115"/>
      <x:c r="AP1072" s="115"/>
      <x:c r="AQ1072" s="115"/>
      <x:c r="AR1072" s="115"/>
      <x:c r="AS1072" s="115"/>
      <x:c r="AT1072" s="115"/>
      <x:c r="AU1072" s="115"/>
      <x:c r="AV1072" s="115"/>
      <x:c r="AW1072" s="115"/>
      <x:c r="AX1072" s="115"/>
      <x:c r="AY1072" s="115"/>
      <x:c r="AZ1072" s="115"/>
      <x:c r="BA1072" s="115"/>
      <x:c r="BB1072" s="115"/>
      <x:c r="BC1072" s="115"/>
      <x:c r="BD1072" s="115"/>
      <x:c r="BE1072" s="115"/>
      <x:c r="BF1072" s="115"/>
      <x:c r="BG1072" s="115"/>
      <x:c r="BH1072" s="115"/>
      <x:c r="BI1072" s="115"/>
      <x:c r="BJ1072" s="115"/>
      <x:c r="BK1072" s="115"/>
      <x:c r="BL1072" s="115"/>
      <x:c r="BM1072" s="115"/>
      <x:c r="BN1072" s="115"/>
      <x:c r="BO1072" s="115"/>
      <x:c r="BP1072" s="115"/>
      <x:c r="BQ1072" s="115"/>
      <x:c r="BR1072" s="115"/>
      <x:c r="BS1072" s="115"/>
      <x:c r="BT1072" s="115"/>
      <x:c r="BU1072" s="115"/>
      <x:c r="BV1072" s="115"/>
      <x:c r="BW1072" s="115"/>
      <x:c r="BX1072" s="115"/>
      <x:c r="BY1072" s="115"/>
      <x:c r="BZ1072" s="115"/>
      <x:c r="CA1072" s="115"/>
      <x:c r="CB1072" s="116"/>
      <x:c r="CC1072" s="141" t="str">
        <x:f>IF(COUNT(G1072:P1072)=0,"",AVERAGE(G1072:P1072)*4)</x:f>
      </x:c>
      <x:c r="CD1072" s="178" t="str">
        <x:f>IF(COUNT(Q1072:Z1072)=0,"",AVERAGE(Q1072:Z1072)*4)</x:f>
      </x:c>
      <x:c r="CE1072" s="178" t="str">
        <x:f>IF(COUNT(AA1072:AJ1072)=0,"",AVERAGE(AA1072:AJ1072)*4)</x:f>
      </x:c>
      <x:c r="CF1072" s="178" t="str">
        <x:f>IF(COUNT(AK1072:AR1072)=0,"",AVERAGE(AK1072:AR1072)*4)</x:f>
      </x:c>
      <x:c r="CG1072" s="178" t="str">
        <x:f>IF(COUNT(AS1072:AY1072)=0,"",AVERAGE(AS1072:AY1072)*4)</x:f>
      </x:c>
      <x:c r="CH1072" s="178" t="str">
        <x:f>IF(COUNT(AZ1072:BG1072)=0,"",AVERAGE(AZ1072:BG1072)*4)</x:f>
      </x:c>
      <x:c r="CI1072" s="178" t="str">
        <x:f>IF(COUNT(BH1072:BN1072)=0,"",AVERAGE(BH1072:BN1072)*4)</x:f>
      </x:c>
      <x:c r="CJ1072" s="178" t="str">
        <x:f>IF(COUNT(BO1072:BU1072)=0,"",AVERAGE(BO1072:BU1072)*4)</x:f>
      </x:c>
      <x:c r="CK1072" s="178" t="str">
        <x:f>IF(COUNT(BV1072:CB1072)=0,"",AVERAGE(BV1072:CB1072)*4)</x:f>
      </x:c>
      <x:c r="CL1072" s="178" t="str">
        <x:f>IF(C1072="","",IF(COUNT(G1072:CB1072)&lt;74,"",(CC1072*'تنظیمات وزن‌دهی'!$C$5+CD1072*'تنظیمات وزن‌دهی'!$C$6+CE1072*'تنظیمات وزن‌دهی'!$C$7+CF1072*'تنظیمات وزن‌دهی'!$C$8+CG1072*'تنظیمات وزن‌دهی'!$C$9+CH1072*'تنظیمات وزن‌دهی'!$C$10+CI1072*'تنظیمات وزن‌دهی'!$C$11+CJ1072*'تنظیمات وزن‌دهی'!$C$12+CK1072*'تنظیمات وزن‌دهی'!$C$13)/100))</x:f>
      </x:c>
      <x:c r="CM1072" s="178" t="str">
        <x:f>IF(C1072="","",IF(COUNT(G1072:CB1072)=0,"",IF(COUNT(G1072:CB1072)&lt;74,"موقت - اطلاعات ناقص",IF(CL1072&gt;=17,"عالی",IF(CL1072&gt;=14,"خوب",IF(CL1072&gt;=10,"متوسط","ضعیف"))))))</x:f>
      </x:c>
      <x:c r="CN1072" s="178" t="n">
        <x:v>12</x:v>
      </x:c>
      <x:c r="CO1072" s="142" t="n">
        <x:f>IF(C1072="","",COUNT(G1072:CB1072)/74)</x:f>
        <x:v>0</x:v>
      </x:c>
      <x:c r="CP1072" s="245"/>
    </x:row>
    <x:row r="1073">
      <x:c r="A1073" s="165" t="n">
        <x:v>1069</x:v>
      </x:c>
      <x:c r="B1073" s="233" t="str">
        <x:v>تیر</x:v>
      </x:c>
      <x:c r="C1073" s="233" t="n">
        <x:f>IF('دانش‌آموزان'!E94="","",'دانش‌آموزان'!B94)</x:f>
        <x:v>90</x:v>
      </x:c>
      <x:c r="D1073" s="233" t="str">
        <x:f>IF('دانش‌آموزان'!C94="","",'دانش‌آموزان'!C94)</x:f>
        <x:v>4000000901</x:v>
      </x:c>
      <x:c r="E1073" s="233" t="str">
        <x:f>IF('دانش‌آموزان'!E94="","",'دانش‌آموزان'!E94&amp;" "&amp;'دانش‌آموزان'!F94)</x:f>
        <x:v>هلیا کریمی</x:v>
      </x:c>
      <x:c r="F1073" s="166" t="str">
        <x:f>IF('دانش‌آموزان'!I94="","",'دانش‌آموزان'!I94)</x:f>
        <x:v>sample-7-d</x:v>
      </x:c>
      <x:c r="G1073" s="114" t="n">
        <x:v>3</x:v>
      </x:c>
      <x:c r="H1073" s="115" t="n">
        <x:v>5</x:v>
      </x:c>
      <x:c r="I1073" s="115" t="n">
        <x:v>3</x:v>
      </x:c>
      <x:c r="J1073" s="115" t="n">
        <x:v>4</x:v>
      </x:c>
      <x:c r="K1073" s="115" t="n">
        <x:v>3</x:v>
      </x:c>
      <x:c r="L1073" s="115" t="n">
        <x:v>4</x:v>
      </x:c>
      <x:c r="M1073" s="115" t="n">
        <x:v>2</x:v>
      </x:c>
      <x:c r="N1073" s="115" t="n">
        <x:v>4</x:v>
      </x:c>
      <x:c r="O1073" s="115" t="n">
        <x:v>5</x:v>
      </x:c>
      <x:c r="P1073" s="115" t="n">
        <x:v>4</x:v>
      </x:c>
      <x:c r="Q1073" s="115" t="n">
        <x:v>5</x:v>
      </x:c>
      <x:c r="R1073" s="115" t="n">
        <x:v>3</x:v>
      </x:c>
      <x:c r="S1073" s="115" t="n">
        <x:v>5</x:v>
      </x:c>
      <x:c r="T1073" s="115" t="n">
        <x:v>3</x:v>
      </x:c>
      <x:c r="U1073" s="115" t="n">
        <x:v>4</x:v>
      </x:c>
      <x:c r="V1073" s="115" t="n">
        <x:v>3</x:v>
      </x:c>
      <x:c r="W1073" s="115" t="n">
        <x:v>4</x:v>
      </x:c>
      <x:c r="X1073" s="115" t="n">
        <x:v>2</x:v>
      </x:c>
      <x:c r="Y1073" s="115" t="n">
        <x:v>4</x:v>
      </x:c>
      <x:c r="Z1073" s="115" t="n">
        <x:v>5</x:v>
      </x:c>
      <x:c r="AA1073" s="115" t="n">
        <x:v>4</x:v>
      </x:c>
      <x:c r="AB1073" s="115" t="n">
        <x:v>5</x:v>
      </x:c>
      <x:c r="AC1073" s="115" t="n">
        <x:v>3</x:v>
      </x:c>
      <x:c r="AD1073" s="115" t="n">
        <x:v>5</x:v>
      </x:c>
      <x:c r="AE1073" s="115" t="n">
        <x:v>3</x:v>
      </x:c>
      <x:c r="AF1073" s="115" t="n">
        <x:v>4</x:v>
      </x:c>
      <x:c r="AG1073" s="115" t="n">
        <x:v>3</x:v>
      </x:c>
      <x:c r="AH1073" s="115" t="n">
        <x:v>4</x:v>
      </x:c>
      <x:c r="AI1073" s="115" t="n">
        <x:v>2</x:v>
      </x:c>
      <x:c r="AJ1073" s="115" t="n">
        <x:v>4</x:v>
      </x:c>
      <x:c r="AK1073" s="115" t="n">
        <x:v>5</x:v>
      </x:c>
      <x:c r="AL1073" s="115" t="n">
        <x:v>4</x:v>
      </x:c>
      <x:c r="AM1073" s="115" t="n">
        <x:v>5</x:v>
      </x:c>
      <x:c r="AN1073" s="115" t="n">
        <x:v>3</x:v>
      </x:c>
      <x:c r="AO1073" s="115" t="n">
        <x:v>5</x:v>
      </x:c>
      <x:c r="AP1073" s="115" t="n">
        <x:v>3</x:v>
      </x:c>
      <x:c r="AQ1073" s="115" t="n">
        <x:v>4</x:v>
      </x:c>
      <x:c r="AR1073" s="115" t="n">
        <x:v>3</x:v>
      </x:c>
      <x:c r="AS1073" s="115" t="n">
        <x:v>4</x:v>
      </x:c>
      <x:c r="AT1073" s="115" t="n">
        <x:v>2</x:v>
      </x:c>
      <x:c r="AU1073" s="115" t="n">
        <x:v>4</x:v>
      </x:c>
      <x:c r="AV1073" s="115" t="n">
        <x:v>5</x:v>
      </x:c>
      <x:c r="AW1073" s="115" t="n">
        <x:v>4</x:v>
      </x:c>
      <x:c r="AX1073" s="115" t="n">
        <x:v>5</x:v>
      </x:c>
      <x:c r="AY1073" s="115" t="n">
        <x:v>3</x:v>
      </x:c>
      <x:c r="AZ1073" s="115" t="n">
        <x:v>5</x:v>
      </x:c>
      <x:c r="BA1073" s="115" t="n">
        <x:v>3</x:v>
      </x:c>
      <x:c r="BB1073" s="115" t="n">
        <x:v>4</x:v>
      </x:c>
      <x:c r="BC1073" s="115" t="n">
        <x:v>3</x:v>
      </x:c>
      <x:c r="BD1073" s="115" t="n">
        <x:v>4</x:v>
      </x:c>
      <x:c r="BE1073" s="115" t="n">
        <x:v>2</x:v>
      </x:c>
      <x:c r="BF1073" s="115" t="n">
        <x:v>4</x:v>
      </x:c>
      <x:c r="BG1073" s="115" t="n">
        <x:v>5</x:v>
      </x:c>
      <x:c r="BH1073" s="115" t="n">
        <x:v>4</x:v>
      </x:c>
      <x:c r="BI1073" s="115" t="n">
        <x:v>5</x:v>
      </x:c>
      <x:c r="BJ1073" s="115" t="n">
        <x:v>3</x:v>
      </x:c>
      <x:c r="BK1073" s="115" t="n">
        <x:v>5</x:v>
      </x:c>
      <x:c r="BL1073" s="115" t="n">
        <x:v>3</x:v>
      </x:c>
      <x:c r="BM1073" s="115" t="n">
        <x:v>4</x:v>
      </x:c>
      <x:c r="BN1073" s="115" t="n">
        <x:v>3</x:v>
      </x:c>
      <x:c r="BO1073" s="115" t="n">
        <x:v>4</x:v>
      </x:c>
      <x:c r="BP1073" s="115" t="n">
        <x:v>2</x:v>
      </x:c>
      <x:c r="BQ1073" s="115" t="n">
        <x:v>4</x:v>
      </x:c>
      <x:c r="BR1073" s="115" t="n">
        <x:v>5</x:v>
      </x:c>
      <x:c r="BS1073" s="115" t="n">
        <x:v>4</x:v>
      </x:c>
      <x:c r="BT1073" s="115" t="n">
        <x:v>5</x:v>
      </x:c>
      <x:c r="BU1073" s="115" t="n">
        <x:v>3</x:v>
      </x:c>
      <x:c r="BV1073" s="115" t="n">
        <x:v>5</x:v>
      </x:c>
      <x:c r="BW1073" s="115" t="n">
        <x:v>3</x:v>
      </x:c>
      <x:c r="BX1073" s="115" t="n">
        <x:v>4</x:v>
      </x:c>
      <x:c r="BY1073" s="115" t="n">
        <x:v>3</x:v>
      </x:c>
      <x:c r="BZ1073" s="115" t="n">
        <x:v>4</x:v>
      </x:c>
      <x:c r="CA1073" s="115" t="n">
        <x:v>2</x:v>
      </x:c>
      <x:c r="CB1073" s="116" t="n">
        <x:v>4</x:v>
      </x:c>
      <x:c r="CC1073" s="141" t="n">
        <x:f>IF(COUNT(G1073:P1073)=0,"",AVERAGE(G1073:P1073)*4)</x:f>
        <x:v>14.8</x:v>
      </x:c>
      <x:c r="CD1073" s="178" t="n">
        <x:f>IF(COUNT(Q1073:Z1073)=0,"",AVERAGE(Q1073:Z1073)*4)</x:f>
        <x:v>15.2</x:v>
      </x:c>
      <x:c r="CE1073" s="178" t="n">
        <x:f>IF(COUNT(AA1073:AJ1073)=0,"",AVERAGE(AA1073:AJ1073)*4)</x:f>
        <x:v>14.8</x:v>
      </x:c>
      <x:c r="CF1073" s="178" t="n">
        <x:f>IF(COUNT(AK1073:AR1073)=0,"",AVERAGE(AK1073:AR1073)*4)</x:f>
        <x:v>16</x:v>
      </x:c>
      <x:c r="CG1073" s="178" t="n">
        <x:f>IF(COUNT(AS1073:AY1073)=0,"",AVERAGE(AS1073:AY1073)*4)</x:f>
        <x:v>15.428571428571429</x:v>
      </x:c>
      <x:c r="CH1073" s="178" t="n">
        <x:f>IF(COUNT(AZ1073:BG1073)=0,"",AVERAGE(AZ1073:BG1073)*4)</x:f>
        <x:v>15</x:v>
      </x:c>
      <x:c r="CI1073" s="178" t="n">
        <x:f>IF(COUNT(BH1073:BN1073)=0,"",AVERAGE(BH1073:BN1073)*4)</x:f>
        <x:v>15.428571428571429</x:v>
      </x:c>
      <x:c r="CJ1073" s="178" t="n">
        <x:f>IF(COUNT(BO1073:BU1073)=0,"",AVERAGE(BO1073:BU1073)*4)</x:f>
        <x:v>15.428571428571429</x:v>
      </x:c>
      <x:c r="CK1073" s="178" t="n">
        <x:f>IF(COUNT(BV1073:CB1073)=0,"",AVERAGE(BV1073:CB1073)*4)</x:f>
        <x:v>14.285714285714286</x:v>
      </x:c>
      <x:c r="CL1073" s="178" t="n">
        <x:f>IF(C1073="","",IF(COUNT(G1073:CB1073)&lt;74,"",(CC1073*'تنظیمات وزن‌دهی'!$C$5+CD1073*'تنظیمات وزن‌دهی'!$C$6+CE1073*'تنظیمات وزن‌دهی'!$C$7+CF1073*'تنظیمات وزن‌دهی'!$C$8+CG1073*'تنظیمات وزن‌دهی'!$C$9+CH1073*'تنظیمات وزن‌دهی'!$C$10+CI1073*'تنظیمات وزن‌دهی'!$C$11+CJ1073*'تنظیمات وزن‌دهی'!$C$12+CK1073*'تنظیمات وزن‌دهی'!$C$13)/100))</x:f>
        <x:v>15.145714285714286</x:v>
      </x:c>
      <x:c r="CM1073" s="178" t="str">
        <x:f>IF(C1073="","",IF(COUNT(G1073:CB1073)=0,"",IF(COUNT(G1073:CB1073)&lt;74,"موقت - اطلاعات ناقص",IF(CL1073&gt;=17,"عالی",IF(CL1073&gt;=14,"خوب",IF(CL1073&gt;=10,"متوسط","ضعیف"))))))</x:f>
        <x:v>خوب</x:v>
      </x:c>
      <x:c r="CN1073" s="178" t="n">
        <x:v>1</x:v>
      </x:c>
      <x:c r="CO1073" s="142" t="n">
        <x:f>IF(C1073="","",COUNT(G1073:CB1073)/74)</x:f>
        <x:v>1</x:v>
      </x:c>
      <x:c r="CP1073" s="245" t="str">
        <x:v>داده نمونه کامل برای ماه تیر - دانش‌آموز شماره 90</x:v>
      </x:c>
    </x:row>
    <x:row r="1074">
      <x:c r="A1074" s="165" t="n">
        <x:v>1070</x:v>
      </x:c>
      <x:c r="B1074" s="233" t="str">
        <x:v>مرداد</x:v>
      </x:c>
      <x:c r="C1074" s="233" t="n">
        <x:f>IF('دانش‌آموزان'!E94="","",'دانش‌آموزان'!B94)</x:f>
        <x:v>90</x:v>
      </x:c>
      <x:c r="D1074" s="233" t="str">
        <x:f>IF('دانش‌آموزان'!C94="","",'دانش‌آموزان'!C94)</x:f>
        <x:v>4000000901</x:v>
      </x:c>
      <x:c r="E1074" s="233" t="str">
        <x:f>IF('دانش‌آموزان'!E94="","",'دانش‌آموزان'!E94&amp;" "&amp;'دانش‌آموزان'!F94)</x:f>
        <x:v>هلیا کریمی</x:v>
      </x:c>
      <x:c r="F1074" s="166" t="str">
        <x:f>IF('دانش‌آموزان'!I94="","",'دانش‌آموزان'!I94)</x:f>
        <x:v>sample-7-d</x:v>
      </x:c>
      <x:c r="G1074" s="114"/>
      <x:c r="H1074" s="115"/>
      <x:c r="I1074" s="115"/>
      <x:c r="J1074" s="115"/>
      <x:c r="K1074" s="115"/>
      <x:c r="L1074" s="115"/>
      <x:c r="M1074" s="115"/>
      <x:c r="N1074" s="115"/>
      <x:c r="O1074" s="115"/>
      <x:c r="P1074" s="115"/>
      <x:c r="Q1074" s="115"/>
      <x:c r="R1074" s="115"/>
      <x:c r="S1074" s="115"/>
      <x:c r="T1074" s="115"/>
      <x:c r="U1074" s="115"/>
      <x:c r="V1074" s="115"/>
      <x:c r="W1074" s="115"/>
      <x:c r="X1074" s="115"/>
      <x:c r="Y1074" s="115"/>
      <x:c r="Z1074" s="115"/>
      <x:c r="AA1074" s="115"/>
      <x:c r="AB1074" s="115"/>
      <x:c r="AC1074" s="115"/>
      <x:c r="AD1074" s="115"/>
      <x:c r="AE1074" s="115"/>
      <x:c r="AF1074" s="115"/>
      <x:c r="AG1074" s="115"/>
      <x:c r="AH1074" s="115"/>
      <x:c r="AI1074" s="115"/>
      <x:c r="AJ1074" s="115"/>
      <x:c r="AK1074" s="115"/>
      <x:c r="AL1074" s="115"/>
      <x:c r="AM1074" s="115"/>
      <x:c r="AN1074" s="115"/>
      <x:c r="AO1074" s="115"/>
      <x:c r="AP1074" s="115"/>
      <x:c r="AQ1074" s="115"/>
      <x:c r="AR1074" s="115"/>
      <x:c r="AS1074" s="115"/>
      <x:c r="AT1074" s="115"/>
      <x:c r="AU1074" s="115"/>
      <x:c r="AV1074" s="115"/>
      <x:c r="AW1074" s="115"/>
      <x:c r="AX1074" s="115"/>
      <x:c r="AY1074" s="115"/>
      <x:c r="AZ1074" s="115"/>
      <x:c r="BA1074" s="115"/>
      <x:c r="BB1074" s="115"/>
      <x:c r="BC1074" s="115"/>
      <x:c r="BD1074" s="115"/>
      <x:c r="BE1074" s="115"/>
      <x:c r="BF1074" s="115"/>
      <x:c r="BG1074" s="115"/>
      <x:c r="BH1074" s="115"/>
      <x:c r="BI1074" s="115"/>
      <x:c r="BJ1074" s="115"/>
      <x:c r="BK1074" s="115"/>
      <x:c r="BL1074" s="115"/>
      <x:c r="BM1074" s="115"/>
      <x:c r="BN1074" s="115"/>
      <x:c r="BO1074" s="115"/>
      <x:c r="BP1074" s="115"/>
      <x:c r="BQ1074" s="115"/>
      <x:c r="BR1074" s="115"/>
      <x:c r="BS1074" s="115"/>
      <x:c r="BT1074" s="115"/>
      <x:c r="BU1074" s="115"/>
      <x:c r="BV1074" s="115"/>
      <x:c r="BW1074" s="115"/>
      <x:c r="BX1074" s="115"/>
      <x:c r="BY1074" s="115"/>
      <x:c r="BZ1074" s="115"/>
      <x:c r="CA1074" s="115"/>
      <x:c r="CB1074" s="116"/>
      <x:c r="CC1074" s="141" t="str">
        <x:f>IF(COUNT(G1074:P1074)=0,"",AVERAGE(G1074:P1074)*4)</x:f>
      </x:c>
      <x:c r="CD1074" s="178" t="str">
        <x:f>IF(COUNT(Q1074:Z1074)=0,"",AVERAGE(Q1074:Z1074)*4)</x:f>
      </x:c>
      <x:c r="CE1074" s="178" t="str">
        <x:f>IF(COUNT(AA1074:AJ1074)=0,"",AVERAGE(AA1074:AJ1074)*4)</x:f>
      </x:c>
      <x:c r="CF1074" s="178" t="str">
        <x:f>IF(COUNT(AK1074:AR1074)=0,"",AVERAGE(AK1074:AR1074)*4)</x:f>
      </x:c>
      <x:c r="CG1074" s="178" t="str">
        <x:f>IF(COUNT(AS1074:AY1074)=0,"",AVERAGE(AS1074:AY1074)*4)</x:f>
      </x:c>
      <x:c r="CH1074" s="178" t="str">
        <x:f>IF(COUNT(AZ1074:BG1074)=0,"",AVERAGE(AZ1074:BG1074)*4)</x:f>
      </x:c>
      <x:c r="CI1074" s="178" t="str">
        <x:f>IF(COUNT(BH1074:BN1074)=0,"",AVERAGE(BH1074:BN1074)*4)</x:f>
      </x:c>
      <x:c r="CJ1074" s="178" t="str">
        <x:f>IF(COUNT(BO1074:BU1074)=0,"",AVERAGE(BO1074:BU1074)*4)</x:f>
      </x:c>
      <x:c r="CK1074" s="178" t="str">
        <x:f>IF(COUNT(BV1074:CB1074)=0,"",AVERAGE(BV1074:CB1074)*4)</x:f>
      </x:c>
      <x:c r="CL1074" s="178" t="str">
        <x:f>IF(C1074="","",IF(COUNT(G1074:CB1074)&lt;74,"",(CC1074*'تنظیمات وزن‌دهی'!$C$5+CD1074*'تنظیمات وزن‌دهی'!$C$6+CE1074*'تنظیمات وزن‌دهی'!$C$7+CF1074*'تنظیمات وزن‌دهی'!$C$8+CG1074*'تنظیمات وزن‌دهی'!$C$9+CH1074*'تنظیمات وزن‌دهی'!$C$10+CI1074*'تنظیمات وزن‌دهی'!$C$11+CJ1074*'تنظیمات وزن‌دهی'!$C$12+CK1074*'تنظیمات وزن‌دهی'!$C$13)/100))</x:f>
      </x:c>
      <x:c r="CM1074" s="178" t="str">
        <x:f>IF(C1074="","",IF(COUNT(G1074:CB1074)=0,"",IF(COUNT(G1074:CB1074)&lt;74,"موقت - اطلاعات ناقص",IF(CL1074&gt;=17,"عالی",IF(CL1074&gt;=14,"خوب",IF(CL1074&gt;=10,"متوسط","ضعیف"))))))</x:f>
      </x:c>
      <x:c r="CN1074" s="178" t="n">
        <x:v>2</x:v>
      </x:c>
      <x:c r="CO1074" s="142" t="n">
        <x:f>IF(C1074="","",COUNT(G1074:CB1074)/74)</x:f>
        <x:v>0</x:v>
      </x:c>
      <x:c r="CP1074" s="245"/>
    </x:row>
    <x:row r="1075">
      <x:c r="A1075" s="165" t="n">
        <x:v>1071</x:v>
      </x:c>
      <x:c r="B1075" s="233" t="str">
        <x:v>شهریور</x:v>
      </x:c>
      <x:c r="C1075" s="233" t="n">
        <x:f>IF('دانش‌آموزان'!E94="","",'دانش‌آموزان'!B94)</x:f>
        <x:v>90</x:v>
      </x:c>
      <x:c r="D1075" s="233" t="str">
        <x:f>IF('دانش‌آموزان'!C94="","",'دانش‌آموزان'!C94)</x:f>
        <x:v>4000000901</x:v>
      </x:c>
      <x:c r="E1075" s="233" t="str">
        <x:f>IF('دانش‌آموزان'!E94="","",'دانش‌آموزان'!E94&amp;" "&amp;'دانش‌آموزان'!F94)</x:f>
        <x:v>هلیا کریمی</x:v>
      </x:c>
      <x:c r="F1075" s="166" t="str">
        <x:f>IF('دانش‌آموزان'!I94="","",'دانش‌آموزان'!I94)</x:f>
        <x:v>sample-7-d</x:v>
      </x:c>
      <x:c r="G1075" s="114"/>
      <x:c r="H1075" s="115"/>
      <x:c r="I1075" s="115"/>
      <x:c r="J1075" s="115"/>
      <x:c r="K1075" s="115"/>
      <x:c r="L1075" s="115"/>
      <x:c r="M1075" s="115"/>
      <x:c r="N1075" s="115"/>
      <x:c r="O1075" s="115"/>
      <x:c r="P1075" s="115"/>
      <x:c r="Q1075" s="115"/>
      <x:c r="R1075" s="115"/>
      <x:c r="S1075" s="115"/>
      <x:c r="T1075" s="115"/>
      <x:c r="U1075" s="115"/>
      <x:c r="V1075" s="115"/>
      <x:c r="W1075" s="115"/>
      <x:c r="X1075" s="115"/>
      <x:c r="Y1075" s="115"/>
      <x:c r="Z1075" s="115"/>
      <x:c r="AA1075" s="115"/>
      <x:c r="AB1075" s="115"/>
      <x:c r="AC1075" s="115"/>
      <x:c r="AD1075" s="115"/>
      <x:c r="AE1075" s="115"/>
      <x:c r="AF1075" s="115"/>
      <x:c r="AG1075" s="115"/>
      <x:c r="AH1075" s="115"/>
      <x:c r="AI1075" s="115"/>
      <x:c r="AJ1075" s="115"/>
      <x:c r="AK1075" s="115"/>
      <x:c r="AL1075" s="115"/>
      <x:c r="AM1075" s="115"/>
      <x:c r="AN1075" s="115"/>
      <x:c r="AO1075" s="115"/>
      <x:c r="AP1075" s="115"/>
      <x:c r="AQ1075" s="115"/>
      <x:c r="AR1075" s="115"/>
      <x:c r="AS1075" s="115"/>
      <x:c r="AT1075" s="115"/>
      <x:c r="AU1075" s="115"/>
      <x:c r="AV1075" s="115"/>
      <x:c r="AW1075" s="115"/>
      <x:c r="AX1075" s="115"/>
      <x:c r="AY1075" s="115"/>
      <x:c r="AZ1075" s="115"/>
      <x:c r="BA1075" s="115"/>
      <x:c r="BB1075" s="115"/>
      <x:c r="BC1075" s="115"/>
      <x:c r="BD1075" s="115"/>
      <x:c r="BE1075" s="115"/>
      <x:c r="BF1075" s="115"/>
      <x:c r="BG1075" s="115"/>
      <x:c r="BH1075" s="115"/>
      <x:c r="BI1075" s="115"/>
      <x:c r="BJ1075" s="115"/>
      <x:c r="BK1075" s="115"/>
      <x:c r="BL1075" s="115"/>
      <x:c r="BM1075" s="115"/>
      <x:c r="BN1075" s="115"/>
      <x:c r="BO1075" s="115"/>
      <x:c r="BP1075" s="115"/>
      <x:c r="BQ1075" s="115"/>
      <x:c r="BR1075" s="115"/>
      <x:c r="BS1075" s="115"/>
      <x:c r="BT1075" s="115"/>
      <x:c r="BU1075" s="115"/>
      <x:c r="BV1075" s="115"/>
      <x:c r="BW1075" s="115"/>
      <x:c r="BX1075" s="115"/>
      <x:c r="BY1075" s="115"/>
      <x:c r="BZ1075" s="115"/>
      <x:c r="CA1075" s="115"/>
      <x:c r="CB1075" s="116"/>
      <x:c r="CC1075" s="141" t="str">
        <x:f>IF(COUNT(G1075:P1075)=0,"",AVERAGE(G1075:P1075)*4)</x:f>
      </x:c>
      <x:c r="CD1075" s="178" t="str">
        <x:f>IF(COUNT(Q1075:Z1075)=0,"",AVERAGE(Q1075:Z1075)*4)</x:f>
      </x:c>
      <x:c r="CE1075" s="178" t="str">
        <x:f>IF(COUNT(AA1075:AJ1075)=0,"",AVERAGE(AA1075:AJ1075)*4)</x:f>
      </x:c>
      <x:c r="CF1075" s="178" t="str">
        <x:f>IF(COUNT(AK1075:AR1075)=0,"",AVERAGE(AK1075:AR1075)*4)</x:f>
      </x:c>
      <x:c r="CG1075" s="178" t="str">
        <x:f>IF(COUNT(AS1075:AY1075)=0,"",AVERAGE(AS1075:AY1075)*4)</x:f>
      </x:c>
      <x:c r="CH1075" s="178" t="str">
        <x:f>IF(COUNT(AZ1075:BG1075)=0,"",AVERAGE(AZ1075:BG1075)*4)</x:f>
      </x:c>
      <x:c r="CI1075" s="178" t="str">
        <x:f>IF(COUNT(BH1075:BN1075)=0,"",AVERAGE(BH1075:BN1075)*4)</x:f>
      </x:c>
      <x:c r="CJ1075" s="178" t="str">
        <x:f>IF(COUNT(BO1075:BU1075)=0,"",AVERAGE(BO1075:BU1075)*4)</x:f>
      </x:c>
      <x:c r="CK1075" s="178" t="str">
        <x:f>IF(COUNT(BV1075:CB1075)=0,"",AVERAGE(BV1075:CB1075)*4)</x:f>
      </x:c>
      <x:c r="CL1075" s="178" t="str">
        <x:f>IF(C1075="","",IF(COUNT(G1075:CB1075)&lt;74,"",(CC1075*'تنظیمات وزن‌دهی'!$C$5+CD1075*'تنظیمات وزن‌دهی'!$C$6+CE1075*'تنظیمات وزن‌دهی'!$C$7+CF1075*'تنظیمات وزن‌دهی'!$C$8+CG1075*'تنظیمات وزن‌دهی'!$C$9+CH1075*'تنظیمات وزن‌دهی'!$C$10+CI1075*'تنظیمات وزن‌دهی'!$C$11+CJ1075*'تنظیمات وزن‌دهی'!$C$12+CK1075*'تنظیمات وزن‌دهی'!$C$13)/100))</x:f>
      </x:c>
      <x:c r="CM1075" s="178" t="str">
        <x:f>IF(C1075="","",IF(COUNT(G1075:CB1075)=0,"",IF(COUNT(G1075:CB1075)&lt;74,"موقت - اطلاعات ناقص",IF(CL1075&gt;=17,"عالی",IF(CL1075&gt;=14,"خوب",IF(CL1075&gt;=10,"متوسط","ضعیف"))))))</x:f>
      </x:c>
      <x:c r="CN1075" s="178" t="n">
        <x:v>3</x:v>
      </x:c>
      <x:c r="CO1075" s="142" t="n">
        <x:f>IF(C1075="","",COUNT(G1075:CB1075)/74)</x:f>
        <x:v>0</x:v>
      </x:c>
      <x:c r="CP1075" s="245"/>
    </x:row>
    <x:row r="1076">
      <x:c r="A1076" s="165" t="n">
        <x:v>1072</x:v>
      </x:c>
      <x:c r="B1076" s="233" t="str">
        <x:v>مهر</x:v>
      </x:c>
      <x:c r="C1076" s="233" t="n">
        <x:f>IF('دانش‌آموزان'!E94="","",'دانش‌آموزان'!B94)</x:f>
        <x:v>90</x:v>
      </x:c>
      <x:c r="D1076" s="233" t="str">
        <x:f>IF('دانش‌آموزان'!C94="","",'دانش‌آموزان'!C94)</x:f>
        <x:v>4000000901</x:v>
      </x:c>
      <x:c r="E1076" s="233" t="str">
        <x:f>IF('دانش‌آموزان'!E94="","",'دانش‌آموزان'!E94&amp;" "&amp;'دانش‌آموزان'!F94)</x:f>
        <x:v>هلیا کریمی</x:v>
      </x:c>
      <x:c r="F1076" s="166" t="str">
        <x:f>IF('دانش‌آموزان'!I94="","",'دانش‌آموزان'!I94)</x:f>
        <x:v>sample-7-d</x:v>
      </x:c>
      <x:c r="G1076" s="114"/>
      <x:c r="H1076" s="115"/>
      <x:c r="I1076" s="115"/>
      <x:c r="J1076" s="115"/>
      <x:c r="K1076" s="115"/>
      <x:c r="L1076" s="115"/>
      <x:c r="M1076" s="115"/>
      <x:c r="N1076" s="115"/>
      <x:c r="O1076" s="115"/>
      <x:c r="P1076" s="115"/>
      <x:c r="Q1076" s="115"/>
      <x:c r="R1076" s="115"/>
      <x:c r="S1076" s="115"/>
      <x:c r="T1076" s="115"/>
      <x:c r="U1076" s="115"/>
      <x:c r="V1076" s="115"/>
      <x:c r="W1076" s="115"/>
      <x:c r="X1076" s="115"/>
      <x:c r="Y1076" s="115"/>
      <x:c r="Z1076" s="115"/>
      <x:c r="AA1076" s="115"/>
      <x:c r="AB1076" s="115"/>
      <x:c r="AC1076" s="115"/>
      <x:c r="AD1076" s="115"/>
      <x:c r="AE1076" s="115"/>
      <x:c r="AF1076" s="115"/>
      <x:c r="AG1076" s="115"/>
      <x:c r="AH1076" s="115"/>
      <x:c r="AI1076" s="115"/>
      <x:c r="AJ1076" s="115"/>
      <x:c r="AK1076" s="115"/>
      <x:c r="AL1076" s="115"/>
      <x:c r="AM1076" s="115"/>
      <x:c r="AN1076" s="115"/>
      <x:c r="AO1076" s="115"/>
      <x:c r="AP1076" s="115"/>
      <x:c r="AQ1076" s="115"/>
      <x:c r="AR1076" s="115"/>
      <x:c r="AS1076" s="115"/>
      <x:c r="AT1076" s="115"/>
      <x:c r="AU1076" s="115"/>
      <x:c r="AV1076" s="115"/>
      <x:c r="AW1076" s="115"/>
      <x:c r="AX1076" s="115"/>
      <x:c r="AY1076" s="115"/>
      <x:c r="AZ1076" s="115"/>
      <x:c r="BA1076" s="115"/>
      <x:c r="BB1076" s="115"/>
      <x:c r="BC1076" s="115"/>
      <x:c r="BD1076" s="115"/>
      <x:c r="BE1076" s="115"/>
      <x:c r="BF1076" s="115"/>
      <x:c r="BG1076" s="115"/>
      <x:c r="BH1076" s="115"/>
      <x:c r="BI1076" s="115"/>
      <x:c r="BJ1076" s="115"/>
      <x:c r="BK1076" s="115"/>
      <x:c r="BL1076" s="115"/>
      <x:c r="BM1076" s="115"/>
      <x:c r="BN1076" s="115"/>
      <x:c r="BO1076" s="115"/>
      <x:c r="BP1076" s="115"/>
      <x:c r="BQ1076" s="115"/>
      <x:c r="BR1076" s="115"/>
      <x:c r="BS1076" s="115"/>
      <x:c r="BT1076" s="115"/>
      <x:c r="BU1076" s="115"/>
      <x:c r="BV1076" s="115"/>
      <x:c r="BW1076" s="115"/>
      <x:c r="BX1076" s="115"/>
      <x:c r="BY1076" s="115"/>
      <x:c r="BZ1076" s="115"/>
      <x:c r="CA1076" s="115"/>
      <x:c r="CB1076" s="116"/>
      <x:c r="CC1076" s="141" t="str">
        <x:f>IF(COUNT(G1076:P1076)=0,"",AVERAGE(G1076:P1076)*4)</x:f>
      </x:c>
      <x:c r="CD1076" s="178" t="str">
        <x:f>IF(COUNT(Q1076:Z1076)=0,"",AVERAGE(Q1076:Z1076)*4)</x:f>
      </x:c>
      <x:c r="CE1076" s="178" t="str">
        <x:f>IF(COUNT(AA1076:AJ1076)=0,"",AVERAGE(AA1076:AJ1076)*4)</x:f>
      </x:c>
      <x:c r="CF1076" s="178" t="str">
        <x:f>IF(COUNT(AK1076:AR1076)=0,"",AVERAGE(AK1076:AR1076)*4)</x:f>
      </x:c>
      <x:c r="CG1076" s="178" t="str">
        <x:f>IF(COUNT(AS1076:AY1076)=0,"",AVERAGE(AS1076:AY1076)*4)</x:f>
      </x:c>
      <x:c r="CH1076" s="178" t="str">
        <x:f>IF(COUNT(AZ1076:BG1076)=0,"",AVERAGE(AZ1076:BG1076)*4)</x:f>
      </x:c>
      <x:c r="CI1076" s="178" t="str">
        <x:f>IF(COUNT(BH1076:BN1076)=0,"",AVERAGE(BH1076:BN1076)*4)</x:f>
      </x:c>
      <x:c r="CJ1076" s="178" t="str">
        <x:f>IF(COUNT(BO1076:BU1076)=0,"",AVERAGE(BO1076:BU1076)*4)</x:f>
      </x:c>
      <x:c r="CK1076" s="178" t="str">
        <x:f>IF(COUNT(BV1076:CB1076)=0,"",AVERAGE(BV1076:CB1076)*4)</x:f>
      </x:c>
      <x:c r="CL1076" s="178" t="str">
        <x:f>IF(C1076="","",IF(COUNT(G1076:CB1076)&lt;74,"",(CC1076*'تنظیمات وزن‌دهی'!$C$5+CD1076*'تنظیمات وزن‌دهی'!$C$6+CE1076*'تنظیمات وزن‌دهی'!$C$7+CF1076*'تنظیمات وزن‌دهی'!$C$8+CG1076*'تنظیمات وزن‌دهی'!$C$9+CH1076*'تنظیمات وزن‌دهی'!$C$10+CI1076*'تنظیمات وزن‌دهی'!$C$11+CJ1076*'تنظیمات وزن‌دهی'!$C$12+CK1076*'تنظیمات وزن‌دهی'!$C$13)/100))</x:f>
      </x:c>
      <x:c r="CM1076" s="178" t="str">
        <x:f>IF(C1076="","",IF(COUNT(G1076:CB1076)=0,"",IF(COUNT(G1076:CB1076)&lt;74,"موقت - اطلاعات ناقص",IF(CL1076&gt;=17,"عالی",IF(CL1076&gt;=14,"خوب",IF(CL1076&gt;=10,"متوسط","ضعیف"))))))</x:f>
      </x:c>
      <x:c r="CN1076" s="178" t="n">
        <x:v>4</x:v>
      </x:c>
      <x:c r="CO1076" s="142" t="n">
        <x:f>IF(C1076="","",COUNT(G1076:CB1076)/74)</x:f>
        <x:v>0</x:v>
      </x:c>
      <x:c r="CP1076" s="245"/>
    </x:row>
    <x:row r="1077">
      <x:c r="A1077" s="165" t="n">
        <x:v>1073</x:v>
      </x:c>
      <x:c r="B1077" s="233" t="str">
        <x:v>آبان</x:v>
      </x:c>
      <x:c r="C1077" s="233" t="n">
        <x:f>IF('دانش‌آموزان'!E94="","",'دانش‌آموزان'!B94)</x:f>
        <x:v>90</x:v>
      </x:c>
      <x:c r="D1077" s="233" t="str">
        <x:f>IF('دانش‌آموزان'!C94="","",'دانش‌آموزان'!C94)</x:f>
        <x:v>4000000901</x:v>
      </x:c>
      <x:c r="E1077" s="233" t="str">
        <x:f>IF('دانش‌آموزان'!E94="","",'دانش‌آموزان'!E94&amp;" "&amp;'دانش‌آموزان'!F94)</x:f>
        <x:v>هلیا کریمی</x:v>
      </x:c>
      <x:c r="F1077" s="166" t="str">
        <x:f>IF('دانش‌آموزان'!I94="","",'دانش‌آموزان'!I94)</x:f>
        <x:v>sample-7-d</x:v>
      </x:c>
      <x:c r="G1077" s="114"/>
      <x:c r="H1077" s="115"/>
      <x:c r="I1077" s="115"/>
      <x:c r="J1077" s="115"/>
      <x:c r="K1077" s="115"/>
      <x:c r="L1077" s="115"/>
      <x:c r="M1077" s="115"/>
      <x:c r="N1077" s="115"/>
      <x:c r="O1077" s="115"/>
      <x:c r="P1077" s="115"/>
      <x:c r="Q1077" s="115"/>
      <x:c r="R1077" s="115"/>
      <x:c r="S1077" s="115"/>
      <x:c r="T1077" s="115"/>
      <x:c r="U1077" s="115"/>
      <x:c r="V1077" s="115"/>
      <x:c r="W1077" s="115"/>
      <x:c r="X1077" s="115"/>
      <x:c r="Y1077" s="115"/>
      <x:c r="Z1077" s="115"/>
      <x:c r="AA1077" s="115"/>
      <x:c r="AB1077" s="115"/>
      <x:c r="AC1077" s="115"/>
      <x:c r="AD1077" s="115"/>
      <x:c r="AE1077" s="115"/>
      <x:c r="AF1077" s="115"/>
      <x:c r="AG1077" s="115"/>
      <x:c r="AH1077" s="115"/>
      <x:c r="AI1077" s="115"/>
      <x:c r="AJ1077" s="115"/>
      <x:c r="AK1077" s="115"/>
      <x:c r="AL1077" s="115"/>
      <x:c r="AM1077" s="115"/>
      <x:c r="AN1077" s="115"/>
      <x:c r="AO1077" s="115"/>
      <x:c r="AP1077" s="115"/>
      <x:c r="AQ1077" s="115"/>
      <x:c r="AR1077" s="115"/>
      <x:c r="AS1077" s="115"/>
      <x:c r="AT1077" s="115"/>
      <x:c r="AU1077" s="115"/>
      <x:c r="AV1077" s="115"/>
      <x:c r="AW1077" s="115"/>
      <x:c r="AX1077" s="115"/>
      <x:c r="AY1077" s="115"/>
      <x:c r="AZ1077" s="115"/>
      <x:c r="BA1077" s="115"/>
      <x:c r="BB1077" s="115"/>
      <x:c r="BC1077" s="115"/>
      <x:c r="BD1077" s="115"/>
      <x:c r="BE1077" s="115"/>
      <x:c r="BF1077" s="115"/>
      <x:c r="BG1077" s="115"/>
      <x:c r="BH1077" s="115"/>
      <x:c r="BI1077" s="115"/>
      <x:c r="BJ1077" s="115"/>
      <x:c r="BK1077" s="115"/>
      <x:c r="BL1077" s="115"/>
      <x:c r="BM1077" s="115"/>
      <x:c r="BN1077" s="115"/>
      <x:c r="BO1077" s="115"/>
      <x:c r="BP1077" s="115"/>
      <x:c r="BQ1077" s="115"/>
      <x:c r="BR1077" s="115"/>
      <x:c r="BS1077" s="115"/>
      <x:c r="BT1077" s="115"/>
      <x:c r="BU1077" s="115"/>
      <x:c r="BV1077" s="115"/>
      <x:c r="BW1077" s="115"/>
      <x:c r="BX1077" s="115"/>
      <x:c r="BY1077" s="115"/>
      <x:c r="BZ1077" s="115"/>
      <x:c r="CA1077" s="115"/>
      <x:c r="CB1077" s="116"/>
      <x:c r="CC1077" s="141" t="str">
        <x:f>IF(COUNT(G1077:P1077)=0,"",AVERAGE(G1077:P1077)*4)</x:f>
      </x:c>
      <x:c r="CD1077" s="178" t="str">
        <x:f>IF(COUNT(Q1077:Z1077)=0,"",AVERAGE(Q1077:Z1077)*4)</x:f>
      </x:c>
      <x:c r="CE1077" s="178" t="str">
        <x:f>IF(COUNT(AA1077:AJ1077)=0,"",AVERAGE(AA1077:AJ1077)*4)</x:f>
      </x:c>
      <x:c r="CF1077" s="178" t="str">
        <x:f>IF(COUNT(AK1077:AR1077)=0,"",AVERAGE(AK1077:AR1077)*4)</x:f>
      </x:c>
      <x:c r="CG1077" s="178" t="str">
        <x:f>IF(COUNT(AS1077:AY1077)=0,"",AVERAGE(AS1077:AY1077)*4)</x:f>
      </x:c>
      <x:c r="CH1077" s="178" t="str">
        <x:f>IF(COUNT(AZ1077:BG1077)=0,"",AVERAGE(AZ1077:BG1077)*4)</x:f>
      </x:c>
      <x:c r="CI1077" s="178" t="str">
        <x:f>IF(COUNT(BH1077:BN1077)=0,"",AVERAGE(BH1077:BN1077)*4)</x:f>
      </x:c>
      <x:c r="CJ1077" s="178" t="str">
        <x:f>IF(COUNT(BO1077:BU1077)=0,"",AVERAGE(BO1077:BU1077)*4)</x:f>
      </x:c>
      <x:c r="CK1077" s="178" t="str">
        <x:f>IF(COUNT(BV1077:CB1077)=0,"",AVERAGE(BV1077:CB1077)*4)</x:f>
      </x:c>
      <x:c r="CL1077" s="178" t="str">
        <x:f>IF(C1077="","",IF(COUNT(G1077:CB1077)&lt;74,"",(CC1077*'تنظیمات وزن‌دهی'!$C$5+CD1077*'تنظیمات وزن‌دهی'!$C$6+CE1077*'تنظیمات وزن‌دهی'!$C$7+CF1077*'تنظیمات وزن‌دهی'!$C$8+CG1077*'تنظیمات وزن‌دهی'!$C$9+CH1077*'تنظیمات وزن‌دهی'!$C$10+CI1077*'تنظیمات وزن‌دهی'!$C$11+CJ1077*'تنظیمات وزن‌دهی'!$C$12+CK1077*'تنظیمات وزن‌دهی'!$C$13)/100))</x:f>
      </x:c>
      <x:c r="CM1077" s="178" t="str">
        <x:f>IF(C1077="","",IF(COUNT(G1077:CB1077)=0,"",IF(COUNT(G1077:CB1077)&lt;74,"موقت - اطلاعات ناقص",IF(CL1077&gt;=17,"عالی",IF(CL1077&gt;=14,"خوب",IF(CL1077&gt;=10,"متوسط","ضعیف"))))))</x:f>
      </x:c>
      <x:c r="CN1077" s="178" t="n">
        <x:v>5</x:v>
      </x:c>
      <x:c r="CO1077" s="142" t="n">
        <x:f>IF(C1077="","",COUNT(G1077:CB1077)/74)</x:f>
        <x:v>0</x:v>
      </x:c>
      <x:c r="CP1077" s="245"/>
    </x:row>
    <x:row r="1078">
      <x:c r="A1078" s="165" t="n">
        <x:v>1074</x:v>
      </x:c>
      <x:c r="B1078" s="233" t="str">
        <x:v>آذر</x:v>
      </x:c>
      <x:c r="C1078" s="233" t="n">
        <x:f>IF('دانش‌آموزان'!E94="","",'دانش‌آموزان'!B94)</x:f>
        <x:v>90</x:v>
      </x:c>
      <x:c r="D1078" s="233" t="str">
        <x:f>IF('دانش‌آموزان'!C94="","",'دانش‌آموزان'!C94)</x:f>
        <x:v>4000000901</x:v>
      </x:c>
      <x:c r="E1078" s="233" t="str">
        <x:f>IF('دانش‌آموزان'!E94="","",'دانش‌آموزان'!E94&amp;" "&amp;'دانش‌آموزان'!F94)</x:f>
        <x:v>هلیا کریمی</x:v>
      </x:c>
      <x:c r="F1078" s="166" t="str">
        <x:f>IF('دانش‌آموزان'!I94="","",'دانش‌آموزان'!I94)</x:f>
        <x:v>sample-7-d</x:v>
      </x:c>
      <x:c r="G1078" s="114"/>
      <x:c r="H1078" s="115"/>
      <x:c r="I1078" s="115"/>
      <x:c r="J1078" s="115"/>
      <x:c r="K1078" s="115"/>
      <x:c r="L1078" s="115"/>
      <x:c r="M1078" s="115"/>
      <x:c r="N1078" s="115"/>
      <x:c r="O1078" s="115"/>
      <x:c r="P1078" s="115"/>
      <x:c r="Q1078" s="115"/>
      <x:c r="R1078" s="115"/>
      <x:c r="S1078" s="115"/>
      <x:c r="T1078" s="115"/>
      <x:c r="U1078" s="115"/>
      <x:c r="V1078" s="115"/>
      <x:c r="W1078" s="115"/>
      <x:c r="X1078" s="115"/>
      <x:c r="Y1078" s="115"/>
      <x:c r="Z1078" s="115"/>
      <x:c r="AA1078" s="115"/>
      <x:c r="AB1078" s="115"/>
      <x:c r="AC1078" s="115"/>
      <x:c r="AD1078" s="115"/>
      <x:c r="AE1078" s="115"/>
      <x:c r="AF1078" s="115"/>
      <x:c r="AG1078" s="115"/>
      <x:c r="AH1078" s="115"/>
      <x:c r="AI1078" s="115"/>
      <x:c r="AJ1078" s="115"/>
      <x:c r="AK1078" s="115"/>
      <x:c r="AL1078" s="115"/>
      <x:c r="AM1078" s="115"/>
      <x:c r="AN1078" s="115"/>
      <x:c r="AO1078" s="115"/>
      <x:c r="AP1078" s="115"/>
      <x:c r="AQ1078" s="115"/>
      <x:c r="AR1078" s="115"/>
      <x:c r="AS1078" s="115"/>
      <x:c r="AT1078" s="115"/>
      <x:c r="AU1078" s="115"/>
      <x:c r="AV1078" s="115"/>
      <x:c r="AW1078" s="115"/>
      <x:c r="AX1078" s="115"/>
      <x:c r="AY1078" s="115"/>
      <x:c r="AZ1078" s="115"/>
      <x:c r="BA1078" s="115"/>
      <x:c r="BB1078" s="115"/>
      <x:c r="BC1078" s="115"/>
      <x:c r="BD1078" s="115"/>
      <x:c r="BE1078" s="115"/>
      <x:c r="BF1078" s="115"/>
      <x:c r="BG1078" s="115"/>
      <x:c r="BH1078" s="115"/>
      <x:c r="BI1078" s="115"/>
      <x:c r="BJ1078" s="115"/>
      <x:c r="BK1078" s="115"/>
      <x:c r="BL1078" s="115"/>
      <x:c r="BM1078" s="115"/>
      <x:c r="BN1078" s="115"/>
      <x:c r="BO1078" s="115"/>
      <x:c r="BP1078" s="115"/>
      <x:c r="BQ1078" s="115"/>
      <x:c r="BR1078" s="115"/>
      <x:c r="BS1078" s="115"/>
      <x:c r="BT1078" s="115"/>
      <x:c r="BU1078" s="115"/>
      <x:c r="BV1078" s="115"/>
      <x:c r="BW1078" s="115"/>
      <x:c r="BX1078" s="115"/>
      <x:c r="BY1078" s="115"/>
      <x:c r="BZ1078" s="115"/>
      <x:c r="CA1078" s="115"/>
      <x:c r="CB1078" s="116"/>
      <x:c r="CC1078" s="141" t="str">
        <x:f>IF(COUNT(G1078:P1078)=0,"",AVERAGE(G1078:P1078)*4)</x:f>
      </x:c>
      <x:c r="CD1078" s="178" t="str">
        <x:f>IF(COUNT(Q1078:Z1078)=0,"",AVERAGE(Q1078:Z1078)*4)</x:f>
      </x:c>
      <x:c r="CE1078" s="178" t="str">
        <x:f>IF(COUNT(AA1078:AJ1078)=0,"",AVERAGE(AA1078:AJ1078)*4)</x:f>
      </x:c>
      <x:c r="CF1078" s="178" t="str">
        <x:f>IF(COUNT(AK1078:AR1078)=0,"",AVERAGE(AK1078:AR1078)*4)</x:f>
      </x:c>
      <x:c r="CG1078" s="178" t="str">
        <x:f>IF(COUNT(AS1078:AY1078)=0,"",AVERAGE(AS1078:AY1078)*4)</x:f>
      </x:c>
      <x:c r="CH1078" s="178" t="str">
        <x:f>IF(COUNT(AZ1078:BG1078)=0,"",AVERAGE(AZ1078:BG1078)*4)</x:f>
      </x:c>
      <x:c r="CI1078" s="178" t="str">
        <x:f>IF(COUNT(BH1078:BN1078)=0,"",AVERAGE(BH1078:BN1078)*4)</x:f>
      </x:c>
      <x:c r="CJ1078" s="178" t="str">
        <x:f>IF(COUNT(BO1078:BU1078)=0,"",AVERAGE(BO1078:BU1078)*4)</x:f>
      </x:c>
      <x:c r="CK1078" s="178" t="str">
        <x:f>IF(COUNT(BV1078:CB1078)=0,"",AVERAGE(BV1078:CB1078)*4)</x:f>
      </x:c>
      <x:c r="CL1078" s="178" t="str">
        <x:f>IF(C1078="","",IF(COUNT(G1078:CB1078)&lt;74,"",(CC1078*'تنظیمات وزن‌دهی'!$C$5+CD1078*'تنظیمات وزن‌دهی'!$C$6+CE1078*'تنظیمات وزن‌دهی'!$C$7+CF1078*'تنظیمات وزن‌دهی'!$C$8+CG1078*'تنظیمات وزن‌دهی'!$C$9+CH1078*'تنظیمات وزن‌دهی'!$C$10+CI1078*'تنظیمات وزن‌دهی'!$C$11+CJ1078*'تنظیمات وزن‌دهی'!$C$12+CK1078*'تنظیمات وزن‌دهی'!$C$13)/100))</x:f>
      </x:c>
      <x:c r="CM1078" s="178" t="str">
        <x:f>IF(C1078="","",IF(COUNT(G1078:CB1078)=0,"",IF(COUNT(G1078:CB1078)&lt;74,"موقت - اطلاعات ناقص",IF(CL1078&gt;=17,"عالی",IF(CL1078&gt;=14,"خوب",IF(CL1078&gt;=10,"متوسط","ضعیف"))))))</x:f>
      </x:c>
      <x:c r="CN1078" s="178" t="n">
        <x:v>6</x:v>
      </x:c>
      <x:c r="CO1078" s="142" t="n">
        <x:f>IF(C1078="","",COUNT(G1078:CB1078)/74)</x:f>
        <x:v>0</x:v>
      </x:c>
      <x:c r="CP1078" s="245"/>
    </x:row>
    <x:row r="1079">
      <x:c r="A1079" s="165" t="n">
        <x:v>1075</x:v>
      </x:c>
      <x:c r="B1079" s="233" t="str">
        <x:v>دی</x:v>
      </x:c>
      <x:c r="C1079" s="233" t="n">
        <x:f>IF('دانش‌آموزان'!E94="","",'دانش‌آموزان'!B94)</x:f>
        <x:v>90</x:v>
      </x:c>
      <x:c r="D1079" s="233" t="str">
        <x:f>IF('دانش‌آموزان'!C94="","",'دانش‌آموزان'!C94)</x:f>
        <x:v>4000000901</x:v>
      </x:c>
      <x:c r="E1079" s="233" t="str">
        <x:f>IF('دانش‌آموزان'!E94="","",'دانش‌آموزان'!E94&amp;" "&amp;'دانش‌آموزان'!F94)</x:f>
        <x:v>هلیا کریمی</x:v>
      </x:c>
      <x:c r="F1079" s="166" t="str">
        <x:f>IF('دانش‌آموزان'!I94="","",'دانش‌آموزان'!I94)</x:f>
        <x:v>sample-7-d</x:v>
      </x:c>
      <x:c r="G1079" s="114"/>
      <x:c r="H1079" s="115"/>
      <x:c r="I1079" s="115"/>
      <x:c r="J1079" s="115"/>
      <x:c r="K1079" s="115"/>
      <x:c r="L1079" s="115"/>
      <x:c r="M1079" s="115"/>
      <x:c r="N1079" s="115"/>
      <x:c r="O1079" s="115"/>
      <x:c r="P1079" s="115"/>
      <x:c r="Q1079" s="115"/>
      <x:c r="R1079" s="115"/>
      <x:c r="S1079" s="115"/>
      <x:c r="T1079" s="115"/>
      <x:c r="U1079" s="115"/>
      <x:c r="V1079" s="115"/>
      <x:c r="W1079" s="115"/>
      <x:c r="X1079" s="115"/>
      <x:c r="Y1079" s="115"/>
      <x:c r="Z1079" s="115"/>
      <x:c r="AA1079" s="115"/>
      <x:c r="AB1079" s="115"/>
      <x:c r="AC1079" s="115"/>
      <x:c r="AD1079" s="115"/>
      <x:c r="AE1079" s="115"/>
      <x:c r="AF1079" s="115"/>
      <x:c r="AG1079" s="115"/>
      <x:c r="AH1079" s="115"/>
      <x:c r="AI1079" s="115"/>
      <x:c r="AJ1079" s="115"/>
      <x:c r="AK1079" s="115"/>
      <x:c r="AL1079" s="115"/>
      <x:c r="AM1079" s="115"/>
      <x:c r="AN1079" s="115"/>
      <x:c r="AO1079" s="115"/>
      <x:c r="AP1079" s="115"/>
      <x:c r="AQ1079" s="115"/>
      <x:c r="AR1079" s="115"/>
      <x:c r="AS1079" s="115"/>
      <x:c r="AT1079" s="115"/>
      <x:c r="AU1079" s="115"/>
      <x:c r="AV1079" s="115"/>
      <x:c r="AW1079" s="115"/>
      <x:c r="AX1079" s="115"/>
      <x:c r="AY1079" s="115"/>
      <x:c r="AZ1079" s="115"/>
      <x:c r="BA1079" s="115"/>
      <x:c r="BB1079" s="115"/>
      <x:c r="BC1079" s="115"/>
      <x:c r="BD1079" s="115"/>
      <x:c r="BE1079" s="115"/>
      <x:c r="BF1079" s="115"/>
      <x:c r="BG1079" s="115"/>
      <x:c r="BH1079" s="115"/>
      <x:c r="BI1079" s="115"/>
      <x:c r="BJ1079" s="115"/>
      <x:c r="BK1079" s="115"/>
      <x:c r="BL1079" s="115"/>
      <x:c r="BM1079" s="115"/>
      <x:c r="BN1079" s="115"/>
      <x:c r="BO1079" s="115"/>
      <x:c r="BP1079" s="115"/>
      <x:c r="BQ1079" s="115"/>
      <x:c r="BR1079" s="115"/>
      <x:c r="BS1079" s="115"/>
      <x:c r="BT1079" s="115"/>
      <x:c r="BU1079" s="115"/>
      <x:c r="BV1079" s="115"/>
      <x:c r="BW1079" s="115"/>
      <x:c r="BX1079" s="115"/>
      <x:c r="BY1079" s="115"/>
      <x:c r="BZ1079" s="115"/>
      <x:c r="CA1079" s="115"/>
      <x:c r="CB1079" s="116"/>
      <x:c r="CC1079" s="141" t="str">
        <x:f>IF(COUNT(G1079:P1079)=0,"",AVERAGE(G1079:P1079)*4)</x:f>
      </x:c>
      <x:c r="CD1079" s="178" t="str">
        <x:f>IF(COUNT(Q1079:Z1079)=0,"",AVERAGE(Q1079:Z1079)*4)</x:f>
      </x:c>
      <x:c r="CE1079" s="178" t="str">
        <x:f>IF(COUNT(AA1079:AJ1079)=0,"",AVERAGE(AA1079:AJ1079)*4)</x:f>
      </x:c>
      <x:c r="CF1079" s="178" t="str">
        <x:f>IF(COUNT(AK1079:AR1079)=0,"",AVERAGE(AK1079:AR1079)*4)</x:f>
      </x:c>
      <x:c r="CG1079" s="178" t="str">
        <x:f>IF(COUNT(AS1079:AY1079)=0,"",AVERAGE(AS1079:AY1079)*4)</x:f>
      </x:c>
      <x:c r="CH1079" s="178" t="str">
        <x:f>IF(COUNT(AZ1079:BG1079)=0,"",AVERAGE(AZ1079:BG1079)*4)</x:f>
      </x:c>
      <x:c r="CI1079" s="178" t="str">
        <x:f>IF(COUNT(BH1079:BN1079)=0,"",AVERAGE(BH1079:BN1079)*4)</x:f>
      </x:c>
      <x:c r="CJ1079" s="178" t="str">
        <x:f>IF(COUNT(BO1079:BU1079)=0,"",AVERAGE(BO1079:BU1079)*4)</x:f>
      </x:c>
      <x:c r="CK1079" s="178" t="str">
        <x:f>IF(COUNT(BV1079:CB1079)=0,"",AVERAGE(BV1079:CB1079)*4)</x:f>
      </x:c>
      <x:c r="CL1079" s="178" t="str">
        <x:f>IF(C1079="","",IF(COUNT(G1079:CB1079)&lt;74,"",(CC1079*'تنظیمات وزن‌دهی'!$C$5+CD1079*'تنظیمات وزن‌دهی'!$C$6+CE1079*'تنظیمات وزن‌دهی'!$C$7+CF1079*'تنظیمات وزن‌دهی'!$C$8+CG1079*'تنظیمات وزن‌دهی'!$C$9+CH1079*'تنظیمات وزن‌دهی'!$C$10+CI1079*'تنظیمات وزن‌دهی'!$C$11+CJ1079*'تنظیمات وزن‌دهی'!$C$12+CK1079*'تنظیمات وزن‌دهی'!$C$13)/100))</x:f>
      </x:c>
      <x:c r="CM1079" s="178" t="str">
        <x:f>IF(C1079="","",IF(COUNT(G1079:CB1079)=0,"",IF(COUNT(G1079:CB1079)&lt;74,"موقت - اطلاعات ناقص",IF(CL1079&gt;=17,"عالی",IF(CL1079&gt;=14,"خوب",IF(CL1079&gt;=10,"متوسط","ضعیف"))))))</x:f>
      </x:c>
      <x:c r="CN1079" s="178" t="n">
        <x:v>7</x:v>
      </x:c>
      <x:c r="CO1079" s="142" t="n">
        <x:f>IF(C1079="","",COUNT(G1079:CB1079)/74)</x:f>
        <x:v>0</x:v>
      </x:c>
      <x:c r="CP1079" s="245"/>
    </x:row>
    <x:row r="1080">
      <x:c r="A1080" s="165" t="n">
        <x:v>1076</x:v>
      </x:c>
      <x:c r="B1080" s="233" t="str">
        <x:v>بهمن</x:v>
      </x:c>
      <x:c r="C1080" s="233" t="n">
        <x:f>IF('دانش‌آموزان'!E94="","",'دانش‌آموزان'!B94)</x:f>
        <x:v>90</x:v>
      </x:c>
      <x:c r="D1080" s="233" t="str">
        <x:f>IF('دانش‌آموزان'!C94="","",'دانش‌آموزان'!C94)</x:f>
        <x:v>4000000901</x:v>
      </x:c>
      <x:c r="E1080" s="233" t="str">
        <x:f>IF('دانش‌آموزان'!E94="","",'دانش‌آموزان'!E94&amp;" "&amp;'دانش‌آموزان'!F94)</x:f>
        <x:v>هلیا کریمی</x:v>
      </x:c>
      <x:c r="F1080" s="166" t="str">
        <x:f>IF('دانش‌آموزان'!I94="","",'دانش‌آموزان'!I94)</x:f>
        <x:v>sample-7-d</x:v>
      </x:c>
      <x:c r="G1080" s="114"/>
      <x:c r="H1080" s="115"/>
      <x:c r="I1080" s="115"/>
      <x:c r="J1080" s="115"/>
      <x:c r="K1080" s="115"/>
      <x:c r="L1080" s="115"/>
      <x:c r="M1080" s="115"/>
      <x:c r="N1080" s="115"/>
      <x:c r="O1080" s="115"/>
      <x:c r="P1080" s="115"/>
      <x:c r="Q1080" s="115"/>
      <x:c r="R1080" s="115"/>
      <x:c r="S1080" s="115"/>
      <x:c r="T1080" s="115"/>
      <x:c r="U1080" s="115"/>
      <x:c r="V1080" s="115"/>
      <x:c r="W1080" s="115"/>
      <x:c r="X1080" s="115"/>
      <x:c r="Y1080" s="115"/>
      <x:c r="Z1080" s="115"/>
      <x:c r="AA1080" s="115"/>
      <x:c r="AB1080" s="115"/>
      <x:c r="AC1080" s="115"/>
      <x:c r="AD1080" s="115"/>
      <x:c r="AE1080" s="115"/>
      <x:c r="AF1080" s="115"/>
      <x:c r="AG1080" s="115"/>
      <x:c r="AH1080" s="115"/>
      <x:c r="AI1080" s="115"/>
      <x:c r="AJ1080" s="115"/>
      <x:c r="AK1080" s="115"/>
      <x:c r="AL1080" s="115"/>
      <x:c r="AM1080" s="115"/>
      <x:c r="AN1080" s="115"/>
      <x:c r="AO1080" s="115"/>
      <x:c r="AP1080" s="115"/>
      <x:c r="AQ1080" s="115"/>
      <x:c r="AR1080" s="115"/>
      <x:c r="AS1080" s="115"/>
      <x:c r="AT1080" s="115"/>
      <x:c r="AU1080" s="115"/>
      <x:c r="AV1080" s="115"/>
      <x:c r="AW1080" s="115"/>
      <x:c r="AX1080" s="115"/>
      <x:c r="AY1080" s="115"/>
      <x:c r="AZ1080" s="115"/>
      <x:c r="BA1080" s="115"/>
      <x:c r="BB1080" s="115"/>
      <x:c r="BC1080" s="115"/>
      <x:c r="BD1080" s="115"/>
      <x:c r="BE1080" s="115"/>
      <x:c r="BF1080" s="115"/>
      <x:c r="BG1080" s="115"/>
      <x:c r="BH1080" s="115"/>
      <x:c r="BI1080" s="115"/>
      <x:c r="BJ1080" s="115"/>
      <x:c r="BK1080" s="115"/>
      <x:c r="BL1080" s="115"/>
      <x:c r="BM1080" s="115"/>
      <x:c r="BN1080" s="115"/>
      <x:c r="BO1080" s="115"/>
      <x:c r="BP1080" s="115"/>
      <x:c r="BQ1080" s="115"/>
      <x:c r="BR1080" s="115"/>
      <x:c r="BS1080" s="115"/>
      <x:c r="BT1080" s="115"/>
      <x:c r="BU1080" s="115"/>
      <x:c r="BV1080" s="115"/>
      <x:c r="BW1080" s="115"/>
      <x:c r="BX1080" s="115"/>
      <x:c r="BY1080" s="115"/>
      <x:c r="BZ1080" s="115"/>
      <x:c r="CA1080" s="115"/>
      <x:c r="CB1080" s="116"/>
      <x:c r="CC1080" s="141" t="str">
        <x:f>IF(COUNT(G1080:P1080)=0,"",AVERAGE(G1080:P1080)*4)</x:f>
      </x:c>
      <x:c r="CD1080" s="178" t="str">
        <x:f>IF(COUNT(Q1080:Z1080)=0,"",AVERAGE(Q1080:Z1080)*4)</x:f>
      </x:c>
      <x:c r="CE1080" s="178" t="str">
        <x:f>IF(COUNT(AA1080:AJ1080)=0,"",AVERAGE(AA1080:AJ1080)*4)</x:f>
      </x:c>
      <x:c r="CF1080" s="178" t="str">
        <x:f>IF(COUNT(AK1080:AR1080)=0,"",AVERAGE(AK1080:AR1080)*4)</x:f>
      </x:c>
      <x:c r="CG1080" s="178" t="str">
        <x:f>IF(COUNT(AS1080:AY1080)=0,"",AVERAGE(AS1080:AY1080)*4)</x:f>
      </x:c>
      <x:c r="CH1080" s="178" t="str">
        <x:f>IF(COUNT(AZ1080:BG1080)=0,"",AVERAGE(AZ1080:BG1080)*4)</x:f>
      </x:c>
      <x:c r="CI1080" s="178" t="str">
        <x:f>IF(COUNT(BH1080:BN1080)=0,"",AVERAGE(BH1080:BN1080)*4)</x:f>
      </x:c>
      <x:c r="CJ1080" s="178" t="str">
        <x:f>IF(COUNT(BO1080:BU1080)=0,"",AVERAGE(BO1080:BU1080)*4)</x:f>
      </x:c>
      <x:c r="CK1080" s="178" t="str">
        <x:f>IF(COUNT(BV1080:CB1080)=0,"",AVERAGE(BV1080:CB1080)*4)</x:f>
      </x:c>
      <x:c r="CL1080" s="178" t="str">
        <x:f>IF(C1080="","",IF(COUNT(G1080:CB1080)&lt;74,"",(CC1080*'تنظیمات وزن‌دهی'!$C$5+CD1080*'تنظیمات وزن‌دهی'!$C$6+CE1080*'تنظیمات وزن‌دهی'!$C$7+CF1080*'تنظیمات وزن‌دهی'!$C$8+CG1080*'تنظیمات وزن‌دهی'!$C$9+CH1080*'تنظیمات وزن‌دهی'!$C$10+CI1080*'تنظیمات وزن‌دهی'!$C$11+CJ1080*'تنظیمات وزن‌دهی'!$C$12+CK1080*'تنظیمات وزن‌دهی'!$C$13)/100))</x:f>
      </x:c>
      <x:c r="CM1080" s="178" t="str">
        <x:f>IF(C1080="","",IF(COUNT(G1080:CB1080)=0,"",IF(COUNT(G1080:CB1080)&lt;74,"موقت - اطلاعات ناقص",IF(CL1080&gt;=17,"عالی",IF(CL1080&gt;=14,"خوب",IF(CL1080&gt;=10,"متوسط","ضعیف"))))))</x:f>
      </x:c>
      <x:c r="CN1080" s="178" t="n">
        <x:v>8</x:v>
      </x:c>
      <x:c r="CO1080" s="142" t="n">
        <x:f>IF(C1080="","",COUNT(G1080:CB1080)/74)</x:f>
        <x:v>0</x:v>
      </x:c>
      <x:c r="CP1080" s="245"/>
    </x:row>
    <x:row r="1081">
      <x:c r="A1081" s="165" t="n">
        <x:v>1077</x:v>
      </x:c>
      <x:c r="B1081" s="233" t="str">
        <x:v>اسفند</x:v>
      </x:c>
      <x:c r="C1081" s="233" t="n">
        <x:f>IF('دانش‌آموزان'!E94="","",'دانش‌آموزان'!B94)</x:f>
        <x:v>90</x:v>
      </x:c>
      <x:c r="D1081" s="233" t="str">
        <x:f>IF('دانش‌آموزان'!C94="","",'دانش‌آموزان'!C94)</x:f>
        <x:v>4000000901</x:v>
      </x:c>
      <x:c r="E1081" s="233" t="str">
        <x:f>IF('دانش‌آموزان'!E94="","",'دانش‌آموزان'!E94&amp;" "&amp;'دانش‌آموزان'!F94)</x:f>
        <x:v>هلیا کریمی</x:v>
      </x:c>
      <x:c r="F1081" s="166" t="str">
        <x:f>IF('دانش‌آموزان'!I94="","",'دانش‌آموزان'!I94)</x:f>
        <x:v>sample-7-d</x:v>
      </x:c>
      <x:c r="G1081" s="114"/>
      <x:c r="H1081" s="115"/>
      <x:c r="I1081" s="115"/>
      <x:c r="J1081" s="115"/>
      <x:c r="K1081" s="115"/>
      <x:c r="L1081" s="115"/>
      <x:c r="M1081" s="115"/>
      <x:c r="N1081" s="115"/>
      <x:c r="O1081" s="115"/>
      <x:c r="P1081" s="115"/>
      <x:c r="Q1081" s="115"/>
      <x:c r="R1081" s="115"/>
      <x:c r="S1081" s="115"/>
      <x:c r="T1081" s="115"/>
      <x:c r="U1081" s="115"/>
      <x:c r="V1081" s="115"/>
      <x:c r="W1081" s="115"/>
      <x:c r="X1081" s="115"/>
      <x:c r="Y1081" s="115"/>
      <x:c r="Z1081" s="115"/>
      <x:c r="AA1081" s="115"/>
      <x:c r="AB1081" s="115"/>
      <x:c r="AC1081" s="115"/>
      <x:c r="AD1081" s="115"/>
      <x:c r="AE1081" s="115"/>
      <x:c r="AF1081" s="115"/>
      <x:c r="AG1081" s="115"/>
      <x:c r="AH1081" s="115"/>
      <x:c r="AI1081" s="115"/>
      <x:c r="AJ1081" s="115"/>
      <x:c r="AK1081" s="115"/>
      <x:c r="AL1081" s="115"/>
      <x:c r="AM1081" s="115"/>
      <x:c r="AN1081" s="115"/>
      <x:c r="AO1081" s="115"/>
      <x:c r="AP1081" s="115"/>
      <x:c r="AQ1081" s="115"/>
      <x:c r="AR1081" s="115"/>
      <x:c r="AS1081" s="115"/>
      <x:c r="AT1081" s="115"/>
      <x:c r="AU1081" s="115"/>
      <x:c r="AV1081" s="115"/>
      <x:c r="AW1081" s="115"/>
      <x:c r="AX1081" s="115"/>
      <x:c r="AY1081" s="115"/>
      <x:c r="AZ1081" s="115"/>
      <x:c r="BA1081" s="115"/>
      <x:c r="BB1081" s="115"/>
      <x:c r="BC1081" s="115"/>
      <x:c r="BD1081" s="115"/>
      <x:c r="BE1081" s="115"/>
      <x:c r="BF1081" s="115"/>
      <x:c r="BG1081" s="115"/>
      <x:c r="BH1081" s="115"/>
      <x:c r="BI1081" s="115"/>
      <x:c r="BJ1081" s="115"/>
      <x:c r="BK1081" s="115"/>
      <x:c r="BL1081" s="115"/>
      <x:c r="BM1081" s="115"/>
      <x:c r="BN1081" s="115"/>
      <x:c r="BO1081" s="115"/>
      <x:c r="BP1081" s="115"/>
      <x:c r="BQ1081" s="115"/>
      <x:c r="BR1081" s="115"/>
      <x:c r="BS1081" s="115"/>
      <x:c r="BT1081" s="115"/>
      <x:c r="BU1081" s="115"/>
      <x:c r="BV1081" s="115"/>
      <x:c r="BW1081" s="115"/>
      <x:c r="BX1081" s="115"/>
      <x:c r="BY1081" s="115"/>
      <x:c r="BZ1081" s="115"/>
      <x:c r="CA1081" s="115"/>
      <x:c r="CB1081" s="116"/>
      <x:c r="CC1081" s="141" t="str">
        <x:f>IF(COUNT(G1081:P1081)=0,"",AVERAGE(G1081:P1081)*4)</x:f>
      </x:c>
      <x:c r="CD1081" s="178" t="str">
        <x:f>IF(COUNT(Q1081:Z1081)=0,"",AVERAGE(Q1081:Z1081)*4)</x:f>
      </x:c>
      <x:c r="CE1081" s="178" t="str">
        <x:f>IF(COUNT(AA1081:AJ1081)=0,"",AVERAGE(AA1081:AJ1081)*4)</x:f>
      </x:c>
      <x:c r="CF1081" s="178" t="str">
        <x:f>IF(COUNT(AK1081:AR1081)=0,"",AVERAGE(AK1081:AR1081)*4)</x:f>
      </x:c>
      <x:c r="CG1081" s="178" t="str">
        <x:f>IF(COUNT(AS1081:AY1081)=0,"",AVERAGE(AS1081:AY1081)*4)</x:f>
      </x:c>
      <x:c r="CH1081" s="178" t="str">
        <x:f>IF(COUNT(AZ1081:BG1081)=0,"",AVERAGE(AZ1081:BG1081)*4)</x:f>
      </x:c>
      <x:c r="CI1081" s="178" t="str">
        <x:f>IF(COUNT(BH1081:BN1081)=0,"",AVERAGE(BH1081:BN1081)*4)</x:f>
      </x:c>
      <x:c r="CJ1081" s="178" t="str">
        <x:f>IF(COUNT(BO1081:BU1081)=0,"",AVERAGE(BO1081:BU1081)*4)</x:f>
      </x:c>
      <x:c r="CK1081" s="178" t="str">
        <x:f>IF(COUNT(BV1081:CB1081)=0,"",AVERAGE(BV1081:CB1081)*4)</x:f>
      </x:c>
      <x:c r="CL1081" s="178" t="str">
        <x:f>IF(C1081="","",IF(COUNT(G1081:CB1081)&lt;74,"",(CC1081*'تنظیمات وزن‌دهی'!$C$5+CD1081*'تنظیمات وزن‌دهی'!$C$6+CE1081*'تنظیمات وزن‌دهی'!$C$7+CF1081*'تنظیمات وزن‌دهی'!$C$8+CG1081*'تنظیمات وزن‌دهی'!$C$9+CH1081*'تنظیمات وزن‌دهی'!$C$10+CI1081*'تنظیمات وزن‌دهی'!$C$11+CJ1081*'تنظیمات وزن‌دهی'!$C$12+CK1081*'تنظیمات وزن‌دهی'!$C$13)/100))</x:f>
      </x:c>
      <x:c r="CM1081" s="178" t="str">
        <x:f>IF(C1081="","",IF(COUNT(G1081:CB1081)=0,"",IF(COUNT(G1081:CB1081)&lt;74,"موقت - اطلاعات ناقص",IF(CL1081&gt;=17,"عالی",IF(CL1081&gt;=14,"خوب",IF(CL1081&gt;=10,"متوسط","ضعیف"))))))</x:f>
      </x:c>
      <x:c r="CN1081" s="178" t="n">
        <x:v>9</x:v>
      </x:c>
      <x:c r="CO1081" s="142" t="n">
        <x:f>IF(C1081="","",COUNT(G1081:CB1081)/74)</x:f>
        <x:v>0</x:v>
      </x:c>
      <x:c r="CP1081" s="245"/>
    </x:row>
    <x:row r="1082">
      <x:c r="A1082" s="165" t="n">
        <x:v>1078</x:v>
      </x:c>
      <x:c r="B1082" s="233" t="str">
        <x:v>فروردین</x:v>
      </x:c>
      <x:c r="C1082" s="233" t="n">
        <x:f>IF('دانش‌آموزان'!E94="","",'دانش‌آموزان'!B94)</x:f>
        <x:v>90</x:v>
      </x:c>
      <x:c r="D1082" s="233" t="str">
        <x:f>IF('دانش‌آموزان'!C94="","",'دانش‌آموزان'!C94)</x:f>
        <x:v>4000000901</x:v>
      </x:c>
      <x:c r="E1082" s="233" t="str">
        <x:f>IF('دانش‌آموزان'!E94="","",'دانش‌آموزان'!E94&amp;" "&amp;'دانش‌آموزان'!F94)</x:f>
        <x:v>هلیا کریمی</x:v>
      </x:c>
      <x:c r="F1082" s="166" t="str">
        <x:f>IF('دانش‌آموزان'!I94="","",'دانش‌آموزان'!I94)</x:f>
        <x:v>sample-7-d</x:v>
      </x:c>
      <x:c r="G1082" s="114"/>
      <x:c r="H1082" s="115"/>
      <x:c r="I1082" s="115"/>
      <x:c r="J1082" s="115"/>
      <x:c r="K1082" s="115"/>
      <x:c r="L1082" s="115"/>
      <x:c r="M1082" s="115"/>
      <x:c r="N1082" s="115"/>
      <x:c r="O1082" s="115"/>
      <x:c r="P1082" s="115"/>
      <x:c r="Q1082" s="115"/>
      <x:c r="R1082" s="115"/>
      <x:c r="S1082" s="115"/>
      <x:c r="T1082" s="115"/>
      <x:c r="U1082" s="115"/>
      <x:c r="V1082" s="115"/>
      <x:c r="W1082" s="115"/>
      <x:c r="X1082" s="115"/>
      <x:c r="Y1082" s="115"/>
      <x:c r="Z1082" s="115"/>
      <x:c r="AA1082" s="115"/>
      <x:c r="AB1082" s="115"/>
      <x:c r="AC1082" s="115"/>
      <x:c r="AD1082" s="115"/>
      <x:c r="AE1082" s="115"/>
      <x:c r="AF1082" s="115"/>
      <x:c r="AG1082" s="115"/>
      <x:c r="AH1082" s="115"/>
      <x:c r="AI1082" s="115"/>
      <x:c r="AJ1082" s="115"/>
      <x:c r="AK1082" s="115"/>
      <x:c r="AL1082" s="115"/>
      <x:c r="AM1082" s="115"/>
      <x:c r="AN1082" s="115"/>
      <x:c r="AO1082" s="115"/>
      <x:c r="AP1082" s="115"/>
      <x:c r="AQ1082" s="115"/>
      <x:c r="AR1082" s="115"/>
      <x:c r="AS1082" s="115"/>
      <x:c r="AT1082" s="115"/>
      <x:c r="AU1082" s="115"/>
      <x:c r="AV1082" s="115"/>
      <x:c r="AW1082" s="115"/>
      <x:c r="AX1082" s="115"/>
      <x:c r="AY1082" s="115"/>
      <x:c r="AZ1082" s="115"/>
      <x:c r="BA1082" s="115"/>
      <x:c r="BB1082" s="115"/>
      <x:c r="BC1082" s="115"/>
      <x:c r="BD1082" s="115"/>
      <x:c r="BE1082" s="115"/>
      <x:c r="BF1082" s="115"/>
      <x:c r="BG1082" s="115"/>
      <x:c r="BH1082" s="115"/>
      <x:c r="BI1082" s="115"/>
      <x:c r="BJ1082" s="115"/>
      <x:c r="BK1082" s="115"/>
      <x:c r="BL1082" s="115"/>
      <x:c r="BM1082" s="115"/>
      <x:c r="BN1082" s="115"/>
      <x:c r="BO1082" s="115"/>
      <x:c r="BP1082" s="115"/>
      <x:c r="BQ1082" s="115"/>
      <x:c r="BR1082" s="115"/>
      <x:c r="BS1082" s="115"/>
      <x:c r="BT1082" s="115"/>
      <x:c r="BU1082" s="115"/>
      <x:c r="BV1082" s="115"/>
      <x:c r="BW1082" s="115"/>
      <x:c r="BX1082" s="115"/>
      <x:c r="BY1082" s="115"/>
      <x:c r="BZ1082" s="115"/>
      <x:c r="CA1082" s="115"/>
      <x:c r="CB1082" s="116"/>
      <x:c r="CC1082" s="141" t="str">
        <x:f>IF(COUNT(G1082:P1082)=0,"",AVERAGE(G1082:P1082)*4)</x:f>
      </x:c>
      <x:c r="CD1082" s="178" t="str">
        <x:f>IF(COUNT(Q1082:Z1082)=0,"",AVERAGE(Q1082:Z1082)*4)</x:f>
      </x:c>
      <x:c r="CE1082" s="178" t="str">
        <x:f>IF(COUNT(AA1082:AJ1082)=0,"",AVERAGE(AA1082:AJ1082)*4)</x:f>
      </x:c>
      <x:c r="CF1082" s="178" t="str">
        <x:f>IF(COUNT(AK1082:AR1082)=0,"",AVERAGE(AK1082:AR1082)*4)</x:f>
      </x:c>
      <x:c r="CG1082" s="178" t="str">
        <x:f>IF(COUNT(AS1082:AY1082)=0,"",AVERAGE(AS1082:AY1082)*4)</x:f>
      </x:c>
      <x:c r="CH1082" s="178" t="str">
        <x:f>IF(COUNT(AZ1082:BG1082)=0,"",AVERAGE(AZ1082:BG1082)*4)</x:f>
      </x:c>
      <x:c r="CI1082" s="178" t="str">
        <x:f>IF(COUNT(BH1082:BN1082)=0,"",AVERAGE(BH1082:BN1082)*4)</x:f>
      </x:c>
      <x:c r="CJ1082" s="178" t="str">
        <x:f>IF(COUNT(BO1082:BU1082)=0,"",AVERAGE(BO1082:BU1082)*4)</x:f>
      </x:c>
      <x:c r="CK1082" s="178" t="str">
        <x:f>IF(COUNT(BV1082:CB1082)=0,"",AVERAGE(BV1082:CB1082)*4)</x:f>
      </x:c>
      <x:c r="CL1082" s="178" t="str">
        <x:f>IF(C1082="","",IF(COUNT(G1082:CB1082)&lt;74,"",(CC1082*'تنظیمات وزن‌دهی'!$C$5+CD1082*'تنظیمات وزن‌دهی'!$C$6+CE1082*'تنظیمات وزن‌دهی'!$C$7+CF1082*'تنظیمات وزن‌دهی'!$C$8+CG1082*'تنظیمات وزن‌دهی'!$C$9+CH1082*'تنظیمات وزن‌دهی'!$C$10+CI1082*'تنظیمات وزن‌دهی'!$C$11+CJ1082*'تنظیمات وزن‌دهی'!$C$12+CK1082*'تنظیمات وزن‌دهی'!$C$13)/100))</x:f>
      </x:c>
      <x:c r="CM1082" s="178" t="str">
        <x:f>IF(C1082="","",IF(COUNT(G1082:CB1082)=0,"",IF(COUNT(G1082:CB1082)&lt;74,"موقت - اطلاعات ناقص",IF(CL1082&gt;=17,"عالی",IF(CL1082&gt;=14,"خوب",IF(CL1082&gt;=10,"متوسط","ضعیف"))))))</x:f>
      </x:c>
      <x:c r="CN1082" s="178" t="n">
        <x:v>10</x:v>
      </x:c>
      <x:c r="CO1082" s="142" t="n">
        <x:f>IF(C1082="","",COUNT(G1082:CB1082)/74)</x:f>
        <x:v>0</x:v>
      </x:c>
      <x:c r="CP1082" s="245"/>
    </x:row>
    <x:row r="1083">
      <x:c r="A1083" s="165" t="n">
        <x:v>1079</x:v>
      </x:c>
      <x:c r="B1083" s="233" t="str">
        <x:v>اردیبهشت</x:v>
      </x:c>
      <x:c r="C1083" s="233" t="n">
        <x:f>IF('دانش‌آموزان'!E94="","",'دانش‌آموزان'!B94)</x:f>
        <x:v>90</x:v>
      </x:c>
      <x:c r="D1083" s="233" t="str">
        <x:f>IF('دانش‌آموزان'!C94="","",'دانش‌آموزان'!C94)</x:f>
        <x:v>4000000901</x:v>
      </x:c>
      <x:c r="E1083" s="233" t="str">
        <x:f>IF('دانش‌آموزان'!E94="","",'دانش‌آموزان'!E94&amp;" "&amp;'دانش‌آموزان'!F94)</x:f>
        <x:v>هلیا کریمی</x:v>
      </x:c>
      <x:c r="F1083" s="166" t="str">
        <x:f>IF('دانش‌آموزان'!I94="","",'دانش‌آموزان'!I94)</x:f>
        <x:v>sample-7-d</x:v>
      </x:c>
      <x:c r="G1083" s="114"/>
      <x:c r="H1083" s="115"/>
      <x:c r="I1083" s="115"/>
      <x:c r="J1083" s="115"/>
      <x:c r="K1083" s="115"/>
      <x:c r="L1083" s="115"/>
      <x:c r="M1083" s="115"/>
      <x:c r="N1083" s="115"/>
      <x:c r="O1083" s="115"/>
      <x:c r="P1083" s="115"/>
      <x:c r="Q1083" s="115"/>
      <x:c r="R1083" s="115"/>
      <x:c r="S1083" s="115"/>
      <x:c r="T1083" s="115"/>
      <x:c r="U1083" s="115"/>
      <x:c r="V1083" s="115"/>
      <x:c r="W1083" s="115"/>
      <x:c r="X1083" s="115"/>
      <x:c r="Y1083" s="115"/>
      <x:c r="Z1083" s="115"/>
      <x:c r="AA1083" s="115"/>
      <x:c r="AB1083" s="115"/>
      <x:c r="AC1083" s="115"/>
      <x:c r="AD1083" s="115"/>
      <x:c r="AE1083" s="115"/>
      <x:c r="AF1083" s="115"/>
      <x:c r="AG1083" s="115"/>
      <x:c r="AH1083" s="115"/>
      <x:c r="AI1083" s="115"/>
      <x:c r="AJ1083" s="115"/>
      <x:c r="AK1083" s="115"/>
      <x:c r="AL1083" s="115"/>
      <x:c r="AM1083" s="115"/>
      <x:c r="AN1083" s="115"/>
      <x:c r="AO1083" s="115"/>
      <x:c r="AP1083" s="115"/>
      <x:c r="AQ1083" s="115"/>
      <x:c r="AR1083" s="115"/>
      <x:c r="AS1083" s="115"/>
      <x:c r="AT1083" s="115"/>
      <x:c r="AU1083" s="115"/>
      <x:c r="AV1083" s="115"/>
      <x:c r="AW1083" s="115"/>
      <x:c r="AX1083" s="115"/>
      <x:c r="AY1083" s="115"/>
      <x:c r="AZ1083" s="115"/>
      <x:c r="BA1083" s="115"/>
      <x:c r="BB1083" s="115"/>
      <x:c r="BC1083" s="115"/>
      <x:c r="BD1083" s="115"/>
      <x:c r="BE1083" s="115"/>
      <x:c r="BF1083" s="115"/>
      <x:c r="BG1083" s="115"/>
      <x:c r="BH1083" s="115"/>
      <x:c r="BI1083" s="115"/>
      <x:c r="BJ1083" s="115"/>
      <x:c r="BK1083" s="115"/>
      <x:c r="BL1083" s="115"/>
      <x:c r="BM1083" s="115"/>
      <x:c r="BN1083" s="115"/>
      <x:c r="BO1083" s="115"/>
      <x:c r="BP1083" s="115"/>
      <x:c r="BQ1083" s="115"/>
      <x:c r="BR1083" s="115"/>
      <x:c r="BS1083" s="115"/>
      <x:c r="BT1083" s="115"/>
      <x:c r="BU1083" s="115"/>
      <x:c r="BV1083" s="115"/>
      <x:c r="BW1083" s="115"/>
      <x:c r="BX1083" s="115"/>
      <x:c r="BY1083" s="115"/>
      <x:c r="BZ1083" s="115"/>
      <x:c r="CA1083" s="115"/>
      <x:c r="CB1083" s="116"/>
      <x:c r="CC1083" s="141" t="str">
        <x:f>IF(COUNT(G1083:P1083)=0,"",AVERAGE(G1083:P1083)*4)</x:f>
      </x:c>
      <x:c r="CD1083" s="178" t="str">
        <x:f>IF(COUNT(Q1083:Z1083)=0,"",AVERAGE(Q1083:Z1083)*4)</x:f>
      </x:c>
      <x:c r="CE1083" s="178" t="str">
        <x:f>IF(COUNT(AA1083:AJ1083)=0,"",AVERAGE(AA1083:AJ1083)*4)</x:f>
      </x:c>
      <x:c r="CF1083" s="178" t="str">
        <x:f>IF(COUNT(AK1083:AR1083)=0,"",AVERAGE(AK1083:AR1083)*4)</x:f>
      </x:c>
      <x:c r="CG1083" s="178" t="str">
        <x:f>IF(COUNT(AS1083:AY1083)=0,"",AVERAGE(AS1083:AY1083)*4)</x:f>
      </x:c>
      <x:c r="CH1083" s="178" t="str">
        <x:f>IF(COUNT(AZ1083:BG1083)=0,"",AVERAGE(AZ1083:BG1083)*4)</x:f>
      </x:c>
      <x:c r="CI1083" s="178" t="str">
        <x:f>IF(COUNT(BH1083:BN1083)=0,"",AVERAGE(BH1083:BN1083)*4)</x:f>
      </x:c>
      <x:c r="CJ1083" s="178" t="str">
        <x:f>IF(COUNT(BO1083:BU1083)=0,"",AVERAGE(BO1083:BU1083)*4)</x:f>
      </x:c>
      <x:c r="CK1083" s="178" t="str">
        <x:f>IF(COUNT(BV1083:CB1083)=0,"",AVERAGE(BV1083:CB1083)*4)</x:f>
      </x:c>
      <x:c r="CL1083" s="178" t="str">
        <x:f>IF(C1083="","",IF(COUNT(G1083:CB1083)&lt;74,"",(CC1083*'تنظیمات وزن‌دهی'!$C$5+CD1083*'تنظیمات وزن‌دهی'!$C$6+CE1083*'تنظیمات وزن‌دهی'!$C$7+CF1083*'تنظیمات وزن‌دهی'!$C$8+CG1083*'تنظیمات وزن‌دهی'!$C$9+CH1083*'تنظیمات وزن‌دهی'!$C$10+CI1083*'تنظیمات وزن‌دهی'!$C$11+CJ1083*'تنظیمات وزن‌دهی'!$C$12+CK1083*'تنظیمات وزن‌دهی'!$C$13)/100))</x:f>
      </x:c>
      <x:c r="CM1083" s="178" t="str">
        <x:f>IF(C1083="","",IF(COUNT(G1083:CB1083)=0,"",IF(COUNT(G1083:CB1083)&lt;74,"موقت - اطلاعات ناقص",IF(CL1083&gt;=17,"عالی",IF(CL1083&gt;=14,"خوب",IF(CL1083&gt;=10,"متوسط","ضعیف"))))))</x:f>
      </x:c>
      <x:c r="CN1083" s="178" t="n">
        <x:v>11</x:v>
      </x:c>
      <x:c r="CO1083" s="142" t="n">
        <x:f>IF(C1083="","",COUNT(G1083:CB1083)/74)</x:f>
        <x:v>0</x:v>
      </x:c>
      <x:c r="CP1083" s="245"/>
    </x:row>
    <x:row r="1084">
      <x:c r="A1084" s="165" t="n">
        <x:v>1080</x:v>
      </x:c>
      <x:c r="B1084" s="233" t="str">
        <x:v>خرداد</x:v>
      </x:c>
      <x:c r="C1084" s="233" t="n">
        <x:f>IF('دانش‌آموزان'!E94="","",'دانش‌آموزان'!B94)</x:f>
        <x:v>90</x:v>
      </x:c>
      <x:c r="D1084" s="233" t="str">
        <x:f>IF('دانش‌آموزان'!C94="","",'دانش‌آموزان'!C94)</x:f>
        <x:v>4000000901</x:v>
      </x:c>
      <x:c r="E1084" s="233" t="str">
        <x:f>IF('دانش‌آموزان'!E94="","",'دانش‌آموزان'!E94&amp;" "&amp;'دانش‌آموزان'!F94)</x:f>
        <x:v>هلیا کریمی</x:v>
      </x:c>
      <x:c r="F1084" s="166" t="str">
        <x:f>IF('دانش‌آموزان'!I94="","",'دانش‌آموزان'!I94)</x:f>
        <x:v>sample-7-d</x:v>
      </x:c>
      <x:c r="G1084" s="114"/>
      <x:c r="H1084" s="115"/>
      <x:c r="I1084" s="115"/>
      <x:c r="J1084" s="115"/>
      <x:c r="K1084" s="115"/>
      <x:c r="L1084" s="115"/>
      <x:c r="M1084" s="115"/>
      <x:c r="N1084" s="115"/>
      <x:c r="O1084" s="115"/>
      <x:c r="P1084" s="115"/>
      <x:c r="Q1084" s="115"/>
      <x:c r="R1084" s="115"/>
      <x:c r="S1084" s="115"/>
      <x:c r="T1084" s="115"/>
      <x:c r="U1084" s="115"/>
      <x:c r="V1084" s="115"/>
      <x:c r="W1084" s="115"/>
      <x:c r="X1084" s="115"/>
      <x:c r="Y1084" s="115"/>
      <x:c r="Z1084" s="115"/>
      <x:c r="AA1084" s="115"/>
      <x:c r="AB1084" s="115"/>
      <x:c r="AC1084" s="115"/>
      <x:c r="AD1084" s="115"/>
      <x:c r="AE1084" s="115"/>
      <x:c r="AF1084" s="115"/>
      <x:c r="AG1084" s="115"/>
      <x:c r="AH1084" s="115"/>
      <x:c r="AI1084" s="115"/>
      <x:c r="AJ1084" s="115"/>
      <x:c r="AK1084" s="115"/>
      <x:c r="AL1084" s="115"/>
      <x:c r="AM1084" s="115"/>
      <x:c r="AN1084" s="115"/>
      <x:c r="AO1084" s="115"/>
      <x:c r="AP1084" s="115"/>
      <x:c r="AQ1084" s="115"/>
      <x:c r="AR1084" s="115"/>
      <x:c r="AS1084" s="115"/>
      <x:c r="AT1084" s="115"/>
      <x:c r="AU1084" s="115"/>
      <x:c r="AV1084" s="115"/>
      <x:c r="AW1084" s="115"/>
      <x:c r="AX1084" s="115"/>
      <x:c r="AY1084" s="115"/>
      <x:c r="AZ1084" s="115"/>
      <x:c r="BA1084" s="115"/>
      <x:c r="BB1084" s="115"/>
      <x:c r="BC1084" s="115"/>
      <x:c r="BD1084" s="115"/>
      <x:c r="BE1084" s="115"/>
      <x:c r="BF1084" s="115"/>
      <x:c r="BG1084" s="115"/>
      <x:c r="BH1084" s="115"/>
      <x:c r="BI1084" s="115"/>
      <x:c r="BJ1084" s="115"/>
      <x:c r="BK1084" s="115"/>
      <x:c r="BL1084" s="115"/>
      <x:c r="BM1084" s="115"/>
      <x:c r="BN1084" s="115"/>
      <x:c r="BO1084" s="115"/>
      <x:c r="BP1084" s="115"/>
      <x:c r="BQ1084" s="115"/>
      <x:c r="BR1084" s="115"/>
      <x:c r="BS1084" s="115"/>
      <x:c r="BT1084" s="115"/>
      <x:c r="BU1084" s="115"/>
      <x:c r="BV1084" s="115"/>
      <x:c r="BW1084" s="115"/>
      <x:c r="BX1084" s="115"/>
      <x:c r="BY1084" s="115"/>
      <x:c r="BZ1084" s="115"/>
      <x:c r="CA1084" s="115"/>
      <x:c r="CB1084" s="116"/>
      <x:c r="CC1084" s="141" t="str">
        <x:f>IF(COUNT(G1084:P1084)=0,"",AVERAGE(G1084:P1084)*4)</x:f>
      </x:c>
      <x:c r="CD1084" s="178" t="str">
        <x:f>IF(COUNT(Q1084:Z1084)=0,"",AVERAGE(Q1084:Z1084)*4)</x:f>
      </x:c>
      <x:c r="CE1084" s="178" t="str">
        <x:f>IF(COUNT(AA1084:AJ1084)=0,"",AVERAGE(AA1084:AJ1084)*4)</x:f>
      </x:c>
      <x:c r="CF1084" s="178" t="str">
        <x:f>IF(COUNT(AK1084:AR1084)=0,"",AVERAGE(AK1084:AR1084)*4)</x:f>
      </x:c>
      <x:c r="CG1084" s="178" t="str">
        <x:f>IF(COUNT(AS1084:AY1084)=0,"",AVERAGE(AS1084:AY1084)*4)</x:f>
      </x:c>
      <x:c r="CH1084" s="178" t="str">
        <x:f>IF(COUNT(AZ1084:BG1084)=0,"",AVERAGE(AZ1084:BG1084)*4)</x:f>
      </x:c>
      <x:c r="CI1084" s="178" t="str">
        <x:f>IF(COUNT(BH1084:BN1084)=0,"",AVERAGE(BH1084:BN1084)*4)</x:f>
      </x:c>
      <x:c r="CJ1084" s="178" t="str">
        <x:f>IF(COUNT(BO1084:BU1084)=0,"",AVERAGE(BO1084:BU1084)*4)</x:f>
      </x:c>
      <x:c r="CK1084" s="178" t="str">
        <x:f>IF(COUNT(BV1084:CB1084)=0,"",AVERAGE(BV1084:CB1084)*4)</x:f>
      </x:c>
      <x:c r="CL1084" s="178" t="str">
        <x:f>IF(C1084="","",IF(COUNT(G1084:CB1084)&lt;74,"",(CC1084*'تنظیمات وزن‌دهی'!$C$5+CD1084*'تنظیمات وزن‌دهی'!$C$6+CE1084*'تنظیمات وزن‌دهی'!$C$7+CF1084*'تنظیمات وزن‌دهی'!$C$8+CG1084*'تنظیمات وزن‌دهی'!$C$9+CH1084*'تنظیمات وزن‌دهی'!$C$10+CI1084*'تنظیمات وزن‌دهی'!$C$11+CJ1084*'تنظیمات وزن‌دهی'!$C$12+CK1084*'تنظیمات وزن‌دهی'!$C$13)/100))</x:f>
      </x:c>
      <x:c r="CM1084" s="178" t="str">
        <x:f>IF(C1084="","",IF(COUNT(G1084:CB1084)=0,"",IF(COUNT(G1084:CB1084)&lt;74,"موقت - اطلاعات ناقص",IF(CL1084&gt;=17,"عالی",IF(CL1084&gt;=14,"خوب",IF(CL1084&gt;=10,"متوسط","ضعیف"))))))</x:f>
      </x:c>
      <x:c r="CN1084" s="178" t="n">
        <x:v>12</x:v>
      </x:c>
      <x:c r="CO1084" s="142" t="n">
        <x:f>IF(C1084="","",COUNT(G1084:CB1084)/74)</x:f>
        <x:v>0</x:v>
      </x:c>
      <x:c r="CP1084" s="245"/>
    </x:row>
    <x:row r="1085">
      <x:c r="A1085" s="165" t="n">
        <x:v>1081</x:v>
      </x:c>
      <x:c r="B1085" s="233" t="str">
        <x:v>تیر</x:v>
      </x:c>
      <x:c r="C1085" s="233" t="n">
        <x:f>IF('دانش‌آموزان'!E95="","",'دانش‌آموزان'!B95)</x:f>
        <x:v>91</x:v>
      </x:c>
      <x:c r="D1085" s="233" t="str">
        <x:f>IF('دانش‌آموزان'!C95="","",'دانش‌آموزان'!C95)</x:f>
        <x:v>4000000918</x:v>
      </x:c>
      <x:c r="E1085" s="233" t="str">
        <x:f>IF('دانش‌آموزان'!E95="","",'دانش‌آموزان'!E95&amp;" "&amp;'دانش‌آموزان'!F95)</x:f>
        <x:v>پارسا موسوی</x:v>
      </x:c>
      <x:c r="F1085" s="166" t="str">
        <x:f>IF('دانش‌آموزان'!I95="","",'دانش‌آموزان'!I95)</x:f>
        <x:v>sample-7-d</x:v>
      </x:c>
      <x:c r="G1085" s="114" t="n">
        <x:v>4</x:v>
      </x:c>
      <x:c r="H1085" s="115" t="n">
        <x:v>2</x:v>
      </x:c>
      <x:c r="I1085" s="115" t="n">
        <x:v>4</x:v>
      </x:c>
      <x:c r="J1085" s="115" t="n">
        <x:v>5</x:v>
      </x:c>
      <x:c r="K1085" s="115" t="n">
        <x:v>4</x:v>
      </x:c>
      <x:c r="L1085" s="115" t="n">
        <x:v>5</x:v>
      </x:c>
      <x:c r="M1085" s="115" t="n">
        <x:v>3</x:v>
      </x:c>
      <x:c r="N1085" s="115" t="n">
        <x:v>5</x:v>
      </x:c>
      <x:c r="O1085" s="115" t="n">
        <x:v>3</x:v>
      </x:c>
      <x:c r="P1085" s="115" t="n">
        <x:v>4</x:v>
      </x:c>
      <x:c r="Q1085" s="115" t="n">
        <x:v>3</x:v>
      </x:c>
      <x:c r="R1085" s="115" t="n">
        <x:v>4</x:v>
      </x:c>
      <x:c r="S1085" s="115" t="n">
        <x:v>2</x:v>
      </x:c>
      <x:c r="T1085" s="115" t="n">
        <x:v>4</x:v>
      </x:c>
      <x:c r="U1085" s="115" t="n">
        <x:v>5</x:v>
      </x:c>
      <x:c r="V1085" s="115" t="n">
        <x:v>4</x:v>
      </x:c>
      <x:c r="W1085" s="115" t="n">
        <x:v>5</x:v>
      </x:c>
      <x:c r="X1085" s="115" t="n">
        <x:v>3</x:v>
      </x:c>
      <x:c r="Y1085" s="115" t="n">
        <x:v>5</x:v>
      </x:c>
      <x:c r="Z1085" s="115" t="n">
        <x:v>3</x:v>
      </x:c>
      <x:c r="AA1085" s="115" t="n">
        <x:v>4</x:v>
      </x:c>
      <x:c r="AB1085" s="115" t="n">
        <x:v>3</x:v>
      </x:c>
      <x:c r="AC1085" s="115" t="n">
        <x:v>4</x:v>
      </x:c>
      <x:c r="AD1085" s="115" t="n">
        <x:v>2</x:v>
      </x:c>
      <x:c r="AE1085" s="115" t="n">
        <x:v>4</x:v>
      </x:c>
      <x:c r="AF1085" s="115" t="n">
        <x:v>5</x:v>
      </x:c>
      <x:c r="AG1085" s="115" t="n">
        <x:v>4</x:v>
      </x:c>
      <x:c r="AH1085" s="115" t="n">
        <x:v>5</x:v>
      </x:c>
      <x:c r="AI1085" s="115" t="n">
        <x:v>3</x:v>
      </x:c>
      <x:c r="AJ1085" s="115" t="n">
        <x:v>5</x:v>
      </x:c>
      <x:c r="AK1085" s="115" t="n">
        <x:v>3</x:v>
      </x:c>
      <x:c r="AL1085" s="115" t="n">
        <x:v>4</x:v>
      </x:c>
      <x:c r="AM1085" s="115" t="n">
        <x:v>3</x:v>
      </x:c>
      <x:c r="AN1085" s="115" t="n">
        <x:v>4</x:v>
      </x:c>
      <x:c r="AO1085" s="115" t="n">
        <x:v>2</x:v>
      </x:c>
      <x:c r="AP1085" s="115" t="n">
        <x:v>4</x:v>
      </x:c>
      <x:c r="AQ1085" s="115" t="n">
        <x:v>5</x:v>
      </x:c>
      <x:c r="AR1085" s="115" t="n">
        <x:v>4</x:v>
      </x:c>
      <x:c r="AS1085" s="115" t="n">
        <x:v>5</x:v>
      </x:c>
      <x:c r="AT1085" s="115" t="n">
        <x:v>3</x:v>
      </x:c>
      <x:c r="AU1085" s="115" t="n">
        <x:v>5</x:v>
      </x:c>
      <x:c r="AV1085" s="115" t="n">
        <x:v>3</x:v>
      </x:c>
      <x:c r="AW1085" s="115" t="n">
        <x:v>4</x:v>
      </x:c>
      <x:c r="AX1085" s="115" t="n">
        <x:v>3</x:v>
      </x:c>
      <x:c r="AY1085" s="115" t="n">
        <x:v>4</x:v>
      </x:c>
      <x:c r="AZ1085" s="115" t="n">
        <x:v>2</x:v>
      </x:c>
      <x:c r="BA1085" s="115" t="n">
        <x:v>4</x:v>
      </x:c>
      <x:c r="BB1085" s="115" t="n">
        <x:v>5</x:v>
      </x:c>
      <x:c r="BC1085" s="115" t="n">
        <x:v>4</x:v>
      </x:c>
      <x:c r="BD1085" s="115" t="n">
        <x:v>5</x:v>
      </x:c>
      <x:c r="BE1085" s="115" t="n">
        <x:v>3</x:v>
      </x:c>
      <x:c r="BF1085" s="115" t="n">
        <x:v>5</x:v>
      </x:c>
      <x:c r="BG1085" s="115" t="n">
        <x:v>3</x:v>
      </x:c>
      <x:c r="BH1085" s="115" t="n">
        <x:v>4</x:v>
      </x:c>
      <x:c r="BI1085" s="115" t="n">
        <x:v>3</x:v>
      </x:c>
      <x:c r="BJ1085" s="115" t="n">
        <x:v>4</x:v>
      </x:c>
      <x:c r="BK1085" s="115" t="n">
        <x:v>2</x:v>
      </x:c>
      <x:c r="BL1085" s="115" t="n">
        <x:v>4</x:v>
      </x:c>
      <x:c r="BM1085" s="115" t="n">
        <x:v>5</x:v>
      </x:c>
      <x:c r="BN1085" s="115" t="n">
        <x:v>4</x:v>
      </x:c>
      <x:c r="BO1085" s="115" t="n">
        <x:v>5</x:v>
      </x:c>
      <x:c r="BP1085" s="115" t="n">
        <x:v>3</x:v>
      </x:c>
      <x:c r="BQ1085" s="115" t="n">
        <x:v>5</x:v>
      </x:c>
      <x:c r="BR1085" s="115" t="n">
        <x:v>3</x:v>
      </x:c>
      <x:c r="BS1085" s="115" t="n">
        <x:v>4</x:v>
      </x:c>
      <x:c r="BT1085" s="115" t="n">
        <x:v>3</x:v>
      </x:c>
      <x:c r="BU1085" s="115" t="n">
        <x:v>4</x:v>
      </x:c>
      <x:c r="BV1085" s="115" t="n">
        <x:v>2</x:v>
      </x:c>
      <x:c r="BW1085" s="115" t="n">
        <x:v>4</x:v>
      </x:c>
      <x:c r="BX1085" s="115" t="n">
        <x:v>5</x:v>
      </x:c>
      <x:c r="BY1085" s="115" t="n">
        <x:v>4</x:v>
      </x:c>
      <x:c r="BZ1085" s="115" t="n">
        <x:v>5</x:v>
      </x:c>
      <x:c r="CA1085" s="115" t="n">
        <x:v>3</x:v>
      </x:c>
      <x:c r="CB1085" s="116" t="n">
        <x:v>5</x:v>
      </x:c>
      <x:c r="CC1085" s="141" t="n">
        <x:f>IF(COUNT(G1085:P1085)=0,"",AVERAGE(G1085:P1085)*4)</x:f>
        <x:v>15.6</x:v>
      </x:c>
      <x:c r="CD1085" s="178" t="n">
        <x:f>IF(COUNT(Q1085:Z1085)=0,"",AVERAGE(Q1085:Z1085)*4)</x:f>
        <x:v>15.2</x:v>
      </x:c>
      <x:c r="CE1085" s="178" t="n">
        <x:f>IF(COUNT(AA1085:AJ1085)=0,"",AVERAGE(AA1085:AJ1085)*4)</x:f>
        <x:v>15.6</x:v>
      </x:c>
      <x:c r="CF1085" s="178" t="n">
        <x:f>IF(COUNT(AK1085:AR1085)=0,"",AVERAGE(AK1085:AR1085)*4)</x:f>
        <x:v>14.5</x:v>
      </x:c>
      <x:c r="CG1085" s="178" t="n">
        <x:f>IF(COUNT(AS1085:AY1085)=0,"",AVERAGE(AS1085:AY1085)*4)</x:f>
        <x:v>15.428571428571429</x:v>
      </x:c>
      <x:c r="CH1085" s="178" t="n">
        <x:f>IF(COUNT(AZ1085:BG1085)=0,"",AVERAGE(AZ1085:BG1085)*4)</x:f>
        <x:v>15.5</x:v>
      </x:c>
      <x:c r="CI1085" s="178" t="n">
        <x:f>IF(COUNT(BH1085:BN1085)=0,"",AVERAGE(BH1085:BN1085)*4)</x:f>
        <x:v>14.857142857142858</x:v>
      </x:c>
      <x:c r="CJ1085" s="178" t="n">
        <x:f>IF(COUNT(BO1085:BU1085)=0,"",AVERAGE(BO1085:BU1085)*4)</x:f>
        <x:v>15.428571428571429</x:v>
      </x:c>
      <x:c r="CK1085" s="178" t="n">
        <x:f>IF(COUNT(BV1085:CB1085)=0,"",AVERAGE(BV1085:CB1085)*4)</x:f>
        <x:v>16</x:v>
      </x:c>
      <x:c r="CL1085" s="178" t="n">
        <x:f>IF(C1085="","",IF(COUNT(G1085:CB1085)&lt;74,"",(CC1085*'تنظیمات وزن‌دهی'!$C$5+CD1085*'تنظیمات وزن‌دهی'!$C$6+CE1085*'تنظیمات وزن‌دهی'!$C$7+CF1085*'تنظیمات وزن‌دهی'!$C$8+CG1085*'تنظیمات وزن‌دهی'!$C$9+CH1085*'تنظیمات وزن‌دهی'!$C$10+CI1085*'تنظیمات وزن‌دهی'!$C$11+CJ1085*'تنظیمات وزن‌دهی'!$C$12+CK1085*'تنظیمات وزن‌دهی'!$C$13)/100))</x:f>
        <x:v>15.320714285714287</x:v>
      </x:c>
      <x:c r="CM1085" s="178" t="str">
        <x:f>IF(C1085="","",IF(COUNT(G1085:CB1085)=0,"",IF(COUNT(G1085:CB1085)&lt;74,"موقت - اطلاعات ناقص",IF(CL1085&gt;=17,"عالی",IF(CL1085&gt;=14,"خوب",IF(CL1085&gt;=10,"متوسط","ضعیف"))))))</x:f>
        <x:v>خوب</x:v>
      </x:c>
      <x:c r="CN1085" s="178" t="n">
        <x:v>1</x:v>
      </x:c>
      <x:c r="CO1085" s="142" t="n">
        <x:f>IF(C1085="","",COUNT(G1085:CB1085)/74)</x:f>
        <x:v>1</x:v>
      </x:c>
      <x:c r="CP1085" s="245" t="str">
        <x:v>داده نمونه کامل برای ماه تیر - دانش‌آموز شماره 91</x:v>
      </x:c>
    </x:row>
    <x:row r="1086">
      <x:c r="A1086" s="165" t="n">
        <x:v>1082</x:v>
      </x:c>
      <x:c r="B1086" s="233" t="str">
        <x:v>مرداد</x:v>
      </x:c>
      <x:c r="C1086" s="233" t="n">
        <x:f>IF('دانش‌آموزان'!E95="","",'دانش‌آموزان'!B95)</x:f>
        <x:v>91</x:v>
      </x:c>
      <x:c r="D1086" s="233" t="str">
        <x:f>IF('دانش‌آموزان'!C95="","",'دانش‌آموزان'!C95)</x:f>
        <x:v>4000000918</x:v>
      </x:c>
      <x:c r="E1086" s="233" t="str">
        <x:f>IF('دانش‌آموزان'!E95="","",'دانش‌آموزان'!E95&amp;" "&amp;'دانش‌آموزان'!F95)</x:f>
        <x:v>پارسا موسوی</x:v>
      </x:c>
      <x:c r="F1086" s="166" t="str">
        <x:f>IF('دانش‌آموزان'!I95="","",'دانش‌آموزان'!I95)</x:f>
        <x:v>sample-7-d</x:v>
      </x:c>
      <x:c r="G1086" s="114"/>
      <x:c r="H1086" s="115"/>
      <x:c r="I1086" s="115"/>
      <x:c r="J1086" s="115"/>
      <x:c r="K1086" s="115"/>
      <x:c r="L1086" s="115"/>
      <x:c r="M1086" s="115"/>
      <x:c r="N1086" s="115"/>
      <x:c r="O1086" s="115"/>
      <x:c r="P1086" s="115"/>
      <x:c r="Q1086" s="115"/>
      <x:c r="R1086" s="115"/>
      <x:c r="S1086" s="115"/>
      <x:c r="T1086" s="115"/>
      <x:c r="U1086" s="115"/>
      <x:c r="V1086" s="115"/>
      <x:c r="W1086" s="115"/>
      <x:c r="X1086" s="115"/>
      <x:c r="Y1086" s="115"/>
      <x:c r="Z1086" s="115"/>
      <x:c r="AA1086" s="115"/>
      <x:c r="AB1086" s="115"/>
      <x:c r="AC1086" s="115"/>
      <x:c r="AD1086" s="115"/>
      <x:c r="AE1086" s="115"/>
      <x:c r="AF1086" s="115"/>
      <x:c r="AG1086" s="115"/>
      <x:c r="AH1086" s="115"/>
      <x:c r="AI1086" s="115"/>
      <x:c r="AJ1086" s="115"/>
      <x:c r="AK1086" s="115"/>
      <x:c r="AL1086" s="115"/>
      <x:c r="AM1086" s="115"/>
      <x:c r="AN1086" s="115"/>
      <x:c r="AO1086" s="115"/>
      <x:c r="AP1086" s="115"/>
      <x:c r="AQ1086" s="115"/>
      <x:c r="AR1086" s="115"/>
      <x:c r="AS1086" s="115"/>
      <x:c r="AT1086" s="115"/>
      <x:c r="AU1086" s="115"/>
      <x:c r="AV1086" s="115"/>
      <x:c r="AW1086" s="115"/>
      <x:c r="AX1086" s="115"/>
      <x:c r="AY1086" s="115"/>
      <x:c r="AZ1086" s="115"/>
      <x:c r="BA1086" s="115"/>
      <x:c r="BB1086" s="115"/>
      <x:c r="BC1086" s="115"/>
      <x:c r="BD1086" s="115"/>
      <x:c r="BE1086" s="115"/>
      <x:c r="BF1086" s="115"/>
      <x:c r="BG1086" s="115"/>
      <x:c r="BH1086" s="115"/>
      <x:c r="BI1086" s="115"/>
      <x:c r="BJ1086" s="115"/>
      <x:c r="BK1086" s="115"/>
      <x:c r="BL1086" s="115"/>
      <x:c r="BM1086" s="115"/>
      <x:c r="BN1086" s="115"/>
      <x:c r="BO1086" s="115"/>
      <x:c r="BP1086" s="115"/>
      <x:c r="BQ1086" s="115"/>
      <x:c r="BR1086" s="115"/>
      <x:c r="BS1086" s="115"/>
      <x:c r="BT1086" s="115"/>
      <x:c r="BU1086" s="115"/>
      <x:c r="BV1086" s="115"/>
      <x:c r="BW1086" s="115"/>
      <x:c r="BX1086" s="115"/>
      <x:c r="BY1086" s="115"/>
      <x:c r="BZ1086" s="115"/>
      <x:c r="CA1086" s="115"/>
      <x:c r="CB1086" s="116"/>
      <x:c r="CC1086" s="141" t="str">
        <x:f>IF(COUNT(G1086:P1086)=0,"",AVERAGE(G1086:P1086)*4)</x:f>
      </x:c>
      <x:c r="CD1086" s="178" t="str">
        <x:f>IF(COUNT(Q1086:Z1086)=0,"",AVERAGE(Q1086:Z1086)*4)</x:f>
      </x:c>
      <x:c r="CE1086" s="178" t="str">
        <x:f>IF(COUNT(AA1086:AJ1086)=0,"",AVERAGE(AA1086:AJ1086)*4)</x:f>
      </x:c>
      <x:c r="CF1086" s="178" t="str">
        <x:f>IF(COUNT(AK1086:AR1086)=0,"",AVERAGE(AK1086:AR1086)*4)</x:f>
      </x:c>
      <x:c r="CG1086" s="178" t="str">
        <x:f>IF(COUNT(AS1086:AY1086)=0,"",AVERAGE(AS1086:AY1086)*4)</x:f>
      </x:c>
      <x:c r="CH1086" s="178" t="str">
        <x:f>IF(COUNT(AZ1086:BG1086)=0,"",AVERAGE(AZ1086:BG1086)*4)</x:f>
      </x:c>
      <x:c r="CI1086" s="178" t="str">
        <x:f>IF(COUNT(BH1086:BN1086)=0,"",AVERAGE(BH1086:BN1086)*4)</x:f>
      </x:c>
      <x:c r="CJ1086" s="178" t="str">
        <x:f>IF(COUNT(BO1086:BU1086)=0,"",AVERAGE(BO1086:BU1086)*4)</x:f>
      </x:c>
      <x:c r="CK1086" s="178" t="str">
        <x:f>IF(COUNT(BV1086:CB1086)=0,"",AVERAGE(BV1086:CB1086)*4)</x:f>
      </x:c>
      <x:c r="CL1086" s="178" t="str">
        <x:f>IF(C1086="","",IF(COUNT(G1086:CB1086)&lt;74,"",(CC1086*'تنظیمات وزن‌دهی'!$C$5+CD1086*'تنظیمات وزن‌دهی'!$C$6+CE1086*'تنظیمات وزن‌دهی'!$C$7+CF1086*'تنظیمات وزن‌دهی'!$C$8+CG1086*'تنظیمات وزن‌دهی'!$C$9+CH1086*'تنظیمات وزن‌دهی'!$C$10+CI1086*'تنظیمات وزن‌دهی'!$C$11+CJ1086*'تنظیمات وزن‌دهی'!$C$12+CK1086*'تنظیمات وزن‌دهی'!$C$13)/100))</x:f>
      </x:c>
      <x:c r="CM1086" s="178" t="str">
        <x:f>IF(C1086="","",IF(COUNT(G1086:CB1086)=0,"",IF(COUNT(G1086:CB1086)&lt;74,"موقت - اطلاعات ناقص",IF(CL1086&gt;=17,"عالی",IF(CL1086&gt;=14,"خوب",IF(CL1086&gt;=10,"متوسط","ضعیف"))))))</x:f>
      </x:c>
      <x:c r="CN1086" s="178" t="n">
        <x:v>2</x:v>
      </x:c>
      <x:c r="CO1086" s="142" t="n">
        <x:f>IF(C1086="","",COUNT(G1086:CB1086)/74)</x:f>
        <x:v>0</x:v>
      </x:c>
      <x:c r="CP1086" s="245"/>
    </x:row>
    <x:row r="1087">
      <x:c r="A1087" s="165" t="n">
        <x:v>1083</x:v>
      </x:c>
      <x:c r="B1087" s="233" t="str">
        <x:v>شهریور</x:v>
      </x:c>
      <x:c r="C1087" s="233" t="n">
        <x:f>IF('دانش‌آموزان'!E95="","",'دانش‌آموزان'!B95)</x:f>
        <x:v>91</x:v>
      </x:c>
      <x:c r="D1087" s="233" t="str">
        <x:f>IF('دانش‌آموزان'!C95="","",'دانش‌آموزان'!C95)</x:f>
        <x:v>4000000918</x:v>
      </x:c>
      <x:c r="E1087" s="233" t="str">
        <x:f>IF('دانش‌آموزان'!E95="","",'دانش‌آموزان'!E95&amp;" "&amp;'دانش‌آموزان'!F95)</x:f>
        <x:v>پارسا موسوی</x:v>
      </x:c>
      <x:c r="F1087" s="166" t="str">
        <x:f>IF('دانش‌آموزان'!I95="","",'دانش‌آموزان'!I95)</x:f>
        <x:v>sample-7-d</x:v>
      </x:c>
      <x:c r="G1087" s="114"/>
      <x:c r="H1087" s="115"/>
      <x:c r="I1087" s="115"/>
      <x:c r="J1087" s="115"/>
      <x:c r="K1087" s="115"/>
      <x:c r="L1087" s="115"/>
      <x:c r="M1087" s="115"/>
      <x:c r="N1087" s="115"/>
      <x:c r="O1087" s="115"/>
      <x:c r="P1087" s="115"/>
      <x:c r="Q1087" s="115"/>
      <x:c r="R1087" s="115"/>
      <x:c r="S1087" s="115"/>
      <x:c r="T1087" s="115"/>
      <x:c r="U1087" s="115"/>
      <x:c r="V1087" s="115"/>
      <x:c r="W1087" s="115"/>
      <x:c r="X1087" s="115"/>
      <x:c r="Y1087" s="115"/>
      <x:c r="Z1087" s="115"/>
      <x:c r="AA1087" s="115"/>
      <x:c r="AB1087" s="115"/>
      <x:c r="AC1087" s="115"/>
      <x:c r="AD1087" s="115"/>
      <x:c r="AE1087" s="115"/>
      <x:c r="AF1087" s="115"/>
      <x:c r="AG1087" s="115"/>
      <x:c r="AH1087" s="115"/>
      <x:c r="AI1087" s="115"/>
      <x:c r="AJ1087" s="115"/>
      <x:c r="AK1087" s="115"/>
      <x:c r="AL1087" s="115"/>
      <x:c r="AM1087" s="115"/>
      <x:c r="AN1087" s="115"/>
      <x:c r="AO1087" s="115"/>
      <x:c r="AP1087" s="115"/>
      <x:c r="AQ1087" s="115"/>
      <x:c r="AR1087" s="115"/>
      <x:c r="AS1087" s="115"/>
      <x:c r="AT1087" s="115"/>
      <x:c r="AU1087" s="115"/>
      <x:c r="AV1087" s="115"/>
      <x:c r="AW1087" s="115"/>
      <x:c r="AX1087" s="115"/>
      <x:c r="AY1087" s="115"/>
      <x:c r="AZ1087" s="115"/>
      <x:c r="BA1087" s="115"/>
      <x:c r="BB1087" s="115"/>
      <x:c r="BC1087" s="115"/>
      <x:c r="BD1087" s="115"/>
      <x:c r="BE1087" s="115"/>
      <x:c r="BF1087" s="115"/>
      <x:c r="BG1087" s="115"/>
      <x:c r="BH1087" s="115"/>
      <x:c r="BI1087" s="115"/>
      <x:c r="BJ1087" s="115"/>
      <x:c r="BK1087" s="115"/>
      <x:c r="BL1087" s="115"/>
      <x:c r="BM1087" s="115"/>
      <x:c r="BN1087" s="115"/>
      <x:c r="BO1087" s="115"/>
      <x:c r="BP1087" s="115"/>
      <x:c r="BQ1087" s="115"/>
      <x:c r="BR1087" s="115"/>
      <x:c r="BS1087" s="115"/>
      <x:c r="BT1087" s="115"/>
      <x:c r="BU1087" s="115"/>
      <x:c r="BV1087" s="115"/>
      <x:c r="BW1087" s="115"/>
      <x:c r="BX1087" s="115"/>
      <x:c r="BY1087" s="115"/>
      <x:c r="BZ1087" s="115"/>
      <x:c r="CA1087" s="115"/>
      <x:c r="CB1087" s="116"/>
      <x:c r="CC1087" s="141" t="str">
        <x:f>IF(COUNT(G1087:P1087)=0,"",AVERAGE(G1087:P1087)*4)</x:f>
      </x:c>
      <x:c r="CD1087" s="178" t="str">
        <x:f>IF(COUNT(Q1087:Z1087)=0,"",AVERAGE(Q1087:Z1087)*4)</x:f>
      </x:c>
      <x:c r="CE1087" s="178" t="str">
        <x:f>IF(COUNT(AA1087:AJ1087)=0,"",AVERAGE(AA1087:AJ1087)*4)</x:f>
      </x:c>
      <x:c r="CF1087" s="178" t="str">
        <x:f>IF(COUNT(AK1087:AR1087)=0,"",AVERAGE(AK1087:AR1087)*4)</x:f>
      </x:c>
      <x:c r="CG1087" s="178" t="str">
        <x:f>IF(COUNT(AS1087:AY1087)=0,"",AVERAGE(AS1087:AY1087)*4)</x:f>
      </x:c>
      <x:c r="CH1087" s="178" t="str">
        <x:f>IF(COUNT(AZ1087:BG1087)=0,"",AVERAGE(AZ1087:BG1087)*4)</x:f>
      </x:c>
      <x:c r="CI1087" s="178" t="str">
        <x:f>IF(COUNT(BH1087:BN1087)=0,"",AVERAGE(BH1087:BN1087)*4)</x:f>
      </x:c>
      <x:c r="CJ1087" s="178" t="str">
        <x:f>IF(COUNT(BO1087:BU1087)=0,"",AVERAGE(BO1087:BU1087)*4)</x:f>
      </x:c>
      <x:c r="CK1087" s="178" t="str">
        <x:f>IF(COUNT(BV1087:CB1087)=0,"",AVERAGE(BV1087:CB1087)*4)</x:f>
      </x:c>
      <x:c r="CL1087" s="178" t="str">
        <x:f>IF(C1087="","",IF(COUNT(G1087:CB1087)&lt;74,"",(CC1087*'تنظیمات وزن‌دهی'!$C$5+CD1087*'تنظیمات وزن‌دهی'!$C$6+CE1087*'تنظیمات وزن‌دهی'!$C$7+CF1087*'تنظیمات وزن‌دهی'!$C$8+CG1087*'تنظیمات وزن‌دهی'!$C$9+CH1087*'تنظیمات وزن‌دهی'!$C$10+CI1087*'تنظیمات وزن‌دهی'!$C$11+CJ1087*'تنظیمات وزن‌دهی'!$C$12+CK1087*'تنظیمات وزن‌دهی'!$C$13)/100))</x:f>
      </x:c>
      <x:c r="CM1087" s="178" t="str">
        <x:f>IF(C1087="","",IF(COUNT(G1087:CB1087)=0,"",IF(COUNT(G1087:CB1087)&lt;74,"موقت - اطلاعات ناقص",IF(CL1087&gt;=17,"عالی",IF(CL1087&gt;=14,"خوب",IF(CL1087&gt;=10,"متوسط","ضعیف"))))))</x:f>
      </x:c>
      <x:c r="CN1087" s="178" t="n">
        <x:v>3</x:v>
      </x:c>
      <x:c r="CO1087" s="142" t="n">
        <x:f>IF(C1087="","",COUNT(G1087:CB1087)/74)</x:f>
        <x:v>0</x:v>
      </x:c>
      <x:c r="CP1087" s="245"/>
    </x:row>
    <x:row r="1088">
      <x:c r="A1088" s="165" t="n">
        <x:v>1084</x:v>
      </x:c>
      <x:c r="B1088" s="233" t="str">
        <x:v>مهر</x:v>
      </x:c>
      <x:c r="C1088" s="233" t="n">
        <x:f>IF('دانش‌آموزان'!E95="","",'دانش‌آموزان'!B95)</x:f>
        <x:v>91</x:v>
      </x:c>
      <x:c r="D1088" s="233" t="str">
        <x:f>IF('دانش‌آموزان'!C95="","",'دانش‌آموزان'!C95)</x:f>
        <x:v>4000000918</x:v>
      </x:c>
      <x:c r="E1088" s="233" t="str">
        <x:f>IF('دانش‌آموزان'!E95="","",'دانش‌آموزان'!E95&amp;" "&amp;'دانش‌آموزان'!F95)</x:f>
        <x:v>پارسا موسوی</x:v>
      </x:c>
      <x:c r="F1088" s="166" t="str">
        <x:f>IF('دانش‌آموزان'!I95="","",'دانش‌آموزان'!I95)</x:f>
        <x:v>sample-7-d</x:v>
      </x:c>
      <x:c r="G1088" s="114"/>
      <x:c r="H1088" s="115"/>
      <x:c r="I1088" s="115"/>
      <x:c r="J1088" s="115"/>
      <x:c r="K1088" s="115"/>
      <x:c r="L1088" s="115"/>
      <x:c r="M1088" s="115"/>
      <x:c r="N1088" s="115"/>
      <x:c r="O1088" s="115"/>
      <x:c r="P1088" s="115"/>
      <x:c r="Q1088" s="115"/>
      <x:c r="R1088" s="115"/>
      <x:c r="S1088" s="115"/>
      <x:c r="T1088" s="115"/>
      <x:c r="U1088" s="115"/>
      <x:c r="V1088" s="115"/>
      <x:c r="W1088" s="115"/>
      <x:c r="X1088" s="115"/>
      <x:c r="Y1088" s="115"/>
      <x:c r="Z1088" s="115"/>
      <x:c r="AA1088" s="115"/>
      <x:c r="AB1088" s="115"/>
      <x:c r="AC1088" s="115"/>
      <x:c r="AD1088" s="115"/>
      <x:c r="AE1088" s="115"/>
      <x:c r="AF1088" s="115"/>
      <x:c r="AG1088" s="115"/>
      <x:c r="AH1088" s="115"/>
      <x:c r="AI1088" s="115"/>
      <x:c r="AJ1088" s="115"/>
      <x:c r="AK1088" s="115"/>
      <x:c r="AL1088" s="115"/>
      <x:c r="AM1088" s="115"/>
      <x:c r="AN1088" s="115"/>
      <x:c r="AO1088" s="115"/>
      <x:c r="AP1088" s="115"/>
      <x:c r="AQ1088" s="115"/>
      <x:c r="AR1088" s="115"/>
      <x:c r="AS1088" s="115"/>
      <x:c r="AT1088" s="115"/>
      <x:c r="AU1088" s="115"/>
      <x:c r="AV1088" s="115"/>
      <x:c r="AW1088" s="115"/>
      <x:c r="AX1088" s="115"/>
      <x:c r="AY1088" s="115"/>
      <x:c r="AZ1088" s="115"/>
      <x:c r="BA1088" s="115"/>
      <x:c r="BB1088" s="115"/>
      <x:c r="BC1088" s="115"/>
      <x:c r="BD1088" s="115"/>
      <x:c r="BE1088" s="115"/>
      <x:c r="BF1088" s="115"/>
      <x:c r="BG1088" s="115"/>
      <x:c r="BH1088" s="115"/>
      <x:c r="BI1088" s="115"/>
      <x:c r="BJ1088" s="115"/>
      <x:c r="BK1088" s="115"/>
      <x:c r="BL1088" s="115"/>
      <x:c r="BM1088" s="115"/>
      <x:c r="BN1088" s="115"/>
      <x:c r="BO1088" s="115"/>
      <x:c r="BP1088" s="115"/>
      <x:c r="BQ1088" s="115"/>
      <x:c r="BR1088" s="115"/>
      <x:c r="BS1088" s="115"/>
      <x:c r="BT1088" s="115"/>
      <x:c r="BU1088" s="115"/>
      <x:c r="BV1088" s="115"/>
      <x:c r="BW1088" s="115"/>
      <x:c r="BX1088" s="115"/>
      <x:c r="BY1088" s="115"/>
      <x:c r="BZ1088" s="115"/>
      <x:c r="CA1088" s="115"/>
      <x:c r="CB1088" s="116"/>
      <x:c r="CC1088" s="141" t="str">
        <x:f>IF(COUNT(G1088:P1088)=0,"",AVERAGE(G1088:P1088)*4)</x:f>
      </x:c>
      <x:c r="CD1088" s="178" t="str">
        <x:f>IF(COUNT(Q1088:Z1088)=0,"",AVERAGE(Q1088:Z1088)*4)</x:f>
      </x:c>
      <x:c r="CE1088" s="178" t="str">
        <x:f>IF(COUNT(AA1088:AJ1088)=0,"",AVERAGE(AA1088:AJ1088)*4)</x:f>
      </x:c>
      <x:c r="CF1088" s="178" t="str">
        <x:f>IF(COUNT(AK1088:AR1088)=0,"",AVERAGE(AK1088:AR1088)*4)</x:f>
      </x:c>
      <x:c r="CG1088" s="178" t="str">
        <x:f>IF(COUNT(AS1088:AY1088)=0,"",AVERAGE(AS1088:AY1088)*4)</x:f>
      </x:c>
      <x:c r="CH1088" s="178" t="str">
        <x:f>IF(COUNT(AZ1088:BG1088)=0,"",AVERAGE(AZ1088:BG1088)*4)</x:f>
      </x:c>
      <x:c r="CI1088" s="178" t="str">
        <x:f>IF(COUNT(BH1088:BN1088)=0,"",AVERAGE(BH1088:BN1088)*4)</x:f>
      </x:c>
      <x:c r="CJ1088" s="178" t="str">
        <x:f>IF(COUNT(BO1088:BU1088)=0,"",AVERAGE(BO1088:BU1088)*4)</x:f>
      </x:c>
      <x:c r="CK1088" s="178" t="str">
        <x:f>IF(COUNT(BV1088:CB1088)=0,"",AVERAGE(BV1088:CB1088)*4)</x:f>
      </x:c>
      <x:c r="CL1088" s="178" t="str">
        <x:f>IF(C1088="","",IF(COUNT(G1088:CB1088)&lt;74,"",(CC1088*'تنظیمات وزن‌دهی'!$C$5+CD1088*'تنظیمات وزن‌دهی'!$C$6+CE1088*'تنظیمات وزن‌دهی'!$C$7+CF1088*'تنظیمات وزن‌دهی'!$C$8+CG1088*'تنظیمات وزن‌دهی'!$C$9+CH1088*'تنظیمات وزن‌دهی'!$C$10+CI1088*'تنظیمات وزن‌دهی'!$C$11+CJ1088*'تنظیمات وزن‌دهی'!$C$12+CK1088*'تنظیمات وزن‌دهی'!$C$13)/100))</x:f>
      </x:c>
      <x:c r="CM1088" s="178" t="str">
        <x:f>IF(C1088="","",IF(COUNT(G1088:CB1088)=0,"",IF(COUNT(G1088:CB1088)&lt;74,"موقت - اطلاعات ناقص",IF(CL1088&gt;=17,"عالی",IF(CL1088&gt;=14,"خوب",IF(CL1088&gt;=10,"متوسط","ضعیف"))))))</x:f>
      </x:c>
      <x:c r="CN1088" s="178" t="n">
        <x:v>4</x:v>
      </x:c>
      <x:c r="CO1088" s="142" t="n">
        <x:f>IF(C1088="","",COUNT(G1088:CB1088)/74)</x:f>
        <x:v>0</x:v>
      </x:c>
      <x:c r="CP1088" s="245"/>
    </x:row>
    <x:row r="1089">
      <x:c r="A1089" s="165" t="n">
        <x:v>1085</x:v>
      </x:c>
      <x:c r="B1089" s="233" t="str">
        <x:v>آبان</x:v>
      </x:c>
      <x:c r="C1089" s="233" t="n">
        <x:f>IF('دانش‌آموزان'!E95="","",'دانش‌آموزان'!B95)</x:f>
        <x:v>91</x:v>
      </x:c>
      <x:c r="D1089" s="233" t="str">
        <x:f>IF('دانش‌آموزان'!C95="","",'دانش‌آموزان'!C95)</x:f>
        <x:v>4000000918</x:v>
      </x:c>
      <x:c r="E1089" s="233" t="str">
        <x:f>IF('دانش‌آموزان'!E95="","",'دانش‌آموزان'!E95&amp;" "&amp;'دانش‌آموزان'!F95)</x:f>
        <x:v>پارسا موسوی</x:v>
      </x:c>
      <x:c r="F1089" s="166" t="str">
        <x:f>IF('دانش‌آموزان'!I95="","",'دانش‌آموزان'!I95)</x:f>
        <x:v>sample-7-d</x:v>
      </x:c>
      <x:c r="G1089" s="114"/>
      <x:c r="H1089" s="115"/>
      <x:c r="I1089" s="115"/>
      <x:c r="J1089" s="115"/>
      <x:c r="K1089" s="115"/>
      <x:c r="L1089" s="115"/>
      <x:c r="M1089" s="115"/>
      <x:c r="N1089" s="115"/>
      <x:c r="O1089" s="115"/>
      <x:c r="P1089" s="115"/>
      <x:c r="Q1089" s="115"/>
      <x:c r="R1089" s="115"/>
      <x:c r="S1089" s="115"/>
      <x:c r="T1089" s="115"/>
      <x:c r="U1089" s="115"/>
      <x:c r="V1089" s="115"/>
      <x:c r="W1089" s="115"/>
      <x:c r="X1089" s="115"/>
      <x:c r="Y1089" s="115"/>
      <x:c r="Z1089" s="115"/>
      <x:c r="AA1089" s="115"/>
      <x:c r="AB1089" s="115"/>
      <x:c r="AC1089" s="115"/>
      <x:c r="AD1089" s="115"/>
      <x:c r="AE1089" s="115"/>
      <x:c r="AF1089" s="115"/>
      <x:c r="AG1089" s="115"/>
      <x:c r="AH1089" s="115"/>
      <x:c r="AI1089" s="115"/>
      <x:c r="AJ1089" s="115"/>
      <x:c r="AK1089" s="115"/>
      <x:c r="AL1089" s="115"/>
      <x:c r="AM1089" s="115"/>
      <x:c r="AN1089" s="115"/>
      <x:c r="AO1089" s="115"/>
      <x:c r="AP1089" s="115"/>
      <x:c r="AQ1089" s="115"/>
      <x:c r="AR1089" s="115"/>
      <x:c r="AS1089" s="115"/>
      <x:c r="AT1089" s="115"/>
      <x:c r="AU1089" s="115"/>
      <x:c r="AV1089" s="115"/>
      <x:c r="AW1089" s="115"/>
      <x:c r="AX1089" s="115"/>
      <x:c r="AY1089" s="115"/>
      <x:c r="AZ1089" s="115"/>
      <x:c r="BA1089" s="115"/>
      <x:c r="BB1089" s="115"/>
      <x:c r="BC1089" s="115"/>
      <x:c r="BD1089" s="115"/>
      <x:c r="BE1089" s="115"/>
      <x:c r="BF1089" s="115"/>
      <x:c r="BG1089" s="115"/>
      <x:c r="BH1089" s="115"/>
      <x:c r="BI1089" s="115"/>
      <x:c r="BJ1089" s="115"/>
      <x:c r="BK1089" s="115"/>
      <x:c r="BL1089" s="115"/>
      <x:c r="BM1089" s="115"/>
      <x:c r="BN1089" s="115"/>
      <x:c r="BO1089" s="115"/>
      <x:c r="BP1089" s="115"/>
      <x:c r="BQ1089" s="115"/>
      <x:c r="BR1089" s="115"/>
      <x:c r="BS1089" s="115"/>
      <x:c r="BT1089" s="115"/>
      <x:c r="BU1089" s="115"/>
      <x:c r="BV1089" s="115"/>
      <x:c r="BW1089" s="115"/>
      <x:c r="BX1089" s="115"/>
      <x:c r="BY1089" s="115"/>
      <x:c r="BZ1089" s="115"/>
      <x:c r="CA1089" s="115"/>
      <x:c r="CB1089" s="116"/>
      <x:c r="CC1089" s="141" t="str">
        <x:f>IF(COUNT(G1089:P1089)=0,"",AVERAGE(G1089:P1089)*4)</x:f>
      </x:c>
      <x:c r="CD1089" s="178" t="str">
        <x:f>IF(COUNT(Q1089:Z1089)=0,"",AVERAGE(Q1089:Z1089)*4)</x:f>
      </x:c>
      <x:c r="CE1089" s="178" t="str">
        <x:f>IF(COUNT(AA1089:AJ1089)=0,"",AVERAGE(AA1089:AJ1089)*4)</x:f>
      </x:c>
      <x:c r="CF1089" s="178" t="str">
        <x:f>IF(COUNT(AK1089:AR1089)=0,"",AVERAGE(AK1089:AR1089)*4)</x:f>
      </x:c>
      <x:c r="CG1089" s="178" t="str">
        <x:f>IF(COUNT(AS1089:AY1089)=0,"",AVERAGE(AS1089:AY1089)*4)</x:f>
      </x:c>
      <x:c r="CH1089" s="178" t="str">
        <x:f>IF(COUNT(AZ1089:BG1089)=0,"",AVERAGE(AZ1089:BG1089)*4)</x:f>
      </x:c>
      <x:c r="CI1089" s="178" t="str">
        <x:f>IF(COUNT(BH1089:BN1089)=0,"",AVERAGE(BH1089:BN1089)*4)</x:f>
      </x:c>
      <x:c r="CJ1089" s="178" t="str">
        <x:f>IF(COUNT(BO1089:BU1089)=0,"",AVERAGE(BO1089:BU1089)*4)</x:f>
      </x:c>
      <x:c r="CK1089" s="178" t="str">
        <x:f>IF(COUNT(BV1089:CB1089)=0,"",AVERAGE(BV1089:CB1089)*4)</x:f>
      </x:c>
      <x:c r="CL1089" s="178" t="str">
        <x:f>IF(C1089="","",IF(COUNT(G1089:CB1089)&lt;74,"",(CC1089*'تنظیمات وزن‌دهی'!$C$5+CD1089*'تنظیمات وزن‌دهی'!$C$6+CE1089*'تنظیمات وزن‌دهی'!$C$7+CF1089*'تنظیمات وزن‌دهی'!$C$8+CG1089*'تنظیمات وزن‌دهی'!$C$9+CH1089*'تنظیمات وزن‌دهی'!$C$10+CI1089*'تنظیمات وزن‌دهی'!$C$11+CJ1089*'تنظیمات وزن‌دهی'!$C$12+CK1089*'تنظیمات وزن‌دهی'!$C$13)/100))</x:f>
      </x:c>
      <x:c r="CM1089" s="178" t="str">
        <x:f>IF(C1089="","",IF(COUNT(G1089:CB1089)=0,"",IF(COUNT(G1089:CB1089)&lt;74,"موقت - اطلاعات ناقص",IF(CL1089&gt;=17,"عالی",IF(CL1089&gt;=14,"خوب",IF(CL1089&gt;=10,"متوسط","ضعیف"))))))</x:f>
      </x:c>
      <x:c r="CN1089" s="178" t="n">
        <x:v>5</x:v>
      </x:c>
      <x:c r="CO1089" s="142" t="n">
        <x:f>IF(C1089="","",COUNT(G1089:CB1089)/74)</x:f>
        <x:v>0</x:v>
      </x:c>
      <x:c r="CP1089" s="245"/>
    </x:row>
    <x:row r="1090">
      <x:c r="A1090" s="165" t="n">
        <x:v>1086</x:v>
      </x:c>
      <x:c r="B1090" s="233" t="str">
        <x:v>آذر</x:v>
      </x:c>
      <x:c r="C1090" s="233" t="n">
        <x:f>IF('دانش‌آموزان'!E95="","",'دانش‌آموزان'!B95)</x:f>
        <x:v>91</x:v>
      </x:c>
      <x:c r="D1090" s="233" t="str">
        <x:f>IF('دانش‌آموزان'!C95="","",'دانش‌آموزان'!C95)</x:f>
        <x:v>4000000918</x:v>
      </x:c>
      <x:c r="E1090" s="233" t="str">
        <x:f>IF('دانش‌آموزان'!E95="","",'دانش‌آموزان'!E95&amp;" "&amp;'دانش‌آموزان'!F95)</x:f>
        <x:v>پارسا موسوی</x:v>
      </x:c>
      <x:c r="F1090" s="166" t="str">
        <x:f>IF('دانش‌آموزان'!I95="","",'دانش‌آموزان'!I95)</x:f>
        <x:v>sample-7-d</x:v>
      </x:c>
      <x:c r="G1090" s="114"/>
      <x:c r="H1090" s="115"/>
      <x:c r="I1090" s="115"/>
      <x:c r="J1090" s="115"/>
      <x:c r="K1090" s="115"/>
      <x:c r="L1090" s="115"/>
      <x:c r="M1090" s="115"/>
      <x:c r="N1090" s="115"/>
      <x:c r="O1090" s="115"/>
      <x:c r="P1090" s="115"/>
      <x:c r="Q1090" s="115"/>
      <x:c r="R1090" s="115"/>
      <x:c r="S1090" s="115"/>
      <x:c r="T1090" s="115"/>
      <x:c r="U1090" s="115"/>
      <x:c r="V1090" s="115"/>
      <x:c r="W1090" s="115"/>
      <x:c r="X1090" s="115"/>
      <x:c r="Y1090" s="115"/>
      <x:c r="Z1090" s="115"/>
      <x:c r="AA1090" s="115"/>
      <x:c r="AB1090" s="115"/>
      <x:c r="AC1090" s="115"/>
      <x:c r="AD1090" s="115"/>
      <x:c r="AE1090" s="115"/>
      <x:c r="AF1090" s="115"/>
      <x:c r="AG1090" s="115"/>
      <x:c r="AH1090" s="115"/>
      <x:c r="AI1090" s="115"/>
      <x:c r="AJ1090" s="115"/>
      <x:c r="AK1090" s="115"/>
      <x:c r="AL1090" s="115"/>
      <x:c r="AM1090" s="115"/>
      <x:c r="AN1090" s="115"/>
      <x:c r="AO1090" s="115"/>
      <x:c r="AP1090" s="115"/>
      <x:c r="AQ1090" s="115"/>
      <x:c r="AR1090" s="115"/>
      <x:c r="AS1090" s="115"/>
      <x:c r="AT1090" s="115"/>
      <x:c r="AU1090" s="115"/>
      <x:c r="AV1090" s="115"/>
      <x:c r="AW1090" s="115"/>
      <x:c r="AX1090" s="115"/>
      <x:c r="AY1090" s="115"/>
      <x:c r="AZ1090" s="115"/>
      <x:c r="BA1090" s="115"/>
      <x:c r="BB1090" s="115"/>
      <x:c r="BC1090" s="115"/>
      <x:c r="BD1090" s="115"/>
      <x:c r="BE1090" s="115"/>
      <x:c r="BF1090" s="115"/>
      <x:c r="BG1090" s="115"/>
      <x:c r="BH1090" s="115"/>
      <x:c r="BI1090" s="115"/>
      <x:c r="BJ1090" s="115"/>
      <x:c r="BK1090" s="115"/>
      <x:c r="BL1090" s="115"/>
      <x:c r="BM1090" s="115"/>
      <x:c r="BN1090" s="115"/>
      <x:c r="BO1090" s="115"/>
      <x:c r="BP1090" s="115"/>
      <x:c r="BQ1090" s="115"/>
      <x:c r="BR1090" s="115"/>
      <x:c r="BS1090" s="115"/>
      <x:c r="BT1090" s="115"/>
      <x:c r="BU1090" s="115"/>
      <x:c r="BV1090" s="115"/>
      <x:c r="BW1090" s="115"/>
      <x:c r="BX1090" s="115"/>
      <x:c r="BY1090" s="115"/>
      <x:c r="BZ1090" s="115"/>
      <x:c r="CA1090" s="115"/>
      <x:c r="CB1090" s="116"/>
      <x:c r="CC1090" s="141" t="str">
        <x:f>IF(COUNT(G1090:P1090)=0,"",AVERAGE(G1090:P1090)*4)</x:f>
      </x:c>
      <x:c r="CD1090" s="178" t="str">
        <x:f>IF(COUNT(Q1090:Z1090)=0,"",AVERAGE(Q1090:Z1090)*4)</x:f>
      </x:c>
      <x:c r="CE1090" s="178" t="str">
        <x:f>IF(COUNT(AA1090:AJ1090)=0,"",AVERAGE(AA1090:AJ1090)*4)</x:f>
      </x:c>
      <x:c r="CF1090" s="178" t="str">
        <x:f>IF(COUNT(AK1090:AR1090)=0,"",AVERAGE(AK1090:AR1090)*4)</x:f>
      </x:c>
      <x:c r="CG1090" s="178" t="str">
        <x:f>IF(COUNT(AS1090:AY1090)=0,"",AVERAGE(AS1090:AY1090)*4)</x:f>
      </x:c>
      <x:c r="CH1090" s="178" t="str">
        <x:f>IF(COUNT(AZ1090:BG1090)=0,"",AVERAGE(AZ1090:BG1090)*4)</x:f>
      </x:c>
      <x:c r="CI1090" s="178" t="str">
        <x:f>IF(COUNT(BH1090:BN1090)=0,"",AVERAGE(BH1090:BN1090)*4)</x:f>
      </x:c>
      <x:c r="CJ1090" s="178" t="str">
        <x:f>IF(COUNT(BO1090:BU1090)=0,"",AVERAGE(BO1090:BU1090)*4)</x:f>
      </x:c>
      <x:c r="CK1090" s="178" t="str">
        <x:f>IF(COUNT(BV1090:CB1090)=0,"",AVERAGE(BV1090:CB1090)*4)</x:f>
      </x:c>
      <x:c r="CL1090" s="178" t="str">
        <x:f>IF(C1090="","",IF(COUNT(G1090:CB1090)&lt;74,"",(CC1090*'تنظیمات وزن‌دهی'!$C$5+CD1090*'تنظیمات وزن‌دهی'!$C$6+CE1090*'تنظیمات وزن‌دهی'!$C$7+CF1090*'تنظیمات وزن‌دهی'!$C$8+CG1090*'تنظیمات وزن‌دهی'!$C$9+CH1090*'تنظیمات وزن‌دهی'!$C$10+CI1090*'تنظیمات وزن‌دهی'!$C$11+CJ1090*'تنظیمات وزن‌دهی'!$C$12+CK1090*'تنظیمات وزن‌دهی'!$C$13)/100))</x:f>
      </x:c>
      <x:c r="CM1090" s="178" t="str">
        <x:f>IF(C1090="","",IF(COUNT(G1090:CB1090)=0,"",IF(COUNT(G1090:CB1090)&lt;74,"موقت - اطلاعات ناقص",IF(CL1090&gt;=17,"عالی",IF(CL1090&gt;=14,"خوب",IF(CL1090&gt;=10,"متوسط","ضعیف"))))))</x:f>
      </x:c>
      <x:c r="CN1090" s="178" t="n">
        <x:v>6</x:v>
      </x:c>
      <x:c r="CO1090" s="142" t="n">
        <x:f>IF(C1090="","",COUNT(G1090:CB1090)/74)</x:f>
        <x:v>0</x:v>
      </x:c>
      <x:c r="CP1090" s="245"/>
    </x:row>
    <x:row r="1091">
      <x:c r="A1091" s="165" t="n">
        <x:v>1087</x:v>
      </x:c>
      <x:c r="B1091" s="233" t="str">
        <x:v>دی</x:v>
      </x:c>
      <x:c r="C1091" s="233" t="n">
        <x:f>IF('دانش‌آموزان'!E95="","",'دانش‌آموزان'!B95)</x:f>
        <x:v>91</x:v>
      </x:c>
      <x:c r="D1091" s="233" t="str">
        <x:f>IF('دانش‌آموزان'!C95="","",'دانش‌آموزان'!C95)</x:f>
        <x:v>4000000918</x:v>
      </x:c>
      <x:c r="E1091" s="233" t="str">
        <x:f>IF('دانش‌آموزان'!E95="","",'دانش‌آموزان'!E95&amp;" "&amp;'دانش‌آموزان'!F95)</x:f>
        <x:v>پارسا موسوی</x:v>
      </x:c>
      <x:c r="F1091" s="166" t="str">
        <x:f>IF('دانش‌آموزان'!I95="","",'دانش‌آموزان'!I95)</x:f>
        <x:v>sample-7-d</x:v>
      </x:c>
      <x:c r="G1091" s="114"/>
      <x:c r="H1091" s="115"/>
      <x:c r="I1091" s="115"/>
      <x:c r="J1091" s="115"/>
      <x:c r="K1091" s="115"/>
      <x:c r="L1091" s="115"/>
      <x:c r="M1091" s="115"/>
      <x:c r="N1091" s="115"/>
      <x:c r="O1091" s="115"/>
      <x:c r="P1091" s="115"/>
      <x:c r="Q1091" s="115"/>
      <x:c r="R1091" s="115"/>
      <x:c r="S1091" s="115"/>
      <x:c r="T1091" s="115"/>
      <x:c r="U1091" s="115"/>
      <x:c r="V1091" s="115"/>
      <x:c r="W1091" s="115"/>
      <x:c r="X1091" s="115"/>
      <x:c r="Y1091" s="115"/>
      <x:c r="Z1091" s="115"/>
      <x:c r="AA1091" s="115"/>
      <x:c r="AB1091" s="115"/>
      <x:c r="AC1091" s="115"/>
      <x:c r="AD1091" s="115"/>
      <x:c r="AE1091" s="115"/>
      <x:c r="AF1091" s="115"/>
      <x:c r="AG1091" s="115"/>
      <x:c r="AH1091" s="115"/>
      <x:c r="AI1091" s="115"/>
      <x:c r="AJ1091" s="115"/>
      <x:c r="AK1091" s="115"/>
      <x:c r="AL1091" s="115"/>
      <x:c r="AM1091" s="115"/>
      <x:c r="AN1091" s="115"/>
      <x:c r="AO1091" s="115"/>
      <x:c r="AP1091" s="115"/>
      <x:c r="AQ1091" s="115"/>
      <x:c r="AR1091" s="115"/>
      <x:c r="AS1091" s="115"/>
      <x:c r="AT1091" s="115"/>
      <x:c r="AU1091" s="115"/>
      <x:c r="AV1091" s="115"/>
      <x:c r="AW1091" s="115"/>
      <x:c r="AX1091" s="115"/>
      <x:c r="AY1091" s="115"/>
      <x:c r="AZ1091" s="115"/>
      <x:c r="BA1091" s="115"/>
      <x:c r="BB1091" s="115"/>
      <x:c r="BC1091" s="115"/>
      <x:c r="BD1091" s="115"/>
      <x:c r="BE1091" s="115"/>
      <x:c r="BF1091" s="115"/>
      <x:c r="BG1091" s="115"/>
      <x:c r="BH1091" s="115"/>
      <x:c r="BI1091" s="115"/>
      <x:c r="BJ1091" s="115"/>
      <x:c r="BK1091" s="115"/>
      <x:c r="BL1091" s="115"/>
      <x:c r="BM1091" s="115"/>
      <x:c r="BN1091" s="115"/>
      <x:c r="BO1091" s="115"/>
      <x:c r="BP1091" s="115"/>
      <x:c r="BQ1091" s="115"/>
      <x:c r="BR1091" s="115"/>
      <x:c r="BS1091" s="115"/>
      <x:c r="BT1091" s="115"/>
      <x:c r="BU1091" s="115"/>
      <x:c r="BV1091" s="115"/>
      <x:c r="BW1091" s="115"/>
      <x:c r="BX1091" s="115"/>
      <x:c r="BY1091" s="115"/>
      <x:c r="BZ1091" s="115"/>
      <x:c r="CA1091" s="115"/>
      <x:c r="CB1091" s="116"/>
      <x:c r="CC1091" s="141" t="str">
        <x:f>IF(COUNT(G1091:P1091)=0,"",AVERAGE(G1091:P1091)*4)</x:f>
      </x:c>
      <x:c r="CD1091" s="178" t="str">
        <x:f>IF(COUNT(Q1091:Z1091)=0,"",AVERAGE(Q1091:Z1091)*4)</x:f>
      </x:c>
      <x:c r="CE1091" s="178" t="str">
        <x:f>IF(COUNT(AA1091:AJ1091)=0,"",AVERAGE(AA1091:AJ1091)*4)</x:f>
      </x:c>
      <x:c r="CF1091" s="178" t="str">
        <x:f>IF(COUNT(AK1091:AR1091)=0,"",AVERAGE(AK1091:AR1091)*4)</x:f>
      </x:c>
      <x:c r="CG1091" s="178" t="str">
        <x:f>IF(COUNT(AS1091:AY1091)=0,"",AVERAGE(AS1091:AY1091)*4)</x:f>
      </x:c>
      <x:c r="CH1091" s="178" t="str">
        <x:f>IF(COUNT(AZ1091:BG1091)=0,"",AVERAGE(AZ1091:BG1091)*4)</x:f>
      </x:c>
      <x:c r="CI1091" s="178" t="str">
        <x:f>IF(COUNT(BH1091:BN1091)=0,"",AVERAGE(BH1091:BN1091)*4)</x:f>
      </x:c>
      <x:c r="CJ1091" s="178" t="str">
        <x:f>IF(COUNT(BO1091:BU1091)=0,"",AVERAGE(BO1091:BU1091)*4)</x:f>
      </x:c>
      <x:c r="CK1091" s="178" t="str">
        <x:f>IF(COUNT(BV1091:CB1091)=0,"",AVERAGE(BV1091:CB1091)*4)</x:f>
      </x:c>
      <x:c r="CL1091" s="178" t="str">
        <x:f>IF(C1091="","",IF(COUNT(G1091:CB1091)&lt;74,"",(CC1091*'تنظیمات وزن‌دهی'!$C$5+CD1091*'تنظیمات وزن‌دهی'!$C$6+CE1091*'تنظیمات وزن‌دهی'!$C$7+CF1091*'تنظیمات وزن‌دهی'!$C$8+CG1091*'تنظیمات وزن‌دهی'!$C$9+CH1091*'تنظیمات وزن‌دهی'!$C$10+CI1091*'تنظیمات وزن‌دهی'!$C$11+CJ1091*'تنظیمات وزن‌دهی'!$C$12+CK1091*'تنظیمات وزن‌دهی'!$C$13)/100))</x:f>
      </x:c>
      <x:c r="CM1091" s="178" t="str">
        <x:f>IF(C1091="","",IF(COUNT(G1091:CB1091)=0,"",IF(COUNT(G1091:CB1091)&lt;74,"موقت - اطلاعات ناقص",IF(CL1091&gt;=17,"عالی",IF(CL1091&gt;=14,"خوب",IF(CL1091&gt;=10,"متوسط","ضعیف"))))))</x:f>
      </x:c>
      <x:c r="CN1091" s="178" t="n">
        <x:v>7</x:v>
      </x:c>
      <x:c r="CO1091" s="142" t="n">
        <x:f>IF(C1091="","",COUNT(G1091:CB1091)/74)</x:f>
        <x:v>0</x:v>
      </x:c>
      <x:c r="CP1091" s="245"/>
    </x:row>
    <x:row r="1092">
      <x:c r="A1092" s="165" t="n">
        <x:v>1088</x:v>
      </x:c>
      <x:c r="B1092" s="233" t="str">
        <x:v>بهمن</x:v>
      </x:c>
      <x:c r="C1092" s="233" t="n">
        <x:f>IF('دانش‌آموزان'!E95="","",'دانش‌آموزان'!B95)</x:f>
        <x:v>91</x:v>
      </x:c>
      <x:c r="D1092" s="233" t="str">
        <x:f>IF('دانش‌آموزان'!C95="","",'دانش‌آموزان'!C95)</x:f>
        <x:v>4000000918</x:v>
      </x:c>
      <x:c r="E1092" s="233" t="str">
        <x:f>IF('دانش‌آموزان'!E95="","",'دانش‌آموزان'!E95&amp;" "&amp;'دانش‌آموزان'!F95)</x:f>
        <x:v>پارسا موسوی</x:v>
      </x:c>
      <x:c r="F1092" s="166" t="str">
        <x:f>IF('دانش‌آموزان'!I95="","",'دانش‌آموزان'!I95)</x:f>
        <x:v>sample-7-d</x:v>
      </x:c>
      <x:c r="G1092" s="114"/>
      <x:c r="H1092" s="115"/>
      <x:c r="I1092" s="115"/>
      <x:c r="J1092" s="115"/>
      <x:c r="K1092" s="115"/>
      <x:c r="L1092" s="115"/>
      <x:c r="M1092" s="115"/>
      <x:c r="N1092" s="115"/>
      <x:c r="O1092" s="115"/>
      <x:c r="P1092" s="115"/>
      <x:c r="Q1092" s="115"/>
      <x:c r="R1092" s="115"/>
      <x:c r="S1092" s="115"/>
      <x:c r="T1092" s="115"/>
      <x:c r="U1092" s="115"/>
      <x:c r="V1092" s="115"/>
      <x:c r="W1092" s="115"/>
      <x:c r="X1092" s="115"/>
      <x:c r="Y1092" s="115"/>
      <x:c r="Z1092" s="115"/>
      <x:c r="AA1092" s="115"/>
      <x:c r="AB1092" s="115"/>
      <x:c r="AC1092" s="115"/>
      <x:c r="AD1092" s="115"/>
      <x:c r="AE1092" s="115"/>
      <x:c r="AF1092" s="115"/>
      <x:c r="AG1092" s="115"/>
      <x:c r="AH1092" s="115"/>
      <x:c r="AI1092" s="115"/>
      <x:c r="AJ1092" s="115"/>
      <x:c r="AK1092" s="115"/>
      <x:c r="AL1092" s="115"/>
      <x:c r="AM1092" s="115"/>
      <x:c r="AN1092" s="115"/>
      <x:c r="AO1092" s="115"/>
      <x:c r="AP1092" s="115"/>
      <x:c r="AQ1092" s="115"/>
      <x:c r="AR1092" s="115"/>
      <x:c r="AS1092" s="115"/>
      <x:c r="AT1092" s="115"/>
      <x:c r="AU1092" s="115"/>
      <x:c r="AV1092" s="115"/>
      <x:c r="AW1092" s="115"/>
      <x:c r="AX1092" s="115"/>
      <x:c r="AY1092" s="115"/>
      <x:c r="AZ1092" s="115"/>
      <x:c r="BA1092" s="115"/>
      <x:c r="BB1092" s="115"/>
      <x:c r="BC1092" s="115"/>
      <x:c r="BD1092" s="115"/>
      <x:c r="BE1092" s="115"/>
      <x:c r="BF1092" s="115"/>
      <x:c r="BG1092" s="115"/>
      <x:c r="BH1092" s="115"/>
      <x:c r="BI1092" s="115"/>
      <x:c r="BJ1092" s="115"/>
      <x:c r="BK1092" s="115"/>
      <x:c r="BL1092" s="115"/>
      <x:c r="BM1092" s="115"/>
      <x:c r="BN1092" s="115"/>
      <x:c r="BO1092" s="115"/>
      <x:c r="BP1092" s="115"/>
      <x:c r="BQ1092" s="115"/>
      <x:c r="BR1092" s="115"/>
      <x:c r="BS1092" s="115"/>
      <x:c r="BT1092" s="115"/>
      <x:c r="BU1092" s="115"/>
      <x:c r="BV1092" s="115"/>
      <x:c r="BW1092" s="115"/>
      <x:c r="BX1092" s="115"/>
      <x:c r="BY1092" s="115"/>
      <x:c r="BZ1092" s="115"/>
      <x:c r="CA1092" s="115"/>
      <x:c r="CB1092" s="116"/>
      <x:c r="CC1092" s="141" t="str">
        <x:f>IF(COUNT(G1092:P1092)=0,"",AVERAGE(G1092:P1092)*4)</x:f>
      </x:c>
      <x:c r="CD1092" s="178" t="str">
        <x:f>IF(COUNT(Q1092:Z1092)=0,"",AVERAGE(Q1092:Z1092)*4)</x:f>
      </x:c>
      <x:c r="CE1092" s="178" t="str">
        <x:f>IF(COUNT(AA1092:AJ1092)=0,"",AVERAGE(AA1092:AJ1092)*4)</x:f>
      </x:c>
      <x:c r="CF1092" s="178" t="str">
        <x:f>IF(COUNT(AK1092:AR1092)=0,"",AVERAGE(AK1092:AR1092)*4)</x:f>
      </x:c>
      <x:c r="CG1092" s="178" t="str">
        <x:f>IF(COUNT(AS1092:AY1092)=0,"",AVERAGE(AS1092:AY1092)*4)</x:f>
      </x:c>
      <x:c r="CH1092" s="178" t="str">
        <x:f>IF(COUNT(AZ1092:BG1092)=0,"",AVERAGE(AZ1092:BG1092)*4)</x:f>
      </x:c>
      <x:c r="CI1092" s="178" t="str">
        <x:f>IF(COUNT(BH1092:BN1092)=0,"",AVERAGE(BH1092:BN1092)*4)</x:f>
      </x:c>
      <x:c r="CJ1092" s="178" t="str">
        <x:f>IF(COUNT(BO1092:BU1092)=0,"",AVERAGE(BO1092:BU1092)*4)</x:f>
      </x:c>
      <x:c r="CK1092" s="178" t="str">
        <x:f>IF(COUNT(BV1092:CB1092)=0,"",AVERAGE(BV1092:CB1092)*4)</x:f>
      </x:c>
      <x:c r="CL1092" s="178" t="str">
        <x:f>IF(C1092="","",IF(COUNT(G1092:CB1092)&lt;74,"",(CC1092*'تنظیمات وزن‌دهی'!$C$5+CD1092*'تنظیمات وزن‌دهی'!$C$6+CE1092*'تنظیمات وزن‌دهی'!$C$7+CF1092*'تنظیمات وزن‌دهی'!$C$8+CG1092*'تنظیمات وزن‌دهی'!$C$9+CH1092*'تنظیمات وزن‌دهی'!$C$10+CI1092*'تنظیمات وزن‌دهی'!$C$11+CJ1092*'تنظیمات وزن‌دهی'!$C$12+CK1092*'تنظیمات وزن‌دهی'!$C$13)/100))</x:f>
      </x:c>
      <x:c r="CM1092" s="178" t="str">
        <x:f>IF(C1092="","",IF(COUNT(G1092:CB1092)=0,"",IF(COUNT(G1092:CB1092)&lt;74,"موقت - اطلاعات ناقص",IF(CL1092&gt;=17,"عالی",IF(CL1092&gt;=14,"خوب",IF(CL1092&gt;=10,"متوسط","ضعیف"))))))</x:f>
      </x:c>
      <x:c r="CN1092" s="178" t="n">
        <x:v>8</x:v>
      </x:c>
      <x:c r="CO1092" s="142" t="n">
        <x:f>IF(C1092="","",COUNT(G1092:CB1092)/74)</x:f>
        <x:v>0</x:v>
      </x:c>
      <x:c r="CP1092" s="245"/>
    </x:row>
    <x:row r="1093">
      <x:c r="A1093" s="165" t="n">
        <x:v>1089</x:v>
      </x:c>
      <x:c r="B1093" s="233" t="str">
        <x:v>اسفند</x:v>
      </x:c>
      <x:c r="C1093" s="233" t="n">
        <x:f>IF('دانش‌آموزان'!E95="","",'دانش‌آموزان'!B95)</x:f>
        <x:v>91</x:v>
      </x:c>
      <x:c r="D1093" s="233" t="str">
        <x:f>IF('دانش‌آموزان'!C95="","",'دانش‌آموزان'!C95)</x:f>
        <x:v>4000000918</x:v>
      </x:c>
      <x:c r="E1093" s="233" t="str">
        <x:f>IF('دانش‌آموزان'!E95="","",'دانش‌آموزان'!E95&amp;" "&amp;'دانش‌آموزان'!F95)</x:f>
        <x:v>پارسا موسوی</x:v>
      </x:c>
      <x:c r="F1093" s="166" t="str">
        <x:f>IF('دانش‌آموزان'!I95="","",'دانش‌آموزان'!I95)</x:f>
        <x:v>sample-7-d</x:v>
      </x:c>
      <x:c r="G1093" s="114"/>
      <x:c r="H1093" s="115"/>
      <x:c r="I1093" s="115"/>
      <x:c r="J1093" s="115"/>
      <x:c r="K1093" s="115"/>
      <x:c r="L1093" s="115"/>
      <x:c r="M1093" s="115"/>
      <x:c r="N1093" s="115"/>
      <x:c r="O1093" s="115"/>
      <x:c r="P1093" s="115"/>
      <x:c r="Q1093" s="115"/>
      <x:c r="R1093" s="115"/>
      <x:c r="S1093" s="115"/>
      <x:c r="T1093" s="115"/>
      <x:c r="U1093" s="115"/>
      <x:c r="V1093" s="115"/>
      <x:c r="W1093" s="115"/>
      <x:c r="X1093" s="115"/>
      <x:c r="Y1093" s="115"/>
      <x:c r="Z1093" s="115"/>
      <x:c r="AA1093" s="115"/>
      <x:c r="AB1093" s="115"/>
      <x:c r="AC1093" s="115"/>
      <x:c r="AD1093" s="115"/>
      <x:c r="AE1093" s="115"/>
      <x:c r="AF1093" s="115"/>
      <x:c r="AG1093" s="115"/>
      <x:c r="AH1093" s="115"/>
      <x:c r="AI1093" s="115"/>
      <x:c r="AJ1093" s="115"/>
      <x:c r="AK1093" s="115"/>
      <x:c r="AL1093" s="115"/>
      <x:c r="AM1093" s="115"/>
      <x:c r="AN1093" s="115"/>
      <x:c r="AO1093" s="115"/>
      <x:c r="AP1093" s="115"/>
      <x:c r="AQ1093" s="115"/>
      <x:c r="AR1093" s="115"/>
      <x:c r="AS1093" s="115"/>
      <x:c r="AT1093" s="115"/>
      <x:c r="AU1093" s="115"/>
      <x:c r="AV1093" s="115"/>
      <x:c r="AW1093" s="115"/>
      <x:c r="AX1093" s="115"/>
      <x:c r="AY1093" s="115"/>
      <x:c r="AZ1093" s="115"/>
      <x:c r="BA1093" s="115"/>
      <x:c r="BB1093" s="115"/>
      <x:c r="BC1093" s="115"/>
      <x:c r="BD1093" s="115"/>
      <x:c r="BE1093" s="115"/>
      <x:c r="BF1093" s="115"/>
      <x:c r="BG1093" s="115"/>
      <x:c r="BH1093" s="115"/>
      <x:c r="BI1093" s="115"/>
      <x:c r="BJ1093" s="115"/>
      <x:c r="BK1093" s="115"/>
      <x:c r="BL1093" s="115"/>
      <x:c r="BM1093" s="115"/>
      <x:c r="BN1093" s="115"/>
      <x:c r="BO1093" s="115"/>
      <x:c r="BP1093" s="115"/>
      <x:c r="BQ1093" s="115"/>
      <x:c r="BR1093" s="115"/>
      <x:c r="BS1093" s="115"/>
      <x:c r="BT1093" s="115"/>
      <x:c r="BU1093" s="115"/>
      <x:c r="BV1093" s="115"/>
      <x:c r="BW1093" s="115"/>
      <x:c r="BX1093" s="115"/>
      <x:c r="BY1093" s="115"/>
      <x:c r="BZ1093" s="115"/>
      <x:c r="CA1093" s="115"/>
      <x:c r="CB1093" s="116"/>
      <x:c r="CC1093" s="141" t="str">
        <x:f>IF(COUNT(G1093:P1093)=0,"",AVERAGE(G1093:P1093)*4)</x:f>
      </x:c>
      <x:c r="CD1093" s="178" t="str">
        <x:f>IF(COUNT(Q1093:Z1093)=0,"",AVERAGE(Q1093:Z1093)*4)</x:f>
      </x:c>
      <x:c r="CE1093" s="178" t="str">
        <x:f>IF(COUNT(AA1093:AJ1093)=0,"",AVERAGE(AA1093:AJ1093)*4)</x:f>
      </x:c>
      <x:c r="CF1093" s="178" t="str">
        <x:f>IF(COUNT(AK1093:AR1093)=0,"",AVERAGE(AK1093:AR1093)*4)</x:f>
      </x:c>
      <x:c r="CG1093" s="178" t="str">
        <x:f>IF(COUNT(AS1093:AY1093)=0,"",AVERAGE(AS1093:AY1093)*4)</x:f>
      </x:c>
      <x:c r="CH1093" s="178" t="str">
        <x:f>IF(COUNT(AZ1093:BG1093)=0,"",AVERAGE(AZ1093:BG1093)*4)</x:f>
      </x:c>
      <x:c r="CI1093" s="178" t="str">
        <x:f>IF(COUNT(BH1093:BN1093)=0,"",AVERAGE(BH1093:BN1093)*4)</x:f>
      </x:c>
      <x:c r="CJ1093" s="178" t="str">
        <x:f>IF(COUNT(BO1093:BU1093)=0,"",AVERAGE(BO1093:BU1093)*4)</x:f>
      </x:c>
      <x:c r="CK1093" s="178" t="str">
        <x:f>IF(COUNT(BV1093:CB1093)=0,"",AVERAGE(BV1093:CB1093)*4)</x:f>
      </x:c>
      <x:c r="CL1093" s="178" t="str">
        <x:f>IF(C1093="","",IF(COUNT(G1093:CB1093)&lt;74,"",(CC1093*'تنظیمات وزن‌دهی'!$C$5+CD1093*'تنظیمات وزن‌دهی'!$C$6+CE1093*'تنظیمات وزن‌دهی'!$C$7+CF1093*'تنظیمات وزن‌دهی'!$C$8+CG1093*'تنظیمات وزن‌دهی'!$C$9+CH1093*'تنظیمات وزن‌دهی'!$C$10+CI1093*'تنظیمات وزن‌دهی'!$C$11+CJ1093*'تنظیمات وزن‌دهی'!$C$12+CK1093*'تنظیمات وزن‌دهی'!$C$13)/100))</x:f>
      </x:c>
      <x:c r="CM1093" s="178" t="str">
        <x:f>IF(C1093="","",IF(COUNT(G1093:CB1093)=0,"",IF(COUNT(G1093:CB1093)&lt;74,"موقت - اطلاعات ناقص",IF(CL1093&gt;=17,"عالی",IF(CL1093&gt;=14,"خوب",IF(CL1093&gt;=10,"متوسط","ضعیف"))))))</x:f>
      </x:c>
      <x:c r="CN1093" s="178" t="n">
        <x:v>9</x:v>
      </x:c>
      <x:c r="CO1093" s="142" t="n">
        <x:f>IF(C1093="","",COUNT(G1093:CB1093)/74)</x:f>
        <x:v>0</x:v>
      </x:c>
      <x:c r="CP1093" s="245"/>
    </x:row>
    <x:row r="1094">
      <x:c r="A1094" s="165" t="n">
        <x:v>1090</x:v>
      </x:c>
      <x:c r="B1094" s="233" t="str">
        <x:v>فروردین</x:v>
      </x:c>
      <x:c r="C1094" s="233" t="n">
        <x:f>IF('دانش‌آموزان'!E95="","",'دانش‌آموزان'!B95)</x:f>
        <x:v>91</x:v>
      </x:c>
      <x:c r="D1094" s="233" t="str">
        <x:f>IF('دانش‌آموزان'!C95="","",'دانش‌آموزان'!C95)</x:f>
        <x:v>4000000918</x:v>
      </x:c>
      <x:c r="E1094" s="233" t="str">
        <x:f>IF('دانش‌آموزان'!E95="","",'دانش‌آموزان'!E95&amp;" "&amp;'دانش‌آموزان'!F95)</x:f>
        <x:v>پارسا موسوی</x:v>
      </x:c>
      <x:c r="F1094" s="166" t="str">
        <x:f>IF('دانش‌آموزان'!I95="","",'دانش‌آموزان'!I95)</x:f>
        <x:v>sample-7-d</x:v>
      </x:c>
      <x:c r="G1094" s="114"/>
      <x:c r="H1094" s="115"/>
      <x:c r="I1094" s="115"/>
      <x:c r="J1094" s="115"/>
      <x:c r="K1094" s="115"/>
      <x:c r="L1094" s="115"/>
      <x:c r="M1094" s="115"/>
      <x:c r="N1094" s="115"/>
      <x:c r="O1094" s="115"/>
      <x:c r="P1094" s="115"/>
      <x:c r="Q1094" s="115"/>
      <x:c r="R1094" s="115"/>
      <x:c r="S1094" s="115"/>
      <x:c r="T1094" s="115"/>
      <x:c r="U1094" s="115"/>
      <x:c r="V1094" s="115"/>
      <x:c r="W1094" s="115"/>
      <x:c r="X1094" s="115"/>
      <x:c r="Y1094" s="115"/>
      <x:c r="Z1094" s="115"/>
      <x:c r="AA1094" s="115"/>
      <x:c r="AB1094" s="115"/>
      <x:c r="AC1094" s="115"/>
      <x:c r="AD1094" s="115"/>
      <x:c r="AE1094" s="115"/>
      <x:c r="AF1094" s="115"/>
      <x:c r="AG1094" s="115"/>
      <x:c r="AH1094" s="115"/>
      <x:c r="AI1094" s="115"/>
      <x:c r="AJ1094" s="115"/>
      <x:c r="AK1094" s="115"/>
      <x:c r="AL1094" s="115"/>
      <x:c r="AM1094" s="115"/>
      <x:c r="AN1094" s="115"/>
      <x:c r="AO1094" s="115"/>
      <x:c r="AP1094" s="115"/>
      <x:c r="AQ1094" s="115"/>
      <x:c r="AR1094" s="115"/>
      <x:c r="AS1094" s="115"/>
      <x:c r="AT1094" s="115"/>
      <x:c r="AU1094" s="115"/>
      <x:c r="AV1094" s="115"/>
      <x:c r="AW1094" s="115"/>
      <x:c r="AX1094" s="115"/>
      <x:c r="AY1094" s="115"/>
      <x:c r="AZ1094" s="115"/>
      <x:c r="BA1094" s="115"/>
      <x:c r="BB1094" s="115"/>
      <x:c r="BC1094" s="115"/>
      <x:c r="BD1094" s="115"/>
      <x:c r="BE1094" s="115"/>
      <x:c r="BF1094" s="115"/>
      <x:c r="BG1094" s="115"/>
      <x:c r="BH1094" s="115"/>
      <x:c r="BI1094" s="115"/>
      <x:c r="BJ1094" s="115"/>
      <x:c r="BK1094" s="115"/>
      <x:c r="BL1094" s="115"/>
      <x:c r="BM1094" s="115"/>
      <x:c r="BN1094" s="115"/>
      <x:c r="BO1094" s="115"/>
      <x:c r="BP1094" s="115"/>
      <x:c r="BQ1094" s="115"/>
      <x:c r="BR1094" s="115"/>
      <x:c r="BS1094" s="115"/>
      <x:c r="BT1094" s="115"/>
      <x:c r="BU1094" s="115"/>
      <x:c r="BV1094" s="115"/>
      <x:c r="BW1094" s="115"/>
      <x:c r="BX1094" s="115"/>
      <x:c r="BY1094" s="115"/>
      <x:c r="BZ1094" s="115"/>
      <x:c r="CA1094" s="115"/>
      <x:c r="CB1094" s="116"/>
      <x:c r="CC1094" s="141" t="str">
        <x:f>IF(COUNT(G1094:P1094)=0,"",AVERAGE(G1094:P1094)*4)</x:f>
      </x:c>
      <x:c r="CD1094" s="178" t="str">
        <x:f>IF(COUNT(Q1094:Z1094)=0,"",AVERAGE(Q1094:Z1094)*4)</x:f>
      </x:c>
      <x:c r="CE1094" s="178" t="str">
        <x:f>IF(COUNT(AA1094:AJ1094)=0,"",AVERAGE(AA1094:AJ1094)*4)</x:f>
      </x:c>
      <x:c r="CF1094" s="178" t="str">
        <x:f>IF(COUNT(AK1094:AR1094)=0,"",AVERAGE(AK1094:AR1094)*4)</x:f>
      </x:c>
      <x:c r="CG1094" s="178" t="str">
        <x:f>IF(COUNT(AS1094:AY1094)=0,"",AVERAGE(AS1094:AY1094)*4)</x:f>
      </x:c>
      <x:c r="CH1094" s="178" t="str">
        <x:f>IF(COUNT(AZ1094:BG1094)=0,"",AVERAGE(AZ1094:BG1094)*4)</x:f>
      </x:c>
      <x:c r="CI1094" s="178" t="str">
        <x:f>IF(COUNT(BH1094:BN1094)=0,"",AVERAGE(BH1094:BN1094)*4)</x:f>
      </x:c>
      <x:c r="CJ1094" s="178" t="str">
        <x:f>IF(COUNT(BO1094:BU1094)=0,"",AVERAGE(BO1094:BU1094)*4)</x:f>
      </x:c>
      <x:c r="CK1094" s="178" t="str">
        <x:f>IF(COUNT(BV1094:CB1094)=0,"",AVERAGE(BV1094:CB1094)*4)</x:f>
      </x:c>
      <x:c r="CL1094" s="178" t="str">
        <x:f>IF(C1094="","",IF(COUNT(G1094:CB1094)&lt;74,"",(CC1094*'تنظیمات وزن‌دهی'!$C$5+CD1094*'تنظیمات وزن‌دهی'!$C$6+CE1094*'تنظیمات وزن‌دهی'!$C$7+CF1094*'تنظیمات وزن‌دهی'!$C$8+CG1094*'تنظیمات وزن‌دهی'!$C$9+CH1094*'تنظیمات وزن‌دهی'!$C$10+CI1094*'تنظیمات وزن‌دهی'!$C$11+CJ1094*'تنظیمات وزن‌دهی'!$C$12+CK1094*'تنظیمات وزن‌دهی'!$C$13)/100))</x:f>
      </x:c>
      <x:c r="CM1094" s="178" t="str">
        <x:f>IF(C1094="","",IF(COUNT(G1094:CB1094)=0,"",IF(COUNT(G1094:CB1094)&lt;74,"موقت - اطلاعات ناقص",IF(CL1094&gt;=17,"عالی",IF(CL1094&gt;=14,"خوب",IF(CL1094&gt;=10,"متوسط","ضعیف"))))))</x:f>
      </x:c>
      <x:c r="CN1094" s="178" t="n">
        <x:v>10</x:v>
      </x:c>
      <x:c r="CO1094" s="142" t="n">
        <x:f>IF(C1094="","",COUNT(G1094:CB1094)/74)</x:f>
        <x:v>0</x:v>
      </x:c>
      <x:c r="CP1094" s="245"/>
    </x:row>
    <x:row r="1095">
      <x:c r="A1095" s="165" t="n">
        <x:v>1091</x:v>
      </x:c>
      <x:c r="B1095" s="233" t="str">
        <x:v>اردیبهشت</x:v>
      </x:c>
      <x:c r="C1095" s="233" t="n">
        <x:f>IF('دانش‌آموزان'!E95="","",'دانش‌آموزان'!B95)</x:f>
        <x:v>91</x:v>
      </x:c>
      <x:c r="D1095" s="233" t="str">
        <x:f>IF('دانش‌آموزان'!C95="","",'دانش‌آموزان'!C95)</x:f>
        <x:v>4000000918</x:v>
      </x:c>
      <x:c r="E1095" s="233" t="str">
        <x:f>IF('دانش‌آموزان'!E95="","",'دانش‌آموزان'!E95&amp;" "&amp;'دانش‌آموزان'!F95)</x:f>
        <x:v>پارسا موسوی</x:v>
      </x:c>
      <x:c r="F1095" s="166" t="str">
        <x:f>IF('دانش‌آموزان'!I95="","",'دانش‌آموزان'!I95)</x:f>
        <x:v>sample-7-d</x:v>
      </x:c>
      <x:c r="G1095" s="114"/>
      <x:c r="H1095" s="115"/>
      <x:c r="I1095" s="115"/>
      <x:c r="J1095" s="115"/>
      <x:c r="K1095" s="115"/>
      <x:c r="L1095" s="115"/>
      <x:c r="M1095" s="115"/>
      <x:c r="N1095" s="115"/>
      <x:c r="O1095" s="115"/>
      <x:c r="P1095" s="115"/>
      <x:c r="Q1095" s="115"/>
      <x:c r="R1095" s="115"/>
      <x:c r="S1095" s="115"/>
      <x:c r="T1095" s="115"/>
      <x:c r="U1095" s="115"/>
      <x:c r="V1095" s="115"/>
      <x:c r="W1095" s="115"/>
      <x:c r="X1095" s="115"/>
      <x:c r="Y1095" s="115"/>
      <x:c r="Z1095" s="115"/>
      <x:c r="AA1095" s="115"/>
      <x:c r="AB1095" s="115"/>
      <x:c r="AC1095" s="115"/>
      <x:c r="AD1095" s="115"/>
      <x:c r="AE1095" s="115"/>
      <x:c r="AF1095" s="115"/>
      <x:c r="AG1095" s="115"/>
      <x:c r="AH1095" s="115"/>
      <x:c r="AI1095" s="115"/>
      <x:c r="AJ1095" s="115"/>
      <x:c r="AK1095" s="115"/>
      <x:c r="AL1095" s="115"/>
      <x:c r="AM1095" s="115"/>
      <x:c r="AN1095" s="115"/>
      <x:c r="AO1095" s="115"/>
      <x:c r="AP1095" s="115"/>
      <x:c r="AQ1095" s="115"/>
      <x:c r="AR1095" s="115"/>
      <x:c r="AS1095" s="115"/>
      <x:c r="AT1095" s="115"/>
      <x:c r="AU1095" s="115"/>
      <x:c r="AV1095" s="115"/>
      <x:c r="AW1095" s="115"/>
      <x:c r="AX1095" s="115"/>
      <x:c r="AY1095" s="115"/>
      <x:c r="AZ1095" s="115"/>
      <x:c r="BA1095" s="115"/>
      <x:c r="BB1095" s="115"/>
      <x:c r="BC1095" s="115"/>
      <x:c r="BD1095" s="115"/>
      <x:c r="BE1095" s="115"/>
      <x:c r="BF1095" s="115"/>
      <x:c r="BG1095" s="115"/>
      <x:c r="BH1095" s="115"/>
      <x:c r="BI1095" s="115"/>
      <x:c r="BJ1095" s="115"/>
      <x:c r="BK1095" s="115"/>
      <x:c r="BL1095" s="115"/>
      <x:c r="BM1095" s="115"/>
      <x:c r="BN1095" s="115"/>
      <x:c r="BO1095" s="115"/>
      <x:c r="BP1095" s="115"/>
      <x:c r="BQ1095" s="115"/>
      <x:c r="BR1095" s="115"/>
      <x:c r="BS1095" s="115"/>
      <x:c r="BT1095" s="115"/>
      <x:c r="BU1095" s="115"/>
      <x:c r="BV1095" s="115"/>
      <x:c r="BW1095" s="115"/>
      <x:c r="BX1095" s="115"/>
      <x:c r="BY1095" s="115"/>
      <x:c r="BZ1095" s="115"/>
      <x:c r="CA1095" s="115"/>
      <x:c r="CB1095" s="116"/>
      <x:c r="CC1095" s="141" t="str">
        <x:f>IF(COUNT(G1095:P1095)=0,"",AVERAGE(G1095:P1095)*4)</x:f>
      </x:c>
      <x:c r="CD1095" s="178" t="str">
        <x:f>IF(COUNT(Q1095:Z1095)=0,"",AVERAGE(Q1095:Z1095)*4)</x:f>
      </x:c>
      <x:c r="CE1095" s="178" t="str">
        <x:f>IF(COUNT(AA1095:AJ1095)=0,"",AVERAGE(AA1095:AJ1095)*4)</x:f>
      </x:c>
      <x:c r="CF1095" s="178" t="str">
        <x:f>IF(COUNT(AK1095:AR1095)=0,"",AVERAGE(AK1095:AR1095)*4)</x:f>
      </x:c>
      <x:c r="CG1095" s="178" t="str">
        <x:f>IF(COUNT(AS1095:AY1095)=0,"",AVERAGE(AS1095:AY1095)*4)</x:f>
      </x:c>
      <x:c r="CH1095" s="178" t="str">
        <x:f>IF(COUNT(AZ1095:BG1095)=0,"",AVERAGE(AZ1095:BG1095)*4)</x:f>
      </x:c>
      <x:c r="CI1095" s="178" t="str">
        <x:f>IF(COUNT(BH1095:BN1095)=0,"",AVERAGE(BH1095:BN1095)*4)</x:f>
      </x:c>
      <x:c r="CJ1095" s="178" t="str">
        <x:f>IF(COUNT(BO1095:BU1095)=0,"",AVERAGE(BO1095:BU1095)*4)</x:f>
      </x:c>
      <x:c r="CK1095" s="178" t="str">
        <x:f>IF(COUNT(BV1095:CB1095)=0,"",AVERAGE(BV1095:CB1095)*4)</x:f>
      </x:c>
      <x:c r="CL1095" s="178" t="str">
        <x:f>IF(C1095="","",IF(COUNT(G1095:CB1095)&lt;74,"",(CC1095*'تنظیمات وزن‌دهی'!$C$5+CD1095*'تنظیمات وزن‌دهی'!$C$6+CE1095*'تنظیمات وزن‌دهی'!$C$7+CF1095*'تنظیمات وزن‌دهی'!$C$8+CG1095*'تنظیمات وزن‌دهی'!$C$9+CH1095*'تنظیمات وزن‌دهی'!$C$10+CI1095*'تنظیمات وزن‌دهی'!$C$11+CJ1095*'تنظیمات وزن‌دهی'!$C$12+CK1095*'تنظیمات وزن‌دهی'!$C$13)/100))</x:f>
      </x:c>
      <x:c r="CM1095" s="178" t="str">
        <x:f>IF(C1095="","",IF(COUNT(G1095:CB1095)=0,"",IF(COUNT(G1095:CB1095)&lt;74,"موقت - اطلاعات ناقص",IF(CL1095&gt;=17,"عالی",IF(CL1095&gt;=14,"خوب",IF(CL1095&gt;=10,"متوسط","ضعیف"))))))</x:f>
      </x:c>
      <x:c r="CN1095" s="178" t="n">
        <x:v>11</x:v>
      </x:c>
      <x:c r="CO1095" s="142" t="n">
        <x:f>IF(C1095="","",COUNT(G1095:CB1095)/74)</x:f>
        <x:v>0</x:v>
      </x:c>
      <x:c r="CP1095" s="245"/>
    </x:row>
    <x:row r="1096">
      <x:c r="A1096" s="165" t="n">
        <x:v>1092</x:v>
      </x:c>
      <x:c r="B1096" s="233" t="str">
        <x:v>خرداد</x:v>
      </x:c>
      <x:c r="C1096" s="233" t="n">
        <x:f>IF('دانش‌آموزان'!E95="","",'دانش‌آموزان'!B95)</x:f>
        <x:v>91</x:v>
      </x:c>
      <x:c r="D1096" s="233" t="str">
        <x:f>IF('دانش‌آموزان'!C95="","",'دانش‌آموزان'!C95)</x:f>
        <x:v>4000000918</x:v>
      </x:c>
      <x:c r="E1096" s="233" t="str">
        <x:f>IF('دانش‌آموزان'!E95="","",'دانش‌آموزان'!E95&amp;" "&amp;'دانش‌آموزان'!F95)</x:f>
        <x:v>پارسا موسوی</x:v>
      </x:c>
      <x:c r="F1096" s="166" t="str">
        <x:f>IF('دانش‌آموزان'!I95="","",'دانش‌آموزان'!I95)</x:f>
        <x:v>sample-7-d</x:v>
      </x:c>
      <x:c r="G1096" s="114"/>
      <x:c r="H1096" s="115"/>
      <x:c r="I1096" s="115"/>
      <x:c r="J1096" s="115"/>
      <x:c r="K1096" s="115"/>
      <x:c r="L1096" s="115"/>
      <x:c r="M1096" s="115"/>
      <x:c r="N1096" s="115"/>
      <x:c r="O1096" s="115"/>
      <x:c r="P1096" s="115"/>
      <x:c r="Q1096" s="115"/>
      <x:c r="R1096" s="115"/>
      <x:c r="S1096" s="115"/>
      <x:c r="T1096" s="115"/>
      <x:c r="U1096" s="115"/>
      <x:c r="V1096" s="115"/>
      <x:c r="W1096" s="115"/>
      <x:c r="X1096" s="115"/>
      <x:c r="Y1096" s="115"/>
      <x:c r="Z1096" s="115"/>
      <x:c r="AA1096" s="115"/>
      <x:c r="AB1096" s="115"/>
      <x:c r="AC1096" s="115"/>
      <x:c r="AD1096" s="115"/>
      <x:c r="AE1096" s="115"/>
      <x:c r="AF1096" s="115"/>
      <x:c r="AG1096" s="115"/>
      <x:c r="AH1096" s="115"/>
      <x:c r="AI1096" s="115"/>
      <x:c r="AJ1096" s="115"/>
      <x:c r="AK1096" s="115"/>
      <x:c r="AL1096" s="115"/>
      <x:c r="AM1096" s="115"/>
      <x:c r="AN1096" s="115"/>
      <x:c r="AO1096" s="115"/>
      <x:c r="AP1096" s="115"/>
      <x:c r="AQ1096" s="115"/>
      <x:c r="AR1096" s="115"/>
      <x:c r="AS1096" s="115"/>
      <x:c r="AT1096" s="115"/>
      <x:c r="AU1096" s="115"/>
      <x:c r="AV1096" s="115"/>
      <x:c r="AW1096" s="115"/>
      <x:c r="AX1096" s="115"/>
      <x:c r="AY1096" s="115"/>
      <x:c r="AZ1096" s="115"/>
      <x:c r="BA1096" s="115"/>
      <x:c r="BB1096" s="115"/>
      <x:c r="BC1096" s="115"/>
      <x:c r="BD1096" s="115"/>
      <x:c r="BE1096" s="115"/>
      <x:c r="BF1096" s="115"/>
      <x:c r="BG1096" s="115"/>
      <x:c r="BH1096" s="115"/>
      <x:c r="BI1096" s="115"/>
      <x:c r="BJ1096" s="115"/>
      <x:c r="BK1096" s="115"/>
      <x:c r="BL1096" s="115"/>
      <x:c r="BM1096" s="115"/>
      <x:c r="BN1096" s="115"/>
      <x:c r="BO1096" s="115"/>
      <x:c r="BP1096" s="115"/>
      <x:c r="BQ1096" s="115"/>
      <x:c r="BR1096" s="115"/>
      <x:c r="BS1096" s="115"/>
      <x:c r="BT1096" s="115"/>
      <x:c r="BU1096" s="115"/>
      <x:c r="BV1096" s="115"/>
      <x:c r="BW1096" s="115"/>
      <x:c r="BX1096" s="115"/>
      <x:c r="BY1096" s="115"/>
      <x:c r="BZ1096" s="115"/>
      <x:c r="CA1096" s="115"/>
      <x:c r="CB1096" s="116"/>
      <x:c r="CC1096" s="141" t="str">
        <x:f>IF(COUNT(G1096:P1096)=0,"",AVERAGE(G1096:P1096)*4)</x:f>
      </x:c>
      <x:c r="CD1096" s="178" t="str">
        <x:f>IF(COUNT(Q1096:Z1096)=0,"",AVERAGE(Q1096:Z1096)*4)</x:f>
      </x:c>
      <x:c r="CE1096" s="178" t="str">
        <x:f>IF(COUNT(AA1096:AJ1096)=0,"",AVERAGE(AA1096:AJ1096)*4)</x:f>
      </x:c>
      <x:c r="CF1096" s="178" t="str">
        <x:f>IF(COUNT(AK1096:AR1096)=0,"",AVERAGE(AK1096:AR1096)*4)</x:f>
      </x:c>
      <x:c r="CG1096" s="178" t="str">
        <x:f>IF(COUNT(AS1096:AY1096)=0,"",AVERAGE(AS1096:AY1096)*4)</x:f>
      </x:c>
      <x:c r="CH1096" s="178" t="str">
        <x:f>IF(COUNT(AZ1096:BG1096)=0,"",AVERAGE(AZ1096:BG1096)*4)</x:f>
      </x:c>
      <x:c r="CI1096" s="178" t="str">
        <x:f>IF(COUNT(BH1096:BN1096)=0,"",AVERAGE(BH1096:BN1096)*4)</x:f>
      </x:c>
      <x:c r="CJ1096" s="178" t="str">
        <x:f>IF(COUNT(BO1096:BU1096)=0,"",AVERAGE(BO1096:BU1096)*4)</x:f>
      </x:c>
      <x:c r="CK1096" s="178" t="str">
        <x:f>IF(COUNT(BV1096:CB1096)=0,"",AVERAGE(BV1096:CB1096)*4)</x:f>
      </x:c>
      <x:c r="CL1096" s="178" t="str">
        <x:f>IF(C1096="","",IF(COUNT(G1096:CB1096)&lt;74,"",(CC1096*'تنظیمات وزن‌دهی'!$C$5+CD1096*'تنظیمات وزن‌دهی'!$C$6+CE1096*'تنظیمات وزن‌دهی'!$C$7+CF1096*'تنظیمات وزن‌دهی'!$C$8+CG1096*'تنظیمات وزن‌دهی'!$C$9+CH1096*'تنظیمات وزن‌دهی'!$C$10+CI1096*'تنظیمات وزن‌دهی'!$C$11+CJ1096*'تنظیمات وزن‌دهی'!$C$12+CK1096*'تنظیمات وزن‌دهی'!$C$13)/100))</x:f>
      </x:c>
      <x:c r="CM1096" s="178" t="str">
        <x:f>IF(C1096="","",IF(COUNT(G1096:CB1096)=0,"",IF(COUNT(G1096:CB1096)&lt;74,"موقت - اطلاعات ناقص",IF(CL1096&gt;=17,"عالی",IF(CL1096&gt;=14,"خوب",IF(CL1096&gt;=10,"متوسط","ضعیف"))))))</x:f>
      </x:c>
      <x:c r="CN1096" s="178" t="n">
        <x:v>12</x:v>
      </x:c>
      <x:c r="CO1096" s="142" t="n">
        <x:f>IF(C1096="","",COUNT(G1096:CB1096)/74)</x:f>
        <x:v>0</x:v>
      </x:c>
      <x:c r="CP1096" s="245"/>
    </x:row>
    <x:row r="1097">
      <x:c r="A1097" s="165" t="n">
        <x:v>1093</x:v>
      </x:c>
      <x:c r="B1097" s="233" t="str">
        <x:v>تیر</x:v>
      </x:c>
      <x:c r="C1097" s="233" t="n">
        <x:f>IF('دانش‌آموزان'!E96="","",'دانش‌آموزان'!B96)</x:f>
        <x:v>92</x:v>
      </x:c>
      <x:c r="D1097" s="233" t="str">
        <x:f>IF('دانش‌آموزان'!C96="","",'دانش‌آموزان'!C96)</x:f>
        <x:v>4000000926</x:v>
      </x:c>
      <x:c r="E1097" s="233" t="str">
        <x:f>IF('دانش‌آموزان'!E96="","",'دانش‌آموزان'!E96&amp;" "&amp;'دانش‌آموزان'!F96)</x:f>
        <x:v>رها یوسفی</x:v>
      </x:c>
      <x:c r="F1097" s="166" t="str">
        <x:f>IF('دانش‌آموزان'!I96="","",'دانش‌آموزان'!I96)</x:f>
        <x:v>sample-7-d</x:v>
      </x:c>
      <x:c r="G1097" s="114" t="n">
        <x:v>5</x:v>
      </x:c>
      <x:c r="H1097" s="115" t="n">
        <x:v>3</x:v>
      </x:c>
      <x:c r="I1097" s="115" t="n">
        <x:v>5</x:v>
      </x:c>
      <x:c r="J1097" s="115" t="n">
        <x:v>3</x:v>
      </x:c>
      <x:c r="K1097" s="115" t="n">
        <x:v>4</x:v>
      </x:c>
      <x:c r="L1097" s="115" t="n">
        <x:v>3</x:v>
      </x:c>
      <x:c r="M1097" s="115" t="n">
        <x:v>4</x:v>
      </x:c>
      <x:c r="N1097" s="115" t="n">
        <x:v>2</x:v>
      </x:c>
      <x:c r="O1097" s="115" t="n">
        <x:v>4</x:v>
      </x:c>
      <x:c r="P1097" s="115" t="n">
        <x:v>5</x:v>
      </x:c>
      <x:c r="Q1097" s="115" t="n">
        <x:v>4</x:v>
      </x:c>
      <x:c r="R1097" s="115" t="n">
        <x:v>5</x:v>
      </x:c>
      <x:c r="S1097" s="115" t="n">
        <x:v>3</x:v>
      </x:c>
      <x:c r="T1097" s="115" t="n">
        <x:v>5</x:v>
      </x:c>
      <x:c r="U1097" s="115" t="n">
        <x:v>3</x:v>
      </x:c>
      <x:c r="V1097" s="115" t="n">
        <x:v>4</x:v>
      </x:c>
      <x:c r="W1097" s="115" t="n">
        <x:v>3</x:v>
      </x:c>
      <x:c r="X1097" s="115" t="n">
        <x:v>4</x:v>
      </x:c>
      <x:c r="Y1097" s="115" t="n">
        <x:v>2</x:v>
      </x:c>
      <x:c r="Z1097" s="115" t="n">
        <x:v>4</x:v>
      </x:c>
      <x:c r="AA1097" s="115" t="n">
        <x:v>5</x:v>
      </x:c>
      <x:c r="AB1097" s="115" t="n">
        <x:v>4</x:v>
      </x:c>
      <x:c r="AC1097" s="115" t="n">
        <x:v>5</x:v>
      </x:c>
      <x:c r="AD1097" s="115" t="n">
        <x:v>3</x:v>
      </x:c>
      <x:c r="AE1097" s="115" t="n">
        <x:v>5</x:v>
      </x:c>
      <x:c r="AF1097" s="115" t="n">
        <x:v>3</x:v>
      </x:c>
      <x:c r="AG1097" s="115" t="n">
        <x:v>4</x:v>
      </x:c>
      <x:c r="AH1097" s="115" t="n">
        <x:v>3</x:v>
      </x:c>
      <x:c r="AI1097" s="115" t="n">
        <x:v>4</x:v>
      </x:c>
      <x:c r="AJ1097" s="115" t="n">
        <x:v>2</x:v>
      </x:c>
      <x:c r="AK1097" s="115" t="n">
        <x:v>4</x:v>
      </x:c>
      <x:c r="AL1097" s="115" t="n">
        <x:v>5</x:v>
      </x:c>
      <x:c r="AM1097" s="115" t="n">
        <x:v>4</x:v>
      </x:c>
      <x:c r="AN1097" s="115" t="n">
        <x:v>5</x:v>
      </x:c>
      <x:c r="AO1097" s="115" t="n">
        <x:v>3</x:v>
      </x:c>
      <x:c r="AP1097" s="115" t="n">
        <x:v>5</x:v>
      </x:c>
      <x:c r="AQ1097" s="115" t="n">
        <x:v>3</x:v>
      </x:c>
      <x:c r="AR1097" s="115" t="n">
        <x:v>4</x:v>
      </x:c>
      <x:c r="AS1097" s="115" t="n">
        <x:v>3</x:v>
      </x:c>
      <x:c r="AT1097" s="115" t="n">
        <x:v>4</x:v>
      </x:c>
      <x:c r="AU1097" s="115" t="n">
        <x:v>2</x:v>
      </x:c>
      <x:c r="AV1097" s="115" t="n">
        <x:v>4</x:v>
      </x:c>
      <x:c r="AW1097" s="115" t="n">
        <x:v>5</x:v>
      </x:c>
      <x:c r="AX1097" s="115" t="n">
        <x:v>4</x:v>
      </x:c>
      <x:c r="AY1097" s="115" t="n">
        <x:v>5</x:v>
      </x:c>
      <x:c r="AZ1097" s="115" t="n">
        <x:v>3</x:v>
      </x:c>
      <x:c r="BA1097" s="115" t="n">
        <x:v>5</x:v>
      </x:c>
      <x:c r="BB1097" s="115" t="n">
        <x:v>3</x:v>
      </x:c>
      <x:c r="BC1097" s="115" t="n">
        <x:v>4</x:v>
      </x:c>
      <x:c r="BD1097" s="115" t="n">
        <x:v>3</x:v>
      </x:c>
      <x:c r="BE1097" s="115" t="n">
        <x:v>4</x:v>
      </x:c>
      <x:c r="BF1097" s="115" t="n">
        <x:v>2</x:v>
      </x:c>
      <x:c r="BG1097" s="115" t="n">
        <x:v>4</x:v>
      </x:c>
      <x:c r="BH1097" s="115" t="n">
        <x:v>5</x:v>
      </x:c>
      <x:c r="BI1097" s="115" t="n">
        <x:v>4</x:v>
      </x:c>
      <x:c r="BJ1097" s="115" t="n">
        <x:v>5</x:v>
      </x:c>
      <x:c r="BK1097" s="115" t="n">
        <x:v>3</x:v>
      </x:c>
      <x:c r="BL1097" s="115" t="n">
        <x:v>5</x:v>
      </x:c>
      <x:c r="BM1097" s="115" t="n">
        <x:v>3</x:v>
      </x:c>
      <x:c r="BN1097" s="115" t="n">
        <x:v>4</x:v>
      </x:c>
      <x:c r="BO1097" s="115" t="n">
        <x:v>3</x:v>
      </x:c>
      <x:c r="BP1097" s="115" t="n">
        <x:v>4</x:v>
      </x:c>
      <x:c r="BQ1097" s="115" t="n">
        <x:v>2</x:v>
      </x:c>
      <x:c r="BR1097" s="115" t="n">
        <x:v>4</x:v>
      </x:c>
      <x:c r="BS1097" s="115" t="n">
        <x:v>5</x:v>
      </x:c>
      <x:c r="BT1097" s="115" t="n">
        <x:v>4</x:v>
      </x:c>
      <x:c r="BU1097" s="115" t="n">
        <x:v>5</x:v>
      </x:c>
      <x:c r="BV1097" s="115" t="n">
        <x:v>3</x:v>
      </x:c>
      <x:c r="BW1097" s="115" t="n">
        <x:v>5</x:v>
      </x:c>
      <x:c r="BX1097" s="115" t="n">
        <x:v>3</x:v>
      </x:c>
      <x:c r="BY1097" s="115" t="n">
        <x:v>4</x:v>
      </x:c>
      <x:c r="BZ1097" s="115" t="n">
        <x:v>3</x:v>
      </x:c>
      <x:c r="CA1097" s="115" t="n">
        <x:v>4</x:v>
      </x:c>
      <x:c r="CB1097" s="116" t="n">
        <x:v>2</x:v>
      </x:c>
      <x:c r="CC1097" s="141" t="n">
        <x:f>IF(COUNT(G1097:P1097)=0,"",AVERAGE(G1097:P1097)*4)</x:f>
        <x:v>15.2</x:v>
      </x:c>
      <x:c r="CD1097" s="178" t="n">
        <x:f>IF(COUNT(Q1097:Z1097)=0,"",AVERAGE(Q1097:Z1097)*4)</x:f>
        <x:v>14.8</x:v>
      </x:c>
      <x:c r="CE1097" s="178" t="n">
        <x:f>IF(COUNT(AA1097:AJ1097)=0,"",AVERAGE(AA1097:AJ1097)*4)</x:f>
        <x:v>15.2</x:v>
      </x:c>
      <x:c r="CF1097" s="178" t="n">
        <x:f>IF(COUNT(AK1097:AR1097)=0,"",AVERAGE(AK1097:AR1097)*4)</x:f>
        <x:v>16.5</x:v>
      </x:c>
      <x:c r="CG1097" s="178" t="n">
        <x:f>IF(COUNT(AS1097:AY1097)=0,"",AVERAGE(AS1097:AY1097)*4)</x:f>
        <x:v>15.428571428571429</x:v>
      </x:c>
      <x:c r="CH1097" s="178" t="n">
        <x:f>IF(COUNT(AZ1097:BG1097)=0,"",AVERAGE(AZ1097:BG1097)*4)</x:f>
        <x:v>14</x:v>
      </x:c>
      <x:c r="CI1097" s="178" t="n">
        <x:f>IF(COUNT(BH1097:BN1097)=0,"",AVERAGE(BH1097:BN1097)*4)</x:f>
        <x:v>16.571428571428573</x:v>
      </x:c>
      <x:c r="CJ1097" s="178" t="n">
        <x:f>IF(COUNT(BO1097:BU1097)=0,"",AVERAGE(BO1097:BU1097)*4)</x:f>
        <x:v>15.428571428571429</x:v>
      </x:c>
      <x:c r="CK1097" s="178" t="n">
        <x:f>IF(COUNT(BV1097:CB1097)=0,"",AVERAGE(BV1097:CB1097)*4)</x:f>
        <x:v>13.714285714285714</x:v>
      </x:c>
      <x:c r="CL1097" s="178" t="n">
        <x:f>IF(C1097="","",IF(COUNT(G1097:CB1097)&lt;74,"",(CC1097*'تنظیمات وزن‌دهی'!$C$5+CD1097*'تنظیمات وزن‌دهی'!$C$6+CE1097*'تنظیمات وزن‌دهی'!$C$7+CF1097*'تنظیمات وزن‌دهی'!$C$8+CG1097*'تنظیمات وزن‌دهی'!$C$9+CH1097*'تنظیمات وزن‌دهی'!$C$10+CI1097*'تنظیمات وزن‌دهی'!$C$11+CJ1097*'تنظیمات وزن‌دهی'!$C$12+CK1097*'تنظیمات وزن‌دهی'!$C$13)/100))</x:f>
        <x:v>15.260714285714286</x:v>
      </x:c>
      <x:c r="CM1097" s="178" t="str">
        <x:f>IF(C1097="","",IF(COUNT(G1097:CB1097)=0,"",IF(COUNT(G1097:CB1097)&lt;74,"موقت - اطلاعات ناقص",IF(CL1097&gt;=17,"عالی",IF(CL1097&gt;=14,"خوب",IF(CL1097&gt;=10,"متوسط","ضعیف"))))))</x:f>
        <x:v>خوب</x:v>
      </x:c>
      <x:c r="CN1097" s="178" t="n">
        <x:v>1</x:v>
      </x:c>
      <x:c r="CO1097" s="142" t="n">
        <x:f>IF(C1097="","",COUNT(G1097:CB1097)/74)</x:f>
        <x:v>1</x:v>
      </x:c>
      <x:c r="CP1097" s="245" t="str">
        <x:v>داده نمونه کامل برای ماه تیر - دانش‌آموز شماره 92</x:v>
      </x:c>
    </x:row>
    <x:row r="1098">
      <x:c r="A1098" s="165" t="n">
        <x:v>1094</x:v>
      </x:c>
      <x:c r="B1098" s="233" t="str">
        <x:v>مرداد</x:v>
      </x:c>
      <x:c r="C1098" s="233" t="n">
        <x:f>IF('دانش‌آموزان'!E96="","",'دانش‌آموزان'!B96)</x:f>
        <x:v>92</x:v>
      </x:c>
      <x:c r="D1098" s="233" t="str">
        <x:f>IF('دانش‌آموزان'!C96="","",'دانش‌آموزان'!C96)</x:f>
        <x:v>4000000926</x:v>
      </x:c>
      <x:c r="E1098" s="233" t="str">
        <x:f>IF('دانش‌آموزان'!E96="","",'دانش‌آموزان'!E96&amp;" "&amp;'دانش‌آموزان'!F96)</x:f>
        <x:v>رها یوسفی</x:v>
      </x:c>
      <x:c r="F1098" s="166" t="str">
        <x:f>IF('دانش‌آموزان'!I96="","",'دانش‌آموزان'!I96)</x:f>
        <x:v>sample-7-d</x:v>
      </x:c>
      <x:c r="G1098" s="114"/>
      <x:c r="H1098" s="115"/>
      <x:c r="I1098" s="115"/>
      <x:c r="J1098" s="115"/>
      <x:c r="K1098" s="115"/>
      <x:c r="L1098" s="115"/>
      <x:c r="M1098" s="115"/>
      <x:c r="N1098" s="115"/>
      <x:c r="O1098" s="115"/>
      <x:c r="P1098" s="115"/>
      <x:c r="Q1098" s="115"/>
      <x:c r="R1098" s="115"/>
      <x:c r="S1098" s="115"/>
      <x:c r="T1098" s="115"/>
      <x:c r="U1098" s="115"/>
      <x:c r="V1098" s="115"/>
      <x:c r="W1098" s="115"/>
      <x:c r="X1098" s="115"/>
      <x:c r="Y1098" s="115"/>
      <x:c r="Z1098" s="115"/>
      <x:c r="AA1098" s="115"/>
      <x:c r="AB1098" s="115"/>
      <x:c r="AC1098" s="115"/>
      <x:c r="AD1098" s="115"/>
      <x:c r="AE1098" s="115"/>
      <x:c r="AF1098" s="115"/>
      <x:c r="AG1098" s="115"/>
      <x:c r="AH1098" s="115"/>
      <x:c r="AI1098" s="115"/>
      <x:c r="AJ1098" s="115"/>
      <x:c r="AK1098" s="115"/>
      <x:c r="AL1098" s="115"/>
      <x:c r="AM1098" s="115"/>
      <x:c r="AN1098" s="115"/>
      <x:c r="AO1098" s="115"/>
      <x:c r="AP1098" s="115"/>
      <x:c r="AQ1098" s="115"/>
      <x:c r="AR1098" s="115"/>
      <x:c r="AS1098" s="115"/>
      <x:c r="AT1098" s="115"/>
      <x:c r="AU1098" s="115"/>
      <x:c r="AV1098" s="115"/>
      <x:c r="AW1098" s="115"/>
      <x:c r="AX1098" s="115"/>
      <x:c r="AY1098" s="115"/>
      <x:c r="AZ1098" s="115"/>
      <x:c r="BA1098" s="115"/>
      <x:c r="BB1098" s="115"/>
      <x:c r="BC1098" s="115"/>
      <x:c r="BD1098" s="115"/>
      <x:c r="BE1098" s="115"/>
      <x:c r="BF1098" s="115"/>
      <x:c r="BG1098" s="115"/>
      <x:c r="BH1098" s="115"/>
      <x:c r="BI1098" s="115"/>
      <x:c r="BJ1098" s="115"/>
      <x:c r="BK1098" s="115"/>
      <x:c r="BL1098" s="115"/>
      <x:c r="BM1098" s="115"/>
      <x:c r="BN1098" s="115"/>
      <x:c r="BO1098" s="115"/>
      <x:c r="BP1098" s="115"/>
      <x:c r="BQ1098" s="115"/>
      <x:c r="BR1098" s="115"/>
      <x:c r="BS1098" s="115"/>
      <x:c r="BT1098" s="115"/>
      <x:c r="BU1098" s="115"/>
      <x:c r="BV1098" s="115"/>
      <x:c r="BW1098" s="115"/>
      <x:c r="BX1098" s="115"/>
      <x:c r="BY1098" s="115"/>
      <x:c r="BZ1098" s="115"/>
      <x:c r="CA1098" s="115"/>
      <x:c r="CB1098" s="116"/>
      <x:c r="CC1098" s="141" t="str">
        <x:f>IF(COUNT(G1098:P1098)=0,"",AVERAGE(G1098:P1098)*4)</x:f>
      </x:c>
      <x:c r="CD1098" s="178" t="str">
        <x:f>IF(COUNT(Q1098:Z1098)=0,"",AVERAGE(Q1098:Z1098)*4)</x:f>
      </x:c>
      <x:c r="CE1098" s="178" t="str">
        <x:f>IF(COUNT(AA1098:AJ1098)=0,"",AVERAGE(AA1098:AJ1098)*4)</x:f>
      </x:c>
      <x:c r="CF1098" s="178" t="str">
        <x:f>IF(COUNT(AK1098:AR1098)=0,"",AVERAGE(AK1098:AR1098)*4)</x:f>
      </x:c>
      <x:c r="CG1098" s="178" t="str">
        <x:f>IF(COUNT(AS1098:AY1098)=0,"",AVERAGE(AS1098:AY1098)*4)</x:f>
      </x:c>
      <x:c r="CH1098" s="178" t="str">
        <x:f>IF(COUNT(AZ1098:BG1098)=0,"",AVERAGE(AZ1098:BG1098)*4)</x:f>
      </x:c>
      <x:c r="CI1098" s="178" t="str">
        <x:f>IF(COUNT(BH1098:BN1098)=0,"",AVERAGE(BH1098:BN1098)*4)</x:f>
      </x:c>
      <x:c r="CJ1098" s="178" t="str">
        <x:f>IF(COUNT(BO1098:BU1098)=0,"",AVERAGE(BO1098:BU1098)*4)</x:f>
      </x:c>
      <x:c r="CK1098" s="178" t="str">
        <x:f>IF(COUNT(BV1098:CB1098)=0,"",AVERAGE(BV1098:CB1098)*4)</x:f>
      </x:c>
      <x:c r="CL1098" s="178" t="str">
        <x:f>IF(C1098="","",IF(COUNT(G1098:CB1098)&lt;74,"",(CC1098*'تنظیمات وزن‌دهی'!$C$5+CD1098*'تنظیمات وزن‌دهی'!$C$6+CE1098*'تنظیمات وزن‌دهی'!$C$7+CF1098*'تنظیمات وزن‌دهی'!$C$8+CG1098*'تنظیمات وزن‌دهی'!$C$9+CH1098*'تنظیمات وزن‌دهی'!$C$10+CI1098*'تنظیمات وزن‌دهی'!$C$11+CJ1098*'تنظیمات وزن‌دهی'!$C$12+CK1098*'تنظیمات وزن‌دهی'!$C$13)/100))</x:f>
      </x:c>
      <x:c r="CM1098" s="178" t="str">
        <x:f>IF(C1098="","",IF(COUNT(G1098:CB1098)=0,"",IF(COUNT(G1098:CB1098)&lt;74,"موقت - اطلاعات ناقص",IF(CL1098&gt;=17,"عالی",IF(CL1098&gt;=14,"خوب",IF(CL1098&gt;=10,"متوسط","ضعیف"))))))</x:f>
      </x:c>
      <x:c r="CN1098" s="178" t="n">
        <x:v>2</x:v>
      </x:c>
      <x:c r="CO1098" s="142" t="n">
        <x:f>IF(C1098="","",COUNT(G1098:CB1098)/74)</x:f>
        <x:v>0</x:v>
      </x:c>
      <x:c r="CP1098" s="245"/>
    </x:row>
    <x:row r="1099">
      <x:c r="A1099" s="165" t="n">
        <x:v>1095</x:v>
      </x:c>
      <x:c r="B1099" s="233" t="str">
        <x:v>شهریور</x:v>
      </x:c>
      <x:c r="C1099" s="233" t="n">
        <x:f>IF('دانش‌آموزان'!E96="","",'دانش‌آموزان'!B96)</x:f>
        <x:v>92</x:v>
      </x:c>
      <x:c r="D1099" s="233" t="str">
        <x:f>IF('دانش‌آموزان'!C96="","",'دانش‌آموزان'!C96)</x:f>
        <x:v>4000000926</x:v>
      </x:c>
      <x:c r="E1099" s="233" t="str">
        <x:f>IF('دانش‌آموزان'!E96="","",'دانش‌آموزان'!E96&amp;" "&amp;'دانش‌آموزان'!F96)</x:f>
        <x:v>رها یوسفی</x:v>
      </x:c>
      <x:c r="F1099" s="166" t="str">
        <x:f>IF('دانش‌آموزان'!I96="","",'دانش‌آموزان'!I96)</x:f>
        <x:v>sample-7-d</x:v>
      </x:c>
      <x:c r="G1099" s="114"/>
      <x:c r="H1099" s="115"/>
      <x:c r="I1099" s="115"/>
      <x:c r="J1099" s="115"/>
      <x:c r="K1099" s="115"/>
      <x:c r="L1099" s="115"/>
      <x:c r="M1099" s="115"/>
      <x:c r="N1099" s="115"/>
      <x:c r="O1099" s="115"/>
      <x:c r="P1099" s="115"/>
      <x:c r="Q1099" s="115"/>
      <x:c r="R1099" s="115"/>
      <x:c r="S1099" s="115"/>
      <x:c r="T1099" s="115"/>
      <x:c r="U1099" s="115"/>
      <x:c r="V1099" s="115"/>
      <x:c r="W1099" s="115"/>
      <x:c r="X1099" s="115"/>
      <x:c r="Y1099" s="115"/>
      <x:c r="Z1099" s="115"/>
      <x:c r="AA1099" s="115"/>
      <x:c r="AB1099" s="115"/>
      <x:c r="AC1099" s="115"/>
      <x:c r="AD1099" s="115"/>
      <x:c r="AE1099" s="115"/>
      <x:c r="AF1099" s="115"/>
      <x:c r="AG1099" s="115"/>
      <x:c r="AH1099" s="115"/>
      <x:c r="AI1099" s="115"/>
      <x:c r="AJ1099" s="115"/>
      <x:c r="AK1099" s="115"/>
      <x:c r="AL1099" s="115"/>
      <x:c r="AM1099" s="115"/>
      <x:c r="AN1099" s="115"/>
      <x:c r="AO1099" s="115"/>
      <x:c r="AP1099" s="115"/>
      <x:c r="AQ1099" s="115"/>
      <x:c r="AR1099" s="115"/>
      <x:c r="AS1099" s="115"/>
      <x:c r="AT1099" s="115"/>
      <x:c r="AU1099" s="115"/>
      <x:c r="AV1099" s="115"/>
      <x:c r="AW1099" s="115"/>
      <x:c r="AX1099" s="115"/>
      <x:c r="AY1099" s="115"/>
      <x:c r="AZ1099" s="115"/>
      <x:c r="BA1099" s="115"/>
      <x:c r="BB1099" s="115"/>
      <x:c r="BC1099" s="115"/>
      <x:c r="BD1099" s="115"/>
      <x:c r="BE1099" s="115"/>
      <x:c r="BF1099" s="115"/>
      <x:c r="BG1099" s="115"/>
      <x:c r="BH1099" s="115"/>
      <x:c r="BI1099" s="115"/>
      <x:c r="BJ1099" s="115"/>
      <x:c r="BK1099" s="115"/>
      <x:c r="BL1099" s="115"/>
      <x:c r="BM1099" s="115"/>
      <x:c r="BN1099" s="115"/>
      <x:c r="BO1099" s="115"/>
      <x:c r="BP1099" s="115"/>
      <x:c r="BQ1099" s="115"/>
      <x:c r="BR1099" s="115"/>
      <x:c r="BS1099" s="115"/>
      <x:c r="BT1099" s="115"/>
      <x:c r="BU1099" s="115"/>
      <x:c r="BV1099" s="115"/>
      <x:c r="BW1099" s="115"/>
      <x:c r="BX1099" s="115"/>
      <x:c r="BY1099" s="115"/>
      <x:c r="BZ1099" s="115"/>
      <x:c r="CA1099" s="115"/>
      <x:c r="CB1099" s="116"/>
      <x:c r="CC1099" s="141" t="str">
        <x:f>IF(COUNT(G1099:P1099)=0,"",AVERAGE(G1099:P1099)*4)</x:f>
      </x:c>
      <x:c r="CD1099" s="178" t="str">
        <x:f>IF(COUNT(Q1099:Z1099)=0,"",AVERAGE(Q1099:Z1099)*4)</x:f>
      </x:c>
      <x:c r="CE1099" s="178" t="str">
        <x:f>IF(COUNT(AA1099:AJ1099)=0,"",AVERAGE(AA1099:AJ1099)*4)</x:f>
      </x:c>
      <x:c r="CF1099" s="178" t="str">
        <x:f>IF(COUNT(AK1099:AR1099)=0,"",AVERAGE(AK1099:AR1099)*4)</x:f>
      </x:c>
      <x:c r="CG1099" s="178" t="str">
        <x:f>IF(COUNT(AS1099:AY1099)=0,"",AVERAGE(AS1099:AY1099)*4)</x:f>
      </x:c>
      <x:c r="CH1099" s="178" t="str">
        <x:f>IF(COUNT(AZ1099:BG1099)=0,"",AVERAGE(AZ1099:BG1099)*4)</x:f>
      </x:c>
      <x:c r="CI1099" s="178" t="str">
        <x:f>IF(COUNT(BH1099:BN1099)=0,"",AVERAGE(BH1099:BN1099)*4)</x:f>
      </x:c>
      <x:c r="CJ1099" s="178" t="str">
        <x:f>IF(COUNT(BO1099:BU1099)=0,"",AVERAGE(BO1099:BU1099)*4)</x:f>
      </x:c>
      <x:c r="CK1099" s="178" t="str">
        <x:f>IF(COUNT(BV1099:CB1099)=0,"",AVERAGE(BV1099:CB1099)*4)</x:f>
      </x:c>
      <x:c r="CL1099" s="178" t="str">
        <x:f>IF(C1099="","",IF(COUNT(G1099:CB1099)&lt;74,"",(CC1099*'تنظیمات وزن‌دهی'!$C$5+CD1099*'تنظیمات وزن‌دهی'!$C$6+CE1099*'تنظیمات وزن‌دهی'!$C$7+CF1099*'تنظیمات وزن‌دهی'!$C$8+CG1099*'تنظیمات وزن‌دهی'!$C$9+CH1099*'تنظیمات وزن‌دهی'!$C$10+CI1099*'تنظیمات وزن‌دهی'!$C$11+CJ1099*'تنظیمات وزن‌دهی'!$C$12+CK1099*'تنظیمات وزن‌دهی'!$C$13)/100))</x:f>
      </x:c>
      <x:c r="CM1099" s="178" t="str">
        <x:f>IF(C1099="","",IF(COUNT(G1099:CB1099)=0,"",IF(COUNT(G1099:CB1099)&lt;74,"موقت - اطلاعات ناقص",IF(CL1099&gt;=17,"عالی",IF(CL1099&gt;=14,"خوب",IF(CL1099&gt;=10,"متوسط","ضعیف"))))))</x:f>
      </x:c>
      <x:c r="CN1099" s="178" t="n">
        <x:v>3</x:v>
      </x:c>
      <x:c r="CO1099" s="142" t="n">
        <x:f>IF(C1099="","",COUNT(G1099:CB1099)/74)</x:f>
        <x:v>0</x:v>
      </x:c>
      <x:c r="CP1099" s="245"/>
    </x:row>
    <x:row r="1100">
      <x:c r="A1100" s="165" t="n">
        <x:v>1096</x:v>
      </x:c>
      <x:c r="B1100" s="233" t="str">
        <x:v>مهر</x:v>
      </x:c>
      <x:c r="C1100" s="233" t="n">
        <x:f>IF('دانش‌آموزان'!E96="","",'دانش‌آموزان'!B96)</x:f>
        <x:v>92</x:v>
      </x:c>
      <x:c r="D1100" s="233" t="str">
        <x:f>IF('دانش‌آموزان'!C96="","",'دانش‌آموزان'!C96)</x:f>
        <x:v>4000000926</x:v>
      </x:c>
      <x:c r="E1100" s="233" t="str">
        <x:f>IF('دانش‌آموزان'!E96="","",'دانش‌آموزان'!E96&amp;" "&amp;'دانش‌آموزان'!F96)</x:f>
        <x:v>رها یوسفی</x:v>
      </x:c>
      <x:c r="F1100" s="166" t="str">
        <x:f>IF('دانش‌آموزان'!I96="","",'دانش‌آموزان'!I96)</x:f>
        <x:v>sample-7-d</x:v>
      </x:c>
      <x:c r="G1100" s="114"/>
      <x:c r="H1100" s="115"/>
      <x:c r="I1100" s="115"/>
      <x:c r="J1100" s="115"/>
      <x:c r="K1100" s="115"/>
      <x:c r="L1100" s="115"/>
      <x:c r="M1100" s="115"/>
      <x:c r="N1100" s="115"/>
      <x:c r="O1100" s="115"/>
      <x:c r="P1100" s="115"/>
      <x:c r="Q1100" s="115"/>
      <x:c r="R1100" s="115"/>
      <x:c r="S1100" s="115"/>
      <x:c r="T1100" s="115"/>
      <x:c r="U1100" s="115"/>
      <x:c r="V1100" s="115"/>
      <x:c r="W1100" s="115"/>
      <x:c r="X1100" s="115"/>
      <x:c r="Y1100" s="115"/>
      <x:c r="Z1100" s="115"/>
      <x:c r="AA1100" s="115"/>
      <x:c r="AB1100" s="115"/>
      <x:c r="AC1100" s="115"/>
      <x:c r="AD1100" s="115"/>
      <x:c r="AE1100" s="115"/>
      <x:c r="AF1100" s="115"/>
      <x:c r="AG1100" s="115"/>
      <x:c r="AH1100" s="115"/>
      <x:c r="AI1100" s="115"/>
      <x:c r="AJ1100" s="115"/>
      <x:c r="AK1100" s="115"/>
      <x:c r="AL1100" s="115"/>
      <x:c r="AM1100" s="115"/>
      <x:c r="AN1100" s="115"/>
      <x:c r="AO1100" s="115"/>
      <x:c r="AP1100" s="115"/>
      <x:c r="AQ1100" s="115"/>
      <x:c r="AR1100" s="115"/>
      <x:c r="AS1100" s="115"/>
      <x:c r="AT1100" s="115"/>
      <x:c r="AU1100" s="115"/>
      <x:c r="AV1100" s="115"/>
      <x:c r="AW1100" s="115"/>
      <x:c r="AX1100" s="115"/>
      <x:c r="AY1100" s="115"/>
      <x:c r="AZ1100" s="115"/>
      <x:c r="BA1100" s="115"/>
      <x:c r="BB1100" s="115"/>
      <x:c r="BC1100" s="115"/>
      <x:c r="BD1100" s="115"/>
      <x:c r="BE1100" s="115"/>
      <x:c r="BF1100" s="115"/>
      <x:c r="BG1100" s="115"/>
      <x:c r="BH1100" s="115"/>
      <x:c r="BI1100" s="115"/>
      <x:c r="BJ1100" s="115"/>
      <x:c r="BK1100" s="115"/>
      <x:c r="BL1100" s="115"/>
      <x:c r="BM1100" s="115"/>
      <x:c r="BN1100" s="115"/>
      <x:c r="BO1100" s="115"/>
      <x:c r="BP1100" s="115"/>
      <x:c r="BQ1100" s="115"/>
      <x:c r="BR1100" s="115"/>
      <x:c r="BS1100" s="115"/>
      <x:c r="BT1100" s="115"/>
      <x:c r="BU1100" s="115"/>
      <x:c r="BV1100" s="115"/>
      <x:c r="BW1100" s="115"/>
      <x:c r="BX1100" s="115"/>
      <x:c r="BY1100" s="115"/>
      <x:c r="BZ1100" s="115"/>
      <x:c r="CA1100" s="115"/>
      <x:c r="CB1100" s="116"/>
      <x:c r="CC1100" s="141" t="str">
        <x:f>IF(COUNT(G1100:P1100)=0,"",AVERAGE(G1100:P1100)*4)</x:f>
      </x:c>
      <x:c r="CD1100" s="178" t="str">
        <x:f>IF(COUNT(Q1100:Z1100)=0,"",AVERAGE(Q1100:Z1100)*4)</x:f>
      </x:c>
      <x:c r="CE1100" s="178" t="str">
        <x:f>IF(COUNT(AA1100:AJ1100)=0,"",AVERAGE(AA1100:AJ1100)*4)</x:f>
      </x:c>
      <x:c r="CF1100" s="178" t="str">
        <x:f>IF(COUNT(AK1100:AR1100)=0,"",AVERAGE(AK1100:AR1100)*4)</x:f>
      </x:c>
      <x:c r="CG1100" s="178" t="str">
        <x:f>IF(COUNT(AS1100:AY1100)=0,"",AVERAGE(AS1100:AY1100)*4)</x:f>
      </x:c>
      <x:c r="CH1100" s="178" t="str">
        <x:f>IF(COUNT(AZ1100:BG1100)=0,"",AVERAGE(AZ1100:BG1100)*4)</x:f>
      </x:c>
      <x:c r="CI1100" s="178" t="str">
        <x:f>IF(COUNT(BH1100:BN1100)=0,"",AVERAGE(BH1100:BN1100)*4)</x:f>
      </x:c>
      <x:c r="CJ1100" s="178" t="str">
        <x:f>IF(COUNT(BO1100:BU1100)=0,"",AVERAGE(BO1100:BU1100)*4)</x:f>
      </x:c>
      <x:c r="CK1100" s="178" t="str">
        <x:f>IF(COUNT(BV1100:CB1100)=0,"",AVERAGE(BV1100:CB1100)*4)</x:f>
      </x:c>
      <x:c r="CL1100" s="178" t="str">
        <x:f>IF(C1100="","",IF(COUNT(G1100:CB1100)&lt;74,"",(CC1100*'تنظیمات وزن‌دهی'!$C$5+CD1100*'تنظیمات وزن‌دهی'!$C$6+CE1100*'تنظیمات وزن‌دهی'!$C$7+CF1100*'تنظیمات وزن‌دهی'!$C$8+CG1100*'تنظیمات وزن‌دهی'!$C$9+CH1100*'تنظیمات وزن‌دهی'!$C$10+CI1100*'تنظیمات وزن‌دهی'!$C$11+CJ1100*'تنظیمات وزن‌دهی'!$C$12+CK1100*'تنظیمات وزن‌دهی'!$C$13)/100))</x:f>
      </x:c>
      <x:c r="CM1100" s="178" t="str">
        <x:f>IF(C1100="","",IF(COUNT(G1100:CB1100)=0,"",IF(COUNT(G1100:CB1100)&lt;74,"موقت - اطلاعات ناقص",IF(CL1100&gt;=17,"عالی",IF(CL1100&gt;=14,"خوب",IF(CL1100&gt;=10,"متوسط","ضعیف"))))))</x:f>
      </x:c>
      <x:c r="CN1100" s="178" t="n">
        <x:v>4</x:v>
      </x:c>
      <x:c r="CO1100" s="142" t="n">
        <x:f>IF(C1100="","",COUNT(G1100:CB1100)/74)</x:f>
        <x:v>0</x:v>
      </x:c>
      <x:c r="CP1100" s="245"/>
    </x:row>
    <x:row r="1101">
      <x:c r="A1101" s="165" t="n">
        <x:v>1097</x:v>
      </x:c>
      <x:c r="B1101" s="233" t="str">
        <x:v>آبان</x:v>
      </x:c>
      <x:c r="C1101" s="233" t="n">
        <x:f>IF('دانش‌آموزان'!E96="","",'دانش‌آموزان'!B96)</x:f>
        <x:v>92</x:v>
      </x:c>
      <x:c r="D1101" s="233" t="str">
        <x:f>IF('دانش‌آموزان'!C96="","",'دانش‌آموزان'!C96)</x:f>
        <x:v>4000000926</x:v>
      </x:c>
      <x:c r="E1101" s="233" t="str">
        <x:f>IF('دانش‌آموزان'!E96="","",'دانش‌آموزان'!E96&amp;" "&amp;'دانش‌آموزان'!F96)</x:f>
        <x:v>رها یوسفی</x:v>
      </x:c>
      <x:c r="F1101" s="166" t="str">
        <x:f>IF('دانش‌آموزان'!I96="","",'دانش‌آموزان'!I96)</x:f>
        <x:v>sample-7-d</x:v>
      </x:c>
      <x:c r="G1101" s="114"/>
      <x:c r="H1101" s="115"/>
      <x:c r="I1101" s="115"/>
      <x:c r="J1101" s="115"/>
      <x:c r="K1101" s="115"/>
      <x:c r="L1101" s="115"/>
      <x:c r="M1101" s="115"/>
      <x:c r="N1101" s="115"/>
      <x:c r="O1101" s="115"/>
      <x:c r="P1101" s="115"/>
      <x:c r="Q1101" s="115"/>
      <x:c r="R1101" s="115"/>
      <x:c r="S1101" s="115"/>
      <x:c r="T1101" s="115"/>
      <x:c r="U1101" s="115"/>
      <x:c r="V1101" s="115"/>
      <x:c r="W1101" s="115"/>
      <x:c r="X1101" s="115"/>
      <x:c r="Y1101" s="115"/>
      <x:c r="Z1101" s="115"/>
      <x:c r="AA1101" s="115"/>
      <x:c r="AB1101" s="115"/>
      <x:c r="AC1101" s="115"/>
      <x:c r="AD1101" s="115"/>
      <x:c r="AE1101" s="115"/>
      <x:c r="AF1101" s="115"/>
      <x:c r="AG1101" s="115"/>
      <x:c r="AH1101" s="115"/>
      <x:c r="AI1101" s="115"/>
      <x:c r="AJ1101" s="115"/>
      <x:c r="AK1101" s="115"/>
      <x:c r="AL1101" s="115"/>
      <x:c r="AM1101" s="115"/>
      <x:c r="AN1101" s="115"/>
      <x:c r="AO1101" s="115"/>
      <x:c r="AP1101" s="115"/>
      <x:c r="AQ1101" s="115"/>
      <x:c r="AR1101" s="115"/>
      <x:c r="AS1101" s="115"/>
      <x:c r="AT1101" s="115"/>
      <x:c r="AU1101" s="115"/>
      <x:c r="AV1101" s="115"/>
      <x:c r="AW1101" s="115"/>
      <x:c r="AX1101" s="115"/>
      <x:c r="AY1101" s="115"/>
      <x:c r="AZ1101" s="115"/>
      <x:c r="BA1101" s="115"/>
      <x:c r="BB1101" s="115"/>
      <x:c r="BC1101" s="115"/>
      <x:c r="BD1101" s="115"/>
      <x:c r="BE1101" s="115"/>
      <x:c r="BF1101" s="115"/>
      <x:c r="BG1101" s="115"/>
      <x:c r="BH1101" s="115"/>
      <x:c r="BI1101" s="115"/>
      <x:c r="BJ1101" s="115"/>
      <x:c r="BK1101" s="115"/>
      <x:c r="BL1101" s="115"/>
      <x:c r="BM1101" s="115"/>
      <x:c r="BN1101" s="115"/>
      <x:c r="BO1101" s="115"/>
      <x:c r="BP1101" s="115"/>
      <x:c r="BQ1101" s="115"/>
      <x:c r="BR1101" s="115"/>
      <x:c r="BS1101" s="115"/>
      <x:c r="BT1101" s="115"/>
      <x:c r="BU1101" s="115"/>
      <x:c r="BV1101" s="115"/>
      <x:c r="BW1101" s="115"/>
      <x:c r="BX1101" s="115"/>
      <x:c r="BY1101" s="115"/>
      <x:c r="BZ1101" s="115"/>
      <x:c r="CA1101" s="115"/>
      <x:c r="CB1101" s="116"/>
      <x:c r="CC1101" s="141" t="str">
        <x:f>IF(COUNT(G1101:P1101)=0,"",AVERAGE(G1101:P1101)*4)</x:f>
      </x:c>
      <x:c r="CD1101" s="178" t="str">
        <x:f>IF(COUNT(Q1101:Z1101)=0,"",AVERAGE(Q1101:Z1101)*4)</x:f>
      </x:c>
      <x:c r="CE1101" s="178" t="str">
        <x:f>IF(COUNT(AA1101:AJ1101)=0,"",AVERAGE(AA1101:AJ1101)*4)</x:f>
      </x:c>
      <x:c r="CF1101" s="178" t="str">
        <x:f>IF(COUNT(AK1101:AR1101)=0,"",AVERAGE(AK1101:AR1101)*4)</x:f>
      </x:c>
      <x:c r="CG1101" s="178" t="str">
        <x:f>IF(COUNT(AS1101:AY1101)=0,"",AVERAGE(AS1101:AY1101)*4)</x:f>
      </x:c>
      <x:c r="CH1101" s="178" t="str">
        <x:f>IF(COUNT(AZ1101:BG1101)=0,"",AVERAGE(AZ1101:BG1101)*4)</x:f>
      </x:c>
      <x:c r="CI1101" s="178" t="str">
        <x:f>IF(COUNT(BH1101:BN1101)=0,"",AVERAGE(BH1101:BN1101)*4)</x:f>
      </x:c>
      <x:c r="CJ1101" s="178" t="str">
        <x:f>IF(COUNT(BO1101:BU1101)=0,"",AVERAGE(BO1101:BU1101)*4)</x:f>
      </x:c>
      <x:c r="CK1101" s="178" t="str">
        <x:f>IF(COUNT(BV1101:CB1101)=0,"",AVERAGE(BV1101:CB1101)*4)</x:f>
      </x:c>
      <x:c r="CL1101" s="178" t="str">
        <x:f>IF(C1101="","",IF(COUNT(G1101:CB1101)&lt;74,"",(CC1101*'تنظیمات وزن‌دهی'!$C$5+CD1101*'تنظیمات وزن‌دهی'!$C$6+CE1101*'تنظیمات وزن‌دهی'!$C$7+CF1101*'تنظیمات وزن‌دهی'!$C$8+CG1101*'تنظیمات وزن‌دهی'!$C$9+CH1101*'تنظیمات وزن‌دهی'!$C$10+CI1101*'تنظیمات وزن‌دهی'!$C$11+CJ1101*'تنظیمات وزن‌دهی'!$C$12+CK1101*'تنظیمات وزن‌دهی'!$C$13)/100))</x:f>
      </x:c>
      <x:c r="CM1101" s="178" t="str">
        <x:f>IF(C1101="","",IF(COUNT(G1101:CB1101)=0,"",IF(COUNT(G1101:CB1101)&lt;74,"موقت - اطلاعات ناقص",IF(CL1101&gt;=17,"عالی",IF(CL1101&gt;=14,"خوب",IF(CL1101&gt;=10,"متوسط","ضعیف"))))))</x:f>
      </x:c>
      <x:c r="CN1101" s="178" t="n">
        <x:v>5</x:v>
      </x:c>
      <x:c r="CO1101" s="142" t="n">
        <x:f>IF(C1101="","",COUNT(G1101:CB1101)/74)</x:f>
        <x:v>0</x:v>
      </x:c>
      <x:c r="CP1101" s="245"/>
    </x:row>
    <x:row r="1102">
      <x:c r="A1102" s="165" t="n">
        <x:v>1098</x:v>
      </x:c>
      <x:c r="B1102" s="233" t="str">
        <x:v>آذر</x:v>
      </x:c>
      <x:c r="C1102" s="233" t="n">
        <x:f>IF('دانش‌آموزان'!E96="","",'دانش‌آموزان'!B96)</x:f>
        <x:v>92</x:v>
      </x:c>
      <x:c r="D1102" s="233" t="str">
        <x:f>IF('دانش‌آموزان'!C96="","",'دانش‌آموزان'!C96)</x:f>
        <x:v>4000000926</x:v>
      </x:c>
      <x:c r="E1102" s="233" t="str">
        <x:f>IF('دانش‌آموزان'!E96="","",'دانش‌آموزان'!E96&amp;" "&amp;'دانش‌آموزان'!F96)</x:f>
        <x:v>رها یوسفی</x:v>
      </x:c>
      <x:c r="F1102" s="166" t="str">
        <x:f>IF('دانش‌آموزان'!I96="","",'دانش‌آموزان'!I96)</x:f>
        <x:v>sample-7-d</x:v>
      </x:c>
      <x:c r="G1102" s="114"/>
      <x:c r="H1102" s="115"/>
      <x:c r="I1102" s="115"/>
      <x:c r="J1102" s="115"/>
      <x:c r="K1102" s="115"/>
      <x:c r="L1102" s="115"/>
      <x:c r="M1102" s="115"/>
      <x:c r="N1102" s="115"/>
      <x:c r="O1102" s="115"/>
      <x:c r="P1102" s="115"/>
      <x:c r="Q1102" s="115"/>
      <x:c r="R1102" s="115"/>
      <x:c r="S1102" s="115"/>
      <x:c r="T1102" s="115"/>
      <x:c r="U1102" s="115"/>
      <x:c r="V1102" s="115"/>
      <x:c r="W1102" s="115"/>
      <x:c r="X1102" s="115"/>
      <x:c r="Y1102" s="115"/>
      <x:c r="Z1102" s="115"/>
      <x:c r="AA1102" s="115"/>
      <x:c r="AB1102" s="115"/>
      <x:c r="AC1102" s="115"/>
      <x:c r="AD1102" s="115"/>
      <x:c r="AE1102" s="115"/>
      <x:c r="AF1102" s="115"/>
      <x:c r="AG1102" s="115"/>
      <x:c r="AH1102" s="115"/>
      <x:c r="AI1102" s="115"/>
      <x:c r="AJ1102" s="115"/>
      <x:c r="AK1102" s="115"/>
      <x:c r="AL1102" s="115"/>
      <x:c r="AM1102" s="115"/>
      <x:c r="AN1102" s="115"/>
      <x:c r="AO1102" s="115"/>
      <x:c r="AP1102" s="115"/>
      <x:c r="AQ1102" s="115"/>
      <x:c r="AR1102" s="115"/>
      <x:c r="AS1102" s="115"/>
      <x:c r="AT1102" s="115"/>
      <x:c r="AU1102" s="115"/>
      <x:c r="AV1102" s="115"/>
      <x:c r="AW1102" s="115"/>
      <x:c r="AX1102" s="115"/>
      <x:c r="AY1102" s="115"/>
      <x:c r="AZ1102" s="115"/>
      <x:c r="BA1102" s="115"/>
      <x:c r="BB1102" s="115"/>
      <x:c r="BC1102" s="115"/>
      <x:c r="BD1102" s="115"/>
      <x:c r="BE1102" s="115"/>
      <x:c r="BF1102" s="115"/>
      <x:c r="BG1102" s="115"/>
      <x:c r="BH1102" s="115"/>
      <x:c r="BI1102" s="115"/>
      <x:c r="BJ1102" s="115"/>
      <x:c r="BK1102" s="115"/>
      <x:c r="BL1102" s="115"/>
      <x:c r="BM1102" s="115"/>
      <x:c r="BN1102" s="115"/>
      <x:c r="BO1102" s="115"/>
      <x:c r="BP1102" s="115"/>
      <x:c r="BQ1102" s="115"/>
      <x:c r="BR1102" s="115"/>
      <x:c r="BS1102" s="115"/>
      <x:c r="BT1102" s="115"/>
      <x:c r="BU1102" s="115"/>
      <x:c r="BV1102" s="115"/>
      <x:c r="BW1102" s="115"/>
      <x:c r="BX1102" s="115"/>
      <x:c r="BY1102" s="115"/>
      <x:c r="BZ1102" s="115"/>
      <x:c r="CA1102" s="115"/>
      <x:c r="CB1102" s="116"/>
      <x:c r="CC1102" s="141" t="str">
        <x:f>IF(COUNT(G1102:P1102)=0,"",AVERAGE(G1102:P1102)*4)</x:f>
      </x:c>
      <x:c r="CD1102" s="178" t="str">
        <x:f>IF(COUNT(Q1102:Z1102)=0,"",AVERAGE(Q1102:Z1102)*4)</x:f>
      </x:c>
      <x:c r="CE1102" s="178" t="str">
        <x:f>IF(COUNT(AA1102:AJ1102)=0,"",AVERAGE(AA1102:AJ1102)*4)</x:f>
      </x:c>
      <x:c r="CF1102" s="178" t="str">
        <x:f>IF(COUNT(AK1102:AR1102)=0,"",AVERAGE(AK1102:AR1102)*4)</x:f>
      </x:c>
      <x:c r="CG1102" s="178" t="str">
        <x:f>IF(COUNT(AS1102:AY1102)=0,"",AVERAGE(AS1102:AY1102)*4)</x:f>
      </x:c>
      <x:c r="CH1102" s="178" t="str">
        <x:f>IF(COUNT(AZ1102:BG1102)=0,"",AVERAGE(AZ1102:BG1102)*4)</x:f>
      </x:c>
      <x:c r="CI1102" s="178" t="str">
        <x:f>IF(COUNT(BH1102:BN1102)=0,"",AVERAGE(BH1102:BN1102)*4)</x:f>
      </x:c>
      <x:c r="CJ1102" s="178" t="str">
        <x:f>IF(COUNT(BO1102:BU1102)=0,"",AVERAGE(BO1102:BU1102)*4)</x:f>
      </x:c>
      <x:c r="CK1102" s="178" t="str">
        <x:f>IF(COUNT(BV1102:CB1102)=0,"",AVERAGE(BV1102:CB1102)*4)</x:f>
      </x:c>
      <x:c r="CL1102" s="178" t="str">
        <x:f>IF(C1102="","",IF(COUNT(G1102:CB1102)&lt;74,"",(CC1102*'تنظیمات وزن‌دهی'!$C$5+CD1102*'تنظیمات وزن‌دهی'!$C$6+CE1102*'تنظیمات وزن‌دهی'!$C$7+CF1102*'تنظیمات وزن‌دهی'!$C$8+CG1102*'تنظیمات وزن‌دهی'!$C$9+CH1102*'تنظیمات وزن‌دهی'!$C$10+CI1102*'تنظیمات وزن‌دهی'!$C$11+CJ1102*'تنظیمات وزن‌دهی'!$C$12+CK1102*'تنظیمات وزن‌دهی'!$C$13)/100))</x:f>
      </x:c>
      <x:c r="CM1102" s="178" t="str">
        <x:f>IF(C1102="","",IF(COUNT(G1102:CB1102)=0,"",IF(COUNT(G1102:CB1102)&lt;74,"موقت - اطلاعات ناقص",IF(CL1102&gt;=17,"عالی",IF(CL1102&gt;=14,"خوب",IF(CL1102&gt;=10,"متوسط","ضعیف"))))))</x:f>
      </x:c>
      <x:c r="CN1102" s="178" t="n">
        <x:v>6</x:v>
      </x:c>
      <x:c r="CO1102" s="142" t="n">
        <x:f>IF(C1102="","",COUNT(G1102:CB1102)/74)</x:f>
        <x:v>0</x:v>
      </x:c>
      <x:c r="CP1102" s="245"/>
    </x:row>
    <x:row r="1103">
      <x:c r="A1103" s="165" t="n">
        <x:v>1099</x:v>
      </x:c>
      <x:c r="B1103" s="233" t="str">
        <x:v>دی</x:v>
      </x:c>
      <x:c r="C1103" s="233" t="n">
        <x:f>IF('دانش‌آموزان'!E96="","",'دانش‌آموزان'!B96)</x:f>
        <x:v>92</x:v>
      </x:c>
      <x:c r="D1103" s="233" t="str">
        <x:f>IF('دانش‌آموزان'!C96="","",'دانش‌آموزان'!C96)</x:f>
        <x:v>4000000926</x:v>
      </x:c>
      <x:c r="E1103" s="233" t="str">
        <x:f>IF('دانش‌آموزان'!E96="","",'دانش‌آموزان'!E96&amp;" "&amp;'دانش‌آموزان'!F96)</x:f>
        <x:v>رها یوسفی</x:v>
      </x:c>
      <x:c r="F1103" s="166" t="str">
        <x:f>IF('دانش‌آموزان'!I96="","",'دانش‌آموزان'!I96)</x:f>
        <x:v>sample-7-d</x:v>
      </x:c>
      <x:c r="G1103" s="114"/>
      <x:c r="H1103" s="115"/>
      <x:c r="I1103" s="115"/>
      <x:c r="J1103" s="115"/>
      <x:c r="K1103" s="115"/>
      <x:c r="L1103" s="115"/>
      <x:c r="M1103" s="115"/>
      <x:c r="N1103" s="115"/>
      <x:c r="O1103" s="115"/>
      <x:c r="P1103" s="115"/>
      <x:c r="Q1103" s="115"/>
      <x:c r="R1103" s="115"/>
      <x:c r="S1103" s="115"/>
      <x:c r="T1103" s="115"/>
      <x:c r="U1103" s="115"/>
      <x:c r="V1103" s="115"/>
      <x:c r="W1103" s="115"/>
      <x:c r="X1103" s="115"/>
      <x:c r="Y1103" s="115"/>
      <x:c r="Z1103" s="115"/>
      <x:c r="AA1103" s="115"/>
      <x:c r="AB1103" s="115"/>
      <x:c r="AC1103" s="115"/>
      <x:c r="AD1103" s="115"/>
      <x:c r="AE1103" s="115"/>
      <x:c r="AF1103" s="115"/>
      <x:c r="AG1103" s="115"/>
      <x:c r="AH1103" s="115"/>
      <x:c r="AI1103" s="115"/>
      <x:c r="AJ1103" s="115"/>
      <x:c r="AK1103" s="115"/>
      <x:c r="AL1103" s="115"/>
      <x:c r="AM1103" s="115"/>
      <x:c r="AN1103" s="115"/>
      <x:c r="AO1103" s="115"/>
      <x:c r="AP1103" s="115"/>
      <x:c r="AQ1103" s="115"/>
      <x:c r="AR1103" s="115"/>
      <x:c r="AS1103" s="115"/>
      <x:c r="AT1103" s="115"/>
      <x:c r="AU1103" s="115"/>
      <x:c r="AV1103" s="115"/>
      <x:c r="AW1103" s="115"/>
      <x:c r="AX1103" s="115"/>
      <x:c r="AY1103" s="115"/>
      <x:c r="AZ1103" s="115"/>
      <x:c r="BA1103" s="115"/>
      <x:c r="BB1103" s="115"/>
      <x:c r="BC1103" s="115"/>
      <x:c r="BD1103" s="115"/>
      <x:c r="BE1103" s="115"/>
      <x:c r="BF1103" s="115"/>
      <x:c r="BG1103" s="115"/>
      <x:c r="BH1103" s="115"/>
      <x:c r="BI1103" s="115"/>
      <x:c r="BJ1103" s="115"/>
      <x:c r="BK1103" s="115"/>
      <x:c r="BL1103" s="115"/>
      <x:c r="BM1103" s="115"/>
      <x:c r="BN1103" s="115"/>
      <x:c r="BO1103" s="115"/>
      <x:c r="BP1103" s="115"/>
      <x:c r="BQ1103" s="115"/>
      <x:c r="BR1103" s="115"/>
      <x:c r="BS1103" s="115"/>
      <x:c r="BT1103" s="115"/>
      <x:c r="BU1103" s="115"/>
      <x:c r="BV1103" s="115"/>
      <x:c r="BW1103" s="115"/>
      <x:c r="BX1103" s="115"/>
      <x:c r="BY1103" s="115"/>
      <x:c r="BZ1103" s="115"/>
      <x:c r="CA1103" s="115"/>
      <x:c r="CB1103" s="116"/>
      <x:c r="CC1103" s="141" t="str">
        <x:f>IF(COUNT(G1103:P1103)=0,"",AVERAGE(G1103:P1103)*4)</x:f>
      </x:c>
      <x:c r="CD1103" s="178" t="str">
        <x:f>IF(COUNT(Q1103:Z1103)=0,"",AVERAGE(Q1103:Z1103)*4)</x:f>
      </x:c>
      <x:c r="CE1103" s="178" t="str">
        <x:f>IF(COUNT(AA1103:AJ1103)=0,"",AVERAGE(AA1103:AJ1103)*4)</x:f>
      </x:c>
      <x:c r="CF1103" s="178" t="str">
        <x:f>IF(COUNT(AK1103:AR1103)=0,"",AVERAGE(AK1103:AR1103)*4)</x:f>
      </x:c>
      <x:c r="CG1103" s="178" t="str">
        <x:f>IF(COUNT(AS1103:AY1103)=0,"",AVERAGE(AS1103:AY1103)*4)</x:f>
      </x:c>
      <x:c r="CH1103" s="178" t="str">
        <x:f>IF(COUNT(AZ1103:BG1103)=0,"",AVERAGE(AZ1103:BG1103)*4)</x:f>
      </x:c>
      <x:c r="CI1103" s="178" t="str">
        <x:f>IF(COUNT(BH1103:BN1103)=0,"",AVERAGE(BH1103:BN1103)*4)</x:f>
      </x:c>
      <x:c r="CJ1103" s="178" t="str">
        <x:f>IF(COUNT(BO1103:BU1103)=0,"",AVERAGE(BO1103:BU1103)*4)</x:f>
      </x:c>
      <x:c r="CK1103" s="178" t="str">
        <x:f>IF(COUNT(BV1103:CB1103)=0,"",AVERAGE(BV1103:CB1103)*4)</x:f>
      </x:c>
      <x:c r="CL1103" s="178" t="str">
        <x:f>IF(C1103="","",IF(COUNT(G1103:CB1103)&lt;74,"",(CC1103*'تنظیمات وزن‌دهی'!$C$5+CD1103*'تنظیمات وزن‌دهی'!$C$6+CE1103*'تنظیمات وزن‌دهی'!$C$7+CF1103*'تنظیمات وزن‌دهی'!$C$8+CG1103*'تنظیمات وزن‌دهی'!$C$9+CH1103*'تنظیمات وزن‌دهی'!$C$10+CI1103*'تنظیمات وزن‌دهی'!$C$11+CJ1103*'تنظیمات وزن‌دهی'!$C$12+CK1103*'تنظیمات وزن‌دهی'!$C$13)/100))</x:f>
      </x:c>
      <x:c r="CM1103" s="178" t="str">
        <x:f>IF(C1103="","",IF(COUNT(G1103:CB1103)=0,"",IF(COUNT(G1103:CB1103)&lt;74,"موقت - اطلاعات ناقص",IF(CL1103&gt;=17,"عالی",IF(CL1103&gt;=14,"خوب",IF(CL1103&gt;=10,"متوسط","ضعیف"))))))</x:f>
      </x:c>
      <x:c r="CN1103" s="178" t="n">
        <x:v>7</x:v>
      </x:c>
      <x:c r="CO1103" s="142" t="n">
        <x:f>IF(C1103="","",COUNT(G1103:CB1103)/74)</x:f>
        <x:v>0</x:v>
      </x:c>
      <x:c r="CP1103" s="245"/>
    </x:row>
    <x:row r="1104">
      <x:c r="A1104" s="165" t="n">
        <x:v>1100</x:v>
      </x:c>
      <x:c r="B1104" s="233" t="str">
        <x:v>بهمن</x:v>
      </x:c>
      <x:c r="C1104" s="233" t="n">
        <x:f>IF('دانش‌آموزان'!E96="","",'دانش‌آموزان'!B96)</x:f>
        <x:v>92</x:v>
      </x:c>
      <x:c r="D1104" s="233" t="str">
        <x:f>IF('دانش‌آموزان'!C96="","",'دانش‌آموزان'!C96)</x:f>
        <x:v>4000000926</x:v>
      </x:c>
      <x:c r="E1104" s="233" t="str">
        <x:f>IF('دانش‌آموزان'!E96="","",'دانش‌آموزان'!E96&amp;" "&amp;'دانش‌آموزان'!F96)</x:f>
        <x:v>رها یوسفی</x:v>
      </x:c>
      <x:c r="F1104" s="166" t="str">
        <x:f>IF('دانش‌آموزان'!I96="","",'دانش‌آموزان'!I96)</x:f>
        <x:v>sample-7-d</x:v>
      </x:c>
      <x:c r="G1104" s="114"/>
      <x:c r="H1104" s="115"/>
      <x:c r="I1104" s="115"/>
      <x:c r="J1104" s="115"/>
      <x:c r="K1104" s="115"/>
      <x:c r="L1104" s="115"/>
      <x:c r="M1104" s="115"/>
      <x:c r="N1104" s="115"/>
      <x:c r="O1104" s="115"/>
      <x:c r="P1104" s="115"/>
      <x:c r="Q1104" s="115"/>
      <x:c r="R1104" s="115"/>
      <x:c r="S1104" s="115"/>
      <x:c r="T1104" s="115"/>
      <x:c r="U1104" s="115"/>
      <x:c r="V1104" s="115"/>
      <x:c r="W1104" s="115"/>
      <x:c r="X1104" s="115"/>
      <x:c r="Y1104" s="115"/>
      <x:c r="Z1104" s="115"/>
      <x:c r="AA1104" s="115"/>
      <x:c r="AB1104" s="115"/>
      <x:c r="AC1104" s="115"/>
      <x:c r="AD1104" s="115"/>
      <x:c r="AE1104" s="115"/>
      <x:c r="AF1104" s="115"/>
      <x:c r="AG1104" s="115"/>
      <x:c r="AH1104" s="115"/>
      <x:c r="AI1104" s="115"/>
      <x:c r="AJ1104" s="115"/>
      <x:c r="AK1104" s="115"/>
      <x:c r="AL1104" s="115"/>
      <x:c r="AM1104" s="115"/>
      <x:c r="AN1104" s="115"/>
      <x:c r="AO1104" s="115"/>
      <x:c r="AP1104" s="115"/>
      <x:c r="AQ1104" s="115"/>
      <x:c r="AR1104" s="115"/>
      <x:c r="AS1104" s="115"/>
      <x:c r="AT1104" s="115"/>
      <x:c r="AU1104" s="115"/>
      <x:c r="AV1104" s="115"/>
      <x:c r="AW1104" s="115"/>
      <x:c r="AX1104" s="115"/>
      <x:c r="AY1104" s="115"/>
      <x:c r="AZ1104" s="115"/>
      <x:c r="BA1104" s="115"/>
      <x:c r="BB1104" s="115"/>
      <x:c r="BC1104" s="115"/>
      <x:c r="BD1104" s="115"/>
      <x:c r="BE1104" s="115"/>
      <x:c r="BF1104" s="115"/>
      <x:c r="BG1104" s="115"/>
      <x:c r="BH1104" s="115"/>
      <x:c r="BI1104" s="115"/>
      <x:c r="BJ1104" s="115"/>
      <x:c r="BK1104" s="115"/>
      <x:c r="BL1104" s="115"/>
      <x:c r="BM1104" s="115"/>
      <x:c r="BN1104" s="115"/>
      <x:c r="BO1104" s="115"/>
      <x:c r="BP1104" s="115"/>
      <x:c r="BQ1104" s="115"/>
      <x:c r="BR1104" s="115"/>
      <x:c r="BS1104" s="115"/>
      <x:c r="BT1104" s="115"/>
      <x:c r="BU1104" s="115"/>
      <x:c r="BV1104" s="115"/>
      <x:c r="BW1104" s="115"/>
      <x:c r="BX1104" s="115"/>
      <x:c r="BY1104" s="115"/>
      <x:c r="BZ1104" s="115"/>
      <x:c r="CA1104" s="115"/>
      <x:c r="CB1104" s="116"/>
      <x:c r="CC1104" s="141" t="str">
        <x:f>IF(COUNT(G1104:P1104)=0,"",AVERAGE(G1104:P1104)*4)</x:f>
      </x:c>
      <x:c r="CD1104" s="178" t="str">
        <x:f>IF(COUNT(Q1104:Z1104)=0,"",AVERAGE(Q1104:Z1104)*4)</x:f>
      </x:c>
      <x:c r="CE1104" s="178" t="str">
        <x:f>IF(COUNT(AA1104:AJ1104)=0,"",AVERAGE(AA1104:AJ1104)*4)</x:f>
      </x:c>
      <x:c r="CF1104" s="178" t="str">
        <x:f>IF(COUNT(AK1104:AR1104)=0,"",AVERAGE(AK1104:AR1104)*4)</x:f>
      </x:c>
      <x:c r="CG1104" s="178" t="str">
        <x:f>IF(COUNT(AS1104:AY1104)=0,"",AVERAGE(AS1104:AY1104)*4)</x:f>
      </x:c>
      <x:c r="CH1104" s="178" t="str">
        <x:f>IF(COUNT(AZ1104:BG1104)=0,"",AVERAGE(AZ1104:BG1104)*4)</x:f>
      </x:c>
      <x:c r="CI1104" s="178" t="str">
        <x:f>IF(COUNT(BH1104:BN1104)=0,"",AVERAGE(BH1104:BN1104)*4)</x:f>
      </x:c>
      <x:c r="CJ1104" s="178" t="str">
        <x:f>IF(COUNT(BO1104:BU1104)=0,"",AVERAGE(BO1104:BU1104)*4)</x:f>
      </x:c>
      <x:c r="CK1104" s="178" t="str">
        <x:f>IF(COUNT(BV1104:CB1104)=0,"",AVERAGE(BV1104:CB1104)*4)</x:f>
      </x:c>
      <x:c r="CL1104" s="178" t="str">
        <x:f>IF(C1104="","",IF(COUNT(G1104:CB1104)&lt;74,"",(CC1104*'تنظیمات وزن‌دهی'!$C$5+CD1104*'تنظیمات وزن‌دهی'!$C$6+CE1104*'تنظیمات وزن‌دهی'!$C$7+CF1104*'تنظیمات وزن‌دهی'!$C$8+CG1104*'تنظیمات وزن‌دهی'!$C$9+CH1104*'تنظیمات وزن‌دهی'!$C$10+CI1104*'تنظیمات وزن‌دهی'!$C$11+CJ1104*'تنظیمات وزن‌دهی'!$C$12+CK1104*'تنظیمات وزن‌دهی'!$C$13)/100))</x:f>
      </x:c>
      <x:c r="CM1104" s="178" t="str">
        <x:f>IF(C1104="","",IF(COUNT(G1104:CB1104)=0,"",IF(COUNT(G1104:CB1104)&lt;74,"موقت - اطلاعات ناقص",IF(CL1104&gt;=17,"عالی",IF(CL1104&gt;=14,"خوب",IF(CL1104&gt;=10,"متوسط","ضعیف"))))))</x:f>
      </x:c>
      <x:c r="CN1104" s="178" t="n">
        <x:v>8</x:v>
      </x:c>
      <x:c r="CO1104" s="142" t="n">
        <x:f>IF(C1104="","",COUNT(G1104:CB1104)/74)</x:f>
        <x:v>0</x:v>
      </x:c>
      <x:c r="CP1104" s="245"/>
    </x:row>
    <x:row r="1105">
      <x:c r="A1105" s="165" t="n">
        <x:v>1101</x:v>
      </x:c>
      <x:c r="B1105" s="233" t="str">
        <x:v>اسفند</x:v>
      </x:c>
      <x:c r="C1105" s="233" t="n">
        <x:f>IF('دانش‌آموزان'!E96="","",'دانش‌آموزان'!B96)</x:f>
        <x:v>92</x:v>
      </x:c>
      <x:c r="D1105" s="233" t="str">
        <x:f>IF('دانش‌آموزان'!C96="","",'دانش‌آموزان'!C96)</x:f>
        <x:v>4000000926</x:v>
      </x:c>
      <x:c r="E1105" s="233" t="str">
        <x:f>IF('دانش‌آموزان'!E96="","",'دانش‌آموزان'!E96&amp;" "&amp;'دانش‌آموزان'!F96)</x:f>
        <x:v>رها یوسفی</x:v>
      </x:c>
      <x:c r="F1105" s="166" t="str">
        <x:f>IF('دانش‌آموزان'!I96="","",'دانش‌آموزان'!I96)</x:f>
        <x:v>sample-7-d</x:v>
      </x:c>
      <x:c r="G1105" s="114"/>
      <x:c r="H1105" s="115"/>
      <x:c r="I1105" s="115"/>
      <x:c r="J1105" s="115"/>
      <x:c r="K1105" s="115"/>
      <x:c r="L1105" s="115"/>
      <x:c r="M1105" s="115"/>
      <x:c r="N1105" s="115"/>
      <x:c r="O1105" s="115"/>
      <x:c r="P1105" s="115"/>
      <x:c r="Q1105" s="115"/>
      <x:c r="R1105" s="115"/>
      <x:c r="S1105" s="115"/>
      <x:c r="T1105" s="115"/>
      <x:c r="U1105" s="115"/>
      <x:c r="V1105" s="115"/>
      <x:c r="W1105" s="115"/>
      <x:c r="X1105" s="115"/>
      <x:c r="Y1105" s="115"/>
      <x:c r="Z1105" s="115"/>
      <x:c r="AA1105" s="115"/>
      <x:c r="AB1105" s="115"/>
      <x:c r="AC1105" s="115"/>
      <x:c r="AD1105" s="115"/>
      <x:c r="AE1105" s="115"/>
      <x:c r="AF1105" s="115"/>
      <x:c r="AG1105" s="115"/>
      <x:c r="AH1105" s="115"/>
      <x:c r="AI1105" s="115"/>
      <x:c r="AJ1105" s="115"/>
      <x:c r="AK1105" s="115"/>
      <x:c r="AL1105" s="115"/>
      <x:c r="AM1105" s="115"/>
      <x:c r="AN1105" s="115"/>
      <x:c r="AO1105" s="115"/>
      <x:c r="AP1105" s="115"/>
      <x:c r="AQ1105" s="115"/>
      <x:c r="AR1105" s="115"/>
      <x:c r="AS1105" s="115"/>
      <x:c r="AT1105" s="115"/>
      <x:c r="AU1105" s="115"/>
      <x:c r="AV1105" s="115"/>
      <x:c r="AW1105" s="115"/>
      <x:c r="AX1105" s="115"/>
      <x:c r="AY1105" s="115"/>
      <x:c r="AZ1105" s="115"/>
      <x:c r="BA1105" s="115"/>
      <x:c r="BB1105" s="115"/>
      <x:c r="BC1105" s="115"/>
      <x:c r="BD1105" s="115"/>
      <x:c r="BE1105" s="115"/>
      <x:c r="BF1105" s="115"/>
      <x:c r="BG1105" s="115"/>
      <x:c r="BH1105" s="115"/>
      <x:c r="BI1105" s="115"/>
      <x:c r="BJ1105" s="115"/>
      <x:c r="BK1105" s="115"/>
      <x:c r="BL1105" s="115"/>
      <x:c r="BM1105" s="115"/>
      <x:c r="BN1105" s="115"/>
      <x:c r="BO1105" s="115"/>
      <x:c r="BP1105" s="115"/>
      <x:c r="BQ1105" s="115"/>
      <x:c r="BR1105" s="115"/>
      <x:c r="BS1105" s="115"/>
      <x:c r="BT1105" s="115"/>
      <x:c r="BU1105" s="115"/>
      <x:c r="BV1105" s="115"/>
      <x:c r="BW1105" s="115"/>
      <x:c r="BX1105" s="115"/>
      <x:c r="BY1105" s="115"/>
      <x:c r="BZ1105" s="115"/>
      <x:c r="CA1105" s="115"/>
      <x:c r="CB1105" s="116"/>
      <x:c r="CC1105" s="141" t="str">
        <x:f>IF(COUNT(G1105:P1105)=0,"",AVERAGE(G1105:P1105)*4)</x:f>
      </x:c>
      <x:c r="CD1105" s="178" t="str">
        <x:f>IF(COUNT(Q1105:Z1105)=0,"",AVERAGE(Q1105:Z1105)*4)</x:f>
      </x:c>
      <x:c r="CE1105" s="178" t="str">
        <x:f>IF(COUNT(AA1105:AJ1105)=0,"",AVERAGE(AA1105:AJ1105)*4)</x:f>
      </x:c>
      <x:c r="CF1105" s="178" t="str">
        <x:f>IF(COUNT(AK1105:AR1105)=0,"",AVERAGE(AK1105:AR1105)*4)</x:f>
      </x:c>
      <x:c r="CG1105" s="178" t="str">
        <x:f>IF(COUNT(AS1105:AY1105)=0,"",AVERAGE(AS1105:AY1105)*4)</x:f>
      </x:c>
      <x:c r="CH1105" s="178" t="str">
        <x:f>IF(COUNT(AZ1105:BG1105)=0,"",AVERAGE(AZ1105:BG1105)*4)</x:f>
      </x:c>
      <x:c r="CI1105" s="178" t="str">
        <x:f>IF(COUNT(BH1105:BN1105)=0,"",AVERAGE(BH1105:BN1105)*4)</x:f>
      </x:c>
      <x:c r="CJ1105" s="178" t="str">
        <x:f>IF(COUNT(BO1105:BU1105)=0,"",AVERAGE(BO1105:BU1105)*4)</x:f>
      </x:c>
      <x:c r="CK1105" s="178" t="str">
        <x:f>IF(COUNT(BV1105:CB1105)=0,"",AVERAGE(BV1105:CB1105)*4)</x:f>
      </x:c>
      <x:c r="CL1105" s="178" t="str">
        <x:f>IF(C1105="","",IF(COUNT(G1105:CB1105)&lt;74,"",(CC1105*'تنظیمات وزن‌دهی'!$C$5+CD1105*'تنظیمات وزن‌دهی'!$C$6+CE1105*'تنظیمات وزن‌دهی'!$C$7+CF1105*'تنظیمات وزن‌دهی'!$C$8+CG1105*'تنظیمات وزن‌دهی'!$C$9+CH1105*'تنظیمات وزن‌دهی'!$C$10+CI1105*'تنظیمات وزن‌دهی'!$C$11+CJ1105*'تنظیمات وزن‌دهی'!$C$12+CK1105*'تنظیمات وزن‌دهی'!$C$13)/100))</x:f>
      </x:c>
      <x:c r="CM1105" s="178" t="str">
        <x:f>IF(C1105="","",IF(COUNT(G1105:CB1105)=0,"",IF(COUNT(G1105:CB1105)&lt;74,"موقت - اطلاعات ناقص",IF(CL1105&gt;=17,"عالی",IF(CL1105&gt;=14,"خوب",IF(CL1105&gt;=10,"متوسط","ضعیف"))))))</x:f>
      </x:c>
      <x:c r="CN1105" s="178" t="n">
        <x:v>9</x:v>
      </x:c>
      <x:c r="CO1105" s="142" t="n">
        <x:f>IF(C1105="","",COUNT(G1105:CB1105)/74)</x:f>
        <x:v>0</x:v>
      </x:c>
      <x:c r="CP1105" s="245"/>
    </x:row>
    <x:row r="1106">
      <x:c r="A1106" s="165" t="n">
        <x:v>1102</x:v>
      </x:c>
      <x:c r="B1106" s="233" t="str">
        <x:v>فروردین</x:v>
      </x:c>
      <x:c r="C1106" s="233" t="n">
        <x:f>IF('دانش‌آموزان'!E96="","",'دانش‌آموزان'!B96)</x:f>
        <x:v>92</x:v>
      </x:c>
      <x:c r="D1106" s="233" t="str">
        <x:f>IF('دانش‌آموزان'!C96="","",'دانش‌آموزان'!C96)</x:f>
        <x:v>4000000926</x:v>
      </x:c>
      <x:c r="E1106" s="233" t="str">
        <x:f>IF('دانش‌آموزان'!E96="","",'دانش‌آموزان'!E96&amp;" "&amp;'دانش‌آموزان'!F96)</x:f>
        <x:v>رها یوسفی</x:v>
      </x:c>
      <x:c r="F1106" s="166" t="str">
        <x:f>IF('دانش‌آموزان'!I96="","",'دانش‌آموزان'!I96)</x:f>
        <x:v>sample-7-d</x:v>
      </x:c>
      <x:c r="G1106" s="114"/>
      <x:c r="H1106" s="115"/>
      <x:c r="I1106" s="115"/>
      <x:c r="J1106" s="115"/>
      <x:c r="K1106" s="115"/>
      <x:c r="L1106" s="115"/>
      <x:c r="M1106" s="115"/>
      <x:c r="N1106" s="115"/>
      <x:c r="O1106" s="115"/>
      <x:c r="P1106" s="115"/>
      <x:c r="Q1106" s="115"/>
      <x:c r="R1106" s="115"/>
      <x:c r="S1106" s="115"/>
      <x:c r="T1106" s="115"/>
      <x:c r="U1106" s="115"/>
      <x:c r="V1106" s="115"/>
      <x:c r="W1106" s="115"/>
      <x:c r="X1106" s="115"/>
      <x:c r="Y1106" s="115"/>
      <x:c r="Z1106" s="115"/>
      <x:c r="AA1106" s="115"/>
      <x:c r="AB1106" s="115"/>
      <x:c r="AC1106" s="115"/>
      <x:c r="AD1106" s="115"/>
      <x:c r="AE1106" s="115"/>
      <x:c r="AF1106" s="115"/>
      <x:c r="AG1106" s="115"/>
      <x:c r="AH1106" s="115"/>
      <x:c r="AI1106" s="115"/>
      <x:c r="AJ1106" s="115"/>
      <x:c r="AK1106" s="115"/>
      <x:c r="AL1106" s="115"/>
      <x:c r="AM1106" s="115"/>
      <x:c r="AN1106" s="115"/>
      <x:c r="AO1106" s="115"/>
      <x:c r="AP1106" s="115"/>
      <x:c r="AQ1106" s="115"/>
      <x:c r="AR1106" s="115"/>
      <x:c r="AS1106" s="115"/>
      <x:c r="AT1106" s="115"/>
      <x:c r="AU1106" s="115"/>
      <x:c r="AV1106" s="115"/>
      <x:c r="AW1106" s="115"/>
      <x:c r="AX1106" s="115"/>
      <x:c r="AY1106" s="115"/>
      <x:c r="AZ1106" s="115"/>
      <x:c r="BA1106" s="115"/>
      <x:c r="BB1106" s="115"/>
      <x:c r="BC1106" s="115"/>
      <x:c r="BD1106" s="115"/>
      <x:c r="BE1106" s="115"/>
      <x:c r="BF1106" s="115"/>
      <x:c r="BG1106" s="115"/>
      <x:c r="BH1106" s="115"/>
      <x:c r="BI1106" s="115"/>
      <x:c r="BJ1106" s="115"/>
      <x:c r="BK1106" s="115"/>
      <x:c r="BL1106" s="115"/>
      <x:c r="BM1106" s="115"/>
      <x:c r="BN1106" s="115"/>
      <x:c r="BO1106" s="115"/>
      <x:c r="BP1106" s="115"/>
      <x:c r="BQ1106" s="115"/>
      <x:c r="BR1106" s="115"/>
      <x:c r="BS1106" s="115"/>
      <x:c r="BT1106" s="115"/>
      <x:c r="BU1106" s="115"/>
      <x:c r="BV1106" s="115"/>
      <x:c r="BW1106" s="115"/>
      <x:c r="BX1106" s="115"/>
      <x:c r="BY1106" s="115"/>
      <x:c r="BZ1106" s="115"/>
      <x:c r="CA1106" s="115"/>
      <x:c r="CB1106" s="116"/>
      <x:c r="CC1106" s="141" t="str">
        <x:f>IF(COUNT(G1106:P1106)=0,"",AVERAGE(G1106:P1106)*4)</x:f>
      </x:c>
      <x:c r="CD1106" s="178" t="str">
        <x:f>IF(COUNT(Q1106:Z1106)=0,"",AVERAGE(Q1106:Z1106)*4)</x:f>
      </x:c>
      <x:c r="CE1106" s="178" t="str">
        <x:f>IF(COUNT(AA1106:AJ1106)=0,"",AVERAGE(AA1106:AJ1106)*4)</x:f>
      </x:c>
      <x:c r="CF1106" s="178" t="str">
        <x:f>IF(COUNT(AK1106:AR1106)=0,"",AVERAGE(AK1106:AR1106)*4)</x:f>
      </x:c>
      <x:c r="CG1106" s="178" t="str">
        <x:f>IF(COUNT(AS1106:AY1106)=0,"",AVERAGE(AS1106:AY1106)*4)</x:f>
      </x:c>
      <x:c r="CH1106" s="178" t="str">
        <x:f>IF(COUNT(AZ1106:BG1106)=0,"",AVERAGE(AZ1106:BG1106)*4)</x:f>
      </x:c>
      <x:c r="CI1106" s="178" t="str">
        <x:f>IF(COUNT(BH1106:BN1106)=0,"",AVERAGE(BH1106:BN1106)*4)</x:f>
      </x:c>
      <x:c r="CJ1106" s="178" t="str">
        <x:f>IF(COUNT(BO1106:BU1106)=0,"",AVERAGE(BO1106:BU1106)*4)</x:f>
      </x:c>
      <x:c r="CK1106" s="178" t="str">
        <x:f>IF(COUNT(BV1106:CB1106)=0,"",AVERAGE(BV1106:CB1106)*4)</x:f>
      </x:c>
      <x:c r="CL1106" s="178" t="str">
        <x:f>IF(C1106="","",IF(COUNT(G1106:CB1106)&lt;74,"",(CC1106*'تنظیمات وزن‌دهی'!$C$5+CD1106*'تنظیمات وزن‌دهی'!$C$6+CE1106*'تنظیمات وزن‌دهی'!$C$7+CF1106*'تنظیمات وزن‌دهی'!$C$8+CG1106*'تنظیمات وزن‌دهی'!$C$9+CH1106*'تنظیمات وزن‌دهی'!$C$10+CI1106*'تنظیمات وزن‌دهی'!$C$11+CJ1106*'تنظیمات وزن‌دهی'!$C$12+CK1106*'تنظیمات وزن‌دهی'!$C$13)/100))</x:f>
      </x:c>
      <x:c r="CM1106" s="178" t="str">
        <x:f>IF(C1106="","",IF(COUNT(G1106:CB1106)=0,"",IF(COUNT(G1106:CB1106)&lt;74,"موقت - اطلاعات ناقص",IF(CL1106&gt;=17,"عالی",IF(CL1106&gt;=14,"خوب",IF(CL1106&gt;=10,"متوسط","ضعیف"))))))</x:f>
      </x:c>
      <x:c r="CN1106" s="178" t="n">
        <x:v>10</x:v>
      </x:c>
      <x:c r="CO1106" s="142" t="n">
        <x:f>IF(C1106="","",COUNT(G1106:CB1106)/74)</x:f>
        <x:v>0</x:v>
      </x:c>
      <x:c r="CP1106" s="245"/>
    </x:row>
    <x:row r="1107">
      <x:c r="A1107" s="165" t="n">
        <x:v>1103</x:v>
      </x:c>
      <x:c r="B1107" s="233" t="str">
        <x:v>اردیبهشت</x:v>
      </x:c>
      <x:c r="C1107" s="233" t="n">
        <x:f>IF('دانش‌آموزان'!E96="","",'دانش‌آموزان'!B96)</x:f>
        <x:v>92</x:v>
      </x:c>
      <x:c r="D1107" s="233" t="str">
        <x:f>IF('دانش‌آموزان'!C96="","",'دانش‌آموزان'!C96)</x:f>
        <x:v>4000000926</x:v>
      </x:c>
      <x:c r="E1107" s="233" t="str">
        <x:f>IF('دانش‌آموزان'!E96="","",'دانش‌آموزان'!E96&amp;" "&amp;'دانش‌آموزان'!F96)</x:f>
        <x:v>رها یوسفی</x:v>
      </x:c>
      <x:c r="F1107" s="166" t="str">
        <x:f>IF('دانش‌آموزان'!I96="","",'دانش‌آموزان'!I96)</x:f>
        <x:v>sample-7-d</x:v>
      </x:c>
      <x:c r="G1107" s="114"/>
      <x:c r="H1107" s="115"/>
      <x:c r="I1107" s="115"/>
      <x:c r="J1107" s="115"/>
      <x:c r="K1107" s="115"/>
      <x:c r="L1107" s="115"/>
      <x:c r="M1107" s="115"/>
      <x:c r="N1107" s="115"/>
      <x:c r="O1107" s="115"/>
      <x:c r="P1107" s="115"/>
      <x:c r="Q1107" s="115"/>
      <x:c r="R1107" s="115"/>
      <x:c r="S1107" s="115"/>
      <x:c r="T1107" s="115"/>
      <x:c r="U1107" s="115"/>
      <x:c r="V1107" s="115"/>
      <x:c r="W1107" s="115"/>
      <x:c r="X1107" s="115"/>
      <x:c r="Y1107" s="115"/>
      <x:c r="Z1107" s="115"/>
      <x:c r="AA1107" s="115"/>
      <x:c r="AB1107" s="115"/>
      <x:c r="AC1107" s="115"/>
      <x:c r="AD1107" s="115"/>
      <x:c r="AE1107" s="115"/>
      <x:c r="AF1107" s="115"/>
      <x:c r="AG1107" s="115"/>
      <x:c r="AH1107" s="115"/>
      <x:c r="AI1107" s="115"/>
      <x:c r="AJ1107" s="115"/>
      <x:c r="AK1107" s="115"/>
      <x:c r="AL1107" s="115"/>
      <x:c r="AM1107" s="115"/>
      <x:c r="AN1107" s="115"/>
      <x:c r="AO1107" s="115"/>
      <x:c r="AP1107" s="115"/>
      <x:c r="AQ1107" s="115"/>
      <x:c r="AR1107" s="115"/>
      <x:c r="AS1107" s="115"/>
      <x:c r="AT1107" s="115"/>
      <x:c r="AU1107" s="115"/>
      <x:c r="AV1107" s="115"/>
      <x:c r="AW1107" s="115"/>
      <x:c r="AX1107" s="115"/>
      <x:c r="AY1107" s="115"/>
      <x:c r="AZ1107" s="115"/>
      <x:c r="BA1107" s="115"/>
      <x:c r="BB1107" s="115"/>
      <x:c r="BC1107" s="115"/>
      <x:c r="BD1107" s="115"/>
      <x:c r="BE1107" s="115"/>
      <x:c r="BF1107" s="115"/>
      <x:c r="BG1107" s="115"/>
      <x:c r="BH1107" s="115"/>
      <x:c r="BI1107" s="115"/>
      <x:c r="BJ1107" s="115"/>
      <x:c r="BK1107" s="115"/>
      <x:c r="BL1107" s="115"/>
      <x:c r="BM1107" s="115"/>
      <x:c r="BN1107" s="115"/>
      <x:c r="BO1107" s="115"/>
      <x:c r="BP1107" s="115"/>
      <x:c r="BQ1107" s="115"/>
      <x:c r="BR1107" s="115"/>
      <x:c r="BS1107" s="115"/>
      <x:c r="BT1107" s="115"/>
      <x:c r="BU1107" s="115"/>
      <x:c r="BV1107" s="115"/>
      <x:c r="BW1107" s="115"/>
      <x:c r="BX1107" s="115"/>
      <x:c r="BY1107" s="115"/>
      <x:c r="BZ1107" s="115"/>
      <x:c r="CA1107" s="115"/>
      <x:c r="CB1107" s="116"/>
      <x:c r="CC1107" s="141" t="str">
        <x:f>IF(COUNT(G1107:P1107)=0,"",AVERAGE(G1107:P1107)*4)</x:f>
      </x:c>
      <x:c r="CD1107" s="178" t="str">
        <x:f>IF(COUNT(Q1107:Z1107)=0,"",AVERAGE(Q1107:Z1107)*4)</x:f>
      </x:c>
      <x:c r="CE1107" s="178" t="str">
        <x:f>IF(COUNT(AA1107:AJ1107)=0,"",AVERAGE(AA1107:AJ1107)*4)</x:f>
      </x:c>
      <x:c r="CF1107" s="178" t="str">
        <x:f>IF(COUNT(AK1107:AR1107)=0,"",AVERAGE(AK1107:AR1107)*4)</x:f>
      </x:c>
      <x:c r="CG1107" s="178" t="str">
        <x:f>IF(COUNT(AS1107:AY1107)=0,"",AVERAGE(AS1107:AY1107)*4)</x:f>
      </x:c>
      <x:c r="CH1107" s="178" t="str">
        <x:f>IF(COUNT(AZ1107:BG1107)=0,"",AVERAGE(AZ1107:BG1107)*4)</x:f>
      </x:c>
      <x:c r="CI1107" s="178" t="str">
        <x:f>IF(COUNT(BH1107:BN1107)=0,"",AVERAGE(BH1107:BN1107)*4)</x:f>
      </x:c>
      <x:c r="CJ1107" s="178" t="str">
        <x:f>IF(COUNT(BO1107:BU1107)=0,"",AVERAGE(BO1107:BU1107)*4)</x:f>
      </x:c>
      <x:c r="CK1107" s="178" t="str">
        <x:f>IF(COUNT(BV1107:CB1107)=0,"",AVERAGE(BV1107:CB1107)*4)</x:f>
      </x:c>
      <x:c r="CL1107" s="178" t="str">
        <x:f>IF(C1107="","",IF(COUNT(G1107:CB1107)&lt;74,"",(CC1107*'تنظیمات وزن‌دهی'!$C$5+CD1107*'تنظیمات وزن‌دهی'!$C$6+CE1107*'تنظیمات وزن‌دهی'!$C$7+CF1107*'تنظیمات وزن‌دهی'!$C$8+CG1107*'تنظیمات وزن‌دهی'!$C$9+CH1107*'تنظیمات وزن‌دهی'!$C$10+CI1107*'تنظیمات وزن‌دهی'!$C$11+CJ1107*'تنظیمات وزن‌دهی'!$C$12+CK1107*'تنظیمات وزن‌دهی'!$C$13)/100))</x:f>
      </x:c>
      <x:c r="CM1107" s="178" t="str">
        <x:f>IF(C1107="","",IF(COUNT(G1107:CB1107)=0,"",IF(COUNT(G1107:CB1107)&lt;74,"موقت - اطلاعات ناقص",IF(CL1107&gt;=17,"عالی",IF(CL1107&gt;=14,"خوب",IF(CL1107&gt;=10,"متوسط","ضعیف"))))))</x:f>
      </x:c>
      <x:c r="CN1107" s="178" t="n">
        <x:v>11</x:v>
      </x:c>
      <x:c r="CO1107" s="142" t="n">
        <x:f>IF(C1107="","",COUNT(G1107:CB1107)/74)</x:f>
        <x:v>0</x:v>
      </x:c>
      <x:c r="CP1107" s="245"/>
    </x:row>
    <x:row r="1108">
      <x:c r="A1108" s="165" t="n">
        <x:v>1104</x:v>
      </x:c>
      <x:c r="B1108" s="233" t="str">
        <x:v>خرداد</x:v>
      </x:c>
      <x:c r="C1108" s="233" t="n">
        <x:f>IF('دانش‌آموزان'!E96="","",'دانش‌آموزان'!B96)</x:f>
        <x:v>92</x:v>
      </x:c>
      <x:c r="D1108" s="233" t="str">
        <x:f>IF('دانش‌آموزان'!C96="","",'دانش‌آموزان'!C96)</x:f>
        <x:v>4000000926</x:v>
      </x:c>
      <x:c r="E1108" s="233" t="str">
        <x:f>IF('دانش‌آموزان'!E96="","",'دانش‌آموزان'!E96&amp;" "&amp;'دانش‌آموزان'!F96)</x:f>
        <x:v>رها یوسفی</x:v>
      </x:c>
      <x:c r="F1108" s="166" t="str">
        <x:f>IF('دانش‌آموزان'!I96="","",'دانش‌آموزان'!I96)</x:f>
        <x:v>sample-7-d</x:v>
      </x:c>
      <x:c r="G1108" s="114"/>
      <x:c r="H1108" s="115"/>
      <x:c r="I1108" s="115"/>
      <x:c r="J1108" s="115"/>
      <x:c r="K1108" s="115"/>
      <x:c r="L1108" s="115"/>
      <x:c r="M1108" s="115"/>
      <x:c r="N1108" s="115"/>
      <x:c r="O1108" s="115"/>
      <x:c r="P1108" s="115"/>
      <x:c r="Q1108" s="115"/>
      <x:c r="R1108" s="115"/>
      <x:c r="S1108" s="115"/>
      <x:c r="T1108" s="115"/>
      <x:c r="U1108" s="115"/>
      <x:c r="V1108" s="115"/>
      <x:c r="W1108" s="115"/>
      <x:c r="X1108" s="115"/>
      <x:c r="Y1108" s="115"/>
      <x:c r="Z1108" s="115"/>
      <x:c r="AA1108" s="115"/>
      <x:c r="AB1108" s="115"/>
      <x:c r="AC1108" s="115"/>
      <x:c r="AD1108" s="115"/>
      <x:c r="AE1108" s="115"/>
      <x:c r="AF1108" s="115"/>
      <x:c r="AG1108" s="115"/>
      <x:c r="AH1108" s="115"/>
      <x:c r="AI1108" s="115"/>
      <x:c r="AJ1108" s="115"/>
      <x:c r="AK1108" s="115"/>
      <x:c r="AL1108" s="115"/>
      <x:c r="AM1108" s="115"/>
      <x:c r="AN1108" s="115"/>
      <x:c r="AO1108" s="115"/>
      <x:c r="AP1108" s="115"/>
      <x:c r="AQ1108" s="115"/>
      <x:c r="AR1108" s="115"/>
      <x:c r="AS1108" s="115"/>
      <x:c r="AT1108" s="115"/>
      <x:c r="AU1108" s="115"/>
      <x:c r="AV1108" s="115"/>
      <x:c r="AW1108" s="115"/>
      <x:c r="AX1108" s="115"/>
      <x:c r="AY1108" s="115"/>
      <x:c r="AZ1108" s="115"/>
      <x:c r="BA1108" s="115"/>
      <x:c r="BB1108" s="115"/>
      <x:c r="BC1108" s="115"/>
      <x:c r="BD1108" s="115"/>
      <x:c r="BE1108" s="115"/>
      <x:c r="BF1108" s="115"/>
      <x:c r="BG1108" s="115"/>
      <x:c r="BH1108" s="115"/>
      <x:c r="BI1108" s="115"/>
      <x:c r="BJ1108" s="115"/>
      <x:c r="BK1108" s="115"/>
      <x:c r="BL1108" s="115"/>
      <x:c r="BM1108" s="115"/>
      <x:c r="BN1108" s="115"/>
      <x:c r="BO1108" s="115"/>
      <x:c r="BP1108" s="115"/>
      <x:c r="BQ1108" s="115"/>
      <x:c r="BR1108" s="115"/>
      <x:c r="BS1108" s="115"/>
      <x:c r="BT1108" s="115"/>
      <x:c r="BU1108" s="115"/>
      <x:c r="BV1108" s="115"/>
      <x:c r="BW1108" s="115"/>
      <x:c r="BX1108" s="115"/>
      <x:c r="BY1108" s="115"/>
      <x:c r="BZ1108" s="115"/>
      <x:c r="CA1108" s="115"/>
      <x:c r="CB1108" s="116"/>
      <x:c r="CC1108" s="141" t="str">
        <x:f>IF(COUNT(G1108:P1108)=0,"",AVERAGE(G1108:P1108)*4)</x:f>
      </x:c>
      <x:c r="CD1108" s="178" t="str">
        <x:f>IF(COUNT(Q1108:Z1108)=0,"",AVERAGE(Q1108:Z1108)*4)</x:f>
      </x:c>
      <x:c r="CE1108" s="178" t="str">
        <x:f>IF(COUNT(AA1108:AJ1108)=0,"",AVERAGE(AA1108:AJ1108)*4)</x:f>
      </x:c>
      <x:c r="CF1108" s="178" t="str">
        <x:f>IF(COUNT(AK1108:AR1108)=0,"",AVERAGE(AK1108:AR1108)*4)</x:f>
      </x:c>
      <x:c r="CG1108" s="178" t="str">
        <x:f>IF(COUNT(AS1108:AY1108)=0,"",AVERAGE(AS1108:AY1108)*4)</x:f>
      </x:c>
      <x:c r="CH1108" s="178" t="str">
        <x:f>IF(COUNT(AZ1108:BG1108)=0,"",AVERAGE(AZ1108:BG1108)*4)</x:f>
      </x:c>
      <x:c r="CI1108" s="178" t="str">
        <x:f>IF(COUNT(BH1108:BN1108)=0,"",AVERAGE(BH1108:BN1108)*4)</x:f>
      </x:c>
      <x:c r="CJ1108" s="178" t="str">
        <x:f>IF(COUNT(BO1108:BU1108)=0,"",AVERAGE(BO1108:BU1108)*4)</x:f>
      </x:c>
      <x:c r="CK1108" s="178" t="str">
        <x:f>IF(COUNT(BV1108:CB1108)=0,"",AVERAGE(BV1108:CB1108)*4)</x:f>
      </x:c>
      <x:c r="CL1108" s="178" t="str">
        <x:f>IF(C1108="","",IF(COUNT(G1108:CB1108)&lt;74,"",(CC1108*'تنظیمات وزن‌دهی'!$C$5+CD1108*'تنظیمات وزن‌دهی'!$C$6+CE1108*'تنظیمات وزن‌دهی'!$C$7+CF1108*'تنظیمات وزن‌دهی'!$C$8+CG1108*'تنظیمات وزن‌دهی'!$C$9+CH1108*'تنظیمات وزن‌دهی'!$C$10+CI1108*'تنظیمات وزن‌دهی'!$C$11+CJ1108*'تنظیمات وزن‌دهی'!$C$12+CK1108*'تنظیمات وزن‌دهی'!$C$13)/100))</x:f>
      </x:c>
      <x:c r="CM1108" s="178" t="str">
        <x:f>IF(C1108="","",IF(COUNT(G1108:CB1108)=0,"",IF(COUNT(G1108:CB1108)&lt;74,"موقت - اطلاعات ناقص",IF(CL1108&gt;=17,"عالی",IF(CL1108&gt;=14,"خوب",IF(CL1108&gt;=10,"متوسط","ضعیف"))))))</x:f>
      </x:c>
      <x:c r="CN1108" s="178" t="n">
        <x:v>12</x:v>
      </x:c>
      <x:c r="CO1108" s="142" t="n">
        <x:f>IF(C1108="","",COUNT(G1108:CB1108)/74)</x:f>
        <x:v>0</x:v>
      </x:c>
      <x:c r="CP1108" s="245"/>
    </x:row>
    <x:row r="1109">
      <x:c r="A1109" s="165" t="n">
        <x:v>1105</x:v>
      </x:c>
      <x:c r="B1109" s="233" t="str">
        <x:v>تیر</x:v>
      </x:c>
      <x:c r="C1109" s="233" t="n">
        <x:f>IF('دانش‌آموزان'!E97="","",'دانش‌آموزان'!B97)</x:f>
        <x:v>93</x:v>
      </x:c>
      <x:c r="D1109" s="233" t="str">
        <x:f>IF('دانش‌آموزان'!C97="","",'دانش‌آموزان'!C97)</x:f>
        <x:v>4000000934</x:v>
      </x:c>
      <x:c r="E1109" s="233" t="str">
        <x:f>IF('دانش‌آموزان'!E97="","",'دانش‌آموزان'!E97&amp;" "&amp;'دانش‌آموزان'!F97)</x:f>
        <x:v>طاها رضایی</x:v>
      </x:c>
      <x:c r="F1109" s="166" t="str">
        <x:f>IF('دانش‌آموزان'!I97="","",'دانش‌آموزان'!I97)</x:f>
        <x:v>sample-7-d</x:v>
      </x:c>
      <x:c r="G1109" s="114" t="n">
        <x:v>3</x:v>
      </x:c>
      <x:c r="H1109" s="115" t="n">
        <x:v>4</x:v>
      </x:c>
      <x:c r="I1109" s="115" t="n">
        <x:v>2</x:v>
      </x:c>
      <x:c r="J1109" s="115" t="n">
        <x:v>4</x:v>
      </x:c>
      <x:c r="K1109" s="115" t="n">
        <x:v>5</x:v>
      </x:c>
      <x:c r="L1109" s="115" t="n">
        <x:v>4</x:v>
      </x:c>
      <x:c r="M1109" s="115" t="n">
        <x:v>5</x:v>
      </x:c>
      <x:c r="N1109" s="115" t="n">
        <x:v>3</x:v>
      </x:c>
      <x:c r="O1109" s="115" t="n">
        <x:v>5</x:v>
      </x:c>
      <x:c r="P1109" s="115" t="n">
        <x:v>3</x:v>
      </x:c>
      <x:c r="Q1109" s="115" t="n">
        <x:v>4</x:v>
      </x:c>
      <x:c r="R1109" s="115" t="n">
        <x:v>3</x:v>
      </x:c>
      <x:c r="S1109" s="115" t="n">
        <x:v>4</x:v>
      </x:c>
      <x:c r="T1109" s="115" t="n">
        <x:v>2</x:v>
      </x:c>
      <x:c r="U1109" s="115" t="n">
        <x:v>4</x:v>
      </x:c>
      <x:c r="V1109" s="115" t="n">
        <x:v>5</x:v>
      </x:c>
      <x:c r="W1109" s="115" t="n">
        <x:v>4</x:v>
      </x:c>
      <x:c r="X1109" s="115" t="n">
        <x:v>5</x:v>
      </x:c>
      <x:c r="Y1109" s="115" t="n">
        <x:v>3</x:v>
      </x:c>
      <x:c r="Z1109" s="115" t="n">
        <x:v>5</x:v>
      </x:c>
      <x:c r="AA1109" s="115" t="n">
        <x:v>3</x:v>
      </x:c>
      <x:c r="AB1109" s="115" t="n">
        <x:v>4</x:v>
      </x:c>
      <x:c r="AC1109" s="115" t="n">
        <x:v>3</x:v>
      </x:c>
      <x:c r="AD1109" s="115" t="n">
        <x:v>4</x:v>
      </x:c>
      <x:c r="AE1109" s="115" t="n">
        <x:v>2</x:v>
      </x:c>
      <x:c r="AF1109" s="115" t="n">
        <x:v>4</x:v>
      </x:c>
      <x:c r="AG1109" s="115" t="n">
        <x:v>5</x:v>
      </x:c>
      <x:c r="AH1109" s="115" t="n">
        <x:v>4</x:v>
      </x:c>
      <x:c r="AI1109" s="115" t="n">
        <x:v>5</x:v>
      </x:c>
      <x:c r="AJ1109" s="115" t="n">
        <x:v>3</x:v>
      </x:c>
      <x:c r="AK1109" s="115" t="n">
        <x:v>5</x:v>
      </x:c>
      <x:c r="AL1109" s="115" t="n">
        <x:v>3</x:v>
      </x:c>
      <x:c r="AM1109" s="115" t="n">
        <x:v>4</x:v>
      </x:c>
      <x:c r="AN1109" s="115" t="n">
        <x:v>3</x:v>
      </x:c>
      <x:c r="AO1109" s="115" t="n">
        <x:v>4</x:v>
      </x:c>
      <x:c r="AP1109" s="115" t="n">
        <x:v>2</x:v>
      </x:c>
      <x:c r="AQ1109" s="115" t="n">
        <x:v>4</x:v>
      </x:c>
      <x:c r="AR1109" s="115" t="n">
        <x:v>5</x:v>
      </x:c>
      <x:c r="AS1109" s="115" t="n">
        <x:v>4</x:v>
      </x:c>
      <x:c r="AT1109" s="115" t="n">
        <x:v>5</x:v>
      </x:c>
      <x:c r="AU1109" s="115" t="n">
        <x:v>3</x:v>
      </x:c>
      <x:c r="AV1109" s="115" t="n">
        <x:v>5</x:v>
      </x:c>
      <x:c r="AW1109" s="115" t="n">
        <x:v>3</x:v>
      </x:c>
      <x:c r="AX1109" s="115" t="n">
        <x:v>4</x:v>
      </x:c>
      <x:c r="AY1109" s="115" t="n">
        <x:v>3</x:v>
      </x:c>
      <x:c r="AZ1109" s="115" t="n">
        <x:v>4</x:v>
      </x:c>
      <x:c r="BA1109" s="115" t="n">
        <x:v>2</x:v>
      </x:c>
      <x:c r="BB1109" s="115" t="n">
        <x:v>4</x:v>
      </x:c>
      <x:c r="BC1109" s="115" t="n">
        <x:v>5</x:v>
      </x:c>
      <x:c r="BD1109" s="115" t="n">
        <x:v>4</x:v>
      </x:c>
      <x:c r="BE1109" s="115" t="n">
        <x:v>5</x:v>
      </x:c>
      <x:c r="BF1109" s="115" t="n">
        <x:v>3</x:v>
      </x:c>
      <x:c r="BG1109" s="115" t="n">
        <x:v>5</x:v>
      </x:c>
      <x:c r="BH1109" s="115" t="n">
        <x:v>3</x:v>
      </x:c>
      <x:c r="BI1109" s="115" t="n">
        <x:v>4</x:v>
      </x:c>
      <x:c r="BJ1109" s="115" t="n">
        <x:v>3</x:v>
      </x:c>
      <x:c r="BK1109" s="115" t="n">
        <x:v>4</x:v>
      </x:c>
      <x:c r="BL1109" s="115" t="n">
        <x:v>2</x:v>
      </x:c>
      <x:c r="BM1109" s="115" t="n">
        <x:v>4</x:v>
      </x:c>
      <x:c r="BN1109" s="115" t="n">
        <x:v>5</x:v>
      </x:c>
      <x:c r="BO1109" s="115" t="n">
        <x:v>4</x:v>
      </x:c>
      <x:c r="BP1109" s="115" t="n">
        <x:v>5</x:v>
      </x:c>
      <x:c r="BQ1109" s="115" t="n">
        <x:v>3</x:v>
      </x:c>
      <x:c r="BR1109" s="115" t="n">
        <x:v>5</x:v>
      </x:c>
      <x:c r="BS1109" s="115" t="n">
        <x:v>3</x:v>
      </x:c>
      <x:c r="BT1109" s="115" t="n">
        <x:v>4</x:v>
      </x:c>
      <x:c r="BU1109" s="115" t="n">
        <x:v>3</x:v>
      </x:c>
      <x:c r="BV1109" s="115" t="n">
        <x:v>4</x:v>
      </x:c>
      <x:c r="BW1109" s="115" t="n">
        <x:v>2</x:v>
      </x:c>
      <x:c r="BX1109" s="115" t="n">
        <x:v>4</x:v>
      </x:c>
      <x:c r="BY1109" s="115" t="n">
        <x:v>5</x:v>
      </x:c>
      <x:c r="BZ1109" s="115" t="n">
        <x:v>4</x:v>
      </x:c>
      <x:c r="CA1109" s="115" t="n">
        <x:v>5</x:v>
      </x:c>
      <x:c r="CB1109" s="116" t="n">
        <x:v>3</x:v>
      </x:c>
      <x:c r="CC1109" s="141" t="n">
        <x:f>IF(COUNT(G1109:P1109)=0,"",AVERAGE(G1109:P1109)*4)</x:f>
        <x:v>15.2</x:v>
      </x:c>
      <x:c r="CD1109" s="178" t="n">
        <x:f>IF(COUNT(Q1109:Z1109)=0,"",AVERAGE(Q1109:Z1109)*4)</x:f>
        <x:v>15.6</x:v>
      </x:c>
      <x:c r="CE1109" s="178" t="n">
        <x:f>IF(COUNT(AA1109:AJ1109)=0,"",AVERAGE(AA1109:AJ1109)*4)</x:f>
        <x:v>14.8</x:v>
      </x:c>
      <x:c r="CF1109" s="178" t="n">
        <x:f>IF(COUNT(AK1109:AR1109)=0,"",AVERAGE(AK1109:AR1109)*4)</x:f>
        <x:v>15</x:v>
      </x:c>
      <x:c r="CG1109" s="178" t="n">
        <x:f>IF(COUNT(AS1109:AY1109)=0,"",AVERAGE(AS1109:AY1109)*4)</x:f>
        <x:v>15.428571428571429</x:v>
      </x:c>
      <x:c r="CH1109" s="178" t="n">
        <x:f>IF(COUNT(AZ1109:BG1109)=0,"",AVERAGE(AZ1109:BG1109)*4)</x:f>
        <x:v>16</x:v>
      </x:c>
      <x:c r="CI1109" s="178" t="n">
        <x:f>IF(COUNT(BH1109:BN1109)=0,"",AVERAGE(BH1109:BN1109)*4)</x:f>
        <x:v>14.285714285714286</x:v>
      </x:c>
      <x:c r="CJ1109" s="178" t="n">
        <x:f>IF(COUNT(BO1109:BU1109)=0,"",AVERAGE(BO1109:BU1109)*4)</x:f>
        <x:v>15.428571428571429</x:v>
      </x:c>
      <x:c r="CK1109" s="178" t="n">
        <x:f>IF(COUNT(BV1109:CB1109)=0,"",AVERAGE(BV1109:CB1109)*4)</x:f>
        <x:v>15.428571428571429</x:v>
      </x:c>
      <x:c r="CL1109" s="178" t="n">
        <x:f>IF(C1109="","",IF(COUNT(G1109:CB1109)&lt;74,"",(CC1109*'تنظیمات وزن‌دهی'!$C$5+CD1109*'تنظیمات وزن‌دهی'!$C$6+CE1109*'تنظیمات وزن‌دهی'!$C$7+CF1109*'تنظیمات وزن‌دهی'!$C$8+CG1109*'تنظیمات وزن‌دهی'!$C$9+CH1109*'تنظیمات وزن‌دهی'!$C$10+CI1109*'تنظیمات وزن‌دهی'!$C$11+CJ1109*'تنظیمات وزن‌دهی'!$C$12+CK1109*'تنظیمات وزن‌دهی'!$C$13)/100))</x:f>
        <x:v>15.215714285714286</x:v>
      </x:c>
      <x:c r="CM1109" s="178" t="str">
        <x:f>IF(C1109="","",IF(COUNT(G1109:CB1109)=0,"",IF(COUNT(G1109:CB1109)&lt;74,"موقت - اطلاعات ناقص",IF(CL1109&gt;=17,"عالی",IF(CL1109&gt;=14,"خوب",IF(CL1109&gt;=10,"متوسط","ضعیف"))))))</x:f>
        <x:v>خوب</x:v>
      </x:c>
      <x:c r="CN1109" s="178" t="n">
        <x:v>1</x:v>
      </x:c>
      <x:c r="CO1109" s="142" t="n">
        <x:f>IF(C1109="","",COUNT(G1109:CB1109)/74)</x:f>
        <x:v>1</x:v>
      </x:c>
      <x:c r="CP1109" s="245" t="str">
        <x:v>داده نمونه کامل برای ماه تیر - دانش‌آموز شماره 93</x:v>
      </x:c>
    </x:row>
    <x:row r="1110">
      <x:c r="A1110" s="165" t="n">
        <x:v>1106</x:v>
      </x:c>
      <x:c r="B1110" s="233" t="str">
        <x:v>مرداد</x:v>
      </x:c>
      <x:c r="C1110" s="233" t="n">
        <x:f>IF('دانش‌آموزان'!E97="","",'دانش‌آموزان'!B97)</x:f>
        <x:v>93</x:v>
      </x:c>
      <x:c r="D1110" s="233" t="str">
        <x:f>IF('دانش‌آموزان'!C97="","",'دانش‌آموزان'!C97)</x:f>
        <x:v>4000000934</x:v>
      </x:c>
      <x:c r="E1110" s="233" t="str">
        <x:f>IF('دانش‌آموزان'!E97="","",'دانش‌آموزان'!E97&amp;" "&amp;'دانش‌آموزان'!F97)</x:f>
        <x:v>طاها رضایی</x:v>
      </x:c>
      <x:c r="F1110" s="166" t="str">
        <x:f>IF('دانش‌آموزان'!I97="","",'دانش‌آموزان'!I97)</x:f>
        <x:v>sample-7-d</x:v>
      </x:c>
      <x:c r="G1110" s="114"/>
      <x:c r="H1110" s="115"/>
      <x:c r="I1110" s="115"/>
      <x:c r="J1110" s="115"/>
      <x:c r="K1110" s="115"/>
      <x:c r="L1110" s="115"/>
      <x:c r="M1110" s="115"/>
      <x:c r="N1110" s="115"/>
      <x:c r="O1110" s="115"/>
      <x:c r="P1110" s="115"/>
      <x:c r="Q1110" s="115"/>
      <x:c r="R1110" s="115"/>
      <x:c r="S1110" s="115"/>
      <x:c r="T1110" s="115"/>
      <x:c r="U1110" s="115"/>
      <x:c r="V1110" s="115"/>
      <x:c r="W1110" s="115"/>
      <x:c r="X1110" s="115"/>
      <x:c r="Y1110" s="115"/>
      <x:c r="Z1110" s="115"/>
      <x:c r="AA1110" s="115"/>
      <x:c r="AB1110" s="115"/>
      <x:c r="AC1110" s="115"/>
      <x:c r="AD1110" s="115"/>
      <x:c r="AE1110" s="115"/>
      <x:c r="AF1110" s="115"/>
      <x:c r="AG1110" s="115"/>
      <x:c r="AH1110" s="115"/>
      <x:c r="AI1110" s="115"/>
      <x:c r="AJ1110" s="115"/>
      <x:c r="AK1110" s="115"/>
      <x:c r="AL1110" s="115"/>
      <x:c r="AM1110" s="115"/>
      <x:c r="AN1110" s="115"/>
      <x:c r="AO1110" s="115"/>
      <x:c r="AP1110" s="115"/>
      <x:c r="AQ1110" s="115"/>
      <x:c r="AR1110" s="115"/>
      <x:c r="AS1110" s="115"/>
      <x:c r="AT1110" s="115"/>
      <x:c r="AU1110" s="115"/>
      <x:c r="AV1110" s="115"/>
      <x:c r="AW1110" s="115"/>
      <x:c r="AX1110" s="115"/>
      <x:c r="AY1110" s="115"/>
      <x:c r="AZ1110" s="115"/>
      <x:c r="BA1110" s="115"/>
      <x:c r="BB1110" s="115"/>
      <x:c r="BC1110" s="115"/>
      <x:c r="BD1110" s="115"/>
      <x:c r="BE1110" s="115"/>
      <x:c r="BF1110" s="115"/>
      <x:c r="BG1110" s="115"/>
      <x:c r="BH1110" s="115"/>
      <x:c r="BI1110" s="115"/>
      <x:c r="BJ1110" s="115"/>
      <x:c r="BK1110" s="115"/>
      <x:c r="BL1110" s="115"/>
      <x:c r="BM1110" s="115"/>
      <x:c r="BN1110" s="115"/>
      <x:c r="BO1110" s="115"/>
      <x:c r="BP1110" s="115"/>
      <x:c r="BQ1110" s="115"/>
      <x:c r="BR1110" s="115"/>
      <x:c r="BS1110" s="115"/>
      <x:c r="BT1110" s="115"/>
      <x:c r="BU1110" s="115"/>
      <x:c r="BV1110" s="115"/>
      <x:c r="BW1110" s="115"/>
      <x:c r="BX1110" s="115"/>
      <x:c r="BY1110" s="115"/>
      <x:c r="BZ1110" s="115"/>
      <x:c r="CA1110" s="115"/>
      <x:c r="CB1110" s="116"/>
      <x:c r="CC1110" s="141" t="str">
        <x:f>IF(COUNT(G1110:P1110)=0,"",AVERAGE(G1110:P1110)*4)</x:f>
      </x:c>
      <x:c r="CD1110" s="178" t="str">
        <x:f>IF(COUNT(Q1110:Z1110)=0,"",AVERAGE(Q1110:Z1110)*4)</x:f>
      </x:c>
      <x:c r="CE1110" s="178" t="str">
        <x:f>IF(COUNT(AA1110:AJ1110)=0,"",AVERAGE(AA1110:AJ1110)*4)</x:f>
      </x:c>
      <x:c r="CF1110" s="178" t="str">
        <x:f>IF(COUNT(AK1110:AR1110)=0,"",AVERAGE(AK1110:AR1110)*4)</x:f>
      </x:c>
      <x:c r="CG1110" s="178" t="str">
        <x:f>IF(COUNT(AS1110:AY1110)=0,"",AVERAGE(AS1110:AY1110)*4)</x:f>
      </x:c>
      <x:c r="CH1110" s="178" t="str">
        <x:f>IF(COUNT(AZ1110:BG1110)=0,"",AVERAGE(AZ1110:BG1110)*4)</x:f>
      </x:c>
      <x:c r="CI1110" s="178" t="str">
        <x:f>IF(COUNT(BH1110:BN1110)=0,"",AVERAGE(BH1110:BN1110)*4)</x:f>
      </x:c>
      <x:c r="CJ1110" s="178" t="str">
        <x:f>IF(COUNT(BO1110:BU1110)=0,"",AVERAGE(BO1110:BU1110)*4)</x:f>
      </x:c>
      <x:c r="CK1110" s="178" t="str">
        <x:f>IF(COUNT(BV1110:CB1110)=0,"",AVERAGE(BV1110:CB1110)*4)</x:f>
      </x:c>
      <x:c r="CL1110" s="178" t="str">
        <x:f>IF(C1110="","",IF(COUNT(G1110:CB1110)&lt;74,"",(CC1110*'تنظیمات وزن‌دهی'!$C$5+CD1110*'تنظیمات وزن‌دهی'!$C$6+CE1110*'تنظیمات وزن‌دهی'!$C$7+CF1110*'تنظیمات وزن‌دهی'!$C$8+CG1110*'تنظیمات وزن‌دهی'!$C$9+CH1110*'تنظیمات وزن‌دهی'!$C$10+CI1110*'تنظیمات وزن‌دهی'!$C$11+CJ1110*'تنظیمات وزن‌دهی'!$C$12+CK1110*'تنظیمات وزن‌دهی'!$C$13)/100))</x:f>
      </x:c>
      <x:c r="CM1110" s="178" t="str">
        <x:f>IF(C1110="","",IF(COUNT(G1110:CB1110)=0,"",IF(COUNT(G1110:CB1110)&lt;74,"موقت - اطلاعات ناقص",IF(CL1110&gt;=17,"عالی",IF(CL1110&gt;=14,"خوب",IF(CL1110&gt;=10,"متوسط","ضعیف"))))))</x:f>
      </x:c>
      <x:c r="CN1110" s="178" t="n">
        <x:v>2</x:v>
      </x:c>
      <x:c r="CO1110" s="142" t="n">
        <x:f>IF(C1110="","",COUNT(G1110:CB1110)/74)</x:f>
        <x:v>0</x:v>
      </x:c>
      <x:c r="CP1110" s="245"/>
    </x:row>
    <x:row r="1111">
      <x:c r="A1111" s="165" t="n">
        <x:v>1107</x:v>
      </x:c>
      <x:c r="B1111" s="233" t="str">
        <x:v>شهریور</x:v>
      </x:c>
      <x:c r="C1111" s="233" t="n">
        <x:f>IF('دانش‌آموزان'!E97="","",'دانش‌آموزان'!B97)</x:f>
        <x:v>93</x:v>
      </x:c>
      <x:c r="D1111" s="233" t="str">
        <x:f>IF('دانش‌آموزان'!C97="","",'دانش‌آموزان'!C97)</x:f>
        <x:v>4000000934</x:v>
      </x:c>
      <x:c r="E1111" s="233" t="str">
        <x:f>IF('دانش‌آموزان'!E97="","",'دانش‌آموزان'!E97&amp;" "&amp;'دانش‌آموزان'!F97)</x:f>
        <x:v>طاها رضایی</x:v>
      </x:c>
      <x:c r="F1111" s="166" t="str">
        <x:f>IF('دانش‌آموزان'!I97="","",'دانش‌آموزان'!I97)</x:f>
        <x:v>sample-7-d</x:v>
      </x:c>
      <x:c r="G1111" s="114"/>
      <x:c r="H1111" s="115"/>
      <x:c r="I1111" s="115"/>
      <x:c r="J1111" s="115"/>
      <x:c r="K1111" s="115"/>
      <x:c r="L1111" s="115"/>
      <x:c r="M1111" s="115"/>
      <x:c r="N1111" s="115"/>
      <x:c r="O1111" s="115"/>
      <x:c r="P1111" s="115"/>
      <x:c r="Q1111" s="115"/>
      <x:c r="R1111" s="115"/>
      <x:c r="S1111" s="115"/>
      <x:c r="T1111" s="115"/>
      <x:c r="U1111" s="115"/>
      <x:c r="V1111" s="115"/>
      <x:c r="W1111" s="115"/>
      <x:c r="X1111" s="115"/>
      <x:c r="Y1111" s="115"/>
      <x:c r="Z1111" s="115"/>
      <x:c r="AA1111" s="115"/>
      <x:c r="AB1111" s="115"/>
      <x:c r="AC1111" s="115"/>
      <x:c r="AD1111" s="115"/>
      <x:c r="AE1111" s="115"/>
      <x:c r="AF1111" s="115"/>
      <x:c r="AG1111" s="115"/>
      <x:c r="AH1111" s="115"/>
      <x:c r="AI1111" s="115"/>
      <x:c r="AJ1111" s="115"/>
      <x:c r="AK1111" s="115"/>
      <x:c r="AL1111" s="115"/>
      <x:c r="AM1111" s="115"/>
      <x:c r="AN1111" s="115"/>
      <x:c r="AO1111" s="115"/>
      <x:c r="AP1111" s="115"/>
      <x:c r="AQ1111" s="115"/>
      <x:c r="AR1111" s="115"/>
      <x:c r="AS1111" s="115"/>
      <x:c r="AT1111" s="115"/>
      <x:c r="AU1111" s="115"/>
      <x:c r="AV1111" s="115"/>
      <x:c r="AW1111" s="115"/>
      <x:c r="AX1111" s="115"/>
      <x:c r="AY1111" s="115"/>
      <x:c r="AZ1111" s="115"/>
      <x:c r="BA1111" s="115"/>
      <x:c r="BB1111" s="115"/>
      <x:c r="BC1111" s="115"/>
      <x:c r="BD1111" s="115"/>
      <x:c r="BE1111" s="115"/>
      <x:c r="BF1111" s="115"/>
      <x:c r="BG1111" s="115"/>
      <x:c r="BH1111" s="115"/>
      <x:c r="BI1111" s="115"/>
      <x:c r="BJ1111" s="115"/>
      <x:c r="BK1111" s="115"/>
      <x:c r="BL1111" s="115"/>
      <x:c r="BM1111" s="115"/>
      <x:c r="BN1111" s="115"/>
      <x:c r="BO1111" s="115"/>
      <x:c r="BP1111" s="115"/>
      <x:c r="BQ1111" s="115"/>
      <x:c r="BR1111" s="115"/>
      <x:c r="BS1111" s="115"/>
      <x:c r="BT1111" s="115"/>
      <x:c r="BU1111" s="115"/>
      <x:c r="BV1111" s="115"/>
      <x:c r="BW1111" s="115"/>
      <x:c r="BX1111" s="115"/>
      <x:c r="BY1111" s="115"/>
      <x:c r="BZ1111" s="115"/>
      <x:c r="CA1111" s="115"/>
      <x:c r="CB1111" s="116"/>
      <x:c r="CC1111" s="141" t="str">
        <x:f>IF(COUNT(G1111:P1111)=0,"",AVERAGE(G1111:P1111)*4)</x:f>
      </x:c>
      <x:c r="CD1111" s="178" t="str">
        <x:f>IF(COUNT(Q1111:Z1111)=0,"",AVERAGE(Q1111:Z1111)*4)</x:f>
      </x:c>
      <x:c r="CE1111" s="178" t="str">
        <x:f>IF(COUNT(AA1111:AJ1111)=0,"",AVERAGE(AA1111:AJ1111)*4)</x:f>
      </x:c>
      <x:c r="CF1111" s="178" t="str">
        <x:f>IF(COUNT(AK1111:AR1111)=0,"",AVERAGE(AK1111:AR1111)*4)</x:f>
      </x:c>
      <x:c r="CG1111" s="178" t="str">
        <x:f>IF(COUNT(AS1111:AY1111)=0,"",AVERAGE(AS1111:AY1111)*4)</x:f>
      </x:c>
      <x:c r="CH1111" s="178" t="str">
        <x:f>IF(COUNT(AZ1111:BG1111)=0,"",AVERAGE(AZ1111:BG1111)*4)</x:f>
      </x:c>
      <x:c r="CI1111" s="178" t="str">
        <x:f>IF(COUNT(BH1111:BN1111)=0,"",AVERAGE(BH1111:BN1111)*4)</x:f>
      </x:c>
      <x:c r="CJ1111" s="178" t="str">
        <x:f>IF(COUNT(BO1111:BU1111)=0,"",AVERAGE(BO1111:BU1111)*4)</x:f>
      </x:c>
      <x:c r="CK1111" s="178" t="str">
        <x:f>IF(COUNT(BV1111:CB1111)=0,"",AVERAGE(BV1111:CB1111)*4)</x:f>
      </x:c>
      <x:c r="CL1111" s="178" t="str">
        <x:f>IF(C1111="","",IF(COUNT(G1111:CB1111)&lt;74,"",(CC1111*'تنظیمات وزن‌دهی'!$C$5+CD1111*'تنظیمات وزن‌دهی'!$C$6+CE1111*'تنظیمات وزن‌دهی'!$C$7+CF1111*'تنظیمات وزن‌دهی'!$C$8+CG1111*'تنظیمات وزن‌دهی'!$C$9+CH1111*'تنظیمات وزن‌دهی'!$C$10+CI1111*'تنظیمات وزن‌دهی'!$C$11+CJ1111*'تنظیمات وزن‌دهی'!$C$12+CK1111*'تنظیمات وزن‌دهی'!$C$13)/100))</x:f>
      </x:c>
      <x:c r="CM1111" s="178" t="str">
        <x:f>IF(C1111="","",IF(COUNT(G1111:CB1111)=0,"",IF(COUNT(G1111:CB1111)&lt;74,"موقت - اطلاعات ناقص",IF(CL1111&gt;=17,"عالی",IF(CL1111&gt;=14,"خوب",IF(CL1111&gt;=10,"متوسط","ضعیف"))))))</x:f>
      </x:c>
      <x:c r="CN1111" s="178" t="n">
        <x:v>3</x:v>
      </x:c>
      <x:c r="CO1111" s="142" t="n">
        <x:f>IF(C1111="","",COUNT(G1111:CB1111)/74)</x:f>
        <x:v>0</x:v>
      </x:c>
      <x:c r="CP1111" s="245"/>
    </x:row>
    <x:row r="1112">
      <x:c r="A1112" s="165" t="n">
        <x:v>1108</x:v>
      </x:c>
      <x:c r="B1112" s="233" t="str">
        <x:v>مهر</x:v>
      </x:c>
      <x:c r="C1112" s="233" t="n">
        <x:f>IF('دانش‌آموزان'!E97="","",'دانش‌آموزان'!B97)</x:f>
        <x:v>93</x:v>
      </x:c>
      <x:c r="D1112" s="233" t="str">
        <x:f>IF('دانش‌آموزان'!C97="","",'دانش‌آموزان'!C97)</x:f>
        <x:v>4000000934</x:v>
      </x:c>
      <x:c r="E1112" s="233" t="str">
        <x:f>IF('دانش‌آموزان'!E97="","",'دانش‌آموزان'!E97&amp;" "&amp;'دانش‌آموزان'!F97)</x:f>
        <x:v>طاها رضایی</x:v>
      </x:c>
      <x:c r="F1112" s="166" t="str">
        <x:f>IF('دانش‌آموزان'!I97="","",'دانش‌آموزان'!I97)</x:f>
        <x:v>sample-7-d</x:v>
      </x:c>
      <x:c r="G1112" s="114"/>
      <x:c r="H1112" s="115"/>
      <x:c r="I1112" s="115"/>
      <x:c r="J1112" s="115"/>
      <x:c r="K1112" s="115"/>
      <x:c r="L1112" s="115"/>
      <x:c r="M1112" s="115"/>
      <x:c r="N1112" s="115"/>
      <x:c r="O1112" s="115"/>
      <x:c r="P1112" s="115"/>
      <x:c r="Q1112" s="115"/>
      <x:c r="R1112" s="115"/>
      <x:c r="S1112" s="115"/>
      <x:c r="T1112" s="115"/>
      <x:c r="U1112" s="115"/>
      <x:c r="V1112" s="115"/>
      <x:c r="W1112" s="115"/>
      <x:c r="X1112" s="115"/>
      <x:c r="Y1112" s="115"/>
      <x:c r="Z1112" s="115"/>
      <x:c r="AA1112" s="115"/>
      <x:c r="AB1112" s="115"/>
      <x:c r="AC1112" s="115"/>
      <x:c r="AD1112" s="115"/>
      <x:c r="AE1112" s="115"/>
      <x:c r="AF1112" s="115"/>
      <x:c r="AG1112" s="115"/>
      <x:c r="AH1112" s="115"/>
      <x:c r="AI1112" s="115"/>
      <x:c r="AJ1112" s="115"/>
      <x:c r="AK1112" s="115"/>
      <x:c r="AL1112" s="115"/>
      <x:c r="AM1112" s="115"/>
      <x:c r="AN1112" s="115"/>
      <x:c r="AO1112" s="115"/>
      <x:c r="AP1112" s="115"/>
      <x:c r="AQ1112" s="115"/>
      <x:c r="AR1112" s="115"/>
      <x:c r="AS1112" s="115"/>
      <x:c r="AT1112" s="115"/>
      <x:c r="AU1112" s="115"/>
      <x:c r="AV1112" s="115"/>
      <x:c r="AW1112" s="115"/>
      <x:c r="AX1112" s="115"/>
      <x:c r="AY1112" s="115"/>
      <x:c r="AZ1112" s="115"/>
      <x:c r="BA1112" s="115"/>
      <x:c r="BB1112" s="115"/>
      <x:c r="BC1112" s="115"/>
      <x:c r="BD1112" s="115"/>
      <x:c r="BE1112" s="115"/>
      <x:c r="BF1112" s="115"/>
      <x:c r="BG1112" s="115"/>
      <x:c r="BH1112" s="115"/>
      <x:c r="BI1112" s="115"/>
      <x:c r="BJ1112" s="115"/>
      <x:c r="BK1112" s="115"/>
      <x:c r="BL1112" s="115"/>
      <x:c r="BM1112" s="115"/>
      <x:c r="BN1112" s="115"/>
      <x:c r="BO1112" s="115"/>
      <x:c r="BP1112" s="115"/>
      <x:c r="BQ1112" s="115"/>
      <x:c r="BR1112" s="115"/>
      <x:c r="BS1112" s="115"/>
      <x:c r="BT1112" s="115"/>
      <x:c r="BU1112" s="115"/>
      <x:c r="BV1112" s="115"/>
      <x:c r="BW1112" s="115"/>
      <x:c r="BX1112" s="115"/>
      <x:c r="BY1112" s="115"/>
      <x:c r="BZ1112" s="115"/>
      <x:c r="CA1112" s="115"/>
      <x:c r="CB1112" s="116"/>
      <x:c r="CC1112" s="141" t="str">
        <x:f>IF(COUNT(G1112:P1112)=0,"",AVERAGE(G1112:P1112)*4)</x:f>
      </x:c>
      <x:c r="CD1112" s="178" t="str">
        <x:f>IF(COUNT(Q1112:Z1112)=0,"",AVERAGE(Q1112:Z1112)*4)</x:f>
      </x:c>
      <x:c r="CE1112" s="178" t="str">
        <x:f>IF(COUNT(AA1112:AJ1112)=0,"",AVERAGE(AA1112:AJ1112)*4)</x:f>
      </x:c>
      <x:c r="CF1112" s="178" t="str">
        <x:f>IF(COUNT(AK1112:AR1112)=0,"",AVERAGE(AK1112:AR1112)*4)</x:f>
      </x:c>
      <x:c r="CG1112" s="178" t="str">
        <x:f>IF(COUNT(AS1112:AY1112)=0,"",AVERAGE(AS1112:AY1112)*4)</x:f>
      </x:c>
      <x:c r="CH1112" s="178" t="str">
        <x:f>IF(COUNT(AZ1112:BG1112)=0,"",AVERAGE(AZ1112:BG1112)*4)</x:f>
      </x:c>
      <x:c r="CI1112" s="178" t="str">
        <x:f>IF(COUNT(BH1112:BN1112)=0,"",AVERAGE(BH1112:BN1112)*4)</x:f>
      </x:c>
      <x:c r="CJ1112" s="178" t="str">
        <x:f>IF(COUNT(BO1112:BU1112)=0,"",AVERAGE(BO1112:BU1112)*4)</x:f>
      </x:c>
      <x:c r="CK1112" s="178" t="str">
        <x:f>IF(COUNT(BV1112:CB1112)=0,"",AVERAGE(BV1112:CB1112)*4)</x:f>
      </x:c>
      <x:c r="CL1112" s="178" t="str">
        <x:f>IF(C1112="","",IF(COUNT(G1112:CB1112)&lt;74,"",(CC1112*'تنظیمات وزن‌دهی'!$C$5+CD1112*'تنظیمات وزن‌دهی'!$C$6+CE1112*'تنظیمات وزن‌دهی'!$C$7+CF1112*'تنظیمات وزن‌دهی'!$C$8+CG1112*'تنظیمات وزن‌دهی'!$C$9+CH1112*'تنظیمات وزن‌دهی'!$C$10+CI1112*'تنظیمات وزن‌دهی'!$C$11+CJ1112*'تنظیمات وزن‌دهی'!$C$12+CK1112*'تنظیمات وزن‌دهی'!$C$13)/100))</x:f>
      </x:c>
      <x:c r="CM1112" s="178" t="str">
        <x:f>IF(C1112="","",IF(COUNT(G1112:CB1112)=0,"",IF(COUNT(G1112:CB1112)&lt;74,"موقت - اطلاعات ناقص",IF(CL1112&gt;=17,"عالی",IF(CL1112&gt;=14,"خوب",IF(CL1112&gt;=10,"متوسط","ضعیف"))))))</x:f>
      </x:c>
      <x:c r="CN1112" s="178" t="n">
        <x:v>4</x:v>
      </x:c>
      <x:c r="CO1112" s="142" t="n">
        <x:f>IF(C1112="","",COUNT(G1112:CB1112)/74)</x:f>
        <x:v>0</x:v>
      </x:c>
      <x:c r="CP1112" s="245"/>
    </x:row>
    <x:row r="1113">
      <x:c r="A1113" s="165" t="n">
        <x:v>1109</x:v>
      </x:c>
      <x:c r="B1113" s="233" t="str">
        <x:v>آبان</x:v>
      </x:c>
      <x:c r="C1113" s="233" t="n">
        <x:f>IF('دانش‌آموزان'!E97="","",'دانش‌آموزان'!B97)</x:f>
        <x:v>93</x:v>
      </x:c>
      <x:c r="D1113" s="233" t="str">
        <x:f>IF('دانش‌آموزان'!C97="","",'دانش‌آموزان'!C97)</x:f>
        <x:v>4000000934</x:v>
      </x:c>
      <x:c r="E1113" s="233" t="str">
        <x:f>IF('دانش‌آموزان'!E97="","",'دانش‌آموزان'!E97&amp;" "&amp;'دانش‌آموزان'!F97)</x:f>
        <x:v>طاها رضایی</x:v>
      </x:c>
      <x:c r="F1113" s="166" t="str">
        <x:f>IF('دانش‌آموزان'!I97="","",'دانش‌آموزان'!I97)</x:f>
        <x:v>sample-7-d</x:v>
      </x:c>
      <x:c r="G1113" s="114"/>
      <x:c r="H1113" s="115"/>
      <x:c r="I1113" s="115"/>
      <x:c r="J1113" s="115"/>
      <x:c r="K1113" s="115"/>
      <x:c r="L1113" s="115"/>
      <x:c r="M1113" s="115"/>
      <x:c r="N1113" s="115"/>
      <x:c r="O1113" s="115"/>
      <x:c r="P1113" s="115"/>
      <x:c r="Q1113" s="115"/>
      <x:c r="R1113" s="115"/>
      <x:c r="S1113" s="115"/>
      <x:c r="T1113" s="115"/>
      <x:c r="U1113" s="115"/>
      <x:c r="V1113" s="115"/>
      <x:c r="W1113" s="115"/>
      <x:c r="X1113" s="115"/>
      <x:c r="Y1113" s="115"/>
      <x:c r="Z1113" s="115"/>
      <x:c r="AA1113" s="115"/>
      <x:c r="AB1113" s="115"/>
      <x:c r="AC1113" s="115"/>
      <x:c r="AD1113" s="115"/>
      <x:c r="AE1113" s="115"/>
      <x:c r="AF1113" s="115"/>
      <x:c r="AG1113" s="115"/>
      <x:c r="AH1113" s="115"/>
      <x:c r="AI1113" s="115"/>
      <x:c r="AJ1113" s="115"/>
      <x:c r="AK1113" s="115"/>
      <x:c r="AL1113" s="115"/>
      <x:c r="AM1113" s="115"/>
      <x:c r="AN1113" s="115"/>
      <x:c r="AO1113" s="115"/>
      <x:c r="AP1113" s="115"/>
      <x:c r="AQ1113" s="115"/>
      <x:c r="AR1113" s="115"/>
      <x:c r="AS1113" s="115"/>
      <x:c r="AT1113" s="115"/>
      <x:c r="AU1113" s="115"/>
      <x:c r="AV1113" s="115"/>
      <x:c r="AW1113" s="115"/>
      <x:c r="AX1113" s="115"/>
      <x:c r="AY1113" s="115"/>
      <x:c r="AZ1113" s="115"/>
      <x:c r="BA1113" s="115"/>
      <x:c r="BB1113" s="115"/>
      <x:c r="BC1113" s="115"/>
      <x:c r="BD1113" s="115"/>
      <x:c r="BE1113" s="115"/>
      <x:c r="BF1113" s="115"/>
      <x:c r="BG1113" s="115"/>
      <x:c r="BH1113" s="115"/>
      <x:c r="BI1113" s="115"/>
      <x:c r="BJ1113" s="115"/>
      <x:c r="BK1113" s="115"/>
      <x:c r="BL1113" s="115"/>
      <x:c r="BM1113" s="115"/>
      <x:c r="BN1113" s="115"/>
      <x:c r="BO1113" s="115"/>
      <x:c r="BP1113" s="115"/>
      <x:c r="BQ1113" s="115"/>
      <x:c r="BR1113" s="115"/>
      <x:c r="BS1113" s="115"/>
      <x:c r="BT1113" s="115"/>
      <x:c r="BU1113" s="115"/>
      <x:c r="BV1113" s="115"/>
      <x:c r="BW1113" s="115"/>
      <x:c r="BX1113" s="115"/>
      <x:c r="BY1113" s="115"/>
      <x:c r="BZ1113" s="115"/>
      <x:c r="CA1113" s="115"/>
      <x:c r="CB1113" s="116"/>
      <x:c r="CC1113" s="141" t="str">
        <x:f>IF(COUNT(G1113:P1113)=0,"",AVERAGE(G1113:P1113)*4)</x:f>
      </x:c>
      <x:c r="CD1113" s="178" t="str">
        <x:f>IF(COUNT(Q1113:Z1113)=0,"",AVERAGE(Q1113:Z1113)*4)</x:f>
      </x:c>
      <x:c r="CE1113" s="178" t="str">
        <x:f>IF(COUNT(AA1113:AJ1113)=0,"",AVERAGE(AA1113:AJ1113)*4)</x:f>
      </x:c>
      <x:c r="CF1113" s="178" t="str">
        <x:f>IF(COUNT(AK1113:AR1113)=0,"",AVERAGE(AK1113:AR1113)*4)</x:f>
      </x:c>
      <x:c r="CG1113" s="178" t="str">
        <x:f>IF(COUNT(AS1113:AY1113)=0,"",AVERAGE(AS1113:AY1113)*4)</x:f>
      </x:c>
      <x:c r="CH1113" s="178" t="str">
        <x:f>IF(COUNT(AZ1113:BG1113)=0,"",AVERAGE(AZ1113:BG1113)*4)</x:f>
      </x:c>
      <x:c r="CI1113" s="178" t="str">
        <x:f>IF(COUNT(BH1113:BN1113)=0,"",AVERAGE(BH1113:BN1113)*4)</x:f>
      </x:c>
      <x:c r="CJ1113" s="178" t="str">
        <x:f>IF(COUNT(BO1113:BU1113)=0,"",AVERAGE(BO1113:BU1113)*4)</x:f>
      </x:c>
      <x:c r="CK1113" s="178" t="str">
        <x:f>IF(COUNT(BV1113:CB1113)=0,"",AVERAGE(BV1113:CB1113)*4)</x:f>
      </x:c>
      <x:c r="CL1113" s="178" t="str">
        <x:f>IF(C1113="","",IF(COUNT(G1113:CB1113)&lt;74,"",(CC1113*'تنظیمات وزن‌دهی'!$C$5+CD1113*'تنظیمات وزن‌دهی'!$C$6+CE1113*'تنظیمات وزن‌دهی'!$C$7+CF1113*'تنظیمات وزن‌دهی'!$C$8+CG1113*'تنظیمات وزن‌دهی'!$C$9+CH1113*'تنظیمات وزن‌دهی'!$C$10+CI1113*'تنظیمات وزن‌دهی'!$C$11+CJ1113*'تنظیمات وزن‌دهی'!$C$12+CK1113*'تنظیمات وزن‌دهی'!$C$13)/100))</x:f>
      </x:c>
      <x:c r="CM1113" s="178" t="str">
        <x:f>IF(C1113="","",IF(COUNT(G1113:CB1113)=0,"",IF(COUNT(G1113:CB1113)&lt;74,"موقت - اطلاعات ناقص",IF(CL1113&gt;=17,"عالی",IF(CL1113&gt;=14,"خوب",IF(CL1113&gt;=10,"متوسط","ضعیف"))))))</x:f>
      </x:c>
      <x:c r="CN1113" s="178" t="n">
        <x:v>5</x:v>
      </x:c>
      <x:c r="CO1113" s="142" t="n">
        <x:f>IF(C1113="","",COUNT(G1113:CB1113)/74)</x:f>
        <x:v>0</x:v>
      </x:c>
      <x:c r="CP1113" s="245"/>
    </x:row>
    <x:row r="1114">
      <x:c r="A1114" s="165" t="n">
        <x:v>1110</x:v>
      </x:c>
      <x:c r="B1114" s="233" t="str">
        <x:v>آذر</x:v>
      </x:c>
      <x:c r="C1114" s="233" t="n">
        <x:f>IF('دانش‌آموزان'!E97="","",'دانش‌آموزان'!B97)</x:f>
        <x:v>93</x:v>
      </x:c>
      <x:c r="D1114" s="233" t="str">
        <x:f>IF('دانش‌آموزان'!C97="","",'دانش‌آموزان'!C97)</x:f>
        <x:v>4000000934</x:v>
      </x:c>
      <x:c r="E1114" s="233" t="str">
        <x:f>IF('دانش‌آموزان'!E97="","",'دانش‌آموزان'!E97&amp;" "&amp;'دانش‌آموزان'!F97)</x:f>
        <x:v>طاها رضایی</x:v>
      </x:c>
      <x:c r="F1114" s="166" t="str">
        <x:f>IF('دانش‌آموزان'!I97="","",'دانش‌آموزان'!I97)</x:f>
        <x:v>sample-7-d</x:v>
      </x:c>
      <x:c r="G1114" s="114"/>
      <x:c r="H1114" s="115"/>
      <x:c r="I1114" s="115"/>
      <x:c r="J1114" s="115"/>
      <x:c r="K1114" s="115"/>
      <x:c r="L1114" s="115"/>
      <x:c r="M1114" s="115"/>
      <x:c r="N1114" s="115"/>
      <x:c r="O1114" s="115"/>
      <x:c r="P1114" s="115"/>
      <x:c r="Q1114" s="115"/>
      <x:c r="R1114" s="115"/>
      <x:c r="S1114" s="115"/>
      <x:c r="T1114" s="115"/>
      <x:c r="U1114" s="115"/>
      <x:c r="V1114" s="115"/>
      <x:c r="W1114" s="115"/>
      <x:c r="X1114" s="115"/>
      <x:c r="Y1114" s="115"/>
      <x:c r="Z1114" s="115"/>
      <x:c r="AA1114" s="115"/>
      <x:c r="AB1114" s="115"/>
      <x:c r="AC1114" s="115"/>
      <x:c r="AD1114" s="115"/>
      <x:c r="AE1114" s="115"/>
      <x:c r="AF1114" s="115"/>
      <x:c r="AG1114" s="115"/>
      <x:c r="AH1114" s="115"/>
      <x:c r="AI1114" s="115"/>
      <x:c r="AJ1114" s="115"/>
      <x:c r="AK1114" s="115"/>
      <x:c r="AL1114" s="115"/>
      <x:c r="AM1114" s="115"/>
      <x:c r="AN1114" s="115"/>
      <x:c r="AO1114" s="115"/>
      <x:c r="AP1114" s="115"/>
      <x:c r="AQ1114" s="115"/>
      <x:c r="AR1114" s="115"/>
      <x:c r="AS1114" s="115"/>
      <x:c r="AT1114" s="115"/>
      <x:c r="AU1114" s="115"/>
      <x:c r="AV1114" s="115"/>
      <x:c r="AW1114" s="115"/>
      <x:c r="AX1114" s="115"/>
      <x:c r="AY1114" s="115"/>
      <x:c r="AZ1114" s="115"/>
      <x:c r="BA1114" s="115"/>
      <x:c r="BB1114" s="115"/>
      <x:c r="BC1114" s="115"/>
      <x:c r="BD1114" s="115"/>
      <x:c r="BE1114" s="115"/>
      <x:c r="BF1114" s="115"/>
      <x:c r="BG1114" s="115"/>
      <x:c r="BH1114" s="115"/>
      <x:c r="BI1114" s="115"/>
      <x:c r="BJ1114" s="115"/>
      <x:c r="BK1114" s="115"/>
      <x:c r="BL1114" s="115"/>
      <x:c r="BM1114" s="115"/>
      <x:c r="BN1114" s="115"/>
      <x:c r="BO1114" s="115"/>
      <x:c r="BP1114" s="115"/>
      <x:c r="BQ1114" s="115"/>
      <x:c r="BR1114" s="115"/>
      <x:c r="BS1114" s="115"/>
      <x:c r="BT1114" s="115"/>
      <x:c r="BU1114" s="115"/>
      <x:c r="BV1114" s="115"/>
      <x:c r="BW1114" s="115"/>
      <x:c r="BX1114" s="115"/>
      <x:c r="BY1114" s="115"/>
      <x:c r="BZ1114" s="115"/>
      <x:c r="CA1114" s="115"/>
      <x:c r="CB1114" s="116"/>
      <x:c r="CC1114" s="141" t="str">
        <x:f>IF(COUNT(G1114:P1114)=0,"",AVERAGE(G1114:P1114)*4)</x:f>
      </x:c>
      <x:c r="CD1114" s="178" t="str">
        <x:f>IF(COUNT(Q1114:Z1114)=0,"",AVERAGE(Q1114:Z1114)*4)</x:f>
      </x:c>
      <x:c r="CE1114" s="178" t="str">
        <x:f>IF(COUNT(AA1114:AJ1114)=0,"",AVERAGE(AA1114:AJ1114)*4)</x:f>
      </x:c>
      <x:c r="CF1114" s="178" t="str">
        <x:f>IF(COUNT(AK1114:AR1114)=0,"",AVERAGE(AK1114:AR1114)*4)</x:f>
      </x:c>
      <x:c r="CG1114" s="178" t="str">
        <x:f>IF(COUNT(AS1114:AY1114)=0,"",AVERAGE(AS1114:AY1114)*4)</x:f>
      </x:c>
      <x:c r="CH1114" s="178" t="str">
        <x:f>IF(COUNT(AZ1114:BG1114)=0,"",AVERAGE(AZ1114:BG1114)*4)</x:f>
      </x:c>
      <x:c r="CI1114" s="178" t="str">
        <x:f>IF(COUNT(BH1114:BN1114)=0,"",AVERAGE(BH1114:BN1114)*4)</x:f>
      </x:c>
      <x:c r="CJ1114" s="178" t="str">
        <x:f>IF(COUNT(BO1114:BU1114)=0,"",AVERAGE(BO1114:BU1114)*4)</x:f>
      </x:c>
      <x:c r="CK1114" s="178" t="str">
        <x:f>IF(COUNT(BV1114:CB1114)=0,"",AVERAGE(BV1114:CB1114)*4)</x:f>
      </x:c>
      <x:c r="CL1114" s="178" t="str">
        <x:f>IF(C1114="","",IF(COUNT(G1114:CB1114)&lt;74,"",(CC1114*'تنظیمات وزن‌دهی'!$C$5+CD1114*'تنظیمات وزن‌دهی'!$C$6+CE1114*'تنظیمات وزن‌دهی'!$C$7+CF1114*'تنظیمات وزن‌دهی'!$C$8+CG1114*'تنظیمات وزن‌دهی'!$C$9+CH1114*'تنظیمات وزن‌دهی'!$C$10+CI1114*'تنظیمات وزن‌دهی'!$C$11+CJ1114*'تنظیمات وزن‌دهی'!$C$12+CK1114*'تنظیمات وزن‌دهی'!$C$13)/100))</x:f>
      </x:c>
      <x:c r="CM1114" s="178" t="str">
        <x:f>IF(C1114="","",IF(COUNT(G1114:CB1114)=0,"",IF(COUNT(G1114:CB1114)&lt;74,"موقت - اطلاعات ناقص",IF(CL1114&gt;=17,"عالی",IF(CL1114&gt;=14,"خوب",IF(CL1114&gt;=10,"متوسط","ضعیف"))))))</x:f>
      </x:c>
      <x:c r="CN1114" s="178" t="n">
        <x:v>6</x:v>
      </x:c>
      <x:c r="CO1114" s="142" t="n">
        <x:f>IF(C1114="","",COUNT(G1114:CB1114)/74)</x:f>
        <x:v>0</x:v>
      </x:c>
      <x:c r="CP1114" s="245"/>
    </x:row>
    <x:row r="1115">
      <x:c r="A1115" s="165" t="n">
        <x:v>1111</x:v>
      </x:c>
      <x:c r="B1115" s="233" t="str">
        <x:v>دی</x:v>
      </x:c>
      <x:c r="C1115" s="233" t="n">
        <x:f>IF('دانش‌آموزان'!E97="","",'دانش‌آموزان'!B97)</x:f>
        <x:v>93</x:v>
      </x:c>
      <x:c r="D1115" s="233" t="str">
        <x:f>IF('دانش‌آموزان'!C97="","",'دانش‌آموزان'!C97)</x:f>
        <x:v>4000000934</x:v>
      </x:c>
      <x:c r="E1115" s="233" t="str">
        <x:f>IF('دانش‌آموزان'!E97="","",'دانش‌آموزان'!E97&amp;" "&amp;'دانش‌آموزان'!F97)</x:f>
        <x:v>طاها رضایی</x:v>
      </x:c>
      <x:c r="F1115" s="166" t="str">
        <x:f>IF('دانش‌آموزان'!I97="","",'دانش‌آموزان'!I97)</x:f>
        <x:v>sample-7-d</x:v>
      </x:c>
      <x:c r="G1115" s="114"/>
      <x:c r="H1115" s="115"/>
      <x:c r="I1115" s="115"/>
      <x:c r="J1115" s="115"/>
      <x:c r="K1115" s="115"/>
      <x:c r="L1115" s="115"/>
      <x:c r="M1115" s="115"/>
      <x:c r="N1115" s="115"/>
      <x:c r="O1115" s="115"/>
      <x:c r="P1115" s="115"/>
      <x:c r="Q1115" s="115"/>
      <x:c r="R1115" s="115"/>
      <x:c r="S1115" s="115"/>
      <x:c r="T1115" s="115"/>
      <x:c r="U1115" s="115"/>
      <x:c r="V1115" s="115"/>
      <x:c r="W1115" s="115"/>
      <x:c r="X1115" s="115"/>
      <x:c r="Y1115" s="115"/>
      <x:c r="Z1115" s="115"/>
      <x:c r="AA1115" s="115"/>
      <x:c r="AB1115" s="115"/>
      <x:c r="AC1115" s="115"/>
      <x:c r="AD1115" s="115"/>
      <x:c r="AE1115" s="115"/>
      <x:c r="AF1115" s="115"/>
      <x:c r="AG1115" s="115"/>
      <x:c r="AH1115" s="115"/>
      <x:c r="AI1115" s="115"/>
      <x:c r="AJ1115" s="115"/>
      <x:c r="AK1115" s="115"/>
      <x:c r="AL1115" s="115"/>
      <x:c r="AM1115" s="115"/>
      <x:c r="AN1115" s="115"/>
      <x:c r="AO1115" s="115"/>
      <x:c r="AP1115" s="115"/>
      <x:c r="AQ1115" s="115"/>
      <x:c r="AR1115" s="115"/>
      <x:c r="AS1115" s="115"/>
      <x:c r="AT1115" s="115"/>
      <x:c r="AU1115" s="115"/>
      <x:c r="AV1115" s="115"/>
      <x:c r="AW1115" s="115"/>
      <x:c r="AX1115" s="115"/>
      <x:c r="AY1115" s="115"/>
      <x:c r="AZ1115" s="115"/>
      <x:c r="BA1115" s="115"/>
      <x:c r="BB1115" s="115"/>
      <x:c r="BC1115" s="115"/>
      <x:c r="BD1115" s="115"/>
      <x:c r="BE1115" s="115"/>
      <x:c r="BF1115" s="115"/>
      <x:c r="BG1115" s="115"/>
      <x:c r="BH1115" s="115"/>
      <x:c r="BI1115" s="115"/>
      <x:c r="BJ1115" s="115"/>
      <x:c r="BK1115" s="115"/>
      <x:c r="BL1115" s="115"/>
      <x:c r="BM1115" s="115"/>
      <x:c r="BN1115" s="115"/>
      <x:c r="BO1115" s="115"/>
      <x:c r="BP1115" s="115"/>
      <x:c r="BQ1115" s="115"/>
      <x:c r="BR1115" s="115"/>
      <x:c r="BS1115" s="115"/>
      <x:c r="BT1115" s="115"/>
      <x:c r="BU1115" s="115"/>
      <x:c r="BV1115" s="115"/>
      <x:c r="BW1115" s="115"/>
      <x:c r="BX1115" s="115"/>
      <x:c r="BY1115" s="115"/>
      <x:c r="BZ1115" s="115"/>
      <x:c r="CA1115" s="115"/>
      <x:c r="CB1115" s="116"/>
      <x:c r="CC1115" s="141" t="str">
        <x:f>IF(COUNT(G1115:P1115)=0,"",AVERAGE(G1115:P1115)*4)</x:f>
      </x:c>
      <x:c r="CD1115" s="178" t="str">
        <x:f>IF(COUNT(Q1115:Z1115)=0,"",AVERAGE(Q1115:Z1115)*4)</x:f>
      </x:c>
      <x:c r="CE1115" s="178" t="str">
        <x:f>IF(COUNT(AA1115:AJ1115)=0,"",AVERAGE(AA1115:AJ1115)*4)</x:f>
      </x:c>
      <x:c r="CF1115" s="178" t="str">
        <x:f>IF(COUNT(AK1115:AR1115)=0,"",AVERAGE(AK1115:AR1115)*4)</x:f>
      </x:c>
      <x:c r="CG1115" s="178" t="str">
        <x:f>IF(COUNT(AS1115:AY1115)=0,"",AVERAGE(AS1115:AY1115)*4)</x:f>
      </x:c>
      <x:c r="CH1115" s="178" t="str">
        <x:f>IF(COUNT(AZ1115:BG1115)=0,"",AVERAGE(AZ1115:BG1115)*4)</x:f>
      </x:c>
      <x:c r="CI1115" s="178" t="str">
        <x:f>IF(COUNT(BH1115:BN1115)=0,"",AVERAGE(BH1115:BN1115)*4)</x:f>
      </x:c>
      <x:c r="CJ1115" s="178" t="str">
        <x:f>IF(COUNT(BO1115:BU1115)=0,"",AVERAGE(BO1115:BU1115)*4)</x:f>
      </x:c>
      <x:c r="CK1115" s="178" t="str">
        <x:f>IF(COUNT(BV1115:CB1115)=0,"",AVERAGE(BV1115:CB1115)*4)</x:f>
      </x:c>
      <x:c r="CL1115" s="178" t="str">
        <x:f>IF(C1115="","",IF(COUNT(G1115:CB1115)&lt;74,"",(CC1115*'تنظیمات وزن‌دهی'!$C$5+CD1115*'تنظیمات وزن‌دهی'!$C$6+CE1115*'تنظیمات وزن‌دهی'!$C$7+CF1115*'تنظیمات وزن‌دهی'!$C$8+CG1115*'تنظیمات وزن‌دهی'!$C$9+CH1115*'تنظیمات وزن‌دهی'!$C$10+CI1115*'تنظیمات وزن‌دهی'!$C$11+CJ1115*'تنظیمات وزن‌دهی'!$C$12+CK1115*'تنظیمات وزن‌دهی'!$C$13)/100))</x:f>
      </x:c>
      <x:c r="CM1115" s="178" t="str">
        <x:f>IF(C1115="","",IF(COUNT(G1115:CB1115)=0,"",IF(COUNT(G1115:CB1115)&lt;74,"موقت - اطلاعات ناقص",IF(CL1115&gt;=17,"عالی",IF(CL1115&gt;=14,"خوب",IF(CL1115&gt;=10,"متوسط","ضعیف"))))))</x:f>
      </x:c>
      <x:c r="CN1115" s="178" t="n">
        <x:v>7</x:v>
      </x:c>
      <x:c r="CO1115" s="142" t="n">
        <x:f>IF(C1115="","",COUNT(G1115:CB1115)/74)</x:f>
        <x:v>0</x:v>
      </x:c>
      <x:c r="CP1115" s="245"/>
    </x:row>
    <x:row r="1116">
      <x:c r="A1116" s="165" t="n">
        <x:v>1112</x:v>
      </x:c>
      <x:c r="B1116" s="233" t="str">
        <x:v>بهمن</x:v>
      </x:c>
      <x:c r="C1116" s="233" t="n">
        <x:f>IF('دانش‌آموزان'!E97="","",'دانش‌آموزان'!B97)</x:f>
        <x:v>93</x:v>
      </x:c>
      <x:c r="D1116" s="233" t="str">
        <x:f>IF('دانش‌آموزان'!C97="","",'دانش‌آموزان'!C97)</x:f>
        <x:v>4000000934</x:v>
      </x:c>
      <x:c r="E1116" s="233" t="str">
        <x:f>IF('دانش‌آموزان'!E97="","",'دانش‌آموزان'!E97&amp;" "&amp;'دانش‌آموزان'!F97)</x:f>
        <x:v>طاها رضایی</x:v>
      </x:c>
      <x:c r="F1116" s="166" t="str">
        <x:f>IF('دانش‌آموزان'!I97="","",'دانش‌آموزان'!I97)</x:f>
        <x:v>sample-7-d</x:v>
      </x:c>
      <x:c r="G1116" s="114"/>
      <x:c r="H1116" s="115"/>
      <x:c r="I1116" s="115"/>
      <x:c r="J1116" s="115"/>
      <x:c r="K1116" s="115"/>
      <x:c r="L1116" s="115"/>
      <x:c r="M1116" s="115"/>
      <x:c r="N1116" s="115"/>
      <x:c r="O1116" s="115"/>
      <x:c r="P1116" s="115"/>
      <x:c r="Q1116" s="115"/>
      <x:c r="R1116" s="115"/>
      <x:c r="S1116" s="115"/>
      <x:c r="T1116" s="115"/>
      <x:c r="U1116" s="115"/>
      <x:c r="V1116" s="115"/>
      <x:c r="W1116" s="115"/>
      <x:c r="X1116" s="115"/>
      <x:c r="Y1116" s="115"/>
      <x:c r="Z1116" s="115"/>
      <x:c r="AA1116" s="115"/>
      <x:c r="AB1116" s="115"/>
      <x:c r="AC1116" s="115"/>
      <x:c r="AD1116" s="115"/>
      <x:c r="AE1116" s="115"/>
      <x:c r="AF1116" s="115"/>
      <x:c r="AG1116" s="115"/>
      <x:c r="AH1116" s="115"/>
      <x:c r="AI1116" s="115"/>
      <x:c r="AJ1116" s="115"/>
      <x:c r="AK1116" s="115"/>
      <x:c r="AL1116" s="115"/>
      <x:c r="AM1116" s="115"/>
      <x:c r="AN1116" s="115"/>
      <x:c r="AO1116" s="115"/>
      <x:c r="AP1116" s="115"/>
      <x:c r="AQ1116" s="115"/>
      <x:c r="AR1116" s="115"/>
      <x:c r="AS1116" s="115"/>
      <x:c r="AT1116" s="115"/>
      <x:c r="AU1116" s="115"/>
      <x:c r="AV1116" s="115"/>
      <x:c r="AW1116" s="115"/>
      <x:c r="AX1116" s="115"/>
      <x:c r="AY1116" s="115"/>
      <x:c r="AZ1116" s="115"/>
      <x:c r="BA1116" s="115"/>
      <x:c r="BB1116" s="115"/>
      <x:c r="BC1116" s="115"/>
      <x:c r="BD1116" s="115"/>
      <x:c r="BE1116" s="115"/>
      <x:c r="BF1116" s="115"/>
      <x:c r="BG1116" s="115"/>
      <x:c r="BH1116" s="115"/>
      <x:c r="BI1116" s="115"/>
      <x:c r="BJ1116" s="115"/>
      <x:c r="BK1116" s="115"/>
      <x:c r="BL1116" s="115"/>
      <x:c r="BM1116" s="115"/>
      <x:c r="BN1116" s="115"/>
      <x:c r="BO1116" s="115"/>
      <x:c r="BP1116" s="115"/>
      <x:c r="BQ1116" s="115"/>
      <x:c r="BR1116" s="115"/>
      <x:c r="BS1116" s="115"/>
      <x:c r="BT1116" s="115"/>
      <x:c r="BU1116" s="115"/>
      <x:c r="BV1116" s="115"/>
      <x:c r="BW1116" s="115"/>
      <x:c r="BX1116" s="115"/>
      <x:c r="BY1116" s="115"/>
      <x:c r="BZ1116" s="115"/>
      <x:c r="CA1116" s="115"/>
      <x:c r="CB1116" s="116"/>
      <x:c r="CC1116" s="141" t="str">
        <x:f>IF(COUNT(G1116:P1116)=0,"",AVERAGE(G1116:P1116)*4)</x:f>
      </x:c>
      <x:c r="CD1116" s="178" t="str">
        <x:f>IF(COUNT(Q1116:Z1116)=0,"",AVERAGE(Q1116:Z1116)*4)</x:f>
      </x:c>
      <x:c r="CE1116" s="178" t="str">
        <x:f>IF(COUNT(AA1116:AJ1116)=0,"",AVERAGE(AA1116:AJ1116)*4)</x:f>
      </x:c>
      <x:c r="CF1116" s="178" t="str">
        <x:f>IF(COUNT(AK1116:AR1116)=0,"",AVERAGE(AK1116:AR1116)*4)</x:f>
      </x:c>
      <x:c r="CG1116" s="178" t="str">
        <x:f>IF(COUNT(AS1116:AY1116)=0,"",AVERAGE(AS1116:AY1116)*4)</x:f>
      </x:c>
      <x:c r="CH1116" s="178" t="str">
        <x:f>IF(COUNT(AZ1116:BG1116)=0,"",AVERAGE(AZ1116:BG1116)*4)</x:f>
      </x:c>
      <x:c r="CI1116" s="178" t="str">
        <x:f>IF(COUNT(BH1116:BN1116)=0,"",AVERAGE(BH1116:BN1116)*4)</x:f>
      </x:c>
      <x:c r="CJ1116" s="178" t="str">
        <x:f>IF(COUNT(BO1116:BU1116)=0,"",AVERAGE(BO1116:BU1116)*4)</x:f>
      </x:c>
      <x:c r="CK1116" s="178" t="str">
        <x:f>IF(COUNT(BV1116:CB1116)=0,"",AVERAGE(BV1116:CB1116)*4)</x:f>
      </x:c>
      <x:c r="CL1116" s="178" t="str">
        <x:f>IF(C1116="","",IF(COUNT(G1116:CB1116)&lt;74,"",(CC1116*'تنظیمات وزن‌دهی'!$C$5+CD1116*'تنظیمات وزن‌دهی'!$C$6+CE1116*'تنظیمات وزن‌دهی'!$C$7+CF1116*'تنظیمات وزن‌دهی'!$C$8+CG1116*'تنظیمات وزن‌دهی'!$C$9+CH1116*'تنظیمات وزن‌دهی'!$C$10+CI1116*'تنظیمات وزن‌دهی'!$C$11+CJ1116*'تنظیمات وزن‌دهی'!$C$12+CK1116*'تنظیمات وزن‌دهی'!$C$13)/100))</x:f>
      </x:c>
      <x:c r="CM1116" s="178" t="str">
        <x:f>IF(C1116="","",IF(COUNT(G1116:CB1116)=0,"",IF(COUNT(G1116:CB1116)&lt;74,"موقت - اطلاعات ناقص",IF(CL1116&gt;=17,"عالی",IF(CL1116&gt;=14,"خوب",IF(CL1116&gt;=10,"متوسط","ضعیف"))))))</x:f>
      </x:c>
      <x:c r="CN1116" s="178" t="n">
        <x:v>8</x:v>
      </x:c>
      <x:c r="CO1116" s="142" t="n">
        <x:f>IF(C1116="","",COUNT(G1116:CB1116)/74)</x:f>
        <x:v>0</x:v>
      </x:c>
      <x:c r="CP1116" s="245"/>
    </x:row>
    <x:row r="1117">
      <x:c r="A1117" s="165" t="n">
        <x:v>1113</x:v>
      </x:c>
      <x:c r="B1117" s="233" t="str">
        <x:v>اسفند</x:v>
      </x:c>
      <x:c r="C1117" s="233" t="n">
        <x:f>IF('دانش‌آموزان'!E97="","",'دانش‌آموزان'!B97)</x:f>
        <x:v>93</x:v>
      </x:c>
      <x:c r="D1117" s="233" t="str">
        <x:f>IF('دانش‌آموزان'!C97="","",'دانش‌آموزان'!C97)</x:f>
        <x:v>4000000934</x:v>
      </x:c>
      <x:c r="E1117" s="233" t="str">
        <x:f>IF('دانش‌آموزان'!E97="","",'دانش‌آموزان'!E97&amp;" "&amp;'دانش‌آموزان'!F97)</x:f>
        <x:v>طاها رضایی</x:v>
      </x:c>
      <x:c r="F1117" s="166" t="str">
        <x:f>IF('دانش‌آموزان'!I97="","",'دانش‌آموزان'!I97)</x:f>
        <x:v>sample-7-d</x:v>
      </x:c>
      <x:c r="G1117" s="114"/>
      <x:c r="H1117" s="115"/>
      <x:c r="I1117" s="115"/>
      <x:c r="J1117" s="115"/>
      <x:c r="K1117" s="115"/>
      <x:c r="L1117" s="115"/>
      <x:c r="M1117" s="115"/>
      <x:c r="N1117" s="115"/>
      <x:c r="O1117" s="115"/>
      <x:c r="P1117" s="115"/>
      <x:c r="Q1117" s="115"/>
      <x:c r="R1117" s="115"/>
      <x:c r="S1117" s="115"/>
      <x:c r="T1117" s="115"/>
      <x:c r="U1117" s="115"/>
      <x:c r="V1117" s="115"/>
      <x:c r="W1117" s="115"/>
      <x:c r="X1117" s="115"/>
      <x:c r="Y1117" s="115"/>
      <x:c r="Z1117" s="115"/>
      <x:c r="AA1117" s="115"/>
      <x:c r="AB1117" s="115"/>
      <x:c r="AC1117" s="115"/>
      <x:c r="AD1117" s="115"/>
      <x:c r="AE1117" s="115"/>
      <x:c r="AF1117" s="115"/>
      <x:c r="AG1117" s="115"/>
      <x:c r="AH1117" s="115"/>
      <x:c r="AI1117" s="115"/>
      <x:c r="AJ1117" s="115"/>
      <x:c r="AK1117" s="115"/>
      <x:c r="AL1117" s="115"/>
      <x:c r="AM1117" s="115"/>
      <x:c r="AN1117" s="115"/>
      <x:c r="AO1117" s="115"/>
      <x:c r="AP1117" s="115"/>
      <x:c r="AQ1117" s="115"/>
      <x:c r="AR1117" s="115"/>
      <x:c r="AS1117" s="115"/>
      <x:c r="AT1117" s="115"/>
      <x:c r="AU1117" s="115"/>
      <x:c r="AV1117" s="115"/>
      <x:c r="AW1117" s="115"/>
      <x:c r="AX1117" s="115"/>
      <x:c r="AY1117" s="115"/>
      <x:c r="AZ1117" s="115"/>
      <x:c r="BA1117" s="115"/>
      <x:c r="BB1117" s="115"/>
      <x:c r="BC1117" s="115"/>
      <x:c r="BD1117" s="115"/>
      <x:c r="BE1117" s="115"/>
      <x:c r="BF1117" s="115"/>
      <x:c r="BG1117" s="115"/>
      <x:c r="BH1117" s="115"/>
      <x:c r="BI1117" s="115"/>
      <x:c r="BJ1117" s="115"/>
      <x:c r="BK1117" s="115"/>
      <x:c r="BL1117" s="115"/>
      <x:c r="BM1117" s="115"/>
      <x:c r="BN1117" s="115"/>
      <x:c r="BO1117" s="115"/>
      <x:c r="BP1117" s="115"/>
      <x:c r="BQ1117" s="115"/>
      <x:c r="BR1117" s="115"/>
      <x:c r="BS1117" s="115"/>
      <x:c r="BT1117" s="115"/>
      <x:c r="BU1117" s="115"/>
      <x:c r="BV1117" s="115"/>
      <x:c r="BW1117" s="115"/>
      <x:c r="BX1117" s="115"/>
      <x:c r="BY1117" s="115"/>
      <x:c r="BZ1117" s="115"/>
      <x:c r="CA1117" s="115"/>
      <x:c r="CB1117" s="116"/>
      <x:c r="CC1117" s="141" t="str">
        <x:f>IF(COUNT(G1117:P1117)=0,"",AVERAGE(G1117:P1117)*4)</x:f>
      </x:c>
      <x:c r="CD1117" s="178" t="str">
        <x:f>IF(COUNT(Q1117:Z1117)=0,"",AVERAGE(Q1117:Z1117)*4)</x:f>
      </x:c>
      <x:c r="CE1117" s="178" t="str">
        <x:f>IF(COUNT(AA1117:AJ1117)=0,"",AVERAGE(AA1117:AJ1117)*4)</x:f>
      </x:c>
      <x:c r="CF1117" s="178" t="str">
        <x:f>IF(COUNT(AK1117:AR1117)=0,"",AVERAGE(AK1117:AR1117)*4)</x:f>
      </x:c>
      <x:c r="CG1117" s="178" t="str">
        <x:f>IF(COUNT(AS1117:AY1117)=0,"",AVERAGE(AS1117:AY1117)*4)</x:f>
      </x:c>
      <x:c r="CH1117" s="178" t="str">
        <x:f>IF(COUNT(AZ1117:BG1117)=0,"",AVERAGE(AZ1117:BG1117)*4)</x:f>
      </x:c>
      <x:c r="CI1117" s="178" t="str">
        <x:f>IF(COUNT(BH1117:BN1117)=0,"",AVERAGE(BH1117:BN1117)*4)</x:f>
      </x:c>
      <x:c r="CJ1117" s="178" t="str">
        <x:f>IF(COUNT(BO1117:BU1117)=0,"",AVERAGE(BO1117:BU1117)*4)</x:f>
      </x:c>
      <x:c r="CK1117" s="178" t="str">
        <x:f>IF(COUNT(BV1117:CB1117)=0,"",AVERAGE(BV1117:CB1117)*4)</x:f>
      </x:c>
      <x:c r="CL1117" s="178" t="str">
        <x:f>IF(C1117="","",IF(COUNT(G1117:CB1117)&lt;74,"",(CC1117*'تنظیمات وزن‌دهی'!$C$5+CD1117*'تنظیمات وزن‌دهی'!$C$6+CE1117*'تنظیمات وزن‌دهی'!$C$7+CF1117*'تنظیمات وزن‌دهی'!$C$8+CG1117*'تنظیمات وزن‌دهی'!$C$9+CH1117*'تنظیمات وزن‌دهی'!$C$10+CI1117*'تنظیمات وزن‌دهی'!$C$11+CJ1117*'تنظیمات وزن‌دهی'!$C$12+CK1117*'تنظیمات وزن‌دهی'!$C$13)/100))</x:f>
      </x:c>
      <x:c r="CM1117" s="178" t="str">
        <x:f>IF(C1117="","",IF(COUNT(G1117:CB1117)=0,"",IF(COUNT(G1117:CB1117)&lt;74,"موقت - اطلاعات ناقص",IF(CL1117&gt;=17,"عالی",IF(CL1117&gt;=14,"خوب",IF(CL1117&gt;=10,"متوسط","ضعیف"))))))</x:f>
      </x:c>
      <x:c r="CN1117" s="178" t="n">
        <x:v>9</x:v>
      </x:c>
      <x:c r="CO1117" s="142" t="n">
        <x:f>IF(C1117="","",COUNT(G1117:CB1117)/74)</x:f>
        <x:v>0</x:v>
      </x:c>
      <x:c r="CP1117" s="245"/>
    </x:row>
    <x:row r="1118">
      <x:c r="A1118" s="165" t="n">
        <x:v>1114</x:v>
      </x:c>
      <x:c r="B1118" s="233" t="str">
        <x:v>فروردین</x:v>
      </x:c>
      <x:c r="C1118" s="233" t="n">
        <x:f>IF('دانش‌آموزان'!E97="","",'دانش‌آموزان'!B97)</x:f>
        <x:v>93</x:v>
      </x:c>
      <x:c r="D1118" s="233" t="str">
        <x:f>IF('دانش‌آموزان'!C97="","",'دانش‌آموزان'!C97)</x:f>
        <x:v>4000000934</x:v>
      </x:c>
      <x:c r="E1118" s="233" t="str">
        <x:f>IF('دانش‌آموزان'!E97="","",'دانش‌آموزان'!E97&amp;" "&amp;'دانش‌آموزان'!F97)</x:f>
        <x:v>طاها رضایی</x:v>
      </x:c>
      <x:c r="F1118" s="166" t="str">
        <x:f>IF('دانش‌آموزان'!I97="","",'دانش‌آموزان'!I97)</x:f>
        <x:v>sample-7-d</x:v>
      </x:c>
      <x:c r="G1118" s="114"/>
      <x:c r="H1118" s="115"/>
      <x:c r="I1118" s="115"/>
      <x:c r="J1118" s="115"/>
      <x:c r="K1118" s="115"/>
      <x:c r="L1118" s="115"/>
      <x:c r="M1118" s="115"/>
      <x:c r="N1118" s="115"/>
      <x:c r="O1118" s="115"/>
      <x:c r="P1118" s="115"/>
      <x:c r="Q1118" s="115"/>
      <x:c r="R1118" s="115"/>
      <x:c r="S1118" s="115"/>
      <x:c r="T1118" s="115"/>
      <x:c r="U1118" s="115"/>
      <x:c r="V1118" s="115"/>
      <x:c r="W1118" s="115"/>
      <x:c r="X1118" s="115"/>
      <x:c r="Y1118" s="115"/>
      <x:c r="Z1118" s="115"/>
      <x:c r="AA1118" s="115"/>
      <x:c r="AB1118" s="115"/>
      <x:c r="AC1118" s="115"/>
      <x:c r="AD1118" s="115"/>
      <x:c r="AE1118" s="115"/>
      <x:c r="AF1118" s="115"/>
      <x:c r="AG1118" s="115"/>
      <x:c r="AH1118" s="115"/>
      <x:c r="AI1118" s="115"/>
      <x:c r="AJ1118" s="115"/>
      <x:c r="AK1118" s="115"/>
      <x:c r="AL1118" s="115"/>
      <x:c r="AM1118" s="115"/>
      <x:c r="AN1118" s="115"/>
      <x:c r="AO1118" s="115"/>
      <x:c r="AP1118" s="115"/>
      <x:c r="AQ1118" s="115"/>
      <x:c r="AR1118" s="115"/>
      <x:c r="AS1118" s="115"/>
      <x:c r="AT1118" s="115"/>
      <x:c r="AU1118" s="115"/>
      <x:c r="AV1118" s="115"/>
      <x:c r="AW1118" s="115"/>
      <x:c r="AX1118" s="115"/>
      <x:c r="AY1118" s="115"/>
      <x:c r="AZ1118" s="115"/>
      <x:c r="BA1118" s="115"/>
      <x:c r="BB1118" s="115"/>
      <x:c r="BC1118" s="115"/>
      <x:c r="BD1118" s="115"/>
      <x:c r="BE1118" s="115"/>
      <x:c r="BF1118" s="115"/>
      <x:c r="BG1118" s="115"/>
      <x:c r="BH1118" s="115"/>
      <x:c r="BI1118" s="115"/>
      <x:c r="BJ1118" s="115"/>
      <x:c r="BK1118" s="115"/>
      <x:c r="BL1118" s="115"/>
      <x:c r="BM1118" s="115"/>
      <x:c r="BN1118" s="115"/>
      <x:c r="BO1118" s="115"/>
      <x:c r="BP1118" s="115"/>
      <x:c r="BQ1118" s="115"/>
      <x:c r="BR1118" s="115"/>
      <x:c r="BS1118" s="115"/>
      <x:c r="BT1118" s="115"/>
      <x:c r="BU1118" s="115"/>
      <x:c r="BV1118" s="115"/>
      <x:c r="BW1118" s="115"/>
      <x:c r="BX1118" s="115"/>
      <x:c r="BY1118" s="115"/>
      <x:c r="BZ1118" s="115"/>
      <x:c r="CA1118" s="115"/>
      <x:c r="CB1118" s="116"/>
      <x:c r="CC1118" s="141" t="str">
        <x:f>IF(COUNT(G1118:P1118)=0,"",AVERAGE(G1118:P1118)*4)</x:f>
      </x:c>
      <x:c r="CD1118" s="178" t="str">
        <x:f>IF(COUNT(Q1118:Z1118)=0,"",AVERAGE(Q1118:Z1118)*4)</x:f>
      </x:c>
      <x:c r="CE1118" s="178" t="str">
        <x:f>IF(COUNT(AA1118:AJ1118)=0,"",AVERAGE(AA1118:AJ1118)*4)</x:f>
      </x:c>
      <x:c r="CF1118" s="178" t="str">
        <x:f>IF(COUNT(AK1118:AR1118)=0,"",AVERAGE(AK1118:AR1118)*4)</x:f>
      </x:c>
      <x:c r="CG1118" s="178" t="str">
        <x:f>IF(COUNT(AS1118:AY1118)=0,"",AVERAGE(AS1118:AY1118)*4)</x:f>
      </x:c>
      <x:c r="CH1118" s="178" t="str">
        <x:f>IF(COUNT(AZ1118:BG1118)=0,"",AVERAGE(AZ1118:BG1118)*4)</x:f>
      </x:c>
      <x:c r="CI1118" s="178" t="str">
        <x:f>IF(COUNT(BH1118:BN1118)=0,"",AVERAGE(BH1118:BN1118)*4)</x:f>
      </x:c>
      <x:c r="CJ1118" s="178" t="str">
        <x:f>IF(COUNT(BO1118:BU1118)=0,"",AVERAGE(BO1118:BU1118)*4)</x:f>
      </x:c>
      <x:c r="CK1118" s="178" t="str">
        <x:f>IF(COUNT(BV1118:CB1118)=0,"",AVERAGE(BV1118:CB1118)*4)</x:f>
      </x:c>
      <x:c r="CL1118" s="178" t="str">
        <x:f>IF(C1118="","",IF(COUNT(G1118:CB1118)&lt;74,"",(CC1118*'تنظیمات وزن‌دهی'!$C$5+CD1118*'تنظیمات وزن‌دهی'!$C$6+CE1118*'تنظیمات وزن‌دهی'!$C$7+CF1118*'تنظیمات وزن‌دهی'!$C$8+CG1118*'تنظیمات وزن‌دهی'!$C$9+CH1118*'تنظیمات وزن‌دهی'!$C$10+CI1118*'تنظیمات وزن‌دهی'!$C$11+CJ1118*'تنظیمات وزن‌دهی'!$C$12+CK1118*'تنظیمات وزن‌دهی'!$C$13)/100))</x:f>
      </x:c>
      <x:c r="CM1118" s="178" t="str">
        <x:f>IF(C1118="","",IF(COUNT(G1118:CB1118)=0,"",IF(COUNT(G1118:CB1118)&lt;74,"موقت - اطلاعات ناقص",IF(CL1118&gt;=17,"عالی",IF(CL1118&gt;=14,"خوب",IF(CL1118&gt;=10,"متوسط","ضعیف"))))))</x:f>
      </x:c>
      <x:c r="CN1118" s="178" t="n">
        <x:v>10</x:v>
      </x:c>
      <x:c r="CO1118" s="142" t="n">
        <x:f>IF(C1118="","",COUNT(G1118:CB1118)/74)</x:f>
        <x:v>0</x:v>
      </x:c>
      <x:c r="CP1118" s="245"/>
    </x:row>
    <x:row r="1119">
      <x:c r="A1119" s="165" t="n">
        <x:v>1115</x:v>
      </x:c>
      <x:c r="B1119" s="233" t="str">
        <x:v>اردیبهشت</x:v>
      </x:c>
      <x:c r="C1119" s="233" t="n">
        <x:f>IF('دانش‌آموزان'!E97="","",'دانش‌آموزان'!B97)</x:f>
        <x:v>93</x:v>
      </x:c>
      <x:c r="D1119" s="233" t="str">
        <x:f>IF('دانش‌آموزان'!C97="","",'دانش‌آموزان'!C97)</x:f>
        <x:v>4000000934</x:v>
      </x:c>
      <x:c r="E1119" s="233" t="str">
        <x:f>IF('دانش‌آموزان'!E97="","",'دانش‌آموزان'!E97&amp;" "&amp;'دانش‌آموزان'!F97)</x:f>
        <x:v>طاها رضایی</x:v>
      </x:c>
      <x:c r="F1119" s="166" t="str">
        <x:f>IF('دانش‌آموزان'!I97="","",'دانش‌آموزان'!I97)</x:f>
        <x:v>sample-7-d</x:v>
      </x:c>
      <x:c r="G1119" s="114"/>
      <x:c r="H1119" s="115"/>
      <x:c r="I1119" s="115"/>
      <x:c r="J1119" s="115"/>
      <x:c r="K1119" s="115"/>
      <x:c r="L1119" s="115"/>
      <x:c r="M1119" s="115"/>
      <x:c r="N1119" s="115"/>
      <x:c r="O1119" s="115"/>
      <x:c r="P1119" s="115"/>
      <x:c r="Q1119" s="115"/>
      <x:c r="R1119" s="115"/>
      <x:c r="S1119" s="115"/>
      <x:c r="T1119" s="115"/>
      <x:c r="U1119" s="115"/>
      <x:c r="V1119" s="115"/>
      <x:c r="W1119" s="115"/>
      <x:c r="X1119" s="115"/>
      <x:c r="Y1119" s="115"/>
      <x:c r="Z1119" s="115"/>
      <x:c r="AA1119" s="115"/>
      <x:c r="AB1119" s="115"/>
      <x:c r="AC1119" s="115"/>
      <x:c r="AD1119" s="115"/>
      <x:c r="AE1119" s="115"/>
      <x:c r="AF1119" s="115"/>
      <x:c r="AG1119" s="115"/>
      <x:c r="AH1119" s="115"/>
      <x:c r="AI1119" s="115"/>
      <x:c r="AJ1119" s="115"/>
      <x:c r="AK1119" s="115"/>
      <x:c r="AL1119" s="115"/>
      <x:c r="AM1119" s="115"/>
      <x:c r="AN1119" s="115"/>
      <x:c r="AO1119" s="115"/>
      <x:c r="AP1119" s="115"/>
      <x:c r="AQ1119" s="115"/>
      <x:c r="AR1119" s="115"/>
      <x:c r="AS1119" s="115"/>
      <x:c r="AT1119" s="115"/>
      <x:c r="AU1119" s="115"/>
      <x:c r="AV1119" s="115"/>
      <x:c r="AW1119" s="115"/>
      <x:c r="AX1119" s="115"/>
      <x:c r="AY1119" s="115"/>
      <x:c r="AZ1119" s="115"/>
      <x:c r="BA1119" s="115"/>
      <x:c r="BB1119" s="115"/>
      <x:c r="BC1119" s="115"/>
      <x:c r="BD1119" s="115"/>
      <x:c r="BE1119" s="115"/>
      <x:c r="BF1119" s="115"/>
      <x:c r="BG1119" s="115"/>
      <x:c r="BH1119" s="115"/>
      <x:c r="BI1119" s="115"/>
      <x:c r="BJ1119" s="115"/>
      <x:c r="BK1119" s="115"/>
      <x:c r="BL1119" s="115"/>
      <x:c r="BM1119" s="115"/>
      <x:c r="BN1119" s="115"/>
      <x:c r="BO1119" s="115"/>
      <x:c r="BP1119" s="115"/>
      <x:c r="BQ1119" s="115"/>
      <x:c r="BR1119" s="115"/>
      <x:c r="BS1119" s="115"/>
      <x:c r="BT1119" s="115"/>
      <x:c r="BU1119" s="115"/>
      <x:c r="BV1119" s="115"/>
      <x:c r="BW1119" s="115"/>
      <x:c r="BX1119" s="115"/>
      <x:c r="BY1119" s="115"/>
      <x:c r="BZ1119" s="115"/>
      <x:c r="CA1119" s="115"/>
      <x:c r="CB1119" s="116"/>
      <x:c r="CC1119" s="141" t="str">
        <x:f>IF(COUNT(G1119:P1119)=0,"",AVERAGE(G1119:P1119)*4)</x:f>
      </x:c>
      <x:c r="CD1119" s="178" t="str">
        <x:f>IF(COUNT(Q1119:Z1119)=0,"",AVERAGE(Q1119:Z1119)*4)</x:f>
      </x:c>
      <x:c r="CE1119" s="178" t="str">
        <x:f>IF(COUNT(AA1119:AJ1119)=0,"",AVERAGE(AA1119:AJ1119)*4)</x:f>
      </x:c>
      <x:c r="CF1119" s="178" t="str">
        <x:f>IF(COUNT(AK1119:AR1119)=0,"",AVERAGE(AK1119:AR1119)*4)</x:f>
      </x:c>
      <x:c r="CG1119" s="178" t="str">
        <x:f>IF(COUNT(AS1119:AY1119)=0,"",AVERAGE(AS1119:AY1119)*4)</x:f>
      </x:c>
      <x:c r="CH1119" s="178" t="str">
        <x:f>IF(COUNT(AZ1119:BG1119)=0,"",AVERAGE(AZ1119:BG1119)*4)</x:f>
      </x:c>
      <x:c r="CI1119" s="178" t="str">
        <x:f>IF(COUNT(BH1119:BN1119)=0,"",AVERAGE(BH1119:BN1119)*4)</x:f>
      </x:c>
      <x:c r="CJ1119" s="178" t="str">
        <x:f>IF(COUNT(BO1119:BU1119)=0,"",AVERAGE(BO1119:BU1119)*4)</x:f>
      </x:c>
      <x:c r="CK1119" s="178" t="str">
        <x:f>IF(COUNT(BV1119:CB1119)=0,"",AVERAGE(BV1119:CB1119)*4)</x:f>
      </x:c>
      <x:c r="CL1119" s="178" t="str">
        <x:f>IF(C1119="","",IF(COUNT(G1119:CB1119)&lt;74,"",(CC1119*'تنظیمات وزن‌دهی'!$C$5+CD1119*'تنظیمات وزن‌دهی'!$C$6+CE1119*'تنظیمات وزن‌دهی'!$C$7+CF1119*'تنظیمات وزن‌دهی'!$C$8+CG1119*'تنظیمات وزن‌دهی'!$C$9+CH1119*'تنظیمات وزن‌دهی'!$C$10+CI1119*'تنظیمات وزن‌دهی'!$C$11+CJ1119*'تنظیمات وزن‌دهی'!$C$12+CK1119*'تنظیمات وزن‌دهی'!$C$13)/100))</x:f>
      </x:c>
      <x:c r="CM1119" s="178" t="str">
        <x:f>IF(C1119="","",IF(COUNT(G1119:CB1119)=0,"",IF(COUNT(G1119:CB1119)&lt;74,"موقت - اطلاعات ناقص",IF(CL1119&gt;=17,"عالی",IF(CL1119&gt;=14,"خوب",IF(CL1119&gt;=10,"متوسط","ضعیف"))))))</x:f>
      </x:c>
      <x:c r="CN1119" s="178" t="n">
        <x:v>11</x:v>
      </x:c>
      <x:c r="CO1119" s="142" t="n">
        <x:f>IF(C1119="","",COUNT(G1119:CB1119)/74)</x:f>
        <x:v>0</x:v>
      </x:c>
      <x:c r="CP1119" s="245"/>
    </x:row>
    <x:row r="1120">
      <x:c r="A1120" s="165" t="n">
        <x:v>1116</x:v>
      </x:c>
      <x:c r="B1120" s="233" t="str">
        <x:v>خرداد</x:v>
      </x:c>
      <x:c r="C1120" s="233" t="n">
        <x:f>IF('دانش‌آموزان'!E97="","",'دانش‌آموزان'!B97)</x:f>
        <x:v>93</x:v>
      </x:c>
      <x:c r="D1120" s="233" t="str">
        <x:f>IF('دانش‌آموزان'!C97="","",'دانش‌آموزان'!C97)</x:f>
        <x:v>4000000934</x:v>
      </x:c>
      <x:c r="E1120" s="233" t="str">
        <x:f>IF('دانش‌آموزان'!E97="","",'دانش‌آموزان'!E97&amp;" "&amp;'دانش‌آموزان'!F97)</x:f>
        <x:v>طاها رضایی</x:v>
      </x:c>
      <x:c r="F1120" s="166" t="str">
        <x:f>IF('دانش‌آموزان'!I97="","",'دانش‌آموزان'!I97)</x:f>
        <x:v>sample-7-d</x:v>
      </x:c>
      <x:c r="G1120" s="114"/>
      <x:c r="H1120" s="115"/>
      <x:c r="I1120" s="115"/>
      <x:c r="J1120" s="115"/>
      <x:c r="K1120" s="115"/>
      <x:c r="L1120" s="115"/>
      <x:c r="M1120" s="115"/>
      <x:c r="N1120" s="115"/>
      <x:c r="O1120" s="115"/>
      <x:c r="P1120" s="115"/>
      <x:c r="Q1120" s="115"/>
      <x:c r="R1120" s="115"/>
      <x:c r="S1120" s="115"/>
      <x:c r="T1120" s="115"/>
      <x:c r="U1120" s="115"/>
      <x:c r="V1120" s="115"/>
      <x:c r="W1120" s="115"/>
      <x:c r="X1120" s="115"/>
      <x:c r="Y1120" s="115"/>
      <x:c r="Z1120" s="115"/>
      <x:c r="AA1120" s="115"/>
      <x:c r="AB1120" s="115"/>
      <x:c r="AC1120" s="115"/>
      <x:c r="AD1120" s="115"/>
      <x:c r="AE1120" s="115"/>
      <x:c r="AF1120" s="115"/>
      <x:c r="AG1120" s="115"/>
      <x:c r="AH1120" s="115"/>
      <x:c r="AI1120" s="115"/>
      <x:c r="AJ1120" s="115"/>
      <x:c r="AK1120" s="115"/>
      <x:c r="AL1120" s="115"/>
      <x:c r="AM1120" s="115"/>
      <x:c r="AN1120" s="115"/>
      <x:c r="AO1120" s="115"/>
      <x:c r="AP1120" s="115"/>
      <x:c r="AQ1120" s="115"/>
      <x:c r="AR1120" s="115"/>
      <x:c r="AS1120" s="115"/>
      <x:c r="AT1120" s="115"/>
      <x:c r="AU1120" s="115"/>
      <x:c r="AV1120" s="115"/>
      <x:c r="AW1120" s="115"/>
      <x:c r="AX1120" s="115"/>
      <x:c r="AY1120" s="115"/>
      <x:c r="AZ1120" s="115"/>
      <x:c r="BA1120" s="115"/>
      <x:c r="BB1120" s="115"/>
      <x:c r="BC1120" s="115"/>
      <x:c r="BD1120" s="115"/>
      <x:c r="BE1120" s="115"/>
      <x:c r="BF1120" s="115"/>
      <x:c r="BG1120" s="115"/>
      <x:c r="BH1120" s="115"/>
      <x:c r="BI1120" s="115"/>
      <x:c r="BJ1120" s="115"/>
      <x:c r="BK1120" s="115"/>
      <x:c r="BL1120" s="115"/>
      <x:c r="BM1120" s="115"/>
      <x:c r="BN1120" s="115"/>
      <x:c r="BO1120" s="115"/>
      <x:c r="BP1120" s="115"/>
      <x:c r="BQ1120" s="115"/>
      <x:c r="BR1120" s="115"/>
      <x:c r="BS1120" s="115"/>
      <x:c r="BT1120" s="115"/>
      <x:c r="BU1120" s="115"/>
      <x:c r="BV1120" s="115"/>
      <x:c r="BW1120" s="115"/>
      <x:c r="BX1120" s="115"/>
      <x:c r="BY1120" s="115"/>
      <x:c r="BZ1120" s="115"/>
      <x:c r="CA1120" s="115"/>
      <x:c r="CB1120" s="116"/>
      <x:c r="CC1120" s="141" t="str">
        <x:f>IF(COUNT(G1120:P1120)=0,"",AVERAGE(G1120:P1120)*4)</x:f>
      </x:c>
      <x:c r="CD1120" s="178" t="str">
        <x:f>IF(COUNT(Q1120:Z1120)=0,"",AVERAGE(Q1120:Z1120)*4)</x:f>
      </x:c>
      <x:c r="CE1120" s="178" t="str">
        <x:f>IF(COUNT(AA1120:AJ1120)=0,"",AVERAGE(AA1120:AJ1120)*4)</x:f>
      </x:c>
      <x:c r="CF1120" s="178" t="str">
        <x:f>IF(COUNT(AK1120:AR1120)=0,"",AVERAGE(AK1120:AR1120)*4)</x:f>
      </x:c>
      <x:c r="CG1120" s="178" t="str">
        <x:f>IF(COUNT(AS1120:AY1120)=0,"",AVERAGE(AS1120:AY1120)*4)</x:f>
      </x:c>
      <x:c r="CH1120" s="178" t="str">
        <x:f>IF(COUNT(AZ1120:BG1120)=0,"",AVERAGE(AZ1120:BG1120)*4)</x:f>
      </x:c>
      <x:c r="CI1120" s="178" t="str">
        <x:f>IF(COUNT(BH1120:BN1120)=0,"",AVERAGE(BH1120:BN1120)*4)</x:f>
      </x:c>
      <x:c r="CJ1120" s="178" t="str">
        <x:f>IF(COUNT(BO1120:BU1120)=0,"",AVERAGE(BO1120:BU1120)*4)</x:f>
      </x:c>
      <x:c r="CK1120" s="178" t="str">
        <x:f>IF(COUNT(BV1120:CB1120)=0,"",AVERAGE(BV1120:CB1120)*4)</x:f>
      </x:c>
      <x:c r="CL1120" s="178" t="str">
        <x:f>IF(C1120="","",IF(COUNT(G1120:CB1120)&lt;74,"",(CC1120*'تنظیمات وزن‌دهی'!$C$5+CD1120*'تنظیمات وزن‌دهی'!$C$6+CE1120*'تنظیمات وزن‌دهی'!$C$7+CF1120*'تنظیمات وزن‌دهی'!$C$8+CG1120*'تنظیمات وزن‌دهی'!$C$9+CH1120*'تنظیمات وزن‌دهی'!$C$10+CI1120*'تنظیمات وزن‌دهی'!$C$11+CJ1120*'تنظیمات وزن‌دهی'!$C$12+CK1120*'تنظیمات وزن‌دهی'!$C$13)/100))</x:f>
      </x:c>
      <x:c r="CM1120" s="178" t="str">
        <x:f>IF(C1120="","",IF(COUNT(G1120:CB1120)=0,"",IF(COUNT(G1120:CB1120)&lt;74,"موقت - اطلاعات ناقص",IF(CL1120&gt;=17,"عالی",IF(CL1120&gt;=14,"خوب",IF(CL1120&gt;=10,"متوسط","ضعیف"))))))</x:f>
      </x:c>
      <x:c r="CN1120" s="178" t="n">
        <x:v>12</x:v>
      </x:c>
      <x:c r="CO1120" s="142" t="n">
        <x:f>IF(C1120="","",COUNT(G1120:CB1120)/74)</x:f>
        <x:v>0</x:v>
      </x:c>
      <x:c r="CP1120" s="245"/>
    </x:row>
    <x:row r="1121">
      <x:c r="A1121" s="165" t="n">
        <x:v>1117</x:v>
      </x:c>
      <x:c r="B1121" s="233" t="str">
        <x:v>تیر</x:v>
      </x:c>
      <x:c r="C1121" s="233" t="n">
        <x:f>IF('دانش‌آموزان'!E98="","",'دانش‌آموزان'!B98)</x:f>
        <x:v>94</x:v>
      </x:c>
      <x:c r="D1121" s="233" t="str">
        <x:f>IF('دانش‌آموزان'!C98="","",'دانش‌آموزان'!C98)</x:f>
        <x:v>4000000942</x:v>
      </x:c>
      <x:c r="E1121" s="233" t="str">
        <x:f>IF('دانش‌آموزان'!E98="","",'دانش‌آموزان'!E98&amp;" "&amp;'دانش‌آموزان'!F98)</x:f>
        <x:v>باران نوری</x:v>
      </x:c>
      <x:c r="F1121" s="166" t="str">
        <x:f>IF('دانش‌آموزان'!I98="","",'دانش‌آموزان'!I98)</x:f>
        <x:v>sample-7-d</x:v>
      </x:c>
      <x:c r="G1121" s="114" t="n">
        <x:v>4</x:v>
      </x:c>
      <x:c r="H1121" s="115" t="n">
        <x:v>5</x:v>
      </x:c>
      <x:c r="I1121" s="115" t="n">
        <x:v>3</x:v>
      </x:c>
      <x:c r="J1121" s="115" t="n">
        <x:v>5</x:v>
      </x:c>
      <x:c r="K1121" s="115" t="n">
        <x:v>3</x:v>
      </x:c>
      <x:c r="L1121" s="115" t="n">
        <x:v>4</x:v>
      </x:c>
      <x:c r="M1121" s="115" t="n">
        <x:v>3</x:v>
      </x:c>
      <x:c r="N1121" s="115" t="n">
        <x:v>4</x:v>
      </x:c>
      <x:c r="O1121" s="115" t="n">
        <x:v>2</x:v>
      </x:c>
      <x:c r="P1121" s="115" t="n">
        <x:v>4</x:v>
      </x:c>
      <x:c r="Q1121" s="115" t="n">
        <x:v>5</x:v>
      </x:c>
      <x:c r="R1121" s="115" t="n">
        <x:v>4</x:v>
      </x:c>
      <x:c r="S1121" s="115" t="n">
        <x:v>5</x:v>
      </x:c>
      <x:c r="T1121" s="115" t="n">
        <x:v>3</x:v>
      </x:c>
      <x:c r="U1121" s="115" t="n">
        <x:v>5</x:v>
      </x:c>
      <x:c r="V1121" s="115" t="n">
        <x:v>3</x:v>
      </x:c>
      <x:c r="W1121" s="115" t="n">
        <x:v>4</x:v>
      </x:c>
      <x:c r="X1121" s="115" t="n">
        <x:v>3</x:v>
      </x:c>
      <x:c r="Y1121" s="115" t="n">
        <x:v>4</x:v>
      </x:c>
      <x:c r="Z1121" s="115" t="n">
        <x:v>2</x:v>
      </x:c>
      <x:c r="AA1121" s="115" t="n">
        <x:v>4</x:v>
      </x:c>
      <x:c r="AB1121" s="115" t="n">
        <x:v>5</x:v>
      </x:c>
      <x:c r="AC1121" s="115" t="n">
        <x:v>4</x:v>
      </x:c>
      <x:c r="AD1121" s="115" t="n">
        <x:v>5</x:v>
      </x:c>
      <x:c r="AE1121" s="115" t="n">
        <x:v>3</x:v>
      </x:c>
      <x:c r="AF1121" s="115" t="n">
        <x:v>5</x:v>
      </x:c>
      <x:c r="AG1121" s="115" t="n">
        <x:v>3</x:v>
      </x:c>
      <x:c r="AH1121" s="115" t="n">
        <x:v>4</x:v>
      </x:c>
      <x:c r="AI1121" s="115" t="n">
        <x:v>3</x:v>
      </x:c>
      <x:c r="AJ1121" s="115" t="n">
        <x:v>4</x:v>
      </x:c>
      <x:c r="AK1121" s="115" t="n">
        <x:v>2</x:v>
      </x:c>
      <x:c r="AL1121" s="115" t="n">
        <x:v>4</x:v>
      </x:c>
      <x:c r="AM1121" s="115" t="n">
        <x:v>5</x:v>
      </x:c>
      <x:c r="AN1121" s="115" t="n">
        <x:v>4</x:v>
      </x:c>
      <x:c r="AO1121" s="115" t="n">
        <x:v>5</x:v>
      </x:c>
      <x:c r="AP1121" s="115" t="n">
        <x:v>3</x:v>
      </x:c>
      <x:c r="AQ1121" s="115" t="n">
        <x:v>5</x:v>
      </x:c>
      <x:c r="AR1121" s="115" t="n">
        <x:v>3</x:v>
      </x:c>
      <x:c r="AS1121" s="115" t="n">
        <x:v>4</x:v>
      </x:c>
      <x:c r="AT1121" s="115" t="n">
        <x:v>3</x:v>
      </x:c>
      <x:c r="AU1121" s="115" t="n">
        <x:v>4</x:v>
      </x:c>
      <x:c r="AV1121" s="115" t="n">
        <x:v>2</x:v>
      </x:c>
      <x:c r="AW1121" s="115" t="n">
        <x:v>4</x:v>
      </x:c>
      <x:c r="AX1121" s="115" t="n">
        <x:v>5</x:v>
      </x:c>
      <x:c r="AY1121" s="115" t="n">
        <x:v>4</x:v>
      </x:c>
      <x:c r="AZ1121" s="115" t="n">
        <x:v>5</x:v>
      </x:c>
      <x:c r="BA1121" s="115" t="n">
        <x:v>3</x:v>
      </x:c>
      <x:c r="BB1121" s="115" t="n">
        <x:v>5</x:v>
      </x:c>
      <x:c r="BC1121" s="115" t="n">
        <x:v>3</x:v>
      </x:c>
      <x:c r="BD1121" s="115" t="n">
        <x:v>4</x:v>
      </x:c>
      <x:c r="BE1121" s="115" t="n">
        <x:v>3</x:v>
      </x:c>
      <x:c r="BF1121" s="115" t="n">
        <x:v>4</x:v>
      </x:c>
      <x:c r="BG1121" s="115" t="n">
        <x:v>2</x:v>
      </x:c>
      <x:c r="BH1121" s="115" t="n">
        <x:v>4</x:v>
      </x:c>
      <x:c r="BI1121" s="115" t="n">
        <x:v>5</x:v>
      </x:c>
      <x:c r="BJ1121" s="115" t="n">
        <x:v>4</x:v>
      </x:c>
      <x:c r="BK1121" s="115" t="n">
        <x:v>5</x:v>
      </x:c>
      <x:c r="BL1121" s="115" t="n">
        <x:v>3</x:v>
      </x:c>
      <x:c r="BM1121" s="115" t="n">
        <x:v>5</x:v>
      </x:c>
      <x:c r="BN1121" s="115" t="n">
        <x:v>3</x:v>
      </x:c>
      <x:c r="BO1121" s="115" t="n">
        <x:v>4</x:v>
      </x:c>
      <x:c r="BP1121" s="115" t="n">
        <x:v>3</x:v>
      </x:c>
      <x:c r="BQ1121" s="115" t="n">
        <x:v>4</x:v>
      </x:c>
      <x:c r="BR1121" s="115" t="n">
        <x:v>2</x:v>
      </x:c>
      <x:c r="BS1121" s="115" t="n">
        <x:v>4</x:v>
      </x:c>
      <x:c r="BT1121" s="115" t="n">
        <x:v>5</x:v>
      </x:c>
      <x:c r="BU1121" s="115" t="n">
        <x:v>4</x:v>
      </x:c>
      <x:c r="BV1121" s="115" t="n">
        <x:v>5</x:v>
      </x:c>
      <x:c r="BW1121" s="115" t="n">
        <x:v>3</x:v>
      </x:c>
      <x:c r="BX1121" s="115" t="n">
        <x:v>5</x:v>
      </x:c>
      <x:c r="BY1121" s="115" t="n">
        <x:v>3</x:v>
      </x:c>
      <x:c r="BZ1121" s="115" t="n">
        <x:v>4</x:v>
      </x:c>
      <x:c r="CA1121" s="115" t="n">
        <x:v>3</x:v>
      </x:c>
      <x:c r="CB1121" s="116" t="n">
        <x:v>4</x:v>
      </x:c>
      <x:c r="CC1121" s="141" t="n">
        <x:f>IF(COUNT(G1121:P1121)=0,"",AVERAGE(G1121:P1121)*4)</x:f>
        <x:v>14.8</x:v>
      </x:c>
      <x:c r="CD1121" s="178" t="n">
        <x:f>IF(COUNT(Q1121:Z1121)=0,"",AVERAGE(Q1121:Z1121)*4)</x:f>
        <x:v>15.2</x:v>
      </x:c>
      <x:c r="CE1121" s="178" t="n">
        <x:f>IF(COUNT(AA1121:AJ1121)=0,"",AVERAGE(AA1121:AJ1121)*4)</x:f>
        <x:v>16</x:v>
      </x:c>
      <x:c r="CF1121" s="178" t="n">
        <x:f>IF(COUNT(AK1121:AR1121)=0,"",AVERAGE(AK1121:AR1121)*4)</x:f>
        <x:v>15.5</x:v>
      </x:c>
      <x:c r="CG1121" s="178" t="n">
        <x:f>IF(COUNT(AS1121:AY1121)=0,"",AVERAGE(AS1121:AY1121)*4)</x:f>
        <x:v>14.857142857142858</x:v>
      </x:c>
      <x:c r="CH1121" s="178" t="n">
        <x:f>IF(COUNT(AZ1121:BG1121)=0,"",AVERAGE(AZ1121:BG1121)*4)</x:f>
        <x:v>14.5</x:v>
      </x:c>
      <x:c r="CI1121" s="178" t="n">
        <x:f>IF(COUNT(BH1121:BN1121)=0,"",AVERAGE(BH1121:BN1121)*4)</x:f>
        <x:v>16.571428571428573</x:v>
      </x:c>
      <x:c r="CJ1121" s="178" t="n">
        <x:f>IF(COUNT(BO1121:BU1121)=0,"",AVERAGE(BO1121:BU1121)*4)</x:f>
        <x:v>14.857142857142858</x:v>
      </x:c>
      <x:c r="CK1121" s="178" t="n">
        <x:f>IF(COUNT(BV1121:CB1121)=0,"",AVERAGE(BV1121:CB1121)*4)</x:f>
        <x:v>15.428571428571429</x:v>
      </x:c>
      <x:c r="CL1121" s="178" t="n">
        <x:f>IF(C1121="","",IF(COUNT(G1121:CB1121)&lt;74,"",(CC1121*'تنظیمات وزن‌دهی'!$C$5+CD1121*'تنظیمات وزن‌دهی'!$C$6+CE1121*'تنظیمات وزن‌دهی'!$C$7+CF1121*'تنظیمات وزن‌دهی'!$C$8+CG1121*'تنظیمات وزن‌دهی'!$C$9+CH1121*'تنظیمات وزن‌دهی'!$C$10+CI1121*'تنظیمات وزن‌دهی'!$C$11+CJ1121*'تنظیمات وزن‌دهی'!$C$12+CK1121*'تنظیمات وزن‌دهی'!$C$13)/100))</x:f>
        <x:v>15.29642857142857</x:v>
      </x:c>
      <x:c r="CM1121" s="178" t="str">
        <x:f>IF(C1121="","",IF(COUNT(G1121:CB1121)=0,"",IF(COUNT(G1121:CB1121)&lt;74,"موقت - اطلاعات ناقص",IF(CL1121&gt;=17,"عالی",IF(CL1121&gt;=14,"خوب",IF(CL1121&gt;=10,"متوسط","ضعیف"))))))</x:f>
        <x:v>خوب</x:v>
      </x:c>
      <x:c r="CN1121" s="178" t="n">
        <x:v>1</x:v>
      </x:c>
      <x:c r="CO1121" s="142" t="n">
        <x:f>IF(C1121="","",COUNT(G1121:CB1121)/74)</x:f>
        <x:v>1</x:v>
      </x:c>
      <x:c r="CP1121" s="245" t="str">
        <x:v>داده نمونه کامل برای ماه تیر - دانش‌آموز شماره 94</x:v>
      </x:c>
    </x:row>
    <x:row r="1122">
      <x:c r="A1122" s="165" t="n">
        <x:v>1118</x:v>
      </x:c>
      <x:c r="B1122" s="233" t="str">
        <x:v>مرداد</x:v>
      </x:c>
      <x:c r="C1122" s="233" t="n">
        <x:f>IF('دانش‌آموزان'!E98="","",'دانش‌آموزان'!B98)</x:f>
        <x:v>94</x:v>
      </x:c>
      <x:c r="D1122" s="233" t="str">
        <x:f>IF('دانش‌آموزان'!C98="","",'دانش‌آموزان'!C98)</x:f>
        <x:v>4000000942</x:v>
      </x:c>
      <x:c r="E1122" s="233" t="str">
        <x:f>IF('دانش‌آموزان'!E98="","",'دانش‌آموزان'!E98&amp;" "&amp;'دانش‌آموزان'!F98)</x:f>
        <x:v>باران نوری</x:v>
      </x:c>
      <x:c r="F1122" s="166" t="str">
        <x:f>IF('دانش‌آموزان'!I98="","",'دانش‌آموزان'!I98)</x:f>
        <x:v>sample-7-d</x:v>
      </x:c>
      <x:c r="G1122" s="114"/>
      <x:c r="H1122" s="115"/>
      <x:c r="I1122" s="115"/>
      <x:c r="J1122" s="115"/>
      <x:c r="K1122" s="115"/>
      <x:c r="L1122" s="115"/>
      <x:c r="M1122" s="115"/>
      <x:c r="N1122" s="115"/>
      <x:c r="O1122" s="115"/>
      <x:c r="P1122" s="115"/>
      <x:c r="Q1122" s="115"/>
      <x:c r="R1122" s="115"/>
      <x:c r="S1122" s="115"/>
      <x:c r="T1122" s="115"/>
      <x:c r="U1122" s="115"/>
      <x:c r="V1122" s="115"/>
      <x:c r="W1122" s="115"/>
      <x:c r="X1122" s="115"/>
      <x:c r="Y1122" s="115"/>
      <x:c r="Z1122" s="115"/>
      <x:c r="AA1122" s="115"/>
      <x:c r="AB1122" s="115"/>
      <x:c r="AC1122" s="115"/>
      <x:c r="AD1122" s="115"/>
      <x:c r="AE1122" s="115"/>
      <x:c r="AF1122" s="115"/>
      <x:c r="AG1122" s="115"/>
      <x:c r="AH1122" s="115"/>
      <x:c r="AI1122" s="115"/>
      <x:c r="AJ1122" s="115"/>
      <x:c r="AK1122" s="115"/>
      <x:c r="AL1122" s="115"/>
      <x:c r="AM1122" s="115"/>
      <x:c r="AN1122" s="115"/>
      <x:c r="AO1122" s="115"/>
      <x:c r="AP1122" s="115"/>
      <x:c r="AQ1122" s="115"/>
      <x:c r="AR1122" s="115"/>
      <x:c r="AS1122" s="115"/>
      <x:c r="AT1122" s="115"/>
      <x:c r="AU1122" s="115"/>
      <x:c r="AV1122" s="115"/>
      <x:c r="AW1122" s="115"/>
      <x:c r="AX1122" s="115"/>
      <x:c r="AY1122" s="115"/>
      <x:c r="AZ1122" s="115"/>
      <x:c r="BA1122" s="115"/>
      <x:c r="BB1122" s="115"/>
      <x:c r="BC1122" s="115"/>
      <x:c r="BD1122" s="115"/>
      <x:c r="BE1122" s="115"/>
      <x:c r="BF1122" s="115"/>
      <x:c r="BG1122" s="115"/>
      <x:c r="BH1122" s="115"/>
      <x:c r="BI1122" s="115"/>
      <x:c r="BJ1122" s="115"/>
      <x:c r="BK1122" s="115"/>
      <x:c r="BL1122" s="115"/>
      <x:c r="BM1122" s="115"/>
      <x:c r="BN1122" s="115"/>
      <x:c r="BO1122" s="115"/>
      <x:c r="BP1122" s="115"/>
      <x:c r="BQ1122" s="115"/>
      <x:c r="BR1122" s="115"/>
      <x:c r="BS1122" s="115"/>
      <x:c r="BT1122" s="115"/>
      <x:c r="BU1122" s="115"/>
      <x:c r="BV1122" s="115"/>
      <x:c r="BW1122" s="115"/>
      <x:c r="BX1122" s="115"/>
      <x:c r="BY1122" s="115"/>
      <x:c r="BZ1122" s="115"/>
      <x:c r="CA1122" s="115"/>
      <x:c r="CB1122" s="116"/>
      <x:c r="CC1122" s="141" t="str">
        <x:f>IF(COUNT(G1122:P1122)=0,"",AVERAGE(G1122:P1122)*4)</x:f>
      </x:c>
      <x:c r="CD1122" s="178" t="str">
        <x:f>IF(COUNT(Q1122:Z1122)=0,"",AVERAGE(Q1122:Z1122)*4)</x:f>
      </x:c>
      <x:c r="CE1122" s="178" t="str">
        <x:f>IF(COUNT(AA1122:AJ1122)=0,"",AVERAGE(AA1122:AJ1122)*4)</x:f>
      </x:c>
      <x:c r="CF1122" s="178" t="str">
        <x:f>IF(COUNT(AK1122:AR1122)=0,"",AVERAGE(AK1122:AR1122)*4)</x:f>
      </x:c>
      <x:c r="CG1122" s="178" t="str">
        <x:f>IF(COUNT(AS1122:AY1122)=0,"",AVERAGE(AS1122:AY1122)*4)</x:f>
      </x:c>
      <x:c r="CH1122" s="178" t="str">
        <x:f>IF(COUNT(AZ1122:BG1122)=0,"",AVERAGE(AZ1122:BG1122)*4)</x:f>
      </x:c>
      <x:c r="CI1122" s="178" t="str">
        <x:f>IF(COUNT(BH1122:BN1122)=0,"",AVERAGE(BH1122:BN1122)*4)</x:f>
      </x:c>
      <x:c r="CJ1122" s="178" t="str">
        <x:f>IF(COUNT(BO1122:BU1122)=0,"",AVERAGE(BO1122:BU1122)*4)</x:f>
      </x:c>
      <x:c r="CK1122" s="178" t="str">
        <x:f>IF(COUNT(BV1122:CB1122)=0,"",AVERAGE(BV1122:CB1122)*4)</x:f>
      </x:c>
      <x:c r="CL1122" s="178" t="str">
        <x:f>IF(C1122="","",IF(COUNT(G1122:CB1122)&lt;74,"",(CC1122*'تنظیمات وزن‌دهی'!$C$5+CD1122*'تنظیمات وزن‌دهی'!$C$6+CE1122*'تنظیمات وزن‌دهی'!$C$7+CF1122*'تنظیمات وزن‌دهی'!$C$8+CG1122*'تنظیمات وزن‌دهی'!$C$9+CH1122*'تنظیمات وزن‌دهی'!$C$10+CI1122*'تنظیمات وزن‌دهی'!$C$11+CJ1122*'تنظیمات وزن‌دهی'!$C$12+CK1122*'تنظیمات وزن‌دهی'!$C$13)/100))</x:f>
      </x:c>
      <x:c r="CM1122" s="178" t="str">
        <x:f>IF(C1122="","",IF(COUNT(G1122:CB1122)=0,"",IF(COUNT(G1122:CB1122)&lt;74,"موقت - اطلاعات ناقص",IF(CL1122&gt;=17,"عالی",IF(CL1122&gt;=14,"خوب",IF(CL1122&gt;=10,"متوسط","ضعیف"))))))</x:f>
      </x:c>
      <x:c r="CN1122" s="178" t="n">
        <x:v>2</x:v>
      </x:c>
      <x:c r="CO1122" s="142" t="n">
        <x:f>IF(C1122="","",COUNT(G1122:CB1122)/74)</x:f>
        <x:v>0</x:v>
      </x:c>
      <x:c r="CP1122" s="245"/>
    </x:row>
    <x:row r="1123">
      <x:c r="A1123" s="165" t="n">
        <x:v>1119</x:v>
      </x:c>
      <x:c r="B1123" s="233" t="str">
        <x:v>شهریور</x:v>
      </x:c>
      <x:c r="C1123" s="233" t="n">
        <x:f>IF('دانش‌آموزان'!E98="","",'دانش‌آموزان'!B98)</x:f>
        <x:v>94</x:v>
      </x:c>
      <x:c r="D1123" s="233" t="str">
        <x:f>IF('دانش‌آموزان'!C98="","",'دانش‌آموزان'!C98)</x:f>
        <x:v>4000000942</x:v>
      </x:c>
      <x:c r="E1123" s="233" t="str">
        <x:f>IF('دانش‌آموزان'!E98="","",'دانش‌آموزان'!E98&amp;" "&amp;'دانش‌آموزان'!F98)</x:f>
        <x:v>باران نوری</x:v>
      </x:c>
      <x:c r="F1123" s="166" t="str">
        <x:f>IF('دانش‌آموزان'!I98="","",'دانش‌آموزان'!I98)</x:f>
        <x:v>sample-7-d</x:v>
      </x:c>
      <x:c r="G1123" s="114"/>
      <x:c r="H1123" s="115"/>
      <x:c r="I1123" s="115"/>
      <x:c r="J1123" s="115"/>
      <x:c r="K1123" s="115"/>
      <x:c r="L1123" s="115"/>
      <x:c r="M1123" s="115"/>
      <x:c r="N1123" s="115"/>
      <x:c r="O1123" s="115"/>
      <x:c r="P1123" s="115"/>
      <x:c r="Q1123" s="115"/>
      <x:c r="R1123" s="115"/>
      <x:c r="S1123" s="115"/>
      <x:c r="T1123" s="115"/>
      <x:c r="U1123" s="115"/>
      <x:c r="V1123" s="115"/>
      <x:c r="W1123" s="115"/>
      <x:c r="X1123" s="115"/>
      <x:c r="Y1123" s="115"/>
      <x:c r="Z1123" s="115"/>
      <x:c r="AA1123" s="115"/>
      <x:c r="AB1123" s="115"/>
      <x:c r="AC1123" s="115"/>
      <x:c r="AD1123" s="115"/>
      <x:c r="AE1123" s="115"/>
      <x:c r="AF1123" s="115"/>
      <x:c r="AG1123" s="115"/>
      <x:c r="AH1123" s="115"/>
      <x:c r="AI1123" s="115"/>
      <x:c r="AJ1123" s="115"/>
      <x:c r="AK1123" s="115"/>
      <x:c r="AL1123" s="115"/>
      <x:c r="AM1123" s="115"/>
      <x:c r="AN1123" s="115"/>
      <x:c r="AO1123" s="115"/>
      <x:c r="AP1123" s="115"/>
      <x:c r="AQ1123" s="115"/>
      <x:c r="AR1123" s="115"/>
      <x:c r="AS1123" s="115"/>
      <x:c r="AT1123" s="115"/>
      <x:c r="AU1123" s="115"/>
      <x:c r="AV1123" s="115"/>
      <x:c r="AW1123" s="115"/>
      <x:c r="AX1123" s="115"/>
      <x:c r="AY1123" s="115"/>
      <x:c r="AZ1123" s="115"/>
      <x:c r="BA1123" s="115"/>
      <x:c r="BB1123" s="115"/>
      <x:c r="BC1123" s="115"/>
      <x:c r="BD1123" s="115"/>
      <x:c r="BE1123" s="115"/>
      <x:c r="BF1123" s="115"/>
      <x:c r="BG1123" s="115"/>
      <x:c r="BH1123" s="115"/>
      <x:c r="BI1123" s="115"/>
      <x:c r="BJ1123" s="115"/>
      <x:c r="BK1123" s="115"/>
      <x:c r="BL1123" s="115"/>
      <x:c r="BM1123" s="115"/>
      <x:c r="BN1123" s="115"/>
      <x:c r="BO1123" s="115"/>
      <x:c r="BP1123" s="115"/>
      <x:c r="BQ1123" s="115"/>
      <x:c r="BR1123" s="115"/>
      <x:c r="BS1123" s="115"/>
      <x:c r="BT1123" s="115"/>
      <x:c r="BU1123" s="115"/>
      <x:c r="BV1123" s="115"/>
      <x:c r="BW1123" s="115"/>
      <x:c r="BX1123" s="115"/>
      <x:c r="BY1123" s="115"/>
      <x:c r="BZ1123" s="115"/>
      <x:c r="CA1123" s="115"/>
      <x:c r="CB1123" s="116"/>
      <x:c r="CC1123" s="141" t="str">
        <x:f>IF(COUNT(G1123:P1123)=0,"",AVERAGE(G1123:P1123)*4)</x:f>
      </x:c>
      <x:c r="CD1123" s="178" t="str">
        <x:f>IF(COUNT(Q1123:Z1123)=0,"",AVERAGE(Q1123:Z1123)*4)</x:f>
      </x:c>
      <x:c r="CE1123" s="178" t="str">
        <x:f>IF(COUNT(AA1123:AJ1123)=0,"",AVERAGE(AA1123:AJ1123)*4)</x:f>
      </x:c>
      <x:c r="CF1123" s="178" t="str">
        <x:f>IF(COUNT(AK1123:AR1123)=0,"",AVERAGE(AK1123:AR1123)*4)</x:f>
      </x:c>
      <x:c r="CG1123" s="178" t="str">
        <x:f>IF(COUNT(AS1123:AY1123)=0,"",AVERAGE(AS1123:AY1123)*4)</x:f>
      </x:c>
      <x:c r="CH1123" s="178" t="str">
        <x:f>IF(COUNT(AZ1123:BG1123)=0,"",AVERAGE(AZ1123:BG1123)*4)</x:f>
      </x:c>
      <x:c r="CI1123" s="178" t="str">
        <x:f>IF(COUNT(BH1123:BN1123)=0,"",AVERAGE(BH1123:BN1123)*4)</x:f>
      </x:c>
      <x:c r="CJ1123" s="178" t="str">
        <x:f>IF(COUNT(BO1123:BU1123)=0,"",AVERAGE(BO1123:BU1123)*4)</x:f>
      </x:c>
      <x:c r="CK1123" s="178" t="str">
        <x:f>IF(COUNT(BV1123:CB1123)=0,"",AVERAGE(BV1123:CB1123)*4)</x:f>
      </x:c>
      <x:c r="CL1123" s="178" t="str">
        <x:f>IF(C1123="","",IF(COUNT(G1123:CB1123)&lt;74,"",(CC1123*'تنظیمات وزن‌دهی'!$C$5+CD1123*'تنظیمات وزن‌دهی'!$C$6+CE1123*'تنظیمات وزن‌دهی'!$C$7+CF1123*'تنظیمات وزن‌دهی'!$C$8+CG1123*'تنظیمات وزن‌دهی'!$C$9+CH1123*'تنظیمات وزن‌دهی'!$C$10+CI1123*'تنظیمات وزن‌دهی'!$C$11+CJ1123*'تنظیمات وزن‌دهی'!$C$12+CK1123*'تنظیمات وزن‌دهی'!$C$13)/100))</x:f>
      </x:c>
      <x:c r="CM1123" s="178" t="str">
        <x:f>IF(C1123="","",IF(COUNT(G1123:CB1123)=0,"",IF(COUNT(G1123:CB1123)&lt;74,"موقت - اطلاعات ناقص",IF(CL1123&gt;=17,"عالی",IF(CL1123&gt;=14,"خوب",IF(CL1123&gt;=10,"متوسط","ضعیف"))))))</x:f>
      </x:c>
      <x:c r="CN1123" s="178" t="n">
        <x:v>3</x:v>
      </x:c>
      <x:c r="CO1123" s="142" t="n">
        <x:f>IF(C1123="","",COUNT(G1123:CB1123)/74)</x:f>
        <x:v>0</x:v>
      </x:c>
      <x:c r="CP1123" s="245"/>
    </x:row>
    <x:row r="1124">
      <x:c r="A1124" s="165" t="n">
        <x:v>1120</x:v>
      </x:c>
      <x:c r="B1124" s="233" t="str">
        <x:v>مهر</x:v>
      </x:c>
      <x:c r="C1124" s="233" t="n">
        <x:f>IF('دانش‌آموزان'!E98="","",'دانش‌آموزان'!B98)</x:f>
        <x:v>94</x:v>
      </x:c>
      <x:c r="D1124" s="233" t="str">
        <x:f>IF('دانش‌آموزان'!C98="","",'دانش‌آموزان'!C98)</x:f>
        <x:v>4000000942</x:v>
      </x:c>
      <x:c r="E1124" s="233" t="str">
        <x:f>IF('دانش‌آموزان'!E98="","",'دانش‌آموزان'!E98&amp;" "&amp;'دانش‌آموزان'!F98)</x:f>
        <x:v>باران نوری</x:v>
      </x:c>
      <x:c r="F1124" s="166" t="str">
        <x:f>IF('دانش‌آموزان'!I98="","",'دانش‌آموزان'!I98)</x:f>
        <x:v>sample-7-d</x:v>
      </x:c>
      <x:c r="G1124" s="114"/>
      <x:c r="H1124" s="115"/>
      <x:c r="I1124" s="115"/>
      <x:c r="J1124" s="115"/>
      <x:c r="K1124" s="115"/>
      <x:c r="L1124" s="115"/>
      <x:c r="M1124" s="115"/>
      <x:c r="N1124" s="115"/>
      <x:c r="O1124" s="115"/>
      <x:c r="P1124" s="115"/>
      <x:c r="Q1124" s="115"/>
      <x:c r="R1124" s="115"/>
      <x:c r="S1124" s="115"/>
      <x:c r="T1124" s="115"/>
      <x:c r="U1124" s="115"/>
      <x:c r="V1124" s="115"/>
      <x:c r="W1124" s="115"/>
      <x:c r="X1124" s="115"/>
      <x:c r="Y1124" s="115"/>
      <x:c r="Z1124" s="115"/>
      <x:c r="AA1124" s="115"/>
      <x:c r="AB1124" s="115"/>
      <x:c r="AC1124" s="115"/>
      <x:c r="AD1124" s="115"/>
      <x:c r="AE1124" s="115"/>
      <x:c r="AF1124" s="115"/>
      <x:c r="AG1124" s="115"/>
      <x:c r="AH1124" s="115"/>
      <x:c r="AI1124" s="115"/>
      <x:c r="AJ1124" s="115"/>
      <x:c r="AK1124" s="115"/>
      <x:c r="AL1124" s="115"/>
      <x:c r="AM1124" s="115"/>
      <x:c r="AN1124" s="115"/>
      <x:c r="AO1124" s="115"/>
      <x:c r="AP1124" s="115"/>
      <x:c r="AQ1124" s="115"/>
      <x:c r="AR1124" s="115"/>
      <x:c r="AS1124" s="115"/>
      <x:c r="AT1124" s="115"/>
      <x:c r="AU1124" s="115"/>
      <x:c r="AV1124" s="115"/>
      <x:c r="AW1124" s="115"/>
      <x:c r="AX1124" s="115"/>
      <x:c r="AY1124" s="115"/>
      <x:c r="AZ1124" s="115"/>
      <x:c r="BA1124" s="115"/>
      <x:c r="BB1124" s="115"/>
      <x:c r="BC1124" s="115"/>
      <x:c r="BD1124" s="115"/>
      <x:c r="BE1124" s="115"/>
      <x:c r="BF1124" s="115"/>
      <x:c r="BG1124" s="115"/>
      <x:c r="BH1124" s="115"/>
      <x:c r="BI1124" s="115"/>
      <x:c r="BJ1124" s="115"/>
      <x:c r="BK1124" s="115"/>
      <x:c r="BL1124" s="115"/>
      <x:c r="BM1124" s="115"/>
      <x:c r="BN1124" s="115"/>
      <x:c r="BO1124" s="115"/>
      <x:c r="BP1124" s="115"/>
      <x:c r="BQ1124" s="115"/>
      <x:c r="BR1124" s="115"/>
      <x:c r="BS1124" s="115"/>
      <x:c r="BT1124" s="115"/>
      <x:c r="BU1124" s="115"/>
      <x:c r="BV1124" s="115"/>
      <x:c r="BW1124" s="115"/>
      <x:c r="BX1124" s="115"/>
      <x:c r="BY1124" s="115"/>
      <x:c r="BZ1124" s="115"/>
      <x:c r="CA1124" s="115"/>
      <x:c r="CB1124" s="116"/>
      <x:c r="CC1124" s="141" t="str">
        <x:f>IF(COUNT(G1124:P1124)=0,"",AVERAGE(G1124:P1124)*4)</x:f>
      </x:c>
      <x:c r="CD1124" s="178" t="str">
        <x:f>IF(COUNT(Q1124:Z1124)=0,"",AVERAGE(Q1124:Z1124)*4)</x:f>
      </x:c>
      <x:c r="CE1124" s="178" t="str">
        <x:f>IF(COUNT(AA1124:AJ1124)=0,"",AVERAGE(AA1124:AJ1124)*4)</x:f>
      </x:c>
      <x:c r="CF1124" s="178" t="str">
        <x:f>IF(COUNT(AK1124:AR1124)=0,"",AVERAGE(AK1124:AR1124)*4)</x:f>
      </x:c>
      <x:c r="CG1124" s="178" t="str">
        <x:f>IF(COUNT(AS1124:AY1124)=0,"",AVERAGE(AS1124:AY1124)*4)</x:f>
      </x:c>
      <x:c r="CH1124" s="178" t="str">
        <x:f>IF(COUNT(AZ1124:BG1124)=0,"",AVERAGE(AZ1124:BG1124)*4)</x:f>
      </x:c>
      <x:c r="CI1124" s="178" t="str">
        <x:f>IF(COUNT(BH1124:BN1124)=0,"",AVERAGE(BH1124:BN1124)*4)</x:f>
      </x:c>
      <x:c r="CJ1124" s="178" t="str">
        <x:f>IF(COUNT(BO1124:BU1124)=0,"",AVERAGE(BO1124:BU1124)*4)</x:f>
      </x:c>
      <x:c r="CK1124" s="178" t="str">
        <x:f>IF(COUNT(BV1124:CB1124)=0,"",AVERAGE(BV1124:CB1124)*4)</x:f>
      </x:c>
      <x:c r="CL1124" s="178" t="str">
        <x:f>IF(C1124="","",IF(COUNT(G1124:CB1124)&lt;74,"",(CC1124*'تنظیمات وزن‌دهی'!$C$5+CD1124*'تنظیمات وزن‌دهی'!$C$6+CE1124*'تنظیمات وزن‌دهی'!$C$7+CF1124*'تنظیمات وزن‌دهی'!$C$8+CG1124*'تنظیمات وزن‌دهی'!$C$9+CH1124*'تنظیمات وزن‌دهی'!$C$10+CI1124*'تنظیمات وزن‌دهی'!$C$11+CJ1124*'تنظیمات وزن‌دهی'!$C$12+CK1124*'تنظیمات وزن‌دهی'!$C$13)/100))</x:f>
      </x:c>
      <x:c r="CM1124" s="178" t="str">
        <x:f>IF(C1124="","",IF(COUNT(G1124:CB1124)=0,"",IF(COUNT(G1124:CB1124)&lt;74,"موقت - اطلاعات ناقص",IF(CL1124&gt;=17,"عالی",IF(CL1124&gt;=14,"خوب",IF(CL1124&gt;=10,"متوسط","ضعیف"))))))</x:f>
      </x:c>
      <x:c r="CN1124" s="178" t="n">
        <x:v>4</x:v>
      </x:c>
      <x:c r="CO1124" s="142" t="n">
        <x:f>IF(C1124="","",COUNT(G1124:CB1124)/74)</x:f>
        <x:v>0</x:v>
      </x:c>
      <x:c r="CP1124" s="245"/>
    </x:row>
    <x:row r="1125">
      <x:c r="A1125" s="165" t="n">
        <x:v>1121</x:v>
      </x:c>
      <x:c r="B1125" s="233" t="str">
        <x:v>آبان</x:v>
      </x:c>
      <x:c r="C1125" s="233" t="n">
        <x:f>IF('دانش‌آموزان'!E98="","",'دانش‌آموزان'!B98)</x:f>
        <x:v>94</x:v>
      </x:c>
      <x:c r="D1125" s="233" t="str">
        <x:f>IF('دانش‌آموزان'!C98="","",'دانش‌آموزان'!C98)</x:f>
        <x:v>4000000942</x:v>
      </x:c>
      <x:c r="E1125" s="233" t="str">
        <x:f>IF('دانش‌آموزان'!E98="","",'دانش‌آموزان'!E98&amp;" "&amp;'دانش‌آموزان'!F98)</x:f>
        <x:v>باران نوری</x:v>
      </x:c>
      <x:c r="F1125" s="166" t="str">
        <x:f>IF('دانش‌آموزان'!I98="","",'دانش‌آموزان'!I98)</x:f>
        <x:v>sample-7-d</x:v>
      </x:c>
      <x:c r="G1125" s="114"/>
      <x:c r="H1125" s="115"/>
      <x:c r="I1125" s="115"/>
      <x:c r="J1125" s="115"/>
      <x:c r="K1125" s="115"/>
      <x:c r="L1125" s="115"/>
      <x:c r="M1125" s="115"/>
      <x:c r="N1125" s="115"/>
      <x:c r="O1125" s="115"/>
      <x:c r="P1125" s="115"/>
      <x:c r="Q1125" s="115"/>
      <x:c r="R1125" s="115"/>
      <x:c r="S1125" s="115"/>
      <x:c r="T1125" s="115"/>
      <x:c r="U1125" s="115"/>
      <x:c r="V1125" s="115"/>
      <x:c r="W1125" s="115"/>
      <x:c r="X1125" s="115"/>
      <x:c r="Y1125" s="115"/>
      <x:c r="Z1125" s="115"/>
      <x:c r="AA1125" s="115"/>
      <x:c r="AB1125" s="115"/>
      <x:c r="AC1125" s="115"/>
      <x:c r="AD1125" s="115"/>
      <x:c r="AE1125" s="115"/>
      <x:c r="AF1125" s="115"/>
      <x:c r="AG1125" s="115"/>
      <x:c r="AH1125" s="115"/>
      <x:c r="AI1125" s="115"/>
      <x:c r="AJ1125" s="115"/>
      <x:c r="AK1125" s="115"/>
      <x:c r="AL1125" s="115"/>
      <x:c r="AM1125" s="115"/>
      <x:c r="AN1125" s="115"/>
      <x:c r="AO1125" s="115"/>
      <x:c r="AP1125" s="115"/>
      <x:c r="AQ1125" s="115"/>
      <x:c r="AR1125" s="115"/>
      <x:c r="AS1125" s="115"/>
      <x:c r="AT1125" s="115"/>
      <x:c r="AU1125" s="115"/>
      <x:c r="AV1125" s="115"/>
      <x:c r="AW1125" s="115"/>
      <x:c r="AX1125" s="115"/>
      <x:c r="AY1125" s="115"/>
      <x:c r="AZ1125" s="115"/>
      <x:c r="BA1125" s="115"/>
      <x:c r="BB1125" s="115"/>
      <x:c r="BC1125" s="115"/>
      <x:c r="BD1125" s="115"/>
      <x:c r="BE1125" s="115"/>
      <x:c r="BF1125" s="115"/>
      <x:c r="BG1125" s="115"/>
      <x:c r="BH1125" s="115"/>
      <x:c r="BI1125" s="115"/>
      <x:c r="BJ1125" s="115"/>
      <x:c r="BK1125" s="115"/>
      <x:c r="BL1125" s="115"/>
      <x:c r="BM1125" s="115"/>
      <x:c r="BN1125" s="115"/>
      <x:c r="BO1125" s="115"/>
      <x:c r="BP1125" s="115"/>
      <x:c r="BQ1125" s="115"/>
      <x:c r="BR1125" s="115"/>
      <x:c r="BS1125" s="115"/>
      <x:c r="BT1125" s="115"/>
      <x:c r="BU1125" s="115"/>
      <x:c r="BV1125" s="115"/>
      <x:c r="BW1125" s="115"/>
      <x:c r="BX1125" s="115"/>
      <x:c r="BY1125" s="115"/>
      <x:c r="BZ1125" s="115"/>
      <x:c r="CA1125" s="115"/>
      <x:c r="CB1125" s="116"/>
      <x:c r="CC1125" s="141" t="str">
        <x:f>IF(COUNT(G1125:P1125)=0,"",AVERAGE(G1125:P1125)*4)</x:f>
      </x:c>
      <x:c r="CD1125" s="178" t="str">
        <x:f>IF(COUNT(Q1125:Z1125)=0,"",AVERAGE(Q1125:Z1125)*4)</x:f>
      </x:c>
      <x:c r="CE1125" s="178" t="str">
        <x:f>IF(COUNT(AA1125:AJ1125)=0,"",AVERAGE(AA1125:AJ1125)*4)</x:f>
      </x:c>
      <x:c r="CF1125" s="178" t="str">
        <x:f>IF(COUNT(AK1125:AR1125)=0,"",AVERAGE(AK1125:AR1125)*4)</x:f>
      </x:c>
      <x:c r="CG1125" s="178" t="str">
        <x:f>IF(COUNT(AS1125:AY1125)=0,"",AVERAGE(AS1125:AY1125)*4)</x:f>
      </x:c>
      <x:c r="CH1125" s="178" t="str">
        <x:f>IF(COUNT(AZ1125:BG1125)=0,"",AVERAGE(AZ1125:BG1125)*4)</x:f>
      </x:c>
      <x:c r="CI1125" s="178" t="str">
        <x:f>IF(COUNT(BH1125:BN1125)=0,"",AVERAGE(BH1125:BN1125)*4)</x:f>
      </x:c>
      <x:c r="CJ1125" s="178" t="str">
        <x:f>IF(COUNT(BO1125:BU1125)=0,"",AVERAGE(BO1125:BU1125)*4)</x:f>
      </x:c>
      <x:c r="CK1125" s="178" t="str">
        <x:f>IF(COUNT(BV1125:CB1125)=0,"",AVERAGE(BV1125:CB1125)*4)</x:f>
      </x:c>
      <x:c r="CL1125" s="178" t="str">
        <x:f>IF(C1125="","",IF(COUNT(G1125:CB1125)&lt;74,"",(CC1125*'تنظیمات وزن‌دهی'!$C$5+CD1125*'تنظیمات وزن‌دهی'!$C$6+CE1125*'تنظیمات وزن‌دهی'!$C$7+CF1125*'تنظیمات وزن‌دهی'!$C$8+CG1125*'تنظیمات وزن‌دهی'!$C$9+CH1125*'تنظیمات وزن‌دهی'!$C$10+CI1125*'تنظیمات وزن‌دهی'!$C$11+CJ1125*'تنظیمات وزن‌دهی'!$C$12+CK1125*'تنظیمات وزن‌دهی'!$C$13)/100))</x:f>
      </x:c>
      <x:c r="CM1125" s="178" t="str">
        <x:f>IF(C1125="","",IF(COUNT(G1125:CB1125)=0,"",IF(COUNT(G1125:CB1125)&lt;74,"موقت - اطلاعات ناقص",IF(CL1125&gt;=17,"عالی",IF(CL1125&gt;=14,"خوب",IF(CL1125&gt;=10,"متوسط","ضعیف"))))))</x:f>
      </x:c>
      <x:c r="CN1125" s="178" t="n">
        <x:v>5</x:v>
      </x:c>
      <x:c r="CO1125" s="142" t="n">
        <x:f>IF(C1125="","",COUNT(G1125:CB1125)/74)</x:f>
        <x:v>0</x:v>
      </x:c>
      <x:c r="CP1125" s="245"/>
    </x:row>
    <x:row r="1126">
      <x:c r="A1126" s="165" t="n">
        <x:v>1122</x:v>
      </x:c>
      <x:c r="B1126" s="233" t="str">
        <x:v>آذر</x:v>
      </x:c>
      <x:c r="C1126" s="233" t="n">
        <x:f>IF('دانش‌آموزان'!E98="","",'دانش‌آموزان'!B98)</x:f>
        <x:v>94</x:v>
      </x:c>
      <x:c r="D1126" s="233" t="str">
        <x:f>IF('دانش‌آموزان'!C98="","",'دانش‌آموزان'!C98)</x:f>
        <x:v>4000000942</x:v>
      </x:c>
      <x:c r="E1126" s="233" t="str">
        <x:f>IF('دانش‌آموزان'!E98="","",'دانش‌آموزان'!E98&amp;" "&amp;'دانش‌آموزان'!F98)</x:f>
        <x:v>باران نوری</x:v>
      </x:c>
      <x:c r="F1126" s="166" t="str">
        <x:f>IF('دانش‌آموزان'!I98="","",'دانش‌آموزان'!I98)</x:f>
        <x:v>sample-7-d</x:v>
      </x:c>
      <x:c r="G1126" s="114"/>
      <x:c r="H1126" s="115"/>
      <x:c r="I1126" s="115"/>
      <x:c r="J1126" s="115"/>
      <x:c r="K1126" s="115"/>
      <x:c r="L1126" s="115"/>
      <x:c r="M1126" s="115"/>
      <x:c r="N1126" s="115"/>
      <x:c r="O1126" s="115"/>
      <x:c r="P1126" s="115"/>
      <x:c r="Q1126" s="115"/>
      <x:c r="R1126" s="115"/>
      <x:c r="S1126" s="115"/>
      <x:c r="T1126" s="115"/>
      <x:c r="U1126" s="115"/>
      <x:c r="V1126" s="115"/>
      <x:c r="W1126" s="115"/>
      <x:c r="X1126" s="115"/>
      <x:c r="Y1126" s="115"/>
      <x:c r="Z1126" s="115"/>
      <x:c r="AA1126" s="115"/>
      <x:c r="AB1126" s="115"/>
      <x:c r="AC1126" s="115"/>
      <x:c r="AD1126" s="115"/>
      <x:c r="AE1126" s="115"/>
      <x:c r="AF1126" s="115"/>
      <x:c r="AG1126" s="115"/>
      <x:c r="AH1126" s="115"/>
      <x:c r="AI1126" s="115"/>
      <x:c r="AJ1126" s="115"/>
      <x:c r="AK1126" s="115"/>
      <x:c r="AL1126" s="115"/>
      <x:c r="AM1126" s="115"/>
      <x:c r="AN1126" s="115"/>
      <x:c r="AO1126" s="115"/>
      <x:c r="AP1126" s="115"/>
      <x:c r="AQ1126" s="115"/>
      <x:c r="AR1126" s="115"/>
      <x:c r="AS1126" s="115"/>
      <x:c r="AT1126" s="115"/>
      <x:c r="AU1126" s="115"/>
      <x:c r="AV1126" s="115"/>
      <x:c r="AW1126" s="115"/>
      <x:c r="AX1126" s="115"/>
      <x:c r="AY1126" s="115"/>
      <x:c r="AZ1126" s="115"/>
      <x:c r="BA1126" s="115"/>
      <x:c r="BB1126" s="115"/>
      <x:c r="BC1126" s="115"/>
      <x:c r="BD1126" s="115"/>
      <x:c r="BE1126" s="115"/>
      <x:c r="BF1126" s="115"/>
      <x:c r="BG1126" s="115"/>
      <x:c r="BH1126" s="115"/>
      <x:c r="BI1126" s="115"/>
      <x:c r="BJ1126" s="115"/>
      <x:c r="BK1126" s="115"/>
      <x:c r="BL1126" s="115"/>
      <x:c r="BM1126" s="115"/>
      <x:c r="BN1126" s="115"/>
      <x:c r="BO1126" s="115"/>
      <x:c r="BP1126" s="115"/>
      <x:c r="BQ1126" s="115"/>
      <x:c r="BR1126" s="115"/>
      <x:c r="BS1126" s="115"/>
      <x:c r="BT1126" s="115"/>
      <x:c r="BU1126" s="115"/>
      <x:c r="BV1126" s="115"/>
      <x:c r="BW1126" s="115"/>
      <x:c r="BX1126" s="115"/>
      <x:c r="BY1126" s="115"/>
      <x:c r="BZ1126" s="115"/>
      <x:c r="CA1126" s="115"/>
      <x:c r="CB1126" s="116"/>
      <x:c r="CC1126" s="141" t="str">
        <x:f>IF(COUNT(G1126:P1126)=0,"",AVERAGE(G1126:P1126)*4)</x:f>
      </x:c>
      <x:c r="CD1126" s="178" t="str">
        <x:f>IF(COUNT(Q1126:Z1126)=0,"",AVERAGE(Q1126:Z1126)*4)</x:f>
      </x:c>
      <x:c r="CE1126" s="178" t="str">
        <x:f>IF(COUNT(AA1126:AJ1126)=0,"",AVERAGE(AA1126:AJ1126)*4)</x:f>
      </x:c>
      <x:c r="CF1126" s="178" t="str">
        <x:f>IF(COUNT(AK1126:AR1126)=0,"",AVERAGE(AK1126:AR1126)*4)</x:f>
      </x:c>
      <x:c r="CG1126" s="178" t="str">
        <x:f>IF(COUNT(AS1126:AY1126)=0,"",AVERAGE(AS1126:AY1126)*4)</x:f>
      </x:c>
      <x:c r="CH1126" s="178" t="str">
        <x:f>IF(COUNT(AZ1126:BG1126)=0,"",AVERAGE(AZ1126:BG1126)*4)</x:f>
      </x:c>
      <x:c r="CI1126" s="178" t="str">
        <x:f>IF(COUNT(BH1126:BN1126)=0,"",AVERAGE(BH1126:BN1126)*4)</x:f>
      </x:c>
      <x:c r="CJ1126" s="178" t="str">
        <x:f>IF(COUNT(BO1126:BU1126)=0,"",AVERAGE(BO1126:BU1126)*4)</x:f>
      </x:c>
      <x:c r="CK1126" s="178" t="str">
        <x:f>IF(COUNT(BV1126:CB1126)=0,"",AVERAGE(BV1126:CB1126)*4)</x:f>
      </x:c>
      <x:c r="CL1126" s="178" t="str">
        <x:f>IF(C1126="","",IF(COUNT(G1126:CB1126)&lt;74,"",(CC1126*'تنظیمات وزن‌دهی'!$C$5+CD1126*'تنظیمات وزن‌دهی'!$C$6+CE1126*'تنظیمات وزن‌دهی'!$C$7+CF1126*'تنظیمات وزن‌دهی'!$C$8+CG1126*'تنظیمات وزن‌دهی'!$C$9+CH1126*'تنظیمات وزن‌دهی'!$C$10+CI1126*'تنظیمات وزن‌دهی'!$C$11+CJ1126*'تنظیمات وزن‌دهی'!$C$12+CK1126*'تنظیمات وزن‌دهی'!$C$13)/100))</x:f>
      </x:c>
      <x:c r="CM1126" s="178" t="str">
        <x:f>IF(C1126="","",IF(COUNT(G1126:CB1126)=0,"",IF(COUNT(G1126:CB1126)&lt;74,"موقت - اطلاعات ناقص",IF(CL1126&gt;=17,"عالی",IF(CL1126&gt;=14,"خوب",IF(CL1126&gt;=10,"متوسط","ضعیف"))))))</x:f>
      </x:c>
      <x:c r="CN1126" s="178" t="n">
        <x:v>6</x:v>
      </x:c>
      <x:c r="CO1126" s="142" t="n">
        <x:f>IF(C1126="","",COUNT(G1126:CB1126)/74)</x:f>
        <x:v>0</x:v>
      </x:c>
      <x:c r="CP1126" s="245"/>
    </x:row>
    <x:row r="1127">
      <x:c r="A1127" s="165" t="n">
        <x:v>1123</x:v>
      </x:c>
      <x:c r="B1127" s="233" t="str">
        <x:v>دی</x:v>
      </x:c>
      <x:c r="C1127" s="233" t="n">
        <x:f>IF('دانش‌آموزان'!E98="","",'دانش‌آموزان'!B98)</x:f>
        <x:v>94</x:v>
      </x:c>
      <x:c r="D1127" s="233" t="str">
        <x:f>IF('دانش‌آموزان'!C98="","",'دانش‌آموزان'!C98)</x:f>
        <x:v>4000000942</x:v>
      </x:c>
      <x:c r="E1127" s="233" t="str">
        <x:f>IF('دانش‌آموزان'!E98="","",'دانش‌آموزان'!E98&amp;" "&amp;'دانش‌آموزان'!F98)</x:f>
        <x:v>باران نوری</x:v>
      </x:c>
      <x:c r="F1127" s="166" t="str">
        <x:f>IF('دانش‌آموزان'!I98="","",'دانش‌آموزان'!I98)</x:f>
        <x:v>sample-7-d</x:v>
      </x:c>
      <x:c r="G1127" s="114"/>
      <x:c r="H1127" s="115"/>
      <x:c r="I1127" s="115"/>
      <x:c r="J1127" s="115"/>
      <x:c r="K1127" s="115"/>
      <x:c r="L1127" s="115"/>
      <x:c r="M1127" s="115"/>
      <x:c r="N1127" s="115"/>
      <x:c r="O1127" s="115"/>
      <x:c r="P1127" s="115"/>
      <x:c r="Q1127" s="115"/>
      <x:c r="R1127" s="115"/>
      <x:c r="S1127" s="115"/>
      <x:c r="T1127" s="115"/>
      <x:c r="U1127" s="115"/>
      <x:c r="V1127" s="115"/>
      <x:c r="W1127" s="115"/>
      <x:c r="X1127" s="115"/>
      <x:c r="Y1127" s="115"/>
      <x:c r="Z1127" s="115"/>
      <x:c r="AA1127" s="115"/>
      <x:c r="AB1127" s="115"/>
      <x:c r="AC1127" s="115"/>
      <x:c r="AD1127" s="115"/>
      <x:c r="AE1127" s="115"/>
      <x:c r="AF1127" s="115"/>
      <x:c r="AG1127" s="115"/>
      <x:c r="AH1127" s="115"/>
      <x:c r="AI1127" s="115"/>
      <x:c r="AJ1127" s="115"/>
      <x:c r="AK1127" s="115"/>
      <x:c r="AL1127" s="115"/>
      <x:c r="AM1127" s="115"/>
      <x:c r="AN1127" s="115"/>
      <x:c r="AO1127" s="115"/>
      <x:c r="AP1127" s="115"/>
      <x:c r="AQ1127" s="115"/>
      <x:c r="AR1127" s="115"/>
      <x:c r="AS1127" s="115"/>
      <x:c r="AT1127" s="115"/>
      <x:c r="AU1127" s="115"/>
      <x:c r="AV1127" s="115"/>
      <x:c r="AW1127" s="115"/>
      <x:c r="AX1127" s="115"/>
      <x:c r="AY1127" s="115"/>
      <x:c r="AZ1127" s="115"/>
      <x:c r="BA1127" s="115"/>
      <x:c r="BB1127" s="115"/>
      <x:c r="BC1127" s="115"/>
      <x:c r="BD1127" s="115"/>
      <x:c r="BE1127" s="115"/>
      <x:c r="BF1127" s="115"/>
      <x:c r="BG1127" s="115"/>
      <x:c r="BH1127" s="115"/>
      <x:c r="BI1127" s="115"/>
      <x:c r="BJ1127" s="115"/>
      <x:c r="BK1127" s="115"/>
      <x:c r="BL1127" s="115"/>
      <x:c r="BM1127" s="115"/>
      <x:c r="BN1127" s="115"/>
      <x:c r="BO1127" s="115"/>
      <x:c r="BP1127" s="115"/>
      <x:c r="BQ1127" s="115"/>
      <x:c r="BR1127" s="115"/>
      <x:c r="BS1127" s="115"/>
      <x:c r="BT1127" s="115"/>
      <x:c r="BU1127" s="115"/>
      <x:c r="BV1127" s="115"/>
      <x:c r="BW1127" s="115"/>
      <x:c r="BX1127" s="115"/>
      <x:c r="BY1127" s="115"/>
      <x:c r="BZ1127" s="115"/>
      <x:c r="CA1127" s="115"/>
      <x:c r="CB1127" s="116"/>
      <x:c r="CC1127" s="141" t="str">
        <x:f>IF(COUNT(G1127:P1127)=0,"",AVERAGE(G1127:P1127)*4)</x:f>
      </x:c>
      <x:c r="CD1127" s="178" t="str">
        <x:f>IF(COUNT(Q1127:Z1127)=0,"",AVERAGE(Q1127:Z1127)*4)</x:f>
      </x:c>
      <x:c r="CE1127" s="178" t="str">
        <x:f>IF(COUNT(AA1127:AJ1127)=0,"",AVERAGE(AA1127:AJ1127)*4)</x:f>
      </x:c>
      <x:c r="CF1127" s="178" t="str">
        <x:f>IF(COUNT(AK1127:AR1127)=0,"",AVERAGE(AK1127:AR1127)*4)</x:f>
      </x:c>
      <x:c r="CG1127" s="178" t="str">
        <x:f>IF(COUNT(AS1127:AY1127)=0,"",AVERAGE(AS1127:AY1127)*4)</x:f>
      </x:c>
      <x:c r="CH1127" s="178" t="str">
        <x:f>IF(COUNT(AZ1127:BG1127)=0,"",AVERAGE(AZ1127:BG1127)*4)</x:f>
      </x:c>
      <x:c r="CI1127" s="178" t="str">
        <x:f>IF(COUNT(BH1127:BN1127)=0,"",AVERAGE(BH1127:BN1127)*4)</x:f>
      </x:c>
      <x:c r="CJ1127" s="178" t="str">
        <x:f>IF(COUNT(BO1127:BU1127)=0,"",AVERAGE(BO1127:BU1127)*4)</x:f>
      </x:c>
      <x:c r="CK1127" s="178" t="str">
        <x:f>IF(COUNT(BV1127:CB1127)=0,"",AVERAGE(BV1127:CB1127)*4)</x:f>
      </x:c>
      <x:c r="CL1127" s="178" t="str">
        <x:f>IF(C1127="","",IF(COUNT(G1127:CB1127)&lt;74,"",(CC1127*'تنظیمات وزن‌دهی'!$C$5+CD1127*'تنظیمات وزن‌دهی'!$C$6+CE1127*'تنظیمات وزن‌دهی'!$C$7+CF1127*'تنظیمات وزن‌دهی'!$C$8+CG1127*'تنظیمات وزن‌دهی'!$C$9+CH1127*'تنظیمات وزن‌دهی'!$C$10+CI1127*'تنظیمات وزن‌دهی'!$C$11+CJ1127*'تنظیمات وزن‌دهی'!$C$12+CK1127*'تنظیمات وزن‌دهی'!$C$13)/100))</x:f>
      </x:c>
      <x:c r="CM1127" s="178" t="str">
        <x:f>IF(C1127="","",IF(COUNT(G1127:CB1127)=0,"",IF(COUNT(G1127:CB1127)&lt;74,"موقت - اطلاعات ناقص",IF(CL1127&gt;=17,"عالی",IF(CL1127&gt;=14,"خوب",IF(CL1127&gt;=10,"متوسط","ضعیف"))))))</x:f>
      </x:c>
      <x:c r="CN1127" s="178" t="n">
        <x:v>7</x:v>
      </x:c>
      <x:c r="CO1127" s="142" t="n">
        <x:f>IF(C1127="","",COUNT(G1127:CB1127)/74)</x:f>
        <x:v>0</x:v>
      </x:c>
      <x:c r="CP1127" s="245"/>
    </x:row>
    <x:row r="1128">
      <x:c r="A1128" s="165" t="n">
        <x:v>1124</x:v>
      </x:c>
      <x:c r="B1128" s="233" t="str">
        <x:v>بهمن</x:v>
      </x:c>
      <x:c r="C1128" s="233" t="n">
        <x:f>IF('دانش‌آموزان'!E98="","",'دانش‌آموزان'!B98)</x:f>
        <x:v>94</x:v>
      </x:c>
      <x:c r="D1128" s="233" t="str">
        <x:f>IF('دانش‌آموزان'!C98="","",'دانش‌آموزان'!C98)</x:f>
        <x:v>4000000942</x:v>
      </x:c>
      <x:c r="E1128" s="233" t="str">
        <x:f>IF('دانش‌آموزان'!E98="","",'دانش‌آموزان'!E98&amp;" "&amp;'دانش‌آموزان'!F98)</x:f>
        <x:v>باران نوری</x:v>
      </x:c>
      <x:c r="F1128" s="166" t="str">
        <x:f>IF('دانش‌آموزان'!I98="","",'دانش‌آموزان'!I98)</x:f>
        <x:v>sample-7-d</x:v>
      </x:c>
      <x:c r="G1128" s="114"/>
      <x:c r="H1128" s="115"/>
      <x:c r="I1128" s="115"/>
      <x:c r="J1128" s="115"/>
      <x:c r="K1128" s="115"/>
      <x:c r="L1128" s="115"/>
      <x:c r="M1128" s="115"/>
      <x:c r="N1128" s="115"/>
      <x:c r="O1128" s="115"/>
      <x:c r="P1128" s="115"/>
      <x:c r="Q1128" s="115"/>
      <x:c r="R1128" s="115"/>
      <x:c r="S1128" s="115"/>
      <x:c r="T1128" s="115"/>
      <x:c r="U1128" s="115"/>
      <x:c r="V1128" s="115"/>
      <x:c r="W1128" s="115"/>
      <x:c r="X1128" s="115"/>
      <x:c r="Y1128" s="115"/>
      <x:c r="Z1128" s="115"/>
      <x:c r="AA1128" s="115"/>
      <x:c r="AB1128" s="115"/>
      <x:c r="AC1128" s="115"/>
      <x:c r="AD1128" s="115"/>
      <x:c r="AE1128" s="115"/>
      <x:c r="AF1128" s="115"/>
      <x:c r="AG1128" s="115"/>
      <x:c r="AH1128" s="115"/>
      <x:c r="AI1128" s="115"/>
      <x:c r="AJ1128" s="115"/>
      <x:c r="AK1128" s="115"/>
      <x:c r="AL1128" s="115"/>
      <x:c r="AM1128" s="115"/>
      <x:c r="AN1128" s="115"/>
      <x:c r="AO1128" s="115"/>
      <x:c r="AP1128" s="115"/>
      <x:c r="AQ1128" s="115"/>
      <x:c r="AR1128" s="115"/>
      <x:c r="AS1128" s="115"/>
      <x:c r="AT1128" s="115"/>
      <x:c r="AU1128" s="115"/>
      <x:c r="AV1128" s="115"/>
      <x:c r="AW1128" s="115"/>
      <x:c r="AX1128" s="115"/>
      <x:c r="AY1128" s="115"/>
      <x:c r="AZ1128" s="115"/>
      <x:c r="BA1128" s="115"/>
      <x:c r="BB1128" s="115"/>
      <x:c r="BC1128" s="115"/>
      <x:c r="BD1128" s="115"/>
      <x:c r="BE1128" s="115"/>
      <x:c r="BF1128" s="115"/>
      <x:c r="BG1128" s="115"/>
      <x:c r="BH1128" s="115"/>
      <x:c r="BI1128" s="115"/>
      <x:c r="BJ1128" s="115"/>
      <x:c r="BK1128" s="115"/>
      <x:c r="BL1128" s="115"/>
      <x:c r="BM1128" s="115"/>
      <x:c r="BN1128" s="115"/>
      <x:c r="BO1128" s="115"/>
      <x:c r="BP1128" s="115"/>
      <x:c r="BQ1128" s="115"/>
      <x:c r="BR1128" s="115"/>
      <x:c r="BS1128" s="115"/>
      <x:c r="BT1128" s="115"/>
      <x:c r="BU1128" s="115"/>
      <x:c r="BV1128" s="115"/>
      <x:c r="BW1128" s="115"/>
      <x:c r="BX1128" s="115"/>
      <x:c r="BY1128" s="115"/>
      <x:c r="BZ1128" s="115"/>
      <x:c r="CA1128" s="115"/>
      <x:c r="CB1128" s="116"/>
      <x:c r="CC1128" s="141" t="str">
        <x:f>IF(COUNT(G1128:P1128)=0,"",AVERAGE(G1128:P1128)*4)</x:f>
      </x:c>
      <x:c r="CD1128" s="178" t="str">
        <x:f>IF(COUNT(Q1128:Z1128)=0,"",AVERAGE(Q1128:Z1128)*4)</x:f>
      </x:c>
      <x:c r="CE1128" s="178" t="str">
        <x:f>IF(COUNT(AA1128:AJ1128)=0,"",AVERAGE(AA1128:AJ1128)*4)</x:f>
      </x:c>
      <x:c r="CF1128" s="178" t="str">
        <x:f>IF(COUNT(AK1128:AR1128)=0,"",AVERAGE(AK1128:AR1128)*4)</x:f>
      </x:c>
      <x:c r="CG1128" s="178" t="str">
        <x:f>IF(COUNT(AS1128:AY1128)=0,"",AVERAGE(AS1128:AY1128)*4)</x:f>
      </x:c>
      <x:c r="CH1128" s="178" t="str">
        <x:f>IF(COUNT(AZ1128:BG1128)=0,"",AVERAGE(AZ1128:BG1128)*4)</x:f>
      </x:c>
      <x:c r="CI1128" s="178" t="str">
        <x:f>IF(COUNT(BH1128:BN1128)=0,"",AVERAGE(BH1128:BN1128)*4)</x:f>
      </x:c>
      <x:c r="CJ1128" s="178" t="str">
        <x:f>IF(COUNT(BO1128:BU1128)=0,"",AVERAGE(BO1128:BU1128)*4)</x:f>
      </x:c>
      <x:c r="CK1128" s="178" t="str">
        <x:f>IF(COUNT(BV1128:CB1128)=0,"",AVERAGE(BV1128:CB1128)*4)</x:f>
      </x:c>
      <x:c r="CL1128" s="178" t="str">
        <x:f>IF(C1128="","",IF(COUNT(G1128:CB1128)&lt;74,"",(CC1128*'تنظیمات وزن‌دهی'!$C$5+CD1128*'تنظیمات وزن‌دهی'!$C$6+CE1128*'تنظیمات وزن‌دهی'!$C$7+CF1128*'تنظیمات وزن‌دهی'!$C$8+CG1128*'تنظیمات وزن‌دهی'!$C$9+CH1128*'تنظیمات وزن‌دهی'!$C$10+CI1128*'تنظیمات وزن‌دهی'!$C$11+CJ1128*'تنظیمات وزن‌دهی'!$C$12+CK1128*'تنظیمات وزن‌دهی'!$C$13)/100))</x:f>
      </x:c>
      <x:c r="CM1128" s="178" t="str">
        <x:f>IF(C1128="","",IF(COUNT(G1128:CB1128)=0,"",IF(COUNT(G1128:CB1128)&lt;74,"موقت - اطلاعات ناقص",IF(CL1128&gt;=17,"عالی",IF(CL1128&gt;=14,"خوب",IF(CL1128&gt;=10,"متوسط","ضعیف"))))))</x:f>
      </x:c>
      <x:c r="CN1128" s="178" t="n">
        <x:v>8</x:v>
      </x:c>
      <x:c r="CO1128" s="142" t="n">
        <x:f>IF(C1128="","",COUNT(G1128:CB1128)/74)</x:f>
        <x:v>0</x:v>
      </x:c>
      <x:c r="CP1128" s="245"/>
    </x:row>
    <x:row r="1129">
      <x:c r="A1129" s="165" t="n">
        <x:v>1125</x:v>
      </x:c>
      <x:c r="B1129" s="233" t="str">
        <x:v>اسفند</x:v>
      </x:c>
      <x:c r="C1129" s="233" t="n">
        <x:f>IF('دانش‌آموزان'!E98="","",'دانش‌آموزان'!B98)</x:f>
        <x:v>94</x:v>
      </x:c>
      <x:c r="D1129" s="233" t="str">
        <x:f>IF('دانش‌آموزان'!C98="","",'دانش‌آموزان'!C98)</x:f>
        <x:v>4000000942</x:v>
      </x:c>
      <x:c r="E1129" s="233" t="str">
        <x:f>IF('دانش‌آموزان'!E98="","",'دانش‌آموزان'!E98&amp;" "&amp;'دانش‌آموزان'!F98)</x:f>
        <x:v>باران نوری</x:v>
      </x:c>
      <x:c r="F1129" s="166" t="str">
        <x:f>IF('دانش‌آموزان'!I98="","",'دانش‌آموزان'!I98)</x:f>
        <x:v>sample-7-d</x:v>
      </x:c>
      <x:c r="G1129" s="114"/>
      <x:c r="H1129" s="115"/>
      <x:c r="I1129" s="115"/>
      <x:c r="J1129" s="115"/>
      <x:c r="K1129" s="115"/>
      <x:c r="L1129" s="115"/>
      <x:c r="M1129" s="115"/>
      <x:c r="N1129" s="115"/>
      <x:c r="O1129" s="115"/>
      <x:c r="P1129" s="115"/>
      <x:c r="Q1129" s="115"/>
      <x:c r="R1129" s="115"/>
      <x:c r="S1129" s="115"/>
      <x:c r="T1129" s="115"/>
      <x:c r="U1129" s="115"/>
      <x:c r="V1129" s="115"/>
      <x:c r="W1129" s="115"/>
      <x:c r="X1129" s="115"/>
      <x:c r="Y1129" s="115"/>
      <x:c r="Z1129" s="115"/>
      <x:c r="AA1129" s="115"/>
      <x:c r="AB1129" s="115"/>
      <x:c r="AC1129" s="115"/>
      <x:c r="AD1129" s="115"/>
      <x:c r="AE1129" s="115"/>
      <x:c r="AF1129" s="115"/>
      <x:c r="AG1129" s="115"/>
      <x:c r="AH1129" s="115"/>
      <x:c r="AI1129" s="115"/>
      <x:c r="AJ1129" s="115"/>
      <x:c r="AK1129" s="115"/>
      <x:c r="AL1129" s="115"/>
      <x:c r="AM1129" s="115"/>
      <x:c r="AN1129" s="115"/>
      <x:c r="AO1129" s="115"/>
      <x:c r="AP1129" s="115"/>
      <x:c r="AQ1129" s="115"/>
      <x:c r="AR1129" s="115"/>
      <x:c r="AS1129" s="115"/>
      <x:c r="AT1129" s="115"/>
      <x:c r="AU1129" s="115"/>
      <x:c r="AV1129" s="115"/>
      <x:c r="AW1129" s="115"/>
      <x:c r="AX1129" s="115"/>
      <x:c r="AY1129" s="115"/>
      <x:c r="AZ1129" s="115"/>
      <x:c r="BA1129" s="115"/>
      <x:c r="BB1129" s="115"/>
      <x:c r="BC1129" s="115"/>
      <x:c r="BD1129" s="115"/>
      <x:c r="BE1129" s="115"/>
      <x:c r="BF1129" s="115"/>
      <x:c r="BG1129" s="115"/>
      <x:c r="BH1129" s="115"/>
      <x:c r="BI1129" s="115"/>
      <x:c r="BJ1129" s="115"/>
      <x:c r="BK1129" s="115"/>
      <x:c r="BL1129" s="115"/>
      <x:c r="BM1129" s="115"/>
      <x:c r="BN1129" s="115"/>
      <x:c r="BO1129" s="115"/>
      <x:c r="BP1129" s="115"/>
      <x:c r="BQ1129" s="115"/>
      <x:c r="BR1129" s="115"/>
      <x:c r="BS1129" s="115"/>
      <x:c r="BT1129" s="115"/>
      <x:c r="BU1129" s="115"/>
      <x:c r="BV1129" s="115"/>
      <x:c r="BW1129" s="115"/>
      <x:c r="BX1129" s="115"/>
      <x:c r="BY1129" s="115"/>
      <x:c r="BZ1129" s="115"/>
      <x:c r="CA1129" s="115"/>
      <x:c r="CB1129" s="116"/>
      <x:c r="CC1129" s="141" t="str">
        <x:f>IF(COUNT(G1129:P1129)=0,"",AVERAGE(G1129:P1129)*4)</x:f>
      </x:c>
      <x:c r="CD1129" s="178" t="str">
        <x:f>IF(COUNT(Q1129:Z1129)=0,"",AVERAGE(Q1129:Z1129)*4)</x:f>
      </x:c>
      <x:c r="CE1129" s="178" t="str">
        <x:f>IF(COUNT(AA1129:AJ1129)=0,"",AVERAGE(AA1129:AJ1129)*4)</x:f>
      </x:c>
      <x:c r="CF1129" s="178" t="str">
        <x:f>IF(COUNT(AK1129:AR1129)=0,"",AVERAGE(AK1129:AR1129)*4)</x:f>
      </x:c>
      <x:c r="CG1129" s="178" t="str">
        <x:f>IF(COUNT(AS1129:AY1129)=0,"",AVERAGE(AS1129:AY1129)*4)</x:f>
      </x:c>
      <x:c r="CH1129" s="178" t="str">
        <x:f>IF(COUNT(AZ1129:BG1129)=0,"",AVERAGE(AZ1129:BG1129)*4)</x:f>
      </x:c>
      <x:c r="CI1129" s="178" t="str">
        <x:f>IF(COUNT(BH1129:BN1129)=0,"",AVERAGE(BH1129:BN1129)*4)</x:f>
      </x:c>
      <x:c r="CJ1129" s="178" t="str">
        <x:f>IF(COUNT(BO1129:BU1129)=0,"",AVERAGE(BO1129:BU1129)*4)</x:f>
      </x:c>
      <x:c r="CK1129" s="178" t="str">
        <x:f>IF(COUNT(BV1129:CB1129)=0,"",AVERAGE(BV1129:CB1129)*4)</x:f>
      </x:c>
      <x:c r="CL1129" s="178" t="str">
        <x:f>IF(C1129="","",IF(COUNT(G1129:CB1129)&lt;74,"",(CC1129*'تنظیمات وزن‌دهی'!$C$5+CD1129*'تنظیمات وزن‌دهی'!$C$6+CE1129*'تنظیمات وزن‌دهی'!$C$7+CF1129*'تنظیمات وزن‌دهی'!$C$8+CG1129*'تنظیمات وزن‌دهی'!$C$9+CH1129*'تنظیمات وزن‌دهی'!$C$10+CI1129*'تنظیمات وزن‌دهی'!$C$11+CJ1129*'تنظیمات وزن‌دهی'!$C$12+CK1129*'تنظیمات وزن‌دهی'!$C$13)/100))</x:f>
      </x:c>
      <x:c r="CM1129" s="178" t="str">
        <x:f>IF(C1129="","",IF(COUNT(G1129:CB1129)=0,"",IF(COUNT(G1129:CB1129)&lt;74,"موقت - اطلاعات ناقص",IF(CL1129&gt;=17,"عالی",IF(CL1129&gt;=14,"خوب",IF(CL1129&gt;=10,"متوسط","ضعیف"))))))</x:f>
      </x:c>
      <x:c r="CN1129" s="178" t="n">
        <x:v>9</x:v>
      </x:c>
      <x:c r="CO1129" s="142" t="n">
        <x:f>IF(C1129="","",COUNT(G1129:CB1129)/74)</x:f>
        <x:v>0</x:v>
      </x:c>
      <x:c r="CP1129" s="245"/>
    </x:row>
    <x:row r="1130">
      <x:c r="A1130" s="165" t="n">
        <x:v>1126</x:v>
      </x:c>
      <x:c r="B1130" s="233" t="str">
        <x:v>فروردین</x:v>
      </x:c>
      <x:c r="C1130" s="233" t="n">
        <x:f>IF('دانش‌آموزان'!E98="","",'دانش‌آموزان'!B98)</x:f>
        <x:v>94</x:v>
      </x:c>
      <x:c r="D1130" s="233" t="str">
        <x:f>IF('دانش‌آموزان'!C98="","",'دانش‌آموزان'!C98)</x:f>
        <x:v>4000000942</x:v>
      </x:c>
      <x:c r="E1130" s="233" t="str">
        <x:f>IF('دانش‌آموزان'!E98="","",'دانش‌آموزان'!E98&amp;" "&amp;'دانش‌آموزان'!F98)</x:f>
        <x:v>باران نوری</x:v>
      </x:c>
      <x:c r="F1130" s="166" t="str">
        <x:f>IF('دانش‌آموزان'!I98="","",'دانش‌آموزان'!I98)</x:f>
        <x:v>sample-7-d</x:v>
      </x:c>
      <x:c r="G1130" s="114"/>
      <x:c r="H1130" s="115"/>
      <x:c r="I1130" s="115"/>
      <x:c r="J1130" s="115"/>
      <x:c r="K1130" s="115"/>
      <x:c r="L1130" s="115"/>
      <x:c r="M1130" s="115"/>
      <x:c r="N1130" s="115"/>
      <x:c r="O1130" s="115"/>
      <x:c r="P1130" s="115"/>
      <x:c r="Q1130" s="115"/>
      <x:c r="R1130" s="115"/>
      <x:c r="S1130" s="115"/>
      <x:c r="T1130" s="115"/>
      <x:c r="U1130" s="115"/>
      <x:c r="V1130" s="115"/>
      <x:c r="W1130" s="115"/>
      <x:c r="X1130" s="115"/>
      <x:c r="Y1130" s="115"/>
      <x:c r="Z1130" s="115"/>
      <x:c r="AA1130" s="115"/>
      <x:c r="AB1130" s="115"/>
      <x:c r="AC1130" s="115"/>
      <x:c r="AD1130" s="115"/>
      <x:c r="AE1130" s="115"/>
      <x:c r="AF1130" s="115"/>
      <x:c r="AG1130" s="115"/>
      <x:c r="AH1130" s="115"/>
      <x:c r="AI1130" s="115"/>
      <x:c r="AJ1130" s="115"/>
      <x:c r="AK1130" s="115"/>
      <x:c r="AL1130" s="115"/>
      <x:c r="AM1130" s="115"/>
      <x:c r="AN1130" s="115"/>
      <x:c r="AO1130" s="115"/>
      <x:c r="AP1130" s="115"/>
      <x:c r="AQ1130" s="115"/>
      <x:c r="AR1130" s="115"/>
      <x:c r="AS1130" s="115"/>
      <x:c r="AT1130" s="115"/>
      <x:c r="AU1130" s="115"/>
      <x:c r="AV1130" s="115"/>
      <x:c r="AW1130" s="115"/>
      <x:c r="AX1130" s="115"/>
      <x:c r="AY1130" s="115"/>
      <x:c r="AZ1130" s="115"/>
      <x:c r="BA1130" s="115"/>
      <x:c r="BB1130" s="115"/>
      <x:c r="BC1130" s="115"/>
      <x:c r="BD1130" s="115"/>
      <x:c r="BE1130" s="115"/>
      <x:c r="BF1130" s="115"/>
      <x:c r="BG1130" s="115"/>
      <x:c r="BH1130" s="115"/>
      <x:c r="BI1130" s="115"/>
      <x:c r="BJ1130" s="115"/>
      <x:c r="BK1130" s="115"/>
      <x:c r="BL1130" s="115"/>
      <x:c r="BM1130" s="115"/>
      <x:c r="BN1130" s="115"/>
      <x:c r="BO1130" s="115"/>
      <x:c r="BP1130" s="115"/>
      <x:c r="BQ1130" s="115"/>
      <x:c r="BR1130" s="115"/>
      <x:c r="BS1130" s="115"/>
      <x:c r="BT1130" s="115"/>
      <x:c r="BU1130" s="115"/>
      <x:c r="BV1130" s="115"/>
      <x:c r="BW1130" s="115"/>
      <x:c r="BX1130" s="115"/>
      <x:c r="BY1130" s="115"/>
      <x:c r="BZ1130" s="115"/>
      <x:c r="CA1130" s="115"/>
      <x:c r="CB1130" s="116"/>
      <x:c r="CC1130" s="141" t="str">
        <x:f>IF(COUNT(G1130:P1130)=0,"",AVERAGE(G1130:P1130)*4)</x:f>
      </x:c>
      <x:c r="CD1130" s="178" t="str">
        <x:f>IF(COUNT(Q1130:Z1130)=0,"",AVERAGE(Q1130:Z1130)*4)</x:f>
      </x:c>
      <x:c r="CE1130" s="178" t="str">
        <x:f>IF(COUNT(AA1130:AJ1130)=0,"",AVERAGE(AA1130:AJ1130)*4)</x:f>
      </x:c>
      <x:c r="CF1130" s="178" t="str">
        <x:f>IF(COUNT(AK1130:AR1130)=0,"",AVERAGE(AK1130:AR1130)*4)</x:f>
      </x:c>
      <x:c r="CG1130" s="178" t="str">
        <x:f>IF(COUNT(AS1130:AY1130)=0,"",AVERAGE(AS1130:AY1130)*4)</x:f>
      </x:c>
      <x:c r="CH1130" s="178" t="str">
        <x:f>IF(COUNT(AZ1130:BG1130)=0,"",AVERAGE(AZ1130:BG1130)*4)</x:f>
      </x:c>
      <x:c r="CI1130" s="178" t="str">
        <x:f>IF(COUNT(BH1130:BN1130)=0,"",AVERAGE(BH1130:BN1130)*4)</x:f>
      </x:c>
      <x:c r="CJ1130" s="178" t="str">
        <x:f>IF(COUNT(BO1130:BU1130)=0,"",AVERAGE(BO1130:BU1130)*4)</x:f>
      </x:c>
      <x:c r="CK1130" s="178" t="str">
        <x:f>IF(COUNT(BV1130:CB1130)=0,"",AVERAGE(BV1130:CB1130)*4)</x:f>
      </x:c>
      <x:c r="CL1130" s="178" t="str">
        <x:f>IF(C1130="","",IF(COUNT(G1130:CB1130)&lt;74,"",(CC1130*'تنظیمات وزن‌دهی'!$C$5+CD1130*'تنظیمات وزن‌دهی'!$C$6+CE1130*'تنظیمات وزن‌دهی'!$C$7+CF1130*'تنظیمات وزن‌دهی'!$C$8+CG1130*'تنظیمات وزن‌دهی'!$C$9+CH1130*'تنظیمات وزن‌دهی'!$C$10+CI1130*'تنظیمات وزن‌دهی'!$C$11+CJ1130*'تنظیمات وزن‌دهی'!$C$12+CK1130*'تنظیمات وزن‌دهی'!$C$13)/100))</x:f>
      </x:c>
      <x:c r="CM1130" s="178" t="str">
        <x:f>IF(C1130="","",IF(COUNT(G1130:CB1130)=0,"",IF(COUNT(G1130:CB1130)&lt;74,"موقت - اطلاعات ناقص",IF(CL1130&gt;=17,"عالی",IF(CL1130&gt;=14,"خوب",IF(CL1130&gt;=10,"متوسط","ضعیف"))))))</x:f>
      </x:c>
      <x:c r="CN1130" s="178" t="n">
        <x:v>10</x:v>
      </x:c>
      <x:c r="CO1130" s="142" t="n">
        <x:f>IF(C1130="","",COUNT(G1130:CB1130)/74)</x:f>
        <x:v>0</x:v>
      </x:c>
      <x:c r="CP1130" s="245"/>
    </x:row>
    <x:row r="1131">
      <x:c r="A1131" s="165" t="n">
        <x:v>1127</x:v>
      </x:c>
      <x:c r="B1131" s="233" t="str">
        <x:v>اردیبهشت</x:v>
      </x:c>
      <x:c r="C1131" s="233" t="n">
        <x:f>IF('دانش‌آموزان'!E98="","",'دانش‌آموزان'!B98)</x:f>
        <x:v>94</x:v>
      </x:c>
      <x:c r="D1131" s="233" t="str">
        <x:f>IF('دانش‌آموزان'!C98="","",'دانش‌آموزان'!C98)</x:f>
        <x:v>4000000942</x:v>
      </x:c>
      <x:c r="E1131" s="233" t="str">
        <x:f>IF('دانش‌آموزان'!E98="","",'دانش‌آموزان'!E98&amp;" "&amp;'دانش‌آموزان'!F98)</x:f>
        <x:v>باران نوری</x:v>
      </x:c>
      <x:c r="F1131" s="166" t="str">
        <x:f>IF('دانش‌آموزان'!I98="","",'دانش‌آموزان'!I98)</x:f>
        <x:v>sample-7-d</x:v>
      </x:c>
      <x:c r="G1131" s="114"/>
      <x:c r="H1131" s="115"/>
      <x:c r="I1131" s="115"/>
      <x:c r="J1131" s="115"/>
      <x:c r="K1131" s="115"/>
      <x:c r="L1131" s="115"/>
      <x:c r="M1131" s="115"/>
      <x:c r="N1131" s="115"/>
      <x:c r="O1131" s="115"/>
      <x:c r="P1131" s="115"/>
      <x:c r="Q1131" s="115"/>
      <x:c r="R1131" s="115"/>
      <x:c r="S1131" s="115"/>
      <x:c r="T1131" s="115"/>
      <x:c r="U1131" s="115"/>
      <x:c r="V1131" s="115"/>
      <x:c r="W1131" s="115"/>
      <x:c r="X1131" s="115"/>
      <x:c r="Y1131" s="115"/>
      <x:c r="Z1131" s="115"/>
      <x:c r="AA1131" s="115"/>
      <x:c r="AB1131" s="115"/>
      <x:c r="AC1131" s="115"/>
      <x:c r="AD1131" s="115"/>
      <x:c r="AE1131" s="115"/>
      <x:c r="AF1131" s="115"/>
      <x:c r="AG1131" s="115"/>
      <x:c r="AH1131" s="115"/>
      <x:c r="AI1131" s="115"/>
      <x:c r="AJ1131" s="115"/>
      <x:c r="AK1131" s="115"/>
      <x:c r="AL1131" s="115"/>
      <x:c r="AM1131" s="115"/>
      <x:c r="AN1131" s="115"/>
      <x:c r="AO1131" s="115"/>
      <x:c r="AP1131" s="115"/>
      <x:c r="AQ1131" s="115"/>
      <x:c r="AR1131" s="115"/>
      <x:c r="AS1131" s="115"/>
      <x:c r="AT1131" s="115"/>
      <x:c r="AU1131" s="115"/>
      <x:c r="AV1131" s="115"/>
      <x:c r="AW1131" s="115"/>
      <x:c r="AX1131" s="115"/>
      <x:c r="AY1131" s="115"/>
      <x:c r="AZ1131" s="115"/>
      <x:c r="BA1131" s="115"/>
      <x:c r="BB1131" s="115"/>
      <x:c r="BC1131" s="115"/>
      <x:c r="BD1131" s="115"/>
      <x:c r="BE1131" s="115"/>
      <x:c r="BF1131" s="115"/>
      <x:c r="BG1131" s="115"/>
      <x:c r="BH1131" s="115"/>
      <x:c r="BI1131" s="115"/>
      <x:c r="BJ1131" s="115"/>
      <x:c r="BK1131" s="115"/>
      <x:c r="BL1131" s="115"/>
      <x:c r="BM1131" s="115"/>
      <x:c r="BN1131" s="115"/>
      <x:c r="BO1131" s="115"/>
      <x:c r="BP1131" s="115"/>
      <x:c r="BQ1131" s="115"/>
      <x:c r="BR1131" s="115"/>
      <x:c r="BS1131" s="115"/>
      <x:c r="BT1131" s="115"/>
      <x:c r="BU1131" s="115"/>
      <x:c r="BV1131" s="115"/>
      <x:c r="BW1131" s="115"/>
      <x:c r="BX1131" s="115"/>
      <x:c r="BY1131" s="115"/>
      <x:c r="BZ1131" s="115"/>
      <x:c r="CA1131" s="115"/>
      <x:c r="CB1131" s="116"/>
      <x:c r="CC1131" s="141" t="str">
        <x:f>IF(COUNT(G1131:P1131)=0,"",AVERAGE(G1131:P1131)*4)</x:f>
      </x:c>
      <x:c r="CD1131" s="178" t="str">
        <x:f>IF(COUNT(Q1131:Z1131)=0,"",AVERAGE(Q1131:Z1131)*4)</x:f>
      </x:c>
      <x:c r="CE1131" s="178" t="str">
        <x:f>IF(COUNT(AA1131:AJ1131)=0,"",AVERAGE(AA1131:AJ1131)*4)</x:f>
      </x:c>
      <x:c r="CF1131" s="178" t="str">
        <x:f>IF(COUNT(AK1131:AR1131)=0,"",AVERAGE(AK1131:AR1131)*4)</x:f>
      </x:c>
      <x:c r="CG1131" s="178" t="str">
        <x:f>IF(COUNT(AS1131:AY1131)=0,"",AVERAGE(AS1131:AY1131)*4)</x:f>
      </x:c>
      <x:c r="CH1131" s="178" t="str">
        <x:f>IF(COUNT(AZ1131:BG1131)=0,"",AVERAGE(AZ1131:BG1131)*4)</x:f>
      </x:c>
      <x:c r="CI1131" s="178" t="str">
        <x:f>IF(COUNT(BH1131:BN1131)=0,"",AVERAGE(BH1131:BN1131)*4)</x:f>
      </x:c>
      <x:c r="CJ1131" s="178" t="str">
        <x:f>IF(COUNT(BO1131:BU1131)=0,"",AVERAGE(BO1131:BU1131)*4)</x:f>
      </x:c>
      <x:c r="CK1131" s="178" t="str">
        <x:f>IF(COUNT(BV1131:CB1131)=0,"",AVERAGE(BV1131:CB1131)*4)</x:f>
      </x:c>
      <x:c r="CL1131" s="178" t="str">
        <x:f>IF(C1131="","",IF(COUNT(G1131:CB1131)&lt;74,"",(CC1131*'تنظیمات وزن‌دهی'!$C$5+CD1131*'تنظیمات وزن‌دهی'!$C$6+CE1131*'تنظیمات وزن‌دهی'!$C$7+CF1131*'تنظیمات وزن‌دهی'!$C$8+CG1131*'تنظیمات وزن‌دهی'!$C$9+CH1131*'تنظیمات وزن‌دهی'!$C$10+CI1131*'تنظیمات وزن‌دهی'!$C$11+CJ1131*'تنظیمات وزن‌دهی'!$C$12+CK1131*'تنظیمات وزن‌دهی'!$C$13)/100))</x:f>
      </x:c>
      <x:c r="CM1131" s="178" t="str">
        <x:f>IF(C1131="","",IF(COUNT(G1131:CB1131)=0,"",IF(COUNT(G1131:CB1131)&lt;74,"موقت - اطلاعات ناقص",IF(CL1131&gt;=17,"عالی",IF(CL1131&gt;=14,"خوب",IF(CL1131&gt;=10,"متوسط","ضعیف"))))))</x:f>
      </x:c>
      <x:c r="CN1131" s="178" t="n">
        <x:v>11</x:v>
      </x:c>
      <x:c r="CO1131" s="142" t="n">
        <x:f>IF(C1131="","",COUNT(G1131:CB1131)/74)</x:f>
        <x:v>0</x:v>
      </x:c>
      <x:c r="CP1131" s="245"/>
    </x:row>
    <x:row r="1132">
      <x:c r="A1132" s="165" t="n">
        <x:v>1128</x:v>
      </x:c>
      <x:c r="B1132" s="233" t="str">
        <x:v>خرداد</x:v>
      </x:c>
      <x:c r="C1132" s="233" t="n">
        <x:f>IF('دانش‌آموزان'!E98="","",'دانش‌آموزان'!B98)</x:f>
        <x:v>94</x:v>
      </x:c>
      <x:c r="D1132" s="233" t="str">
        <x:f>IF('دانش‌آموزان'!C98="","",'دانش‌آموزان'!C98)</x:f>
        <x:v>4000000942</x:v>
      </x:c>
      <x:c r="E1132" s="233" t="str">
        <x:f>IF('دانش‌آموزان'!E98="","",'دانش‌آموزان'!E98&amp;" "&amp;'دانش‌آموزان'!F98)</x:f>
        <x:v>باران نوری</x:v>
      </x:c>
      <x:c r="F1132" s="166" t="str">
        <x:f>IF('دانش‌آموزان'!I98="","",'دانش‌آموزان'!I98)</x:f>
        <x:v>sample-7-d</x:v>
      </x:c>
      <x:c r="G1132" s="114"/>
      <x:c r="H1132" s="115"/>
      <x:c r="I1132" s="115"/>
      <x:c r="J1132" s="115"/>
      <x:c r="K1132" s="115"/>
      <x:c r="L1132" s="115"/>
      <x:c r="M1132" s="115"/>
      <x:c r="N1132" s="115"/>
      <x:c r="O1132" s="115"/>
      <x:c r="P1132" s="115"/>
      <x:c r="Q1132" s="115"/>
      <x:c r="R1132" s="115"/>
      <x:c r="S1132" s="115"/>
      <x:c r="T1132" s="115"/>
      <x:c r="U1132" s="115"/>
      <x:c r="V1132" s="115"/>
      <x:c r="W1132" s="115"/>
      <x:c r="X1132" s="115"/>
      <x:c r="Y1132" s="115"/>
      <x:c r="Z1132" s="115"/>
      <x:c r="AA1132" s="115"/>
      <x:c r="AB1132" s="115"/>
      <x:c r="AC1132" s="115"/>
      <x:c r="AD1132" s="115"/>
      <x:c r="AE1132" s="115"/>
      <x:c r="AF1132" s="115"/>
      <x:c r="AG1132" s="115"/>
      <x:c r="AH1132" s="115"/>
      <x:c r="AI1132" s="115"/>
      <x:c r="AJ1132" s="115"/>
      <x:c r="AK1132" s="115"/>
      <x:c r="AL1132" s="115"/>
      <x:c r="AM1132" s="115"/>
      <x:c r="AN1132" s="115"/>
      <x:c r="AO1132" s="115"/>
      <x:c r="AP1132" s="115"/>
      <x:c r="AQ1132" s="115"/>
      <x:c r="AR1132" s="115"/>
      <x:c r="AS1132" s="115"/>
      <x:c r="AT1132" s="115"/>
      <x:c r="AU1132" s="115"/>
      <x:c r="AV1132" s="115"/>
      <x:c r="AW1132" s="115"/>
      <x:c r="AX1132" s="115"/>
      <x:c r="AY1132" s="115"/>
      <x:c r="AZ1132" s="115"/>
      <x:c r="BA1132" s="115"/>
      <x:c r="BB1132" s="115"/>
      <x:c r="BC1132" s="115"/>
      <x:c r="BD1132" s="115"/>
      <x:c r="BE1132" s="115"/>
      <x:c r="BF1132" s="115"/>
      <x:c r="BG1132" s="115"/>
      <x:c r="BH1132" s="115"/>
      <x:c r="BI1132" s="115"/>
      <x:c r="BJ1132" s="115"/>
      <x:c r="BK1132" s="115"/>
      <x:c r="BL1132" s="115"/>
      <x:c r="BM1132" s="115"/>
      <x:c r="BN1132" s="115"/>
      <x:c r="BO1132" s="115"/>
      <x:c r="BP1132" s="115"/>
      <x:c r="BQ1132" s="115"/>
      <x:c r="BR1132" s="115"/>
      <x:c r="BS1132" s="115"/>
      <x:c r="BT1132" s="115"/>
      <x:c r="BU1132" s="115"/>
      <x:c r="BV1132" s="115"/>
      <x:c r="BW1132" s="115"/>
      <x:c r="BX1132" s="115"/>
      <x:c r="BY1132" s="115"/>
      <x:c r="BZ1132" s="115"/>
      <x:c r="CA1132" s="115"/>
      <x:c r="CB1132" s="116"/>
      <x:c r="CC1132" s="141" t="str">
        <x:f>IF(COUNT(G1132:P1132)=0,"",AVERAGE(G1132:P1132)*4)</x:f>
      </x:c>
      <x:c r="CD1132" s="178" t="str">
        <x:f>IF(COUNT(Q1132:Z1132)=0,"",AVERAGE(Q1132:Z1132)*4)</x:f>
      </x:c>
      <x:c r="CE1132" s="178" t="str">
        <x:f>IF(COUNT(AA1132:AJ1132)=0,"",AVERAGE(AA1132:AJ1132)*4)</x:f>
      </x:c>
      <x:c r="CF1132" s="178" t="str">
        <x:f>IF(COUNT(AK1132:AR1132)=0,"",AVERAGE(AK1132:AR1132)*4)</x:f>
      </x:c>
      <x:c r="CG1132" s="178" t="str">
        <x:f>IF(COUNT(AS1132:AY1132)=0,"",AVERAGE(AS1132:AY1132)*4)</x:f>
      </x:c>
      <x:c r="CH1132" s="178" t="str">
        <x:f>IF(COUNT(AZ1132:BG1132)=0,"",AVERAGE(AZ1132:BG1132)*4)</x:f>
      </x:c>
      <x:c r="CI1132" s="178" t="str">
        <x:f>IF(COUNT(BH1132:BN1132)=0,"",AVERAGE(BH1132:BN1132)*4)</x:f>
      </x:c>
      <x:c r="CJ1132" s="178" t="str">
        <x:f>IF(COUNT(BO1132:BU1132)=0,"",AVERAGE(BO1132:BU1132)*4)</x:f>
      </x:c>
      <x:c r="CK1132" s="178" t="str">
        <x:f>IF(COUNT(BV1132:CB1132)=0,"",AVERAGE(BV1132:CB1132)*4)</x:f>
      </x:c>
      <x:c r="CL1132" s="178" t="str">
        <x:f>IF(C1132="","",IF(COUNT(G1132:CB1132)&lt;74,"",(CC1132*'تنظیمات وزن‌دهی'!$C$5+CD1132*'تنظیمات وزن‌دهی'!$C$6+CE1132*'تنظیمات وزن‌دهی'!$C$7+CF1132*'تنظیمات وزن‌دهی'!$C$8+CG1132*'تنظیمات وزن‌دهی'!$C$9+CH1132*'تنظیمات وزن‌دهی'!$C$10+CI1132*'تنظیمات وزن‌دهی'!$C$11+CJ1132*'تنظیمات وزن‌دهی'!$C$12+CK1132*'تنظیمات وزن‌دهی'!$C$13)/100))</x:f>
      </x:c>
      <x:c r="CM1132" s="178" t="str">
        <x:f>IF(C1132="","",IF(COUNT(G1132:CB1132)=0,"",IF(COUNT(G1132:CB1132)&lt;74,"موقت - اطلاعات ناقص",IF(CL1132&gt;=17,"عالی",IF(CL1132&gt;=14,"خوب",IF(CL1132&gt;=10,"متوسط","ضعیف"))))))</x:f>
      </x:c>
      <x:c r="CN1132" s="178" t="n">
        <x:v>12</x:v>
      </x:c>
      <x:c r="CO1132" s="142" t="n">
        <x:f>IF(C1132="","",COUNT(G1132:CB1132)/74)</x:f>
        <x:v>0</x:v>
      </x:c>
      <x:c r="CP1132" s="245"/>
    </x:row>
    <x:row r="1133">
      <x:c r="A1133" s="165" t="n">
        <x:v>1129</x:v>
      </x:c>
      <x:c r="B1133" s="233" t="str">
        <x:v>تیر</x:v>
      </x:c>
      <x:c r="C1133" s="233" t="n">
        <x:f>IF('دانش‌آموزان'!E99="","",'دانش‌آموزان'!B99)</x:f>
        <x:v>95</x:v>
      </x:c>
      <x:c r="D1133" s="233" t="str">
        <x:f>IF('دانش‌آموزان'!C99="","",'دانش‌آموزان'!C99)</x:f>
        <x:v>4000000950</x:v>
      </x:c>
      <x:c r="E1133" s="233" t="str">
        <x:f>IF('دانش‌آموزان'!E99="","",'دانش‌آموزان'!E99&amp;" "&amp;'دانش‌آموزان'!F99)</x:f>
        <x:v>ماهان سلیمانی</x:v>
      </x:c>
      <x:c r="F1133" s="166" t="str">
        <x:f>IF('دانش‌آموزان'!I99="","",'دانش‌آموزان'!I99)</x:f>
        <x:v>sample-7-d</x:v>
      </x:c>
      <x:c r="G1133" s="114" t="n">
        <x:v>4</x:v>
      </x:c>
      <x:c r="H1133" s="115" t="n">
        <x:v>3</x:v>
      </x:c>
      <x:c r="I1133" s="115" t="n">
        <x:v>4</x:v>
      </x:c>
      <x:c r="J1133" s="115" t="n">
        <x:v>2</x:v>
      </x:c>
      <x:c r="K1133" s="115" t="n">
        <x:v>4</x:v>
      </x:c>
      <x:c r="L1133" s="115" t="n">
        <x:v>5</x:v>
      </x:c>
      <x:c r="M1133" s="115" t="n">
        <x:v>4</x:v>
      </x:c>
      <x:c r="N1133" s="115" t="n">
        <x:v>5</x:v>
      </x:c>
      <x:c r="O1133" s="115" t="n">
        <x:v>3</x:v>
      </x:c>
      <x:c r="P1133" s="115" t="n">
        <x:v>5</x:v>
      </x:c>
      <x:c r="Q1133" s="115" t="n">
        <x:v>3</x:v>
      </x:c>
      <x:c r="R1133" s="115" t="n">
        <x:v>4</x:v>
      </x:c>
      <x:c r="S1133" s="115" t="n">
        <x:v>3</x:v>
      </x:c>
      <x:c r="T1133" s="115" t="n">
        <x:v>4</x:v>
      </x:c>
      <x:c r="U1133" s="115" t="n">
        <x:v>2</x:v>
      </x:c>
      <x:c r="V1133" s="115" t="n">
        <x:v>4</x:v>
      </x:c>
      <x:c r="W1133" s="115" t="n">
        <x:v>5</x:v>
      </x:c>
      <x:c r="X1133" s="115" t="n">
        <x:v>4</x:v>
      </x:c>
      <x:c r="Y1133" s="115" t="n">
        <x:v>5</x:v>
      </x:c>
      <x:c r="Z1133" s="115" t="n">
        <x:v>3</x:v>
      </x:c>
      <x:c r="AA1133" s="115" t="n">
        <x:v>5</x:v>
      </x:c>
      <x:c r="AB1133" s="115" t="n">
        <x:v>3</x:v>
      </x:c>
      <x:c r="AC1133" s="115" t="n">
        <x:v>4</x:v>
      </x:c>
      <x:c r="AD1133" s="115" t="n">
        <x:v>3</x:v>
      </x:c>
      <x:c r="AE1133" s="115" t="n">
        <x:v>4</x:v>
      </x:c>
      <x:c r="AF1133" s="115" t="n">
        <x:v>2</x:v>
      </x:c>
      <x:c r="AG1133" s="115" t="n">
        <x:v>4</x:v>
      </x:c>
      <x:c r="AH1133" s="115" t="n">
        <x:v>5</x:v>
      </x:c>
      <x:c r="AI1133" s="115" t="n">
        <x:v>4</x:v>
      </x:c>
      <x:c r="AJ1133" s="115" t="n">
        <x:v>5</x:v>
      </x:c>
      <x:c r="AK1133" s="115" t="n">
        <x:v>3</x:v>
      </x:c>
      <x:c r="AL1133" s="115" t="n">
        <x:v>5</x:v>
      </x:c>
      <x:c r="AM1133" s="115" t="n">
        <x:v>3</x:v>
      </x:c>
      <x:c r="AN1133" s="115" t="n">
        <x:v>4</x:v>
      </x:c>
      <x:c r="AO1133" s="115" t="n">
        <x:v>3</x:v>
      </x:c>
      <x:c r="AP1133" s="115" t="n">
        <x:v>4</x:v>
      </x:c>
      <x:c r="AQ1133" s="115" t="n">
        <x:v>2</x:v>
      </x:c>
      <x:c r="AR1133" s="115" t="n">
        <x:v>4</x:v>
      </x:c>
      <x:c r="AS1133" s="115" t="n">
        <x:v>5</x:v>
      </x:c>
      <x:c r="AT1133" s="115" t="n">
        <x:v>4</x:v>
      </x:c>
      <x:c r="AU1133" s="115" t="n">
        <x:v>5</x:v>
      </x:c>
      <x:c r="AV1133" s="115" t="n">
        <x:v>3</x:v>
      </x:c>
      <x:c r="AW1133" s="115" t="n">
        <x:v>5</x:v>
      </x:c>
      <x:c r="AX1133" s="115" t="n">
        <x:v>3</x:v>
      </x:c>
      <x:c r="AY1133" s="115" t="n">
        <x:v>4</x:v>
      </x:c>
      <x:c r="AZ1133" s="115" t="n">
        <x:v>3</x:v>
      </x:c>
      <x:c r="BA1133" s="115" t="n">
        <x:v>4</x:v>
      </x:c>
      <x:c r="BB1133" s="115" t="n">
        <x:v>2</x:v>
      </x:c>
      <x:c r="BC1133" s="115" t="n">
        <x:v>4</x:v>
      </x:c>
      <x:c r="BD1133" s="115" t="n">
        <x:v>5</x:v>
      </x:c>
      <x:c r="BE1133" s="115" t="n">
        <x:v>4</x:v>
      </x:c>
      <x:c r="BF1133" s="115" t="n">
        <x:v>5</x:v>
      </x:c>
      <x:c r="BG1133" s="115" t="n">
        <x:v>3</x:v>
      </x:c>
      <x:c r="BH1133" s="115" t="n">
        <x:v>5</x:v>
      </x:c>
      <x:c r="BI1133" s="115" t="n">
        <x:v>3</x:v>
      </x:c>
      <x:c r="BJ1133" s="115" t="n">
        <x:v>4</x:v>
      </x:c>
      <x:c r="BK1133" s="115" t="n">
        <x:v>3</x:v>
      </x:c>
      <x:c r="BL1133" s="115" t="n">
        <x:v>4</x:v>
      </x:c>
      <x:c r="BM1133" s="115" t="n">
        <x:v>2</x:v>
      </x:c>
      <x:c r="BN1133" s="115" t="n">
        <x:v>4</x:v>
      </x:c>
      <x:c r="BO1133" s="115" t="n">
        <x:v>5</x:v>
      </x:c>
      <x:c r="BP1133" s="115" t="n">
        <x:v>4</x:v>
      </x:c>
      <x:c r="BQ1133" s="115" t="n">
        <x:v>5</x:v>
      </x:c>
      <x:c r="BR1133" s="115" t="n">
        <x:v>3</x:v>
      </x:c>
      <x:c r="BS1133" s="115" t="n">
        <x:v>5</x:v>
      </x:c>
      <x:c r="BT1133" s="115" t="n">
        <x:v>3</x:v>
      </x:c>
      <x:c r="BU1133" s="115" t="n">
        <x:v>4</x:v>
      </x:c>
      <x:c r="BV1133" s="115" t="n">
        <x:v>3</x:v>
      </x:c>
      <x:c r="BW1133" s="115" t="n">
        <x:v>4</x:v>
      </x:c>
      <x:c r="BX1133" s="115" t="n">
        <x:v>2</x:v>
      </x:c>
      <x:c r="BY1133" s="115" t="n">
        <x:v>4</x:v>
      </x:c>
      <x:c r="BZ1133" s="115" t="n">
        <x:v>5</x:v>
      </x:c>
      <x:c r="CA1133" s="115" t="n">
        <x:v>4</x:v>
      </x:c>
      <x:c r="CB1133" s="116" t="n">
        <x:v>5</x:v>
      </x:c>
      <x:c r="CC1133" s="141" t="n">
        <x:f>IF(COUNT(G1133:P1133)=0,"",AVERAGE(G1133:P1133)*4)</x:f>
        <x:v>15.6</x:v>
      </x:c>
      <x:c r="CD1133" s="178" t="n">
        <x:f>IF(COUNT(Q1133:Z1133)=0,"",AVERAGE(Q1133:Z1133)*4)</x:f>
        <x:v>14.8</x:v>
      </x:c>
      <x:c r="CE1133" s="178" t="n">
        <x:f>IF(COUNT(AA1133:AJ1133)=0,"",AVERAGE(AA1133:AJ1133)*4)</x:f>
        <x:v>15.6</x:v>
      </x:c>
      <x:c r="CF1133" s="178" t="n">
        <x:f>IF(COUNT(AK1133:AR1133)=0,"",AVERAGE(AK1133:AR1133)*4)</x:f>
        <x:v>14</x:v>
      </x:c>
      <x:c r="CG1133" s="178" t="n">
        <x:f>IF(COUNT(AS1133:AY1133)=0,"",AVERAGE(AS1133:AY1133)*4)</x:f>
        <x:v>16.571428571428573</x:v>
      </x:c>
      <x:c r="CH1133" s="178" t="n">
        <x:f>IF(COUNT(AZ1133:BG1133)=0,"",AVERAGE(AZ1133:BG1133)*4)</x:f>
        <x:v>15</x:v>
      </x:c>
      <x:c r="CI1133" s="178" t="n">
        <x:f>IF(COUNT(BH1133:BN1133)=0,"",AVERAGE(BH1133:BN1133)*4)</x:f>
        <x:v>14.285714285714286</x:v>
      </x:c>
      <x:c r="CJ1133" s="178" t="n">
        <x:f>IF(COUNT(BO1133:BU1133)=0,"",AVERAGE(BO1133:BU1133)*4)</x:f>
        <x:v>16.571428571428573</x:v>
      </x:c>
      <x:c r="CK1133" s="178" t="n">
        <x:f>IF(COUNT(BV1133:CB1133)=0,"",AVERAGE(BV1133:CB1133)*4)</x:f>
        <x:v>15.428571428571429</x:v>
      </x:c>
      <x:c r="CL1133" s="178" t="n">
        <x:f>IF(C1133="","",IF(COUNT(G1133:CB1133)&lt;74,"",(CC1133*'تنظیمات وزن‌دهی'!$C$5+CD1133*'تنظیمات وزن‌دهی'!$C$6+CE1133*'تنظیمات وزن‌دهی'!$C$7+CF1133*'تنظیمات وزن‌دهی'!$C$8+CG1133*'تنظیمات وزن‌دهی'!$C$9+CH1133*'تنظیمات وزن‌دهی'!$C$10+CI1133*'تنظیمات وزن‌دهی'!$C$11+CJ1133*'تنظیمات وزن‌دهی'!$C$12+CK1133*'تنظیمات وزن‌دهی'!$C$13)/100))</x:f>
        <x:v>15.214285714285715</x:v>
      </x:c>
      <x:c r="CM1133" s="178" t="str">
        <x:f>IF(C1133="","",IF(COUNT(G1133:CB1133)=0,"",IF(COUNT(G1133:CB1133)&lt;74,"موقت - اطلاعات ناقص",IF(CL1133&gt;=17,"عالی",IF(CL1133&gt;=14,"خوب",IF(CL1133&gt;=10,"متوسط","ضعیف"))))))</x:f>
        <x:v>خوب</x:v>
      </x:c>
      <x:c r="CN1133" s="178" t="n">
        <x:v>1</x:v>
      </x:c>
      <x:c r="CO1133" s="142" t="n">
        <x:f>IF(C1133="","",COUNT(G1133:CB1133)/74)</x:f>
        <x:v>1</x:v>
      </x:c>
      <x:c r="CP1133" s="245" t="str">
        <x:v>داده نمونه کامل برای ماه تیر - دانش‌آموز شماره 95</x:v>
      </x:c>
    </x:row>
    <x:row r="1134">
      <x:c r="A1134" s="165" t="n">
        <x:v>1130</x:v>
      </x:c>
      <x:c r="B1134" s="233" t="str">
        <x:v>مرداد</x:v>
      </x:c>
      <x:c r="C1134" s="233" t="n">
        <x:f>IF('دانش‌آموزان'!E99="","",'دانش‌آموزان'!B99)</x:f>
        <x:v>95</x:v>
      </x:c>
      <x:c r="D1134" s="233" t="str">
        <x:f>IF('دانش‌آموزان'!C99="","",'دانش‌آموزان'!C99)</x:f>
        <x:v>4000000950</x:v>
      </x:c>
      <x:c r="E1134" s="233" t="str">
        <x:f>IF('دانش‌آموزان'!E99="","",'دانش‌آموزان'!E99&amp;" "&amp;'دانش‌آموزان'!F99)</x:f>
        <x:v>ماهان سلیمانی</x:v>
      </x:c>
      <x:c r="F1134" s="166" t="str">
        <x:f>IF('دانش‌آموزان'!I99="","",'دانش‌آموزان'!I99)</x:f>
        <x:v>sample-7-d</x:v>
      </x:c>
      <x:c r="G1134" s="114"/>
      <x:c r="H1134" s="115"/>
      <x:c r="I1134" s="115"/>
      <x:c r="J1134" s="115"/>
      <x:c r="K1134" s="115"/>
      <x:c r="L1134" s="115"/>
      <x:c r="M1134" s="115"/>
      <x:c r="N1134" s="115"/>
      <x:c r="O1134" s="115"/>
      <x:c r="P1134" s="115"/>
      <x:c r="Q1134" s="115"/>
      <x:c r="R1134" s="115"/>
      <x:c r="S1134" s="115"/>
      <x:c r="T1134" s="115"/>
      <x:c r="U1134" s="115"/>
      <x:c r="V1134" s="115"/>
      <x:c r="W1134" s="115"/>
      <x:c r="X1134" s="115"/>
      <x:c r="Y1134" s="115"/>
      <x:c r="Z1134" s="115"/>
      <x:c r="AA1134" s="115"/>
      <x:c r="AB1134" s="115"/>
      <x:c r="AC1134" s="115"/>
      <x:c r="AD1134" s="115"/>
      <x:c r="AE1134" s="115"/>
      <x:c r="AF1134" s="115"/>
      <x:c r="AG1134" s="115"/>
      <x:c r="AH1134" s="115"/>
      <x:c r="AI1134" s="115"/>
      <x:c r="AJ1134" s="115"/>
      <x:c r="AK1134" s="115"/>
      <x:c r="AL1134" s="115"/>
      <x:c r="AM1134" s="115"/>
      <x:c r="AN1134" s="115"/>
      <x:c r="AO1134" s="115"/>
      <x:c r="AP1134" s="115"/>
      <x:c r="AQ1134" s="115"/>
      <x:c r="AR1134" s="115"/>
      <x:c r="AS1134" s="115"/>
      <x:c r="AT1134" s="115"/>
      <x:c r="AU1134" s="115"/>
      <x:c r="AV1134" s="115"/>
      <x:c r="AW1134" s="115"/>
      <x:c r="AX1134" s="115"/>
      <x:c r="AY1134" s="115"/>
      <x:c r="AZ1134" s="115"/>
      <x:c r="BA1134" s="115"/>
      <x:c r="BB1134" s="115"/>
      <x:c r="BC1134" s="115"/>
      <x:c r="BD1134" s="115"/>
      <x:c r="BE1134" s="115"/>
      <x:c r="BF1134" s="115"/>
      <x:c r="BG1134" s="115"/>
      <x:c r="BH1134" s="115"/>
      <x:c r="BI1134" s="115"/>
      <x:c r="BJ1134" s="115"/>
      <x:c r="BK1134" s="115"/>
      <x:c r="BL1134" s="115"/>
      <x:c r="BM1134" s="115"/>
      <x:c r="BN1134" s="115"/>
      <x:c r="BO1134" s="115"/>
      <x:c r="BP1134" s="115"/>
      <x:c r="BQ1134" s="115"/>
      <x:c r="BR1134" s="115"/>
      <x:c r="BS1134" s="115"/>
      <x:c r="BT1134" s="115"/>
      <x:c r="BU1134" s="115"/>
      <x:c r="BV1134" s="115"/>
      <x:c r="BW1134" s="115"/>
      <x:c r="BX1134" s="115"/>
      <x:c r="BY1134" s="115"/>
      <x:c r="BZ1134" s="115"/>
      <x:c r="CA1134" s="115"/>
      <x:c r="CB1134" s="116"/>
      <x:c r="CC1134" s="141" t="str">
        <x:f>IF(COUNT(G1134:P1134)=0,"",AVERAGE(G1134:P1134)*4)</x:f>
      </x:c>
      <x:c r="CD1134" s="178" t="str">
        <x:f>IF(COUNT(Q1134:Z1134)=0,"",AVERAGE(Q1134:Z1134)*4)</x:f>
      </x:c>
      <x:c r="CE1134" s="178" t="str">
        <x:f>IF(COUNT(AA1134:AJ1134)=0,"",AVERAGE(AA1134:AJ1134)*4)</x:f>
      </x:c>
      <x:c r="CF1134" s="178" t="str">
        <x:f>IF(COUNT(AK1134:AR1134)=0,"",AVERAGE(AK1134:AR1134)*4)</x:f>
      </x:c>
      <x:c r="CG1134" s="178" t="str">
        <x:f>IF(COUNT(AS1134:AY1134)=0,"",AVERAGE(AS1134:AY1134)*4)</x:f>
      </x:c>
      <x:c r="CH1134" s="178" t="str">
        <x:f>IF(COUNT(AZ1134:BG1134)=0,"",AVERAGE(AZ1134:BG1134)*4)</x:f>
      </x:c>
      <x:c r="CI1134" s="178" t="str">
        <x:f>IF(COUNT(BH1134:BN1134)=0,"",AVERAGE(BH1134:BN1134)*4)</x:f>
      </x:c>
      <x:c r="CJ1134" s="178" t="str">
        <x:f>IF(COUNT(BO1134:BU1134)=0,"",AVERAGE(BO1134:BU1134)*4)</x:f>
      </x:c>
      <x:c r="CK1134" s="178" t="str">
        <x:f>IF(COUNT(BV1134:CB1134)=0,"",AVERAGE(BV1134:CB1134)*4)</x:f>
      </x:c>
      <x:c r="CL1134" s="178" t="str">
        <x:f>IF(C1134="","",IF(COUNT(G1134:CB1134)&lt;74,"",(CC1134*'تنظیمات وزن‌دهی'!$C$5+CD1134*'تنظیمات وزن‌دهی'!$C$6+CE1134*'تنظیمات وزن‌دهی'!$C$7+CF1134*'تنظیمات وزن‌دهی'!$C$8+CG1134*'تنظیمات وزن‌دهی'!$C$9+CH1134*'تنظیمات وزن‌دهی'!$C$10+CI1134*'تنظیمات وزن‌دهی'!$C$11+CJ1134*'تنظیمات وزن‌دهی'!$C$12+CK1134*'تنظیمات وزن‌دهی'!$C$13)/100))</x:f>
      </x:c>
      <x:c r="CM1134" s="178" t="str">
        <x:f>IF(C1134="","",IF(COUNT(G1134:CB1134)=0,"",IF(COUNT(G1134:CB1134)&lt;74,"موقت - اطلاعات ناقص",IF(CL1134&gt;=17,"عالی",IF(CL1134&gt;=14,"خوب",IF(CL1134&gt;=10,"متوسط","ضعیف"))))))</x:f>
      </x:c>
      <x:c r="CN1134" s="178" t="n">
        <x:v>2</x:v>
      </x:c>
      <x:c r="CO1134" s="142" t="n">
        <x:f>IF(C1134="","",COUNT(G1134:CB1134)/74)</x:f>
        <x:v>0</x:v>
      </x:c>
      <x:c r="CP1134" s="245"/>
    </x:row>
    <x:row r="1135">
      <x:c r="A1135" s="165" t="n">
        <x:v>1131</x:v>
      </x:c>
      <x:c r="B1135" s="233" t="str">
        <x:v>شهریور</x:v>
      </x:c>
      <x:c r="C1135" s="233" t="n">
        <x:f>IF('دانش‌آموزان'!E99="","",'دانش‌آموزان'!B99)</x:f>
        <x:v>95</x:v>
      </x:c>
      <x:c r="D1135" s="233" t="str">
        <x:f>IF('دانش‌آموزان'!C99="","",'دانش‌آموزان'!C99)</x:f>
        <x:v>4000000950</x:v>
      </x:c>
      <x:c r="E1135" s="233" t="str">
        <x:f>IF('دانش‌آموزان'!E99="","",'دانش‌آموزان'!E99&amp;" "&amp;'دانش‌آموزان'!F99)</x:f>
        <x:v>ماهان سلیمانی</x:v>
      </x:c>
      <x:c r="F1135" s="166" t="str">
        <x:f>IF('دانش‌آموزان'!I99="","",'دانش‌آموزان'!I99)</x:f>
        <x:v>sample-7-d</x:v>
      </x:c>
      <x:c r="G1135" s="114"/>
      <x:c r="H1135" s="115"/>
      <x:c r="I1135" s="115"/>
      <x:c r="J1135" s="115"/>
      <x:c r="K1135" s="115"/>
      <x:c r="L1135" s="115"/>
      <x:c r="M1135" s="115"/>
      <x:c r="N1135" s="115"/>
      <x:c r="O1135" s="115"/>
      <x:c r="P1135" s="115"/>
      <x:c r="Q1135" s="115"/>
      <x:c r="R1135" s="115"/>
      <x:c r="S1135" s="115"/>
      <x:c r="T1135" s="115"/>
      <x:c r="U1135" s="115"/>
      <x:c r="V1135" s="115"/>
      <x:c r="W1135" s="115"/>
      <x:c r="X1135" s="115"/>
      <x:c r="Y1135" s="115"/>
      <x:c r="Z1135" s="115"/>
      <x:c r="AA1135" s="115"/>
      <x:c r="AB1135" s="115"/>
      <x:c r="AC1135" s="115"/>
      <x:c r="AD1135" s="115"/>
      <x:c r="AE1135" s="115"/>
      <x:c r="AF1135" s="115"/>
      <x:c r="AG1135" s="115"/>
      <x:c r="AH1135" s="115"/>
      <x:c r="AI1135" s="115"/>
      <x:c r="AJ1135" s="115"/>
      <x:c r="AK1135" s="115"/>
      <x:c r="AL1135" s="115"/>
      <x:c r="AM1135" s="115"/>
      <x:c r="AN1135" s="115"/>
      <x:c r="AO1135" s="115"/>
      <x:c r="AP1135" s="115"/>
      <x:c r="AQ1135" s="115"/>
      <x:c r="AR1135" s="115"/>
      <x:c r="AS1135" s="115"/>
      <x:c r="AT1135" s="115"/>
      <x:c r="AU1135" s="115"/>
      <x:c r="AV1135" s="115"/>
      <x:c r="AW1135" s="115"/>
      <x:c r="AX1135" s="115"/>
      <x:c r="AY1135" s="115"/>
      <x:c r="AZ1135" s="115"/>
      <x:c r="BA1135" s="115"/>
      <x:c r="BB1135" s="115"/>
      <x:c r="BC1135" s="115"/>
      <x:c r="BD1135" s="115"/>
      <x:c r="BE1135" s="115"/>
      <x:c r="BF1135" s="115"/>
      <x:c r="BG1135" s="115"/>
      <x:c r="BH1135" s="115"/>
      <x:c r="BI1135" s="115"/>
      <x:c r="BJ1135" s="115"/>
      <x:c r="BK1135" s="115"/>
      <x:c r="BL1135" s="115"/>
      <x:c r="BM1135" s="115"/>
      <x:c r="BN1135" s="115"/>
      <x:c r="BO1135" s="115"/>
      <x:c r="BP1135" s="115"/>
      <x:c r="BQ1135" s="115"/>
      <x:c r="BR1135" s="115"/>
      <x:c r="BS1135" s="115"/>
      <x:c r="BT1135" s="115"/>
      <x:c r="BU1135" s="115"/>
      <x:c r="BV1135" s="115"/>
      <x:c r="BW1135" s="115"/>
      <x:c r="BX1135" s="115"/>
      <x:c r="BY1135" s="115"/>
      <x:c r="BZ1135" s="115"/>
      <x:c r="CA1135" s="115"/>
      <x:c r="CB1135" s="116"/>
      <x:c r="CC1135" s="141" t="str">
        <x:f>IF(COUNT(G1135:P1135)=0,"",AVERAGE(G1135:P1135)*4)</x:f>
      </x:c>
      <x:c r="CD1135" s="178" t="str">
        <x:f>IF(COUNT(Q1135:Z1135)=0,"",AVERAGE(Q1135:Z1135)*4)</x:f>
      </x:c>
      <x:c r="CE1135" s="178" t="str">
        <x:f>IF(COUNT(AA1135:AJ1135)=0,"",AVERAGE(AA1135:AJ1135)*4)</x:f>
      </x:c>
      <x:c r="CF1135" s="178" t="str">
        <x:f>IF(COUNT(AK1135:AR1135)=0,"",AVERAGE(AK1135:AR1135)*4)</x:f>
      </x:c>
      <x:c r="CG1135" s="178" t="str">
        <x:f>IF(COUNT(AS1135:AY1135)=0,"",AVERAGE(AS1135:AY1135)*4)</x:f>
      </x:c>
      <x:c r="CH1135" s="178" t="str">
        <x:f>IF(COUNT(AZ1135:BG1135)=0,"",AVERAGE(AZ1135:BG1135)*4)</x:f>
      </x:c>
      <x:c r="CI1135" s="178" t="str">
        <x:f>IF(COUNT(BH1135:BN1135)=0,"",AVERAGE(BH1135:BN1135)*4)</x:f>
      </x:c>
      <x:c r="CJ1135" s="178" t="str">
        <x:f>IF(COUNT(BO1135:BU1135)=0,"",AVERAGE(BO1135:BU1135)*4)</x:f>
      </x:c>
      <x:c r="CK1135" s="178" t="str">
        <x:f>IF(COUNT(BV1135:CB1135)=0,"",AVERAGE(BV1135:CB1135)*4)</x:f>
      </x:c>
      <x:c r="CL1135" s="178" t="str">
        <x:f>IF(C1135="","",IF(COUNT(G1135:CB1135)&lt;74,"",(CC1135*'تنظیمات وزن‌دهی'!$C$5+CD1135*'تنظیمات وزن‌دهی'!$C$6+CE1135*'تنظیمات وزن‌دهی'!$C$7+CF1135*'تنظیمات وزن‌دهی'!$C$8+CG1135*'تنظیمات وزن‌دهی'!$C$9+CH1135*'تنظیمات وزن‌دهی'!$C$10+CI1135*'تنظیمات وزن‌دهی'!$C$11+CJ1135*'تنظیمات وزن‌دهی'!$C$12+CK1135*'تنظیمات وزن‌دهی'!$C$13)/100))</x:f>
      </x:c>
      <x:c r="CM1135" s="178" t="str">
        <x:f>IF(C1135="","",IF(COUNT(G1135:CB1135)=0,"",IF(COUNT(G1135:CB1135)&lt;74,"موقت - اطلاعات ناقص",IF(CL1135&gt;=17,"عالی",IF(CL1135&gt;=14,"خوب",IF(CL1135&gt;=10,"متوسط","ضعیف"))))))</x:f>
      </x:c>
      <x:c r="CN1135" s="178" t="n">
        <x:v>3</x:v>
      </x:c>
      <x:c r="CO1135" s="142" t="n">
        <x:f>IF(C1135="","",COUNT(G1135:CB1135)/74)</x:f>
        <x:v>0</x:v>
      </x:c>
      <x:c r="CP1135" s="245"/>
    </x:row>
    <x:row r="1136">
      <x:c r="A1136" s="165" t="n">
        <x:v>1132</x:v>
      </x:c>
      <x:c r="B1136" s="233" t="str">
        <x:v>مهر</x:v>
      </x:c>
      <x:c r="C1136" s="233" t="n">
        <x:f>IF('دانش‌آموزان'!E99="","",'دانش‌آموزان'!B99)</x:f>
        <x:v>95</x:v>
      </x:c>
      <x:c r="D1136" s="233" t="str">
        <x:f>IF('دانش‌آموزان'!C99="","",'دانش‌آموزان'!C99)</x:f>
        <x:v>4000000950</x:v>
      </x:c>
      <x:c r="E1136" s="233" t="str">
        <x:f>IF('دانش‌آموزان'!E99="","",'دانش‌آموزان'!E99&amp;" "&amp;'دانش‌آموزان'!F99)</x:f>
        <x:v>ماهان سلیمانی</x:v>
      </x:c>
      <x:c r="F1136" s="166" t="str">
        <x:f>IF('دانش‌آموزان'!I99="","",'دانش‌آموزان'!I99)</x:f>
        <x:v>sample-7-d</x:v>
      </x:c>
      <x:c r="G1136" s="114"/>
      <x:c r="H1136" s="115"/>
      <x:c r="I1136" s="115"/>
      <x:c r="J1136" s="115"/>
      <x:c r="K1136" s="115"/>
      <x:c r="L1136" s="115"/>
      <x:c r="M1136" s="115"/>
      <x:c r="N1136" s="115"/>
      <x:c r="O1136" s="115"/>
      <x:c r="P1136" s="115"/>
      <x:c r="Q1136" s="115"/>
      <x:c r="R1136" s="115"/>
      <x:c r="S1136" s="115"/>
      <x:c r="T1136" s="115"/>
      <x:c r="U1136" s="115"/>
      <x:c r="V1136" s="115"/>
      <x:c r="W1136" s="115"/>
      <x:c r="X1136" s="115"/>
      <x:c r="Y1136" s="115"/>
      <x:c r="Z1136" s="115"/>
      <x:c r="AA1136" s="115"/>
      <x:c r="AB1136" s="115"/>
      <x:c r="AC1136" s="115"/>
      <x:c r="AD1136" s="115"/>
      <x:c r="AE1136" s="115"/>
      <x:c r="AF1136" s="115"/>
      <x:c r="AG1136" s="115"/>
      <x:c r="AH1136" s="115"/>
      <x:c r="AI1136" s="115"/>
      <x:c r="AJ1136" s="115"/>
      <x:c r="AK1136" s="115"/>
      <x:c r="AL1136" s="115"/>
      <x:c r="AM1136" s="115"/>
      <x:c r="AN1136" s="115"/>
      <x:c r="AO1136" s="115"/>
      <x:c r="AP1136" s="115"/>
      <x:c r="AQ1136" s="115"/>
      <x:c r="AR1136" s="115"/>
      <x:c r="AS1136" s="115"/>
      <x:c r="AT1136" s="115"/>
      <x:c r="AU1136" s="115"/>
      <x:c r="AV1136" s="115"/>
      <x:c r="AW1136" s="115"/>
      <x:c r="AX1136" s="115"/>
      <x:c r="AY1136" s="115"/>
      <x:c r="AZ1136" s="115"/>
      <x:c r="BA1136" s="115"/>
      <x:c r="BB1136" s="115"/>
      <x:c r="BC1136" s="115"/>
      <x:c r="BD1136" s="115"/>
      <x:c r="BE1136" s="115"/>
      <x:c r="BF1136" s="115"/>
      <x:c r="BG1136" s="115"/>
      <x:c r="BH1136" s="115"/>
      <x:c r="BI1136" s="115"/>
      <x:c r="BJ1136" s="115"/>
      <x:c r="BK1136" s="115"/>
      <x:c r="BL1136" s="115"/>
      <x:c r="BM1136" s="115"/>
      <x:c r="BN1136" s="115"/>
      <x:c r="BO1136" s="115"/>
      <x:c r="BP1136" s="115"/>
      <x:c r="BQ1136" s="115"/>
      <x:c r="BR1136" s="115"/>
      <x:c r="BS1136" s="115"/>
      <x:c r="BT1136" s="115"/>
      <x:c r="BU1136" s="115"/>
      <x:c r="BV1136" s="115"/>
      <x:c r="BW1136" s="115"/>
      <x:c r="BX1136" s="115"/>
      <x:c r="BY1136" s="115"/>
      <x:c r="BZ1136" s="115"/>
      <x:c r="CA1136" s="115"/>
      <x:c r="CB1136" s="116"/>
      <x:c r="CC1136" s="141" t="str">
        <x:f>IF(COUNT(G1136:P1136)=0,"",AVERAGE(G1136:P1136)*4)</x:f>
      </x:c>
      <x:c r="CD1136" s="178" t="str">
        <x:f>IF(COUNT(Q1136:Z1136)=0,"",AVERAGE(Q1136:Z1136)*4)</x:f>
      </x:c>
      <x:c r="CE1136" s="178" t="str">
        <x:f>IF(COUNT(AA1136:AJ1136)=0,"",AVERAGE(AA1136:AJ1136)*4)</x:f>
      </x:c>
      <x:c r="CF1136" s="178" t="str">
        <x:f>IF(COUNT(AK1136:AR1136)=0,"",AVERAGE(AK1136:AR1136)*4)</x:f>
      </x:c>
      <x:c r="CG1136" s="178" t="str">
        <x:f>IF(COUNT(AS1136:AY1136)=0,"",AVERAGE(AS1136:AY1136)*4)</x:f>
      </x:c>
      <x:c r="CH1136" s="178" t="str">
        <x:f>IF(COUNT(AZ1136:BG1136)=0,"",AVERAGE(AZ1136:BG1136)*4)</x:f>
      </x:c>
      <x:c r="CI1136" s="178" t="str">
        <x:f>IF(COUNT(BH1136:BN1136)=0,"",AVERAGE(BH1136:BN1136)*4)</x:f>
      </x:c>
      <x:c r="CJ1136" s="178" t="str">
        <x:f>IF(COUNT(BO1136:BU1136)=0,"",AVERAGE(BO1136:BU1136)*4)</x:f>
      </x:c>
      <x:c r="CK1136" s="178" t="str">
        <x:f>IF(COUNT(BV1136:CB1136)=0,"",AVERAGE(BV1136:CB1136)*4)</x:f>
      </x:c>
      <x:c r="CL1136" s="178" t="str">
        <x:f>IF(C1136="","",IF(COUNT(G1136:CB1136)&lt;74,"",(CC1136*'تنظیمات وزن‌دهی'!$C$5+CD1136*'تنظیمات وزن‌دهی'!$C$6+CE1136*'تنظیمات وزن‌دهی'!$C$7+CF1136*'تنظیمات وزن‌دهی'!$C$8+CG1136*'تنظیمات وزن‌دهی'!$C$9+CH1136*'تنظیمات وزن‌دهی'!$C$10+CI1136*'تنظیمات وزن‌دهی'!$C$11+CJ1136*'تنظیمات وزن‌دهی'!$C$12+CK1136*'تنظیمات وزن‌دهی'!$C$13)/100))</x:f>
      </x:c>
      <x:c r="CM1136" s="178" t="str">
        <x:f>IF(C1136="","",IF(COUNT(G1136:CB1136)=0,"",IF(COUNT(G1136:CB1136)&lt;74,"موقت - اطلاعات ناقص",IF(CL1136&gt;=17,"عالی",IF(CL1136&gt;=14,"خوب",IF(CL1136&gt;=10,"متوسط","ضعیف"))))))</x:f>
      </x:c>
      <x:c r="CN1136" s="178" t="n">
        <x:v>4</x:v>
      </x:c>
      <x:c r="CO1136" s="142" t="n">
        <x:f>IF(C1136="","",COUNT(G1136:CB1136)/74)</x:f>
        <x:v>0</x:v>
      </x:c>
      <x:c r="CP1136" s="245"/>
    </x:row>
    <x:row r="1137">
      <x:c r="A1137" s="165" t="n">
        <x:v>1133</x:v>
      </x:c>
      <x:c r="B1137" s="233" t="str">
        <x:v>آبان</x:v>
      </x:c>
      <x:c r="C1137" s="233" t="n">
        <x:f>IF('دانش‌آموزان'!E99="","",'دانش‌آموزان'!B99)</x:f>
        <x:v>95</x:v>
      </x:c>
      <x:c r="D1137" s="233" t="str">
        <x:f>IF('دانش‌آموزان'!C99="","",'دانش‌آموزان'!C99)</x:f>
        <x:v>4000000950</x:v>
      </x:c>
      <x:c r="E1137" s="233" t="str">
        <x:f>IF('دانش‌آموزان'!E99="","",'دانش‌آموزان'!E99&amp;" "&amp;'دانش‌آموزان'!F99)</x:f>
        <x:v>ماهان سلیمانی</x:v>
      </x:c>
      <x:c r="F1137" s="166" t="str">
        <x:f>IF('دانش‌آموزان'!I99="","",'دانش‌آموزان'!I99)</x:f>
        <x:v>sample-7-d</x:v>
      </x:c>
      <x:c r="G1137" s="114"/>
      <x:c r="H1137" s="115"/>
      <x:c r="I1137" s="115"/>
      <x:c r="J1137" s="115"/>
      <x:c r="K1137" s="115"/>
      <x:c r="L1137" s="115"/>
      <x:c r="M1137" s="115"/>
      <x:c r="N1137" s="115"/>
      <x:c r="O1137" s="115"/>
      <x:c r="P1137" s="115"/>
      <x:c r="Q1137" s="115"/>
      <x:c r="R1137" s="115"/>
      <x:c r="S1137" s="115"/>
      <x:c r="T1137" s="115"/>
      <x:c r="U1137" s="115"/>
      <x:c r="V1137" s="115"/>
      <x:c r="W1137" s="115"/>
      <x:c r="X1137" s="115"/>
      <x:c r="Y1137" s="115"/>
      <x:c r="Z1137" s="115"/>
      <x:c r="AA1137" s="115"/>
      <x:c r="AB1137" s="115"/>
      <x:c r="AC1137" s="115"/>
      <x:c r="AD1137" s="115"/>
      <x:c r="AE1137" s="115"/>
      <x:c r="AF1137" s="115"/>
      <x:c r="AG1137" s="115"/>
      <x:c r="AH1137" s="115"/>
      <x:c r="AI1137" s="115"/>
      <x:c r="AJ1137" s="115"/>
      <x:c r="AK1137" s="115"/>
      <x:c r="AL1137" s="115"/>
      <x:c r="AM1137" s="115"/>
      <x:c r="AN1137" s="115"/>
      <x:c r="AO1137" s="115"/>
      <x:c r="AP1137" s="115"/>
      <x:c r="AQ1137" s="115"/>
      <x:c r="AR1137" s="115"/>
      <x:c r="AS1137" s="115"/>
      <x:c r="AT1137" s="115"/>
      <x:c r="AU1137" s="115"/>
      <x:c r="AV1137" s="115"/>
      <x:c r="AW1137" s="115"/>
      <x:c r="AX1137" s="115"/>
      <x:c r="AY1137" s="115"/>
      <x:c r="AZ1137" s="115"/>
      <x:c r="BA1137" s="115"/>
      <x:c r="BB1137" s="115"/>
      <x:c r="BC1137" s="115"/>
      <x:c r="BD1137" s="115"/>
      <x:c r="BE1137" s="115"/>
      <x:c r="BF1137" s="115"/>
      <x:c r="BG1137" s="115"/>
      <x:c r="BH1137" s="115"/>
      <x:c r="BI1137" s="115"/>
      <x:c r="BJ1137" s="115"/>
      <x:c r="BK1137" s="115"/>
      <x:c r="BL1137" s="115"/>
      <x:c r="BM1137" s="115"/>
      <x:c r="BN1137" s="115"/>
      <x:c r="BO1137" s="115"/>
      <x:c r="BP1137" s="115"/>
      <x:c r="BQ1137" s="115"/>
      <x:c r="BR1137" s="115"/>
      <x:c r="BS1137" s="115"/>
      <x:c r="BT1137" s="115"/>
      <x:c r="BU1137" s="115"/>
      <x:c r="BV1137" s="115"/>
      <x:c r="BW1137" s="115"/>
      <x:c r="BX1137" s="115"/>
      <x:c r="BY1137" s="115"/>
      <x:c r="BZ1137" s="115"/>
      <x:c r="CA1137" s="115"/>
      <x:c r="CB1137" s="116"/>
      <x:c r="CC1137" s="141" t="str">
        <x:f>IF(COUNT(G1137:P1137)=0,"",AVERAGE(G1137:P1137)*4)</x:f>
      </x:c>
      <x:c r="CD1137" s="178" t="str">
        <x:f>IF(COUNT(Q1137:Z1137)=0,"",AVERAGE(Q1137:Z1137)*4)</x:f>
      </x:c>
      <x:c r="CE1137" s="178" t="str">
        <x:f>IF(COUNT(AA1137:AJ1137)=0,"",AVERAGE(AA1137:AJ1137)*4)</x:f>
      </x:c>
      <x:c r="CF1137" s="178" t="str">
        <x:f>IF(COUNT(AK1137:AR1137)=0,"",AVERAGE(AK1137:AR1137)*4)</x:f>
      </x:c>
      <x:c r="CG1137" s="178" t="str">
        <x:f>IF(COUNT(AS1137:AY1137)=0,"",AVERAGE(AS1137:AY1137)*4)</x:f>
      </x:c>
      <x:c r="CH1137" s="178" t="str">
        <x:f>IF(COUNT(AZ1137:BG1137)=0,"",AVERAGE(AZ1137:BG1137)*4)</x:f>
      </x:c>
      <x:c r="CI1137" s="178" t="str">
        <x:f>IF(COUNT(BH1137:BN1137)=0,"",AVERAGE(BH1137:BN1137)*4)</x:f>
      </x:c>
      <x:c r="CJ1137" s="178" t="str">
        <x:f>IF(COUNT(BO1137:BU1137)=0,"",AVERAGE(BO1137:BU1137)*4)</x:f>
      </x:c>
      <x:c r="CK1137" s="178" t="str">
        <x:f>IF(COUNT(BV1137:CB1137)=0,"",AVERAGE(BV1137:CB1137)*4)</x:f>
      </x:c>
      <x:c r="CL1137" s="178" t="str">
        <x:f>IF(C1137="","",IF(COUNT(G1137:CB1137)&lt;74,"",(CC1137*'تنظیمات وزن‌دهی'!$C$5+CD1137*'تنظیمات وزن‌دهی'!$C$6+CE1137*'تنظیمات وزن‌دهی'!$C$7+CF1137*'تنظیمات وزن‌دهی'!$C$8+CG1137*'تنظیمات وزن‌دهی'!$C$9+CH1137*'تنظیمات وزن‌دهی'!$C$10+CI1137*'تنظیمات وزن‌دهی'!$C$11+CJ1137*'تنظیمات وزن‌دهی'!$C$12+CK1137*'تنظیمات وزن‌دهی'!$C$13)/100))</x:f>
      </x:c>
      <x:c r="CM1137" s="178" t="str">
        <x:f>IF(C1137="","",IF(COUNT(G1137:CB1137)=0,"",IF(COUNT(G1137:CB1137)&lt;74,"موقت - اطلاعات ناقص",IF(CL1137&gt;=17,"عالی",IF(CL1137&gt;=14,"خوب",IF(CL1137&gt;=10,"متوسط","ضعیف"))))))</x:f>
      </x:c>
      <x:c r="CN1137" s="178" t="n">
        <x:v>5</x:v>
      </x:c>
      <x:c r="CO1137" s="142" t="n">
        <x:f>IF(C1137="","",COUNT(G1137:CB1137)/74)</x:f>
        <x:v>0</x:v>
      </x:c>
      <x:c r="CP1137" s="245"/>
    </x:row>
    <x:row r="1138">
      <x:c r="A1138" s="165" t="n">
        <x:v>1134</x:v>
      </x:c>
      <x:c r="B1138" s="233" t="str">
        <x:v>آذر</x:v>
      </x:c>
      <x:c r="C1138" s="233" t="n">
        <x:f>IF('دانش‌آموزان'!E99="","",'دانش‌آموزان'!B99)</x:f>
        <x:v>95</x:v>
      </x:c>
      <x:c r="D1138" s="233" t="str">
        <x:f>IF('دانش‌آموزان'!C99="","",'دانش‌آموزان'!C99)</x:f>
        <x:v>4000000950</x:v>
      </x:c>
      <x:c r="E1138" s="233" t="str">
        <x:f>IF('دانش‌آموزان'!E99="","",'دانش‌آموزان'!E99&amp;" "&amp;'دانش‌آموزان'!F99)</x:f>
        <x:v>ماهان سلیمانی</x:v>
      </x:c>
      <x:c r="F1138" s="166" t="str">
        <x:f>IF('دانش‌آموزان'!I99="","",'دانش‌آموزان'!I99)</x:f>
        <x:v>sample-7-d</x:v>
      </x:c>
      <x:c r="G1138" s="114"/>
      <x:c r="H1138" s="115"/>
      <x:c r="I1138" s="115"/>
      <x:c r="J1138" s="115"/>
      <x:c r="K1138" s="115"/>
      <x:c r="L1138" s="115"/>
      <x:c r="M1138" s="115"/>
      <x:c r="N1138" s="115"/>
      <x:c r="O1138" s="115"/>
      <x:c r="P1138" s="115"/>
      <x:c r="Q1138" s="115"/>
      <x:c r="R1138" s="115"/>
      <x:c r="S1138" s="115"/>
      <x:c r="T1138" s="115"/>
      <x:c r="U1138" s="115"/>
      <x:c r="V1138" s="115"/>
      <x:c r="W1138" s="115"/>
      <x:c r="X1138" s="115"/>
      <x:c r="Y1138" s="115"/>
      <x:c r="Z1138" s="115"/>
      <x:c r="AA1138" s="115"/>
      <x:c r="AB1138" s="115"/>
      <x:c r="AC1138" s="115"/>
      <x:c r="AD1138" s="115"/>
      <x:c r="AE1138" s="115"/>
      <x:c r="AF1138" s="115"/>
      <x:c r="AG1138" s="115"/>
      <x:c r="AH1138" s="115"/>
      <x:c r="AI1138" s="115"/>
      <x:c r="AJ1138" s="115"/>
      <x:c r="AK1138" s="115"/>
      <x:c r="AL1138" s="115"/>
      <x:c r="AM1138" s="115"/>
      <x:c r="AN1138" s="115"/>
      <x:c r="AO1138" s="115"/>
      <x:c r="AP1138" s="115"/>
      <x:c r="AQ1138" s="115"/>
      <x:c r="AR1138" s="115"/>
      <x:c r="AS1138" s="115"/>
      <x:c r="AT1138" s="115"/>
      <x:c r="AU1138" s="115"/>
      <x:c r="AV1138" s="115"/>
      <x:c r="AW1138" s="115"/>
      <x:c r="AX1138" s="115"/>
      <x:c r="AY1138" s="115"/>
      <x:c r="AZ1138" s="115"/>
      <x:c r="BA1138" s="115"/>
      <x:c r="BB1138" s="115"/>
      <x:c r="BC1138" s="115"/>
      <x:c r="BD1138" s="115"/>
      <x:c r="BE1138" s="115"/>
      <x:c r="BF1138" s="115"/>
      <x:c r="BG1138" s="115"/>
      <x:c r="BH1138" s="115"/>
      <x:c r="BI1138" s="115"/>
      <x:c r="BJ1138" s="115"/>
      <x:c r="BK1138" s="115"/>
      <x:c r="BL1138" s="115"/>
      <x:c r="BM1138" s="115"/>
      <x:c r="BN1138" s="115"/>
      <x:c r="BO1138" s="115"/>
      <x:c r="BP1138" s="115"/>
      <x:c r="BQ1138" s="115"/>
      <x:c r="BR1138" s="115"/>
      <x:c r="BS1138" s="115"/>
      <x:c r="BT1138" s="115"/>
      <x:c r="BU1138" s="115"/>
      <x:c r="BV1138" s="115"/>
      <x:c r="BW1138" s="115"/>
      <x:c r="BX1138" s="115"/>
      <x:c r="BY1138" s="115"/>
      <x:c r="BZ1138" s="115"/>
      <x:c r="CA1138" s="115"/>
      <x:c r="CB1138" s="116"/>
      <x:c r="CC1138" s="141" t="str">
        <x:f>IF(COUNT(G1138:P1138)=0,"",AVERAGE(G1138:P1138)*4)</x:f>
      </x:c>
      <x:c r="CD1138" s="178" t="str">
        <x:f>IF(COUNT(Q1138:Z1138)=0,"",AVERAGE(Q1138:Z1138)*4)</x:f>
      </x:c>
      <x:c r="CE1138" s="178" t="str">
        <x:f>IF(COUNT(AA1138:AJ1138)=0,"",AVERAGE(AA1138:AJ1138)*4)</x:f>
      </x:c>
      <x:c r="CF1138" s="178" t="str">
        <x:f>IF(COUNT(AK1138:AR1138)=0,"",AVERAGE(AK1138:AR1138)*4)</x:f>
      </x:c>
      <x:c r="CG1138" s="178" t="str">
        <x:f>IF(COUNT(AS1138:AY1138)=0,"",AVERAGE(AS1138:AY1138)*4)</x:f>
      </x:c>
      <x:c r="CH1138" s="178" t="str">
        <x:f>IF(COUNT(AZ1138:BG1138)=0,"",AVERAGE(AZ1138:BG1138)*4)</x:f>
      </x:c>
      <x:c r="CI1138" s="178" t="str">
        <x:f>IF(COUNT(BH1138:BN1138)=0,"",AVERAGE(BH1138:BN1138)*4)</x:f>
      </x:c>
      <x:c r="CJ1138" s="178" t="str">
        <x:f>IF(COUNT(BO1138:BU1138)=0,"",AVERAGE(BO1138:BU1138)*4)</x:f>
      </x:c>
      <x:c r="CK1138" s="178" t="str">
        <x:f>IF(COUNT(BV1138:CB1138)=0,"",AVERAGE(BV1138:CB1138)*4)</x:f>
      </x:c>
      <x:c r="CL1138" s="178" t="str">
        <x:f>IF(C1138="","",IF(COUNT(G1138:CB1138)&lt;74,"",(CC1138*'تنظیمات وزن‌دهی'!$C$5+CD1138*'تنظیمات وزن‌دهی'!$C$6+CE1138*'تنظیمات وزن‌دهی'!$C$7+CF1138*'تنظیمات وزن‌دهی'!$C$8+CG1138*'تنظیمات وزن‌دهی'!$C$9+CH1138*'تنظیمات وزن‌دهی'!$C$10+CI1138*'تنظیمات وزن‌دهی'!$C$11+CJ1138*'تنظیمات وزن‌دهی'!$C$12+CK1138*'تنظیمات وزن‌دهی'!$C$13)/100))</x:f>
      </x:c>
      <x:c r="CM1138" s="178" t="str">
        <x:f>IF(C1138="","",IF(COUNT(G1138:CB1138)=0,"",IF(COUNT(G1138:CB1138)&lt;74,"موقت - اطلاعات ناقص",IF(CL1138&gt;=17,"عالی",IF(CL1138&gt;=14,"خوب",IF(CL1138&gt;=10,"متوسط","ضعیف"))))))</x:f>
      </x:c>
      <x:c r="CN1138" s="178" t="n">
        <x:v>6</x:v>
      </x:c>
      <x:c r="CO1138" s="142" t="n">
        <x:f>IF(C1138="","",COUNT(G1138:CB1138)/74)</x:f>
        <x:v>0</x:v>
      </x:c>
      <x:c r="CP1138" s="245"/>
    </x:row>
    <x:row r="1139">
      <x:c r="A1139" s="165" t="n">
        <x:v>1135</x:v>
      </x:c>
      <x:c r="B1139" s="233" t="str">
        <x:v>دی</x:v>
      </x:c>
      <x:c r="C1139" s="233" t="n">
        <x:f>IF('دانش‌آموزان'!E99="","",'دانش‌آموزان'!B99)</x:f>
        <x:v>95</x:v>
      </x:c>
      <x:c r="D1139" s="233" t="str">
        <x:f>IF('دانش‌آموزان'!C99="","",'دانش‌آموزان'!C99)</x:f>
        <x:v>4000000950</x:v>
      </x:c>
      <x:c r="E1139" s="233" t="str">
        <x:f>IF('دانش‌آموزان'!E99="","",'دانش‌آموزان'!E99&amp;" "&amp;'دانش‌آموزان'!F99)</x:f>
        <x:v>ماهان سلیمانی</x:v>
      </x:c>
      <x:c r="F1139" s="166" t="str">
        <x:f>IF('دانش‌آموزان'!I99="","",'دانش‌آموزان'!I99)</x:f>
        <x:v>sample-7-d</x:v>
      </x:c>
      <x:c r="G1139" s="114"/>
      <x:c r="H1139" s="115"/>
      <x:c r="I1139" s="115"/>
      <x:c r="J1139" s="115"/>
      <x:c r="K1139" s="115"/>
      <x:c r="L1139" s="115"/>
      <x:c r="M1139" s="115"/>
      <x:c r="N1139" s="115"/>
      <x:c r="O1139" s="115"/>
      <x:c r="P1139" s="115"/>
      <x:c r="Q1139" s="115"/>
      <x:c r="R1139" s="115"/>
      <x:c r="S1139" s="115"/>
      <x:c r="T1139" s="115"/>
      <x:c r="U1139" s="115"/>
      <x:c r="V1139" s="115"/>
      <x:c r="W1139" s="115"/>
      <x:c r="X1139" s="115"/>
      <x:c r="Y1139" s="115"/>
      <x:c r="Z1139" s="115"/>
      <x:c r="AA1139" s="115"/>
      <x:c r="AB1139" s="115"/>
      <x:c r="AC1139" s="115"/>
      <x:c r="AD1139" s="115"/>
      <x:c r="AE1139" s="115"/>
      <x:c r="AF1139" s="115"/>
      <x:c r="AG1139" s="115"/>
      <x:c r="AH1139" s="115"/>
      <x:c r="AI1139" s="115"/>
      <x:c r="AJ1139" s="115"/>
      <x:c r="AK1139" s="115"/>
      <x:c r="AL1139" s="115"/>
      <x:c r="AM1139" s="115"/>
      <x:c r="AN1139" s="115"/>
      <x:c r="AO1139" s="115"/>
      <x:c r="AP1139" s="115"/>
      <x:c r="AQ1139" s="115"/>
      <x:c r="AR1139" s="115"/>
      <x:c r="AS1139" s="115"/>
      <x:c r="AT1139" s="115"/>
      <x:c r="AU1139" s="115"/>
      <x:c r="AV1139" s="115"/>
      <x:c r="AW1139" s="115"/>
      <x:c r="AX1139" s="115"/>
      <x:c r="AY1139" s="115"/>
      <x:c r="AZ1139" s="115"/>
      <x:c r="BA1139" s="115"/>
      <x:c r="BB1139" s="115"/>
      <x:c r="BC1139" s="115"/>
      <x:c r="BD1139" s="115"/>
      <x:c r="BE1139" s="115"/>
      <x:c r="BF1139" s="115"/>
      <x:c r="BG1139" s="115"/>
      <x:c r="BH1139" s="115"/>
      <x:c r="BI1139" s="115"/>
      <x:c r="BJ1139" s="115"/>
      <x:c r="BK1139" s="115"/>
      <x:c r="BL1139" s="115"/>
      <x:c r="BM1139" s="115"/>
      <x:c r="BN1139" s="115"/>
      <x:c r="BO1139" s="115"/>
      <x:c r="BP1139" s="115"/>
      <x:c r="BQ1139" s="115"/>
      <x:c r="BR1139" s="115"/>
      <x:c r="BS1139" s="115"/>
      <x:c r="BT1139" s="115"/>
      <x:c r="BU1139" s="115"/>
      <x:c r="BV1139" s="115"/>
      <x:c r="BW1139" s="115"/>
      <x:c r="BX1139" s="115"/>
      <x:c r="BY1139" s="115"/>
      <x:c r="BZ1139" s="115"/>
      <x:c r="CA1139" s="115"/>
      <x:c r="CB1139" s="116"/>
      <x:c r="CC1139" s="141" t="str">
        <x:f>IF(COUNT(G1139:P1139)=0,"",AVERAGE(G1139:P1139)*4)</x:f>
      </x:c>
      <x:c r="CD1139" s="178" t="str">
        <x:f>IF(COUNT(Q1139:Z1139)=0,"",AVERAGE(Q1139:Z1139)*4)</x:f>
      </x:c>
      <x:c r="CE1139" s="178" t="str">
        <x:f>IF(COUNT(AA1139:AJ1139)=0,"",AVERAGE(AA1139:AJ1139)*4)</x:f>
      </x:c>
      <x:c r="CF1139" s="178" t="str">
        <x:f>IF(COUNT(AK1139:AR1139)=0,"",AVERAGE(AK1139:AR1139)*4)</x:f>
      </x:c>
      <x:c r="CG1139" s="178" t="str">
        <x:f>IF(COUNT(AS1139:AY1139)=0,"",AVERAGE(AS1139:AY1139)*4)</x:f>
      </x:c>
      <x:c r="CH1139" s="178" t="str">
        <x:f>IF(COUNT(AZ1139:BG1139)=0,"",AVERAGE(AZ1139:BG1139)*4)</x:f>
      </x:c>
      <x:c r="CI1139" s="178" t="str">
        <x:f>IF(COUNT(BH1139:BN1139)=0,"",AVERAGE(BH1139:BN1139)*4)</x:f>
      </x:c>
      <x:c r="CJ1139" s="178" t="str">
        <x:f>IF(COUNT(BO1139:BU1139)=0,"",AVERAGE(BO1139:BU1139)*4)</x:f>
      </x:c>
      <x:c r="CK1139" s="178" t="str">
        <x:f>IF(COUNT(BV1139:CB1139)=0,"",AVERAGE(BV1139:CB1139)*4)</x:f>
      </x:c>
      <x:c r="CL1139" s="178" t="str">
        <x:f>IF(C1139="","",IF(COUNT(G1139:CB1139)&lt;74,"",(CC1139*'تنظیمات وزن‌دهی'!$C$5+CD1139*'تنظیمات وزن‌دهی'!$C$6+CE1139*'تنظیمات وزن‌دهی'!$C$7+CF1139*'تنظیمات وزن‌دهی'!$C$8+CG1139*'تنظیمات وزن‌دهی'!$C$9+CH1139*'تنظیمات وزن‌دهی'!$C$10+CI1139*'تنظیمات وزن‌دهی'!$C$11+CJ1139*'تنظیمات وزن‌دهی'!$C$12+CK1139*'تنظیمات وزن‌دهی'!$C$13)/100))</x:f>
      </x:c>
      <x:c r="CM1139" s="178" t="str">
        <x:f>IF(C1139="","",IF(COUNT(G1139:CB1139)=0,"",IF(COUNT(G1139:CB1139)&lt;74,"موقت - اطلاعات ناقص",IF(CL1139&gt;=17,"عالی",IF(CL1139&gt;=14,"خوب",IF(CL1139&gt;=10,"متوسط","ضعیف"))))))</x:f>
      </x:c>
      <x:c r="CN1139" s="178" t="n">
        <x:v>7</x:v>
      </x:c>
      <x:c r="CO1139" s="142" t="n">
        <x:f>IF(C1139="","",COUNT(G1139:CB1139)/74)</x:f>
        <x:v>0</x:v>
      </x:c>
      <x:c r="CP1139" s="245"/>
    </x:row>
    <x:row r="1140">
      <x:c r="A1140" s="165" t="n">
        <x:v>1136</x:v>
      </x:c>
      <x:c r="B1140" s="233" t="str">
        <x:v>بهمن</x:v>
      </x:c>
      <x:c r="C1140" s="233" t="n">
        <x:f>IF('دانش‌آموزان'!E99="","",'دانش‌آموزان'!B99)</x:f>
        <x:v>95</x:v>
      </x:c>
      <x:c r="D1140" s="233" t="str">
        <x:f>IF('دانش‌آموزان'!C99="","",'دانش‌آموزان'!C99)</x:f>
        <x:v>4000000950</x:v>
      </x:c>
      <x:c r="E1140" s="233" t="str">
        <x:f>IF('دانش‌آموزان'!E99="","",'دانش‌آموزان'!E99&amp;" "&amp;'دانش‌آموزان'!F99)</x:f>
        <x:v>ماهان سلیمانی</x:v>
      </x:c>
      <x:c r="F1140" s="166" t="str">
        <x:f>IF('دانش‌آموزان'!I99="","",'دانش‌آموزان'!I99)</x:f>
        <x:v>sample-7-d</x:v>
      </x:c>
      <x:c r="G1140" s="114"/>
      <x:c r="H1140" s="115"/>
      <x:c r="I1140" s="115"/>
      <x:c r="J1140" s="115"/>
      <x:c r="K1140" s="115"/>
      <x:c r="L1140" s="115"/>
      <x:c r="M1140" s="115"/>
      <x:c r="N1140" s="115"/>
      <x:c r="O1140" s="115"/>
      <x:c r="P1140" s="115"/>
      <x:c r="Q1140" s="115"/>
      <x:c r="R1140" s="115"/>
      <x:c r="S1140" s="115"/>
      <x:c r="T1140" s="115"/>
      <x:c r="U1140" s="115"/>
      <x:c r="V1140" s="115"/>
      <x:c r="W1140" s="115"/>
      <x:c r="X1140" s="115"/>
      <x:c r="Y1140" s="115"/>
      <x:c r="Z1140" s="115"/>
      <x:c r="AA1140" s="115"/>
      <x:c r="AB1140" s="115"/>
      <x:c r="AC1140" s="115"/>
      <x:c r="AD1140" s="115"/>
      <x:c r="AE1140" s="115"/>
      <x:c r="AF1140" s="115"/>
      <x:c r="AG1140" s="115"/>
      <x:c r="AH1140" s="115"/>
      <x:c r="AI1140" s="115"/>
      <x:c r="AJ1140" s="115"/>
      <x:c r="AK1140" s="115"/>
      <x:c r="AL1140" s="115"/>
      <x:c r="AM1140" s="115"/>
      <x:c r="AN1140" s="115"/>
      <x:c r="AO1140" s="115"/>
      <x:c r="AP1140" s="115"/>
      <x:c r="AQ1140" s="115"/>
      <x:c r="AR1140" s="115"/>
      <x:c r="AS1140" s="115"/>
      <x:c r="AT1140" s="115"/>
      <x:c r="AU1140" s="115"/>
      <x:c r="AV1140" s="115"/>
      <x:c r="AW1140" s="115"/>
      <x:c r="AX1140" s="115"/>
      <x:c r="AY1140" s="115"/>
      <x:c r="AZ1140" s="115"/>
      <x:c r="BA1140" s="115"/>
      <x:c r="BB1140" s="115"/>
      <x:c r="BC1140" s="115"/>
      <x:c r="BD1140" s="115"/>
      <x:c r="BE1140" s="115"/>
      <x:c r="BF1140" s="115"/>
      <x:c r="BG1140" s="115"/>
      <x:c r="BH1140" s="115"/>
      <x:c r="BI1140" s="115"/>
      <x:c r="BJ1140" s="115"/>
      <x:c r="BK1140" s="115"/>
      <x:c r="BL1140" s="115"/>
      <x:c r="BM1140" s="115"/>
      <x:c r="BN1140" s="115"/>
      <x:c r="BO1140" s="115"/>
      <x:c r="BP1140" s="115"/>
      <x:c r="BQ1140" s="115"/>
      <x:c r="BR1140" s="115"/>
      <x:c r="BS1140" s="115"/>
      <x:c r="BT1140" s="115"/>
      <x:c r="BU1140" s="115"/>
      <x:c r="BV1140" s="115"/>
      <x:c r="BW1140" s="115"/>
      <x:c r="BX1140" s="115"/>
      <x:c r="BY1140" s="115"/>
      <x:c r="BZ1140" s="115"/>
      <x:c r="CA1140" s="115"/>
      <x:c r="CB1140" s="116"/>
      <x:c r="CC1140" s="141" t="str">
        <x:f>IF(COUNT(G1140:P1140)=0,"",AVERAGE(G1140:P1140)*4)</x:f>
      </x:c>
      <x:c r="CD1140" s="178" t="str">
        <x:f>IF(COUNT(Q1140:Z1140)=0,"",AVERAGE(Q1140:Z1140)*4)</x:f>
      </x:c>
      <x:c r="CE1140" s="178" t="str">
        <x:f>IF(COUNT(AA1140:AJ1140)=0,"",AVERAGE(AA1140:AJ1140)*4)</x:f>
      </x:c>
      <x:c r="CF1140" s="178" t="str">
        <x:f>IF(COUNT(AK1140:AR1140)=0,"",AVERAGE(AK1140:AR1140)*4)</x:f>
      </x:c>
      <x:c r="CG1140" s="178" t="str">
        <x:f>IF(COUNT(AS1140:AY1140)=0,"",AVERAGE(AS1140:AY1140)*4)</x:f>
      </x:c>
      <x:c r="CH1140" s="178" t="str">
        <x:f>IF(COUNT(AZ1140:BG1140)=0,"",AVERAGE(AZ1140:BG1140)*4)</x:f>
      </x:c>
      <x:c r="CI1140" s="178" t="str">
        <x:f>IF(COUNT(BH1140:BN1140)=0,"",AVERAGE(BH1140:BN1140)*4)</x:f>
      </x:c>
      <x:c r="CJ1140" s="178" t="str">
        <x:f>IF(COUNT(BO1140:BU1140)=0,"",AVERAGE(BO1140:BU1140)*4)</x:f>
      </x:c>
      <x:c r="CK1140" s="178" t="str">
        <x:f>IF(COUNT(BV1140:CB1140)=0,"",AVERAGE(BV1140:CB1140)*4)</x:f>
      </x:c>
      <x:c r="CL1140" s="178" t="str">
        <x:f>IF(C1140="","",IF(COUNT(G1140:CB1140)&lt;74,"",(CC1140*'تنظیمات وزن‌دهی'!$C$5+CD1140*'تنظیمات وزن‌دهی'!$C$6+CE1140*'تنظیمات وزن‌دهی'!$C$7+CF1140*'تنظیمات وزن‌دهی'!$C$8+CG1140*'تنظیمات وزن‌دهی'!$C$9+CH1140*'تنظیمات وزن‌دهی'!$C$10+CI1140*'تنظیمات وزن‌دهی'!$C$11+CJ1140*'تنظیمات وزن‌دهی'!$C$12+CK1140*'تنظیمات وزن‌دهی'!$C$13)/100))</x:f>
      </x:c>
      <x:c r="CM1140" s="178" t="str">
        <x:f>IF(C1140="","",IF(COUNT(G1140:CB1140)=0,"",IF(COUNT(G1140:CB1140)&lt;74,"موقت - اطلاعات ناقص",IF(CL1140&gt;=17,"عالی",IF(CL1140&gt;=14,"خوب",IF(CL1140&gt;=10,"متوسط","ضعیف"))))))</x:f>
      </x:c>
      <x:c r="CN1140" s="178" t="n">
        <x:v>8</x:v>
      </x:c>
      <x:c r="CO1140" s="142" t="n">
        <x:f>IF(C1140="","",COUNT(G1140:CB1140)/74)</x:f>
        <x:v>0</x:v>
      </x:c>
      <x:c r="CP1140" s="245"/>
    </x:row>
    <x:row r="1141">
      <x:c r="A1141" s="165" t="n">
        <x:v>1137</x:v>
      </x:c>
      <x:c r="B1141" s="233" t="str">
        <x:v>اسفند</x:v>
      </x:c>
      <x:c r="C1141" s="233" t="n">
        <x:f>IF('دانش‌آموزان'!E99="","",'دانش‌آموزان'!B99)</x:f>
        <x:v>95</x:v>
      </x:c>
      <x:c r="D1141" s="233" t="str">
        <x:f>IF('دانش‌آموزان'!C99="","",'دانش‌آموزان'!C99)</x:f>
        <x:v>4000000950</x:v>
      </x:c>
      <x:c r="E1141" s="233" t="str">
        <x:f>IF('دانش‌آموزان'!E99="","",'دانش‌آموزان'!E99&amp;" "&amp;'دانش‌آموزان'!F99)</x:f>
        <x:v>ماهان سلیمانی</x:v>
      </x:c>
      <x:c r="F1141" s="166" t="str">
        <x:f>IF('دانش‌آموزان'!I99="","",'دانش‌آموزان'!I99)</x:f>
        <x:v>sample-7-d</x:v>
      </x:c>
      <x:c r="G1141" s="114"/>
      <x:c r="H1141" s="115"/>
      <x:c r="I1141" s="115"/>
      <x:c r="J1141" s="115"/>
      <x:c r="K1141" s="115"/>
      <x:c r="L1141" s="115"/>
      <x:c r="M1141" s="115"/>
      <x:c r="N1141" s="115"/>
      <x:c r="O1141" s="115"/>
      <x:c r="P1141" s="115"/>
      <x:c r="Q1141" s="115"/>
      <x:c r="R1141" s="115"/>
      <x:c r="S1141" s="115"/>
      <x:c r="T1141" s="115"/>
      <x:c r="U1141" s="115"/>
      <x:c r="V1141" s="115"/>
      <x:c r="W1141" s="115"/>
      <x:c r="X1141" s="115"/>
      <x:c r="Y1141" s="115"/>
      <x:c r="Z1141" s="115"/>
      <x:c r="AA1141" s="115"/>
      <x:c r="AB1141" s="115"/>
      <x:c r="AC1141" s="115"/>
      <x:c r="AD1141" s="115"/>
      <x:c r="AE1141" s="115"/>
      <x:c r="AF1141" s="115"/>
      <x:c r="AG1141" s="115"/>
      <x:c r="AH1141" s="115"/>
      <x:c r="AI1141" s="115"/>
      <x:c r="AJ1141" s="115"/>
      <x:c r="AK1141" s="115"/>
      <x:c r="AL1141" s="115"/>
      <x:c r="AM1141" s="115"/>
      <x:c r="AN1141" s="115"/>
      <x:c r="AO1141" s="115"/>
      <x:c r="AP1141" s="115"/>
      <x:c r="AQ1141" s="115"/>
      <x:c r="AR1141" s="115"/>
      <x:c r="AS1141" s="115"/>
      <x:c r="AT1141" s="115"/>
      <x:c r="AU1141" s="115"/>
      <x:c r="AV1141" s="115"/>
      <x:c r="AW1141" s="115"/>
      <x:c r="AX1141" s="115"/>
      <x:c r="AY1141" s="115"/>
      <x:c r="AZ1141" s="115"/>
      <x:c r="BA1141" s="115"/>
      <x:c r="BB1141" s="115"/>
      <x:c r="BC1141" s="115"/>
      <x:c r="BD1141" s="115"/>
      <x:c r="BE1141" s="115"/>
      <x:c r="BF1141" s="115"/>
      <x:c r="BG1141" s="115"/>
      <x:c r="BH1141" s="115"/>
      <x:c r="BI1141" s="115"/>
      <x:c r="BJ1141" s="115"/>
      <x:c r="BK1141" s="115"/>
      <x:c r="BL1141" s="115"/>
      <x:c r="BM1141" s="115"/>
      <x:c r="BN1141" s="115"/>
      <x:c r="BO1141" s="115"/>
      <x:c r="BP1141" s="115"/>
      <x:c r="BQ1141" s="115"/>
      <x:c r="BR1141" s="115"/>
      <x:c r="BS1141" s="115"/>
      <x:c r="BT1141" s="115"/>
      <x:c r="BU1141" s="115"/>
      <x:c r="BV1141" s="115"/>
      <x:c r="BW1141" s="115"/>
      <x:c r="BX1141" s="115"/>
      <x:c r="BY1141" s="115"/>
      <x:c r="BZ1141" s="115"/>
      <x:c r="CA1141" s="115"/>
      <x:c r="CB1141" s="116"/>
      <x:c r="CC1141" s="141" t="str">
        <x:f>IF(COUNT(G1141:P1141)=0,"",AVERAGE(G1141:P1141)*4)</x:f>
      </x:c>
      <x:c r="CD1141" s="178" t="str">
        <x:f>IF(COUNT(Q1141:Z1141)=0,"",AVERAGE(Q1141:Z1141)*4)</x:f>
      </x:c>
      <x:c r="CE1141" s="178" t="str">
        <x:f>IF(COUNT(AA1141:AJ1141)=0,"",AVERAGE(AA1141:AJ1141)*4)</x:f>
      </x:c>
      <x:c r="CF1141" s="178" t="str">
        <x:f>IF(COUNT(AK1141:AR1141)=0,"",AVERAGE(AK1141:AR1141)*4)</x:f>
      </x:c>
      <x:c r="CG1141" s="178" t="str">
        <x:f>IF(COUNT(AS1141:AY1141)=0,"",AVERAGE(AS1141:AY1141)*4)</x:f>
      </x:c>
      <x:c r="CH1141" s="178" t="str">
        <x:f>IF(COUNT(AZ1141:BG1141)=0,"",AVERAGE(AZ1141:BG1141)*4)</x:f>
      </x:c>
      <x:c r="CI1141" s="178" t="str">
        <x:f>IF(COUNT(BH1141:BN1141)=0,"",AVERAGE(BH1141:BN1141)*4)</x:f>
      </x:c>
      <x:c r="CJ1141" s="178" t="str">
        <x:f>IF(COUNT(BO1141:BU1141)=0,"",AVERAGE(BO1141:BU1141)*4)</x:f>
      </x:c>
      <x:c r="CK1141" s="178" t="str">
        <x:f>IF(COUNT(BV1141:CB1141)=0,"",AVERAGE(BV1141:CB1141)*4)</x:f>
      </x:c>
      <x:c r="CL1141" s="178" t="str">
        <x:f>IF(C1141="","",IF(COUNT(G1141:CB1141)&lt;74,"",(CC1141*'تنظیمات وزن‌دهی'!$C$5+CD1141*'تنظیمات وزن‌دهی'!$C$6+CE1141*'تنظیمات وزن‌دهی'!$C$7+CF1141*'تنظیمات وزن‌دهی'!$C$8+CG1141*'تنظیمات وزن‌دهی'!$C$9+CH1141*'تنظیمات وزن‌دهی'!$C$10+CI1141*'تنظیمات وزن‌دهی'!$C$11+CJ1141*'تنظیمات وزن‌دهی'!$C$12+CK1141*'تنظیمات وزن‌دهی'!$C$13)/100))</x:f>
      </x:c>
      <x:c r="CM1141" s="178" t="str">
        <x:f>IF(C1141="","",IF(COUNT(G1141:CB1141)=0,"",IF(COUNT(G1141:CB1141)&lt;74,"موقت - اطلاعات ناقص",IF(CL1141&gt;=17,"عالی",IF(CL1141&gt;=14,"خوب",IF(CL1141&gt;=10,"متوسط","ضعیف"))))))</x:f>
      </x:c>
      <x:c r="CN1141" s="178" t="n">
        <x:v>9</x:v>
      </x:c>
      <x:c r="CO1141" s="142" t="n">
        <x:f>IF(C1141="","",COUNT(G1141:CB1141)/74)</x:f>
        <x:v>0</x:v>
      </x:c>
      <x:c r="CP1141" s="245"/>
    </x:row>
    <x:row r="1142">
      <x:c r="A1142" s="165" t="n">
        <x:v>1138</x:v>
      </x:c>
      <x:c r="B1142" s="233" t="str">
        <x:v>فروردین</x:v>
      </x:c>
      <x:c r="C1142" s="233" t="n">
        <x:f>IF('دانش‌آموزان'!E99="","",'دانش‌آموزان'!B99)</x:f>
        <x:v>95</x:v>
      </x:c>
      <x:c r="D1142" s="233" t="str">
        <x:f>IF('دانش‌آموزان'!C99="","",'دانش‌آموزان'!C99)</x:f>
        <x:v>4000000950</x:v>
      </x:c>
      <x:c r="E1142" s="233" t="str">
        <x:f>IF('دانش‌آموزان'!E99="","",'دانش‌آموزان'!E99&amp;" "&amp;'دانش‌آموزان'!F99)</x:f>
        <x:v>ماهان سلیمانی</x:v>
      </x:c>
      <x:c r="F1142" s="166" t="str">
        <x:f>IF('دانش‌آموزان'!I99="","",'دانش‌آموزان'!I99)</x:f>
        <x:v>sample-7-d</x:v>
      </x:c>
      <x:c r="G1142" s="114"/>
      <x:c r="H1142" s="115"/>
      <x:c r="I1142" s="115"/>
      <x:c r="J1142" s="115"/>
      <x:c r="K1142" s="115"/>
      <x:c r="L1142" s="115"/>
      <x:c r="M1142" s="115"/>
      <x:c r="N1142" s="115"/>
      <x:c r="O1142" s="115"/>
      <x:c r="P1142" s="115"/>
      <x:c r="Q1142" s="115"/>
      <x:c r="R1142" s="115"/>
      <x:c r="S1142" s="115"/>
      <x:c r="T1142" s="115"/>
      <x:c r="U1142" s="115"/>
      <x:c r="V1142" s="115"/>
      <x:c r="W1142" s="115"/>
      <x:c r="X1142" s="115"/>
      <x:c r="Y1142" s="115"/>
      <x:c r="Z1142" s="115"/>
      <x:c r="AA1142" s="115"/>
      <x:c r="AB1142" s="115"/>
      <x:c r="AC1142" s="115"/>
      <x:c r="AD1142" s="115"/>
      <x:c r="AE1142" s="115"/>
      <x:c r="AF1142" s="115"/>
      <x:c r="AG1142" s="115"/>
      <x:c r="AH1142" s="115"/>
      <x:c r="AI1142" s="115"/>
      <x:c r="AJ1142" s="115"/>
      <x:c r="AK1142" s="115"/>
      <x:c r="AL1142" s="115"/>
      <x:c r="AM1142" s="115"/>
      <x:c r="AN1142" s="115"/>
      <x:c r="AO1142" s="115"/>
      <x:c r="AP1142" s="115"/>
      <x:c r="AQ1142" s="115"/>
      <x:c r="AR1142" s="115"/>
      <x:c r="AS1142" s="115"/>
      <x:c r="AT1142" s="115"/>
      <x:c r="AU1142" s="115"/>
      <x:c r="AV1142" s="115"/>
      <x:c r="AW1142" s="115"/>
      <x:c r="AX1142" s="115"/>
      <x:c r="AY1142" s="115"/>
      <x:c r="AZ1142" s="115"/>
      <x:c r="BA1142" s="115"/>
      <x:c r="BB1142" s="115"/>
      <x:c r="BC1142" s="115"/>
      <x:c r="BD1142" s="115"/>
      <x:c r="BE1142" s="115"/>
      <x:c r="BF1142" s="115"/>
      <x:c r="BG1142" s="115"/>
      <x:c r="BH1142" s="115"/>
      <x:c r="BI1142" s="115"/>
      <x:c r="BJ1142" s="115"/>
      <x:c r="BK1142" s="115"/>
      <x:c r="BL1142" s="115"/>
      <x:c r="BM1142" s="115"/>
      <x:c r="BN1142" s="115"/>
      <x:c r="BO1142" s="115"/>
      <x:c r="BP1142" s="115"/>
      <x:c r="BQ1142" s="115"/>
      <x:c r="BR1142" s="115"/>
      <x:c r="BS1142" s="115"/>
      <x:c r="BT1142" s="115"/>
      <x:c r="BU1142" s="115"/>
      <x:c r="BV1142" s="115"/>
      <x:c r="BW1142" s="115"/>
      <x:c r="BX1142" s="115"/>
      <x:c r="BY1142" s="115"/>
      <x:c r="BZ1142" s="115"/>
      <x:c r="CA1142" s="115"/>
      <x:c r="CB1142" s="116"/>
      <x:c r="CC1142" s="141" t="str">
        <x:f>IF(COUNT(G1142:P1142)=0,"",AVERAGE(G1142:P1142)*4)</x:f>
      </x:c>
      <x:c r="CD1142" s="178" t="str">
        <x:f>IF(COUNT(Q1142:Z1142)=0,"",AVERAGE(Q1142:Z1142)*4)</x:f>
      </x:c>
      <x:c r="CE1142" s="178" t="str">
        <x:f>IF(COUNT(AA1142:AJ1142)=0,"",AVERAGE(AA1142:AJ1142)*4)</x:f>
      </x:c>
      <x:c r="CF1142" s="178" t="str">
        <x:f>IF(COUNT(AK1142:AR1142)=0,"",AVERAGE(AK1142:AR1142)*4)</x:f>
      </x:c>
      <x:c r="CG1142" s="178" t="str">
        <x:f>IF(COUNT(AS1142:AY1142)=0,"",AVERAGE(AS1142:AY1142)*4)</x:f>
      </x:c>
      <x:c r="CH1142" s="178" t="str">
        <x:f>IF(COUNT(AZ1142:BG1142)=0,"",AVERAGE(AZ1142:BG1142)*4)</x:f>
      </x:c>
      <x:c r="CI1142" s="178" t="str">
        <x:f>IF(COUNT(BH1142:BN1142)=0,"",AVERAGE(BH1142:BN1142)*4)</x:f>
      </x:c>
      <x:c r="CJ1142" s="178" t="str">
        <x:f>IF(COUNT(BO1142:BU1142)=0,"",AVERAGE(BO1142:BU1142)*4)</x:f>
      </x:c>
      <x:c r="CK1142" s="178" t="str">
        <x:f>IF(COUNT(BV1142:CB1142)=0,"",AVERAGE(BV1142:CB1142)*4)</x:f>
      </x:c>
      <x:c r="CL1142" s="178" t="str">
        <x:f>IF(C1142="","",IF(COUNT(G1142:CB1142)&lt;74,"",(CC1142*'تنظیمات وزن‌دهی'!$C$5+CD1142*'تنظیمات وزن‌دهی'!$C$6+CE1142*'تنظیمات وزن‌دهی'!$C$7+CF1142*'تنظیمات وزن‌دهی'!$C$8+CG1142*'تنظیمات وزن‌دهی'!$C$9+CH1142*'تنظیمات وزن‌دهی'!$C$10+CI1142*'تنظیمات وزن‌دهی'!$C$11+CJ1142*'تنظیمات وزن‌دهی'!$C$12+CK1142*'تنظیمات وزن‌دهی'!$C$13)/100))</x:f>
      </x:c>
      <x:c r="CM1142" s="178" t="str">
        <x:f>IF(C1142="","",IF(COUNT(G1142:CB1142)=0,"",IF(COUNT(G1142:CB1142)&lt;74,"موقت - اطلاعات ناقص",IF(CL1142&gt;=17,"عالی",IF(CL1142&gt;=14,"خوب",IF(CL1142&gt;=10,"متوسط","ضعیف"))))))</x:f>
      </x:c>
      <x:c r="CN1142" s="178" t="n">
        <x:v>10</x:v>
      </x:c>
      <x:c r="CO1142" s="142" t="n">
        <x:f>IF(C1142="","",COUNT(G1142:CB1142)/74)</x:f>
        <x:v>0</x:v>
      </x:c>
      <x:c r="CP1142" s="245"/>
    </x:row>
    <x:row r="1143">
      <x:c r="A1143" s="165" t="n">
        <x:v>1139</x:v>
      </x:c>
      <x:c r="B1143" s="233" t="str">
        <x:v>اردیبهشت</x:v>
      </x:c>
      <x:c r="C1143" s="233" t="n">
        <x:f>IF('دانش‌آموزان'!E99="","",'دانش‌آموزان'!B99)</x:f>
        <x:v>95</x:v>
      </x:c>
      <x:c r="D1143" s="233" t="str">
        <x:f>IF('دانش‌آموزان'!C99="","",'دانش‌آموزان'!C99)</x:f>
        <x:v>4000000950</x:v>
      </x:c>
      <x:c r="E1143" s="233" t="str">
        <x:f>IF('دانش‌آموزان'!E99="","",'دانش‌آموزان'!E99&amp;" "&amp;'دانش‌آموزان'!F99)</x:f>
        <x:v>ماهان سلیمانی</x:v>
      </x:c>
      <x:c r="F1143" s="166" t="str">
        <x:f>IF('دانش‌آموزان'!I99="","",'دانش‌آموزان'!I99)</x:f>
        <x:v>sample-7-d</x:v>
      </x:c>
      <x:c r="G1143" s="114"/>
      <x:c r="H1143" s="115"/>
      <x:c r="I1143" s="115"/>
      <x:c r="J1143" s="115"/>
      <x:c r="K1143" s="115"/>
      <x:c r="L1143" s="115"/>
      <x:c r="M1143" s="115"/>
      <x:c r="N1143" s="115"/>
      <x:c r="O1143" s="115"/>
      <x:c r="P1143" s="115"/>
      <x:c r="Q1143" s="115"/>
      <x:c r="R1143" s="115"/>
      <x:c r="S1143" s="115"/>
      <x:c r="T1143" s="115"/>
      <x:c r="U1143" s="115"/>
      <x:c r="V1143" s="115"/>
      <x:c r="W1143" s="115"/>
      <x:c r="X1143" s="115"/>
      <x:c r="Y1143" s="115"/>
      <x:c r="Z1143" s="115"/>
      <x:c r="AA1143" s="115"/>
      <x:c r="AB1143" s="115"/>
      <x:c r="AC1143" s="115"/>
      <x:c r="AD1143" s="115"/>
      <x:c r="AE1143" s="115"/>
      <x:c r="AF1143" s="115"/>
      <x:c r="AG1143" s="115"/>
      <x:c r="AH1143" s="115"/>
      <x:c r="AI1143" s="115"/>
      <x:c r="AJ1143" s="115"/>
      <x:c r="AK1143" s="115"/>
      <x:c r="AL1143" s="115"/>
      <x:c r="AM1143" s="115"/>
      <x:c r="AN1143" s="115"/>
      <x:c r="AO1143" s="115"/>
      <x:c r="AP1143" s="115"/>
      <x:c r="AQ1143" s="115"/>
      <x:c r="AR1143" s="115"/>
      <x:c r="AS1143" s="115"/>
      <x:c r="AT1143" s="115"/>
      <x:c r="AU1143" s="115"/>
      <x:c r="AV1143" s="115"/>
      <x:c r="AW1143" s="115"/>
      <x:c r="AX1143" s="115"/>
      <x:c r="AY1143" s="115"/>
      <x:c r="AZ1143" s="115"/>
      <x:c r="BA1143" s="115"/>
      <x:c r="BB1143" s="115"/>
      <x:c r="BC1143" s="115"/>
      <x:c r="BD1143" s="115"/>
      <x:c r="BE1143" s="115"/>
      <x:c r="BF1143" s="115"/>
      <x:c r="BG1143" s="115"/>
      <x:c r="BH1143" s="115"/>
      <x:c r="BI1143" s="115"/>
      <x:c r="BJ1143" s="115"/>
      <x:c r="BK1143" s="115"/>
      <x:c r="BL1143" s="115"/>
      <x:c r="BM1143" s="115"/>
      <x:c r="BN1143" s="115"/>
      <x:c r="BO1143" s="115"/>
      <x:c r="BP1143" s="115"/>
      <x:c r="BQ1143" s="115"/>
      <x:c r="BR1143" s="115"/>
      <x:c r="BS1143" s="115"/>
      <x:c r="BT1143" s="115"/>
      <x:c r="BU1143" s="115"/>
      <x:c r="BV1143" s="115"/>
      <x:c r="BW1143" s="115"/>
      <x:c r="BX1143" s="115"/>
      <x:c r="BY1143" s="115"/>
      <x:c r="BZ1143" s="115"/>
      <x:c r="CA1143" s="115"/>
      <x:c r="CB1143" s="116"/>
      <x:c r="CC1143" s="141" t="str">
        <x:f>IF(COUNT(G1143:P1143)=0,"",AVERAGE(G1143:P1143)*4)</x:f>
      </x:c>
      <x:c r="CD1143" s="178" t="str">
        <x:f>IF(COUNT(Q1143:Z1143)=0,"",AVERAGE(Q1143:Z1143)*4)</x:f>
      </x:c>
      <x:c r="CE1143" s="178" t="str">
        <x:f>IF(COUNT(AA1143:AJ1143)=0,"",AVERAGE(AA1143:AJ1143)*4)</x:f>
      </x:c>
      <x:c r="CF1143" s="178" t="str">
        <x:f>IF(COUNT(AK1143:AR1143)=0,"",AVERAGE(AK1143:AR1143)*4)</x:f>
      </x:c>
      <x:c r="CG1143" s="178" t="str">
        <x:f>IF(COUNT(AS1143:AY1143)=0,"",AVERAGE(AS1143:AY1143)*4)</x:f>
      </x:c>
      <x:c r="CH1143" s="178" t="str">
        <x:f>IF(COUNT(AZ1143:BG1143)=0,"",AVERAGE(AZ1143:BG1143)*4)</x:f>
      </x:c>
      <x:c r="CI1143" s="178" t="str">
        <x:f>IF(COUNT(BH1143:BN1143)=0,"",AVERAGE(BH1143:BN1143)*4)</x:f>
      </x:c>
      <x:c r="CJ1143" s="178" t="str">
        <x:f>IF(COUNT(BO1143:BU1143)=0,"",AVERAGE(BO1143:BU1143)*4)</x:f>
      </x:c>
      <x:c r="CK1143" s="178" t="str">
        <x:f>IF(COUNT(BV1143:CB1143)=0,"",AVERAGE(BV1143:CB1143)*4)</x:f>
      </x:c>
      <x:c r="CL1143" s="178" t="str">
        <x:f>IF(C1143="","",IF(COUNT(G1143:CB1143)&lt;74,"",(CC1143*'تنظیمات وزن‌دهی'!$C$5+CD1143*'تنظیمات وزن‌دهی'!$C$6+CE1143*'تنظیمات وزن‌دهی'!$C$7+CF1143*'تنظیمات وزن‌دهی'!$C$8+CG1143*'تنظیمات وزن‌دهی'!$C$9+CH1143*'تنظیمات وزن‌دهی'!$C$10+CI1143*'تنظیمات وزن‌دهی'!$C$11+CJ1143*'تنظیمات وزن‌دهی'!$C$12+CK1143*'تنظیمات وزن‌دهی'!$C$13)/100))</x:f>
      </x:c>
      <x:c r="CM1143" s="178" t="str">
        <x:f>IF(C1143="","",IF(COUNT(G1143:CB1143)=0,"",IF(COUNT(G1143:CB1143)&lt;74,"موقت - اطلاعات ناقص",IF(CL1143&gt;=17,"عالی",IF(CL1143&gt;=14,"خوب",IF(CL1143&gt;=10,"متوسط","ضعیف"))))))</x:f>
      </x:c>
      <x:c r="CN1143" s="178" t="n">
        <x:v>11</x:v>
      </x:c>
      <x:c r="CO1143" s="142" t="n">
        <x:f>IF(C1143="","",COUNT(G1143:CB1143)/74)</x:f>
        <x:v>0</x:v>
      </x:c>
      <x:c r="CP1143" s="245"/>
    </x:row>
    <x:row r="1144">
      <x:c r="A1144" s="165" t="n">
        <x:v>1140</x:v>
      </x:c>
      <x:c r="B1144" s="233" t="str">
        <x:v>خرداد</x:v>
      </x:c>
      <x:c r="C1144" s="233" t="n">
        <x:f>IF('دانش‌آموزان'!E99="","",'دانش‌آموزان'!B99)</x:f>
        <x:v>95</x:v>
      </x:c>
      <x:c r="D1144" s="233" t="str">
        <x:f>IF('دانش‌آموزان'!C99="","",'دانش‌آموزان'!C99)</x:f>
        <x:v>4000000950</x:v>
      </x:c>
      <x:c r="E1144" s="233" t="str">
        <x:f>IF('دانش‌آموزان'!E99="","",'دانش‌آموزان'!E99&amp;" "&amp;'دانش‌آموزان'!F99)</x:f>
        <x:v>ماهان سلیمانی</x:v>
      </x:c>
      <x:c r="F1144" s="166" t="str">
        <x:f>IF('دانش‌آموزان'!I99="","",'دانش‌آموزان'!I99)</x:f>
        <x:v>sample-7-d</x:v>
      </x:c>
      <x:c r="G1144" s="114"/>
      <x:c r="H1144" s="115"/>
      <x:c r="I1144" s="115"/>
      <x:c r="J1144" s="115"/>
      <x:c r="K1144" s="115"/>
      <x:c r="L1144" s="115"/>
      <x:c r="M1144" s="115"/>
      <x:c r="N1144" s="115"/>
      <x:c r="O1144" s="115"/>
      <x:c r="P1144" s="115"/>
      <x:c r="Q1144" s="115"/>
      <x:c r="R1144" s="115"/>
      <x:c r="S1144" s="115"/>
      <x:c r="T1144" s="115"/>
      <x:c r="U1144" s="115"/>
      <x:c r="V1144" s="115"/>
      <x:c r="W1144" s="115"/>
      <x:c r="X1144" s="115"/>
      <x:c r="Y1144" s="115"/>
      <x:c r="Z1144" s="115"/>
      <x:c r="AA1144" s="115"/>
      <x:c r="AB1144" s="115"/>
      <x:c r="AC1144" s="115"/>
      <x:c r="AD1144" s="115"/>
      <x:c r="AE1144" s="115"/>
      <x:c r="AF1144" s="115"/>
      <x:c r="AG1144" s="115"/>
      <x:c r="AH1144" s="115"/>
      <x:c r="AI1144" s="115"/>
      <x:c r="AJ1144" s="115"/>
      <x:c r="AK1144" s="115"/>
      <x:c r="AL1144" s="115"/>
      <x:c r="AM1144" s="115"/>
      <x:c r="AN1144" s="115"/>
      <x:c r="AO1144" s="115"/>
      <x:c r="AP1144" s="115"/>
      <x:c r="AQ1144" s="115"/>
      <x:c r="AR1144" s="115"/>
      <x:c r="AS1144" s="115"/>
      <x:c r="AT1144" s="115"/>
      <x:c r="AU1144" s="115"/>
      <x:c r="AV1144" s="115"/>
      <x:c r="AW1144" s="115"/>
      <x:c r="AX1144" s="115"/>
      <x:c r="AY1144" s="115"/>
      <x:c r="AZ1144" s="115"/>
      <x:c r="BA1144" s="115"/>
      <x:c r="BB1144" s="115"/>
      <x:c r="BC1144" s="115"/>
      <x:c r="BD1144" s="115"/>
      <x:c r="BE1144" s="115"/>
      <x:c r="BF1144" s="115"/>
      <x:c r="BG1144" s="115"/>
      <x:c r="BH1144" s="115"/>
      <x:c r="BI1144" s="115"/>
      <x:c r="BJ1144" s="115"/>
      <x:c r="BK1144" s="115"/>
      <x:c r="BL1144" s="115"/>
      <x:c r="BM1144" s="115"/>
      <x:c r="BN1144" s="115"/>
      <x:c r="BO1144" s="115"/>
      <x:c r="BP1144" s="115"/>
      <x:c r="BQ1144" s="115"/>
      <x:c r="BR1144" s="115"/>
      <x:c r="BS1144" s="115"/>
      <x:c r="BT1144" s="115"/>
      <x:c r="BU1144" s="115"/>
      <x:c r="BV1144" s="115"/>
      <x:c r="BW1144" s="115"/>
      <x:c r="BX1144" s="115"/>
      <x:c r="BY1144" s="115"/>
      <x:c r="BZ1144" s="115"/>
      <x:c r="CA1144" s="115"/>
      <x:c r="CB1144" s="116"/>
      <x:c r="CC1144" s="141" t="str">
        <x:f>IF(COUNT(G1144:P1144)=0,"",AVERAGE(G1144:P1144)*4)</x:f>
      </x:c>
      <x:c r="CD1144" s="178" t="str">
        <x:f>IF(COUNT(Q1144:Z1144)=0,"",AVERAGE(Q1144:Z1144)*4)</x:f>
      </x:c>
      <x:c r="CE1144" s="178" t="str">
        <x:f>IF(COUNT(AA1144:AJ1144)=0,"",AVERAGE(AA1144:AJ1144)*4)</x:f>
      </x:c>
      <x:c r="CF1144" s="178" t="str">
        <x:f>IF(COUNT(AK1144:AR1144)=0,"",AVERAGE(AK1144:AR1144)*4)</x:f>
      </x:c>
      <x:c r="CG1144" s="178" t="str">
        <x:f>IF(COUNT(AS1144:AY1144)=0,"",AVERAGE(AS1144:AY1144)*4)</x:f>
      </x:c>
      <x:c r="CH1144" s="178" t="str">
        <x:f>IF(COUNT(AZ1144:BG1144)=0,"",AVERAGE(AZ1144:BG1144)*4)</x:f>
      </x:c>
      <x:c r="CI1144" s="178" t="str">
        <x:f>IF(COUNT(BH1144:BN1144)=0,"",AVERAGE(BH1144:BN1144)*4)</x:f>
      </x:c>
      <x:c r="CJ1144" s="178" t="str">
        <x:f>IF(COUNT(BO1144:BU1144)=0,"",AVERAGE(BO1144:BU1144)*4)</x:f>
      </x:c>
      <x:c r="CK1144" s="178" t="str">
        <x:f>IF(COUNT(BV1144:CB1144)=0,"",AVERAGE(BV1144:CB1144)*4)</x:f>
      </x:c>
      <x:c r="CL1144" s="178" t="str">
        <x:f>IF(C1144="","",IF(COUNT(G1144:CB1144)&lt;74,"",(CC1144*'تنظیمات وزن‌دهی'!$C$5+CD1144*'تنظیمات وزن‌دهی'!$C$6+CE1144*'تنظیمات وزن‌دهی'!$C$7+CF1144*'تنظیمات وزن‌دهی'!$C$8+CG1144*'تنظیمات وزن‌دهی'!$C$9+CH1144*'تنظیمات وزن‌دهی'!$C$10+CI1144*'تنظیمات وزن‌دهی'!$C$11+CJ1144*'تنظیمات وزن‌دهی'!$C$12+CK1144*'تنظیمات وزن‌دهی'!$C$13)/100))</x:f>
      </x:c>
      <x:c r="CM1144" s="178" t="str">
        <x:f>IF(C1144="","",IF(COUNT(G1144:CB1144)=0,"",IF(COUNT(G1144:CB1144)&lt;74,"موقت - اطلاعات ناقص",IF(CL1144&gt;=17,"عالی",IF(CL1144&gt;=14,"خوب",IF(CL1144&gt;=10,"متوسط","ضعیف"))))))</x:f>
      </x:c>
      <x:c r="CN1144" s="178" t="n">
        <x:v>12</x:v>
      </x:c>
      <x:c r="CO1144" s="142" t="n">
        <x:f>IF(C1144="","",COUNT(G1144:CB1144)/74)</x:f>
        <x:v>0</x:v>
      </x:c>
      <x:c r="CP1144" s="245"/>
    </x:row>
    <x:row r="1145">
      <x:c r="A1145" s="165" t="n">
        <x:v>1141</x:v>
      </x:c>
      <x:c r="B1145" s="233" t="str">
        <x:v>تیر</x:v>
      </x:c>
      <x:c r="C1145" s="233" t="n">
        <x:f>IF('دانش‌آموزان'!E100="","",'دانش‌آموزان'!B100)</x:f>
        <x:v>96</x:v>
      </x:c>
      <x:c r="D1145" s="233" t="str">
        <x:f>IF('دانش‌آموزان'!C100="","",'دانش‌آموزان'!C100)</x:f>
        <x:v>4000000969</x:v>
      </x:c>
      <x:c r="E1145" s="233" t="str">
        <x:f>IF('دانش‌آموزان'!E100="","",'دانش‌آموزان'!E100&amp;" "&amp;'دانش‌آموزان'!F100)</x:f>
        <x:v>نازنین مرادی</x:v>
      </x:c>
      <x:c r="F1145" s="166" t="str">
        <x:f>IF('دانش‌آموزان'!I100="","",'دانش‌آموزان'!I100)</x:f>
        <x:v>sample-7-d</x:v>
      </x:c>
      <x:c r="G1145" s="114" t="n">
        <x:v>5</x:v>
      </x:c>
      <x:c r="H1145" s="115" t="n">
        <x:v>4</x:v>
      </x:c>
      <x:c r="I1145" s="115" t="n">
        <x:v>5</x:v>
      </x:c>
      <x:c r="J1145" s="115" t="n">
        <x:v>3</x:v>
      </x:c>
      <x:c r="K1145" s="115" t="n">
        <x:v>5</x:v>
      </x:c>
      <x:c r="L1145" s="115" t="n">
        <x:v>3</x:v>
      </x:c>
      <x:c r="M1145" s="115" t="n">
        <x:v>4</x:v>
      </x:c>
      <x:c r="N1145" s="115" t="n">
        <x:v>3</x:v>
      </x:c>
      <x:c r="O1145" s="115" t="n">
        <x:v>4</x:v>
      </x:c>
      <x:c r="P1145" s="115" t="n">
        <x:v>2</x:v>
      </x:c>
      <x:c r="Q1145" s="115" t="n">
        <x:v>4</x:v>
      </x:c>
      <x:c r="R1145" s="115" t="n">
        <x:v>5</x:v>
      </x:c>
      <x:c r="S1145" s="115" t="n">
        <x:v>4</x:v>
      </x:c>
      <x:c r="T1145" s="115" t="n">
        <x:v>5</x:v>
      </x:c>
      <x:c r="U1145" s="115" t="n">
        <x:v>3</x:v>
      </x:c>
      <x:c r="V1145" s="115" t="n">
        <x:v>5</x:v>
      </x:c>
      <x:c r="W1145" s="115" t="n">
        <x:v>3</x:v>
      </x:c>
      <x:c r="X1145" s="115" t="n">
        <x:v>4</x:v>
      </x:c>
      <x:c r="Y1145" s="115" t="n">
        <x:v>3</x:v>
      </x:c>
      <x:c r="Z1145" s="115" t="n">
        <x:v>4</x:v>
      </x:c>
      <x:c r="AA1145" s="115" t="n">
        <x:v>2</x:v>
      </x:c>
      <x:c r="AB1145" s="115" t="n">
        <x:v>4</x:v>
      </x:c>
      <x:c r="AC1145" s="115" t="n">
        <x:v>5</x:v>
      </x:c>
      <x:c r="AD1145" s="115" t="n">
        <x:v>4</x:v>
      </x:c>
      <x:c r="AE1145" s="115" t="n">
        <x:v>5</x:v>
      </x:c>
      <x:c r="AF1145" s="115" t="n">
        <x:v>3</x:v>
      </x:c>
      <x:c r="AG1145" s="115" t="n">
        <x:v>5</x:v>
      </x:c>
      <x:c r="AH1145" s="115" t="n">
        <x:v>3</x:v>
      </x:c>
      <x:c r="AI1145" s="115" t="n">
        <x:v>4</x:v>
      </x:c>
      <x:c r="AJ1145" s="115" t="n">
        <x:v>3</x:v>
      </x:c>
      <x:c r="AK1145" s="115" t="n">
        <x:v>4</x:v>
      </x:c>
      <x:c r="AL1145" s="115" t="n">
        <x:v>2</x:v>
      </x:c>
      <x:c r="AM1145" s="115" t="n">
        <x:v>4</x:v>
      </x:c>
      <x:c r="AN1145" s="115" t="n">
        <x:v>5</x:v>
      </x:c>
      <x:c r="AO1145" s="115" t="n">
        <x:v>4</x:v>
      </x:c>
      <x:c r="AP1145" s="115" t="n">
        <x:v>5</x:v>
      </x:c>
      <x:c r="AQ1145" s="115" t="n">
        <x:v>3</x:v>
      </x:c>
      <x:c r="AR1145" s="115" t="n">
        <x:v>5</x:v>
      </x:c>
      <x:c r="AS1145" s="115" t="n">
        <x:v>3</x:v>
      </x:c>
      <x:c r="AT1145" s="115" t="n">
        <x:v>4</x:v>
      </x:c>
      <x:c r="AU1145" s="115" t="n">
        <x:v>3</x:v>
      </x:c>
      <x:c r="AV1145" s="115" t="n">
        <x:v>4</x:v>
      </x:c>
      <x:c r="AW1145" s="115" t="n">
        <x:v>2</x:v>
      </x:c>
      <x:c r="AX1145" s="115" t="n">
        <x:v>4</x:v>
      </x:c>
      <x:c r="AY1145" s="115" t="n">
        <x:v>5</x:v>
      </x:c>
      <x:c r="AZ1145" s="115" t="n">
        <x:v>4</x:v>
      </x:c>
      <x:c r="BA1145" s="115" t="n">
        <x:v>5</x:v>
      </x:c>
      <x:c r="BB1145" s="115" t="n">
        <x:v>3</x:v>
      </x:c>
      <x:c r="BC1145" s="115" t="n">
        <x:v>5</x:v>
      </x:c>
      <x:c r="BD1145" s="115" t="n">
        <x:v>3</x:v>
      </x:c>
      <x:c r="BE1145" s="115" t="n">
        <x:v>4</x:v>
      </x:c>
      <x:c r="BF1145" s="115" t="n">
        <x:v>3</x:v>
      </x:c>
      <x:c r="BG1145" s="115" t="n">
        <x:v>4</x:v>
      </x:c>
      <x:c r="BH1145" s="115" t="n">
        <x:v>2</x:v>
      </x:c>
      <x:c r="BI1145" s="115" t="n">
        <x:v>4</x:v>
      </x:c>
      <x:c r="BJ1145" s="115" t="n">
        <x:v>5</x:v>
      </x:c>
      <x:c r="BK1145" s="115" t="n">
        <x:v>4</x:v>
      </x:c>
      <x:c r="BL1145" s="115" t="n">
        <x:v>5</x:v>
      </x:c>
      <x:c r="BM1145" s="115" t="n">
        <x:v>3</x:v>
      </x:c>
      <x:c r="BN1145" s="115" t="n">
        <x:v>5</x:v>
      </x:c>
      <x:c r="BO1145" s="115" t="n">
        <x:v>3</x:v>
      </x:c>
      <x:c r="BP1145" s="115" t="n">
        <x:v>4</x:v>
      </x:c>
      <x:c r="BQ1145" s="115" t="n">
        <x:v>3</x:v>
      </x:c>
      <x:c r="BR1145" s="115" t="n">
        <x:v>4</x:v>
      </x:c>
      <x:c r="BS1145" s="115" t="n">
        <x:v>2</x:v>
      </x:c>
      <x:c r="BT1145" s="115" t="n">
        <x:v>4</x:v>
      </x:c>
      <x:c r="BU1145" s="115" t="n">
        <x:v>5</x:v>
      </x:c>
      <x:c r="BV1145" s="115" t="n">
        <x:v>4</x:v>
      </x:c>
      <x:c r="BW1145" s="115" t="n">
        <x:v>5</x:v>
      </x:c>
      <x:c r="BX1145" s="115" t="n">
        <x:v>3</x:v>
      </x:c>
      <x:c r="BY1145" s="115" t="n">
        <x:v>5</x:v>
      </x:c>
      <x:c r="BZ1145" s="115" t="n">
        <x:v>3</x:v>
      </x:c>
      <x:c r="CA1145" s="115" t="n">
        <x:v>4</x:v>
      </x:c>
      <x:c r="CB1145" s="116" t="n">
        <x:v>3</x:v>
      </x:c>
      <x:c r="CC1145" s="141" t="n">
        <x:f>IF(COUNT(G1145:P1145)=0,"",AVERAGE(G1145:P1145)*4)</x:f>
        <x:v>15.2</x:v>
      </x:c>
      <x:c r="CD1145" s="178" t="n">
        <x:f>IF(COUNT(Q1145:Z1145)=0,"",AVERAGE(Q1145:Z1145)*4)</x:f>
        <x:v>16</x:v>
      </x:c>
      <x:c r="CE1145" s="178" t="n">
        <x:f>IF(COUNT(AA1145:AJ1145)=0,"",AVERAGE(AA1145:AJ1145)*4)</x:f>
        <x:v>15.2</x:v>
      </x:c>
      <x:c r="CF1145" s="178" t="n">
        <x:f>IF(COUNT(AK1145:AR1145)=0,"",AVERAGE(AK1145:AR1145)*4)</x:f>
        <x:v>16</x:v>
      </x:c>
      <x:c r="CG1145" s="178" t="n">
        <x:f>IF(COUNT(AS1145:AY1145)=0,"",AVERAGE(AS1145:AY1145)*4)</x:f>
        <x:v>14.285714285714286</x:v>
      </x:c>
      <x:c r="CH1145" s="178" t="n">
        <x:f>IF(COUNT(AZ1145:BG1145)=0,"",AVERAGE(AZ1145:BG1145)*4)</x:f>
        <x:v>15.5</x:v>
      </x:c>
      <x:c r="CI1145" s="178" t="n">
        <x:f>IF(COUNT(BH1145:BN1145)=0,"",AVERAGE(BH1145:BN1145)*4)</x:f>
        <x:v>16</x:v>
      </x:c>
      <x:c r="CJ1145" s="178" t="n">
        <x:f>IF(COUNT(BO1145:BU1145)=0,"",AVERAGE(BO1145:BU1145)*4)</x:f>
        <x:v>14.285714285714286</x:v>
      </x:c>
      <x:c r="CK1145" s="178" t="n">
        <x:f>IF(COUNT(BV1145:CB1145)=0,"",AVERAGE(BV1145:CB1145)*4)</x:f>
        <x:v>15.428571428571429</x:v>
      </x:c>
      <x:c r="CL1145" s="178" t="n">
        <x:f>IF(C1145="","",IF(COUNT(G1145:CB1145)&lt;74,"",(CC1145*'تنظیمات وزن‌دهی'!$C$5+CD1145*'تنظیمات وزن‌دهی'!$C$6+CE1145*'تنظیمات وزن‌دهی'!$C$7+CF1145*'تنظیمات وزن‌دهی'!$C$8+CG1145*'تنظیمات وزن‌دهی'!$C$9+CH1145*'تنظیمات وزن‌دهی'!$C$10+CI1145*'تنظیمات وزن‌دهی'!$C$11+CJ1145*'تنظیمات وزن‌دهی'!$C$12+CK1145*'تنظیمات وزن‌دهی'!$C$13)/100))</x:f>
        <x:v>15.417142857142858</x:v>
      </x:c>
      <x:c r="CM1145" s="178" t="str">
        <x:f>IF(C1145="","",IF(COUNT(G1145:CB1145)=0,"",IF(COUNT(G1145:CB1145)&lt;74,"موقت - اطلاعات ناقص",IF(CL1145&gt;=17,"عالی",IF(CL1145&gt;=14,"خوب",IF(CL1145&gt;=10,"متوسط","ضعیف"))))))</x:f>
        <x:v>خوب</x:v>
      </x:c>
      <x:c r="CN1145" s="178" t="n">
        <x:v>1</x:v>
      </x:c>
      <x:c r="CO1145" s="142" t="n">
        <x:f>IF(C1145="","",COUNT(G1145:CB1145)/74)</x:f>
        <x:v>1</x:v>
      </x:c>
      <x:c r="CP1145" s="245" t="str">
        <x:v>داده نمونه کامل برای ماه تیر - دانش‌آموز شماره 96</x:v>
      </x:c>
    </x:row>
    <x:row r="1146">
      <x:c r="A1146" s="165" t="n">
        <x:v>1142</x:v>
      </x:c>
      <x:c r="B1146" s="233" t="str">
        <x:v>مرداد</x:v>
      </x:c>
      <x:c r="C1146" s="233" t="n">
        <x:f>IF('دانش‌آموزان'!E100="","",'دانش‌آموزان'!B100)</x:f>
        <x:v>96</x:v>
      </x:c>
      <x:c r="D1146" s="233" t="str">
        <x:f>IF('دانش‌آموزان'!C100="","",'دانش‌آموزان'!C100)</x:f>
        <x:v>4000000969</x:v>
      </x:c>
      <x:c r="E1146" s="233" t="str">
        <x:f>IF('دانش‌آموزان'!E100="","",'دانش‌آموزان'!E100&amp;" "&amp;'دانش‌آموزان'!F100)</x:f>
        <x:v>نازنین مرادی</x:v>
      </x:c>
      <x:c r="F1146" s="166" t="str">
        <x:f>IF('دانش‌آموزان'!I100="","",'دانش‌آموزان'!I100)</x:f>
        <x:v>sample-7-d</x:v>
      </x:c>
      <x:c r="G1146" s="114"/>
      <x:c r="H1146" s="115"/>
      <x:c r="I1146" s="115"/>
      <x:c r="J1146" s="115"/>
      <x:c r="K1146" s="115"/>
      <x:c r="L1146" s="115"/>
      <x:c r="M1146" s="115"/>
      <x:c r="N1146" s="115"/>
      <x:c r="O1146" s="115"/>
      <x:c r="P1146" s="115"/>
      <x:c r="Q1146" s="115"/>
      <x:c r="R1146" s="115"/>
      <x:c r="S1146" s="115"/>
      <x:c r="T1146" s="115"/>
      <x:c r="U1146" s="115"/>
      <x:c r="V1146" s="115"/>
      <x:c r="W1146" s="115"/>
      <x:c r="X1146" s="115"/>
      <x:c r="Y1146" s="115"/>
      <x:c r="Z1146" s="115"/>
      <x:c r="AA1146" s="115"/>
      <x:c r="AB1146" s="115"/>
      <x:c r="AC1146" s="115"/>
      <x:c r="AD1146" s="115"/>
      <x:c r="AE1146" s="115"/>
      <x:c r="AF1146" s="115"/>
      <x:c r="AG1146" s="115"/>
      <x:c r="AH1146" s="115"/>
      <x:c r="AI1146" s="115"/>
      <x:c r="AJ1146" s="115"/>
      <x:c r="AK1146" s="115"/>
      <x:c r="AL1146" s="115"/>
      <x:c r="AM1146" s="115"/>
      <x:c r="AN1146" s="115"/>
      <x:c r="AO1146" s="115"/>
      <x:c r="AP1146" s="115"/>
      <x:c r="AQ1146" s="115"/>
      <x:c r="AR1146" s="115"/>
      <x:c r="AS1146" s="115"/>
      <x:c r="AT1146" s="115"/>
      <x:c r="AU1146" s="115"/>
      <x:c r="AV1146" s="115"/>
      <x:c r="AW1146" s="115"/>
      <x:c r="AX1146" s="115"/>
      <x:c r="AY1146" s="115"/>
      <x:c r="AZ1146" s="115"/>
      <x:c r="BA1146" s="115"/>
      <x:c r="BB1146" s="115"/>
      <x:c r="BC1146" s="115"/>
      <x:c r="BD1146" s="115"/>
      <x:c r="BE1146" s="115"/>
      <x:c r="BF1146" s="115"/>
      <x:c r="BG1146" s="115"/>
      <x:c r="BH1146" s="115"/>
      <x:c r="BI1146" s="115"/>
      <x:c r="BJ1146" s="115"/>
      <x:c r="BK1146" s="115"/>
      <x:c r="BL1146" s="115"/>
      <x:c r="BM1146" s="115"/>
      <x:c r="BN1146" s="115"/>
      <x:c r="BO1146" s="115"/>
      <x:c r="BP1146" s="115"/>
      <x:c r="BQ1146" s="115"/>
      <x:c r="BR1146" s="115"/>
      <x:c r="BS1146" s="115"/>
      <x:c r="BT1146" s="115"/>
      <x:c r="BU1146" s="115"/>
      <x:c r="BV1146" s="115"/>
      <x:c r="BW1146" s="115"/>
      <x:c r="BX1146" s="115"/>
      <x:c r="BY1146" s="115"/>
      <x:c r="BZ1146" s="115"/>
      <x:c r="CA1146" s="115"/>
      <x:c r="CB1146" s="116"/>
      <x:c r="CC1146" s="141" t="str">
        <x:f>IF(COUNT(G1146:P1146)=0,"",AVERAGE(G1146:P1146)*4)</x:f>
      </x:c>
      <x:c r="CD1146" s="178" t="str">
        <x:f>IF(COUNT(Q1146:Z1146)=0,"",AVERAGE(Q1146:Z1146)*4)</x:f>
      </x:c>
      <x:c r="CE1146" s="178" t="str">
        <x:f>IF(COUNT(AA1146:AJ1146)=0,"",AVERAGE(AA1146:AJ1146)*4)</x:f>
      </x:c>
      <x:c r="CF1146" s="178" t="str">
        <x:f>IF(COUNT(AK1146:AR1146)=0,"",AVERAGE(AK1146:AR1146)*4)</x:f>
      </x:c>
      <x:c r="CG1146" s="178" t="str">
        <x:f>IF(COUNT(AS1146:AY1146)=0,"",AVERAGE(AS1146:AY1146)*4)</x:f>
      </x:c>
      <x:c r="CH1146" s="178" t="str">
        <x:f>IF(COUNT(AZ1146:BG1146)=0,"",AVERAGE(AZ1146:BG1146)*4)</x:f>
      </x:c>
      <x:c r="CI1146" s="178" t="str">
        <x:f>IF(COUNT(BH1146:BN1146)=0,"",AVERAGE(BH1146:BN1146)*4)</x:f>
      </x:c>
      <x:c r="CJ1146" s="178" t="str">
        <x:f>IF(COUNT(BO1146:BU1146)=0,"",AVERAGE(BO1146:BU1146)*4)</x:f>
      </x:c>
      <x:c r="CK1146" s="178" t="str">
        <x:f>IF(COUNT(BV1146:CB1146)=0,"",AVERAGE(BV1146:CB1146)*4)</x:f>
      </x:c>
      <x:c r="CL1146" s="178" t="str">
        <x:f>IF(C1146="","",IF(COUNT(G1146:CB1146)&lt;74,"",(CC1146*'تنظیمات وزن‌دهی'!$C$5+CD1146*'تنظیمات وزن‌دهی'!$C$6+CE1146*'تنظیمات وزن‌دهی'!$C$7+CF1146*'تنظیمات وزن‌دهی'!$C$8+CG1146*'تنظیمات وزن‌دهی'!$C$9+CH1146*'تنظیمات وزن‌دهی'!$C$10+CI1146*'تنظیمات وزن‌دهی'!$C$11+CJ1146*'تنظیمات وزن‌دهی'!$C$12+CK1146*'تنظیمات وزن‌دهی'!$C$13)/100))</x:f>
      </x:c>
      <x:c r="CM1146" s="178" t="str">
        <x:f>IF(C1146="","",IF(COUNT(G1146:CB1146)=0,"",IF(COUNT(G1146:CB1146)&lt;74,"موقت - اطلاعات ناقص",IF(CL1146&gt;=17,"عالی",IF(CL1146&gt;=14,"خوب",IF(CL1146&gt;=10,"متوسط","ضعیف"))))))</x:f>
      </x:c>
      <x:c r="CN1146" s="178" t="n">
        <x:v>2</x:v>
      </x:c>
      <x:c r="CO1146" s="142" t="n">
        <x:f>IF(C1146="","",COUNT(G1146:CB1146)/74)</x:f>
        <x:v>0</x:v>
      </x:c>
      <x:c r="CP1146" s="245"/>
    </x:row>
    <x:row r="1147">
      <x:c r="A1147" s="165" t="n">
        <x:v>1143</x:v>
      </x:c>
      <x:c r="B1147" s="233" t="str">
        <x:v>شهریور</x:v>
      </x:c>
      <x:c r="C1147" s="233" t="n">
        <x:f>IF('دانش‌آموزان'!E100="","",'دانش‌آموزان'!B100)</x:f>
        <x:v>96</x:v>
      </x:c>
      <x:c r="D1147" s="233" t="str">
        <x:f>IF('دانش‌آموزان'!C100="","",'دانش‌آموزان'!C100)</x:f>
        <x:v>4000000969</x:v>
      </x:c>
      <x:c r="E1147" s="233" t="str">
        <x:f>IF('دانش‌آموزان'!E100="","",'دانش‌آموزان'!E100&amp;" "&amp;'دانش‌آموزان'!F100)</x:f>
        <x:v>نازنین مرادی</x:v>
      </x:c>
      <x:c r="F1147" s="166" t="str">
        <x:f>IF('دانش‌آموزان'!I100="","",'دانش‌آموزان'!I100)</x:f>
        <x:v>sample-7-d</x:v>
      </x:c>
      <x:c r="G1147" s="114"/>
      <x:c r="H1147" s="115"/>
      <x:c r="I1147" s="115"/>
      <x:c r="J1147" s="115"/>
      <x:c r="K1147" s="115"/>
      <x:c r="L1147" s="115"/>
      <x:c r="M1147" s="115"/>
      <x:c r="N1147" s="115"/>
      <x:c r="O1147" s="115"/>
      <x:c r="P1147" s="115"/>
      <x:c r="Q1147" s="115"/>
      <x:c r="R1147" s="115"/>
      <x:c r="S1147" s="115"/>
      <x:c r="T1147" s="115"/>
      <x:c r="U1147" s="115"/>
      <x:c r="V1147" s="115"/>
      <x:c r="W1147" s="115"/>
      <x:c r="X1147" s="115"/>
      <x:c r="Y1147" s="115"/>
      <x:c r="Z1147" s="115"/>
      <x:c r="AA1147" s="115"/>
      <x:c r="AB1147" s="115"/>
      <x:c r="AC1147" s="115"/>
      <x:c r="AD1147" s="115"/>
      <x:c r="AE1147" s="115"/>
      <x:c r="AF1147" s="115"/>
      <x:c r="AG1147" s="115"/>
      <x:c r="AH1147" s="115"/>
      <x:c r="AI1147" s="115"/>
      <x:c r="AJ1147" s="115"/>
      <x:c r="AK1147" s="115"/>
      <x:c r="AL1147" s="115"/>
      <x:c r="AM1147" s="115"/>
      <x:c r="AN1147" s="115"/>
      <x:c r="AO1147" s="115"/>
      <x:c r="AP1147" s="115"/>
      <x:c r="AQ1147" s="115"/>
      <x:c r="AR1147" s="115"/>
      <x:c r="AS1147" s="115"/>
      <x:c r="AT1147" s="115"/>
      <x:c r="AU1147" s="115"/>
      <x:c r="AV1147" s="115"/>
      <x:c r="AW1147" s="115"/>
      <x:c r="AX1147" s="115"/>
      <x:c r="AY1147" s="115"/>
      <x:c r="AZ1147" s="115"/>
      <x:c r="BA1147" s="115"/>
      <x:c r="BB1147" s="115"/>
      <x:c r="BC1147" s="115"/>
      <x:c r="BD1147" s="115"/>
      <x:c r="BE1147" s="115"/>
      <x:c r="BF1147" s="115"/>
      <x:c r="BG1147" s="115"/>
      <x:c r="BH1147" s="115"/>
      <x:c r="BI1147" s="115"/>
      <x:c r="BJ1147" s="115"/>
      <x:c r="BK1147" s="115"/>
      <x:c r="BL1147" s="115"/>
      <x:c r="BM1147" s="115"/>
      <x:c r="BN1147" s="115"/>
      <x:c r="BO1147" s="115"/>
      <x:c r="BP1147" s="115"/>
      <x:c r="BQ1147" s="115"/>
      <x:c r="BR1147" s="115"/>
      <x:c r="BS1147" s="115"/>
      <x:c r="BT1147" s="115"/>
      <x:c r="BU1147" s="115"/>
      <x:c r="BV1147" s="115"/>
      <x:c r="BW1147" s="115"/>
      <x:c r="BX1147" s="115"/>
      <x:c r="BY1147" s="115"/>
      <x:c r="BZ1147" s="115"/>
      <x:c r="CA1147" s="115"/>
      <x:c r="CB1147" s="116"/>
      <x:c r="CC1147" s="141" t="str">
        <x:f>IF(COUNT(G1147:P1147)=0,"",AVERAGE(G1147:P1147)*4)</x:f>
      </x:c>
      <x:c r="CD1147" s="178" t="str">
        <x:f>IF(COUNT(Q1147:Z1147)=0,"",AVERAGE(Q1147:Z1147)*4)</x:f>
      </x:c>
      <x:c r="CE1147" s="178" t="str">
        <x:f>IF(COUNT(AA1147:AJ1147)=0,"",AVERAGE(AA1147:AJ1147)*4)</x:f>
      </x:c>
      <x:c r="CF1147" s="178" t="str">
        <x:f>IF(COUNT(AK1147:AR1147)=0,"",AVERAGE(AK1147:AR1147)*4)</x:f>
      </x:c>
      <x:c r="CG1147" s="178" t="str">
        <x:f>IF(COUNT(AS1147:AY1147)=0,"",AVERAGE(AS1147:AY1147)*4)</x:f>
      </x:c>
      <x:c r="CH1147" s="178" t="str">
        <x:f>IF(COUNT(AZ1147:BG1147)=0,"",AVERAGE(AZ1147:BG1147)*4)</x:f>
      </x:c>
      <x:c r="CI1147" s="178" t="str">
        <x:f>IF(COUNT(BH1147:BN1147)=0,"",AVERAGE(BH1147:BN1147)*4)</x:f>
      </x:c>
      <x:c r="CJ1147" s="178" t="str">
        <x:f>IF(COUNT(BO1147:BU1147)=0,"",AVERAGE(BO1147:BU1147)*4)</x:f>
      </x:c>
      <x:c r="CK1147" s="178" t="str">
        <x:f>IF(COUNT(BV1147:CB1147)=0,"",AVERAGE(BV1147:CB1147)*4)</x:f>
      </x:c>
      <x:c r="CL1147" s="178" t="str">
        <x:f>IF(C1147="","",IF(COUNT(G1147:CB1147)&lt;74,"",(CC1147*'تنظیمات وزن‌دهی'!$C$5+CD1147*'تنظیمات وزن‌دهی'!$C$6+CE1147*'تنظیمات وزن‌دهی'!$C$7+CF1147*'تنظیمات وزن‌دهی'!$C$8+CG1147*'تنظیمات وزن‌دهی'!$C$9+CH1147*'تنظیمات وزن‌دهی'!$C$10+CI1147*'تنظیمات وزن‌دهی'!$C$11+CJ1147*'تنظیمات وزن‌دهی'!$C$12+CK1147*'تنظیمات وزن‌دهی'!$C$13)/100))</x:f>
      </x:c>
      <x:c r="CM1147" s="178" t="str">
        <x:f>IF(C1147="","",IF(COUNT(G1147:CB1147)=0,"",IF(COUNT(G1147:CB1147)&lt;74,"موقت - اطلاعات ناقص",IF(CL1147&gt;=17,"عالی",IF(CL1147&gt;=14,"خوب",IF(CL1147&gt;=10,"متوسط","ضعیف"))))))</x:f>
      </x:c>
      <x:c r="CN1147" s="178" t="n">
        <x:v>3</x:v>
      </x:c>
      <x:c r="CO1147" s="142" t="n">
        <x:f>IF(C1147="","",COUNT(G1147:CB1147)/74)</x:f>
        <x:v>0</x:v>
      </x:c>
      <x:c r="CP1147" s="245"/>
    </x:row>
    <x:row r="1148">
      <x:c r="A1148" s="165" t="n">
        <x:v>1144</x:v>
      </x:c>
      <x:c r="B1148" s="233" t="str">
        <x:v>مهر</x:v>
      </x:c>
      <x:c r="C1148" s="233" t="n">
        <x:f>IF('دانش‌آموزان'!E100="","",'دانش‌آموزان'!B100)</x:f>
        <x:v>96</x:v>
      </x:c>
      <x:c r="D1148" s="233" t="str">
        <x:f>IF('دانش‌آموزان'!C100="","",'دانش‌آموزان'!C100)</x:f>
        <x:v>4000000969</x:v>
      </x:c>
      <x:c r="E1148" s="233" t="str">
        <x:f>IF('دانش‌آموزان'!E100="","",'دانش‌آموزان'!E100&amp;" "&amp;'دانش‌آموزان'!F100)</x:f>
        <x:v>نازنین مرادی</x:v>
      </x:c>
      <x:c r="F1148" s="166" t="str">
        <x:f>IF('دانش‌آموزان'!I100="","",'دانش‌آموزان'!I100)</x:f>
        <x:v>sample-7-d</x:v>
      </x:c>
      <x:c r="G1148" s="114"/>
      <x:c r="H1148" s="115"/>
      <x:c r="I1148" s="115"/>
      <x:c r="J1148" s="115"/>
      <x:c r="K1148" s="115"/>
      <x:c r="L1148" s="115"/>
      <x:c r="M1148" s="115"/>
      <x:c r="N1148" s="115"/>
      <x:c r="O1148" s="115"/>
      <x:c r="P1148" s="115"/>
      <x:c r="Q1148" s="115"/>
      <x:c r="R1148" s="115"/>
      <x:c r="S1148" s="115"/>
      <x:c r="T1148" s="115"/>
      <x:c r="U1148" s="115"/>
      <x:c r="V1148" s="115"/>
      <x:c r="W1148" s="115"/>
      <x:c r="X1148" s="115"/>
      <x:c r="Y1148" s="115"/>
      <x:c r="Z1148" s="115"/>
      <x:c r="AA1148" s="115"/>
      <x:c r="AB1148" s="115"/>
      <x:c r="AC1148" s="115"/>
      <x:c r="AD1148" s="115"/>
      <x:c r="AE1148" s="115"/>
      <x:c r="AF1148" s="115"/>
      <x:c r="AG1148" s="115"/>
      <x:c r="AH1148" s="115"/>
      <x:c r="AI1148" s="115"/>
      <x:c r="AJ1148" s="115"/>
      <x:c r="AK1148" s="115"/>
      <x:c r="AL1148" s="115"/>
      <x:c r="AM1148" s="115"/>
      <x:c r="AN1148" s="115"/>
      <x:c r="AO1148" s="115"/>
      <x:c r="AP1148" s="115"/>
      <x:c r="AQ1148" s="115"/>
      <x:c r="AR1148" s="115"/>
      <x:c r="AS1148" s="115"/>
      <x:c r="AT1148" s="115"/>
      <x:c r="AU1148" s="115"/>
      <x:c r="AV1148" s="115"/>
      <x:c r="AW1148" s="115"/>
      <x:c r="AX1148" s="115"/>
      <x:c r="AY1148" s="115"/>
      <x:c r="AZ1148" s="115"/>
      <x:c r="BA1148" s="115"/>
      <x:c r="BB1148" s="115"/>
      <x:c r="BC1148" s="115"/>
      <x:c r="BD1148" s="115"/>
      <x:c r="BE1148" s="115"/>
      <x:c r="BF1148" s="115"/>
      <x:c r="BG1148" s="115"/>
      <x:c r="BH1148" s="115"/>
      <x:c r="BI1148" s="115"/>
      <x:c r="BJ1148" s="115"/>
      <x:c r="BK1148" s="115"/>
      <x:c r="BL1148" s="115"/>
      <x:c r="BM1148" s="115"/>
      <x:c r="BN1148" s="115"/>
      <x:c r="BO1148" s="115"/>
      <x:c r="BP1148" s="115"/>
      <x:c r="BQ1148" s="115"/>
      <x:c r="BR1148" s="115"/>
      <x:c r="BS1148" s="115"/>
      <x:c r="BT1148" s="115"/>
      <x:c r="BU1148" s="115"/>
      <x:c r="BV1148" s="115"/>
      <x:c r="BW1148" s="115"/>
      <x:c r="BX1148" s="115"/>
      <x:c r="BY1148" s="115"/>
      <x:c r="BZ1148" s="115"/>
      <x:c r="CA1148" s="115"/>
      <x:c r="CB1148" s="116"/>
      <x:c r="CC1148" s="141" t="str">
        <x:f>IF(COUNT(G1148:P1148)=0,"",AVERAGE(G1148:P1148)*4)</x:f>
      </x:c>
      <x:c r="CD1148" s="178" t="str">
        <x:f>IF(COUNT(Q1148:Z1148)=0,"",AVERAGE(Q1148:Z1148)*4)</x:f>
      </x:c>
      <x:c r="CE1148" s="178" t="str">
        <x:f>IF(COUNT(AA1148:AJ1148)=0,"",AVERAGE(AA1148:AJ1148)*4)</x:f>
      </x:c>
      <x:c r="CF1148" s="178" t="str">
        <x:f>IF(COUNT(AK1148:AR1148)=0,"",AVERAGE(AK1148:AR1148)*4)</x:f>
      </x:c>
      <x:c r="CG1148" s="178" t="str">
        <x:f>IF(COUNT(AS1148:AY1148)=0,"",AVERAGE(AS1148:AY1148)*4)</x:f>
      </x:c>
      <x:c r="CH1148" s="178" t="str">
        <x:f>IF(COUNT(AZ1148:BG1148)=0,"",AVERAGE(AZ1148:BG1148)*4)</x:f>
      </x:c>
      <x:c r="CI1148" s="178" t="str">
        <x:f>IF(COUNT(BH1148:BN1148)=0,"",AVERAGE(BH1148:BN1148)*4)</x:f>
      </x:c>
      <x:c r="CJ1148" s="178" t="str">
        <x:f>IF(COUNT(BO1148:BU1148)=0,"",AVERAGE(BO1148:BU1148)*4)</x:f>
      </x:c>
      <x:c r="CK1148" s="178" t="str">
        <x:f>IF(COUNT(BV1148:CB1148)=0,"",AVERAGE(BV1148:CB1148)*4)</x:f>
      </x:c>
      <x:c r="CL1148" s="178" t="str">
        <x:f>IF(C1148="","",IF(COUNT(G1148:CB1148)&lt;74,"",(CC1148*'تنظیمات وزن‌دهی'!$C$5+CD1148*'تنظیمات وزن‌دهی'!$C$6+CE1148*'تنظیمات وزن‌دهی'!$C$7+CF1148*'تنظیمات وزن‌دهی'!$C$8+CG1148*'تنظیمات وزن‌دهی'!$C$9+CH1148*'تنظیمات وزن‌دهی'!$C$10+CI1148*'تنظیمات وزن‌دهی'!$C$11+CJ1148*'تنظیمات وزن‌دهی'!$C$12+CK1148*'تنظیمات وزن‌دهی'!$C$13)/100))</x:f>
      </x:c>
      <x:c r="CM1148" s="178" t="str">
        <x:f>IF(C1148="","",IF(COUNT(G1148:CB1148)=0,"",IF(COUNT(G1148:CB1148)&lt;74,"موقت - اطلاعات ناقص",IF(CL1148&gt;=17,"عالی",IF(CL1148&gt;=14,"خوب",IF(CL1148&gt;=10,"متوسط","ضعیف"))))))</x:f>
      </x:c>
      <x:c r="CN1148" s="178" t="n">
        <x:v>4</x:v>
      </x:c>
      <x:c r="CO1148" s="142" t="n">
        <x:f>IF(C1148="","",COUNT(G1148:CB1148)/74)</x:f>
        <x:v>0</x:v>
      </x:c>
      <x:c r="CP1148" s="245"/>
    </x:row>
    <x:row r="1149">
      <x:c r="A1149" s="165" t="n">
        <x:v>1145</x:v>
      </x:c>
      <x:c r="B1149" s="233" t="str">
        <x:v>آبان</x:v>
      </x:c>
      <x:c r="C1149" s="233" t="n">
        <x:f>IF('دانش‌آموزان'!E100="","",'دانش‌آموزان'!B100)</x:f>
        <x:v>96</x:v>
      </x:c>
      <x:c r="D1149" s="233" t="str">
        <x:f>IF('دانش‌آموزان'!C100="","",'دانش‌آموزان'!C100)</x:f>
        <x:v>4000000969</x:v>
      </x:c>
      <x:c r="E1149" s="233" t="str">
        <x:f>IF('دانش‌آموزان'!E100="","",'دانش‌آموزان'!E100&amp;" "&amp;'دانش‌آموزان'!F100)</x:f>
        <x:v>نازنین مرادی</x:v>
      </x:c>
      <x:c r="F1149" s="166" t="str">
        <x:f>IF('دانش‌آموزان'!I100="","",'دانش‌آموزان'!I100)</x:f>
        <x:v>sample-7-d</x:v>
      </x:c>
      <x:c r="G1149" s="114"/>
      <x:c r="H1149" s="115"/>
      <x:c r="I1149" s="115"/>
      <x:c r="J1149" s="115"/>
      <x:c r="K1149" s="115"/>
      <x:c r="L1149" s="115"/>
      <x:c r="M1149" s="115"/>
      <x:c r="N1149" s="115"/>
      <x:c r="O1149" s="115"/>
      <x:c r="P1149" s="115"/>
      <x:c r="Q1149" s="115"/>
      <x:c r="R1149" s="115"/>
      <x:c r="S1149" s="115"/>
      <x:c r="T1149" s="115"/>
      <x:c r="U1149" s="115"/>
      <x:c r="V1149" s="115"/>
      <x:c r="W1149" s="115"/>
      <x:c r="X1149" s="115"/>
      <x:c r="Y1149" s="115"/>
      <x:c r="Z1149" s="115"/>
      <x:c r="AA1149" s="115"/>
      <x:c r="AB1149" s="115"/>
      <x:c r="AC1149" s="115"/>
      <x:c r="AD1149" s="115"/>
      <x:c r="AE1149" s="115"/>
      <x:c r="AF1149" s="115"/>
      <x:c r="AG1149" s="115"/>
      <x:c r="AH1149" s="115"/>
      <x:c r="AI1149" s="115"/>
      <x:c r="AJ1149" s="115"/>
      <x:c r="AK1149" s="115"/>
      <x:c r="AL1149" s="115"/>
      <x:c r="AM1149" s="115"/>
      <x:c r="AN1149" s="115"/>
      <x:c r="AO1149" s="115"/>
      <x:c r="AP1149" s="115"/>
      <x:c r="AQ1149" s="115"/>
      <x:c r="AR1149" s="115"/>
      <x:c r="AS1149" s="115"/>
      <x:c r="AT1149" s="115"/>
      <x:c r="AU1149" s="115"/>
      <x:c r="AV1149" s="115"/>
      <x:c r="AW1149" s="115"/>
      <x:c r="AX1149" s="115"/>
      <x:c r="AY1149" s="115"/>
      <x:c r="AZ1149" s="115"/>
      <x:c r="BA1149" s="115"/>
      <x:c r="BB1149" s="115"/>
      <x:c r="BC1149" s="115"/>
      <x:c r="BD1149" s="115"/>
      <x:c r="BE1149" s="115"/>
      <x:c r="BF1149" s="115"/>
      <x:c r="BG1149" s="115"/>
      <x:c r="BH1149" s="115"/>
      <x:c r="BI1149" s="115"/>
      <x:c r="BJ1149" s="115"/>
      <x:c r="BK1149" s="115"/>
      <x:c r="BL1149" s="115"/>
      <x:c r="BM1149" s="115"/>
      <x:c r="BN1149" s="115"/>
      <x:c r="BO1149" s="115"/>
      <x:c r="BP1149" s="115"/>
      <x:c r="BQ1149" s="115"/>
      <x:c r="BR1149" s="115"/>
      <x:c r="BS1149" s="115"/>
      <x:c r="BT1149" s="115"/>
      <x:c r="BU1149" s="115"/>
      <x:c r="BV1149" s="115"/>
      <x:c r="BW1149" s="115"/>
      <x:c r="BX1149" s="115"/>
      <x:c r="BY1149" s="115"/>
      <x:c r="BZ1149" s="115"/>
      <x:c r="CA1149" s="115"/>
      <x:c r="CB1149" s="116"/>
      <x:c r="CC1149" s="141" t="str">
        <x:f>IF(COUNT(G1149:P1149)=0,"",AVERAGE(G1149:P1149)*4)</x:f>
      </x:c>
      <x:c r="CD1149" s="178" t="str">
        <x:f>IF(COUNT(Q1149:Z1149)=0,"",AVERAGE(Q1149:Z1149)*4)</x:f>
      </x:c>
      <x:c r="CE1149" s="178" t="str">
        <x:f>IF(COUNT(AA1149:AJ1149)=0,"",AVERAGE(AA1149:AJ1149)*4)</x:f>
      </x:c>
      <x:c r="CF1149" s="178" t="str">
        <x:f>IF(COUNT(AK1149:AR1149)=0,"",AVERAGE(AK1149:AR1149)*4)</x:f>
      </x:c>
      <x:c r="CG1149" s="178" t="str">
        <x:f>IF(COUNT(AS1149:AY1149)=0,"",AVERAGE(AS1149:AY1149)*4)</x:f>
      </x:c>
      <x:c r="CH1149" s="178" t="str">
        <x:f>IF(COUNT(AZ1149:BG1149)=0,"",AVERAGE(AZ1149:BG1149)*4)</x:f>
      </x:c>
      <x:c r="CI1149" s="178" t="str">
        <x:f>IF(COUNT(BH1149:BN1149)=0,"",AVERAGE(BH1149:BN1149)*4)</x:f>
      </x:c>
      <x:c r="CJ1149" s="178" t="str">
        <x:f>IF(COUNT(BO1149:BU1149)=0,"",AVERAGE(BO1149:BU1149)*4)</x:f>
      </x:c>
      <x:c r="CK1149" s="178" t="str">
        <x:f>IF(COUNT(BV1149:CB1149)=0,"",AVERAGE(BV1149:CB1149)*4)</x:f>
      </x:c>
      <x:c r="CL1149" s="178" t="str">
        <x:f>IF(C1149="","",IF(COUNT(G1149:CB1149)&lt;74,"",(CC1149*'تنظیمات وزن‌دهی'!$C$5+CD1149*'تنظیمات وزن‌دهی'!$C$6+CE1149*'تنظیمات وزن‌دهی'!$C$7+CF1149*'تنظیمات وزن‌دهی'!$C$8+CG1149*'تنظیمات وزن‌دهی'!$C$9+CH1149*'تنظیمات وزن‌دهی'!$C$10+CI1149*'تنظیمات وزن‌دهی'!$C$11+CJ1149*'تنظیمات وزن‌دهی'!$C$12+CK1149*'تنظیمات وزن‌دهی'!$C$13)/100))</x:f>
      </x:c>
      <x:c r="CM1149" s="178" t="str">
        <x:f>IF(C1149="","",IF(COUNT(G1149:CB1149)=0,"",IF(COUNT(G1149:CB1149)&lt;74,"موقت - اطلاعات ناقص",IF(CL1149&gt;=17,"عالی",IF(CL1149&gt;=14,"خوب",IF(CL1149&gt;=10,"متوسط","ضعیف"))))))</x:f>
      </x:c>
      <x:c r="CN1149" s="178" t="n">
        <x:v>5</x:v>
      </x:c>
      <x:c r="CO1149" s="142" t="n">
        <x:f>IF(C1149="","",COUNT(G1149:CB1149)/74)</x:f>
        <x:v>0</x:v>
      </x:c>
      <x:c r="CP1149" s="245"/>
    </x:row>
    <x:row r="1150">
      <x:c r="A1150" s="165" t="n">
        <x:v>1146</x:v>
      </x:c>
      <x:c r="B1150" s="233" t="str">
        <x:v>آذر</x:v>
      </x:c>
      <x:c r="C1150" s="233" t="n">
        <x:f>IF('دانش‌آموزان'!E100="","",'دانش‌آموزان'!B100)</x:f>
        <x:v>96</x:v>
      </x:c>
      <x:c r="D1150" s="233" t="str">
        <x:f>IF('دانش‌آموزان'!C100="","",'دانش‌آموزان'!C100)</x:f>
        <x:v>4000000969</x:v>
      </x:c>
      <x:c r="E1150" s="233" t="str">
        <x:f>IF('دانش‌آموزان'!E100="","",'دانش‌آموزان'!E100&amp;" "&amp;'دانش‌آموزان'!F100)</x:f>
        <x:v>نازنین مرادی</x:v>
      </x:c>
      <x:c r="F1150" s="166" t="str">
        <x:f>IF('دانش‌آموزان'!I100="","",'دانش‌آموزان'!I100)</x:f>
        <x:v>sample-7-d</x:v>
      </x:c>
      <x:c r="G1150" s="114"/>
      <x:c r="H1150" s="115"/>
      <x:c r="I1150" s="115"/>
      <x:c r="J1150" s="115"/>
      <x:c r="K1150" s="115"/>
      <x:c r="L1150" s="115"/>
      <x:c r="M1150" s="115"/>
      <x:c r="N1150" s="115"/>
      <x:c r="O1150" s="115"/>
      <x:c r="P1150" s="115"/>
      <x:c r="Q1150" s="115"/>
      <x:c r="R1150" s="115"/>
      <x:c r="S1150" s="115"/>
      <x:c r="T1150" s="115"/>
      <x:c r="U1150" s="115"/>
      <x:c r="V1150" s="115"/>
      <x:c r="W1150" s="115"/>
      <x:c r="X1150" s="115"/>
      <x:c r="Y1150" s="115"/>
      <x:c r="Z1150" s="115"/>
      <x:c r="AA1150" s="115"/>
      <x:c r="AB1150" s="115"/>
      <x:c r="AC1150" s="115"/>
      <x:c r="AD1150" s="115"/>
      <x:c r="AE1150" s="115"/>
      <x:c r="AF1150" s="115"/>
      <x:c r="AG1150" s="115"/>
      <x:c r="AH1150" s="115"/>
      <x:c r="AI1150" s="115"/>
      <x:c r="AJ1150" s="115"/>
      <x:c r="AK1150" s="115"/>
      <x:c r="AL1150" s="115"/>
      <x:c r="AM1150" s="115"/>
      <x:c r="AN1150" s="115"/>
      <x:c r="AO1150" s="115"/>
      <x:c r="AP1150" s="115"/>
      <x:c r="AQ1150" s="115"/>
      <x:c r="AR1150" s="115"/>
      <x:c r="AS1150" s="115"/>
      <x:c r="AT1150" s="115"/>
      <x:c r="AU1150" s="115"/>
      <x:c r="AV1150" s="115"/>
      <x:c r="AW1150" s="115"/>
      <x:c r="AX1150" s="115"/>
      <x:c r="AY1150" s="115"/>
      <x:c r="AZ1150" s="115"/>
      <x:c r="BA1150" s="115"/>
      <x:c r="BB1150" s="115"/>
      <x:c r="BC1150" s="115"/>
      <x:c r="BD1150" s="115"/>
      <x:c r="BE1150" s="115"/>
      <x:c r="BF1150" s="115"/>
      <x:c r="BG1150" s="115"/>
      <x:c r="BH1150" s="115"/>
      <x:c r="BI1150" s="115"/>
      <x:c r="BJ1150" s="115"/>
      <x:c r="BK1150" s="115"/>
      <x:c r="BL1150" s="115"/>
      <x:c r="BM1150" s="115"/>
      <x:c r="BN1150" s="115"/>
      <x:c r="BO1150" s="115"/>
      <x:c r="BP1150" s="115"/>
      <x:c r="BQ1150" s="115"/>
      <x:c r="BR1150" s="115"/>
      <x:c r="BS1150" s="115"/>
      <x:c r="BT1150" s="115"/>
      <x:c r="BU1150" s="115"/>
      <x:c r="BV1150" s="115"/>
      <x:c r="BW1150" s="115"/>
      <x:c r="BX1150" s="115"/>
      <x:c r="BY1150" s="115"/>
      <x:c r="BZ1150" s="115"/>
      <x:c r="CA1150" s="115"/>
      <x:c r="CB1150" s="116"/>
      <x:c r="CC1150" s="141" t="str">
        <x:f>IF(COUNT(G1150:P1150)=0,"",AVERAGE(G1150:P1150)*4)</x:f>
      </x:c>
      <x:c r="CD1150" s="178" t="str">
        <x:f>IF(COUNT(Q1150:Z1150)=0,"",AVERAGE(Q1150:Z1150)*4)</x:f>
      </x:c>
      <x:c r="CE1150" s="178" t="str">
        <x:f>IF(COUNT(AA1150:AJ1150)=0,"",AVERAGE(AA1150:AJ1150)*4)</x:f>
      </x:c>
      <x:c r="CF1150" s="178" t="str">
        <x:f>IF(COUNT(AK1150:AR1150)=0,"",AVERAGE(AK1150:AR1150)*4)</x:f>
      </x:c>
      <x:c r="CG1150" s="178" t="str">
        <x:f>IF(COUNT(AS1150:AY1150)=0,"",AVERAGE(AS1150:AY1150)*4)</x:f>
      </x:c>
      <x:c r="CH1150" s="178" t="str">
        <x:f>IF(COUNT(AZ1150:BG1150)=0,"",AVERAGE(AZ1150:BG1150)*4)</x:f>
      </x:c>
      <x:c r="CI1150" s="178" t="str">
        <x:f>IF(COUNT(BH1150:BN1150)=0,"",AVERAGE(BH1150:BN1150)*4)</x:f>
      </x:c>
      <x:c r="CJ1150" s="178" t="str">
        <x:f>IF(COUNT(BO1150:BU1150)=0,"",AVERAGE(BO1150:BU1150)*4)</x:f>
      </x:c>
      <x:c r="CK1150" s="178" t="str">
        <x:f>IF(COUNT(BV1150:CB1150)=0,"",AVERAGE(BV1150:CB1150)*4)</x:f>
      </x:c>
      <x:c r="CL1150" s="178" t="str">
        <x:f>IF(C1150="","",IF(COUNT(G1150:CB1150)&lt;74,"",(CC1150*'تنظیمات وزن‌دهی'!$C$5+CD1150*'تنظیمات وزن‌دهی'!$C$6+CE1150*'تنظیمات وزن‌دهی'!$C$7+CF1150*'تنظیمات وزن‌دهی'!$C$8+CG1150*'تنظیمات وزن‌دهی'!$C$9+CH1150*'تنظیمات وزن‌دهی'!$C$10+CI1150*'تنظیمات وزن‌دهی'!$C$11+CJ1150*'تنظیمات وزن‌دهی'!$C$12+CK1150*'تنظیمات وزن‌دهی'!$C$13)/100))</x:f>
      </x:c>
      <x:c r="CM1150" s="178" t="str">
        <x:f>IF(C1150="","",IF(COUNT(G1150:CB1150)=0,"",IF(COUNT(G1150:CB1150)&lt;74,"موقت - اطلاعات ناقص",IF(CL1150&gt;=17,"عالی",IF(CL1150&gt;=14,"خوب",IF(CL1150&gt;=10,"متوسط","ضعیف"))))))</x:f>
      </x:c>
      <x:c r="CN1150" s="178" t="n">
        <x:v>6</x:v>
      </x:c>
      <x:c r="CO1150" s="142" t="n">
        <x:f>IF(C1150="","",COUNT(G1150:CB1150)/74)</x:f>
        <x:v>0</x:v>
      </x:c>
      <x:c r="CP1150" s="245"/>
    </x:row>
    <x:row r="1151">
      <x:c r="A1151" s="165" t="n">
        <x:v>1147</x:v>
      </x:c>
      <x:c r="B1151" s="233" t="str">
        <x:v>دی</x:v>
      </x:c>
      <x:c r="C1151" s="233" t="n">
        <x:f>IF('دانش‌آموزان'!E100="","",'دانش‌آموزان'!B100)</x:f>
        <x:v>96</x:v>
      </x:c>
      <x:c r="D1151" s="233" t="str">
        <x:f>IF('دانش‌آموزان'!C100="","",'دانش‌آموزان'!C100)</x:f>
        <x:v>4000000969</x:v>
      </x:c>
      <x:c r="E1151" s="233" t="str">
        <x:f>IF('دانش‌آموزان'!E100="","",'دانش‌آموزان'!E100&amp;" "&amp;'دانش‌آموزان'!F100)</x:f>
        <x:v>نازنین مرادی</x:v>
      </x:c>
      <x:c r="F1151" s="166" t="str">
        <x:f>IF('دانش‌آموزان'!I100="","",'دانش‌آموزان'!I100)</x:f>
        <x:v>sample-7-d</x:v>
      </x:c>
      <x:c r="G1151" s="114"/>
      <x:c r="H1151" s="115"/>
      <x:c r="I1151" s="115"/>
      <x:c r="J1151" s="115"/>
      <x:c r="K1151" s="115"/>
      <x:c r="L1151" s="115"/>
      <x:c r="M1151" s="115"/>
      <x:c r="N1151" s="115"/>
      <x:c r="O1151" s="115"/>
      <x:c r="P1151" s="115"/>
      <x:c r="Q1151" s="115"/>
      <x:c r="R1151" s="115"/>
      <x:c r="S1151" s="115"/>
      <x:c r="T1151" s="115"/>
      <x:c r="U1151" s="115"/>
      <x:c r="V1151" s="115"/>
      <x:c r="W1151" s="115"/>
      <x:c r="X1151" s="115"/>
      <x:c r="Y1151" s="115"/>
      <x:c r="Z1151" s="115"/>
      <x:c r="AA1151" s="115"/>
      <x:c r="AB1151" s="115"/>
      <x:c r="AC1151" s="115"/>
      <x:c r="AD1151" s="115"/>
      <x:c r="AE1151" s="115"/>
      <x:c r="AF1151" s="115"/>
      <x:c r="AG1151" s="115"/>
      <x:c r="AH1151" s="115"/>
      <x:c r="AI1151" s="115"/>
      <x:c r="AJ1151" s="115"/>
      <x:c r="AK1151" s="115"/>
      <x:c r="AL1151" s="115"/>
      <x:c r="AM1151" s="115"/>
      <x:c r="AN1151" s="115"/>
      <x:c r="AO1151" s="115"/>
      <x:c r="AP1151" s="115"/>
      <x:c r="AQ1151" s="115"/>
      <x:c r="AR1151" s="115"/>
      <x:c r="AS1151" s="115"/>
      <x:c r="AT1151" s="115"/>
      <x:c r="AU1151" s="115"/>
      <x:c r="AV1151" s="115"/>
      <x:c r="AW1151" s="115"/>
      <x:c r="AX1151" s="115"/>
      <x:c r="AY1151" s="115"/>
      <x:c r="AZ1151" s="115"/>
      <x:c r="BA1151" s="115"/>
      <x:c r="BB1151" s="115"/>
      <x:c r="BC1151" s="115"/>
      <x:c r="BD1151" s="115"/>
      <x:c r="BE1151" s="115"/>
      <x:c r="BF1151" s="115"/>
      <x:c r="BG1151" s="115"/>
      <x:c r="BH1151" s="115"/>
      <x:c r="BI1151" s="115"/>
      <x:c r="BJ1151" s="115"/>
      <x:c r="BK1151" s="115"/>
      <x:c r="BL1151" s="115"/>
      <x:c r="BM1151" s="115"/>
      <x:c r="BN1151" s="115"/>
      <x:c r="BO1151" s="115"/>
      <x:c r="BP1151" s="115"/>
      <x:c r="BQ1151" s="115"/>
      <x:c r="BR1151" s="115"/>
      <x:c r="BS1151" s="115"/>
      <x:c r="BT1151" s="115"/>
      <x:c r="BU1151" s="115"/>
      <x:c r="BV1151" s="115"/>
      <x:c r="BW1151" s="115"/>
      <x:c r="BX1151" s="115"/>
      <x:c r="BY1151" s="115"/>
      <x:c r="BZ1151" s="115"/>
      <x:c r="CA1151" s="115"/>
      <x:c r="CB1151" s="116"/>
      <x:c r="CC1151" s="141" t="str">
        <x:f>IF(COUNT(G1151:P1151)=0,"",AVERAGE(G1151:P1151)*4)</x:f>
      </x:c>
      <x:c r="CD1151" s="178" t="str">
        <x:f>IF(COUNT(Q1151:Z1151)=0,"",AVERAGE(Q1151:Z1151)*4)</x:f>
      </x:c>
      <x:c r="CE1151" s="178" t="str">
        <x:f>IF(COUNT(AA1151:AJ1151)=0,"",AVERAGE(AA1151:AJ1151)*4)</x:f>
      </x:c>
      <x:c r="CF1151" s="178" t="str">
        <x:f>IF(COUNT(AK1151:AR1151)=0,"",AVERAGE(AK1151:AR1151)*4)</x:f>
      </x:c>
      <x:c r="CG1151" s="178" t="str">
        <x:f>IF(COUNT(AS1151:AY1151)=0,"",AVERAGE(AS1151:AY1151)*4)</x:f>
      </x:c>
      <x:c r="CH1151" s="178" t="str">
        <x:f>IF(COUNT(AZ1151:BG1151)=0,"",AVERAGE(AZ1151:BG1151)*4)</x:f>
      </x:c>
      <x:c r="CI1151" s="178" t="str">
        <x:f>IF(COUNT(BH1151:BN1151)=0,"",AVERAGE(BH1151:BN1151)*4)</x:f>
      </x:c>
      <x:c r="CJ1151" s="178" t="str">
        <x:f>IF(COUNT(BO1151:BU1151)=0,"",AVERAGE(BO1151:BU1151)*4)</x:f>
      </x:c>
      <x:c r="CK1151" s="178" t="str">
        <x:f>IF(COUNT(BV1151:CB1151)=0,"",AVERAGE(BV1151:CB1151)*4)</x:f>
      </x:c>
      <x:c r="CL1151" s="178" t="str">
        <x:f>IF(C1151="","",IF(COUNT(G1151:CB1151)&lt;74,"",(CC1151*'تنظیمات وزن‌دهی'!$C$5+CD1151*'تنظیمات وزن‌دهی'!$C$6+CE1151*'تنظیمات وزن‌دهی'!$C$7+CF1151*'تنظیمات وزن‌دهی'!$C$8+CG1151*'تنظیمات وزن‌دهی'!$C$9+CH1151*'تنظیمات وزن‌دهی'!$C$10+CI1151*'تنظیمات وزن‌دهی'!$C$11+CJ1151*'تنظیمات وزن‌دهی'!$C$12+CK1151*'تنظیمات وزن‌دهی'!$C$13)/100))</x:f>
      </x:c>
      <x:c r="CM1151" s="178" t="str">
        <x:f>IF(C1151="","",IF(COUNT(G1151:CB1151)=0,"",IF(COUNT(G1151:CB1151)&lt;74,"موقت - اطلاعات ناقص",IF(CL1151&gt;=17,"عالی",IF(CL1151&gt;=14,"خوب",IF(CL1151&gt;=10,"متوسط","ضعیف"))))))</x:f>
      </x:c>
      <x:c r="CN1151" s="178" t="n">
        <x:v>7</x:v>
      </x:c>
      <x:c r="CO1151" s="142" t="n">
        <x:f>IF(C1151="","",COUNT(G1151:CB1151)/74)</x:f>
        <x:v>0</x:v>
      </x:c>
      <x:c r="CP1151" s="245"/>
    </x:row>
    <x:row r="1152">
      <x:c r="A1152" s="165" t="n">
        <x:v>1148</x:v>
      </x:c>
      <x:c r="B1152" s="233" t="str">
        <x:v>بهمن</x:v>
      </x:c>
      <x:c r="C1152" s="233" t="n">
        <x:f>IF('دانش‌آموزان'!E100="","",'دانش‌آموزان'!B100)</x:f>
        <x:v>96</x:v>
      </x:c>
      <x:c r="D1152" s="233" t="str">
        <x:f>IF('دانش‌آموزان'!C100="","",'دانش‌آموزان'!C100)</x:f>
        <x:v>4000000969</x:v>
      </x:c>
      <x:c r="E1152" s="233" t="str">
        <x:f>IF('دانش‌آموزان'!E100="","",'دانش‌آموزان'!E100&amp;" "&amp;'دانش‌آموزان'!F100)</x:f>
        <x:v>نازنین مرادی</x:v>
      </x:c>
      <x:c r="F1152" s="166" t="str">
        <x:f>IF('دانش‌آموزان'!I100="","",'دانش‌آموزان'!I100)</x:f>
        <x:v>sample-7-d</x:v>
      </x:c>
      <x:c r="G1152" s="114"/>
      <x:c r="H1152" s="115"/>
      <x:c r="I1152" s="115"/>
      <x:c r="J1152" s="115"/>
      <x:c r="K1152" s="115"/>
      <x:c r="L1152" s="115"/>
      <x:c r="M1152" s="115"/>
      <x:c r="N1152" s="115"/>
      <x:c r="O1152" s="115"/>
      <x:c r="P1152" s="115"/>
      <x:c r="Q1152" s="115"/>
      <x:c r="R1152" s="115"/>
      <x:c r="S1152" s="115"/>
      <x:c r="T1152" s="115"/>
      <x:c r="U1152" s="115"/>
      <x:c r="V1152" s="115"/>
      <x:c r="W1152" s="115"/>
      <x:c r="X1152" s="115"/>
      <x:c r="Y1152" s="115"/>
      <x:c r="Z1152" s="115"/>
      <x:c r="AA1152" s="115"/>
      <x:c r="AB1152" s="115"/>
      <x:c r="AC1152" s="115"/>
      <x:c r="AD1152" s="115"/>
      <x:c r="AE1152" s="115"/>
      <x:c r="AF1152" s="115"/>
      <x:c r="AG1152" s="115"/>
      <x:c r="AH1152" s="115"/>
      <x:c r="AI1152" s="115"/>
      <x:c r="AJ1152" s="115"/>
      <x:c r="AK1152" s="115"/>
      <x:c r="AL1152" s="115"/>
      <x:c r="AM1152" s="115"/>
      <x:c r="AN1152" s="115"/>
      <x:c r="AO1152" s="115"/>
      <x:c r="AP1152" s="115"/>
      <x:c r="AQ1152" s="115"/>
      <x:c r="AR1152" s="115"/>
      <x:c r="AS1152" s="115"/>
      <x:c r="AT1152" s="115"/>
      <x:c r="AU1152" s="115"/>
      <x:c r="AV1152" s="115"/>
      <x:c r="AW1152" s="115"/>
      <x:c r="AX1152" s="115"/>
      <x:c r="AY1152" s="115"/>
      <x:c r="AZ1152" s="115"/>
      <x:c r="BA1152" s="115"/>
      <x:c r="BB1152" s="115"/>
      <x:c r="BC1152" s="115"/>
      <x:c r="BD1152" s="115"/>
      <x:c r="BE1152" s="115"/>
      <x:c r="BF1152" s="115"/>
      <x:c r="BG1152" s="115"/>
      <x:c r="BH1152" s="115"/>
      <x:c r="BI1152" s="115"/>
      <x:c r="BJ1152" s="115"/>
      <x:c r="BK1152" s="115"/>
      <x:c r="BL1152" s="115"/>
      <x:c r="BM1152" s="115"/>
      <x:c r="BN1152" s="115"/>
      <x:c r="BO1152" s="115"/>
      <x:c r="BP1152" s="115"/>
      <x:c r="BQ1152" s="115"/>
      <x:c r="BR1152" s="115"/>
      <x:c r="BS1152" s="115"/>
      <x:c r="BT1152" s="115"/>
      <x:c r="BU1152" s="115"/>
      <x:c r="BV1152" s="115"/>
      <x:c r="BW1152" s="115"/>
      <x:c r="BX1152" s="115"/>
      <x:c r="BY1152" s="115"/>
      <x:c r="BZ1152" s="115"/>
      <x:c r="CA1152" s="115"/>
      <x:c r="CB1152" s="116"/>
      <x:c r="CC1152" s="141" t="str">
        <x:f>IF(COUNT(G1152:P1152)=0,"",AVERAGE(G1152:P1152)*4)</x:f>
      </x:c>
      <x:c r="CD1152" s="178" t="str">
        <x:f>IF(COUNT(Q1152:Z1152)=0,"",AVERAGE(Q1152:Z1152)*4)</x:f>
      </x:c>
      <x:c r="CE1152" s="178" t="str">
        <x:f>IF(COUNT(AA1152:AJ1152)=0,"",AVERAGE(AA1152:AJ1152)*4)</x:f>
      </x:c>
      <x:c r="CF1152" s="178" t="str">
        <x:f>IF(COUNT(AK1152:AR1152)=0,"",AVERAGE(AK1152:AR1152)*4)</x:f>
      </x:c>
      <x:c r="CG1152" s="178" t="str">
        <x:f>IF(COUNT(AS1152:AY1152)=0,"",AVERAGE(AS1152:AY1152)*4)</x:f>
      </x:c>
      <x:c r="CH1152" s="178" t="str">
        <x:f>IF(COUNT(AZ1152:BG1152)=0,"",AVERAGE(AZ1152:BG1152)*4)</x:f>
      </x:c>
      <x:c r="CI1152" s="178" t="str">
        <x:f>IF(COUNT(BH1152:BN1152)=0,"",AVERAGE(BH1152:BN1152)*4)</x:f>
      </x:c>
      <x:c r="CJ1152" s="178" t="str">
        <x:f>IF(COUNT(BO1152:BU1152)=0,"",AVERAGE(BO1152:BU1152)*4)</x:f>
      </x:c>
      <x:c r="CK1152" s="178" t="str">
        <x:f>IF(COUNT(BV1152:CB1152)=0,"",AVERAGE(BV1152:CB1152)*4)</x:f>
      </x:c>
      <x:c r="CL1152" s="178" t="str">
        <x:f>IF(C1152="","",IF(COUNT(G1152:CB1152)&lt;74,"",(CC1152*'تنظیمات وزن‌دهی'!$C$5+CD1152*'تنظیمات وزن‌دهی'!$C$6+CE1152*'تنظیمات وزن‌دهی'!$C$7+CF1152*'تنظیمات وزن‌دهی'!$C$8+CG1152*'تنظیمات وزن‌دهی'!$C$9+CH1152*'تنظیمات وزن‌دهی'!$C$10+CI1152*'تنظیمات وزن‌دهی'!$C$11+CJ1152*'تنظیمات وزن‌دهی'!$C$12+CK1152*'تنظیمات وزن‌دهی'!$C$13)/100))</x:f>
      </x:c>
      <x:c r="CM1152" s="178" t="str">
        <x:f>IF(C1152="","",IF(COUNT(G1152:CB1152)=0,"",IF(COUNT(G1152:CB1152)&lt;74,"موقت - اطلاعات ناقص",IF(CL1152&gt;=17,"عالی",IF(CL1152&gt;=14,"خوب",IF(CL1152&gt;=10,"متوسط","ضعیف"))))))</x:f>
      </x:c>
      <x:c r="CN1152" s="178" t="n">
        <x:v>8</x:v>
      </x:c>
      <x:c r="CO1152" s="142" t="n">
        <x:f>IF(C1152="","",COUNT(G1152:CB1152)/74)</x:f>
        <x:v>0</x:v>
      </x:c>
      <x:c r="CP1152" s="245"/>
    </x:row>
    <x:row r="1153">
      <x:c r="A1153" s="165" t="n">
        <x:v>1149</x:v>
      </x:c>
      <x:c r="B1153" s="233" t="str">
        <x:v>اسفند</x:v>
      </x:c>
      <x:c r="C1153" s="233" t="n">
        <x:f>IF('دانش‌آموزان'!E100="","",'دانش‌آموزان'!B100)</x:f>
        <x:v>96</x:v>
      </x:c>
      <x:c r="D1153" s="233" t="str">
        <x:f>IF('دانش‌آموزان'!C100="","",'دانش‌آموزان'!C100)</x:f>
        <x:v>4000000969</x:v>
      </x:c>
      <x:c r="E1153" s="233" t="str">
        <x:f>IF('دانش‌آموزان'!E100="","",'دانش‌آموزان'!E100&amp;" "&amp;'دانش‌آموزان'!F100)</x:f>
        <x:v>نازنین مرادی</x:v>
      </x:c>
      <x:c r="F1153" s="166" t="str">
        <x:f>IF('دانش‌آموزان'!I100="","",'دانش‌آموزان'!I100)</x:f>
        <x:v>sample-7-d</x:v>
      </x:c>
      <x:c r="G1153" s="114"/>
      <x:c r="H1153" s="115"/>
      <x:c r="I1153" s="115"/>
      <x:c r="J1153" s="115"/>
      <x:c r="K1153" s="115"/>
      <x:c r="L1153" s="115"/>
      <x:c r="M1153" s="115"/>
      <x:c r="N1153" s="115"/>
      <x:c r="O1153" s="115"/>
      <x:c r="P1153" s="115"/>
      <x:c r="Q1153" s="115"/>
      <x:c r="R1153" s="115"/>
      <x:c r="S1153" s="115"/>
      <x:c r="T1153" s="115"/>
      <x:c r="U1153" s="115"/>
      <x:c r="V1153" s="115"/>
      <x:c r="W1153" s="115"/>
      <x:c r="X1153" s="115"/>
      <x:c r="Y1153" s="115"/>
      <x:c r="Z1153" s="115"/>
      <x:c r="AA1153" s="115"/>
      <x:c r="AB1153" s="115"/>
      <x:c r="AC1153" s="115"/>
      <x:c r="AD1153" s="115"/>
      <x:c r="AE1153" s="115"/>
      <x:c r="AF1153" s="115"/>
      <x:c r="AG1153" s="115"/>
      <x:c r="AH1153" s="115"/>
      <x:c r="AI1153" s="115"/>
      <x:c r="AJ1153" s="115"/>
      <x:c r="AK1153" s="115"/>
      <x:c r="AL1153" s="115"/>
      <x:c r="AM1153" s="115"/>
      <x:c r="AN1153" s="115"/>
      <x:c r="AO1153" s="115"/>
      <x:c r="AP1153" s="115"/>
      <x:c r="AQ1153" s="115"/>
      <x:c r="AR1153" s="115"/>
      <x:c r="AS1153" s="115"/>
      <x:c r="AT1153" s="115"/>
      <x:c r="AU1153" s="115"/>
      <x:c r="AV1153" s="115"/>
      <x:c r="AW1153" s="115"/>
      <x:c r="AX1153" s="115"/>
      <x:c r="AY1153" s="115"/>
      <x:c r="AZ1153" s="115"/>
      <x:c r="BA1153" s="115"/>
      <x:c r="BB1153" s="115"/>
      <x:c r="BC1153" s="115"/>
      <x:c r="BD1153" s="115"/>
      <x:c r="BE1153" s="115"/>
      <x:c r="BF1153" s="115"/>
      <x:c r="BG1153" s="115"/>
      <x:c r="BH1153" s="115"/>
      <x:c r="BI1153" s="115"/>
      <x:c r="BJ1153" s="115"/>
      <x:c r="BK1153" s="115"/>
      <x:c r="BL1153" s="115"/>
      <x:c r="BM1153" s="115"/>
      <x:c r="BN1153" s="115"/>
      <x:c r="BO1153" s="115"/>
      <x:c r="BP1153" s="115"/>
      <x:c r="BQ1153" s="115"/>
      <x:c r="BR1153" s="115"/>
      <x:c r="BS1153" s="115"/>
      <x:c r="BT1153" s="115"/>
      <x:c r="BU1153" s="115"/>
      <x:c r="BV1153" s="115"/>
      <x:c r="BW1153" s="115"/>
      <x:c r="BX1153" s="115"/>
      <x:c r="BY1153" s="115"/>
      <x:c r="BZ1153" s="115"/>
      <x:c r="CA1153" s="115"/>
      <x:c r="CB1153" s="116"/>
      <x:c r="CC1153" s="141" t="str">
        <x:f>IF(COUNT(G1153:P1153)=0,"",AVERAGE(G1153:P1153)*4)</x:f>
      </x:c>
      <x:c r="CD1153" s="178" t="str">
        <x:f>IF(COUNT(Q1153:Z1153)=0,"",AVERAGE(Q1153:Z1153)*4)</x:f>
      </x:c>
      <x:c r="CE1153" s="178" t="str">
        <x:f>IF(COUNT(AA1153:AJ1153)=0,"",AVERAGE(AA1153:AJ1153)*4)</x:f>
      </x:c>
      <x:c r="CF1153" s="178" t="str">
        <x:f>IF(COUNT(AK1153:AR1153)=0,"",AVERAGE(AK1153:AR1153)*4)</x:f>
      </x:c>
      <x:c r="CG1153" s="178" t="str">
        <x:f>IF(COUNT(AS1153:AY1153)=0,"",AVERAGE(AS1153:AY1153)*4)</x:f>
      </x:c>
      <x:c r="CH1153" s="178" t="str">
        <x:f>IF(COUNT(AZ1153:BG1153)=0,"",AVERAGE(AZ1153:BG1153)*4)</x:f>
      </x:c>
      <x:c r="CI1153" s="178" t="str">
        <x:f>IF(COUNT(BH1153:BN1153)=0,"",AVERAGE(BH1153:BN1153)*4)</x:f>
      </x:c>
      <x:c r="CJ1153" s="178" t="str">
        <x:f>IF(COUNT(BO1153:BU1153)=0,"",AVERAGE(BO1153:BU1153)*4)</x:f>
      </x:c>
      <x:c r="CK1153" s="178" t="str">
        <x:f>IF(COUNT(BV1153:CB1153)=0,"",AVERAGE(BV1153:CB1153)*4)</x:f>
      </x:c>
      <x:c r="CL1153" s="178" t="str">
        <x:f>IF(C1153="","",IF(COUNT(G1153:CB1153)&lt;74,"",(CC1153*'تنظیمات وزن‌دهی'!$C$5+CD1153*'تنظیمات وزن‌دهی'!$C$6+CE1153*'تنظیمات وزن‌دهی'!$C$7+CF1153*'تنظیمات وزن‌دهی'!$C$8+CG1153*'تنظیمات وزن‌دهی'!$C$9+CH1153*'تنظیمات وزن‌دهی'!$C$10+CI1153*'تنظیمات وزن‌دهی'!$C$11+CJ1153*'تنظیمات وزن‌دهی'!$C$12+CK1153*'تنظیمات وزن‌دهی'!$C$13)/100))</x:f>
      </x:c>
      <x:c r="CM1153" s="178" t="str">
        <x:f>IF(C1153="","",IF(COUNT(G1153:CB1153)=0,"",IF(COUNT(G1153:CB1153)&lt;74,"موقت - اطلاعات ناقص",IF(CL1153&gt;=17,"عالی",IF(CL1153&gt;=14,"خوب",IF(CL1153&gt;=10,"متوسط","ضعیف"))))))</x:f>
      </x:c>
      <x:c r="CN1153" s="178" t="n">
        <x:v>9</x:v>
      </x:c>
      <x:c r="CO1153" s="142" t="n">
        <x:f>IF(C1153="","",COUNT(G1153:CB1153)/74)</x:f>
        <x:v>0</x:v>
      </x:c>
      <x:c r="CP1153" s="245"/>
    </x:row>
    <x:row r="1154">
      <x:c r="A1154" s="165" t="n">
        <x:v>1150</x:v>
      </x:c>
      <x:c r="B1154" s="233" t="str">
        <x:v>فروردین</x:v>
      </x:c>
      <x:c r="C1154" s="233" t="n">
        <x:f>IF('دانش‌آموزان'!E100="","",'دانش‌آموزان'!B100)</x:f>
        <x:v>96</x:v>
      </x:c>
      <x:c r="D1154" s="233" t="str">
        <x:f>IF('دانش‌آموزان'!C100="","",'دانش‌آموزان'!C100)</x:f>
        <x:v>4000000969</x:v>
      </x:c>
      <x:c r="E1154" s="233" t="str">
        <x:f>IF('دانش‌آموزان'!E100="","",'دانش‌آموزان'!E100&amp;" "&amp;'دانش‌آموزان'!F100)</x:f>
        <x:v>نازنین مرادی</x:v>
      </x:c>
      <x:c r="F1154" s="166" t="str">
        <x:f>IF('دانش‌آموزان'!I100="","",'دانش‌آموزان'!I100)</x:f>
        <x:v>sample-7-d</x:v>
      </x:c>
      <x:c r="G1154" s="114"/>
      <x:c r="H1154" s="115"/>
      <x:c r="I1154" s="115"/>
      <x:c r="J1154" s="115"/>
      <x:c r="K1154" s="115"/>
      <x:c r="L1154" s="115"/>
      <x:c r="M1154" s="115"/>
      <x:c r="N1154" s="115"/>
      <x:c r="O1154" s="115"/>
      <x:c r="P1154" s="115"/>
      <x:c r="Q1154" s="115"/>
      <x:c r="R1154" s="115"/>
      <x:c r="S1154" s="115"/>
      <x:c r="T1154" s="115"/>
      <x:c r="U1154" s="115"/>
      <x:c r="V1154" s="115"/>
      <x:c r="W1154" s="115"/>
      <x:c r="X1154" s="115"/>
      <x:c r="Y1154" s="115"/>
      <x:c r="Z1154" s="115"/>
      <x:c r="AA1154" s="115"/>
      <x:c r="AB1154" s="115"/>
      <x:c r="AC1154" s="115"/>
      <x:c r="AD1154" s="115"/>
      <x:c r="AE1154" s="115"/>
      <x:c r="AF1154" s="115"/>
      <x:c r="AG1154" s="115"/>
      <x:c r="AH1154" s="115"/>
      <x:c r="AI1154" s="115"/>
      <x:c r="AJ1154" s="115"/>
      <x:c r="AK1154" s="115"/>
      <x:c r="AL1154" s="115"/>
      <x:c r="AM1154" s="115"/>
      <x:c r="AN1154" s="115"/>
      <x:c r="AO1154" s="115"/>
      <x:c r="AP1154" s="115"/>
      <x:c r="AQ1154" s="115"/>
      <x:c r="AR1154" s="115"/>
      <x:c r="AS1154" s="115"/>
      <x:c r="AT1154" s="115"/>
      <x:c r="AU1154" s="115"/>
      <x:c r="AV1154" s="115"/>
      <x:c r="AW1154" s="115"/>
      <x:c r="AX1154" s="115"/>
      <x:c r="AY1154" s="115"/>
      <x:c r="AZ1154" s="115"/>
      <x:c r="BA1154" s="115"/>
      <x:c r="BB1154" s="115"/>
      <x:c r="BC1154" s="115"/>
      <x:c r="BD1154" s="115"/>
      <x:c r="BE1154" s="115"/>
      <x:c r="BF1154" s="115"/>
      <x:c r="BG1154" s="115"/>
      <x:c r="BH1154" s="115"/>
      <x:c r="BI1154" s="115"/>
      <x:c r="BJ1154" s="115"/>
      <x:c r="BK1154" s="115"/>
      <x:c r="BL1154" s="115"/>
      <x:c r="BM1154" s="115"/>
      <x:c r="BN1154" s="115"/>
      <x:c r="BO1154" s="115"/>
      <x:c r="BP1154" s="115"/>
      <x:c r="BQ1154" s="115"/>
      <x:c r="BR1154" s="115"/>
      <x:c r="BS1154" s="115"/>
      <x:c r="BT1154" s="115"/>
      <x:c r="BU1154" s="115"/>
      <x:c r="BV1154" s="115"/>
      <x:c r="BW1154" s="115"/>
      <x:c r="BX1154" s="115"/>
      <x:c r="BY1154" s="115"/>
      <x:c r="BZ1154" s="115"/>
      <x:c r="CA1154" s="115"/>
      <x:c r="CB1154" s="116"/>
      <x:c r="CC1154" s="141" t="str">
        <x:f>IF(COUNT(G1154:P1154)=0,"",AVERAGE(G1154:P1154)*4)</x:f>
      </x:c>
      <x:c r="CD1154" s="178" t="str">
        <x:f>IF(COUNT(Q1154:Z1154)=0,"",AVERAGE(Q1154:Z1154)*4)</x:f>
      </x:c>
      <x:c r="CE1154" s="178" t="str">
        <x:f>IF(COUNT(AA1154:AJ1154)=0,"",AVERAGE(AA1154:AJ1154)*4)</x:f>
      </x:c>
      <x:c r="CF1154" s="178" t="str">
        <x:f>IF(COUNT(AK1154:AR1154)=0,"",AVERAGE(AK1154:AR1154)*4)</x:f>
      </x:c>
      <x:c r="CG1154" s="178" t="str">
        <x:f>IF(COUNT(AS1154:AY1154)=0,"",AVERAGE(AS1154:AY1154)*4)</x:f>
      </x:c>
      <x:c r="CH1154" s="178" t="str">
        <x:f>IF(COUNT(AZ1154:BG1154)=0,"",AVERAGE(AZ1154:BG1154)*4)</x:f>
      </x:c>
      <x:c r="CI1154" s="178" t="str">
        <x:f>IF(COUNT(BH1154:BN1154)=0,"",AVERAGE(BH1154:BN1154)*4)</x:f>
      </x:c>
      <x:c r="CJ1154" s="178" t="str">
        <x:f>IF(COUNT(BO1154:BU1154)=0,"",AVERAGE(BO1154:BU1154)*4)</x:f>
      </x:c>
      <x:c r="CK1154" s="178" t="str">
        <x:f>IF(COUNT(BV1154:CB1154)=0,"",AVERAGE(BV1154:CB1154)*4)</x:f>
      </x:c>
      <x:c r="CL1154" s="178" t="str">
        <x:f>IF(C1154="","",IF(COUNT(G1154:CB1154)&lt;74,"",(CC1154*'تنظیمات وزن‌دهی'!$C$5+CD1154*'تنظیمات وزن‌دهی'!$C$6+CE1154*'تنظیمات وزن‌دهی'!$C$7+CF1154*'تنظیمات وزن‌دهی'!$C$8+CG1154*'تنظیمات وزن‌دهی'!$C$9+CH1154*'تنظیمات وزن‌دهی'!$C$10+CI1154*'تنظیمات وزن‌دهی'!$C$11+CJ1154*'تنظیمات وزن‌دهی'!$C$12+CK1154*'تنظیمات وزن‌دهی'!$C$13)/100))</x:f>
      </x:c>
      <x:c r="CM1154" s="178" t="str">
        <x:f>IF(C1154="","",IF(COUNT(G1154:CB1154)=0,"",IF(COUNT(G1154:CB1154)&lt;74,"موقت - اطلاعات ناقص",IF(CL1154&gt;=17,"عالی",IF(CL1154&gt;=14,"خوب",IF(CL1154&gt;=10,"متوسط","ضعیف"))))))</x:f>
      </x:c>
      <x:c r="CN1154" s="178" t="n">
        <x:v>10</x:v>
      </x:c>
      <x:c r="CO1154" s="142" t="n">
        <x:f>IF(C1154="","",COUNT(G1154:CB1154)/74)</x:f>
        <x:v>0</x:v>
      </x:c>
      <x:c r="CP1154" s="245"/>
    </x:row>
    <x:row r="1155">
      <x:c r="A1155" s="165" t="n">
        <x:v>1151</x:v>
      </x:c>
      <x:c r="B1155" s="233" t="str">
        <x:v>اردیبهشت</x:v>
      </x:c>
      <x:c r="C1155" s="233" t="n">
        <x:f>IF('دانش‌آموزان'!E100="","",'دانش‌آموزان'!B100)</x:f>
        <x:v>96</x:v>
      </x:c>
      <x:c r="D1155" s="233" t="str">
        <x:f>IF('دانش‌آموزان'!C100="","",'دانش‌آموزان'!C100)</x:f>
        <x:v>4000000969</x:v>
      </x:c>
      <x:c r="E1155" s="233" t="str">
        <x:f>IF('دانش‌آموزان'!E100="","",'دانش‌آموزان'!E100&amp;" "&amp;'دانش‌آموزان'!F100)</x:f>
        <x:v>نازنین مرادی</x:v>
      </x:c>
      <x:c r="F1155" s="166" t="str">
        <x:f>IF('دانش‌آموزان'!I100="","",'دانش‌آموزان'!I100)</x:f>
        <x:v>sample-7-d</x:v>
      </x:c>
      <x:c r="G1155" s="114"/>
      <x:c r="H1155" s="115"/>
      <x:c r="I1155" s="115"/>
      <x:c r="J1155" s="115"/>
      <x:c r="K1155" s="115"/>
      <x:c r="L1155" s="115"/>
      <x:c r="M1155" s="115"/>
      <x:c r="N1155" s="115"/>
      <x:c r="O1155" s="115"/>
      <x:c r="P1155" s="115"/>
      <x:c r="Q1155" s="115"/>
      <x:c r="R1155" s="115"/>
      <x:c r="S1155" s="115"/>
      <x:c r="T1155" s="115"/>
      <x:c r="U1155" s="115"/>
      <x:c r="V1155" s="115"/>
      <x:c r="W1155" s="115"/>
      <x:c r="X1155" s="115"/>
      <x:c r="Y1155" s="115"/>
      <x:c r="Z1155" s="115"/>
      <x:c r="AA1155" s="115"/>
      <x:c r="AB1155" s="115"/>
      <x:c r="AC1155" s="115"/>
      <x:c r="AD1155" s="115"/>
      <x:c r="AE1155" s="115"/>
      <x:c r="AF1155" s="115"/>
      <x:c r="AG1155" s="115"/>
      <x:c r="AH1155" s="115"/>
      <x:c r="AI1155" s="115"/>
      <x:c r="AJ1155" s="115"/>
      <x:c r="AK1155" s="115"/>
      <x:c r="AL1155" s="115"/>
      <x:c r="AM1155" s="115"/>
      <x:c r="AN1155" s="115"/>
      <x:c r="AO1155" s="115"/>
      <x:c r="AP1155" s="115"/>
      <x:c r="AQ1155" s="115"/>
      <x:c r="AR1155" s="115"/>
      <x:c r="AS1155" s="115"/>
      <x:c r="AT1155" s="115"/>
      <x:c r="AU1155" s="115"/>
      <x:c r="AV1155" s="115"/>
      <x:c r="AW1155" s="115"/>
      <x:c r="AX1155" s="115"/>
      <x:c r="AY1155" s="115"/>
      <x:c r="AZ1155" s="115"/>
      <x:c r="BA1155" s="115"/>
      <x:c r="BB1155" s="115"/>
      <x:c r="BC1155" s="115"/>
      <x:c r="BD1155" s="115"/>
      <x:c r="BE1155" s="115"/>
      <x:c r="BF1155" s="115"/>
      <x:c r="BG1155" s="115"/>
      <x:c r="BH1155" s="115"/>
      <x:c r="BI1155" s="115"/>
      <x:c r="BJ1155" s="115"/>
      <x:c r="BK1155" s="115"/>
      <x:c r="BL1155" s="115"/>
      <x:c r="BM1155" s="115"/>
      <x:c r="BN1155" s="115"/>
      <x:c r="BO1155" s="115"/>
      <x:c r="BP1155" s="115"/>
      <x:c r="BQ1155" s="115"/>
      <x:c r="BR1155" s="115"/>
      <x:c r="BS1155" s="115"/>
      <x:c r="BT1155" s="115"/>
      <x:c r="BU1155" s="115"/>
      <x:c r="BV1155" s="115"/>
      <x:c r="BW1155" s="115"/>
      <x:c r="BX1155" s="115"/>
      <x:c r="BY1155" s="115"/>
      <x:c r="BZ1155" s="115"/>
      <x:c r="CA1155" s="115"/>
      <x:c r="CB1155" s="116"/>
      <x:c r="CC1155" s="141" t="str">
        <x:f>IF(COUNT(G1155:P1155)=0,"",AVERAGE(G1155:P1155)*4)</x:f>
      </x:c>
      <x:c r="CD1155" s="178" t="str">
        <x:f>IF(COUNT(Q1155:Z1155)=0,"",AVERAGE(Q1155:Z1155)*4)</x:f>
      </x:c>
      <x:c r="CE1155" s="178" t="str">
        <x:f>IF(COUNT(AA1155:AJ1155)=0,"",AVERAGE(AA1155:AJ1155)*4)</x:f>
      </x:c>
      <x:c r="CF1155" s="178" t="str">
        <x:f>IF(COUNT(AK1155:AR1155)=0,"",AVERAGE(AK1155:AR1155)*4)</x:f>
      </x:c>
      <x:c r="CG1155" s="178" t="str">
        <x:f>IF(COUNT(AS1155:AY1155)=0,"",AVERAGE(AS1155:AY1155)*4)</x:f>
      </x:c>
      <x:c r="CH1155" s="178" t="str">
        <x:f>IF(COUNT(AZ1155:BG1155)=0,"",AVERAGE(AZ1155:BG1155)*4)</x:f>
      </x:c>
      <x:c r="CI1155" s="178" t="str">
        <x:f>IF(COUNT(BH1155:BN1155)=0,"",AVERAGE(BH1155:BN1155)*4)</x:f>
      </x:c>
      <x:c r="CJ1155" s="178" t="str">
        <x:f>IF(COUNT(BO1155:BU1155)=0,"",AVERAGE(BO1155:BU1155)*4)</x:f>
      </x:c>
      <x:c r="CK1155" s="178" t="str">
        <x:f>IF(COUNT(BV1155:CB1155)=0,"",AVERAGE(BV1155:CB1155)*4)</x:f>
      </x:c>
      <x:c r="CL1155" s="178" t="str">
        <x:f>IF(C1155="","",IF(COUNT(G1155:CB1155)&lt;74,"",(CC1155*'تنظیمات وزن‌دهی'!$C$5+CD1155*'تنظیمات وزن‌دهی'!$C$6+CE1155*'تنظیمات وزن‌دهی'!$C$7+CF1155*'تنظیمات وزن‌دهی'!$C$8+CG1155*'تنظیمات وزن‌دهی'!$C$9+CH1155*'تنظیمات وزن‌دهی'!$C$10+CI1155*'تنظیمات وزن‌دهی'!$C$11+CJ1155*'تنظیمات وزن‌دهی'!$C$12+CK1155*'تنظیمات وزن‌دهی'!$C$13)/100))</x:f>
      </x:c>
      <x:c r="CM1155" s="178" t="str">
        <x:f>IF(C1155="","",IF(COUNT(G1155:CB1155)=0,"",IF(COUNT(G1155:CB1155)&lt;74,"موقت - اطلاعات ناقص",IF(CL1155&gt;=17,"عالی",IF(CL1155&gt;=14,"خوب",IF(CL1155&gt;=10,"متوسط","ضعیف"))))))</x:f>
      </x:c>
      <x:c r="CN1155" s="178" t="n">
        <x:v>11</x:v>
      </x:c>
      <x:c r="CO1155" s="142" t="n">
        <x:f>IF(C1155="","",COUNT(G1155:CB1155)/74)</x:f>
        <x:v>0</x:v>
      </x:c>
      <x:c r="CP1155" s="245"/>
    </x:row>
    <x:row r="1156">
      <x:c r="A1156" s="165" t="n">
        <x:v>1152</x:v>
      </x:c>
      <x:c r="B1156" s="233" t="str">
        <x:v>خرداد</x:v>
      </x:c>
      <x:c r="C1156" s="233" t="n">
        <x:f>IF('دانش‌آموزان'!E100="","",'دانش‌آموزان'!B100)</x:f>
        <x:v>96</x:v>
      </x:c>
      <x:c r="D1156" s="233" t="str">
        <x:f>IF('دانش‌آموزان'!C100="","",'دانش‌آموزان'!C100)</x:f>
        <x:v>4000000969</x:v>
      </x:c>
      <x:c r="E1156" s="233" t="str">
        <x:f>IF('دانش‌آموزان'!E100="","",'دانش‌آموزان'!E100&amp;" "&amp;'دانش‌آموزان'!F100)</x:f>
        <x:v>نازنین مرادی</x:v>
      </x:c>
      <x:c r="F1156" s="166" t="str">
        <x:f>IF('دانش‌آموزان'!I100="","",'دانش‌آموزان'!I100)</x:f>
        <x:v>sample-7-d</x:v>
      </x:c>
      <x:c r="G1156" s="114"/>
      <x:c r="H1156" s="115"/>
      <x:c r="I1156" s="115"/>
      <x:c r="J1156" s="115"/>
      <x:c r="K1156" s="115"/>
      <x:c r="L1156" s="115"/>
      <x:c r="M1156" s="115"/>
      <x:c r="N1156" s="115"/>
      <x:c r="O1156" s="115"/>
      <x:c r="P1156" s="115"/>
      <x:c r="Q1156" s="115"/>
      <x:c r="R1156" s="115"/>
      <x:c r="S1156" s="115"/>
      <x:c r="T1156" s="115"/>
      <x:c r="U1156" s="115"/>
      <x:c r="V1156" s="115"/>
      <x:c r="W1156" s="115"/>
      <x:c r="X1156" s="115"/>
      <x:c r="Y1156" s="115"/>
      <x:c r="Z1156" s="115"/>
      <x:c r="AA1156" s="115"/>
      <x:c r="AB1156" s="115"/>
      <x:c r="AC1156" s="115"/>
      <x:c r="AD1156" s="115"/>
      <x:c r="AE1156" s="115"/>
      <x:c r="AF1156" s="115"/>
      <x:c r="AG1156" s="115"/>
      <x:c r="AH1156" s="115"/>
      <x:c r="AI1156" s="115"/>
      <x:c r="AJ1156" s="115"/>
      <x:c r="AK1156" s="115"/>
      <x:c r="AL1156" s="115"/>
      <x:c r="AM1156" s="115"/>
      <x:c r="AN1156" s="115"/>
      <x:c r="AO1156" s="115"/>
      <x:c r="AP1156" s="115"/>
      <x:c r="AQ1156" s="115"/>
      <x:c r="AR1156" s="115"/>
      <x:c r="AS1156" s="115"/>
      <x:c r="AT1156" s="115"/>
      <x:c r="AU1156" s="115"/>
      <x:c r="AV1156" s="115"/>
      <x:c r="AW1156" s="115"/>
      <x:c r="AX1156" s="115"/>
      <x:c r="AY1156" s="115"/>
      <x:c r="AZ1156" s="115"/>
      <x:c r="BA1156" s="115"/>
      <x:c r="BB1156" s="115"/>
      <x:c r="BC1156" s="115"/>
      <x:c r="BD1156" s="115"/>
      <x:c r="BE1156" s="115"/>
      <x:c r="BF1156" s="115"/>
      <x:c r="BG1156" s="115"/>
      <x:c r="BH1156" s="115"/>
      <x:c r="BI1156" s="115"/>
      <x:c r="BJ1156" s="115"/>
      <x:c r="BK1156" s="115"/>
      <x:c r="BL1156" s="115"/>
      <x:c r="BM1156" s="115"/>
      <x:c r="BN1156" s="115"/>
      <x:c r="BO1156" s="115"/>
      <x:c r="BP1156" s="115"/>
      <x:c r="BQ1156" s="115"/>
      <x:c r="BR1156" s="115"/>
      <x:c r="BS1156" s="115"/>
      <x:c r="BT1156" s="115"/>
      <x:c r="BU1156" s="115"/>
      <x:c r="BV1156" s="115"/>
      <x:c r="BW1156" s="115"/>
      <x:c r="BX1156" s="115"/>
      <x:c r="BY1156" s="115"/>
      <x:c r="BZ1156" s="115"/>
      <x:c r="CA1156" s="115"/>
      <x:c r="CB1156" s="116"/>
      <x:c r="CC1156" s="141" t="str">
        <x:f>IF(COUNT(G1156:P1156)=0,"",AVERAGE(G1156:P1156)*4)</x:f>
      </x:c>
      <x:c r="CD1156" s="178" t="str">
        <x:f>IF(COUNT(Q1156:Z1156)=0,"",AVERAGE(Q1156:Z1156)*4)</x:f>
      </x:c>
      <x:c r="CE1156" s="178" t="str">
        <x:f>IF(COUNT(AA1156:AJ1156)=0,"",AVERAGE(AA1156:AJ1156)*4)</x:f>
      </x:c>
      <x:c r="CF1156" s="178" t="str">
        <x:f>IF(COUNT(AK1156:AR1156)=0,"",AVERAGE(AK1156:AR1156)*4)</x:f>
      </x:c>
      <x:c r="CG1156" s="178" t="str">
        <x:f>IF(COUNT(AS1156:AY1156)=0,"",AVERAGE(AS1156:AY1156)*4)</x:f>
      </x:c>
      <x:c r="CH1156" s="178" t="str">
        <x:f>IF(COUNT(AZ1156:BG1156)=0,"",AVERAGE(AZ1156:BG1156)*4)</x:f>
      </x:c>
      <x:c r="CI1156" s="178" t="str">
        <x:f>IF(COUNT(BH1156:BN1156)=0,"",AVERAGE(BH1156:BN1156)*4)</x:f>
      </x:c>
      <x:c r="CJ1156" s="178" t="str">
        <x:f>IF(COUNT(BO1156:BU1156)=0,"",AVERAGE(BO1156:BU1156)*4)</x:f>
      </x:c>
      <x:c r="CK1156" s="178" t="str">
        <x:f>IF(COUNT(BV1156:CB1156)=0,"",AVERAGE(BV1156:CB1156)*4)</x:f>
      </x:c>
      <x:c r="CL1156" s="178" t="str">
        <x:f>IF(C1156="","",IF(COUNT(G1156:CB1156)&lt;74,"",(CC1156*'تنظیمات وزن‌دهی'!$C$5+CD1156*'تنظیمات وزن‌دهی'!$C$6+CE1156*'تنظیمات وزن‌دهی'!$C$7+CF1156*'تنظیمات وزن‌دهی'!$C$8+CG1156*'تنظیمات وزن‌دهی'!$C$9+CH1156*'تنظیمات وزن‌دهی'!$C$10+CI1156*'تنظیمات وزن‌دهی'!$C$11+CJ1156*'تنظیمات وزن‌دهی'!$C$12+CK1156*'تنظیمات وزن‌دهی'!$C$13)/100))</x:f>
      </x:c>
      <x:c r="CM1156" s="178" t="str">
        <x:f>IF(C1156="","",IF(COUNT(G1156:CB1156)=0,"",IF(COUNT(G1156:CB1156)&lt;74,"موقت - اطلاعات ناقص",IF(CL1156&gt;=17,"عالی",IF(CL1156&gt;=14,"خوب",IF(CL1156&gt;=10,"متوسط","ضعیف"))))))</x:f>
      </x:c>
      <x:c r="CN1156" s="178" t="n">
        <x:v>12</x:v>
      </x:c>
      <x:c r="CO1156" s="142" t="n">
        <x:f>IF(C1156="","",COUNT(G1156:CB1156)/74)</x:f>
        <x:v>0</x:v>
      </x:c>
      <x:c r="CP1156" s="245"/>
    </x:row>
    <x:row r="1157">
      <x:c r="A1157" s="165" t="n">
        <x:v>1153</x:v>
      </x:c>
      <x:c r="B1157" s="233" t="str">
        <x:v>تیر</x:v>
      </x:c>
      <x:c r="C1157" s="233" t="n">
        <x:f>IF('دانش‌آموزان'!E101="","",'دانش‌آموزان'!B101)</x:f>
        <x:v>97</x:v>
      </x:c>
      <x:c r="D1157" s="233" t="str">
        <x:f>IF('دانش‌آموزان'!C101="","",'دانش‌آموزان'!C101)</x:f>
        <x:v>4000000977</x:v>
      </x:c>
      <x:c r="E1157" s="233" t="str">
        <x:f>IF('دانش‌آموزان'!E101="","",'دانش‌آموزان'!E101&amp;" "&amp;'دانش‌آموزان'!F101)</x:f>
        <x:v>سینا رحیمی</x:v>
      </x:c>
      <x:c r="F1157" s="166" t="str">
        <x:f>IF('دانش‌آموزان'!I101="","",'دانش‌آموزان'!I101)</x:f>
        <x:v>sample-7-d</x:v>
      </x:c>
      <x:c r="G1157" s="114" t="n">
        <x:v>3</x:v>
      </x:c>
      <x:c r="H1157" s="115" t="n">
        <x:v>4</x:v>
      </x:c>
      <x:c r="I1157" s="115" t="n">
        <x:v>3</x:v>
      </x:c>
      <x:c r="J1157" s="115" t="n">
        <x:v>4</x:v>
      </x:c>
      <x:c r="K1157" s="115" t="n">
        <x:v>2</x:v>
      </x:c>
      <x:c r="L1157" s="115" t="n">
        <x:v>4</x:v>
      </x:c>
      <x:c r="M1157" s="115" t="n">
        <x:v>5</x:v>
      </x:c>
      <x:c r="N1157" s="115" t="n">
        <x:v>4</x:v>
      </x:c>
      <x:c r="O1157" s="115" t="n">
        <x:v>5</x:v>
      </x:c>
      <x:c r="P1157" s="115" t="n">
        <x:v>3</x:v>
      </x:c>
      <x:c r="Q1157" s="115" t="n">
        <x:v>5</x:v>
      </x:c>
      <x:c r="R1157" s="115" t="n">
        <x:v>3</x:v>
      </x:c>
      <x:c r="S1157" s="115" t="n">
        <x:v>4</x:v>
      </x:c>
      <x:c r="T1157" s="115" t="n">
        <x:v>3</x:v>
      </x:c>
      <x:c r="U1157" s="115" t="n">
        <x:v>4</x:v>
      </x:c>
      <x:c r="V1157" s="115" t="n">
        <x:v>2</x:v>
      </x:c>
      <x:c r="W1157" s="115" t="n">
        <x:v>4</x:v>
      </x:c>
      <x:c r="X1157" s="115" t="n">
        <x:v>5</x:v>
      </x:c>
      <x:c r="Y1157" s="115" t="n">
        <x:v>4</x:v>
      </x:c>
      <x:c r="Z1157" s="115" t="n">
        <x:v>5</x:v>
      </x:c>
      <x:c r="AA1157" s="115" t="n">
        <x:v>3</x:v>
      </x:c>
      <x:c r="AB1157" s="115" t="n">
        <x:v>5</x:v>
      </x:c>
      <x:c r="AC1157" s="115" t="n">
        <x:v>3</x:v>
      </x:c>
      <x:c r="AD1157" s="115" t="n">
        <x:v>4</x:v>
      </x:c>
      <x:c r="AE1157" s="115" t="n">
        <x:v>3</x:v>
      </x:c>
      <x:c r="AF1157" s="115" t="n">
        <x:v>4</x:v>
      </x:c>
      <x:c r="AG1157" s="115" t="n">
        <x:v>2</x:v>
      </x:c>
      <x:c r="AH1157" s="115" t="n">
        <x:v>4</x:v>
      </x:c>
      <x:c r="AI1157" s="115" t="n">
        <x:v>5</x:v>
      </x:c>
      <x:c r="AJ1157" s="115" t="n">
        <x:v>4</x:v>
      </x:c>
      <x:c r="AK1157" s="115" t="n">
        <x:v>5</x:v>
      </x:c>
      <x:c r="AL1157" s="115" t="n">
        <x:v>3</x:v>
      </x:c>
      <x:c r="AM1157" s="115" t="n">
        <x:v>5</x:v>
      </x:c>
      <x:c r="AN1157" s="115" t="n">
        <x:v>3</x:v>
      </x:c>
      <x:c r="AO1157" s="115" t="n">
        <x:v>4</x:v>
      </x:c>
      <x:c r="AP1157" s="115" t="n">
        <x:v>3</x:v>
      </x:c>
      <x:c r="AQ1157" s="115" t="n">
        <x:v>4</x:v>
      </x:c>
      <x:c r="AR1157" s="115" t="n">
        <x:v>2</x:v>
      </x:c>
      <x:c r="AS1157" s="115" t="n">
        <x:v>4</x:v>
      </x:c>
      <x:c r="AT1157" s="115" t="n">
        <x:v>5</x:v>
      </x:c>
      <x:c r="AU1157" s="115" t="n">
        <x:v>4</x:v>
      </x:c>
      <x:c r="AV1157" s="115" t="n">
        <x:v>5</x:v>
      </x:c>
      <x:c r="AW1157" s="115" t="n">
        <x:v>3</x:v>
      </x:c>
      <x:c r="AX1157" s="115" t="n">
        <x:v>5</x:v>
      </x:c>
      <x:c r="AY1157" s="115" t="n">
        <x:v>3</x:v>
      </x:c>
      <x:c r="AZ1157" s="115" t="n">
        <x:v>4</x:v>
      </x:c>
      <x:c r="BA1157" s="115" t="n">
        <x:v>3</x:v>
      </x:c>
      <x:c r="BB1157" s="115" t="n">
        <x:v>4</x:v>
      </x:c>
      <x:c r="BC1157" s="115" t="n">
        <x:v>2</x:v>
      </x:c>
      <x:c r="BD1157" s="115" t="n">
        <x:v>4</x:v>
      </x:c>
      <x:c r="BE1157" s="115" t="n">
        <x:v>5</x:v>
      </x:c>
      <x:c r="BF1157" s="115" t="n">
        <x:v>4</x:v>
      </x:c>
      <x:c r="BG1157" s="115" t="n">
        <x:v>5</x:v>
      </x:c>
      <x:c r="BH1157" s="115" t="n">
        <x:v>3</x:v>
      </x:c>
      <x:c r="BI1157" s="115" t="n">
        <x:v>5</x:v>
      </x:c>
      <x:c r="BJ1157" s="115" t="n">
        <x:v>3</x:v>
      </x:c>
      <x:c r="BK1157" s="115" t="n">
        <x:v>4</x:v>
      </x:c>
      <x:c r="BL1157" s="115" t="n">
        <x:v>3</x:v>
      </x:c>
      <x:c r="BM1157" s="115" t="n">
        <x:v>4</x:v>
      </x:c>
      <x:c r="BN1157" s="115" t="n">
        <x:v>2</x:v>
      </x:c>
      <x:c r="BO1157" s="115" t="n">
        <x:v>4</x:v>
      </x:c>
      <x:c r="BP1157" s="115" t="n">
        <x:v>5</x:v>
      </x:c>
      <x:c r="BQ1157" s="115" t="n">
        <x:v>4</x:v>
      </x:c>
      <x:c r="BR1157" s="115" t="n">
        <x:v>5</x:v>
      </x:c>
      <x:c r="BS1157" s="115" t="n">
        <x:v>3</x:v>
      </x:c>
      <x:c r="BT1157" s="115" t="n">
        <x:v>5</x:v>
      </x:c>
      <x:c r="BU1157" s="115" t="n">
        <x:v>3</x:v>
      </x:c>
      <x:c r="BV1157" s="115" t="n">
        <x:v>4</x:v>
      </x:c>
      <x:c r="BW1157" s="115" t="n">
        <x:v>3</x:v>
      </x:c>
      <x:c r="BX1157" s="115" t="n">
        <x:v>4</x:v>
      </x:c>
      <x:c r="BY1157" s="115" t="n">
        <x:v>2</x:v>
      </x:c>
      <x:c r="BZ1157" s="115" t="n">
        <x:v>4</x:v>
      </x:c>
      <x:c r="CA1157" s="115" t="n">
        <x:v>5</x:v>
      </x:c>
      <x:c r="CB1157" s="116" t="n">
        <x:v>4</x:v>
      </x:c>
      <x:c r="CC1157" s="141" t="n">
        <x:f>IF(COUNT(G1157:P1157)=0,"",AVERAGE(G1157:P1157)*4)</x:f>
        <x:v>14.8</x:v>
      </x:c>
      <x:c r="CD1157" s="178" t="n">
        <x:f>IF(COUNT(Q1157:Z1157)=0,"",AVERAGE(Q1157:Z1157)*4)</x:f>
        <x:v>15.6</x:v>
      </x:c>
      <x:c r="CE1157" s="178" t="n">
        <x:f>IF(COUNT(AA1157:AJ1157)=0,"",AVERAGE(AA1157:AJ1157)*4)</x:f>
        <x:v>14.8</x:v>
      </x:c>
      <x:c r="CF1157" s="178" t="n">
        <x:f>IF(COUNT(AK1157:AR1157)=0,"",AVERAGE(AK1157:AR1157)*4)</x:f>
        <x:v>14.5</x:v>
      </x:c>
      <x:c r="CG1157" s="178" t="n">
        <x:f>IF(COUNT(AS1157:AY1157)=0,"",AVERAGE(AS1157:AY1157)*4)</x:f>
        <x:v>16.571428571428573</x:v>
      </x:c>
      <x:c r="CH1157" s="178" t="n">
        <x:f>IF(COUNT(AZ1157:BG1157)=0,"",AVERAGE(AZ1157:BG1157)*4)</x:f>
        <x:v>15.5</x:v>
      </x:c>
      <x:c r="CI1157" s="178" t="n">
        <x:f>IF(COUNT(BH1157:BN1157)=0,"",AVERAGE(BH1157:BN1157)*4)</x:f>
        <x:v>13.714285714285714</x:v>
      </x:c>
      <x:c r="CJ1157" s="178" t="n">
        <x:f>IF(COUNT(BO1157:BU1157)=0,"",AVERAGE(BO1157:BU1157)*4)</x:f>
        <x:v>16.571428571428573</x:v>
      </x:c>
      <x:c r="CK1157" s="178" t="n">
        <x:f>IF(COUNT(BV1157:CB1157)=0,"",AVERAGE(BV1157:CB1157)*4)</x:f>
        <x:v>14.857142857142858</x:v>
      </x:c>
      <x:c r="CL1157" s="178" t="n">
        <x:f>IF(C1157="","",IF(COUNT(G1157:CB1157)&lt;74,"",(CC1157*'تنظیمات وزن‌دهی'!$C$5+CD1157*'تنظیمات وزن‌دهی'!$C$6+CE1157*'تنظیمات وزن‌دهی'!$C$7+CF1157*'تنظیمات وزن‌دهی'!$C$8+CG1157*'تنظیمات وزن‌دهی'!$C$9+CH1157*'تنظیمات وزن‌دهی'!$C$10+CI1157*'تنظیمات وزن‌دهی'!$C$11+CJ1157*'تنظیمات وزن‌دهی'!$C$12+CK1157*'تنظیمات وزن‌دهی'!$C$13)/100))</x:f>
        <x:v>15.089285714285715</x:v>
      </x:c>
      <x:c r="CM1157" s="178" t="str">
        <x:f>IF(C1157="","",IF(COUNT(G1157:CB1157)=0,"",IF(COUNT(G1157:CB1157)&lt;74,"موقت - اطلاعات ناقص",IF(CL1157&gt;=17,"عالی",IF(CL1157&gt;=14,"خوب",IF(CL1157&gt;=10,"متوسط","ضعیف"))))))</x:f>
        <x:v>خوب</x:v>
      </x:c>
      <x:c r="CN1157" s="178" t="n">
        <x:v>1</x:v>
      </x:c>
      <x:c r="CO1157" s="142" t="n">
        <x:f>IF(C1157="","",COUNT(G1157:CB1157)/74)</x:f>
        <x:v>1</x:v>
      </x:c>
      <x:c r="CP1157" s="245" t="str">
        <x:v>داده نمونه کامل برای ماه تیر - دانش‌آموز شماره 97</x:v>
      </x:c>
    </x:row>
    <x:row r="1158">
      <x:c r="A1158" s="165" t="n">
        <x:v>1154</x:v>
      </x:c>
      <x:c r="B1158" s="233" t="str">
        <x:v>مرداد</x:v>
      </x:c>
      <x:c r="C1158" s="233" t="n">
        <x:f>IF('دانش‌آموزان'!E101="","",'دانش‌آموزان'!B101)</x:f>
        <x:v>97</x:v>
      </x:c>
      <x:c r="D1158" s="233" t="str">
        <x:f>IF('دانش‌آموزان'!C101="","",'دانش‌آموزان'!C101)</x:f>
        <x:v>4000000977</x:v>
      </x:c>
      <x:c r="E1158" s="233" t="str">
        <x:f>IF('دانش‌آموزان'!E101="","",'دانش‌آموزان'!E101&amp;" "&amp;'دانش‌آموزان'!F101)</x:f>
        <x:v>سینا رحیمی</x:v>
      </x:c>
      <x:c r="F1158" s="166" t="str">
        <x:f>IF('دانش‌آموزان'!I101="","",'دانش‌آموزان'!I101)</x:f>
        <x:v>sample-7-d</x:v>
      </x:c>
      <x:c r="G1158" s="114"/>
      <x:c r="H1158" s="115"/>
      <x:c r="I1158" s="115"/>
      <x:c r="J1158" s="115"/>
      <x:c r="K1158" s="115"/>
      <x:c r="L1158" s="115"/>
      <x:c r="M1158" s="115"/>
      <x:c r="N1158" s="115"/>
      <x:c r="O1158" s="115"/>
      <x:c r="P1158" s="115"/>
      <x:c r="Q1158" s="115"/>
      <x:c r="R1158" s="115"/>
      <x:c r="S1158" s="115"/>
      <x:c r="T1158" s="115"/>
      <x:c r="U1158" s="115"/>
      <x:c r="V1158" s="115"/>
      <x:c r="W1158" s="115"/>
      <x:c r="X1158" s="115"/>
      <x:c r="Y1158" s="115"/>
      <x:c r="Z1158" s="115"/>
      <x:c r="AA1158" s="115"/>
      <x:c r="AB1158" s="115"/>
      <x:c r="AC1158" s="115"/>
      <x:c r="AD1158" s="115"/>
      <x:c r="AE1158" s="115"/>
      <x:c r="AF1158" s="115"/>
      <x:c r="AG1158" s="115"/>
      <x:c r="AH1158" s="115"/>
      <x:c r="AI1158" s="115"/>
      <x:c r="AJ1158" s="115"/>
      <x:c r="AK1158" s="115"/>
      <x:c r="AL1158" s="115"/>
      <x:c r="AM1158" s="115"/>
      <x:c r="AN1158" s="115"/>
      <x:c r="AO1158" s="115"/>
      <x:c r="AP1158" s="115"/>
      <x:c r="AQ1158" s="115"/>
      <x:c r="AR1158" s="115"/>
      <x:c r="AS1158" s="115"/>
      <x:c r="AT1158" s="115"/>
      <x:c r="AU1158" s="115"/>
      <x:c r="AV1158" s="115"/>
      <x:c r="AW1158" s="115"/>
      <x:c r="AX1158" s="115"/>
      <x:c r="AY1158" s="115"/>
      <x:c r="AZ1158" s="115"/>
      <x:c r="BA1158" s="115"/>
      <x:c r="BB1158" s="115"/>
      <x:c r="BC1158" s="115"/>
      <x:c r="BD1158" s="115"/>
      <x:c r="BE1158" s="115"/>
      <x:c r="BF1158" s="115"/>
      <x:c r="BG1158" s="115"/>
      <x:c r="BH1158" s="115"/>
      <x:c r="BI1158" s="115"/>
      <x:c r="BJ1158" s="115"/>
      <x:c r="BK1158" s="115"/>
      <x:c r="BL1158" s="115"/>
      <x:c r="BM1158" s="115"/>
      <x:c r="BN1158" s="115"/>
      <x:c r="BO1158" s="115"/>
      <x:c r="BP1158" s="115"/>
      <x:c r="BQ1158" s="115"/>
      <x:c r="BR1158" s="115"/>
      <x:c r="BS1158" s="115"/>
      <x:c r="BT1158" s="115"/>
      <x:c r="BU1158" s="115"/>
      <x:c r="BV1158" s="115"/>
      <x:c r="BW1158" s="115"/>
      <x:c r="BX1158" s="115"/>
      <x:c r="BY1158" s="115"/>
      <x:c r="BZ1158" s="115"/>
      <x:c r="CA1158" s="115"/>
      <x:c r="CB1158" s="116"/>
      <x:c r="CC1158" s="141" t="str">
        <x:f>IF(COUNT(G1158:P1158)=0,"",AVERAGE(G1158:P1158)*4)</x:f>
      </x:c>
      <x:c r="CD1158" s="178" t="str">
        <x:f>IF(COUNT(Q1158:Z1158)=0,"",AVERAGE(Q1158:Z1158)*4)</x:f>
      </x:c>
      <x:c r="CE1158" s="178" t="str">
        <x:f>IF(COUNT(AA1158:AJ1158)=0,"",AVERAGE(AA1158:AJ1158)*4)</x:f>
      </x:c>
      <x:c r="CF1158" s="178" t="str">
        <x:f>IF(COUNT(AK1158:AR1158)=0,"",AVERAGE(AK1158:AR1158)*4)</x:f>
      </x:c>
      <x:c r="CG1158" s="178" t="str">
        <x:f>IF(COUNT(AS1158:AY1158)=0,"",AVERAGE(AS1158:AY1158)*4)</x:f>
      </x:c>
      <x:c r="CH1158" s="178" t="str">
        <x:f>IF(COUNT(AZ1158:BG1158)=0,"",AVERAGE(AZ1158:BG1158)*4)</x:f>
      </x:c>
      <x:c r="CI1158" s="178" t="str">
        <x:f>IF(COUNT(BH1158:BN1158)=0,"",AVERAGE(BH1158:BN1158)*4)</x:f>
      </x:c>
      <x:c r="CJ1158" s="178" t="str">
        <x:f>IF(COUNT(BO1158:BU1158)=0,"",AVERAGE(BO1158:BU1158)*4)</x:f>
      </x:c>
      <x:c r="CK1158" s="178" t="str">
        <x:f>IF(COUNT(BV1158:CB1158)=0,"",AVERAGE(BV1158:CB1158)*4)</x:f>
      </x:c>
      <x:c r="CL1158" s="178" t="str">
        <x:f>IF(C1158="","",IF(COUNT(G1158:CB1158)&lt;74,"",(CC1158*'تنظیمات وزن‌دهی'!$C$5+CD1158*'تنظیمات وزن‌دهی'!$C$6+CE1158*'تنظیمات وزن‌دهی'!$C$7+CF1158*'تنظیمات وزن‌دهی'!$C$8+CG1158*'تنظیمات وزن‌دهی'!$C$9+CH1158*'تنظیمات وزن‌دهی'!$C$10+CI1158*'تنظیمات وزن‌دهی'!$C$11+CJ1158*'تنظیمات وزن‌دهی'!$C$12+CK1158*'تنظیمات وزن‌دهی'!$C$13)/100))</x:f>
      </x:c>
      <x:c r="CM1158" s="178" t="str">
        <x:f>IF(C1158="","",IF(COUNT(G1158:CB1158)=0,"",IF(COUNT(G1158:CB1158)&lt;74,"موقت - اطلاعات ناقص",IF(CL1158&gt;=17,"عالی",IF(CL1158&gt;=14,"خوب",IF(CL1158&gt;=10,"متوسط","ضعیف"))))))</x:f>
      </x:c>
      <x:c r="CN1158" s="178" t="n">
        <x:v>2</x:v>
      </x:c>
      <x:c r="CO1158" s="142" t="n">
        <x:f>IF(C1158="","",COUNT(G1158:CB1158)/74)</x:f>
        <x:v>0</x:v>
      </x:c>
      <x:c r="CP1158" s="245"/>
    </x:row>
    <x:row r="1159">
      <x:c r="A1159" s="165" t="n">
        <x:v>1155</x:v>
      </x:c>
      <x:c r="B1159" s="233" t="str">
        <x:v>شهریور</x:v>
      </x:c>
      <x:c r="C1159" s="233" t="n">
        <x:f>IF('دانش‌آموزان'!E101="","",'دانش‌آموزان'!B101)</x:f>
        <x:v>97</x:v>
      </x:c>
      <x:c r="D1159" s="233" t="str">
        <x:f>IF('دانش‌آموزان'!C101="","",'دانش‌آموزان'!C101)</x:f>
        <x:v>4000000977</x:v>
      </x:c>
      <x:c r="E1159" s="233" t="str">
        <x:f>IF('دانش‌آموزان'!E101="","",'دانش‌آموزان'!E101&amp;" "&amp;'دانش‌آموزان'!F101)</x:f>
        <x:v>سینا رحیمی</x:v>
      </x:c>
      <x:c r="F1159" s="166" t="str">
        <x:f>IF('دانش‌آموزان'!I101="","",'دانش‌آموزان'!I101)</x:f>
        <x:v>sample-7-d</x:v>
      </x:c>
      <x:c r="G1159" s="114"/>
      <x:c r="H1159" s="115"/>
      <x:c r="I1159" s="115"/>
      <x:c r="J1159" s="115"/>
      <x:c r="K1159" s="115"/>
      <x:c r="L1159" s="115"/>
      <x:c r="M1159" s="115"/>
      <x:c r="N1159" s="115"/>
      <x:c r="O1159" s="115"/>
      <x:c r="P1159" s="115"/>
      <x:c r="Q1159" s="115"/>
      <x:c r="R1159" s="115"/>
      <x:c r="S1159" s="115"/>
      <x:c r="T1159" s="115"/>
      <x:c r="U1159" s="115"/>
      <x:c r="V1159" s="115"/>
      <x:c r="W1159" s="115"/>
      <x:c r="X1159" s="115"/>
      <x:c r="Y1159" s="115"/>
      <x:c r="Z1159" s="115"/>
      <x:c r="AA1159" s="115"/>
      <x:c r="AB1159" s="115"/>
      <x:c r="AC1159" s="115"/>
      <x:c r="AD1159" s="115"/>
      <x:c r="AE1159" s="115"/>
      <x:c r="AF1159" s="115"/>
      <x:c r="AG1159" s="115"/>
      <x:c r="AH1159" s="115"/>
      <x:c r="AI1159" s="115"/>
      <x:c r="AJ1159" s="115"/>
      <x:c r="AK1159" s="115"/>
      <x:c r="AL1159" s="115"/>
      <x:c r="AM1159" s="115"/>
      <x:c r="AN1159" s="115"/>
      <x:c r="AO1159" s="115"/>
      <x:c r="AP1159" s="115"/>
      <x:c r="AQ1159" s="115"/>
      <x:c r="AR1159" s="115"/>
      <x:c r="AS1159" s="115"/>
      <x:c r="AT1159" s="115"/>
      <x:c r="AU1159" s="115"/>
      <x:c r="AV1159" s="115"/>
      <x:c r="AW1159" s="115"/>
      <x:c r="AX1159" s="115"/>
      <x:c r="AY1159" s="115"/>
      <x:c r="AZ1159" s="115"/>
      <x:c r="BA1159" s="115"/>
      <x:c r="BB1159" s="115"/>
      <x:c r="BC1159" s="115"/>
      <x:c r="BD1159" s="115"/>
      <x:c r="BE1159" s="115"/>
      <x:c r="BF1159" s="115"/>
      <x:c r="BG1159" s="115"/>
      <x:c r="BH1159" s="115"/>
      <x:c r="BI1159" s="115"/>
      <x:c r="BJ1159" s="115"/>
      <x:c r="BK1159" s="115"/>
      <x:c r="BL1159" s="115"/>
      <x:c r="BM1159" s="115"/>
      <x:c r="BN1159" s="115"/>
      <x:c r="BO1159" s="115"/>
      <x:c r="BP1159" s="115"/>
      <x:c r="BQ1159" s="115"/>
      <x:c r="BR1159" s="115"/>
      <x:c r="BS1159" s="115"/>
      <x:c r="BT1159" s="115"/>
      <x:c r="BU1159" s="115"/>
      <x:c r="BV1159" s="115"/>
      <x:c r="BW1159" s="115"/>
      <x:c r="BX1159" s="115"/>
      <x:c r="BY1159" s="115"/>
      <x:c r="BZ1159" s="115"/>
      <x:c r="CA1159" s="115"/>
      <x:c r="CB1159" s="116"/>
      <x:c r="CC1159" s="141" t="str">
        <x:f>IF(COUNT(G1159:P1159)=0,"",AVERAGE(G1159:P1159)*4)</x:f>
      </x:c>
      <x:c r="CD1159" s="178" t="str">
        <x:f>IF(COUNT(Q1159:Z1159)=0,"",AVERAGE(Q1159:Z1159)*4)</x:f>
      </x:c>
      <x:c r="CE1159" s="178" t="str">
        <x:f>IF(COUNT(AA1159:AJ1159)=0,"",AVERAGE(AA1159:AJ1159)*4)</x:f>
      </x:c>
      <x:c r="CF1159" s="178" t="str">
        <x:f>IF(COUNT(AK1159:AR1159)=0,"",AVERAGE(AK1159:AR1159)*4)</x:f>
      </x:c>
      <x:c r="CG1159" s="178" t="str">
        <x:f>IF(COUNT(AS1159:AY1159)=0,"",AVERAGE(AS1159:AY1159)*4)</x:f>
      </x:c>
      <x:c r="CH1159" s="178" t="str">
        <x:f>IF(COUNT(AZ1159:BG1159)=0,"",AVERAGE(AZ1159:BG1159)*4)</x:f>
      </x:c>
      <x:c r="CI1159" s="178" t="str">
        <x:f>IF(COUNT(BH1159:BN1159)=0,"",AVERAGE(BH1159:BN1159)*4)</x:f>
      </x:c>
      <x:c r="CJ1159" s="178" t="str">
        <x:f>IF(COUNT(BO1159:BU1159)=0,"",AVERAGE(BO1159:BU1159)*4)</x:f>
      </x:c>
      <x:c r="CK1159" s="178" t="str">
        <x:f>IF(COUNT(BV1159:CB1159)=0,"",AVERAGE(BV1159:CB1159)*4)</x:f>
      </x:c>
      <x:c r="CL1159" s="178" t="str">
        <x:f>IF(C1159="","",IF(COUNT(G1159:CB1159)&lt;74,"",(CC1159*'تنظیمات وزن‌دهی'!$C$5+CD1159*'تنظیمات وزن‌دهی'!$C$6+CE1159*'تنظیمات وزن‌دهی'!$C$7+CF1159*'تنظیمات وزن‌دهی'!$C$8+CG1159*'تنظیمات وزن‌دهی'!$C$9+CH1159*'تنظیمات وزن‌دهی'!$C$10+CI1159*'تنظیمات وزن‌دهی'!$C$11+CJ1159*'تنظیمات وزن‌دهی'!$C$12+CK1159*'تنظیمات وزن‌دهی'!$C$13)/100))</x:f>
      </x:c>
      <x:c r="CM1159" s="178" t="str">
        <x:f>IF(C1159="","",IF(COUNT(G1159:CB1159)=0,"",IF(COUNT(G1159:CB1159)&lt;74,"موقت - اطلاعات ناقص",IF(CL1159&gt;=17,"عالی",IF(CL1159&gt;=14,"خوب",IF(CL1159&gt;=10,"متوسط","ضعیف"))))))</x:f>
      </x:c>
      <x:c r="CN1159" s="178" t="n">
        <x:v>3</x:v>
      </x:c>
      <x:c r="CO1159" s="142" t="n">
        <x:f>IF(C1159="","",COUNT(G1159:CB1159)/74)</x:f>
        <x:v>0</x:v>
      </x:c>
      <x:c r="CP1159" s="245"/>
    </x:row>
    <x:row r="1160">
      <x:c r="A1160" s="165" t="n">
        <x:v>1156</x:v>
      </x:c>
      <x:c r="B1160" s="233" t="str">
        <x:v>مهر</x:v>
      </x:c>
      <x:c r="C1160" s="233" t="n">
        <x:f>IF('دانش‌آموزان'!E101="","",'دانش‌آموزان'!B101)</x:f>
        <x:v>97</x:v>
      </x:c>
      <x:c r="D1160" s="233" t="str">
        <x:f>IF('دانش‌آموزان'!C101="","",'دانش‌آموزان'!C101)</x:f>
        <x:v>4000000977</x:v>
      </x:c>
      <x:c r="E1160" s="233" t="str">
        <x:f>IF('دانش‌آموزان'!E101="","",'دانش‌آموزان'!E101&amp;" "&amp;'دانش‌آموزان'!F101)</x:f>
        <x:v>سینا رحیمی</x:v>
      </x:c>
      <x:c r="F1160" s="166" t="str">
        <x:f>IF('دانش‌آموزان'!I101="","",'دانش‌آموزان'!I101)</x:f>
        <x:v>sample-7-d</x:v>
      </x:c>
      <x:c r="G1160" s="114"/>
      <x:c r="H1160" s="115"/>
      <x:c r="I1160" s="115"/>
      <x:c r="J1160" s="115"/>
      <x:c r="K1160" s="115"/>
      <x:c r="L1160" s="115"/>
      <x:c r="M1160" s="115"/>
      <x:c r="N1160" s="115"/>
      <x:c r="O1160" s="115"/>
      <x:c r="P1160" s="115"/>
      <x:c r="Q1160" s="115"/>
      <x:c r="R1160" s="115"/>
      <x:c r="S1160" s="115"/>
      <x:c r="T1160" s="115"/>
      <x:c r="U1160" s="115"/>
      <x:c r="V1160" s="115"/>
      <x:c r="W1160" s="115"/>
      <x:c r="X1160" s="115"/>
      <x:c r="Y1160" s="115"/>
      <x:c r="Z1160" s="115"/>
      <x:c r="AA1160" s="115"/>
      <x:c r="AB1160" s="115"/>
      <x:c r="AC1160" s="115"/>
      <x:c r="AD1160" s="115"/>
      <x:c r="AE1160" s="115"/>
      <x:c r="AF1160" s="115"/>
      <x:c r="AG1160" s="115"/>
      <x:c r="AH1160" s="115"/>
      <x:c r="AI1160" s="115"/>
      <x:c r="AJ1160" s="115"/>
      <x:c r="AK1160" s="115"/>
      <x:c r="AL1160" s="115"/>
      <x:c r="AM1160" s="115"/>
      <x:c r="AN1160" s="115"/>
      <x:c r="AO1160" s="115"/>
      <x:c r="AP1160" s="115"/>
      <x:c r="AQ1160" s="115"/>
      <x:c r="AR1160" s="115"/>
      <x:c r="AS1160" s="115"/>
      <x:c r="AT1160" s="115"/>
      <x:c r="AU1160" s="115"/>
      <x:c r="AV1160" s="115"/>
      <x:c r="AW1160" s="115"/>
      <x:c r="AX1160" s="115"/>
      <x:c r="AY1160" s="115"/>
      <x:c r="AZ1160" s="115"/>
      <x:c r="BA1160" s="115"/>
      <x:c r="BB1160" s="115"/>
      <x:c r="BC1160" s="115"/>
      <x:c r="BD1160" s="115"/>
      <x:c r="BE1160" s="115"/>
      <x:c r="BF1160" s="115"/>
      <x:c r="BG1160" s="115"/>
      <x:c r="BH1160" s="115"/>
      <x:c r="BI1160" s="115"/>
      <x:c r="BJ1160" s="115"/>
      <x:c r="BK1160" s="115"/>
      <x:c r="BL1160" s="115"/>
      <x:c r="BM1160" s="115"/>
      <x:c r="BN1160" s="115"/>
      <x:c r="BO1160" s="115"/>
      <x:c r="BP1160" s="115"/>
      <x:c r="BQ1160" s="115"/>
      <x:c r="BR1160" s="115"/>
      <x:c r="BS1160" s="115"/>
      <x:c r="BT1160" s="115"/>
      <x:c r="BU1160" s="115"/>
      <x:c r="BV1160" s="115"/>
      <x:c r="BW1160" s="115"/>
      <x:c r="BX1160" s="115"/>
      <x:c r="BY1160" s="115"/>
      <x:c r="BZ1160" s="115"/>
      <x:c r="CA1160" s="115"/>
      <x:c r="CB1160" s="116"/>
      <x:c r="CC1160" s="141" t="str">
        <x:f>IF(COUNT(G1160:P1160)=0,"",AVERAGE(G1160:P1160)*4)</x:f>
      </x:c>
      <x:c r="CD1160" s="178" t="str">
        <x:f>IF(COUNT(Q1160:Z1160)=0,"",AVERAGE(Q1160:Z1160)*4)</x:f>
      </x:c>
      <x:c r="CE1160" s="178" t="str">
        <x:f>IF(COUNT(AA1160:AJ1160)=0,"",AVERAGE(AA1160:AJ1160)*4)</x:f>
      </x:c>
      <x:c r="CF1160" s="178" t="str">
        <x:f>IF(COUNT(AK1160:AR1160)=0,"",AVERAGE(AK1160:AR1160)*4)</x:f>
      </x:c>
      <x:c r="CG1160" s="178" t="str">
        <x:f>IF(COUNT(AS1160:AY1160)=0,"",AVERAGE(AS1160:AY1160)*4)</x:f>
      </x:c>
      <x:c r="CH1160" s="178" t="str">
        <x:f>IF(COUNT(AZ1160:BG1160)=0,"",AVERAGE(AZ1160:BG1160)*4)</x:f>
      </x:c>
      <x:c r="CI1160" s="178" t="str">
        <x:f>IF(COUNT(BH1160:BN1160)=0,"",AVERAGE(BH1160:BN1160)*4)</x:f>
      </x:c>
      <x:c r="CJ1160" s="178" t="str">
        <x:f>IF(COUNT(BO1160:BU1160)=0,"",AVERAGE(BO1160:BU1160)*4)</x:f>
      </x:c>
      <x:c r="CK1160" s="178" t="str">
        <x:f>IF(COUNT(BV1160:CB1160)=0,"",AVERAGE(BV1160:CB1160)*4)</x:f>
      </x:c>
      <x:c r="CL1160" s="178" t="str">
        <x:f>IF(C1160="","",IF(COUNT(G1160:CB1160)&lt;74,"",(CC1160*'تنظیمات وزن‌دهی'!$C$5+CD1160*'تنظیمات وزن‌دهی'!$C$6+CE1160*'تنظیمات وزن‌دهی'!$C$7+CF1160*'تنظیمات وزن‌دهی'!$C$8+CG1160*'تنظیمات وزن‌دهی'!$C$9+CH1160*'تنظیمات وزن‌دهی'!$C$10+CI1160*'تنظیمات وزن‌دهی'!$C$11+CJ1160*'تنظیمات وزن‌دهی'!$C$12+CK1160*'تنظیمات وزن‌دهی'!$C$13)/100))</x:f>
      </x:c>
      <x:c r="CM1160" s="178" t="str">
        <x:f>IF(C1160="","",IF(COUNT(G1160:CB1160)=0,"",IF(COUNT(G1160:CB1160)&lt;74,"موقت - اطلاعات ناقص",IF(CL1160&gt;=17,"عالی",IF(CL1160&gt;=14,"خوب",IF(CL1160&gt;=10,"متوسط","ضعیف"))))))</x:f>
      </x:c>
      <x:c r="CN1160" s="178" t="n">
        <x:v>4</x:v>
      </x:c>
      <x:c r="CO1160" s="142" t="n">
        <x:f>IF(C1160="","",COUNT(G1160:CB1160)/74)</x:f>
        <x:v>0</x:v>
      </x:c>
      <x:c r="CP1160" s="245"/>
    </x:row>
    <x:row r="1161">
      <x:c r="A1161" s="165" t="n">
        <x:v>1157</x:v>
      </x:c>
      <x:c r="B1161" s="233" t="str">
        <x:v>آبان</x:v>
      </x:c>
      <x:c r="C1161" s="233" t="n">
        <x:f>IF('دانش‌آموزان'!E101="","",'دانش‌آموزان'!B101)</x:f>
        <x:v>97</x:v>
      </x:c>
      <x:c r="D1161" s="233" t="str">
        <x:f>IF('دانش‌آموزان'!C101="","",'دانش‌آموزان'!C101)</x:f>
        <x:v>4000000977</x:v>
      </x:c>
      <x:c r="E1161" s="233" t="str">
        <x:f>IF('دانش‌آموزان'!E101="","",'دانش‌آموزان'!E101&amp;" "&amp;'دانش‌آموزان'!F101)</x:f>
        <x:v>سینا رحیمی</x:v>
      </x:c>
      <x:c r="F1161" s="166" t="str">
        <x:f>IF('دانش‌آموزان'!I101="","",'دانش‌آموزان'!I101)</x:f>
        <x:v>sample-7-d</x:v>
      </x:c>
      <x:c r="G1161" s="114"/>
      <x:c r="H1161" s="115"/>
      <x:c r="I1161" s="115"/>
      <x:c r="J1161" s="115"/>
      <x:c r="K1161" s="115"/>
      <x:c r="L1161" s="115"/>
      <x:c r="M1161" s="115"/>
      <x:c r="N1161" s="115"/>
      <x:c r="O1161" s="115"/>
      <x:c r="P1161" s="115"/>
      <x:c r="Q1161" s="115"/>
      <x:c r="R1161" s="115"/>
      <x:c r="S1161" s="115"/>
      <x:c r="T1161" s="115"/>
      <x:c r="U1161" s="115"/>
      <x:c r="V1161" s="115"/>
      <x:c r="W1161" s="115"/>
      <x:c r="X1161" s="115"/>
      <x:c r="Y1161" s="115"/>
      <x:c r="Z1161" s="115"/>
      <x:c r="AA1161" s="115"/>
      <x:c r="AB1161" s="115"/>
      <x:c r="AC1161" s="115"/>
      <x:c r="AD1161" s="115"/>
      <x:c r="AE1161" s="115"/>
      <x:c r="AF1161" s="115"/>
      <x:c r="AG1161" s="115"/>
      <x:c r="AH1161" s="115"/>
      <x:c r="AI1161" s="115"/>
      <x:c r="AJ1161" s="115"/>
      <x:c r="AK1161" s="115"/>
      <x:c r="AL1161" s="115"/>
      <x:c r="AM1161" s="115"/>
      <x:c r="AN1161" s="115"/>
      <x:c r="AO1161" s="115"/>
      <x:c r="AP1161" s="115"/>
      <x:c r="AQ1161" s="115"/>
      <x:c r="AR1161" s="115"/>
      <x:c r="AS1161" s="115"/>
      <x:c r="AT1161" s="115"/>
      <x:c r="AU1161" s="115"/>
      <x:c r="AV1161" s="115"/>
      <x:c r="AW1161" s="115"/>
      <x:c r="AX1161" s="115"/>
      <x:c r="AY1161" s="115"/>
      <x:c r="AZ1161" s="115"/>
      <x:c r="BA1161" s="115"/>
      <x:c r="BB1161" s="115"/>
      <x:c r="BC1161" s="115"/>
      <x:c r="BD1161" s="115"/>
      <x:c r="BE1161" s="115"/>
      <x:c r="BF1161" s="115"/>
      <x:c r="BG1161" s="115"/>
      <x:c r="BH1161" s="115"/>
      <x:c r="BI1161" s="115"/>
      <x:c r="BJ1161" s="115"/>
      <x:c r="BK1161" s="115"/>
      <x:c r="BL1161" s="115"/>
      <x:c r="BM1161" s="115"/>
      <x:c r="BN1161" s="115"/>
      <x:c r="BO1161" s="115"/>
      <x:c r="BP1161" s="115"/>
      <x:c r="BQ1161" s="115"/>
      <x:c r="BR1161" s="115"/>
      <x:c r="BS1161" s="115"/>
      <x:c r="BT1161" s="115"/>
      <x:c r="BU1161" s="115"/>
      <x:c r="BV1161" s="115"/>
      <x:c r="BW1161" s="115"/>
      <x:c r="BX1161" s="115"/>
      <x:c r="BY1161" s="115"/>
      <x:c r="BZ1161" s="115"/>
      <x:c r="CA1161" s="115"/>
      <x:c r="CB1161" s="116"/>
      <x:c r="CC1161" s="141" t="str">
        <x:f>IF(COUNT(G1161:P1161)=0,"",AVERAGE(G1161:P1161)*4)</x:f>
      </x:c>
      <x:c r="CD1161" s="178" t="str">
        <x:f>IF(COUNT(Q1161:Z1161)=0,"",AVERAGE(Q1161:Z1161)*4)</x:f>
      </x:c>
      <x:c r="CE1161" s="178" t="str">
        <x:f>IF(COUNT(AA1161:AJ1161)=0,"",AVERAGE(AA1161:AJ1161)*4)</x:f>
      </x:c>
      <x:c r="CF1161" s="178" t="str">
        <x:f>IF(COUNT(AK1161:AR1161)=0,"",AVERAGE(AK1161:AR1161)*4)</x:f>
      </x:c>
      <x:c r="CG1161" s="178" t="str">
        <x:f>IF(COUNT(AS1161:AY1161)=0,"",AVERAGE(AS1161:AY1161)*4)</x:f>
      </x:c>
      <x:c r="CH1161" s="178" t="str">
        <x:f>IF(COUNT(AZ1161:BG1161)=0,"",AVERAGE(AZ1161:BG1161)*4)</x:f>
      </x:c>
      <x:c r="CI1161" s="178" t="str">
        <x:f>IF(COUNT(BH1161:BN1161)=0,"",AVERAGE(BH1161:BN1161)*4)</x:f>
      </x:c>
      <x:c r="CJ1161" s="178" t="str">
        <x:f>IF(COUNT(BO1161:BU1161)=0,"",AVERAGE(BO1161:BU1161)*4)</x:f>
      </x:c>
      <x:c r="CK1161" s="178" t="str">
        <x:f>IF(COUNT(BV1161:CB1161)=0,"",AVERAGE(BV1161:CB1161)*4)</x:f>
      </x:c>
      <x:c r="CL1161" s="178" t="str">
        <x:f>IF(C1161="","",IF(COUNT(G1161:CB1161)&lt;74,"",(CC1161*'تنظیمات وزن‌دهی'!$C$5+CD1161*'تنظیمات وزن‌دهی'!$C$6+CE1161*'تنظیمات وزن‌دهی'!$C$7+CF1161*'تنظیمات وزن‌دهی'!$C$8+CG1161*'تنظیمات وزن‌دهی'!$C$9+CH1161*'تنظیمات وزن‌دهی'!$C$10+CI1161*'تنظیمات وزن‌دهی'!$C$11+CJ1161*'تنظیمات وزن‌دهی'!$C$12+CK1161*'تنظیمات وزن‌دهی'!$C$13)/100))</x:f>
      </x:c>
      <x:c r="CM1161" s="178" t="str">
        <x:f>IF(C1161="","",IF(COUNT(G1161:CB1161)=0,"",IF(COUNT(G1161:CB1161)&lt;74,"موقت - اطلاعات ناقص",IF(CL1161&gt;=17,"عالی",IF(CL1161&gt;=14,"خوب",IF(CL1161&gt;=10,"متوسط","ضعیف"))))))</x:f>
      </x:c>
      <x:c r="CN1161" s="178" t="n">
        <x:v>5</x:v>
      </x:c>
      <x:c r="CO1161" s="142" t="n">
        <x:f>IF(C1161="","",COUNT(G1161:CB1161)/74)</x:f>
        <x:v>0</x:v>
      </x:c>
      <x:c r="CP1161" s="245"/>
    </x:row>
    <x:row r="1162">
      <x:c r="A1162" s="165" t="n">
        <x:v>1158</x:v>
      </x:c>
      <x:c r="B1162" s="233" t="str">
        <x:v>آذر</x:v>
      </x:c>
      <x:c r="C1162" s="233" t="n">
        <x:f>IF('دانش‌آموزان'!E101="","",'دانش‌آموزان'!B101)</x:f>
        <x:v>97</x:v>
      </x:c>
      <x:c r="D1162" s="233" t="str">
        <x:f>IF('دانش‌آموزان'!C101="","",'دانش‌آموزان'!C101)</x:f>
        <x:v>4000000977</x:v>
      </x:c>
      <x:c r="E1162" s="233" t="str">
        <x:f>IF('دانش‌آموزان'!E101="","",'دانش‌آموزان'!E101&amp;" "&amp;'دانش‌آموزان'!F101)</x:f>
        <x:v>سینا رحیمی</x:v>
      </x:c>
      <x:c r="F1162" s="166" t="str">
        <x:f>IF('دانش‌آموزان'!I101="","",'دانش‌آموزان'!I101)</x:f>
        <x:v>sample-7-d</x:v>
      </x:c>
      <x:c r="G1162" s="114"/>
      <x:c r="H1162" s="115"/>
      <x:c r="I1162" s="115"/>
      <x:c r="J1162" s="115"/>
      <x:c r="K1162" s="115"/>
      <x:c r="L1162" s="115"/>
      <x:c r="M1162" s="115"/>
      <x:c r="N1162" s="115"/>
      <x:c r="O1162" s="115"/>
      <x:c r="P1162" s="115"/>
      <x:c r="Q1162" s="115"/>
      <x:c r="R1162" s="115"/>
      <x:c r="S1162" s="115"/>
      <x:c r="T1162" s="115"/>
      <x:c r="U1162" s="115"/>
      <x:c r="V1162" s="115"/>
      <x:c r="W1162" s="115"/>
      <x:c r="X1162" s="115"/>
      <x:c r="Y1162" s="115"/>
      <x:c r="Z1162" s="115"/>
      <x:c r="AA1162" s="115"/>
      <x:c r="AB1162" s="115"/>
      <x:c r="AC1162" s="115"/>
      <x:c r="AD1162" s="115"/>
      <x:c r="AE1162" s="115"/>
      <x:c r="AF1162" s="115"/>
      <x:c r="AG1162" s="115"/>
      <x:c r="AH1162" s="115"/>
      <x:c r="AI1162" s="115"/>
      <x:c r="AJ1162" s="115"/>
      <x:c r="AK1162" s="115"/>
      <x:c r="AL1162" s="115"/>
      <x:c r="AM1162" s="115"/>
      <x:c r="AN1162" s="115"/>
      <x:c r="AO1162" s="115"/>
      <x:c r="AP1162" s="115"/>
      <x:c r="AQ1162" s="115"/>
      <x:c r="AR1162" s="115"/>
      <x:c r="AS1162" s="115"/>
      <x:c r="AT1162" s="115"/>
      <x:c r="AU1162" s="115"/>
      <x:c r="AV1162" s="115"/>
      <x:c r="AW1162" s="115"/>
      <x:c r="AX1162" s="115"/>
      <x:c r="AY1162" s="115"/>
      <x:c r="AZ1162" s="115"/>
      <x:c r="BA1162" s="115"/>
      <x:c r="BB1162" s="115"/>
      <x:c r="BC1162" s="115"/>
      <x:c r="BD1162" s="115"/>
      <x:c r="BE1162" s="115"/>
      <x:c r="BF1162" s="115"/>
      <x:c r="BG1162" s="115"/>
      <x:c r="BH1162" s="115"/>
      <x:c r="BI1162" s="115"/>
      <x:c r="BJ1162" s="115"/>
      <x:c r="BK1162" s="115"/>
      <x:c r="BL1162" s="115"/>
      <x:c r="BM1162" s="115"/>
      <x:c r="BN1162" s="115"/>
      <x:c r="BO1162" s="115"/>
      <x:c r="BP1162" s="115"/>
      <x:c r="BQ1162" s="115"/>
      <x:c r="BR1162" s="115"/>
      <x:c r="BS1162" s="115"/>
      <x:c r="BT1162" s="115"/>
      <x:c r="BU1162" s="115"/>
      <x:c r="BV1162" s="115"/>
      <x:c r="BW1162" s="115"/>
      <x:c r="BX1162" s="115"/>
      <x:c r="BY1162" s="115"/>
      <x:c r="BZ1162" s="115"/>
      <x:c r="CA1162" s="115"/>
      <x:c r="CB1162" s="116"/>
      <x:c r="CC1162" s="141" t="str">
        <x:f>IF(COUNT(G1162:P1162)=0,"",AVERAGE(G1162:P1162)*4)</x:f>
      </x:c>
      <x:c r="CD1162" s="178" t="str">
        <x:f>IF(COUNT(Q1162:Z1162)=0,"",AVERAGE(Q1162:Z1162)*4)</x:f>
      </x:c>
      <x:c r="CE1162" s="178" t="str">
        <x:f>IF(COUNT(AA1162:AJ1162)=0,"",AVERAGE(AA1162:AJ1162)*4)</x:f>
      </x:c>
      <x:c r="CF1162" s="178" t="str">
        <x:f>IF(COUNT(AK1162:AR1162)=0,"",AVERAGE(AK1162:AR1162)*4)</x:f>
      </x:c>
      <x:c r="CG1162" s="178" t="str">
        <x:f>IF(COUNT(AS1162:AY1162)=0,"",AVERAGE(AS1162:AY1162)*4)</x:f>
      </x:c>
      <x:c r="CH1162" s="178" t="str">
        <x:f>IF(COUNT(AZ1162:BG1162)=0,"",AVERAGE(AZ1162:BG1162)*4)</x:f>
      </x:c>
      <x:c r="CI1162" s="178" t="str">
        <x:f>IF(COUNT(BH1162:BN1162)=0,"",AVERAGE(BH1162:BN1162)*4)</x:f>
      </x:c>
      <x:c r="CJ1162" s="178" t="str">
        <x:f>IF(COUNT(BO1162:BU1162)=0,"",AVERAGE(BO1162:BU1162)*4)</x:f>
      </x:c>
      <x:c r="CK1162" s="178" t="str">
        <x:f>IF(COUNT(BV1162:CB1162)=0,"",AVERAGE(BV1162:CB1162)*4)</x:f>
      </x:c>
      <x:c r="CL1162" s="178" t="str">
        <x:f>IF(C1162="","",IF(COUNT(G1162:CB1162)&lt;74,"",(CC1162*'تنظیمات وزن‌دهی'!$C$5+CD1162*'تنظیمات وزن‌دهی'!$C$6+CE1162*'تنظیمات وزن‌دهی'!$C$7+CF1162*'تنظیمات وزن‌دهی'!$C$8+CG1162*'تنظیمات وزن‌دهی'!$C$9+CH1162*'تنظیمات وزن‌دهی'!$C$10+CI1162*'تنظیمات وزن‌دهی'!$C$11+CJ1162*'تنظیمات وزن‌دهی'!$C$12+CK1162*'تنظیمات وزن‌دهی'!$C$13)/100))</x:f>
      </x:c>
      <x:c r="CM1162" s="178" t="str">
        <x:f>IF(C1162="","",IF(COUNT(G1162:CB1162)=0,"",IF(COUNT(G1162:CB1162)&lt;74,"موقت - اطلاعات ناقص",IF(CL1162&gt;=17,"عالی",IF(CL1162&gt;=14,"خوب",IF(CL1162&gt;=10,"متوسط","ضعیف"))))))</x:f>
      </x:c>
      <x:c r="CN1162" s="178" t="n">
        <x:v>6</x:v>
      </x:c>
      <x:c r="CO1162" s="142" t="n">
        <x:f>IF(C1162="","",COUNT(G1162:CB1162)/74)</x:f>
        <x:v>0</x:v>
      </x:c>
      <x:c r="CP1162" s="245"/>
    </x:row>
    <x:row r="1163">
      <x:c r="A1163" s="165" t="n">
        <x:v>1159</x:v>
      </x:c>
      <x:c r="B1163" s="233" t="str">
        <x:v>دی</x:v>
      </x:c>
      <x:c r="C1163" s="233" t="n">
        <x:f>IF('دانش‌آموزان'!E101="","",'دانش‌آموزان'!B101)</x:f>
        <x:v>97</x:v>
      </x:c>
      <x:c r="D1163" s="233" t="str">
        <x:f>IF('دانش‌آموزان'!C101="","",'دانش‌آموزان'!C101)</x:f>
        <x:v>4000000977</x:v>
      </x:c>
      <x:c r="E1163" s="233" t="str">
        <x:f>IF('دانش‌آموزان'!E101="","",'دانش‌آموزان'!E101&amp;" "&amp;'دانش‌آموزان'!F101)</x:f>
        <x:v>سینا رحیمی</x:v>
      </x:c>
      <x:c r="F1163" s="166" t="str">
        <x:f>IF('دانش‌آموزان'!I101="","",'دانش‌آموزان'!I101)</x:f>
        <x:v>sample-7-d</x:v>
      </x:c>
      <x:c r="G1163" s="114"/>
      <x:c r="H1163" s="115"/>
      <x:c r="I1163" s="115"/>
      <x:c r="J1163" s="115"/>
      <x:c r="K1163" s="115"/>
      <x:c r="L1163" s="115"/>
      <x:c r="M1163" s="115"/>
      <x:c r="N1163" s="115"/>
      <x:c r="O1163" s="115"/>
      <x:c r="P1163" s="115"/>
      <x:c r="Q1163" s="115"/>
      <x:c r="R1163" s="115"/>
      <x:c r="S1163" s="115"/>
      <x:c r="T1163" s="115"/>
      <x:c r="U1163" s="115"/>
      <x:c r="V1163" s="115"/>
      <x:c r="W1163" s="115"/>
      <x:c r="X1163" s="115"/>
      <x:c r="Y1163" s="115"/>
      <x:c r="Z1163" s="115"/>
      <x:c r="AA1163" s="115"/>
      <x:c r="AB1163" s="115"/>
      <x:c r="AC1163" s="115"/>
      <x:c r="AD1163" s="115"/>
      <x:c r="AE1163" s="115"/>
      <x:c r="AF1163" s="115"/>
      <x:c r="AG1163" s="115"/>
      <x:c r="AH1163" s="115"/>
      <x:c r="AI1163" s="115"/>
      <x:c r="AJ1163" s="115"/>
      <x:c r="AK1163" s="115"/>
      <x:c r="AL1163" s="115"/>
      <x:c r="AM1163" s="115"/>
      <x:c r="AN1163" s="115"/>
      <x:c r="AO1163" s="115"/>
      <x:c r="AP1163" s="115"/>
      <x:c r="AQ1163" s="115"/>
      <x:c r="AR1163" s="115"/>
      <x:c r="AS1163" s="115"/>
      <x:c r="AT1163" s="115"/>
      <x:c r="AU1163" s="115"/>
      <x:c r="AV1163" s="115"/>
      <x:c r="AW1163" s="115"/>
      <x:c r="AX1163" s="115"/>
      <x:c r="AY1163" s="115"/>
      <x:c r="AZ1163" s="115"/>
      <x:c r="BA1163" s="115"/>
      <x:c r="BB1163" s="115"/>
      <x:c r="BC1163" s="115"/>
      <x:c r="BD1163" s="115"/>
      <x:c r="BE1163" s="115"/>
      <x:c r="BF1163" s="115"/>
      <x:c r="BG1163" s="115"/>
      <x:c r="BH1163" s="115"/>
      <x:c r="BI1163" s="115"/>
      <x:c r="BJ1163" s="115"/>
      <x:c r="BK1163" s="115"/>
      <x:c r="BL1163" s="115"/>
      <x:c r="BM1163" s="115"/>
      <x:c r="BN1163" s="115"/>
      <x:c r="BO1163" s="115"/>
      <x:c r="BP1163" s="115"/>
      <x:c r="BQ1163" s="115"/>
      <x:c r="BR1163" s="115"/>
      <x:c r="BS1163" s="115"/>
      <x:c r="BT1163" s="115"/>
      <x:c r="BU1163" s="115"/>
      <x:c r="BV1163" s="115"/>
      <x:c r="BW1163" s="115"/>
      <x:c r="BX1163" s="115"/>
      <x:c r="BY1163" s="115"/>
      <x:c r="BZ1163" s="115"/>
      <x:c r="CA1163" s="115"/>
      <x:c r="CB1163" s="116"/>
      <x:c r="CC1163" s="141" t="str">
        <x:f>IF(COUNT(G1163:P1163)=0,"",AVERAGE(G1163:P1163)*4)</x:f>
      </x:c>
      <x:c r="CD1163" s="178" t="str">
        <x:f>IF(COUNT(Q1163:Z1163)=0,"",AVERAGE(Q1163:Z1163)*4)</x:f>
      </x:c>
      <x:c r="CE1163" s="178" t="str">
        <x:f>IF(COUNT(AA1163:AJ1163)=0,"",AVERAGE(AA1163:AJ1163)*4)</x:f>
      </x:c>
      <x:c r="CF1163" s="178" t="str">
        <x:f>IF(COUNT(AK1163:AR1163)=0,"",AVERAGE(AK1163:AR1163)*4)</x:f>
      </x:c>
      <x:c r="CG1163" s="178" t="str">
        <x:f>IF(COUNT(AS1163:AY1163)=0,"",AVERAGE(AS1163:AY1163)*4)</x:f>
      </x:c>
      <x:c r="CH1163" s="178" t="str">
        <x:f>IF(COUNT(AZ1163:BG1163)=0,"",AVERAGE(AZ1163:BG1163)*4)</x:f>
      </x:c>
      <x:c r="CI1163" s="178" t="str">
        <x:f>IF(COUNT(BH1163:BN1163)=0,"",AVERAGE(BH1163:BN1163)*4)</x:f>
      </x:c>
      <x:c r="CJ1163" s="178" t="str">
        <x:f>IF(COUNT(BO1163:BU1163)=0,"",AVERAGE(BO1163:BU1163)*4)</x:f>
      </x:c>
      <x:c r="CK1163" s="178" t="str">
        <x:f>IF(COUNT(BV1163:CB1163)=0,"",AVERAGE(BV1163:CB1163)*4)</x:f>
      </x:c>
      <x:c r="CL1163" s="178" t="str">
        <x:f>IF(C1163="","",IF(COUNT(G1163:CB1163)&lt;74,"",(CC1163*'تنظیمات وزن‌دهی'!$C$5+CD1163*'تنظیمات وزن‌دهی'!$C$6+CE1163*'تنظیمات وزن‌دهی'!$C$7+CF1163*'تنظیمات وزن‌دهی'!$C$8+CG1163*'تنظیمات وزن‌دهی'!$C$9+CH1163*'تنظیمات وزن‌دهی'!$C$10+CI1163*'تنظیمات وزن‌دهی'!$C$11+CJ1163*'تنظیمات وزن‌دهی'!$C$12+CK1163*'تنظیمات وزن‌دهی'!$C$13)/100))</x:f>
      </x:c>
      <x:c r="CM1163" s="178" t="str">
        <x:f>IF(C1163="","",IF(COUNT(G1163:CB1163)=0,"",IF(COUNT(G1163:CB1163)&lt;74,"موقت - اطلاعات ناقص",IF(CL1163&gt;=17,"عالی",IF(CL1163&gt;=14,"خوب",IF(CL1163&gt;=10,"متوسط","ضعیف"))))))</x:f>
      </x:c>
      <x:c r="CN1163" s="178" t="n">
        <x:v>7</x:v>
      </x:c>
      <x:c r="CO1163" s="142" t="n">
        <x:f>IF(C1163="","",COUNT(G1163:CB1163)/74)</x:f>
        <x:v>0</x:v>
      </x:c>
      <x:c r="CP1163" s="245"/>
    </x:row>
    <x:row r="1164">
      <x:c r="A1164" s="165" t="n">
        <x:v>1160</x:v>
      </x:c>
      <x:c r="B1164" s="233" t="str">
        <x:v>بهمن</x:v>
      </x:c>
      <x:c r="C1164" s="233" t="n">
        <x:f>IF('دانش‌آموزان'!E101="","",'دانش‌آموزان'!B101)</x:f>
        <x:v>97</x:v>
      </x:c>
      <x:c r="D1164" s="233" t="str">
        <x:f>IF('دانش‌آموزان'!C101="","",'دانش‌آموزان'!C101)</x:f>
        <x:v>4000000977</x:v>
      </x:c>
      <x:c r="E1164" s="233" t="str">
        <x:f>IF('دانش‌آموزان'!E101="","",'دانش‌آموزان'!E101&amp;" "&amp;'دانش‌آموزان'!F101)</x:f>
        <x:v>سینا رحیمی</x:v>
      </x:c>
      <x:c r="F1164" s="166" t="str">
        <x:f>IF('دانش‌آموزان'!I101="","",'دانش‌آموزان'!I101)</x:f>
        <x:v>sample-7-d</x:v>
      </x:c>
      <x:c r="G1164" s="114"/>
      <x:c r="H1164" s="115"/>
      <x:c r="I1164" s="115"/>
      <x:c r="J1164" s="115"/>
      <x:c r="K1164" s="115"/>
      <x:c r="L1164" s="115"/>
      <x:c r="M1164" s="115"/>
      <x:c r="N1164" s="115"/>
      <x:c r="O1164" s="115"/>
      <x:c r="P1164" s="115"/>
      <x:c r="Q1164" s="115"/>
      <x:c r="R1164" s="115"/>
      <x:c r="S1164" s="115"/>
      <x:c r="T1164" s="115"/>
      <x:c r="U1164" s="115"/>
      <x:c r="V1164" s="115"/>
      <x:c r="W1164" s="115"/>
      <x:c r="X1164" s="115"/>
      <x:c r="Y1164" s="115"/>
      <x:c r="Z1164" s="115"/>
      <x:c r="AA1164" s="115"/>
      <x:c r="AB1164" s="115"/>
      <x:c r="AC1164" s="115"/>
      <x:c r="AD1164" s="115"/>
      <x:c r="AE1164" s="115"/>
      <x:c r="AF1164" s="115"/>
      <x:c r="AG1164" s="115"/>
      <x:c r="AH1164" s="115"/>
      <x:c r="AI1164" s="115"/>
      <x:c r="AJ1164" s="115"/>
      <x:c r="AK1164" s="115"/>
      <x:c r="AL1164" s="115"/>
      <x:c r="AM1164" s="115"/>
      <x:c r="AN1164" s="115"/>
      <x:c r="AO1164" s="115"/>
      <x:c r="AP1164" s="115"/>
      <x:c r="AQ1164" s="115"/>
      <x:c r="AR1164" s="115"/>
      <x:c r="AS1164" s="115"/>
      <x:c r="AT1164" s="115"/>
      <x:c r="AU1164" s="115"/>
      <x:c r="AV1164" s="115"/>
      <x:c r="AW1164" s="115"/>
      <x:c r="AX1164" s="115"/>
      <x:c r="AY1164" s="115"/>
      <x:c r="AZ1164" s="115"/>
      <x:c r="BA1164" s="115"/>
      <x:c r="BB1164" s="115"/>
      <x:c r="BC1164" s="115"/>
      <x:c r="BD1164" s="115"/>
      <x:c r="BE1164" s="115"/>
      <x:c r="BF1164" s="115"/>
      <x:c r="BG1164" s="115"/>
      <x:c r="BH1164" s="115"/>
      <x:c r="BI1164" s="115"/>
      <x:c r="BJ1164" s="115"/>
      <x:c r="BK1164" s="115"/>
      <x:c r="BL1164" s="115"/>
      <x:c r="BM1164" s="115"/>
      <x:c r="BN1164" s="115"/>
      <x:c r="BO1164" s="115"/>
      <x:c r="BP1164" s="115"/>
      <x:c r="BQ1164" s="115"/>
      <x:c r="BR1164" s="115"/>
      <x:c r="BS1164" s="115"/>
      <x:c r="BT1164" s="115"/>
      <x:c r="BU1164" s="115"/>
      <x:c r="BV1164" s="115"/>
      <x:c r="BW1164" s="115"/>
      <x:c r="BX1164" s="115"/>
      <x:c r="BY1164" s="115"/>
      <x:c r="BZ1164" s="115"/>
      <x:c r="CA1164" s="115"/>
      <x:c r="CB1164" s="116"/>
      <x:c r="CC1164" s="141" t="str">
        <x:f>IF(COUNT(G1164:P1164)=0,"",AVERAGE(G1164:P1164)*4)</x:f>
      </x:c>
      <x:c r="CD1164" s="178" t="str">
        <x:f>IF(COUNT(Q1164:Z1164)=0,"",AVERAGE(Q1164:Z1164)*4)</x:f>
      </x:c>
      <x:c r="CE1164" s="178" t="str">
        <x:f>IF(COUNT(AA1164:AJ1164)=0,"",AVERAGE(AA1164:AJ1164)*4)</x:f>
      </x:c>
      <x:c r="CF1164" s="178" t="str">
        <x:f>IF(COUNT(AK1164:AR1164)=0,"",AVERAGE(AK1164:AR1164)*4)</x:f>
      </x:c>
      <x:c r="CG1164" s="178" t="str">
        <x:f>IF(COUNT(AS1164:AY1164)=0,"",AVERAGE(AS1164:AY1164)*4)</x:f>
      </x:c>
      <x:c r="CH1164" s="178" t="str">
        <x:f>IF(COUNT(AZ1164:BG1164)=0,"",AVERAGE(AZ1164:BG1164)*4)</x:f>
      </x:c>
      <x:c r="CI1164" s="178" t="str">
        <x:f>IF(COUNT(BH1164:BN1164)=0,"",AVERAGE(BH1164:BN1164)*4)</x:f>
      </x:c>
      <x:c r="CJ1164" s="178" t="str">
        <x:f>IF(COUNT(BO1164:BU1164)=0,"",AVERAGE(BO1164:BU1164)*4)</x:f>
      </x:c>
      <x:c r="CK1164" s="178" t="str">
        <x:f>IF(COUNT(BV1164:CB1164)=0,"",AVERAGE(BV1164:CB1164)*4)</x:f>
      </x:c>
      <x:c r="CL1164" s="178" t="str">
        <x:f>IF(C1164="","",IF(COUNT(G1164:CB1164)&lt;74,"",(CC1164*'تنظیمات وزن‌دهی'!$C$5+CD1164*'تنظیمات وزن‌دهی'!$C$6+CE1164*'تنظیمات وزن‌دهی'!$C$7+CF1164*'تنظیمات وزن‌دهی'!$C$8+CG1164*'تنظیمات وزن‌دهی'!$C$9+CH1164*'تنظیمات وزن‌دهی'!$C$10+CI1164*'تنظیمات وزن‌دهی'!$C$11+CJ1164*'تنظیمات وزن‌دهی'!$C$12+CK1164*'تنظیمات وزن‌دهی'!$C$13)/100))</x:f>
      </x:c>
      <x:c r="CM1164" s="178" t="str">
        <x:f>IF(C1164="","",IF(COUNT(G1164:CB1164)=0,"",IF(COUNT(G1164:CB1164)&lt;74,"موقت - اطلاعات ناقص",IF(CL1164&gt;=17,"عالی",IF(CL1164&gt;=14,"خوب",IF(CL1164&gt;=10,"متوسط","ضعیف"))))))</x:f>
      </x:c>
      <x:c r="CN1164" s="178" t="n">
        <x:v>8</x:v>
      </x:c>
      <x:c r="CO1164" s="142" t="n">
        <x:f>IF(C1164="","",COUNT(G1164:CB1164)/74)</x:f>
        <x:v>0</x:v>
      </x:c>
      <x:c r="CP1164" s="245"/>
    </x:row>
    <x:row r="1165">
      <x:c r="A1165" s="165" t="n">
        <x:v>1161</x:v>
      </x:c>
      <x:c r="B1165" s="233" t="str">
        <x:v>اسفند</x:v>
      </x:c>
      <x:c r="C1165" s="233" t="n">
        <x:f>IF('دانش‌آموزان'!E101="","",'دانش‌آموزان'!B101)</x:f>
        <x:v>97</x:v>
      </x:c>
      <x:c r="D1165" s="233" t="str">
        <x:f>IF('دانش‌آموزان'!C101="","",'دانش‌آموزان'!C101)</x:f>
        <x:v>4000000977</x:v>
      </x:c>
      <x:c r="E1165" s="233" t="str">
        <x:f>IF('دانش‌آموزان'!E101="","",'دانش‌آموزان'!E101&amp;" "&amp;'دانش‌آموزان'!F101)</x:f>
        <x:v>سینا رحیمی</x:v>
      </x:c>
      <x:c r="F1165" s="166" t="str">
        <x:f>IF('دانش‌آموزان'!I101="","",'دانش‌آموزان'!I101)</x:f>
        <x:v>sample-7-d</x:v>
      </x:c>
      <x:c r="G1165" s="114"/>
      <x:c r="H1165" s="115"/>
      <x:c r="I1165" s="115"/>
      <x:c r="J1165" s="115"/>
      <x:c r="K1165" s="115"/>
      <x:c r="L1165" s="115"/>
      <x:c r="M1165" s="115"/>
      <x:c r="N1165" s="115"/>
      <x:c r="O1165" s="115"/>
      <x:c r="P1165" s="115"/>
      <x:c r="Q1165" s="115"/>
      <x:c r="R1165" s="115"/>
      <x:c r="S1165" s="115"/>
      <x:c r="T1165" s="115"/>
      <x:c r="U1165" s="115"/>
      <x:c r="V1165" s="115"/>
      <x:c r="W1165" s="115"/>
      <x:c r="X1165" s="115"/>
      <x:c r="Y1165" s="115"/>
      <x:c r="Z1165" s="115"/>
      <x:c r="AA1165" s="115"/>
      <x:c r="AB1165" s="115"/>
      <x:c r="AC1165" s="115"/>
      <x:c r="AD1165" s="115"/>
      <x:c r="AE1165" s="115"/>
      <x:c r="AF1165" s="115"/>
      <x:c r="AG1165" s="115"/>
      <x:c r="AH1165" s="115"/>
      <x:c r="AI1165" s="115"/>
      <x:c r="AJ1165" s="115"/>
      <x:c r="AK1165" s="115"/>
      <x:c r="AL1165" s="115"/>
      <x:c r="AM1165" s="115"/>
      <x:c r="AN1165" s="115"/>
      <x:c r="AO1165" s="115"/>
      <x:c r="AP1165" s="115"/>
      <x:c r="AQ1165" s="115"/>
      <x:c r="AR1165" s="115"/>
      <x:c r="AS1165" s="115"/>
      <x:c r="AT1165" s="115"/>
      <x:c r="AU1165" s="115"/>
      <x:c r="AV1165" s="115"/>
      <x:c r="AW1165" s="115"/>
      <x:c r="AX1165" s="115"/>
      <x:c r="AY1165" s="115"/>
      <x:c r="AZ1165" s="115"/>
      <x:c r="BA1165" s="115"/>
      <x:c r="BB1165" s="115"/>
      <x:c r="BC1165" s="115"/>
      <x:c r="BD1165" s="115"/>
      <x:c r="BE1165" s="115"/>
      <x:c r="BF1165" s="115"/>
      <x:c r="BG1165" s="115"/>
      <x:c r="BH1165" s="115"/>
      <x:c r="BI1165" s="115"/>
      <x:c r="BJ1165" s="115"/>
      <x:c r="BK1165" s="115"/>
      <x:c r="BL1165" s="115"/>
      <x:c r="BM1165" s="115"/>
      <x:c r="BN1165" s="115"/>
      <x:c r="BO1165" s="115"/>
      <x:c r="BP1165" s="115"/>
      <x:c r="BQ1165" s="115"/>
      <x:c r="BR1165" s="115"/>
      <x:c r="BS1165" s="115"/>
      <x:c r="BT1165" s="115"/>
      <x:c r="BU1165" s="115"/>
      <x:c r="BV1165" s="115"/>
      <x:c r="BW1165" s="115"/>
      <x:c r="BX1165" s="115"/>
      <x:c r="BY1165" s="115"/>
      <x:c r="BZ1165" s="115"/>
      <x:c r="CA1165" s="115"/>
      <x:c r="CB1165" s="116"/>
      <x:c r="CC1165" s="141" t="str">
        <x:f>IF(COUNT(G1165:P1165)=0,"",AVERAGE(G1165:P1165)*4)</x:f>
      </x:c>
      <x:c r="CD1165" s="178" t="str">
        <x:f>IF(COUNT(Q1165:Z1165)=0,"",AVERAGE(Q1165:Z1165)*4)</x:f>
      </x:c>
      <x:c r="CE1165" s="178" t="str">
        <x:f>IF(COUNT(AA1165:AJ1165)=0,"",AVERAGE(AA1165:AJ1165)*4)</x:f>
      </x:c>
      <x:c r="CF1165" s="178" t="str">
        <x:f>IF(COUNT(AK1165:AR1165)=0,"",AVERAGE(AK1165:AR1165)*4)</x:f>
      </x:c>
      <x:c r="CG1165" s="178" t="str">
        <x:f>IF(COUNT(AS1165:AY1165)=0,"",AVERAGE(AS1165:AY1165)*4)</x:f>
      </x:c>
      <x:c r="CH1165" s="178" t="str">
        <x:f>IF(COUNT(AZ1165:BG1165)=0,"",AVERAGE(AZ1165:BG1165)*4)</x:f>
      </x:c>
      <x:c r="CI1165" s="178" t="str">
        <x:f>IF(COUNT(BH1165:BN1165)=0,"",AVERAGE(BH1165:BN1165)*4)</x:f>
      </x:c>
      <x:c r="CJ1165" s="178" t="str">
        <x:f>IF(COUNT(BO1165:BU1165)=0,"",AVERAGE(BO1165:BU1165)*4)</x:f>
      </x:c>
      <x:c r="CK1165" s="178" t="str">
        <x:f>IF(COUNT(BV1165:CB1165)=0,"",AVERAGE(BV1165:CB1165)*4)</x:f>
      </x:c>
      <x:c r="CL1165" s="178" t="str">
        <x:f>IF(C1165="","",IF(COUNT(G1165:CB1165)&lt;74,"",(CC1165*'تنظیمات وزن‌دهی'!$C$5+CD1165*'تنظیمات وزن‌دهی'!$C$6+CE1165*'تنظیمات وزن‌دهی'!$C$7+CF1165*'تنظیمات وزن‌دهی'!$C$8+CG1165*'تنظیمات وزن‌دهی'!$C$9+CH1165*'تنظیمات وزن‌دهی'!$C$10+CI1165*'تنظیمات وزن‌دهی'!$C$11+CJ1165*'تنظیمات وزن‌دهی'!$C$12+CK1165*'تنظیمات وزن‌دهی'!$C$13)/100))</x:f>
      </x:c>
      <x:c r="CM1165" s="178" t="str">
        <x:f>IF(C1165="","",IF(COUNT(G1165:CB1165)=0,"",IF(COUNT(G1165:CB1165)&lt;74,"موقت - اطلاعات ناقص",IF(CL1165&gt;=17,"عالی",IF(CL1165&gt;=14,"خوب",IF(CL1165&gt;=10,"متوسط","ضعیف"))))))</x:f>
      </x:c>
      <x:c r="CN1165" s="178" t="n">
        <x:v>9</x:v>
      </x:c>
      <x:c r="CO1165" s="142" t="n">
        <x:f>IF(C1165="","",COUNT(G1165:CB1165)/74)</x:f>
        <x:v>0</x:v>
      </x:c>
      <x:c r="CP1165" s="245"/>
    </x:row>
    <x:row r="1166">
      <x:c r="A1166" s="165" t="n">
        <x:v>1162</x:v>
      </x:c>
      <x:c r="B1166" s="233" t="str">
        <x:v>فروردین</x:v>
      </x:c>
      <x:c r="C1166" s="233" t="n">
        <x:f>IF('دانش‌آموزان'!E101="","",'دانش‌آموزان'!B101)</x:f>
        <x:v>97</x:v>
      </x:c>
      <x:c r="D1166" s="233" t="str">
        <x:f>IF('دانش‌آموزان'!C101="","",'دانش‌آموزان'!C101)</x:f>
        <x:v>4000000977</x:v>
      </x:c>
      <x:c r="E1166" s="233" t="str">
        <x:f>IF('دانش‌آموزان'!E101="","",'دانش‌آموزان'!E101&amp;" "&amp;'دانش‌آموزان'!F101)</x:f>
        <x:v>سینا رحیمی</x:v>
      </x:c>
      <x:c r="F1166" s="166" t="str">
        <x:f>IF('دانش‌آموزان'!I101="","",'دانش‌آموزان'!I101)</x:f>
        <x:v>sample-7-d</x:v>
      </x:c>
      <x:c r="G1166" s="114"/>
      <x:c r="H1166" s="115"/>
      <x:c r="I1166" s="115"/>
      <x:c r="J1166" s="115"/>
      <x:c r="K1166" s="115"/>
      <x:c r="L1166" s="115"/>
      <x:c r="M1166" s="115"/>
      <x:c r="N1166" s="115"/>
      <x:c r="O1166" s="115"/>
      <x:c r="P1166" s="115"/>
      <x:c r="Q1166" s="115"/>
      <x:c r="R1166" s="115"/>
      <x:c r="S1166" s="115"/>
      <x:c r="T1166" s="115"/>
      <x:c r="U1166" s="115"/>
      <x:c r="V1166" s="115"/>
      <x:c r="W1166" s="115"/>
      <x:c r="X1166" s="115"/>
      <x:c r="Y1166" s="115"/>
      <x:c r="Z1166" s="115"/>
      <x:c r="AA1166" s="115"/>
      <x:c r="AB1166" s="115"/>
      <x:c r="AC1166" s="115"/>
      <x:c r="AD1166" s="115"/>
      <x:c r="AE1166" s="115"/>
      <x:c r="AF1166" s="115"/>
      <x:c r="AG1166" s="115"/>
      <x:c r="AH1166" s="115"/>
      <x:c r="AI1166" s="115"/>
      <x:c r="AJ1166" s="115"/>
      <x:c r="AK1166" s="115"/>
      <x:c r="AL1166" s="115"/>
      <x:c r="AM1166" s="115"/>
      <x:c r="AN1166" s="115"/>
      <x:c r="AO1166" s="115"/>
      <x:c r="AP1166" s="115"/>
      <x:c r="AQ1166" s="115"/>
      <x:c r="AR1166" s="115"/>
      <x:c r="AS1166" s="115"/>
      <x:c r="AT1166" s="115"/>
      <x:c r="AU1166" s="115"/>
      <x:c r="AV1166" s="115"/>
      <x:c r="AW1166" s="115"/>
      <x:c r="AX1166" s="115"/>
      <x:c r="AY1166" s="115"/>
      <x:c r="AZ1166" s="115"/>
      <x:c r="BA1166" s="115"/>
      <x:c r="BB1166" s="115"/>
      <x:c r="BC1166" s="115"/>
      <x:c r="BD1166" s="115"/>
      <x:c r="BE1166" s="115"/>
      <x:c r="BF1166" s="115"/>
      <x:c r="BG1166" s="115"/>
      <x:c r="BH1166" s="115"/>
      <x:c r="BI1166" s="115"/>
      <x:c r="BJ1166" s="115"/>
      <x:c r="BK1166" s="115"/>
      <x:c r="BL1166" s="115"/>
      <x:c r="BM1166" s="115"/>
      <x:c r="BN1166" s="115"/>
      <x:c r="BO1166" s="115"/>
      <x:c r="BP1166" s="115"/>
      <x:c r="BQ1166" s="115"/>
      <x:c r="BR1166" s="115"/>
      <x:c r="BS1166" s="115"/>
      <x:c r="BT1166" s="115"/>
      <x:c r="BU1166" s="115"/>
      <x:c r="BV1166" s="115"/>
      <x:c r="BW1166" s="115"/>
      <x:c r="BX1166" s="115"/>
      <x:c r="BY1166" s="115"/>
      <x:c r="BZ1166" s="115"/>
      <x:c r="CA1166" s="115"/>
      <x:c r="CB1166" s="116"/>
      <x:c r="CC1166" s="141" t="str">
        <x:f>IF(COUNT(G1166:P1166)=0,"",AVERAGE(G1166:P1166)*4)</x:f>
      </x:c>
      <x:c r="CD1166" s="178" t="str">
        <x:f>IF(COUNT(Q1166:Z1166)=0,"",AVERAGE(Q1166:Z1166)*4)</x:f>
      </x:c>
      <x:c r="CE1166" s="178" t="str">
        <x:f>IF(COUNT(AA1166:AJ1166)=0,"",AVERAGE(AA1166:AJ1166)*4)</x:f>
      </x:c>
      <x:c r="CF1166" s="178" t="str">
        <x:f>IF(COUNT(AK1166:AR1166)=0,"",AVERAGE(AK1166:AR1166)*4)</x:f>
      </x:c>
      <x:c r="CG1166" s="178" t="str">
        <x:f>IF(COUNT(AS1166:AY1166)=0,"",AVERAGE(AS1166:AY1166)*4)</x:f>
      </x:c>
      <x:c r="CH1166" s="178" t="str">
        <x:f>IF(COUNT(AZ1166:BG1166)=0,"",AVERAGE(AZ1166:BG1166)*4)</x:f>
      </x:c>
      <x:c r="CI1166" s="178" t="str">
        <x:f>IF(COUNT(BH1166:BN1166)=0,"",AVERAGE(BH1166:BN1166)*4)</x:f>
      </x:c>
      <x:c r="CJ1166" s="178" t="str">
        <x:f>IF(COUNT(BO1166:BU1166)=0,"",AVERAGE(BO1166:BU1166)*4)</x:f>
      </x:c>
      <x:c r="CK1166" s="178" t="str">
        <x:f>IF(COUNT(BV1166:CB1166)=0,"",AVERAGE(BV1166:CB1166)*4)</x:f>
      </x:c>
      <x:c r="CL1166" s="178" t="str">
        <x:f>IF(C1166="","",IF(COUNT(G1166:CB1166)&lt;74,"",(CC1166*'تنظیمات وزن‌دهی'!$C$5+CD1166*'تنظیمات وزن‌دهی'!$C$6+CE1166*'تنظیمات وزن‌دهی'!$C$7+CF1166*'تنظیمات وزن‌دهی'!$C$8+CG1166*'تنظیمات وزن‌دهی'!$C$9+CH1166*'تنظیمات وزن‌دهی'!$C$10+CI1166*'تنظیمات وزن‌دهی'!$C$11+CJ1166*'تنظیمات وزن‌دهی'!$C$12+CK1166*'تنظیمات وزن‌دهی'!$C$13)/100))</x:f>
      </x:c>
      <x:c r="CM1166" s="178" t="str">
        <x:f>IF(C1166="","",IF(COUNT(G1166:CB1166)=0,"",IF(COUNT(G1166:CB1166)&lt;74,"موقت - اطلاعات ناقص",IF(CL1166&gt;=17,"عالی",IF(CL1166&gt;=14,"خوب",IF(CL1166&gt;=10,"متوسط","ضعیف"))))))</x:f>
      </x:c>
      <x:c r="CN1166" s="178" t="n">
        <x:v>10</x:v>
      </x:c>
      <x:c r="CO1166" s="142" t="n">
        <x:f>IF(C1166="","",COUNT(G1166:CB1166)/74)</x:f>
        <x:v>0</x:v>
      </x:c>
      <x:c r="CP1166" s="245"/>
    </x:row>
    <x:row r="1167">
      <x:c r="A1167" s="165" t="n">
        <x:v>1163</x:v>
      </x:c>
      <x:c r="B1167" s="233" t="str">
        <x:v>اردیبهشت</x:v>
      </x:c>
      <x:c r="C1167" s="233" t="n">
        <x:f>IF('دانش‌آموزان'!E101="","",'دانش‌آموزان'!B101)</x:f>
        <x:v>97</x:v>
      </x:c>
      <x:c r="D1167" s="233" t="str">
        <x:f>IF('دانش‌آموزان'!C101="","",'دانش‌آموزان'!C101)</x:f>
        <x:v>4000000977</x:v>
      </x:c>
      <x:c r="E1167" s="233" t="str">
        <x:f>IF('دانش‌آموزان'!E101="","",'دانش‌آموزان'!E101&amp;" "&amp;'دانش‌آموزان'!F101)</x:f>
        <x:v>سینا رحیمی</x:v>
      </x:c>
      <x:c r="F1167" s="166" t="str">
        <x:f>IF('دانش‌آموزان'!I101="","",'دانش‌آموزان'!I101)</x:f>
        <x:v>sample-7-d</x:v>
      </x:c>
      <x:c r="G1167" s="114"/>
      <x:c r="H1167" s="115"/>
      <x:c r="I1167" s="115"/>
      <x:c r="J1167" s="115"/>
      <x:c r="K1167" s="115"/>
      <x:c r="L1167" s="115"/>
      <x:c r="M1167" s="115"/>
      <x:c r="N1167" s="115"/>
      <x:c r="O1167" s="115"/>
      <x:c r="P1167" s="115"/>
      <x:c r="Q1167" s="115"/>
      <x:c r="R1167" s="115"/>
      <x:c r="S1167" s="115"/>
      <x:c r="T1167" s="115"/>
      <x:c r="U1167" s="115"/>
      <x:c r="V1167" s="115"/>
      <x:c r="W1167" s="115"/>
      <x:c r="X1167" s="115"/>
      <x:c r="Y1167" s="115"/>
      <x:c r="Z1167" s="115"/>
      <x:c r="AA1167" s="115"/>
      <x:c r="AB1167" s="115"/>
      <x:c r="AC1167" s="115"/>
      <x:c r="AD1167" s="115"/>
      <x:c r="AE1167" s="115"/>
      <x:c r="AF1167" s="115"/>
      <x:c r="AG1167" s="115"/>
      <x:c r="AH1167" s="115"/>
      <x:c r="AI1167" s="115"/>
      <x:c r="AJ1167" s="115"/>
      <x:c r="AK1167" s="115"/>
      <x:c r="AL1167" s="115"/>
      <x:c r="AM1167" s="115"/>
      <x:c r="AN1167" s="115"/>
      <x:c r="AO1167" s="115"/>
      <x:c r="AP1167" s="115"/>
      <x:c r="AQ1167" s="115"/>
      <x:c r="AR1167" s="115"/>
      <x:c r="AS1167" s="115"/>
      <x:c r="AT1167" s="115"/>
      <x:c r="AU1167" s="115"/>
      <x:c r="AV1167" s="115"/>
      <x:c r="AW1167" s="115"/>
      <x:c r="AX1167" s="115"/>
      <x:c r="AY1167" s="115"/>
      <x:c r="AZ1167" s="115"/>
      <x:c r="BA1167" s="115"/>
      <x:c r="BB1167" s="115"/>
      <x:c r="BC1167" s="115"/>
      <x:c r="BD1167" s="115"/>
      <x:c r="BE1167" s="115"/>
      <x:c r="BF1167" s="115"/>
      <x:c r="BG1167" s="115"/>
      <x:c r="BH1167" s="115"/>
      <x:c r="BI1167" s="115"/>
      <x:c r="BJ1167" s="115"/>
      <x:c r="BK1167" s="115"/>
      <x:c r="BL1167" s="115"/>
      <x:c r="BM1167" s="115"/>
      <x:c r="BN1167" s="115"/>
      <x:c r="BO1167" s="115"/>
      <x:c r="BP1167" s="115"/>
      <x:c r="BQ1167" s="115"/>
      <x:c r="BR1167" s="115"/>
      <x:c r="BS1167" s="115"/>
      <x:c r="BT1167" s="115"/>
      <x:c r="BU1167" s="115"/>
      <x:c r="BV1167" s="115"/>
      <x:c r="BW1167" s="115"/>
      <x:c r="BX1167" s="115"/>
      <x:c r="BY1167" s="115"/>
      <x:c r="BZ1167" s="115"/>
      <x:c r="CA1167" s="115"/>
      <x:c r="CB1167" s="116"/>
      <x:c r="CC1167" s="141" t="str">
        <x:f>IF(COUNT(G1167:P1167)=0,"",AVERAGE(G1167:P1167)*4)</x:f>
      </x:c>
      <x:c r="CD1167" s="178" t="str">
        <x:f>IF(COUNT(Q1167:Z1167)=0,"",AVERAGE(Q1167:Z1167)*4)</x:f>
      </x:c>
      <x:c r="CE1167" s="178" t="str">
        <x:f>IF(COUNT(AA1167:AJ1167)=0,"",AVERAGE(AA1167:AJ1167)*4)</x:f>
      </x:c>
      <x:c r="CF1167" s="178" t="str">
        <x:f>IF(COUNT(AK1167:AR1167)=0,"",AVERAGE(AK1167:AR1167)*4)</x:f>
      </x:c>
      <x:c r="CG1167" s="178" t="str">
        <x:f>IF(COUNT(AS1167:AY1167)=0,"",AVERAGE(AS1167:AY1167)*4)</x:f>
      </x:c>
      <x:c r="CH1167" s="178" t="str">
        <x:f>IF(COUNT(AZ1167:BG1167)=0,"",AVERAGE(AZ1167:BG1167)*4)</x:f>
      </x:c>
      <x:c r="CI1167" s="178" t="str">
        <x:f>IF(COUNT(BH1167:BN1167)=0,"",AVERAGE(BH1167:BN1167)*4)</x:f>
      </x:c>
      <x:c r="CJ1167" s="178" t="str">
        <x:f>IF(COUNT(BO1167:BU1167)=0,"",AVERAGE(BO1167:BU1167)*4)</x:f>
      </x:c>
      <x:c r="CK1167" s="178" t="str">
        <x:f>IF(COUNT(BV1167:CB1167)=0,"",AVERAGE(BV1167:CB1167)*4)</x:f>
      </x:c>
      <x:c r="CL1167" s="178" t="str">
        <x:f>IF(C1167="","",IF(COUNT(G1167:CB1167)&lt;74,"",(CC1167*'تنظیمات وزن‌دهی'!$C$5+CD1167*'تنظیمات وزن‌دهی'!$C$6+CE1167*'تنظیمات وزن‌دهی'!$C$7+CF1167*'تنظیمات وزن‌دهی'!$C$8+CG1167*'تنظیمات وزن‌دهی'!$C$9+CH1167*'تنظیمات وزن‌دهی'!$C$10+CI1167*'تنظیمات وزن‌دهی'!$C$11+CJ1167*'تنظیمات وزن‌دهی'!$C$12+CK1167*'تنظیمات وزن‌دهی'!$C$13)/100))</x:f>
      </x:c>
      <x:c r="CM1167" s="178" t="str">
        <x:f>IF(C1167="","",IF(COUNT(G1167:CB1167)=0,"",IF(COUNT(G1167:CB1167)&lt;74,"موقت - اطلاعات ناقص",IF(CL1167&gt;=17,"عالی",IF(CL1167&gt;=14,"خوب",IF(CL1167&gt;=10,"متوسط","ضعیف"))))))</x:f>
      </x:c>
      <x:c r="CN1167" s="178" t="n">
        <x:v>11</x:v>
      </x:c>
      <x:c r="CO1167" s="142" t="n">
        <x:f>IF(C1167="","",COUNT(G1167:CB1167)/74)</x:f>
        <x:v>0</x:v>
      </x:c>
      <x:c r="CP1167" s="245"/>
    </x:row>
    <x:row r="1168">
      <x:c r="A1168" s="165" t="n">
        <x:v>1164</x:v>
      </x:c>
      <x:c r="B1168" s="233" t="str">
        <x:v>خرداد</x:v>
      </x:c>
      <x:c r="C1168" s="233" t="n">
        <x:f>IF('دانش‌آموزان'!E101="","",'دانش‌آموزان'!B101)</x:f>
        <x:v>97</x:v>
      </x:c>
      <x:c r="D1168" s="233" t="str">
        <x:f>IF('دانش‌آموزان'!C101="","",'دانش‌آموزان'!C101)</x:f>
        <x:v>4000000977</x:v>
      </x:c>
      <x:c r="E1168" s="233" t="str">
        <x:f>IF('دانش‌آموزان'!E101="","",'دانش‌آموزان'!E101&amp;" "&amp;'دانش‌آموزان'!F101)</x:f>
        <x:v>سینا رحیمی</x:v>
      </x:c>
      <x:c r="F1168" s="166" t="str">
        <x:f>IF('دانش‌آموزان'!I101="","",'دانش‌آموزان'!I101)</x:f>
        <x:v>sample-7-d</x:v>
      </x:c>
      <x:c r="G1168" s="114"/>
      <x:c r="H1168" s="115"/>
      <x:c r="I1168" s="115"/>
      <x:c r="J1168" s="115"/>
      <x:c r="K1168" s="115"/>
      <x:c r="L1168" s="115"/>
      <x:c r="M1168" s="115"/>
      <x:c r="N1168" s="115"/>
      <x:c r="O1168" s="115"/>
      <x:c r="P1168" s="115"/>
      <x:c r="Q1168" s="115"/>
      <x:c r="R1168" s="115"/>
      <x:c r="S1168" s="115"/>
      <x:c r="T1168" s="115"/>
      <x:c r="U1168" s="115"/>
      <x:c r="V1168" s="115"/>
      <x:c r="W1168" s="115"/>
      <x:c r="X1168" s="115"/>
      <x:c r="Y1168" s="115"/>
      <x:c r="Z1168" s="115"/>
      <x:c r="AA1168" s="115"/>
      <x:c r="AB1168" s="115"/>
      <x:c r="AC1168" s="115"/>
      <x:c r="AD1168" s="115"/>
      <x:c r="AE1168" s="115"/>
      <x:c r="AF1168" s="115"/>
      <x:c r="AG1168" s="115"/>
      <x:c r="AH1168" s="115"/>
      <x:c r="AI1168" s="115"/>
      <x:c r="AJ1168" s="115"/>
      <x:c r="AK1168" s="115"/>
      <x:c r="AL1168" s="115"/>
      <x:c r="AM1168" s="115"/>
      <x:c r="AN1168" s="115"/>
      <x:c r="AO1168" s="115"/>
      <x:c r="AP1168" s="115"/>
      <x:c r="AQ1168" s="115"/>
      <x:c r="AR1168" s="115"/>
      <x:c r="AS1168" s="115"/>
      <x:c r="AT1168" s="115"/>
      <x:c r="AU1168" s="115"/>
      <x:c r="AV1168" s="115"/>
      <x:c r="AW1168" s="115"/>
      <x:c r="AX1168" s="115"/>
      <x:c r="AY1168" s="115"/>
      <x:c r="AZ1168" s="115"/>
      <x:c r="BA1168" s="115"/>
      <x:c r="BB1168" s="115"/>
      <x:c r="BC1168" s="115"/>
      <x:c r="BD1168" s="115"/>
      <x:c r="BE1168" s="115"/>
      <x:c r="BF1168" s="115"/>
      <x:c r="BG1168" s="115"/>
      <x:c r="BH1168" s="115"/>
      <x:c r="BI1168" s="115"/>
      <x:c r="BJ1168" s="115"/>
      <x:c r="BK1168" s="115"/>
      <x:c r="BL1168" s="115"/>
      <x:c r="BM1168" s="115"/>
      <x:c r="BN1168" s="115"/>
      <x:c r="BO1168" s="115"/>
      <x:c r="BP1168" s="115"/>
      <x:c r="BQ1168" s="115"/>
      <x:c r="BR1168" s="115"/>
      <x:c r="BS1168" s="115"/>
      <x:c r="BT1168" s="115"/>
      <x:c r="BU1168" s="115"/>
      <x:c r="BV1168" s="115"/>
      <x:c r="BW1168" s="115"/>
      <x:c r="BX1168" s="115"/>
      <x:c r="BY1168" s="115"/>
      <x:c r="BZ1168" s="115"/>
      <x:c r="CA1168" s="115"/>
      <x:c r="CB1168" s="116"/>
      <x:c r="CC1168" s="141" t="str">
        <x:f>IF(COUNT(G1168:P1168)=0,"",AVERAGE(G1168:P1168)*4)</x:f>
      </x:c>
      <x:c r="CD1168" s="178" t="str">
        <x:f>IF(COUNT(Q1168:Z1168)=0,"",AVERAGE(Q1168:Z1168)*4)</x:f>
      </x:c>
      <x:c r="CE1168" s="178" t="str">
        <x:f>IF(COUNT(AA1168:AJ1168)=0,"",AVERAGE(AA1168:AJ1168)*4)</x:f>
      </x:c>
      <x:c r="CF1168" s="178" t="str">
        <x:f>IF(COUNT(AK1168:AR1168)=0,"",AVERAGE(AK1168:AR1168)*4)</x:f>
      </x:c>
      <x:c r="CG1168" s="178" t="str">
        <x:f>IF(COUNT(AS1168:AY1168)=0,"",AVERAGE(AS1168:AY1168)*4)</x:f>
      </x:c>
      <x:c r="CH1168" s="178" t="str">
        <x:f>IF(COUNT(AZ1168:BG1168)=0,"",AVERAGE(AZ1168:BG1168)*4)</x:f>
      </x:c>
      <x:c r="CI1168" s="178" t="str">
        <x:f>IF(COUNT(BH1168:BN1168)=0,"",AVERAGE(BH1168:BN1168)*4)</x:f>
      </x:c>
      <x:c r="CJ1168" s="178" t="str">
        <x:f>IF(COUNT(BO1168:BU1168)=0,"",AVERAGE(BO1168:BU1168)*4)</x:f>
      </x:c>
      <x:c r="CK1168" s="178" t="str">
        <x:f>IF(COUNT(BV1168:CB1168)=0,"",AVERAGE(BV1168:CB1168)*4)</x:f>
      </x:c>
      <x:c r="CL1168" s="178" t="str">
        <x:f>IF(C1168="","",IF(COUNT(G1168:CB1168)&lt;74,"",(CC1168*'تنظیمات وزن‌دهی'!$C$5+CD1168*'تنظیمات وزن‌دهی'!$C$6+CE1168*'تنظیمات وزن‌دهی'!$C$7+CF1168*'تنظیمات وزن‌دهی'!$C$8+CG1168*'تنظیمات وزن‌دهی'!$C$9+CH1168*'تنظیمات وزن‌دهی'!$C$10+CI1168*'تنظیمات وزن‌دهی'!$C$11+CJ1168*'تنظیمات وزن‌دهی'!$C$12+CK1168*'تنظیمات وزن‌دهی'!$C$13)/100))</x:f>
      </x:c>
      <x:c r="CM1168" s="178" t="str">
        <x:f>IF(C1168="","",IF(COUNT(G1168:CB1168)=0,"",IF(COUNT(G1168:CB1168)&lt;74,"موقت - اطلاعات ناقص",IF(CL1168&gt;=17,"عالی",IF(CL1168&gt;=14,"خوب",IF(CL1168&gt;=10,"متوسط","ضعیف"))))))</x:f>
      </x:c>
      <x:c r="CN1168" s="178" t="n">
        <x:v>12</x:v>
      </x:c>
      <x:c r="CO1168" s="142" t="n">
        <x:f>IF(C1168="","",COUNT(G1168:CB1168)/74)</x:f>
        <x:v>0</x:v>
      </x:c>
      <x:c r="CP1168" s="245"/>
    </x:row>
    <x:row r="1169">
      <x:c r="A1169" s="165" t="n">
        <x:v>1165</x:v>
      </x:c>
      <x:c r="B1169" s="233" t="str">
        <x:v>تیر</x:v>
      </x:c>
      <x:c r="C1169" s="233" t="n">
        <x:f>IF('دانش‌آموزان'!E102="","",'دانش‌آموزان'!B102)</x:f>
        <x:v>98</x:v>
      </x:c>
      <x:c r="D1169" s="233" t="str">
        <x:f>IF('دانش‌آموزان'!C102="","",'دانش‌آموزان'!C102)</x:f>
        <x:v>4000000985</x:v>
      </x:c>
      <x:c r="E1169" s="233" t="str">
        <x:f>IF('دانش‌آموزان'!E102="","",'دانش‌آموزان'!E102&amp;" "&amp;'دانش‌آموزان'!F102)</x:f>
        <x:v>یسنا حیدری</x:v>
      </x:c>
      <x:c r="F1169" s="166" t="str">
        <x:f>IF('دانش‌آموزان'!I102="","",'دانش‌آموزان'!I102)</x:f>
        <x:v>sample-7-d</x:v>
      </x:c>
      <x:c r="G1169" s="114" t="n">
        <x:v>4</x:v>
      </x:c>
      <x:c r="H1169" s="115" t="n">
        <x:v>5</x:v>
      </x:c>
      <x:c r="I1169" s="115" t="n">
        <x:v>4</x:v>
      </x:c>
      <x:c r="J1169" s="115" t="n">
        <x:v>5</x:v>
      </x:c>
      <x:c r="K1169" s="115" t="n">
        <x:v>3</x:v>
      </x:c>
      <x:c r="L1169" s="115" t="n">
        <x:v>5</x:v>
      </x:c>
      <x:c r="M1169" s="115" t="n">
        <x:v>3</x:v>
      </x:c>
      <x:c r="N1169" s="115" t="n">
        <x:v>4</x:v>
      </x:c>
      <x:c r="O1169" s="115" t="n">
        <x:v>3</x:v>
      </x:c>
      <x:c r="P1169" s="115" t="n">
        <x:v>4</x:v>
      </x:c>
      <x:c r="Q1169" s="115" t="n">
        <x:v>2</x:v>
      </x:c>
      <x:c r="R1169" s="115" t="n">
        <x:v>4</x:v>
      </x:c>
      <x:c r="S1169" s="115" t="n">
        <x:v>5</x:v>
      </x:c>
      <x:c r="T1169" s="115" t="n">
        <x:v>4</x:v>
      </x:c>
      <x:c r="U1169" s="115" t="n">
        <x:v>5</x:v>
      </x:c>
      <x:c r="V1169" s="115" t="n">
        <x:v>3</x:v>
      </x:c>
      <x:c r="W1169" s="115" t="n">
        <x:v>5</x:v>
      </x:c>
      <x:c r="X1169" s="115" t="n">
        <x:v>3</x:v>
      </x:c>
      <x:c r="Y1169" s="115" t="n">
        <x:v>4</x:v>
      </x:c>
      <x:c r="Z1169" s="115" t="n">
        <x:v>3</x:v>
      </x:c>
      <x:c r="AA1169" s="115" t="n">
        <x:v>4</x:v>
      </x:c>
      <x:c r="AB1169" s="115" t="n">
        <x:v>2</x:v>
      </x:c>
      <x:c r="AC1169" s="115" t="n">
        <x:v>4</x:v>
      </x:c>
      <x:c r="AD1169" s="115" t="n">
        <x:v>5</x:v>
      </x:c>
      <x:c r="AE1169" s="115" t="n">
        <x:v>4</x:v>
      </x:c>
      <x:c r="AF1169" s="115" t="n">
        <x:v>5</x:v>
      </x:c>
      <x:c r="AG1169" s="115" t="n">
        <x:v>3</x:v>
      </x:c>
      <x:c r="AH1169" s="115" t="n">
        <x:v>5</x:v>
      </x:c>
      <x:c r="AI1169" s="115" t="n">
        <x:v>3</x:v>
      </x:c>
      <x:c r="AJ1169" s="115" t="n">
        <x:v>4</x:v>
      </x:c>
      <x:c r="AK1169" s="115" t="n">
        <x:v>3</x:v>
      </x:c>
      <x:c r="AL1169" s="115" t="n">
        <x:v>4</x:v>
      </x:c>
      <x:c r="AM1169" s="115" t="n">
        <x:v>2</x:v>
      </x:c>
      <x:c r="AN1169" s="115" t="n">
        <x:v>4</x:v>
      </x:c>
      <x:c r="AO1169" s="115" t="n">
        <x:v>5</x:v>
      </x:c>
      <x:c r="AP1169" s="115" t="n">
        <x:v>4</x:v>
      </x:c>
      <x:c r="AQ1169" s="115" t="n">
        <x:v>5</x:v>
      </x:c>
      <x:c r="AR1169" s="115" t="n">
        <x:v>3</x:v>
      </x:c>
      <x:c r="AS1169" s="115" t="n">
        <x:v>5</x:v>
      </x:c>
      <x:c r="AT1169" s="115" t="n">
        <x:v>3</x:v>
      </x:c>
      <x:c r="AU1169" s="115" t="n">
        <x:v>4</x:v>
      </x:c>
      <x:c r="AV1169" s="115" t="n">
        <x:v>3</x:v>
      </x:c>
      <x:c r="AW1169" s="115" t="n">
        <x:v>4</x:v>
      </x:c>
      <x:c r="AX1169" s="115" t="n">
        <x:v>2</x:v>
      </x:c>
      <x:c r="AY1169" s="115" t="n">
        <x:v>4</x:v>
      </x:c>
      <x:c r="AZ1169" s="115" t="n">
        <x:v>5</x:v>
      </x:c>
      <x:c r="BA1169" s="115" t="n">
        <x:v>4</x:v>
      </x:c>
      <x:c r="BB1169" s="115" t="n">
        <x:v>5</x:v>
      </x:c>
      <x:c r="BC1169" s="115" t="n">
        <x:v>3</x:v>
      </x:c>
      <x:c r="BD1169" s="115" t="n">
        <x:v>5</x:v>
      </x:c>
      <x:c r="BE1169" s="115" t="n">
        <x:v>3</x:v>
      </x:c>
      <x:c r="BF1169" s="115" t="n">
        <x:v>4</x:v>
      </x:c>
      <x:c r="BG1169" s="115" t="n">
        <x:v>3</x:v>
      </x:c>
      <x:c r="BH1169" s="115" t="n">
        <x:v>4</x:v>
      </x:c>
      <x:c r="BI1169" s="115" t="n">
        <x:v>2</x:v>
      </x:c>
      <x:c r="BJ1169" s="115" t="n">
        <x:v>4</x:v>
      </x:c>
      <x:c r="BK1169" s="115" t="n">
        <x:v>5</x:v>
      </x:c>
      <x:c r="BL1169" s="115" t="n">
        <x:v>4</x:v>
      </x:c>
      <x:c r="BM1169" s="115" t="n">
        <x:v>5</x:v>
      </x:c>
      <x:c r="BN1169" s="115" t="n">
        <x:v>3</x:v>
      </x:c>
      <x:c r="BO1169" s="115" t="n">
        <x:v>5</x:v>
      </x:c>
      <x:c r="BP1169" s="115" t="n">
        <x:v>3</x:v>
      </x:c>
      <x:c r="BQ1169" s="115" t="n">
        <x:v>4</x:v>
      </x:c>
      <x:c r="BR1169" s="115" t="n">
        <x:v>3</x:v>
      </x:c>
      <x:c r="BS1169" s="115" t="n">
        <x:v>4</x:v>
      </x:c>
      <x:c r="BT1169" s="115" t="n">
        <x:v>2</x:v>
      </x:c>
      <x:c r="BU1169" s="115" t="n">
        <x:v>4</x:v>
      </x:c>
      <x:c r="BV1169" s="115" t="n">
        <x:v>5</x:v>
      </x:c>
      <x:c r="BW1169" s="115" t="n">
        <x:v>4</x:v>
      </x:c>
      <x:c r="BX1169" s="115" t="n">
        <x:v>5</x:v>
      </x:c>
      <x:c r="BY1169" s="115" t="n">
        <x:v>3</x:v>
      </x:c>
      <x:c r="BZ1169" s="115" t="n">
        <x:v>5</x:v>
      </x:c>
      <x:c r="CA1169" s="115" t="n">
        <x:v>3</x:v>
      </x:c>
      <x:c r="CB1169" s="116" t="n">
        <x:v>4</x:v>
      </x:c>
      <x:c r="CC1169" s="141" t="n">
        <x:f>IF(COUNT(G1169:P1169)=0,"",AVERAGE(G1169:P1169)*4)</x:f>
        <x:v>16</x:v>
      </x:c>
      <x:c r="CD1169" s="178" t="n">
        <x:f>IF(COUNT(Q1169:Z1169)=0,"",AVERAGE(Q1169:Z1169)*4)</x:f>
        <x:v>15.2</x:v>
      </x:c>
      <x:c r="CE1169" s="178" t="n">
        <x:f>IF(COUNT(AA1169:AJ1169)=0,"",AVERAGE(AA1169:AJ1169)*4)</x:f>
        <x:v>15.6</x:v>
      </x:c>
      <x:c r="CF1169" s="178" t="n">
        <x:f>IF(COUNT(AK1169:AR1169)=0,"",AVERAGE(AK1169:AR1169)*4)</x:f>
        <x:v>15</x:v>
      </x:c>
      <x:c r="CG1169" s="178" t="n">
        <x:f>IF(COUNT(AS1169:AY1169)=0,"",AVERAGE(AS1169:AY1169)*4)</x:f>
        <x:v>14.285714285714286</x:v>
      </x:c>
      <x:c r="CH1169" s="178" t="n">
        <x:f>IF(COUNT(AZ1169:BG1169)=0,"",AVERAGE(AZ1169:BG1169)*4)</x:f>
        <x:v>16</x:v>
      </x:c>
      <x:c r="CI1169" s="178" t="n">
        <x:f>IF(COUNT(BH1169:BN1169)=0,"",AVERAGE(BH1169:BN1169)*4)</x:f>
        <x:v>15.428571428571429</x:v>
      </x:c>
      <x:c r="CJ1169" s="178" t="n">
        <x:f>IF(COUNT(BO1169:BU1169)=0,"",AVERAGE(BO1169:BU1169)*4)</x:f>
        <x:v>14.285714285714286</x:v>
      </x:c>
      <x:c r="CK1169" s="178" t="n">
        <x:f>IF(COUNT(BV1169:CB1169)=0,"",AVERAGE(BV1169:CB1169)*4)</x:f>
        <x:v>16.571428571428573</x:v>
      </x:c>
      <x:c r="CL1169" s="178" t="n">
        <x:f>IF(C1169="","",IF(COUNT(G1169:CB1169)&lt;74,"",(CC1169*'تنظیمات وزن‌دهی'!$C$5+CD1169*'تنظیمات وزن‌دهی'!$C$6+CE1169*'تنظیمات وزن‌دهی'!$C$7+CF1169*'تنظیمات وزن‌دهی'!$C$8+CG1169*'تنظیمات وزن‌دهی'!$C$9+CH1169*'تنظیمات وزن‌دهی'!$C$10+CI1169*'تنظیمات وزن‌دهی'!$C$11+CJ1169*'تنظیمات وزن‌دهی'!$C$12+CK1169*'تنظیمات وزن‌دهی'!$C$13)/100))</x:f>
        <x:v>15.447142857142858</x:v>
      </x:c>
      <x:c r="CM1169" s="178" t="str">
        <x:f>IF(C1169="","",IF(COUNT(G1169:CB1169)=0,"",IF(COUNT(G1169:CB1169)&lt;74,"موقت - اطلاعات ناقص",IF(CL1169&gt;=17,"عالی",IF(CL1169&gt;=14,"خوب",IF(CL1169&gt;=10,"متوسط","ضعیف"))))))</x:f>
        <x:v>خوب</x:v>
      </x:c>
      <x:c r="CN1169" s="178" t="n">
        <x:v>1</x:v>
      </x:c>
      <x:c r="CO1169" s="142" t="n">
        <x:f>IF(C1169="","",COUNT(G1169:CB1169)/74)</x:f>
        <x:v>1</x:v>
      </x:c>
      <x:c r="CP1169" s="245" t="str">
        <x:v>داده نمونه کامل برای ماه تیر - دانش‌آموز شماره 98</x:v>
      </x:c>
    </x:row>
    <x:row r="1170">
      <x:c r="A1170" s="165" t="n">
        <x:v>1166</x:v>
      </x:c>
      <x:c r="B1170" s="233" t="str">
        <x:v>مرداد</x:v>
      </x:c>
      <x:c r="C1170" s="233" t="n">
        <x:f>IF('دانش‌آموزان'!E102="","",'دانش‌آموزان'!B102)</x:f>
        <x:v>98</x:v>
      </x:c>
      <x:c r="D1170" s="233" t="str">
        <x:f>IF('دانش‌آموزان'!C102="","",'دانش‌آموزان'!C102)</x:f>
        <x:v>4000000985</x:v>
      </x:c>
      <x:c r="E1170" s="233" t="str">
        <x:f>IF('دانش‌آموزان'!E102="","",'دانش‌آموزان'!E102&amp;" "&amp;'دانش‌آموزان'!F102)</x:f>
        <x:v>یسنا حیدری</x:v>
      </x:c>
      <x:c r="F1170" s="166" t="str">
        <x:f>IF('دانش‌آموزان'!I102="","",'دانش‌آموزان'!I102)</x:f>
        <x:v>sample-7-d</x:v>
      </x:c>
      <x:c r="G1170" s="114"/>
      <x:c r="H1170" s="115"/>
      <x:c r="I1170" s="115"/>
      <x:c r="J1170" s="115"/>
      <x:c r="K1170" s="115"/>
      <x:c r="L1170" s="115"/>
      <x:c r="M1170" s="115"/>
      <x:c r="N1170" s="115"/>
      <x:c r="O1170" s="115"/>
      <x:c r="P1170" s="115"/>
      <x:c r="Q1170" s="115"/>
      <x:c r="R1170" s="115"/>
      <x:c r="S1170" s="115"/>
      <x:c r="T1170" s="115"/>
      <x:c r="U1170" s="115"/>
      <x:c r="V1170" s="115"/>
      <x:c r="W1170" s="115"/>
      <x:c r="X1170" s="115"/>
      <x:c r="Y1170" s="115"/>
      <x:c r="Z1170" s="115"/>
      <x:c r="AA1170" s="115"/>
      <x:c r="AB1170" s="115"/>
      <x:c r="AC1170" s="115"/>
      <x:c r="AD1170" s="115"/>
      <x:c r="AE1170" s="115"/>
      <x:c r="AF1170" s="115"/>
      <x:c r="AG1170" s="115"/>
      <x:c r="AH1170" s="115"/>
      <x:c r="AI1170" s="115"/>
      <x:c r="AJ1170" s="115"/>
      <x:c r="AK1170" s="115"/>
      <x:c r="AL1170" s="115"/>
      <x:c r="AM1170" s="115"/>
      <x:c r="AN1170" s="115"/>
      <x:c r="AO1170" s="115"/>
      <x:c r="AP1170" s="115"/>
      <x:c r="AQ1170" s="115"/>
      <x:c r="AR1170" s="115"/>
      <x:c r="AS1170" s="115"/>
      <x:c r="AT1170" s="115"/>
      <x:c r="AU1170" s="115"/>
      <x:c r="AV1170" s="115"/>
      <x:c r="AW1170" s="115"/>
      <x:c r="AX1170" s="115"/>
      <x:c r="AY1170" s="115"/>
      <x:c r="AZ1170" s="115"/>
      <x:c r="BA1170" s="115"/>
      <x:c r="BB1170" s="115"/>
      <x:c r="BC1170" s="115"/>
      <x:c r="BD1170" s="115"/>
      <x:c r="BE1170" s="115"/>
      <x:c r="BF1170" s="115"/>
      <x:c r="BG1170" s="115"/>
      <x:c r="BH1170" s="115"/>
      <x:c r="BI1170" s="115"/>
      <x:c r="BJ1170" s="115"/>
      <x:c r="BK1170" s="115"/>
      <x:c r="BL1170" s="115"/>
      <x:c r="BM1170" s="115"/>
      <x:c r="BN1170" s="115"/>
      <x:c r="BO1170" s="115"/>
      <x:c r="BP1170" s="115"/>
      <x:c r="BQ1170" s="115"/>
      <x:c r="BR1170" s="115"/>
      <x:c r="BS1170" s="115"/>
      <x:c r="BT1170" s="115"/>
      <x:c r="BU1170" s="115"/>
      <x:c r="BV1170" s="115"/>
      <x:c r="BW1170" s="115"/>
      <x:c r="BX1170" s="115"/>
      <x:c r="BY1170" s="115"/>
      <x:c r="BZ1170" s="115"/>
      <x:c r="CA1170" s="115"/>
      <x:c r="CB1170" s="116"/>
      <x:c r="CC1170" s="141" t="str">
        <x:f>IF(COUNT(G1170:P1170)=0,"",AVERAGE(G1170:P1170)*4)</x:f>
      </x:c>
      <x:c r="CD1170" s="178" t="str">
        <x:f>IF(COUNT(Q1170:Z1170)=0,"",AVERAGE(Q1170:Z1170)*4)</x:f>
      </x:c>
      <x:c r="CE1170" s="178" t="str">
        <x:f>IF(COUNT(AA1170:AJ1170)=0,"",AVERAGE(AA1170:AJ1170)*4)</x:f>
      </x:c>
      <x:c r="CF1170" s="178" t="str">
        <x:f>IF(COUNT(AK1170:AR1170)=0,"",AVERAGE(AK1170:AR1170)*4)</x:f>
      </x:c>
      <x:c r="CG1170" s="178" t="str">
        <x:f>IF(COUNT(AS1170:AY1170)=0,"",AVERAGE(AS1170:AY1170)*4)</x:f>
      </x:c>
      <x:c r="CH1170" s="178" t="str">
        <x:f>IF(COUNT(AZ1170:BG1170)=0,"",AVERAGE(AZ1170:BG1170)*4)</x:f>
      </x:c>
      <x:c r="CI1170" s="178" t="str">
        <x:f>IF(COUNT(BH1170:BN1170)=0,"",AVERAGE(BH1170:BN1170)*4)</x:f>
      </x:c>
      <x:c r="CJ1170" s="178" t="str">
        <x:f>IF(COUNT(BO1170:BU1170)=0,"",AVERAGE(BO1170:BU1170)*4)</x:f>
      </x:c>
      <x:c r="CK1170" s="178" t="str">
        <x:f>IF(COUNT(BV1170:CB1170)=0,"",AVERAGE(BV1170:CB1170)*4)</x:f>
      </x:c>
      <x:c r="CL1170" s="178" t="str">
        <x:f>IF(C1170="","",IF(COUNT(G1170:CB1170)&lt;74,"",(CC1170*'تنظیمات وزن‌دهی'!$C$5+CD1170*'تنظیمات وزن‌دهی'!$C$6+CE1170*'تنظیمات وزن‌دهی'!$C$7+CF1170*'تنظیمات وزن‌دهی'!$C$8+CG1170*'تنظیمات وزن‌دهی'!$C$9+CH1170*'تنظیمات وزن‌دهی'!$C$10+CI1170*'تنظیمات وزن‌دهی'!$C$11+CJ1170*'تنظیمات وزن‌دهی'!$C$12+CK1170*'تنظیمات وزن‌دهی'!$C$13)/100))</x:f>
      </x:c>
      <x:c r="CM1170" s="178" t="str">
        <x:f>IF(C1170="","",IF(COUNT(G1170:CB1170)=0,"",IF(COUNT(G1170:CB1170)&lt;74,"موقت - اطلاعات ناقص",IF(CL1170&gt;=17,"عالی",IF(CL1170&gt;=14,"خوب",IF(CL1170&gt;=10,"متوسط","ضعیف"))))))</x:f>
      </x:c>
      <x:c r="CN1170" s="178" t="n">
        <x:v>2</x:v>
      </x:c>
      <x:c r="CO1170" s="142" t="n">
        <x:f>IF(C1170="","",COUNT(G1170:CB1170)/74)</x:f>
        <x:v>0</x:v>
      </x:c>
      <x:c r="CP1170" s="245"/>
    </x:row>
    <x:row r="1171">
      <x:c r="A1171" s="165" t="n">
        <x:v>1167</x:v>
      </x:c>
      <x:c r="B1171" s="233" t="str">
        <x:v>شهریور</x:v>
      </x:c>
      <x:c r="C1171" s="233" t="n">
        <x:f>IF('دانش‌آموزان'!E102="","",'دانش‌آموزان'!B102)</x:f>
        <x:v>98</x:v>
      </x:c>
      <x:c r="D1171" s="233" t="str">
        <x:f>IF('دانش‌آموزان'!C102="","",'دانش‌آموزان'!C102)</x:f>
        <x:v>4000000985</x:v>
      </x:c>
      <x:c r="E1171" s="233" t="str">
        <x:f>IF('دانش‌آموزان'!E102="","",'دانش‌آموزان'!E102&amp;" "&amp;'دانش‌آموزان'!F102)</x:f>
        <x:v>یسنا حیدری</x:v>
      </x:c>
      <x:c r="F1171" s="166" t="str">
        <x:f>IF('دانش‌آموزان'!I102="","",'دانش‌آموزان'!I102)</x:f>
        <x:v>sample-7-d</x:v>
      </x:c>
      <x:c r="G1171" s="114"/>
      <x:c r="H1171" s="115"/>
      <x:c r="I1171" s="115"/>
      <x:c r="J1171" s="115"/>
      <x:c r="K1171" s="115"/>
      <x:c r="L1171" s="115"/>
      <x:c r="M1171" s="115"/>
      <x:c r="N1171" s="115"/>
      <x:c r="O1171" s="115"/>
      <x:c r="P1171" s="115"/>
      <x:c r="Q1171" s="115"/>
      <x:c r="R1171" s="115"/>
      <x:c r="S1171" s="115"/>
      <x:c r="T1171" s="115"/>
      <x:c r="U1171" s="115"/>
      <x:c r="V1171" s="115"/>
      <x:c r="W1171" s="115"/>
      <x:c r="X1171" s="115"/>
      <x:c r="Y1171" s="115"/>
      <x:c r="Z1171" s="115"/>
      <x:c r="AA1171" s="115"/>
      <x:c r="AB1171" s="115"/>
      <x:c r="AC1171" s="115"/>
      <x:c r="AD1171" s="115"/>
      <x:c r="AE1171" s="115"/>
      <x:c r="AF1171" s="115"/>
      <x:c r="AG1171" s="115"/>
      <x:c r="AH1171" s="115"/>
      <x:c r="AI1171" s="115"/>
      <x:c r="AJ1171" s="115"/>
      <x:c r="AK1171" s="115"/>
      <x:c r="AL1171" s="115"/>
      <x:c r="AM1171" s="115"/>
      <x:c r="AN1171" s="115"/>
      <x:c r="AO1171" s="115"/>
      <x:c r="AP1171" s="115"/>
      <x:c r="AQ1171" s="115"/>
      <x:c r="AR1171" s="115"/>
      <x:c r="AS1171" s="115"/>
      <x:c r="AT1171" s="115"/>
      <x:c r="AU1171" s="115"/>
      <x:c r="AV1171" s="115"/>
      <x:c r="AW1171" s="115"/>
      <x:c r="AX1171" s="115"/>
      <x:c r="AY1171" s="115"/>
      <x:c r="AZ1171" s="115"/>
      <x:c r="BA1171" s="115"/>
      <x:c r="BB1171" s="115"/>
      <x:c r="BC1171" s="115"/>
      <x:c r="BD1171" s="115"/>
      <x:c r="BE1171" s="115"/>
      <x:c r="BF1171" s="115"/>
      <x:c r="BG1171" s="115"/>
      <x:c r="BH1171" s="115"/>
      <x:c r="BI1171" s="115"/>
      <x:c r="BJ1171" s="115"/>
      <x:c r="BK1171" s="115"/>
      <x:c r="BL1171" s="115"/>
      <x:c r="BM1171" s="115"/>
      <x:c r="BN1171" s="115"/>
      <x:c r="BO1171" s="115"/>
      <x:c r="BP1171" s="115"/>
      <x:c r="BQ1171" s="115"/>
      <x:c r="BR1171" s="115"/>
      <x:c r="BS1171" s="115"/>
      <x:c r="BT1171" s="115"/>
      <x:c r="BU1171" s="115"/>
      <x:c r="BV1171" s="115"/>
      <x:c r="BW1171" s="115"/>
      <x:c r="BX1171" s="115"/>
      <x:c r="BY1171" s="115"/>
      <x:c r="BZ1171" s="115"/>
      <x:c r="CA1171" s="115"/>
      <x:c r="CB1171" s="116"/>
      <x:c r="CC1171" s="141" t="str">
        <x:f>IF(COUNT(G1171:P1171)=0,"",AVERAGE(G1171:P1171)*4)</x:f>
      </x:c>
      <x:c r="CD1171" s="178" t="str">
        <x:f>IF(COUNT(Q1171:Z1171)=0,"",AVERAGE(Q1171:Z1171)*4)</x:f>
      </x:c>
      <x:c r="CE1171" s="178" t="str">
        <x:f>IF(COUNT(AA1171:AJ1171)=0,"",AVERAGE(AA1171:AJ1171)*4)</x:f>
      </x:c>
      <x:c r="CF1171" s="178" t="str">
        <x:f>IF(COUNT(AK1171:AR1171)=0,"",AVERAGE(AK1171:AR1171)*4)</x:f>
      </x:c>
      <x:c r="CG1171" s="178" t="str">
        <x:f>IF(COUNT(AS1171:AY1171)=0,"",AVERAGE(AS1171:AY1171)*4)</x:f>
      </x:c>
      <x:c r="CH1171" s="178" t="str">
        <x:f>IF(COUNT(AZ1171:BG1171)=0,"",AVERAGE(AZ1171:BG1171)*4)</x:f>
      </x:c>
      <x:c r="CI1171" s="178" t="str">
        <x:f>IF(COUNT(BH1171:BN1171)=0,"",AVERAGE(BH1171:BN1171)*4)</x:f>
      </x:c>
      <x:c r="CJ1171" s="178" t="str">
        <x:f>IF(COUNT(BO1171:BU1171)=0,"",AVERAGE(BO1171:BU1171)*4)</x:f>
      </x:c>
      <x:c r="CK1171" s="178" t="str">
        <x:f>IF(COUNT(BV1171:CB1171)=0,"",AVERAGE(BV1171:CB1171)*4)</x:f>
      </x:c>
      <x:c r="CL1171" s="178" t="str">
        <x:f>IF(C1171="","",IF(COUNT(G1171:CB1171)&lt;74,"",(CC1171*'تنظیمات وزن‌دهی'!$C$5+CD1171*'تنظیمات وزن‌دهی'!$C$6+CE1171*'تنظیمات وزن‌دهی'!$C$7+CF1171*'تنظیمات وزن‌دهی'!$C$8+CG1171*'تنظیمات وزن‌دهی'!$C$9+CH1171*'تنظیمات وزن‌دهی'!$C$10+CI1171*'تنظیمات وزن‌دهی'!$C$11+CJ1171*'تنظیمات وزن‌دهی'!$C$12+CK1171*'تنظیمات وزن‌دهی'!$C$13)/100))</x:f>
      </x:c>
      <x:c r="CM1171" s="178" t="str">
        <x:f>IF(C1171="","",IF(COUNT(G1171:CB1171)=0,"",IF(COUNT(G1171:CB1171)&lt;74,"موقت - اطلاعات ناقص",IF(CL1171&gt;=17,"عالی",IF(CL1171&gt;=14,"خوب",IF(CL1171&gt;=10,"متوسط","ضعیف"))))))</x:f>
      </x:c>
      <x:c r="CN1171" s="178" t="n">
        <x:v>3</x:v>
      </x:c>
      <x:c r="CO1171" s="142" t="n">
        <x:f>IF(C1171="","",COUNT(G1171:CB1171)/74)</x:f>
        <x:v>0</x:v>
      </x:c>
      <x:c r="CP1171" s="245"/>
    </x:row>
    <x:row r="1172">
      <x:c r="A1172" s="165" t="n">
        <x:v>1168</x:v>
      </x:c>
      <x:c r="B1172" s="233" t="str">
        <x:v>مهر</x:v>
      </x:c>
      <x:c r="C1172" s="233" t="n">
        <x:f>IF('دانش‌آموزان'!E102="","",'دانش‌آموزان'!B102)</x:f>
        <x:v>98</x:v>
      </x:c>
      <x:c r="D1172" s="233" t="str">
        <x:f>IF('دانش‌آموزان'!C102="","",'دانش‌آموزان'!C102)</x:f>
        <x:v>4000000985</x:v>
      </x:c>
      <x:c r="E1172" s="233" t="str">
        <x:f>IF('دانش‌آموزان'!E102="","",'دانش‌آموزان'!E102&amp;" "&amp;'دانش‌آموزان'!F102)</x:f>
        <x:v>یسنا حیدری</x:v>
      </x:c>
      <x:c r="F1172" s="166" t="str">
        <x:f>IF('دانش‌آموزان'!I102="","",'دانش‌آموزان'!I102)</x:f>
        <x:v>sample-7-d</x:v>
      </x:c>
      <x:c r="G1172" s="114"/>
      <x:c r="H1172" s="115"/>
      <x:c r="I1172" s="115"/>
      <x:c r="J1172" s="115"/>
      <x:c r="K1172" s="115"/>
      <x:c r="L1172" s="115"/>
      <x:c r="M1172" s="115"/>
      <x:c r="N1172" s="115"/>
      <x:c r="O1172" s="115"/>
      <x:c r="P1172" s="115"/>
      <x:c r="Q1172" s="115"/>
      <x:c r="R1172" s="115"/>
      <x:c r="S1172" s="115"/>
      <x:c r="T1172" s="115"/>
      <x:c r="U1172" s="115"/>
      <x:c r="V1172" s="115"/>
      <x:c r="W1172" s="115"/>
      <x:c r="X1172" s="115"/>
      <x:c r="Y1172" s="115"/>
      <x:c r="Z1172" s="115"/>
      <x:c r="AA1172" s="115"/>
      <x:c r="AB1172" s="115"/>
      <x:c r="AC1172" s="115"/>
      <x:c r="AD1172" s="115"/>
      <x:c r="AE1172" s="115"/>
      <x:c r="AF1172" s="115"/>
      <x:c r="AG1172" s="115"/>
      <x:c r="AH1172" s="115"/>
      <x:c r="AI1172" s="115"/>
      <x:c r="AJ1172" s="115"/>
      <x:c r="AK1172" s="115"/>
      <x:c r="AL1172" s="115"/>
      <x:c r="AM1172" s="115"/>
      <x:c r="AN1172" s="115"/>
      <x:c r="AO1172" s="115"/>
      <x:c r="AP1172" s="115"/>
      <x:c r="AQ1172" s="115"/>
      <x:c r="AR1172" s="115"/>
      <x:c r="AS1172" s="115"/>
      <x:c r="AT1172" s="115"/>
      <x:c r="AU1172" s="115"/>
      <x:c r="AV1172" s="115"/>
      <x:c r="AW1172" s="115"/>
      <x:c r="AX1172" s="115"/>
      <x:c r="AY1172" s="115"/>
      <x:c r="AZ1172" s="115"/>
      <x:c r="BA1172" s="115"/>
      <x:c r="BB1172" s="115"/>
      <x:c r="BC1172" s="115"/>
      <x:c r="BD1172" s="115"/>
      <x:c r="BE1172" s="115"/>
      <x:c r="BF1172" s="115"/>
      <x:c r="BG1172" s="115"/>
      <x:c r="BH1172" s="115"/>
      <x:c r="BI1172" s="115"/>
      <x:c r="BJ1172" s="115"/>
      <x:c r="BK1172" s="115"/>
      <x:c r="BL1172" s="115"/>
      <x:c r="BM1172" s="115"/>
      <x:c r="BN1172" s="115"/>
      <x:c r="BO1172" s="115"/>
      <x:c r="BP1172" s="115"/>
      <x:c r="BQ1172" s="115"/>
      <x:c r="BR1172" s="115"/>
      <x:c r="BS1172" s="115"/>
      <x:c r="BT1172" s="115"/>
      <x:c r="BU1172" s="115"/>
      <x:c r="BV1172" s="115"/>
      <x:c r="BW1172" s="115"/>
      <x:c r="BX1172" s="115"/>
      <x:c r="BY1172" s="115"/>
      <x:c r="BZ1172" s="115"/>
      <x:c r="CA1172" s="115"/>
      <x:c r="CB1172" s="116"/>
      <x:c r="CC1172" s="141" t="str">
        <x:f>IF(COUNT(G1172:P1172)=0,"",AVERAGE(G1172:P1172)*4)</x:f>
      </x:c>
      <x:c r="CD1172" s="178" t="str">
        <x:f>IF(COUNT(Q1172:Z1172)=0,"",AVERAGE(Q1172:Z1172)*4)</x:f>
      </x:c>
      <x:c r="CE1172" s="178" t="str">
        <x:f>IF(COUNT(AA1172:AJ1172)=0,"",AVERAGE(AA1172:AJ1172)*4)</x:f>
      </x:c>
      <x:c r="CF1172" s="178" t="str">
        <x:f>IF(COUNT(AK1172:AR1172)=0,"",AVERAGE(AK1172:AR1172)*4)</x:f>
      </x:c>
      <x:c r="CG1172" s="178" t="str">
        <x:f>IF(COUNT(AS1172:AY1172)=0,"",AVERAGE(AS1172:AY1172)*4)</x:f>
      </x:c>
      <x:c r="CH1172" s="178" t="str">
        <x:f>IF(COUNT(AZ1172:BG1172)=0,"",AVERAGE(AZ1172:BG1172)*4)</x:f>
      </x:c>
      <x:c r="CI1172" s="178" t="str">
        <x:f>IF(COUNT(BH1172:BN1172)=0,"",AVERAGE(BH1172:BN1172)*4)</x:f>
      </x:c>
      <x:c r="CJ1172" s="178" t="str">
        <x:f>IF(COUNT(BO1172:BU1172)=0,"",AVERAGE(BO1172:BU1172)*4)</x:f>
      </x:c>
      <x:c r="CK1172" s="178" t="str">
        <x:f>IF(COUNT(BV1172:CB1172)=0,"",AVERAGE(BV1172:CB1172)*4)</x:f>
      </x:c>
      <x:c r="CL1172" s="178" t="str">
        <x:f>IF(C1172="","",IF(COUNT(G1172:CB1172)&lt;74,"",(CC1172*'تنظیمات وزن‌دهی'!$C$5+CD1172*'تنظیمات وزن‌دهی'!$C$6+CE1172*'تنظیمات وزن‌دهی'!$C$7+CF1172*'تنظیمات وزن‌دهی'!$C$8+CG1172*'تنظیمات وزن‌دهی'!$C$9+CH1172*'تنظیمات وزن‌دهی'!$C$10+CI1172*'تنظیمات وزن‌دهی'!$C$11+CJ1172*'تنظیمات وزن‌دهی'!$C$12+CK1172*'تنظیمات وزن‌دهی'!$C$13)/100))</x:f>
      </x:c>
      <x:c r="CM1172" s="178" t="str">
        <x:f>IF(C1172="","",IF(COUNT(G1172:CB1172)=0,"",IF(COUNT(G1172:CB1172)&lt;74,"موقت - اطلاعات ناقص",IF(CL1172&gt;=17,"عالی",IF(CL1172&gt;=14,"خوب",IF(CL1172&gt;=10,"متوسط","ضعیف"))))))</x:f>
      </x:c>
      <x:c r="CN1172" s="178" t="n">
        <x:v>4</x:v>
      </x:c>
      <x:c r="CO1172" s="142" t="n">
        <x:f>IF(C1172="","",COUNT(G1172:CB1172)/74)</x:f>
        <x:v>0</x:v>
      </x:c>
      <x:c r="CP1172" s="245"/>
    </x:row>
    <x:row r="1173">
      <x:c r="A1173" s="165" t="n">
        <x:v>1169</x:v>
      </x:c>
      <x:c r="B1173" s="233" t="str">
        <x:v>آبان</x:v>
      </x:c>
      <x:c r="C1173" s="233" t="n">
        <x:f>IF('دانش‌آموزان'!E102="","",'دانش‌آموزان'!B102)</x:f>
        <x:v>98</x:v>
      </x:c>
      <x:c r="D1173" s="233" t="str">
        <x:f>IF('دانش‌آموزان'!C102="","",'دانش‌آموزان'!C102)</x:f>
        <x:v>4000000985</x:v>
      </x:c>
      <x:c r="E1173" s="233" t="str">
        <x:f>IF('دانش‌آموزان'!E102="","",'دانش‌آموزان'!E102&amp;" "&amp;'دانش‌آموزان'!F102)</x:f>
        <x:v>یسنا حیدری</x:v>
      </x:c>
      <x:c r="F1173" s="166" t="str">
        <x:f>IF('دانش‌آموزان'!I102="","",'دانش‌آموزان'!I102)</x:f>
        <x:v>sample-7-d</x:v>
      </x:c>
      <x:c r="G1173" s="114"/>
      <x:c r="H1173" s="115"/>
      <x:c r="I1173" s="115"/>
      <x:c r="J1173" s="115"/>
      <x:c r="K1173" s="115"/>
      <x:c r="L1173" s="115"/>
      <x:c r="M1173" s="115"/>
      <x:c r="N1173" s="115"/>
      <x:c r="O1173" s="115"/>
      <x:c r="P1173" s="115"/>
      <x:c r="Q1173" s="115"/>
      <x:c r="R1173" s="115"/>
      <x:c r="S1173" s="115"/>
      <x:c r="T1173" s="115"/>
      <x:c r="U1173" s="115"/>
      <x:c r="V1173" s="115"/>
      <x:c r="W1173" s="115"/>
      <x:c r="X1173" s="115"/>
      <x:c r="Y1173" s="115"/>
      <x:c r="Z1173" s="115"/>
      <x:c r="AA1173" s="115"/>
      <x:c r="AB1173" s="115"/>
      <x:c r="AC1173" s="115"/>
      <x:c r="AD1173" s="115"/>
      <x:c r="AE1173" s="115"/>
      <x:c r="AF1173" s="115"/>
      <x:c r="AG1173" s="115"/>
      <x:c r="AH1173" s="115"/>
      <x:c r="AI1173" s="115"/>
      <x:c r="AJ1173" s="115"/>
      <x:c r="AK1173" s="115"/>
      <x:c r="AL1173" s="115"/>
      <x:c r="AM1173" s="115"/>
      <x:c r="AN1173" s="115"/>
      <x:c r="AO1173" s="115"/>
      <x:c r="AP1173" s="115"/>
      <x:c r="AQ1173" s="115"/>
      <x:c r="AR1173" s="115"/>
      <x:c r="AS1173" s="115"/>
      <x:c r="AT1173" s="115"/>
      <x:c r="AU1173" s="115"/>
      <x:c r="AV1173" s="115"/>
      <x:c r="AW1173" s="115"/>
      <x:c r="AX1173" s="115"/>
      <x:c r="AY1173" s="115"/>
      <x:c r="AZ1173" s="115"/>
      <x:c r="BA1173" s="115"/>
      <x:c r="BB1173" s="115"/>
      <x:c r="BC1173" s="115"/>
      <x:c r="BD1173" s="115"/>
      <x:c r="BE1173" s="115"/>
      <x:c r="BF1173" s="115"/>
      <x:c r="BG1173" s="115"/>
      <x:c r="BH1173" s="115"/>
      <x:c r="BI1173" s="115"/>
      <x:c r="BJ1173" s="115"/>
      <x:c r="BK1173" s="115"/>
      <x:c r="BL1173" s="115"/>
      <x:c r="BM1173" s="115"/>
      <x:c r="BN1173" s="115"/>
      <x:c r="BO1173" s="115"/>
      <x:c r="BP1173" s="115"/>
      <x:c r="BQ1173" s="115"/>
      <x:c r="BR1173" s="115"/>
      <x:c r="BS1173" s="115"/>
      <x:c r="BT1173" s="115"/>
      <x:c r="BU1173" s="115"/>
      <x:c r="BV1173" s="115"/>
      <x:c r="BW1173" s="115"/>
      <x:c r="BX1173" s="115"/>
      <x:c r="BY1173" s="115"/>
      <x:c r="BZ1173" s="115"/>
      <x:c r="CA1173" s="115"/>
      <x:c r="CB1173" s="116"/>
      <x:c r="CC1173" s="141" t="str">
        <x:f>IF(COUNT(G1173:P1173)=0,"",AVERAGE(G1173:P1173)*4)</x:f>
      </x:c>
      <x:c r="CD1173" s="178" t="str">
        <x:f>IF(COUNT(Q1173:Z1173)=0,"",AVERAGE(Q1173:Z1173)*4)</x:f>
      </x:c>
      <x:c r="CE1173" s="178" t="str">
        <x:f>IF(COUNT(AA1173:AJ1173)=0,"",AVERAGE(AA1173:AJ1173)*4)</x:f>
      </x:c>
      <x:c r="CF1173" s="178" t="str">
        <x:f>IF(COUNT(AK1173:AR1173)=0,"",AVERAGE(AK1173:AR1173)*4)</x:f>
      </x:c>
      <x:c r="CG1173" s="178" t="str">
        <x:f>IF(COUNT(AS1173:AY1173)=0,"",AVERAGE(AS1173:AY1173)*4)</x:f>
      </x:c>
      <x:c r="CH1173" s="178" t="str">
        <x:f>IF(COUNT(AZ1173:BG1173)=0,"",AVERAGE(AZ1173:BG1173)*4)</x:f>
      </x:c>
      <x:c r="CI1173" s="178" t="str">
        <x:f>IF(COUNT(BH1173:BN1173)=0,"",AVERAGE(BH1173:BN1173)*4)</x:f>
      </x:c>
      <x:c r="CJ1173" s="178" t="str">
        <x:f>IF(COUNT(BO1173:BU1173)=0,"",AVERAGE(BO1173:BU1173)*4)</x:f>
      </x:c>
      <x:c r="CK1173" s="178" t="str">
        <x:f>IF(COUNT(BV1173:CB1173)=0,"",AVERAGE(BV1173:CB1173)*4)</x:f>
      </x:c>
      <x:c r="CL1173" s="178" t="str">
        <x:f>IF(C1173="","",IF(COUNT(G1173:CB1173)&lt;74,"",(CC1173*'تنظیمات وزن‌دهی'!$C$5+CD1173*'تنظیمات وزن‌دهی'!$C$6+CE1173*'تنظیمات وزن‌دهی'!$C$7+CF1173*'تنظیمات وزن‌دهی'!$C$8+CG1173*'تنظیمات وزن‌دهی'!$C$9+CH1173*'تنظیمات وزن‌دهی'!$C$10+CI1173*'تنظیمات وزن‌دهی'!$C$11+CJ1173*'تنظیمات وزن‌دهی'!$C$12+CK1173*'تنظیمات وزن‌دهی'!$C$13)/100))</x:f>
      </x:c>
      <x:c r="CM1173" s="178" t="str">
        <x:f>IF(C1173="","",IF(COUNT(G1173:CB1173)=0,"",IF(COUNT(G1173:CB1173)&lt;74,"موقت - اطلاعات ناقص",IF(CL1173&gt;=17,"عالی",IF(CL1173&gt;=14,"خوب",IF(CL1173&gt;=10,"متوسط","ضعیف"))))))</x:f>
      </x:c>
      <x:c r="CN1173" s="178" t="n">
        <x:v>5</x:v>
      </x:c>
      <x:c r="CO1173" s="142" t="n">
        <x:f>IF(C1173="","",COUNT(G1173:CB1173)/74)</x:f>
        <x:v>0</x:v>
      </x:c>
      <x:c r="CP1173" s="245"/>
    </x:row>
    <x:row r="1174">
      <x:c r="A1174" s="165" t="n">
        <x:v>1170</x:v>
      </x:c>
      <x:c r="B1174" s="233" t="str">
        <x:v>آذر</x:v>
      </x:c>
      <x:c r="C1174" s="233" t="n">
        <x:f>IF('دانش‌آموزان'!E102="","",'دانش‌آموزان'!B102)</x:f>
        <x:v>98</x:v>
      </x:c>
      <x:c r="D1174" s="233" t="str">
        <x:f>IF('دانش‌آموزان'!C102="","",'دانش‌آموزان'!C102)</x:f>
        <x:v>4000000985</x:v>
      </x:c>
      <x:c r="E1174" s="233" t="str">
        <x:f>IF('دانش‌آموزان'!E102="","",'دانش‌آموزان'!E102&amp;" "&amp;'دانش‌آموزان'!F102)</x:f>
        <x:v>یسنا حیدری</x:v>
      </x:c>
      <x:c r="F1174" s="166" t="str">
        <x:f>IF('دانش‌آموزان'!I102="","",'دانش‌آموزان'!I102)</x:f>
        <x:v>sample-7-d</x:v>
      </x:c>
      <x:c r="G1174" s="114"/>
      <x:c r="H1174" s="115"/>
      <x:c r="I1174" s="115"/>
      <x:c r="J1174" s="115"/>
      <x:c r="K1174" s="115"/>
      <x:c r="L1174" s="115"/>
      <x:c r="M1174" s="115"/>
      <x:c r="N1174" s="115"/>
      <x:c r="O1174" s="115"/>
      <x:c r="P1174" s="115"/>
      <x:c r="Q1174" s="115"/>
      <x:c r="R1174" s="115"/>
      <x:c r="S1174" s="115"/>
      <x:c r="T1174" s="115"/>
      <x:c r="U1174" s="115"/>
      <x:c r="V1174" s="115"/>
      <x:c r="W1174" s="115"/>
      <x:c r="X1174" s="115"/>
      <x:c r="Y1174" s="115"/>
      <x:c r="Z1174" s="115"/>
      <x:c r="AA1174" s="115"/>
      <x:c r="AB1174" s="115"/>
      <x:c r="AC1174" s="115"/>
      <x:c r="AD1174" s="115"/>
      <x:c r="AE1174" s="115"/>
      <x:c r="AF1174" s="115"/>
      <x:c r="AG1174" s="115"/>
      <x:c r="AH1174" s="115"/>
      <x:c r="AI1174" s="115"/>
      <x:c r="AJ1174" s="115"/>
      <x:c r="AK1174" s="115"/>
      <x:c r="AL1174" s="115"/>
      <x:c r="AM1174" s="115"/>
      <x:c r="AN1174" s="115"/>
      <x:c r="AO1174" s="115"/>
      <x:c r="AP1174" s="115"/>
      <x:c r="AQ1174" s="115"/>
      <x:c r="AR1174" s="115"/>
      <x:c r="AS1174" s="115"/>
      <x:c r="AT1174" s="115"/>
      <x:c r="AU1174" s="115"/>
      <x:c r="AV1174" s="115"/>
      <x:c r="AW1174" s="115"/>
      <x:c r="AX1174" s="115"/>
      <x:c r="AY1174" s="115"/>
      <x:c r="AZ1174" s="115"/>
      <x:c r="BA1174" s="115"/>
      <x:c r="BB1174" s="115"/>
      <x:c r="BC1174" s="115"/>
      <x:c r="BD1174" s="115"/>
      <x:c r="BE1174" s="115"/>
      <x:c r="BF1174" s="115"/>
      <x:c r="BG1174" s="115"/>
      <x:c r="BH1174" s="115"/>
      <x:c r="BI1174" s="115"/>
      <x:c r="BJ1174" s="115"/>
      <x:c r="BK1174" s="115"/>
      <x:c r="BL1174" s="115"/>
      <x:c r="BM1174" s="115"/>
      <x:c r="BN1174" s="115"/>
      <x:c r="BO1174" s="115"/>
      <x:c r="BP1174" s="115"/>
      <x:c r="BQ1174" s="115"/>
      <x:c r="BR1174" s="115"/>
      <x:c r="BS1174" s="115"/>
      <x:c r="BT1174" s="115"/>
      <x:c r="BU1174" s="115"/>
      <x:c r="BV1174" s="115"/>
      <x:c r="BW1174" s="115"/>
      <x:c r="BX1174" s="115"/>
      <x:c r="BY1174" s="115"/>
      <x:c r="BZ1174" s="115"/>
      <x:c r="CA1174" s="115"/>
      <x:c r="CB1174" s="116"/>
      <x:c r="CC1174" s="141" t="str">
        <x:f>IF(COUNT(G1174:P1174)=0,"",AVERAGE(G1174:P1174)*4)</x:f>
      </x:c>
      <x:c r="CD1174" s="178" t="str">
        <x:f>IF(COUNT(Q1174:Z1174)=0,"",AVERAGE(Q1174:Z1174)*4)</x:f>
      </x:c>
      <x:c r="CE1174" s="178" t="str">
        <x:f>IF(COUNT(AA1174:AJ1174)=0,"",AVERAGE(AA1174:AJ1174)*4)</x:f>
      </x:c>
      <x:c r="CF1174" s="178" t="str">
        <x:f>IF(COUNT(AK1174:AR1174)=0,"",AVERAGE(AK1174:AR1174)*4)</x:f>
      </x:c>
      <x:c r="CG1174" s="178" t="str">
        <x:f>IF(COUNT(AS1174:AY1174)=0,"",AVERAGE(AS1174:AY1174)*4)</x:f>
      </x:c>
      <x:c r="CH1174" s="178" t="str">
        <x:f>IF(COUNT(AZ1174:BG1174)=0,"",AVERAGE(AZ1174:BG1174)*4)</x:f>
      </x:c>
      <x:c r="CI1174" s="178" t="str">
        <x:f>IF(COUNT(BH1174:BN1174)=0,"",AVERAGE(BH1174:BN1174)*4)</x:f>
      </x:c>
      <x:c r="CJ1174" s="178" t="str">
        <x:f>IF(COUNT(BO1174:BU1174)=0,"",AVERAGE(BO1174:BU1174)*4)</x:f>
      </x:c>
      <x:c r="CK1174" s="178" t="str">
        <x:f>IF(COUNT(BV1174:CB1174)=0,"",AVERAGE(BV1174:CB1174)*4)</x:f>
      </x:c>
      <x:c r="CL1174" s="178" t="str">
        <x:f>IF(C1174="","",IF(COUNT(G1174:CB1174)&lt;74,"",(CC1174*'تنظیمات وزن‌دهی'!$C$5+CD1174*'تنظیمات وزن‌دهی'!$C$6+CE1174*'تنظیمات وزن‌دهی'!$C$7+CF1174*'تنظیمات وزن‌دهی'!$C$8+CG1174*'تنظیمات وزن‌دهی'!$C$9+CH1174*'تنظیمات وزن‌دهی'!$C$10+CI1174*'تنظیمات وزن‌دهی'!$C$11+CJ1174*'تنظیمات وزن‌دهی'!$C$12+CK1174*'تنظیمات وزن‌دهی'!$C$13)/100))</x:f>
      </x:c>
      <x:c r="CM1174" s="178" t="str">
        <x:f>IF(C1174="","",IF(COUNT(G1174:CB1174)=0,"",IF(COUNT(G1174:CB1174)&lt;74,"موقت - اطلاعات ناقص",IF(CL1174&gt;=17,"عالی",IF(CL1174&gt;=14,"خوب",IF(CL1174&gt;=10,"متوسط","ضعیف"))))))</x:f>
      </x:c>
      <x:c r="CN1174" s="178" t="n">
        <x:v>6</x:v>
      </x:c>
      <x:c r="CO1174" s="142" t="n">
        <x:f>IF(C1174="","",COUNT(G1174:CB1174)/74)</x:f>
        <x:v>0</x:v>
      </x:c>
      <x:c r="CP1174" s="245"/>
    </x:row>
    <x:row r="1175">
      <x:c r="A1175" s="165" t="n">
        <x:v>1171</x:v>
      </x:c>
      <x:c r="B1175" s="233" t="str">
        <x:v>دی</x:v>
      </x:c>
      <x:c r="C1175" s="233" t="n">
        <x:f>IF('دانش‌آموزان'!E102="","",'دانش‌آموزان'!B102)</x:f>
        <x:v>98</x:v>
      </x:c>
      <x:c r="D1175" s="233" t="str">
        <x:f>IF('دانش‌آموزان'!C102="","",'دانش‌آموزان'!C102)</x:f>
        <x:v>4000000985</x:v>
      </x:c>
      <x:c r="E1175" s="233" t="str">
        <x:f>IF('دانش‌آموزان'!E102="","",'دانش‌آموزان'!E102&amp;" "&amp;'دانش‌آموزان'!F102)</x:f>
        <x:v>یسنا حیدری</x:v>
      </x:c>
      <x:c r="F1175" s="166" t="str">
        <x:f>IF('دانش‌آموزان'!I102="","",'دانش‌آموزان'!I102)</x:f>
        <x:v>sample-7-d</x:v>
      </x:c>
      <x:c r="G1175" s="114"/>
      <x:c r="H1175" s="115"/>
      <x:c r="I1175" s="115"/>
      <x:c r="J1175" s="115"/>
      <x:c r="K1175" s="115"/>
      <x:c r="L1175" s="115"/>
      <x:c r="M1175" s="115"/>
      <x:c r="N1175" s="115"/>
      <x:c r="O1175" s="115"/>
      <x:c r="P1175" s="115"/>
      <x:c r="Q1175" s="115"/>
      <x:c r="R1175" s="115"/>
      <x:c r="S1175" s="115"/>
      <x:c r="T1175" s="115"/>
      <x:c r="U1175" s="115"/>
      <x:c r="V1175" s="115"/>
      <x:c r="W1175" s="115"/>
      <x:c r="X1175" s="115"/>
      <x:c r="Y1175" s="115"/>
      <x:c r="Z1175" s="115"/>
      <x:c r="AA1175" s="115"/>
      <x:c r="AB1175" s="115"/>
      <x:c r="AC1175" s="115"/>
      <x:c r="AD1175" s="115"/>
      <x:c r="AE1175" s="115"/>
      <x:c r="AF1175" s="115"/>
      <x:c r="AG1175" s="115"/>
      <x:c r="AH1175" s="115"/>
      <x:c r="AI1175" s="115"/>
      <x:c r="AJ1175" s="115"/>
      <x:c r="AK1175" s="115"/>
      <x:c r="AL1175" s="115"/>
      <x:c r="AM1175" s="115"/>
      <x:c r="AN1175" s="115"/>
      <x:c r="AO1175" s="115"/>
      <x:c r="AP1175" s="115"/>
      <x:c r="AQ1175" s="115"/>
      <x:c r="AR1175" s="115"/>
      <x:c r="AS1175" s="115"/>
      <x:c r="AT1175" s="115"/>
      <x:c r="AU1175" s="115"/>
      <x:c r="AV1175" s="115"/>
      <x:c r="AW1175" s="115"/>
      <x:c r="AX1175" s="115"/>
      <x:c r="AY1175" s="115"/>
      <x:c r="AZ1175" s="115"/>
      <x:c r="BA1175" s="115"/>
      <x:c r="BB1175" s="115"/>
      <x:c r="BC1175" s="115"/>
      <x:c r="BD1175" s="115"/>
      <x:c r="BE1175" s="115"/>
      <x:c r="BF1175" s="115"/>
      <x:c r="BG1175" s="115"/>
      <x:c r="BH1175" s="115"/>
      <x:c r="BI1175" s="115"/>
      <x:c r="BJ1175" s="115"/>
      <x:c r="BK1175" s="115"/>
      <x:c r="BL1175" s="115"/>
      <x:c r="BM1175" s="115"/>
      <x:c r="BN1175" s="115"/>
      <x:c r="BO1175" s="115"/>
      <x:c r="BP1175" s="115"/>
      <x:c r="BQ1175" s="115"/>
      <x:c r="BR1175" s="115"/>
      <x:c r="BS1175" s="115"/>
      <x:c r="BT1175" s="115"/>
      <x:c r="BU1175" s="115"/>
      <x:c r="BV1175" s="115"/>
      <x:c r="BW1175" s="115"/>
      <x:c r="BX1175" s="115"/>
      <x:c r="BY1175" s="115"/>
      <x:c r="BZ1175" s="115"/>
      <x:c r="CA1175" s="115"/>
      <x:c r="CB1175" s="116"/>
      <x:c r="CC1175" s="141" t="str">
        <x:f>IF(COUNT(G1175:P1175)=0,"",AVERAGE(G1175:P1175)*4)</x:f>
      </x:c>
      <x:c r="CD1175" s="178" t="str">
        <x:f>IF(COUNT(Q1175:Z1175)=0,"",AVERAGE(Q1175:Z1175)*4)</x:f>
      </x:c>
      <x:c r="CE1175" s="178" t="str">
        <x:f>IF(COUNT(AA1175:AJ1175)=0,"",AVERAGE(AA1175:AJ1175)*4)</x:f>
      </x:c>
      <x:c r="CF1175" s="178" t="str">
        <x:f>IF(COUNT(AK1175:AR1175)=0,"",AVERAGE(AK1175:AR1175)*4)</x:f>
      </x:c>
      <x:c r="CG1175" s="178" t="str">
        <x:f>IF(COUNT(AS1175:AY1175)=0,"",AVERAGE(AS1175:AY1175)*4)</x:f>
      </x:c>
      <x:c r="CH1175" s="178" t="str">
        <x:f>IF(COUNT(AZ1175:BG1175)=0,"",AVERAGE(AZ1175:BG1175)*4)</x:f>
      </x:c>
      <x:c r="CI1175" s="178" t="str">
        <x:f>IF(COUNT(BH1175:BN1175)=0,"",AVERAGE(BH1175:BN1175)*4)</x:f>
      </x:c>
      <x:c r="CJ1175" s="178" t="str">
        <x:f>IF(COUNT(BO1175:BU1175)=0,"",AVERAGE(BO1175:BU1175)*4)</x:f>
      </x:c>
      <x:c r="CK1175" s="178" t="str">
        <x:f>IF(COUNT(BV1175:CB1175)=0,"",AVERAGE(BV1175:CB1175)*4)</x:f>
      </x:c>
      <x:c r="CL1175" s="178" t="str">
        <x:f>IF(C1175="","",IF(COUNT(G1175:CB1175)&lt;74,"",(CC1175*'تنظیمات وزن‌دهی'!$C$5+CD1175*'تنظیمات وزن‌دهی'!$C$6+CE1175*'تنظیمات وزن‌دهی'!$C$7+CF1175*'تنظیمات وزن‌دهی'!$C$8+CG1175*'تنظیمات وزن‌دهی'!$C$9+CH1175*'تنظیمات وزن‌دهی'!$C$10+CI1175*'تنظیمات وزن‌دهی'!$C$11+CJ1175*'تنظیمات وزن‌دهی'!$C$12+CK1175*'تنظیمات وزن‌دهی'!$C$13)/100))</x:f>
      </x:c>
      <x:c r="CM1175" s="178" t="str">
        <x:f>IF(C1175="","",IF(COUNT(G1175:CB1175)=0,"",IF(COUNT(G1175:CB1175)&lt;74,"موقت - اطلاعات ناقص",IF(CL1175&gt;=17,"عالی",IF(CL1175&gt;=14,"خوب",IF(CL1175&gt;=10,"متوسط","ضعیف"))))))</x:f>
      </x:c>
      <x:c r="CN1175" s="178" t="n">
        <x:v>7</x:v>
      </x:c>
      <x:c r="CO1175" s="142" t="n">
        <x:f>IF(C1175="","",COUNT(G1175:CB1175)/74)</x:f>
        <x:v>0</x:v>
      </x:c>
      <x:c r="CP1175" s="245"/>
    </x:row>
    <x:row r="1176">
      <x:c r="A1176" s="165" t="n">
        <x:v>1172</x:v>
      </x:c>
      <x:c r="B1176" s="233" t="str">
        <x:v>بهمن</x:v>
      </x:c>
      <x:c r="C1176" s="233" t="n">
        <x:f>IF('دانش‌آموزان'!E102="","",'دانش‌آموزان'!B102)</x:f>
        <x:v>98</x:v>
      </x:c>
      <x:c r="D1176" s="233" t="str">
        <x:f>IF('دانش‌آموزان'!C102="","",'دانش‌آموزان'!C102)</x:f>
        <x:v>4000000985</x:v>
      </x:c>
      <x:c r="E1176" s="233" t="str">
        <x:f>IF('دانش‌آموزان'!E102="","",'دانش‌آموزان'!E102&amp;" "&amp;'دانش‌آموزان'!F102)</x:f>
        <x:v>یسنا حیدری</x:v>
      </x:c>
      <x:c r="F1176" s="166" t="str">
        <x:f>IF('دانش‌آموزان'!I102="","",'دانش‌آموزان'!I102)</x:f>
        <x:v>sample-7-d</x:v>
      </x:c>
      <x:c r="G1176" s="114"/>
      <x:c r="H1176" s="115"/>
      <x:c r="I1176" s="115"/>
      <x:c r="J1176" s="115"/>
      <x:c r="K1176" s="115"/>
      <x:c r="L1176" s="115"/>
      <x:c r="M1176" s="115"/>
      <x:c r="N1176" s="115"/>
      <x:c r="O1176" s="115"/>
      <x:c r="P1176" s="115"/>
      <x:c r="Q1176" s="115"/>
      <x:c r="R1176" s="115"/>
      <x:c r="S1176" s="115"/>
      <x:c r="T1176" s="115"/>
      <x:c r="U1176" s="115"/>
      <x:c r="V1176" s="115"/>
      <x:c r="W1176" s="115"/>
      <x:c r="X1176" s="115"/>
      <x:c r="Y1176" s="115"/>
      <x:c r="Z1176" s="115"/>
      <x:c r="AA1176" s="115"/>
      <x:c r="AB1176" s="115"/>
      <x:c r="AC1176" s="115"/>
      <x:c r="AD1176" s="115"/>
      <x:c r="AE1176" s="115"/>
      <x:c r="AF1176" s="115"/>
      <x:c r="AG1176" s="115"/>
      <x:c r="AH1176" s="115"/>
      <x:c r="AI1176" s="115"/>
      <x:c r="AJ1176" s="115"/>
      <x:c r="AK1176" s="115"/>
      <x:c r="AL1176" s="115"/>
      <x:c r="AM1176" s="115"/>
      <x:c r="AN1176" s="115"/>
      <x:c r="AO1176" s="115"/>
      <x:c r="AP1176" s="115"/>
      <x:c r="AQ1176" s="115"/>
      <x:c r="AR1176" s="115"/>
      <x:c r="AS1176" s="115"/>
      <x:c r="AT1176" s="115"/>
      <x:c r="AU1176" s="115"/>
      <x:c r="AV1176" s="115"/>
      <x:c r="AW1176" s="115"/>
      <x:c r="AX1176" s="115"/>
      <x:c r="AY1176" s="115"/>
      <x:c r="AZ1176" s="115"/>
      <x:c r="BA1176" s="115"/>
      <x:c r="BB1176" s="115"/>
      <x:c r="BC1176" s="115"/>
      <x:c r="BD1176" s="115"/>
      <x:c r="BE1176" s="115"/>
      <x:c r="BF1176" s="115"/>
      <x:c r="BG1176" s="115"/>
      <x:c r="BH1176" s="115"/>
      <x:c r="BI1176" s="115"/>
      <x:c r="BJ1176" s="115"/>
      <x:c r="BK1176" s="115"/>
      <x:c r="BL1176" s="115"/>
      <x:c r="BM1176" s="115"/>
      <x:c r="BN1176" s="115"/>
      <x:c r="BO1176" s="115"/>
      <x:c r="BP1176" s="115"/>
      <x:c r="BQ1176" s="115"/>
      <x:c r="BR1176" s="115"/>
      <x:c r="BS1176" s="115"/>
      <x:c r="BT1176" s="115"/>
      <x:c r="BU1176" s="115"/>
      <x:c r="BV1176" s="115"/>
      <x:c r="BW1176" s="115"/>
      <x:c r="BX1176" s="115"/>
      <x:c r="BY1176" s="115"/>
      <x:c r="BZ1176" s="115"/>
      <x:c r="CA1176" s="115"/>
      <x:c r="CB1176" s="116"/>
      <x:c r="CC1176" s="141" t="str">
        <x:f>IF(COUNT(G1176:P1176)=0,"",AVERAGE(G1176:P1176)*4)</x:f>
      </x:c>
      <x:c r="CD1176" s="178" t="str">
        <x:f>IF(COUNT(Q1176:Z1176)=0,"",AVERAGE(Q1176:Z1176)*4)</x:f>
      </x:c>
      <x:c r="CE1176" s="178" t="str">
        <x:f>IF(COUNT(AA1176:AJ1176)=0,"",AVERAGE(AA1176:AJ1176)*4)</x:f>
      </x:c>
      <x:c r="CF1176" s="178" t="str">
        <x:f>IF(COUNT(AK1176:AR1176)=0,"",AVERAGE(AK1176:AR1176)*4)</x:f>
      </x:c>
      <x:c r="CG1176" s="178" t="str">
        <x:f>IF(COUNT(AS1176:AY1176)=0,"",AVERAGE(AS1176:AY1176)*4)</x:f>
      </x:c>
      <x:c r="CH1176" s="178" t="str">
        <x:f>IF(COUNT(AZ1176:BG1176)=0,"",AVERAGE(AZ1176:BG1176)*4)</x:f>
      </x:c>
      <x:c r="CI1176" s="178" t="str">
        <x:f>IF(COUNT(BH1176:BN1176)=0,"",AVERAGE(BH1176:BN1176)*4)</x:f>
      </x:c>
      <x:c r="CJ1176" s="178" t="str">
        <x:f>IF(COUNT(BO1176:BU1176)=0,"",AVERAGE(BO1176:BU1176)*4)</x:f>
      </x:c>
      <x:c r="CK1176" s="178" t="str">
        <x:f>IF(COUNT(BV1176:CB1176)=0,"",AVERAGE(BV1176:CB1176)*4)</x:f>
      </x:c>
      <x:c r="CL1176" s="178" t="str">
        <x:f>IF(C1176="","",IF(COUNT(G1176:CB1176)&lt;74,"",(CC1176*'تنظیمات وزن‌دهی'!$C$5+CD1176*'تنظیمات وزن‌دهی'!$C$6+CE1176*'تنظیمات وزن‌دهی'!$C$7+CF1176*'تنظیمات وزن‌دهی'!$C$8+CG1176*'تنظیمات وزن‌دهی'!$C$9+CH1176*'تنظیمات وزن‌دهی'!$C$10+CI1176*'تنظیمات وزن‌دهی'!$C$11+CJ1176*'تنظیمات وزن‌دهی'!$C$12+CK1176*'تنظیمات وزن‌دهی'!$C$13)/100))</x:f>
      </x:c>
      <x:c r="CM1176" s="178" t="str">
        <x:f>IF(C1176="","",IF(COUNT(G1176:CB1176)=0,"",IF(COUNT(G1176:CB1176)&lt;74,"موقت - اطلاعات ناقص",IF(CL1176&gt;=17,"عالی",IF(CL1176&gt;=14,"خوب",IF(CL1176&gt;=10,"متوسط","ضعیف"))))))</x:f>
      </x:c>
      <x:c r="CN1176" s="178" t="n">
        <x:v>8</x:v>
      </x:c>
      <x:c r="CO1176" s="142" t="n">
        <x:f>IF(C1176="","",COUNT(G1176:CB1176)/74)</x:f>
        <x:v>0</x:v>
      </x:c>
      <x:c r="CP1176" s="245"/>
    </x:row>
    <x:row r="1177">
      <x:c r="A1177" s="165" t="n">
        <x:v>1173</x:v>
      </x:c>
      <x:c r="B1177" s="233" t="str">
        <x:v>اسفند</x:v>
      </x:c>
      <x:c r="C1177" s="233" t="n">
        <x:f>IF('دانش‌آموزان'!E102="","",'دانش‌آموزان'!B102)</x:f>
        <x:v>98</x:v>
      </x:c>
      <x:c r="D1177" s="233" t="str">
        <x:f>IF('دانش‌آموزان'!C102="","",'دانش‌آموزان'!C102)</x:f>
        <x:v>4000000985</x:v>
      </x:c>
      <x:c r="E1177" s="233" t="str">
        <x:f>IF('دانش‌آموزان'!E102="","",'دانش‌آموزان'!E102&amp;" "&amp;'دانش‌آموزان'!F102)</x:f>
        <x:v>یسنا حیدری</x:v>
      </x:c>
      <x:c r="F1177" s="166" t="str">
        <x:f>IF('دانش‌آموزان'!I102="","",'دانش‌آموزان'!I102)</x:f>
        <x:v>sample-7-d</x:v>
      </x:c>
      <x:c r="G1177" s="114"/>
      <x:c r="H1177" s="115"/>
      <x:c r="I1177" s="115"/>
      <x:c r="J1177" s="115"/>
      <x:c r="K1177" s="115"/>
      <x:c r="L1177" s="115"/>
      <x:c r="M1177" s="115"/>
      <x:c r="N1177" s="115"/>
      <x:c r="O1177" s="115"/>
      <x:c r="P1177" s="115"/>
      <x:c r="Q1177" s="115"/>
      <x:c r="R1177" s="115"/>
      <x:c r="S1177" s="115"/>
      <x:c r="T1177" s="115"/>
      <x:c r="U1177" s="115"/>
      <x:c r="V1177" s="115"/>
      <x:c r="W1177" s="115"/>
      <x:c r="X1177" s="115"/>
      <x:c r="Y1177" s="115"/>
      <x:c r="Z1177" s="115"/>
      <x:c r="AA1177" s="115"/>
      <x:c r="AB1177" s="115"/>
      <x:c r="AC1177" s="115"/>
      <x:c r="AD1177" s="115"/>
      <x:c r="AE1177" s="115"/>
      <x:c r="AF1177" s="115"/>
      <x:c r="AG1177" s="115"/>
      <x:c r="AH1177" s="115"/>
      <x:c r="AI1177" s="115"/>
      <x:c r="AJ1177" s="115"/>
      <x:c r="AK1177" s="115"/>
      <x:c r="AL1177" s="115"/>
      <x:c r="AM1177" s="115"/>
      <x:c r="AN1177" s="115"/>
      <x:c r="AO1177" s="115"/>
      <x:c r="AP1177" s="115"/>
      <x:c r="AQ1177" s="115"/>
      <x:c r="AR1177" s="115"/>
      <x:c r="AS1177" s="115"/>
      <x:c r="AT1177" s="115"/>
      <x:c r="AU1177" s="115"/>
      <x:c r="AV1177" s="115"/>
      <x:c r="AW1177" s="115"/>
      <x:c r="AX1177" s="115"/>
      <x:c r="AY1177" s="115"/>
      <x:c r="AZ1177" s="115"/>
      <x:c r="BA1177" s="115"/>
      <x:c r="BB1177" s="115"/>
      <x:c r="BC1177" s="115"/>
      <x:c r="BD1177" s="115"/>
      <x:c r="BE1177" s="115"/>
      <x:c r="BF1177" s="115"/>
      <x:c r="BG1177" s="115"/>
      <x:c r="BH1177" s="115"/>
      <x:c r="BI1177" s="115"/>
      <x:c r="BJ1177" s="115"/>
      <x:c r="BK1177" s="115"/>
      <x:c r="BL1177" s="115"/>
      <x:c r="BM1177" s="115"/>
      <x:c r="BN1177" s="115"/>
      <x:c r="BO1177" s="115"/>
      <x:c r="BP1177" s="115"/>
      <x:c r="BQ1177" s="115"/>
      <x:c r="BR1177" s="115"/>
      <x:c r="BS1177" s="115"/>
      <x:c r="BT1177" s="115"/>
      <x:c r="BU1177" s="115"/>
      <x:c r="BV1177" s="115"/>
      <x:c r="BW1177" s="115"/>
      <x:c r="BX1177" s="115"/>
      <x:c r="BY1177" s="115"/>
      <x:c r="BZ1177" s="115"/>
      <x:c r="CA1177" s="115"/>
      <x:c r="CB1177" s="116"/>
      <x:c r="CC1177" s="141" t="str">
        <x:f>IF(COUNT(G1177:P1177)=0,"",AVERAGE(G1177:P1177)*4)</x:f>
      </x:c>
      <x:c r="CD1177" s="178" t="str">
        <x:f>IF(COUNT(Q1177:Z1177)=0,"",AVERAGE(Q1177:Z1177)*4)</x:f>
      </x:c>
      <x:c r="CE1177" s="178" t="str">
        <x:f>IF(COUNT(AA1177:AJ1177)=0,"",AVERAGE(AA1177:AJ1177)*4)</x:f>
      </x:c>
      <x:c r="CF1177" s="178" t="str">
        <x:f>IF(COUNT(AK1177:AR1177)=0,"",AVERAGE(AK1177:AR1177)*4)</x:f>
      </x:c>
      <x:c r="CG1177" s="178" t="str">
        <x:f>IF(COUNT(AS1177:AY1177)=0,"",AVERAGE(AS1177:AY1177)*4)</x:f>
      </x:c>
      <x:c r="CH1177" s="178" t="str">
        <x:f>IF(COUNT(AZ1177:BG1177)=0,"",AVERAGE(AZ1177:BG1177)*4)</x:f>
      </x:c>
      <x:c r="CI1177" s="178" t="str">
        <x:f>IF(COUNT(BH1177:BN1177)=0,"",AVERAGE(BH1177:BN1177)*4)</x:f>
      </x:c>
      <x:c r="CJ1177" s="178" t="str">
        <x:f>IF(COUNT(BO1177:BU1177)=0,"",AVERAGE(BO1177:BU1177)*4)</x:f>
      </x:c>
      <x:c r="CK1177" s="178" t="str">
        <x:f>IF(COUNT(BV1177:CB1177)=0,"",AVERAGE(BV1177:CB1177)*4)</x:f>
      </x:c>
      <x:c r="CL1177" s="178" t="str">
        <x:f>IF(C1177="","",IF(COUNT(G1177:CB1177)&lt;74,"",(CC1177*'تنظیمات وزن‌دهی'!$C$5+CD1177*'تنظیمات وزن‌دهی'!$C$6+CE1177*'تنظیمات وزن‌دهی'!$C$7+CF1177*'تنظیمات وزن‌دهی'!$C$8+CG1177*'تنظیمات وزن‌دهی'!$C$9+CH1177*'تنظیمات وزن‌دهی'!$C$10+CI1177*'تنظیمات وزن‌دهی'!$C$11+CJ1177*'تنظیمات وزن‌دهی'!$C$12+CK1177*'تنظیمات وزن‌دهی'!$C$13)/100))</x:f>
      </x:c>
      <x:c r="CM1177" s="178" t="str">
        <x:f>IF(C1177="","",IF(COUNT(G1177:CB1177)=0,"",IF(COUNT(G1177:CB1177)&lt;74,"موقت - اطلاعات ناقص",IF(CL1177&gt;=17,"عالی",IF(CL1177&gt;=14,"خوب",IF(CL1177&gt;=10,"متوسط","ضعیف"))))))</x:f>
      </x:c>
      <x:c r="CN1177" s="178" t="n">
        <x:v>9</x:v>
      </x:c>
      <x:c r="CO1177" s="142" t="n">
        <x:f>IF(C1177="","",COUNT(G1177:CB1177)/74)</x:f>
        <x:v>0</x:v>
      </x:c>
      <x:c r="CP1177" s="245"/>
    </x:row>
    <x:row r="1178">
      <x:c r="A1178" s="165" t="n">
        <x:v>1174</x:v>
      </x:c>
      <x:c r="B1178" s="233" t="str">
        <x:v>فروردین</x:v>
      </x:c>
      <x:c r="C1178" s="233" t="n">
        <x:f>IF('دانش‌آموزان'!E102="","",'دانش‌آموزان'!B102)</x:f>
        <x:v>98</x:v>
      </x:c>
      <x:c r="D1178" s="233" t="str">
        <x:f>IF('دانش‌آموزان'!C102="","",'دانش‌آموزان'!C102)</x:f>
        <x:v>4000000985</x:v>
      </x:c>
      <x:c r="E1178" s="233" t="str">
        <x:f>IF('دانش‌آموزان'!E102="","",'دانش‌آموزان'!E102&amp;" "&amp;'دانش‌آموزان'!F102)</x:f>
        <x:v>یسنا حیدری</x:v>
      </x:c>
      <x:c r="F1178" s="166" t="str">
        <x:f>IF('دانش‌آموزان'!I102="","",'دانش‌آموزان'!I102)</x:f>
        <x:v>sample-7-d</x:v>
      </x:c>
      <x:c r="G1178" s="114"/>
      <x:c r="H1178" s="115"/>
      <x:c r="I1178" s="115"/>
      <x:c r="J1178" s="115"/>
      <x:c r="K1178" s="115"/>
      <x:c r="L1178" s="115"/>
      <x:c r="M1178" s="115"/>
      <x:c r="N1178" s="115"/>
      <x:c r="O1178" s="115"/>
      <x:c r="P1178" s="115"/>
      <x:c r="Q1178" s="115"/>
      <x:c r="R1178" s="115"/>
      <x:c r="S1178" s="115"/>
      <x:c r="T1178" s="115"/>
      <x:c r="U1178" s="115"/>
      <x:c r="V1178" s="115"/>
      <x:c r="W1178" s="115"/>
      <x:c r="X1178" s="115"/>
      <x:c r="Y1178" s="115"/>
      <x:c r="Z1178" s="115"/>
      <x:c r="AA1178" s="115"/>
      <x:c r="AB1178" s="115"/>
      <x:c r="AC1178" s="115"/>
      <x:c r="AD1178" s="115"/>
      <x:c r="AE1178" s="115"/>
      <x:c r="AF1178" s="115"/>
      <x:c r="AG1178" s="115"/>
      <x:c r="AH1178" s="115"/>
      <x:c r="AI1178" s="115"/>
      <x:c r="AJ1178" s="115"/>
      <x:c r="AK1178" s="115"/>
      <x:c r="AL1178" s="115"/>
      <x:c r="AM1178" s="115"/>
      <x:c r="AN1178" s="115"/>
      <x:c r="AO1178" s="115"/>
      <x:c r="AP1178" s="115"/>
      <x:c r="AQ1178" s="115"/>
      <x:c r="AR1178" s="115"/>
      <x:c r="AS1178" s="115"/>
      <x:c r="AT1178" s="115"/>
      <x:c r="AU1178" s="115"/>
      <x:c r="AV1178" s="115"/>
      <x:c r="AW1178" s="115"/>
      <x:c r="AX1178" s="115"/>
      <x:c r="AY1178" s="115"/>
      <x:c r="AZ1178" s="115"/>
      <x:c r="BA1178" s="115"/>
      <x:c r="BB1178" s="115"/>
      <x:c r="BC1178" s="115"/>
      <x:c r="BD1178" s="115"/>
      <x:c r="BE1178" s="115"/>
      <x:c r="BF1178" s="115"/>
      <x:c r="BG1178" s="115"/>
      <x:c r="BH1178" s="115"/>
      <x:c r="BI1178" s="115"/>
      <x:c r="BJ1178" s="115"/>
      <x:c r="BK1178" s="115"/>
      <x:c r="BL1178" s="115"/>
      <x:c r="BM1178" s="115"/>
      <x:c r="BN1178" s="115"/>
      <x:c r="BO1178" s="115"/>
      <x:c r="BP1178" s="115"/>
      <x:c r="BQ1178" s="115"/>
      <x:c r="BR1178" s="115"/>
      <x:c r="BS1178" s="115"/>
      <x:c r="BT1178" s="115"/>
      <x:c r="BU1178" s="115"/>
      <x:c r="BV1178" s="115"/>
      <x:c r="BW1178" s="115"/>
      <x:c r="BX1178" s="115"/>
      <x:c r="BY1178" s="115"/>
      <x:c r="BZ1178" s="115"/>
      <x:c r="CA1178" s="115"/>
      <x:c r="CB1178" s="116"/>
      <x:c r="CC1178" s="141" t="str">
        <x:f>IF(COUNT(G1178:P1178)=0,"",AVERAGE(G1178:P1178)*4)</x:f>
      </x:c>
      <x:c r="CD1178" s="178" t="str">
        <x:f>IF(COUNT(Q1178:Z1178)=0,"",AVERAGE(Q1178:Z1178)*4)</x:f>
      </x:c>
      <x:c r="CE1178" s="178" t="str">
        <x:f>IF(COUNT(AA1178:AJ1178)=0,"",AVERAGE(AA1178:AJ1178)*4)</x:f>
      </x:c>
      <x:c r="CF1178" s="178" t="str">
        <x:f>IF(COUNT(AK1178:AR1178)=0,"",AVERAGE(AK1178:AR1178)*4)</x:f>
      </x:c>
      <x:c r="CG1178" s="178" t="str">
        <x:f>IF(COUNT(AS1178:AY1178)=0,"",AVERAGE(AS1178:AY1178)*4)</x:f>
      </x:c>
      <x:c r="CH1178" s="178" t="str">
        <x:f>IF(COUNT(AZ1178:BG1178)=0,"",AVERAGE(AZ1178:BG1178)*4)</x:f>
      </x:c>
      <x:c r="CI1178" s="178" t="str">
        <x:f>IF(COUNT(BH1178:BN1178)=0,"",AVERAGE(BH1178:BN1178)*4)</x:f>
      </x:c>
      <x:c r="CJ1178" s="178" t="str">
        <x:f>IF(COUNT(BO1178:BU1178)=0,"",AVERAGE(BO1178:BU1178)*4)</x:f>
      </x:c>
      <x:c r="CK1178" s="178" t="str">
        <x:f>IF(COUNT(BV1178:CB1178)=0,"",AVERAGE(BV1178:CB1178)*4)</x:f>
      </x:c>
      <x:c r="CL1178" s="178" t="str">
        <x:f>IF(C1178="","",IF(COUNT(G1178:CB1178)&lt;74,"",(CC1178*'تنظیمات وزن‌دهی'!$C$5+CD1178*'تنظیمات وزن‌دهی'!$C$6+CE1178*'تنظیمات وزن‌دهی'!$C$7+CF1178*'تنظیمات وزن‌دهی'!$C$8+CG1178*'تنظیمات وزن‌دهی'!$C$9+CH1178*'تنظیمات وزن‌دهی'!$C$10+CI1178*'تنظیمات وزن‌دهی'!$C$11+CJ1178*'تنظیمات وزن‌دهی'!$C$12+CK1178*'تنظیمات وزن‌دهی'!$C$13)/100))</x:f>
      </x:c>
      <x:c r="CM1178" s="178" t="str">
        <x:f>IF(C1178="","",IF(COUNT(G1178:CB1178)=0,"",IF(COUNT(G1178:CB1178)&lt;74,"موقت - اطلاعات ناقص",IF(CL1178&gt;=17,"عالی",IF(CL1178&gt;=14,"خوب",IF(CL1178&gt;=10,"متوسط","ضعیف"))))))</x:f>
      </x:c>
      <x:c r="CN1178" s="178" t="n">
        <x:v>10</x:v>
      </x:c>
      <x:c r="CO1178" s="142" t="n">
        <x:f>IF(C1178="","",COUNT(G1178:CB1178)/74)</x:f>
        <x:v>0</x:v>
      </x:c>
      <x:c r="CP1178" s="245"/>
    </x:row>
    <x:row r="1179">
      <x:c r="A1179" s="165" t="n">
        <x:v>1175</x:v>
      </x:c>
      <x:c r="B1179" s="233" t="str">
        <x:v>اردیبهشت</x:v>
      </x:c>
      <x:c r="C1179" s="233" t="n">
        <x:f>IF('دانش‌آموزان'!E102="","",'دانش‌آموزان'!B102)</x:f>
        <x:v>98</x:v>
      </x:c>
      <x:c r="D1179" s="233" t="str">
        <x:f>IF('دانش‌آموزان'!C102="","",'دانش‌آموزان'!C102)</x:f>
        <x:v>4000000985</x:v>
      </x:c>
      <x:c r="E1179" s="233" t="str">
        <x:f>IF('دانش‌آموزان'!E102="","",'دانش‌آموزان'!E102&amp;" "&amp;'دانش‌آموزان'!F102)</x:f>
        <x:v>یسنا حیدری</x:v>
      </x:c>
      <x:c r="F1179" s="166" t="str">
        <x:f>IF('دانش‌آموزان'!I102="","",'دانش‌آموزان'!I102)</x:f>
        <x:v>sample-7-d</x:v>
      </x:c>
      <x:c r="G1179" s="114"/>
      <x:c r="H1179" s="115"/>
      <x:c r="I1179" s="115"/>
      <x:c r="J1179" s="115"/>
      <x:c r="K1179" s="115"/>
      <x:c r="L1179" s="115"/>
      <x:c r="M1179" s="115"/>
      <x:c r="N1179" s="115"/>
      <x:c r="O1179" s="115"/>
      <x:c r="P1179" s="115"/>
      <x:c r="Q1179" s="115"/>
      <x:c r="R1179" s="115"/>
      <x:c r="S1179" s="115"/>
      <x:c r="T1179" s="115"/>
      <x:c r="U1179" s="115"/>
      <x:c r="V1179" s="115"/>
      <x:c r="W1179" s="115"/>
      <x:c r="X1179" s="115"/>
      <x:c r="Y1179" s="115"/>
      <x:c r="Z1179" s="115"/>
      <x:c r="AA1179" s="115"/>
      <x:c r="AB1179" s="115"/>
      <x:c r="AC1179" s="115"/>
      <x:c r="AD1179" s="115"/>
      <x:c r="AE1179" s="115"/>
      <x:c r="AF1179" s="115"/>
      <x:c r="AG1179" s="115"/>
      <x:c r="AH1179" s="115"/>
      <x:c r="AI1179" s="115"/>
      <x:c r="AJ1179" s="115"/>
      <x:c r="AK1179" s="115"/>
      <x:c r="AL1179" s="115"/>
      <x:c r="AM1179" s="115"/>
      <x:c r="AN1179" s="115"/>
      <x:c r="AO1179" s="115"/>
      <x:c r="AP1179" s="115"/>
      <x:c r="AQ1179" s="115"/>
      <x:c r="AR1179" s="115"/>
      <x:c r="AS1179" s="115"/>
      <x:c r="AT1179" s="115"/>
      <x:c r="AU1179" s="115"/>
      <x:c r="AV1179" s="115"/>
      <x:c r="AW1179" s="115"/>
      <x:c r="AX1179" s="115"/>
      <x:c r="AY1179" s="115"/>
      <x:c r="AZ1179" s="115"/>
      <x:c r="BA1179" s="115"/>
      <x:c r="BB1179" s="115"/>
      <x:c r="BC1179" s="115"/>
      <x:c r="BD1179" s="115"/>
      <x:c r="BE1179" s="115"/>
      <x:c r="BF1179" s="115"/>
      <x:c r="BG1179" s="115"/>
      <x:c r="BH1179" s="115"/>
      <x:c r="BI1179" s="115"/>
      <x:c r="BJ1179" s="115"/>
      <x:c r="BK1179" s="115"/>
      <x:c r="BL1179" s="115"/>
      <x:c r="BM1179" s="115"/>
      <x:c r="BN1179" s="115"/>
      <x:c r="BO1179" s="115"/>
      <x:c r="BP1179" s="115"/>
      <x:c r="BQ1179" s="115"/>
      <x:c r="BR1179" s="115"/>
      <x:c r="BS1179" s="115"/>
      <x:c r="BT1179" s="115"/>
      <x:c r="BU1179" s="115"/>
      <x:c r="BV1179" s="115"/>
      <x:c r="BW1179" s="115"/>
      <x:c r="BX1179" s="115"/>
      <x:c r="BY1179" s="115"/>
      <x:c r="BZ1179" s="115"/>
      <x:c r="CA1179" s="115"/>
      <x:c r="CB1179" s="116"/>
      <x:c r="CC1179" s="141" t="str">
        <x:f>IF(COUNT(G1179:P1179)=0,"",AVERAGE(G1179:P1179)*4)</x:f>
      </x:c>
      <x:c r="CD1179" s="178" t="str">
        <x:f>IF(COUNT(Q1179:Z1179)=0,"",AVERAGE(Q1179:Z1179)*4)</x:f>
      </x:c>
      <x:c r="CE1179" s="178" t="str">
        <x:f>IF(COUNT(AA1179:AJ1179)=0,"",AVERAGE(AA1179:AJ1179)*4)</x:f>
      </x:c>
      <x:c r="CF1179" s="178" t="str">
        <x:f>IF(COUNT(AK1179:AR1179)=0,"",AVERAGE(AK1179:AR1179)*4)</x:f>
      </x:c>
      <x:c r="CG1179" s="178" t="str">
        <x:f>IF(COUNT(AS1179:AY1179)=0,"",AVERAGE(AS1179:AY1179)*4)</x:f>
      </x:c>
      <x:c r="CH1179" s="178" t="str">
        <x:f>IF(COUNT(AZ1179:BG1179)=0,"",AVERAGE(AZ1179:BG1179)*4)</x:f>
      </x:c>
      <x:c r="CI1179" s="178" t="str">
        <x:f>IF(COUNT(BH1179:BN1179)=0,"",AVERAGE(BH1179:BN1179)*4)</x:f>
      </x:c>
      <x:c r="CJ1179" s="178" t="str">
        <x:f>IF(COUNT(BO1179:BU1179)=0,"",AVERAGE(BO1179:BU1179)*4)</x:f>
      </x:c>
      <x:c r="CK1179" s="178" t="str">
        <x:f>IF(COUNT(BV1179:CB1179)=0,"",AVERAGE(BV1179:CB1179)*4)</x:f>
      </x:c>
      <x:c r="CL1179" s="178" t="str">
        <x:f>IF(C1179="","",IF(COUNT(G1179:CB1179)&lt;74,"",(CC1179*'تنظیمات وزن‌دهی'!$C$5+CD1179*'تنظیمات وزن‌دهی'!$C$6+CE1179*'تنظیمات وزن‌دهی'!$C$7+CF1179*'تنظیمات وزن‌دهی'!$C$8+CG1179*'تنظیمات وزن‌دهی'!$C$9+CH1179*'تنظیمات وزن‌دهی'!$C$10+CI1179*'تنظیمات وزن‌دهی'!$C$11+CJ1179*'تنظیمات وزن‌دهی'!$C$12+CK1179*'تنظیمات وزن‌دهی'!$C$13)/100))</x:f>
      </x:c>
      <x:c r="CM1179" s="178" t="str">
        <x:f>IF(C1179="","",IF(COUNT(G1179:CB1179)=0,"",IF(COUNT(G1179:CB1179)&lt;74,"موقت - اطلاعات ناقص",IF(CL1179&gt;=17,"عالی",IF(CL1179&gt;=14,"خوب",IF(CL1179&gt;=10,"متوسط","ضعیف"))))))</x:f>
      </x:c>
      <x:c r="CN1179" s="178" t="n">
        <x:v>11</x:v>
      </x:c>
      <x:c r="CO1179" s="142" t="n">
        <x:f>IF(C1179="","",COUNT(G1179:CB1179)/74)</x:f>
        <x:v>0</x:v>
      </x:c>
      <x:c r="CP1179" s="245"/>
    </x:row>
    <x:row r="1180">
      <x:c r="A1180" s="165" t="n">
        <x:v>1176</x:v>
      </x:c>
      <x:c r="B1180" s="233" t="str">
        <x:v>خرداد</x:v>
      </x:c>
      <x:c r="C1180" s="233" t="n">
        <x:f>IF('دانش‌آموزان'!E102="","",'دانش‌آموزان'!B102)</x:f>
        <x:v>98</x:v>
      </x:c>
      <x:c r="D1180" s="233" t="str">
        <x:f>IF('دانش‌آموزان'!C102="","",'دانش‌آموزان'!C102)</x:f>
        <x:v>4000000985</x:v>
      </x:c>
      <x:c r="E1180" s="233" t="str">
        <x:f>IF('دانش‌آموزان'!E102="","",'دانش‌آموزان'!E102&amp;" "&amp;'دانش‌آموزان'!F102)</x:f>
        <x:v>یسنا حیدری</x:v>
      </x:c>
      <x:c r="F1180" s="166" t="str">
        <x:f>IF('دانش‌آموزان'!I102="","",'دانش‌آموزان'!I102)</x:f>
        <x:v>sample-7-d</x:v>
      </x:c>
      <x:c r="G1180" s="114"/>
      <x:c r="H1180" s="115"/>
      <x:c r="I1180" s="115"/>
      <x:c r="J1180" s="115"/>
      <x:c r="K1180" s="115"/>
      <x:c r="L1180" s="115"/>
      <x:c r="M1180" s="115"/>
      <x:c r="N1180" s="115"/>
      <x:c r="O1180" s="115"/>
      <x:c r="P1180" s="115"/>
      <x:c r="Q1180" s="115"/>
      <x:c r="R1180" s="115"/>
      <x:c r="S1180" s="115"/>
      <x:c r="T1180" s="115"/>
      <x:c r="U1180" s="115"/>
      <x:c r="V1180" s="115"/>
      <x:c r="W1180" s="115"/>
      <x:c r="X1180" s="115"/>
      <x:c r="Y1180" s="115"/>
      <x:c r="Z1180" s="115"/>
      <x:c r="AA1180" s="115"/>
      <x:c r="AB1180" s="115"/>
      <x:c r="AC1180" s="115"/>
      <x:c r="AD1180" s="115"/>
      <x:c r="AE1180" s="115"/>
      <x:c r="AF1180" s="115"/>
      <x:c r="AG1180" s="115"/>
      <x:c r="AH1180" s="115"/>
      <x:c r="AI1180" s="115"/>
      <x:c r="AJ1180" s="115"/>
      <x:c r="AK1180" s="115"/>
      <x:c r="AL1180" s="115"/>
      <x:c r="AM1180" s="115"/>
      <x:c r="AN1180" s="115"/>
      <x:c r="AO1180" s="115"/>
      <x:c r="AP1180" s="115"/>
      <x:c r="AQ1180" s="115"/>
      <x:c r="AR1180" s="115"/>
      <x:c r="AS1180" s="115"/>
      <x:c r="AT1180" s="115"/>
      <x:c r="AU1180" s="115"/>
      <x:c r="AV1180" s="115"/>
      <x:c r="AW1180" s="115"/>
      <x:c r="AX1180" s="115"/>
      <x:c r="AY1180" s="115"/>
      <x:c r="AZ1180" s="115"/>
      <x:c r="BA1180" s="115"/>
      <x:c r="BB1180" s="115"/>
      <x:c r="BC1180" s="115"/>
      <x:c r="BD1180" s="115"/>
      <x:c r="BE1180" s="115"/>
      <x:c r="BF1180" s="115"/>
      <x:c r="BG1180" s="115"/>
      <x:c r="BH1180" s="115"/>
      <x:c r="BI1180" s="115"/>
      <x:c r="BJ1180" s="115"/>
      <x:c r="BK1180" s="115"/>
      <x:c r="BL1180" s="115"/>
      <x:c r="BM1180" s="115"/>
      <x:c r="BN1180" s="115"/>
      <x:c r="BO1180" s="115"/>
      <x:c r="BP1180" s="115"/>
      <x:c r="BQ1180" s="115"/>
      <x:c r="BR1180" s="115"/>
      <x:c r="BS1180" s="115"/>
      <x:c r="BT1180" s="115"/>
      <x:c r="BU1180" s="115"/>
      <x:c r="BV1180" s="115"/>
      <x:c r="BW1180" s="115"/>
      <x:c r="BX1180" s="115"/>
      <x:c r="BY1180" s="115"/>
      <x:c r="BZ1180" s="115"/>
      <x:c r="CA1180" s="115"/>
      <x:c r="CB1180" s="116"/>
      <x:c r="CC1180" s="141" t="str">
        <x:f>IF(COUNT(G1180:P1180)=0,"",AVERAGE(G1180:P1180)*4)</x:f>
      </x:c>
      <x:c r="CD1180" s="178" t="str">
        <x:f>IF(COUNT(Q1180:Z1180)=0,"",AVERAGE(Q1180:Z1180)*4)</x:f>
      </x:c>
      <x:c r="CE1180" s="178" t="str">
        <x:f>IF(COUNT(AA1180:AJ1180)=0,"",AVERAGE(AA1180:AJ1180)*4)</x:f>
      </x:c>
      <x:c r="CF1180" s="178" t="str">
        <x:f>IF(COUNT(AK1180:AR1180)=0,"",AVERAGE(AK1180:AR1180)*4)</x:f>
      </x:c>
      <x:c r="CG1180" s="178" t="str">
        <x:f>IF(COUNT(AS1180:AY1180)=0,"",AVERAGE(AS1180:AY1180)*4)</x:f>
      </x:c>
      <x:c r="CH1180" s="178" t="str">
        <x:f>IF(COUNT(AZ1180:BG1180)=0,"",AVERAGE(AZ1180:BG1180)*4)</x:f>
      </x:c>
      <x:c r="CI1180" s="178" t="str">
        <x:f>IF(COUNT(BH1180:BN1180)=0,"",AVERAGE(BH1180:BN1180)*4)</x:f>
      </x:c>
      <x:c r="CJ1180" s="178" t="str">
        <x:f>IF(COUNT(BO1180:BU1180)=0,"",AVERAGE(BO1180:BU1180)*4)</x:f>
      </x:c>
      <x:c r="CK1180" s="178" t="str">
        <x:f>IF(COUNT(BV1180:CB1180)=0,"",AVERAGE(BV1180:CB1180)*4)</x:f>
      </x:c>
      <x:c r="CL1180" s="178" t="str">
        <x:f>IF(C1180="","",IF(COUNT(G1180:CB1180)&lt;74,"",(CC1180*'تنظیمات وزن‌دهی'!$C$5+CD1180*'تنظیمات وزن‌دهی'!$C$6+CE1180*'تنظیمات وزن‌دهی'!$C$7+CF1180*'تنظیمات وزن‌دهی'!$C$8+CG1180*'تنظیمات وزن‌دهی'!$C$9+CH1180*'تنظیمات وزن‌دهی'!$C$10+CI1180*'تنظیمات وزن‌دهی'!$C$11+CJ1180*'تنظیمات وزن‌دهی'!$C$12+CK1180*'تنظیمات وزن‌دهی'!$C$13)/100))</x:f>
      </x:c>
      <x:c r="CM1180" s="178" t="str">
        <x:f>IF(C1180="","",IF(COUNT(G1180:CB1180)=0,"",IF(COUNT(G1180:CB1180)&lt;74,"موقت - اطلاعات ناقص",IF(CL1180&gt;=17,"عالی",IF(CL1180&gt;=14,"خوب",IF(CL1180&gt;=10,"متوسط","ضعیف"))))))</x:f>
      </x:c>
      <x:c r="CN1180" s="178" t="n">
        <x:v>12</x:v>
      </x:c>
      <x:c r="CO1180" s="142" t="n">
        <x:f>IF(C1180="","",COUNT(G1180:CB1180)/74)</x:f>
        <x:v>0</x:v>
      </x:c>
      <x:c r="CP1180" s="245"/>
    </x:row>
    <x:row r="1181">
      <x:c r="A1181" s="165" t="n">
        <x:v>1177</x:v>
      </x:c>
      <x:c r="B1181" s="233" t="str">
        <x:v>تیر</x:v>
      </x:c>
      <x:c r="C1181" s="233" t="n">
        <x:f>IF('دانش‌آموزان'!E103="","",'دانش‌آموزان'!B103)</x:f>
        <x:v>99</x:v>
      </x:c>
      <x:c r="D1181" s="233" t="str">
        <x:f>IF('دانش‌آموزان'!C103="","",'دانش‌آموزان'!C103)</x:f>
        <x:v>4000000993</x:v>
      </x:c>
      <x:c r="E1181" s="233" t="str">
        <x:f>IF('دانش‌آموزان'!E103="","",'دانش‌آموزان'!E103&amp;" "&amp;'دانش‌آموزان'!F103)</x:f>
        <x:v>رضا صادقی</x:v>
      </x:c>
      <x:c r="F1181" s="166" t="str">
        <x:f>IF('دانش‌آموزان'!I103="","",'دانش‌آموزان'!I103)</x:f>
        <x:v>sample-7-d</x:v>
      </x:c>
      <x:c r="G1181" s="114" t="n">
        <x:v>5</x:v>
      </x:c>
      <x:c r="H1181" s="115" t="n">
        <x:v>3</x:v>
      </x:c>
      <x:c r="I1181" s="115" t="n">
        <x:v>4</x:v>
      </x:c>
      <x:c r="J1181" s="115" t="n">
        <x:v>3</x:v>
      </x:c>
      <x:c r="K1181" s="115" t="n">
        <x:v>4</x:v>
      </x:c>
      <x:c r="L1181" s="115" t="n">
        <x:v>2</x:v>
      </x:c>
      <x:c r="M1181" s="115" t="n">
        <x:v>4</x:v>
      </x:c>
      <x:c r="N1181" s="115" t="n">
        <x:v>5</x:v>
      </x:c>
      <x:c r="O1181" s="115" t="n">
        <x:v>4</x:v>
      </x:c>
      <x:c r="P1181" s="115" t="n">
        <x:v>5</x:v>
      </x:c>
      <x:c r="Q1181" s="115" t="n">
        <x:v>3</x:v>
      </x:c>
      <x:c r="R1181" s="115" t="n">
        <x:v>5</x:v>
      </x:c>
      <x:c r="S1181" s="115" t="n">
        <x:v>3</x:v>
      </x:c>
      <x:c r="T1181" s="115" t="n">
        <x:v>4</x:v>
      </x:c>
      <x:c r="U1181" s="115" t="n">
        <x:v>3</x:v>
      </x:c>
      <x:c r="V1181" s="115" t="n">
        <x:v>4</x:v>
      </x:c>
      <x:c r="W1181" s="115" t="n">
        <x:v>2</x:v>
      </x:c>
      <x:c r="X1181" s="115" t="n">
        <x:v>4</x:v>
      </x:c>
      <x:c r="Y1181" s="115" t="n">
        <x:v>5</x:v>
      </x:c>
      <x:c r="Z1181" s="115" t="n">
        <x:v>4</x:v>
      </x:c>
      <x:c r="AA1181" s="115" t="n">
        <x:v>5</x:v>
      </x:c>
      <x:c r="AB1181" s="115" t="n">
        <x:v>3</x:v>
      </x:c>
      <x:c r="AC1181" s="115" t="n">
        <x:v>5</x:v>
      </x:c>
      <x:c r="AD1181" s="115" t="n">
        <x:v>3</x:v>
      </x:c>
      <x:c r="AE1181" s="115" t="n">
        <x:v>4</x:v>
      </x:c>
      <x:c r="AF1181" s="115" t="n">
        <x:v>3</x:v>
      </x:c>
      <x:c r="AG1181" s="115" t="n">
        <x:v>4</x:v>
      </x:c>
      <x:c r="AH1181" s="115" t="n">
        <x:v>2</x:v>
      </x:c>
      <x:c r="AI1181" s="115" t="n">
        <x:v>4</x:v>
      </x:c>
      <x:c r="AJ1181" s="115" t="n">
        <x:v>5</x:v>
      </x:c>
      <x:c r="AK1181" s="115" t="n">
        <x:v>4</x:v>
      </x:c>
      <x:c r="AL1181" s="115" t="n">
        <x:v>5</x:v>
      </x:c>
      <x:c r="AM1181" s="115" t="n">
        <x:v>3</x:v>
      </x:c>
      <x:c r="AN1181" s="115" t="n">
        <x:v>5</x:v>
      </x:c>
      <x:c r="AO1181" s="115" t="n">
        <x:v>3</x:v>
      </x:c>
      <x:c r="AP1181" s="115" t="n">
        <x:v>4</x:v>
      </x:c>
      <x:c r="AQ1181" s="115" t="n">
        <x:v>3</x:v>
      </x:c>
      <x:c r="AR1181" s="115" t="n">
        <x:v>4</x:v>
      </x:c>
      <x:c r="AS1181" s="115" t="n">
        <x:v>2</x:v>
      </x:c>
      <x:c r="AT1181" s="115" t="n">
        <x:v>4</x:v>
      </x:c>
      <x:c r="AU1181" s="115" t="n">
        <x:v>5</x:v>
      </x:c>
      <x:c r="AV1181" s="115" t="n">
        <x:v>4</x:v>
      </x:c>
      <x:c r="AW1181" s="115" t="n">
        <x:v>5</x:v>
      </x:c>
      <x:c r="AX1181" s="115" t="n">
        <x:v>3</x:v>
      </x:c>
      <x:c r="AY1181" s="115" t="n">
        <x:v>5</x:v>
      </x:c>
      <x:c r="AZ1181" s="115" t="n">
        <x:v>3</x:v>
      </x:c>
      <x:c r="BA1181" s="115" t="n">
        <x:v>4</x:v>
      </x:c>
      <x:c r="BB1181" s="115" t="n">
        <x:v>3</x:v>
      </x:c>
      <x:c r="BC1181" s="115" t="n">
        <x:v>4</x:v>
      </x:c>
      <x:c r="BD1181" s="115" t="n">
        <x:v>2</x:v>
      </x:c>
      <x:c r="BE1181" s="115" t="n">
        <x:v>4</x:v>
      </x:c>
      <x:c r="BF1181" s="115" t="n">
        <x:v>5</x:v>
      </x:c>
      <x:c r="BG1181" s="115" t="n">
        <x:v>4</x:v>
      </x:c>
      <x:c r="BH1181" s="115" t="n">
        <x:v>5</x:v>
      </x:c>
      <x:c r="BI1181" s="115" t="n">
        <x:v>3</x:v>
      </x:c>
      <x:c r="BJ1181" s="115" t="n">
        <x:v>5</x:v>
      </x:c>
      <x:c r="BK1181" s="115" t="n">
        <x:v>3</x:v>
      </x:c>
      <x:c r="BL1181" s="115" t="n">
        <x:v>4</x:v>
      </x:c>
      <x:c r="BM1181" s="115" t="n">
        <x:v>3</x:v>
      </x:c>
      <x:c r="BN1181" s="115" t="n">
        <x:v>4</x:v>
      </x:c>
      <x:c r="BO1181" s="115" t="n">
        <x:v>2</x:v>
      </x:c>
      <x:c r="BP1181" s="115" t="n">
        <x:v>4</x:v>
      </x:c>
      <x:c r="BQ1181" s="115" t="n">
        <x:v>5</x:v>
      </x:c>
      <x:c r="BR1181" s="115" t="n">
        <x:v>4</x:v>
      </x:c>
      <x:c r="BS1181" s="115" t="n">
        <x:v>5</x:v>
      </x:c>
      <x:c r="BT1181" s="115" t="n">
        <x:v>3</x:v>
      </x:c>
      <x:c r="BU1181" s="115" t="n">
        <x:v>5</x:v>
      </x:c>
      <x:c r="BV1181" s="115" t="n">
        <x:v>3</x:v>
      </x:c>
      <x:c r="BW1181" s="115" t="n">
        <x:v>4</x:v>
      </x:c>
      <x:c r="BX1181" s="115" t="n">
        <x:v>3</x:v>
      </x:c>
      <x:c r="BY1181" s="115" t="n">
        <x:v>4</x:v>
      </x:c>
      <x:c r="BZ1181" s="115" t="n">
        <x:v>2</x:v>
      </x:c>
      <x:c r="CA1181" s="115" t="n">
        <x:v>4</x:v>
      </x:c>
      <x:c r="CB1181" s="116" t="n">
        <x:v>5</x:v>
      </x:c>
      <x:c r="CC1181" s="141" t="n">
        <x:f>IF(COUNT(G1181:P1181)=0,"",AVERAGE(G1181:P1181)*4)</x:f>
        <x:v>15.6</x:v>
      </x:c>
      <x:c r="CD1181" s="178" t="n">
        <x:f>IF(COUNT(Q1181:Z1181)=0,"",AVERAGE(Q1181:Z1181)*4)</x:f>
        <x:v>14.8</x:v>
      </x:c>
      <x:c r="CE1181" s="178" t="n">
        <x:f>IF(COUNT(AA1181:AJ1181)=0,"",AVERAGE(AA1181:AJ1181)*4)</x:f>
        <x:v>15.2</x:v>
      </x:c>
      <x:c r="CF1181" s="178" t="n">
        <x:f>IF(COUNT(AK1181:AR1181)=0,"",AVERAGE(AK1181:AR1181)*4)</x:f>
        <x:v>15.5</x:v>
      </x:c>
      <x:c r="CG1181" s="178" t="n">
        <x:f>IF(COUNT(AS1181:AY1181)=0,"",AVERAGE(AS1181:AY1181)*4)</x:f>
        <x:v>16</x:v>
      </x:c>
      <x:c r="CH1181" s="178" t="n">
        <x:f>IF(COUNT(AZ1181:BG1181)=0,"",AVERAGE(AZ1181:BG1181)*4)</x:f>
        <x:v>14.5</x:v>
      </x:c>
      <x:c r="CI1181" s="178" t="n">
        <x:f>IF(COUNT(BH1181:BN1181)=0,"",AVERAGE(BH1181:BN1181)*4)</x:f>
        <x:v>15.428571428571429</x:v>
      </x:c>
      <x:c r="CJ1181" s="178" t="n">
        <x:f>IF(COUNT(BO1181:BU1181)=0,"",AVERAGE(BO1181:BU1181)*4)</x:f>
        <x:v>16</x:v>
      </x:c>
      <x:c r="CK1181" s="178" t="n">
        <x:f>IF(COUNT(BV1181:CB1181)=0,"",AVERAGE(BV1181:CB1181)*4)</x:f>
        <x:v>14.285714285714286</x:v>
      </x:c>
      <x:c r="CL1181" s="178" t="n">
        <x:f>IF(C1181="","",IF(COUNT(G1181:CB1181)&lt;74,"",(CC1181*'تنظیمات وزن‌دهی'!$C$5+CD1181*'تنظیمات وزن‌دهی'!$C$6+CE1181*'تنظیمات وزن‌دهی'!$C$7+CF1181*'تنظیمات وزن‌دهی'!$C$8+CG1181*'تنظیمات وزن‌دهی'!$C$9+CH1181*'تنظیمات وزن‌دهی'!$C$10+CI1181*'تنظیمات وزن‌دهی'!$C$11+CJ1181*'تنظیمات وزن‌دهی'!$C$12+CK1181*'تنظیمات وزن‌دهی'!$C$13)/100))</x:f>
        <x:v>15.265</x:v>
      </x:c>
      <x:c r="CM1181" s="178" t="str">
        <x:f>IF(C1181="","",IF(COUNT(G1181:CB1181)=0,"",IF(COUNT(G1181:CB1181)&lt;74,"موقت - اطلاعات ناقص",IF(CL1181&gt;=17,"عالی",IF(CL1181&gt;=14,"خوب",IF(CL1181&gt;=10,"متوسط","ضعیف"))))))</x:f>
        <x:v>خوب</x:v>
      </x:c>
      <x:c r="CN1181" s="178" t="n">
        <x:v>1</x:v>
      </x:c>
      <x:c r="CO1181" s="142" t="n">
        <x:f>IF(C1181="","",COUNT(G1181:CB1181)/74)</x:f>
        <x:v>1</x:v>
      </x:c>
      <x:c r="CP1181" s="245" t="str">
        <x:v>داده نمونه کامل برای ماه تیر - دانش‌آموز شماره 99</x:v>
      </x:c>
    </x:row>
    <x:row r="1182">
      <x:c r="A1182" s="165" t="n">
        <x:v>1178</x:v>
      </x:c>
      <x:c r="B1182" s="233" t="str">
        <x:v>مرداد</x:v>
      </x:c>
      <x:c r="C1182" s="233" t="n">
        <x:f>IF('دانش‌آموزان'!E103="","",'دانش‌آموزان'!B103)</x:f>
        <x:v>99</x:v>
      </x:c>
      <x:c r="D1182" s="233" t="str">
        <x:f>IF('دانش‌آموزان'!C103="","",'دانش‌آموزان'!C103)</x:f>
        <x:v>4000000993</x:v>
      </x:c>
      <x:c r="E1182" s="233" t="str">
        <x:f>IF('دانش‌آموزان'!E103="","",'دانش‌آموزان'!E103&amp;" "&amp;'دانش‌آموزان'!F103)</x:f>
        <x:v>رضا صادقی</x:v>
      </x:c>
      <x:c r="F1182" s="166" t="str">
        <x:f>IF('دانش‌آموزان'!I103="","",'دانش‌آموزان'!I103)</x:f>
        <x:v>sample-7-d</x:v>
      </x:c>
      <x:c r="G1182" s="114"/>
      <x:c r="H1182" s="115"/>
      <x:c r="I1182" s="115"/>
      <x:c r="J1182" s="115"/>
      <x:c r="K1182" s="115"/>
      <x:c r="L1182" s="115"/>
      <x:c r="M1182" s="115"/>
      <x:c r="N1182" s="115"/>
      <x:c r="O1182" s="115"/>
      <x:c r="P1182" s="115"/>
      <x:c r="Q1182" s="115"/>
      <x:c r="R1182" s="115"/>
      <x:c r="S1182" s="115"/>
      <x:c r="T1182" s="115"/>
      <x:c r="U1182" s="115"/>
      <x:c r="V1182" s="115"/>
      <x:c r="W1182" s="115"/>
      <x:c r="X1182" s="115"/>
      <x:c r="Y1182" s="115"/>
      <x:c r="Z1182" s="115"/>
      <x:c r="AA1182" s="115"/>
      <x:c r="AB1182" s="115"/>
      <x:c r="AC1182" s="115"/>
      <x:c r="AD1182" s="115"/>
      <x:c r="AE1182" s="115"/>
      <x:c r="AF1182" s="115"/>
      <x:c r="AG1182" s="115"/>
      <x:c r="AH1182" s="115"/>
      <x:c r="AI1182" s="115"/>
      <x:c r="AJ1182" s="115"/>
      <x:c r="AK1182" s="115"/>
      <x:c r="AL1182" s="115"/>
      <x:c r="AM1182" s="115"/>
      <x:c r="AN1182" s="115"/>
      <x:c r="AO1182" s="115"/>
      <x:c r="AP1182" s="115"/>
      <x:c r="AQ1182" s="115"/>
      <x:c r="AR1182" s="115"/>
      <x:c r="AS1182" s="115"/>
      <x:c r="AT1182" s="115"/>
      <x:c r="AU1182" s="115"/>
      <x:c r="AV1182" s="115"/>
      <x:c r="AW1182" s="115"/>
      <x:c r="AX1182" s="115"/>
      <x:c r="AY1182" s="115"/>
      <x:c r="AZ1182" s="115"/>
      <x:c r="BA1182" s="115"/>
      <x:c r="BB1182" s="115"/>
      <x:c r="BC1182" s="115"/>
      <x:c r="BD1182" s="115"/>
      <x:c r="BE1182" s="115"/>
      <x:c r="BF1182" s="115"/>
      <x:c r="BG1182" s="115"/>
      <x:c r="BH1182" s="115"/>
      <x:c r="BI1182" s="115"/>
      <x:c r="BJ1182" s="115"/>
      <x:c r="BK1182" s="115"/>
      <x:c r="BL1182" s="115"/>
      <x:c r="BM1182" s="115"/>
      <x:c r="BN1182" s="115"/>
      <x:c r="BO1182" s="115"/>
      <x:c r="BP1182" s="115"/>
      <x:c r="BQ1182" s="115"/>
      <x:c r="BR1182" s="115"/>
      <x:c r="BS1182" s="115"/>
      <x:c r="BT1182" s="115"/>
      <x:c r="BU1182" s="115"/>
      <x:c r="BV1182" s="115"/>
      <x:c r="BW1182" s="115"/>
      <x:c r="BX1182" s="115"/>
      <x:c r="BY1182" s="115"/>
      <x:c r="BZ1182" s="115"/>
      <x:c r="CA1182" s="115"/>
      <x:c r="CB1182" s="116"/>
      <x:c r="CC1182" s="141" t="str">
        <x:f>IF(COUNT(G1182:P1182)=0,"",AVERAGE(G1182:P1182)*4)</x:f>
      </x:c>
      <x:c r="CD1182" s="178" t="str">
        <x:f>IF(COUNT(Q1182:Z1182)=0,"",AVERAGE(Q1182:Z1182)*4)</x:f>
      </x:c>
      <x:c r="CE1182" s="178" t="str">
        <x:f>IF(COUNT(AA1182:AJ1182)=0,"",AVERAGE(AA1182:AJ1182)*4)</x:f>
      </x:c>
      <x:c r="CF1182" s="178" t="str">
        <x:f>IF(COUNT(AK1182:AR1182)=0,"",AVERAGE(AK1182:AR1182)*4)</x:f>
      </x:c>
      <x:c r="CG1182" s="178" t="str">
        <x:f>IF(COUNT(AS1182:AY1182)=0,"",AVERAGE(AS1182:AY1182)*4)</x:f>
      </x:c>
      <x:c r="CH1182" s="178" t="str">
        <x:f>IF(COUNT(AZ1182:BG1182)=0,"",AVERAGE(AZ1182:BG1182)*4)</x:f>
      </x:c>
      <x:c r="CI1182" s="178" t="str">
        <x:f>IF(COUNT(BH1182:BN1182)=0,"",AVERAGE(BH1182:BN1182)*4)</x:f>
      </x:c>
      <x:c r="CJ1182" s="178" t="str">
        <x:f>IF(COUNT(BO1182:BU1182)=0,"",AVERAGE(BO1182:BU1182)*4)</x:f>
      </x:c>
      <x:c r="CK1182" s="178" t="str">
        <x:f>IF(COUNT(BV1182:CB1182)=0,"",AVERAGE(BV1182:CB1182)*4)</x:f>
      </x:c>
      <x:c r="CL1182" s="178" t="str">
        <x:f>IF(C1182="","",IF(COUNT(G1182:CB1182)&lt;74,"",(CC1182*'تنظیمات وزن‌دهی'!$C$5+CD1182*'تنظیمات وزن‌دهی'!$C$6+CE1182*'تنظیمات وزن‌دهی'!$C$7+CF1182*'تنظیمات وزن‌دهی'!$C$8+CG1182*'تنظیمات وزن‌دهی'!$C$9+CH1182*'تنظیمات وزن‌دهی'!$C$10+CI1182*'تنظیمات وزن‌دهی'!$C$11+CJ1182*'تنظیمات وزن‌دهی'!$C$12+CK1182*'تنظیمات وزن‌دهی'!$C$13)/100))</x:f>
      </x:c>
      <x:c r="CM1182" s="178" t="str">
        <x:f>IF(C1182="","",IF(COUNT(G1182:CB1182)=0,"",IF(COUNT(G1182:CB1182)&lt;74,"موقت - اطلاعات ناقص",IF(CL1182&gt;=17,"عالی",IF(CL1182&gt;=14,"خوب",IF(CL1182&gt;=10,"متوسط","ضعیف"))))))</x:f>
      </x:c>
      <x:c r="CN1182" s="178" t="n">
        <x:v>2</x:v>
      </x:c>
      <x:c r="CO1182" s="142" t="n">
        <x:f>IF(C1182="","",COUNT(G1182:CB1182)/74)</x:f>
        <x:v>0</x:v>
      </x:c>
      <x:c r="CP1182" s="245"/>
    </x:row>
    <x:row r="1183">
      <x:c r="A1183" s="165" t="n">
        <x:v>1179</x:v>
      </x:c>
      <x:c r="B1183" s="233" t="str">
        <x:v>شهریور</x:v>
      </x:c>
      <x:c r="C1183" s="233" t="n">
        <x:f>IF('دانش‌آموزان'!E103="","",'دانش‌آموزان'!B103)</x:f>
        <x:v>99</x:v>
      </x:c>
      <x:c r="D1183" s="233" t="str">
        <x:f>IF('دانش‌آموزان'!C103="","",'دانش‌آموزان'!C103)</x:f>
        <x:v>4000000993</x:v>
      </x:c>
      <x:c r="E1183" s="233" t="str">
        <x:f>IF('دانش‌آموزان'!E103="","",'دانش‌آموزان'!E103&amp;" "&amp;'دانش‌آموزان'!F103)</x:f>
        <x:v>رضا صادقی</x:v>
      </x:c>
      <x:c r="F1183" s="166" t="str">
        <x:f>IF('دانش‌آموزان'!I103="","",'دانش‌آموزان'!I103)</x:f>
        <x:v>sample-7-d</x:v>
      </x:c>
      <x:c r="G1183" s="114"/>
      <x:c r="H1183" s="115"/>
      <x:c r="I1183" s="115"/>
      <x:c r="J1183" s="115"/>
      <x:c r="K1183" s="115"/>
      <x:c r="L1183" s="115"/>
      <x:c r="M1183" s="115"/>
      <x:c r="N1183" s="115"/>
      <x:c r="O1183" s="115"/>
      <x:c r="P1183" s="115"/>
      <x:c r="Q1183" s="115"/>
      <x:c r="R1183" s="115"/>
      <x:c r="S1183" s="115"/>
      <x:c r="T1183" s="115"/>
      <x:c r="U1183" s="115"/>
      <x:c r="V1183" s="115"/>
      <x:c r="W1183" s="115"/>
      <x:c r="X1183" s="115"/>
      <x:c r="Y1183" s="115"/>
      <x:c r="Z1183" s="115"/>
      <x:c r="AA1183" s="115"/>
      <x:c r="AB1183" s="115"/>
      <x:c r="AC1183" s="115"/>
      <x:c r="AD1183" s="115"/>
      <x:c r="AE1183" s="115"/>
      <x:c r="AF1183" s="115"/>
      <x:c r="AG1183" s="115"/>
      <x:c r="AH1183" s="115"/>
      <x:c r="AI1183" s="115"/>
      <x:c r="AJ1183" s="115"/>
      <x:c r="AK1183" s="115"/>
      <x:c r="AL1183" s="115"/>
      <x:c r="AM1183" s="115"/>
      <x:c r="AN1183" s="115"/>
      <x:c r="AO1183" s="115"/>
      <x:c r="AP1183" s="115"/>
      <x:c r="AQ1183" s="115"/>
      <x:c r="AR1183" s="115"/>
      <x:c r="AS1183" s="115"/>
      <x:c r="AT1183" s="115"/>
      <x:c r="AU1183" s="115"/>
      <x:c r="AV1183" s="115"/>
      <x:c r="AW1183" s="115"/>
      <x:c r="AX1183" s="115"/>
      <x:c r="AY1183" s="115"/>
      <x:c r="AZ1183" s="115"/>
      <x:c r="BA1183" s="115"/>
      <x:c r="BB1183" s="115"/>
      <x:c r="BC1183" s="115"/>
      <x:c r="BD1183" s="115"/>
      <x:c r="BE1183" s="115"/>
      <x:c r="BF1183" s="115"/>
      <x:c r="BG1183" s="115"/>
      <x:c r="BH1183" s="115"/>
      <x:c r="BI1183" s="115"/>
      <x:c r="BJ1183" s="115"/>
      <x:c r="BK1183" s="115"/>
      <x:c r="BL1183" s="115"/>
      <x:c r="BM1183" s="115"/>
      <x:c r="BN1183" s="115"/>
      <x:c r="BO1183" s="115"/>
      <x:c r="BP1183" s="115"/>
      <x:c r="BQ1183" s="115"/>
      <x:c r="BR1183" s="115"/>
      <x:c r="BS1183" s="115"/>
      <x:c r="BT1183" s="115"/>
      <x:c r="BU1183" s="115"/>
      <x:c r="BV1183" s="115"/>
      <x:c r="BW1183" s="115"/>
      <x:c r="BX1183" s="115"/>
      <x:c r="BY1183" s="115"/>
      <x:c r="BZ1183" s="115"/>
      <x:c r="CA1183" s="115"/>
      <x:c r="CB1183" s="116"/>
      <x:c r="CC1183" s="141" t="str">
        <x:f>IF(COUNT(G1183:P1183)=0,"",AVERAGE(G1183:P1183)*4)</x:f>
      </x:c>
      <x:c r="CD1183" s="178" t="str">
        <x:f>IF(COUNT(Q1183:Z1183)=0,"",AVERAGE(Q1183:Z1183)*4)</x:f>
      </x:c>
      <x:c r="CE1183" s="178" t="str">
        <x:f>IF(COUNT(AA1183:AJ1183)=0,"",AVERAGE(AA1183:AJ1183)*4)</x:f>
      </x:c>
      <x:c r="CF1183" s="178" t="str">
        <x:f>IF(COUNT(AK1183:AR1183)=0,"",AVERAGE(AK1183:AR1183)*4)</x:f>
      </x:c>
      <x:c r="CG1183" s="178" t="str">
        <x:f>IF(COUNT(AS1183:AY1183)=0,"",AVERAGE(AS1183:AY1183)*4)</x:f>
      </x:c>
      <x:c r="CH1183" s="178" t="str">
        <x:f>IF(COUNT(AZ1183:BG1183)=0,"",AVERAGE(AZ1183:BG1183)*4)</x:f>
      </x:c>
      <x:c r="CI1183" s="178" t="str">
        <x:f>IF(COUNT(BH1183:BN1183)=0,"",AVERAGE(BH1183:BN1183)*4)</x:f>
      </x:c>
      <x:c r="CJ1183" s="178" t="str">
        <x:f>IF(COUNT(BO1183:BU1183)=0,"",AVERAGE(BO1183:BU1183)*4)</x:f>
      </x:c>
      <x:c r="CK1183" s="178" t="str">
        <x:f>IF(COUNT(BV1183:CB1183)=0,"",AVERAGE(BV1183:CB1183)*4)</x:f>
      </x:c>
      <x:c r="CL1183" s="178" t="str">
        <x:f>IF(C1183="","",IF(COUNT(G1183:CB1183)&lt;74,"",(CC1183*'تنظیمات وزن‌دهی'!$C$5+CD1183*'تنظیمات وزن‌دهی'!$C$6+CE1183*'تنظیمات وزن‌دهی'!$C$7+CF1183*'تنظیمات وزن‌دهی'!$C$8+CG1183*'تنظیمات وزن‌دهی'!$C$9+CH1183*'تنظیمات وزن‌دهی'!$C$10+CI1183*'تنظیمات وزن‌دهی'!$C$11+CJ1183*'تنظیمات وزن‌دهی'!$C$12+CK1183*'تنظیمات وزن‌دهی'!$C$13)/100))</x:f>
      </x:c>
      <x:c r="CM1183" s="178" t="str">
        <x:f>IF(C1183="","",IF(COUNT(G1183:CB1183)=0,"",IF(COUNT(G1183:CB1183)&lt;74,"موقت - اطلاعات ناقص",IF(CL1183&gt;=17,"عالی",IF(CL1183&gt;=14,"خوب",IF(CL1183&gt;=10,"متوسط","ضعیف"))))))</x:f>
      </x:c>
      <x:c r="CN1183" s="178" t="n">
        <x:v>3</x:v>
      </x:c>
      <x:c r="CO1183" s="142" t="n">
        <x:f>IF(C1183="","",COUNT(G1183:CB1183)/74)</x:f>
        <x:v>0</x:v>
      </x:c>
      <x:c r="CP1183" s="245"/>
    </x:row>
    <x:row r="1184">
      <x:c r="A1184" s="165" t="n">
        <x:v>1180</x:v>
      </x:c>
      <x:c r="B1184" s="233" t="str">
        <x:v>مهر</x:v>
      </x:c>
      <x:c r="C1184" s="233" t="n">
        <x:f>IF('دانش‌آموزان'!E103="","",'دانش‌آموزان'!B103)</x:f>
        <x:v>99</x:v>
      </x:c>
      <x:c r="D1184" s="233" t="str">
        <x:f>IF('دانش‌آموزان'!C103="","",'دانش‌آموزان'!C103)</x:f>
        <x:v>4000000993</x:v>
      </x:c>
      <x:c r="E1184" s="233" t="str">
        <x:f>IF('دانش‌آموزان'!E103="","",'دانش‌آموزان'!E103&amp;" "&amp;'دانش‌آموزان'!F103)</x:f>
        <x:v>رضا صادقی</x:v>
      </x:c>
      <x:c r="F1184" s="166" t="str">
        <x:f>IF('دانش‌آموزان'!I103="","",'دانش‌آموزان'!I103)</x:f>
        <x:v>sample-7-d</x:v>
      </x:c>
      <x:c r="G1184" s="114"/>
      <x:c r="H1184" s="115"/>
      <x:c r="I1184" s="115"/>
      <x:c r="J1184" s="115"/>
      <x:c r="K1184" s="115"/>
      <x:c r="L1184" s="115"/>
      <x:c r="M1184" s="115"/>
      <x:c r="N1184" s="115"/>
      <x:c r="O1184" s="115"/>
      <x:c r="P1184" s="115"/>
      <x:c r="Q1184" s="115"/>
      <x:c r="R1184" s="115"/>
      <x:c r="S1184" s="115"/>
      <x:c r="T1184" s="115"/>
      <x:c r="U1184" s="115"/>
      <x:c r="V1184" s="115"/>
      <x:c r="W1184" s="115"/>
      <x:c r="X1184" s="115"/>
      <x:c r="Y1184" s="115"/>
      <x:c r="Z1184" s="115"/>
      <x:c r="AA1184" s="115"/>
      <x:c r="AB1184" s="115"/>
      <x:c r="AC1184" s="115"/>
      <x:c r="AD1184" s="115"/>
      <x:c r="AE1184" s="115"/>
      <x:c r="AF1184" s="115"/>
      <x:c r="AG1184" s="115"/>
      <x:c r="AH1184" s="115"/>
      <x:c r="AI1184" s="115"/>
      <x:c r="AJ1184" s="115"/>
      <x:c r="AK1184" s="115"/>
      <x:c r="AL1184" s="115"/>
      <x:c r="AM1184" s="115"/>
      <x:c r="AN1184" s="115"/>
      <x:c r="AO1184" s="115"/>
      <x:c r="AP1184" s="115"/>
      <x:c r="AQ1184" s="115"/>
      <x:c r="AR1184" s="115"/>
      <x:c r="AS1184" s="115"/>
      <x:c r="AT1184" s="115"/>
      <x:c r="AU1184" s="115"/>
      <x:c r="AV1184" s="115"/>
      <x:c r="AW1184" s="115"/>
      <x:c r="AX1184" s="115"/>
      <x:c r="AY1184" s="115"/>
      <x:c r="AZ1184" s="115"/>
      <x:c r="BA1184" s="115"/>
      <x:c r="BB1184" s="115"/>
      <x:c r="BC1184" s="115"/>
      <x:c r="BD1184" s="115"/>
      <x:c r="BE1184" s="115"/>
      <x:c r="BF1184" s="115"/>
      <x:c r="BG1184" s="115"/>
      <x:c r="BH1184" s="115"/>
      <x:c r="BI1184" s="115"/>
      <x:c r="BJ1184" s="115"/>
      <x:c r="BK1184" s="115"/>
      <x:c r="BL1184" s="115"/>
      <x:c r="BM1184" s="115"/>
      <x:c r="BN1184" s="115"/>
      <x:c r="BO1184" s="115"/>
      <x:c r="BP1184" s="115"/>
      <x:c r="BQ1184" s="115"/>
      <x:c r="BR1184" s="115"/>
      <x:c r="BS1184" s="115"/>
      <x:c r="BT1184" s="115"/>
      <x:c r="BU1184" s="115"/>
      <x:c r="BV1184" s="115"/>
      <x:c r="BW1184" s="115"/>
      <x:c r="BX1184" s="115"/>
      <x:c r="BY1184" s="115"/>
      <x:c r="BZ1184" s="115"/>
      <x:c r="CA1184" s="115"/>
      <x:c r="CB1184" s="116"/>
      <x:c r="CC1184" s="141" t="str">
        <x:f>IF(COUNT(G1184:P1184)=0,"",AVERAGE(G1184:P1184)*4)</x:f>
      </x:c>
      <x:c r="CD1184" s="178" t="str">
        <x:f>IF(COUNT(Q1184:Z1184)=0,"",AVERAGE(Q1184:Z1184)*4)</x:f>
      </x:c>
      <x:c r="CE1184" s="178" t="str">
        <x:f>IF(COUNT(AA1184:AJ1184)=0,"",AVERAGE(AA1184:AJ1184)*4)</x:f>
      </x:c>
      <x:c r="CF1184" s="178" t="str">
        <x:f>IF(COUNT(AK1184:AR1184)=0,"",AVERAGE(AK1184:AR1184)*4)</x:f>
      </x:c>
      <x:c r="CG1184" s="178" t="str">
        <x:f>IF(COUNT(AS1184:AY1184)=0,"",AVERAGE(AS1184:AY1184)*4)</x:f>
      </x:c>
      <x:c r="CH1184" s="178" t="str">
        <x:f>IF(COUNT(AZ1184:BG1184)=0,"",AVERAGE(AZ1184:BG1184)*4)</x:f>
      </x:c>
      <x:c r="CI1184" s="178" t="str">
        <x:f>IF(COUNT(BH1184:BN1184)=0,"",AVERAGE(BH1184:BN1184)*4)</x:f>
      </x:c>
      <x:c r="CJ1184" s="178" t="str">
        <x:f>IF(COUNT(BO1184:BU1184)=0,"",AVERAGE(BO1184:BU1184)*4)</x:f>
      </x:c>
      <x:c r="CK1184" s="178" t="str">
        <x:f>IF(COUNT(BV1184:CB1184)=0,"",AVERAGE(BV1184:CB1184)*4)</x:f>
      </x:c>
      <x:c r="CL1184" s="178" t="str">
        <x:f>IF(C1184="","",IF(COUNT(G1184:CB1184)&lt;74,"",(CC1184*'تنظیمات وزن‌دهی'!$C$5+CD1184*'تنظیمات وزن‌دهی'!$C$6+CE1184*'تنظیمات وزن‌دهی'!$C$7+CF1184*'تنظیمات وزن‌دهی'!$C$8+CG1184*'تنظیمات وزن‌دهی'!$C$9+CH1184*'تنظیمات وزن‌دهی'!$C$10+CI1184*'تنظیمات وزن‌دهی'!$C$11+CJ1184*'تنظیمات وزن‌دهی'!$C$12+CK1184*'تنظیمات وزن‌دهی'!$C$13)/100))</x:f>
      </x:c>
      <x:c r="CM1184" s="178" t="str">
        <x:f>IF(C1184="","",IF(COUNT(G1184:CB1184)=0,"",IF(COUNT(G1184:CB1184)&lt;74,"موقت - اطلاعات ناقص",IF(CL1184&gt;=17,"عالی",IF(CL1184&gt;=14,"خوب",IF(CL1184&gt;=10,"متوسط","ضعیف"))))))</x:f>
      </x:c>
      <x:c r="CN1184" s="178" t="n">
        <x:v>4</x:v>
      </x:c>
      <x:c r="CO1184" s="142" t="n">
        <x:f>IF(C1184="","",COUNT(G1184:CB1184)/74)</x:f>
        <x:v>0</x:v>
      </x:c>
      <x:c r="CP1184" s="245"/>
    </x:row>
    <x:row r="1185">
      <x:c r="A1185" s="165" t="n">
        <x:v>1181</x:v>
      </x:c>
      <x:c r="B1185" s="233" t="str">
        <x:v>آبان</x:v>
      </x:c>
      <x:c r="C1185" s="233" t="n">
        <x:f>IF('دانش‌آموزان'!E103="","",'دانش‌آموزان'!B103)</x:f>
        <x:v>99</x:v>
      </x:c>
      <x:c r="D1185" s="233" t="str">
        <x:f>IF('دانش‌آموزان'!C103="","",'دانش‌آموزان'!C103)</x:f>
        <x:v>4000000993</x:v>
      </x:c>
      <x:c r="E1185" s="233" t="str">
        <x:f>IF('دانش‌آموزان'!E103="","",'دانش‌آموزان'!E103&amp;" "&amp;'دانش‌آموزان'!F103)</x:f>
        <x:v>رضا صادقی</x:v>
      </x:c>
      <x:c r="F1185" s="166" t="str">
        <x:f>IF('دانش‌آموزان'!I103="","",'دانش‌آموزان'!I103)</x:f>
        <x:v>sample-7-d</x:v>
      </x:c>
      <x:c r="G1185" s="114"/>
      <x:c r="H1185" s="115"/>
      <x:c r="I1185" s="115"/>
      <x:c r="J1185" s="115"/>
      <x:c r="K1185" s="115"/>
      <x:c r="L1185" s="115"/>
      <x:c r="M1185" s="115"/>
      <x:c r="N1185" s="115"/>
      <x:c r="O1185" s="115"/>
      <x:c r="P1185" s="115"/>
      <x:c r="Q1185" s="115"/>
      <x:c r="R1185" s="115"/>
      <x:c r="S1185" s="115"/>
      <x:c r="T1185" s="115"/>
      <x:c r="U1185" s="115"/>
      <x:c r="V1185" s="115"/>
      <x:c r="W1185" s="115"/>
      <x:c r="X1185" s="115"/>
      <x:c r="Y1185" s="115"/>
      <x:c r="Z1185" s="115"/>
      <x:c r="AA1185" s="115"/>
      <x:c r="AB1185" s="115"/>
      <x:c r="AC1185" s="115"/>
      <x:c r="AD1185" s="115"/>
      <x:c r="AE1185" s="115"/>
      <x:c r="AF1185" s="115"/>
      <x:c r="AG1185" s="115"/>
      <x:c r="AH1185" s="115"/>
      <x:c r="AI1185" s="115"/>
      <x:c r="AJ1185" s="115"/>
      <x:c r="AK1185" s="115"/>
      <x:c r="AL1185" s="115"/>
      <x:c r="AM1185" s="115"/>
      <x:c r="AN1185" s="115"/>
      <x:c r="AO1185" s="115"/>
      <x:c r="AP1185" s="115"/>
      <x:c r="AQ1185" s="115"/>
      <x:c r="AR1185" s="115"/>
      <x:c r="AS1185" s="115"/>
      <x:c r="AT1185" s="115"/>
      <x:c r="AU1185" s="115"/>
      <x:c r="AV1185" s="115"/>
      <x:c r="AW1185" s="115"/>
      <x:c r="AX1185" s="115"/>
      <x:c r="AY1185" s="115"/>
      <x:c r="AZ1185" s="115"/>
      <x:c r="BA1185" s="115"/>
      <x:c r="BB1185" s="115"/>
      <x:c r="BC1185" s="115"/>
      <x:c r="BD1185" s="115"/>
      <x:c r="BE1185" s="115"/>
      <x:c r="BF1185" s="115"/>
      <x:c r="BG1185" s="115"/>
      <x:c r="BH1185" s="115"/>
      <x:c r="BI1185" s="115"/>
      <x:c r="BJ1185" s="115"/>
      <x:c r="BK1185" s="115"/>
      <x:c r="BL1185" s="115"/>
      <x:c r="BM1185" s="115"/>
      <x:c r="BN1185" s="115"/>
      <x:c r="BO1185" s="115"/>
      <x:c r="BP1185" s="115"/>
      <x:c r="BQ1185" s="115"/>
      <x:c r="BR1185" s="115"/>
      <x:c r="BS1185" s="115"/>
      <x:c r="BT1185" s="115"/>
      <x:c r="BU1185" s="115"/>
      <x:c r="BV1185" s="115"/>
      <x:c r="BW1185" s="115"/>
      <x:c r="BX1185" s="115"/>
      <x:c r="BY1185" s="115"/>
      <x:c r="BZ1185" s="115"/>
      <x:c r="CA1185" s="115"/>
      <x:c r="CB1185" s="116"/>
      <x:c r="CC1185" s="141" t="str">
        <x:f>IF(COUNT(G1185:P1185)=0,"",AVERAGE(G1185:P1185)*4)</x:f>
      </x:c>
      <x:c r="CD1185" s="178" t="str">
        <x:f>IF(COUNT(Q1185:Z1185)=0,"",AVERAGE(Q1185:Z1185)*4)</x:f>
      </x:c>
      <x:c r="CE1185" s="178" t="str">
        <x:f>IF(COUNT(AA1185:AJ1185)=0,"",AVERAGE(AA1185:AJ1185)*4)</x:f>
      </x:c>
      <x:c r="CF1185" s="178" t="str">
        <x:f>IF(COUNT(AK1185:AR1185)=0,"",AVERAGE(AK1185:AR1185)*4)</x:f>
      </x:c>
      <x:c r="CG1185" s="178" t="str">
        <x:f>IF(COUNT(AS1185:AY1185)=0,"",AVERAGE(AS1185:AY1185)*4)</x:f>
      </x:c>
      <x:c r="CH1185" s="178" t="str">
        <x:f>IF(COUNT(AZ1185:BG1185)=0,"",AVERAGE(AZ1185:BG1185)*4)</x:f>
      </x:c>
      <x:c r="CI1185" s="178" t="str">
        <x:f>IF(COUNT(BH1185:BN1185)=0,"",AVERAGE(BH1185:BN1185)*4)</x:f>
      </x:c>
      <x:c r="CJ1185" s="178" t="str">
        <x:f>IF(COUNT(BO1185:BU1185)=0,"",AVERAGE(BO1185:BU1185)*4)</x:f>
      </x:c>
      <x:c r="CK1185" s="178" t="str">
        <x:f>IF(COUNT(BV1185:CB1185)=0,"",AVERAGE(BV1185:CB1185)*4)</x:f>
      </x:c>
      <x:c r="CL1185" s="178" t="str">
        <x:f>IF(C1185="","",IF(COUNT(G1185:CB1185)&lt;74,"",(CC1185*'تنظیمات وزن‌دهی'!$C$5+CD1185*'تنظیمات وزن‌دهی'!$C$6+CE1185*'تنظیمات وزن‌دهی'!$C$7+CF1185*'تنظیمات وزن‌دهی'!$C$8+CG1185*'تنظیمات وزن‌دهی'!$C$9+CH1185*'تنظیمات وزن‌دهی'!$C$10+CI1185*'تنظیمات وزن‌دهی'!$C$11+CJ1185*'تنظیمات وزن‌دهی'!$C$12+CK1185*'تنظیمات وزن‌دهی'!$C$13)/100))</x:f>
      </x:c>
      <x:c r="CM1185" s="178" t="str">
        <x:f>IF(C1185="","",IF(COUNT(G1185:CB1185)=0,"",IF(COUNT(G1185:CB1185)&lt;74,"موقت - اطلاعات ناقص",IF(CL1185&gt;=17,"عالی",IF(CL1185&gt;=14,"خوب",IF(CL1185&gt;=10,"متوسط","ضعیف"))))))</x:f>
      </x:c>
      <x:c r="CN1185" s="178" t="n">
        <x:v>5</x:v>
      </x:c>
      <x:c r="CO1185" s="142" t="n">
        <x:f>IF(C1185="","",COUNT(G1185:CB1185)/74)</x:f>
        <x:v>0</x:v>
      </x:c>
      <x:c r="CP1185" s="245"/>
    </x:row>
    <x:row r="1186">
      <x:c r="A1186" s="165" t="n">
        <x:v>1182</x:v>
      </x:c>
      <x:c r="B1186" s="233" t="str">
        <x:v>آذر</x:v>
      </x:c>
      <x:c r="C1186" s="233" t="n">
        <x:f>IF('دانش‌آموزان'!E103="","",'دانش‌آموزان'!B103)</x:f>
        <x:v>99</x:v>
      </x:c>
      <x:c r="D1186" s="233" t="str">
        <x:f>IF('دانش‌آموزان'!C103="","",'دانش‌آموزان'!C103)</x:f>
        <x:v>4000000993</x:v>
      </x:c>
      <x:c r="E1186" s="233" t="str">
        <x:f>IF('دانش‌آموزان'!E103="","",'دانش‌آموزان'!E103&amp;" "&amp;'دانش‌آموزان'!F103)</x:f>
        <x:v>رضا صادقی</x:v>
      </x:c>
      <x:c r="F1186" s="166" t="str">
        <x:f>IF('دانش‌آموزان'!I103="","",'دانش‌آموزان'!I103)</x:f>
        <x:v>sample-7-d</x:v>
      </x:c>
      <x:c r="G1186" s="114"/>
      <x:c r="H1186" s="115"/>
      <x:c r="I1186" s="115"/>
      <x:c r="J1186" s="115"/>
      <x:c r="K1186" s="115"/>
      <x:c r="L1186" s="115"/>
      <x:c r="M1186" s="115"/>
      <x:c r="N1186" s="115"/>
      <x:c r="O1186" s="115"/>
      <x:c r="P1186" s="115"/>
      <x:c r="Q1186" s="115"/>
      <x:c r="R1186" s="115"/>
      <x:c r="S1186" s="115"/>
      <x:c r="T1186" s="115"/>
      <x:c r="U1186" s="115"/>
      <x:c r="V1186" s="115"/>
      <x:c r="W1186" s="115"/>
      <x:c r="X1186" s="115"/>
      <x:c r="Y1186" s="115"/>
      <x:c r="Z1186" s="115"/>
      <x:c r="AA1186" s="115"/>
      <x:c r="AB1186" s="115"/>
      <x:c r="AC1186" s="115"/>
      <x:c r="AD1186" s="115"/>
      <x:c r="AE1186" s="115"/>
      <x:c r="AF1186" s="115"/>
      <x:c r="AG1186" s="115"/>
      <x:c r="AH1186" s="115"/>
      <x:c r="AI1186" s="115"/>
      <x:c r="AJ1186" s="115"/>
      <x:c r="AK1186" s="115"/>
      <x:c r="AL1186" s="115"/>
      <x:c r="AM1186" s="115"/>
      <x:c r="AN1186" s="115"/>
      <x:c r="AO1186" s="115"/>
      <x:c r="AP1186" s="115"/>
      <x:c r="AQ1186" s="115"/>
      <x:c r="AR1186" s="115"/>
      <x:c r="AS1186" s="115"/>
      <x:c r="AT1186" s="115"/>
      <x:c r="AU1186" s="115"/>
      <x:c r="AV1186" s="115"/>
      <x:c r="AW1186" s="115"/>
      <x:c r="AX1186" s="115"/>
      <x:c r="AY1186" s="115"/>
      <x:c r="AZ1186" s="115"/>
      <x:c r="BA1186" s="115"/>
      <x:c r="BB1186" s="115"/>
      <x:c r="BC1186" s="115"/>
      <x:c r="BD1186" s="115"/>
      <x:c r="BE1186" s="115"/>
      <x:c r="BF1186" s="115"/>
      <x:c r="BG1186" s="115"/>
      <x:c r="BH1186" s="115"/>
      <x:c r="BI1186" s="115"/>
      <x:c r="BJ1186" s="115"/>
      <x:c r="BK1186" s="115"/>
      <x:c r="BL1186" s="115"/>
      <x:c r="BM1186" s="115"/>
      <x:c r="BN1186" s="115"/>
      <x:c r="BO1186" s="115"/>
      <x:c r="BP1186" s="115"/>
      <x:c r="BQ1186" s="115"/>
      <x:c r="BR1186" s="115"/>
      <x:c r="BS1186" s="115"/>
      <x:c r="BT1186" s="115"/>
      <x:c r="BU1186" s="115"/>
      <x:c r="BV1186" s="115"/>
      <x:c r="BW1186" s="115"/>
      <x:c r="BX1186" s="115"/>
      <x:c r="BY1186" s="115"/>
      <x:c r="BZ1186" s="115"/>
      <x:c r="CA1186" s="115"/>
      <x:c r="CB1186" s="116"/>
      <x:c r="CC1186" s="141" t="str">
        <x:f>IF(COUNT(G1186:P1186)=0,"",AVERAGE(G1186:P1186)*4)</x:f>
      </x:c>
      <x:c r="CD1186" s="178" t="str">
        <x:f>IF(COUNT(Q1186:Z1186)=0,"",AVERAGE(Q1186:Z1186)*4)</x:f>
      </x:c>
      <x:c r="CE1186" s="178" t="str">
        <x:f>IF(COUNT(AA1186:AJ1186)=0,"",AVERAGE(AA1186:AJ1186)*4)</x:f>
      </x:c>
      <x:c r="CF1186" s="178" t="str">
        <x:f>IF(COUNT(AK1186:AR1186)=0,"",AVERAGE(AK1186:AR1186)*4)</x:f>
      </x:c>
      <x:c r="CG1186" s="178" t="str">
        <x:f>IF(COUNT(AS1186:AY1186)=0,"",AVERAGE(AS1186:AY1186)*4)</x:f>
      </x:c>
      <x:c r="CH1186" s="178" t="str">
        <x:f>IF(COUNT(AZ1186:BG1186)=0,"",AVERAGE(AZ1186:BG1186)*4)</x:f>
      </x:c>
      <x:c r="CI1186" s="178" t="str">
        <x:f>IF(COUNT(BH1186:BN1186)=0,"",AVERAGE(BH1186:BN1186)*4)</x:f>
      </x:c>
      <x:c r="CJ1186" s="178" t="str">
        <x:f>IF(COUNT(BO1186:BU1186)=0,"",AVERAGE(BO1186:BU1186)*4)</x:f>
      </x:c>
      <x:c r="CK1186" s="178" t="str">
        <x:f>IF(COUNT(BV1186:CB1186)=0,"",AVERAGE(BV1186:CB1186)*4)</x:f>
      </x:c>
      <x:c r="CL1186" s="178" t="str">
        <x:f>IF(C1186="","",IF(COUNT(G1186:CB1186)&lt;74,"",(CC1186*'تنظیمات وزن‌دهی'!$C$5+CD1186*'تنظیمات وزن‌دهی'!$C$6+CE1186*'تنظیمات وزن‌دهی'!$C$7+CF1186*'تنظیمات وزن‌دهی'!$C$8+CG1186*'تنظیمات وزن‌دهی'!$C$9+CH1186*'تنظیمات وزن‌دهی'!$C$10+CI1186*'تنظیمات وزن‌دهی'!$C$11+CJ1186*'تنظیمات وزن‌دهی'!$C$12+CK1186*'تنظیمات وزن‌دهی'!$C$13)/100))</x:f>
      </x:c>
      <x:c r="CM1186" s="178" t="str">
        <x:f>IF(C1186="","",IF(COUNT(G1186:CB1186)=0,"",IF(COUNT(G1186:CB1186)&lt;74,"موقت - اطلاعات ناقص",IF(CL1186&gt;=17,"عالی",IF(CL1186&gt;=14,"خوب",IF(CL1186&gt;=10,"متوسط","ضعیف"))))))</x:f>
      </x:c>
      <x:c r="CN1186" s="178" t="n">
        <x:v>6</x:v>
      </x:c>
      <x:c r="CO1186" s="142" t="n">
        <x:f>IF(C1186="","",COUNT(G1186:CB1186)/74)</x:f>
        <x:v>0</x:v>
      </x:c>
      <x:c r="CP1186" s="245"/>
    </x:row>
    <x:row r="1187">
      <x:c r="A1187" s="165" t="n">
        <x:v>1183</x:v>
      </x:c>
      <x:c r="B1187" s="233" t="str">
        <x:v>دی</x:v>
      </x:c>
      <x:c r="C1187" s="233" t="n">
        <x:f>IF('دانش‌آموزان'!E103="","",'دانش‌آموزان'!B103)</x:f>
        <x:v>99</x:v>
      </x:c>
      <x:c r="D1187" s="233" t="str">
        <x:f>IF('دانش‌آموزان'!C103="","",'دانش‌آموزان'!C103)</x:f>
        <x:v>4000000993</x:v>
      </x:c>
      <x:c r="E1187" s="233" t="str">
        <x:f>IF('دانش‌آموزان'!E103="","",'دانش‌آموزان'!E103&amp;" "&amp;'دانش‌آموزان'!F103)</x:f>
        <x:v>رضا صادقی</x:v>
      </x:c>
      <x:c r="F1187" s="166" t="str">
        <x:f>IF('دانش‌آموزان'!I103="","",'دانش‌آموزان'!I103)</x:f>
        <x:v>sample-7-d</x:v>
      </x:c>
      <x:c r="G1187" s="114"/>
      <x:c r="H1187" s="115"/>
      <x:c r="I1187" s="115"/>
      <x:c r="J1187" s="115"/>
      <x:c r="K1187" s="115"/>
      <x:c r="L1187" s="115"/>
      <x:c r="M1187" s="115"/>
      <x:c r="N1187" s="115"/>
      <x:c r="O1187" s="115"/>
      <x:c r="P1187" s="115"/>
      <x:c r="Q1187" s="115"/>
      <x:c r="R1187" s="115"/>
      <x:c r="S1187" s="115"/>
      <x:c r="T1187" s="115"/>
      <x:c r="U1187" s="115"/>
      <x:c r="V1187" s="115"/>
      <x:c r="W1187" s="115"/>
      <x:c r="X1187" s="115"/>
      <x:c r="Y1187" s="115"/>
      <x:c r="Z1187" s="115"/>
      <x:c r="AA1187" s="115"/>
      <x:c r="AB1187" s="115"/>
      <x:c r="AC1187" s="115"/>
      <x:c r="AD1187" s="115"/>
      <x:c r="AE1187" s="115"/>
      <x:c r="AF1187" s="115"/>
      <x:c r="AG1187" s="115"/>
      <x:c r="AH1187" s="115"/>
      <x:c r="AI1187" s="115"/>
      <x:c r="AJ1187" s="115"/>
      <x:c r="AK1187" s="115"/>
      <x:c r="AL1187" s="115"/>
      <x:c r="AM1187" s="115"/>
      <x:c r="AN1187" s="115"/>
      <x:c r="AO1187" s="115"/>
      <x:c r="AP1187" s="115"/>
      <x:c r="AQ1187" s="115"/>
      <x:c r="AR1187" s="115"/>
      <x:c r="AS1187" s="115"/>
      <x:c r="AT1187" s="115"/>
      <x:c r="AU1187" s="115"/>
      <x:c r="AV1187" s="115"/>
      <x:c r="AW1187" s="115"/>
      <x:c r="AX1187" s="115"/>
      <x:c r="AY1187" s="115"/>
      <x:c r="AZ1187" s="115"/>
      <x:c r="BA1187" s="115"/>
      <x:c r="BB1187" s="115"/>
      <x:c r="BC1187" s="115"/>
      <x:c r="BD1187" s="115"/>
      <x:c r="BE1187" s="115"/>
      <x:c r="BF1187" s="115"/>
      <x:c r="BG1187" s="115"/>
      <x:c r="BH1187" s="115"/>
      <x:c r="BI1187" s="115"/>
      <x:c r="BJ1187" s="115"/>
      <x:c r="BK1187" s="115"/>
      <x:c r="BL1187" s="115"/>
      <x:c r="BM1187" s="115"/>
      <x:c r="BN1187" s="115"/>
      <x:c r="BO1187" s="115"/>
      <x:c r="BP1187" s="115"/>
      <x:c r="BQ1187" s="115"/>
      <x:c r="BR1187" s="115"/>
      <x:c r="BS1187" s="115"/>
      <x:c r="BT1187" s="115"/>
      <x:c r="BU1187" s="115"/>
      <x:c r="BV1187" s="115"/>
      <x:c r="BW1187" s="115"/>
      <x:c r="BX1187" s="115"/>
      <x:c r="BY1187" s="115"/>
      <x:c r="BZ1187" s="115"/>
      <x:c r="CA1187" s="115"/>
      <x:c r="CB1187" s="116"/>
      <x:c r="CC1187" s="141" t="str">
        <x:f>IF(COUNT(G1187:P1187)=0,"",AVERAGE(G1187:P1187)*4)</x:f>
      </x:c>
      <x:c r="CD1187" s="178" t="str">
        <x:f>IF(COUNT(Q1187:Z1187)=0,"",AVERAGE(Q1187:Z1187)*4)</x:f>
      </x:c>
      <x:c r="CE1187" s="178" t="str">
        <x:f>IF(COUNT(AA1187:AJ1187)=0,"",AVERAGE(AA1187:AJ1187)*4)</x:f>
      </x:c>
      <x:c r="CF1187" s="178" t="str">
        <x:f>IF(COUNT(AK1187:AR1187)=0,"",AVERAGE(AK1187:AR1187)*4)</x:f>
      </x:c>
      <x:c r="CG1187" s="178" t="str">
        <x:f>IF(COUNT(AS1187:AY1187)=0,"",AVERAGE(AS1187:AY1187)*4)</x:f>
      </x:c>
      <x:c r="CH1187" s="178" t="str">
        <x:f>IF(COUNT(AZ1187:BG1187)=0,"",AVERAGE(AZ1187:BG1187)*4)</x:f>
      </x:c>
      <x:c r="CI1187" s="178" t="str">
        <x:f>IF(COUNT(BH1187:BN1187)=0,"",AVERAGE(BH1187:BN1187)*4)</x:f>
      </x:c>
      <x:c r="CJ1187" s="178" t="str">
        <x:f>IF(COUNT(BO1187:BU1187)=0,"",AVERAGE(BO1187:BU1187)*4)</x:f>
      </x:c>
      <x:c r="CK1187" s="178" t="str">
        <x:f>IF(COUNT(BV1187:CB1187)=0,"",AVERAGE(BV1187:CB1187)*4)</x:f>
      </x:c>
      <x:c r="CL1187" s="178" t="str">
        <x:f>IF(C1187="","",IF(COUNT(G1187:CB1187)&lt;74,"",(CC1187*'تنظیمات وزن‌دهی'!$C$5+CD1187*'تنظیمات وزن‌دهی'!$C$6+CE1187*'تنظیمات وزن‌دهی'!$C$7+CF1187*'تنظیمات وزن‌دهی'!$C$8+CG1187*'تنظیمات وزن‌دهی'!$C$9+CH1187*'تنظیمات وزن‌دهی'!$C$10+CI1187*'تنظیمات وزن‌دهی'!$C$11+CJ1187*'تنظیمات وزن‌دهی'!$C$12+CK1187*'تنظیمات وزن‌دهی'!$C$13)/100))</x:f>
      </x:c>
      <x:c r="CM1187" s="178" t="str">
        <x:f>IF(C1187="","",IF(COUNT(G1187:CB1187)=0,"",IF(COUNT(G1187:CB1187)&lt;74,"موقت - اطلاعات ناقص",IF(CL1187&gt;=17,"عالی",IF(CL1187&gt;=14,"خوب",IF(CL1187&gt;=10,"متوسط","ضعیف"))))))</x:f>
      </x:c>
      <x:c r="CN1187" s="178" t="n">
        <x:v>7</x:v>
      </x:c>
      <x:c r="CO1187" s="142" t="n">
        <x:f>IF(C1187="","",COUNT(G1187:CB1187)/74)</x:f>
        <x:v>0</x:v>
      </x:c>
      <x:c r="CP1187" s="245"/>
    </x:row>
    <x:row r="1188">
      <x:c r="A1188" s="165" t="n">
        <x:v>1184</x:v>
      </x:c>
      <x:c r="B1188" s="233" t="str">
        <x:v>بهمن</x:v>
      </x:c>
      <x:c r="C1188" s="233" t="n">
        <x:f>IF('دانش‌آموزان'!E103="","",'دانش‌آموزان'!B103)</x:f>
        <x:v>99</x:v>
      </x:c>
      <x:c r="D1188" s="233" t="str">
        <x:f>IF('دانش‌آموزان'!C103="","",'دانش‌آموزان'!C103)</x:f>
        <x:v>4000000993</x:v>
      </x:c>
      <x:c r="E1188" s="233" t="str">
        <x:f>IF('دانش‌آموزان'!E103="","",'دانش‌آموزان'!E103&amp;" "&amp;'دانش‌آموزان'!F103)</x:f>
        <x:v>رضا صادقی</x:v>
      </x:c>
      <x:c r="F1188" s="166" t="str">
        <x:f>IF('دانش‌آموزان'!I103="","",'دانش‌آموزان'!I103)</x:f>
        <x:v>sample-7-d</x:v>
      </x:c>
      <x:c r="G1188" s="114"/>
      <x:c r="H1188" s="115"/>
      <x:c r="I1188" s="115"/>
      <x:c r="J1188" s="115"/>
      <x:c r="K1188" s="115"/>
      <x:c r="L1188" s="115"/>
      <x:c r="M1188" s="115"/>
      <x:c r="N1188" s="115"/>
      <x:c r="O1188" s="115"/>
      <x:c r="P1188" s="115"/>
      <x:c r="Q1188" s="115"/>
      <x:c r="R1188" s="115"/>
      <x:c r="S1188" s="115"/>
      <x:c r="T1188" s="115"/>
      <x:c r="U1188" s="115"/>
      <x:c r="V1188" s="115"/>
      <x:c r="W1188" s="115"/>
      <x:c r="X1188" s="115"/>
      <x:c r="Y1188" s="115"/>
      <x:c r="Z1188" s="115"/>
      <x:c r="AA1188" s="115"/>
      <x:c r="AB1188" s="115"/>
      <x:c r="AC1188" s="115"/>
      <x:c r="AD1188" s="115"/>
      <x:c r="AE1188" s="115"/>
      <x:c r="AF1188" s="115"/>
      <x:c r="AG1188" s="115"/>
      <x:c r="AH1188" s="115"/>
      <x:c r="AI1188" s="115"/>
      <x:c r="AJ1188" s="115"/>
      <x:c r="AK1188" s="115"/>
      <x:c r="AL1188" s="115"/>
      <x:c r="AM1188" s="115"/>
      <x:c r="AN1188" s="115"/>
      <x:c r="AO1188" s="115"/>
      <x:c r="AP1188" s="115"/>
      <x:c r="AQ1188" s="115"/>
      <x:c r="AR1188" s="115"/>
      <x:c r="AS1188" s="115"/>
      <x:c r="AT1188" s="115"/>
      <x:c r="AU1188" s="115"/>
      <x:c r="AV1188" s="115"/>
      <x:c r="AW1188" s="115"/>
      <x:c r="AX1188" s="115"/>
      <x:c r="AY1188" s="115"/>
      <x:c r="AZ1188" s="115"/>
      <x:c r="BA1188" s="115"/>
      <x:c r="BB1188" s="115"/>
      <x:c r="BC1188" s="115"/>
      <x:c r="BD1188" s="115"/>
      <x:c r="BE1188" s="115"/>
      <x:c r="BF1188" s="115"/>
      <x:c r="BG1188" s="115"/>
      <x:c r="BH1188" s="115"/>
      <x:c r="BI1188" s="115"/>
      <x:c r="BJ1188" s="115"/>
      <x:c r="BK1188" s="115"/>
      <x:c r="BL1188" s="115"/>
      <x:c r="BM1188" s="115"/>
      <x:c r="BN1188" s="115"/>
      <x:c r="BO1188" s="115"/>
      <x:c r="BP1188" s="115"/>
      <x:c r="BQ1188" s="115"/>
      <x:c r="BR1188" s="115"/>
      <x:c r="BS1188" s="115"/>
      <x:c r="BT1188" s="115"/>
      <x:c r="BU1188" s="115"/>
      <x:c r="BV1188" s="115"/>
      <x:c r="BW1188" s="115"/>
      <x:c r="BX1188" s="115"/>
      <x:c r="BY1188" s="115"/>
      <x:c r="BZ1188" s="115"/>
      <x:c r="CA1188" s="115"/>
      <x:c r="CB1188" s="116"/>
      <x:c r="CC1188" s="141" t="str">
        <x:f>IF(COUNT(G1188:P1188)=0,"",AVERAGE(G1188:P1188)*4)</x:f>
      </x:c>
      <x:c r="CD1188" s="178" t="str">
        <x:f>IF(COUNT(Q1188:Z1188)=0,"",AVERAGE(Q1188:Z1188)*4)</x:f>
      </x:c>
      <x:c r="CE1188" s="178" t="str">
        <x:f>IF(COUNT(AA1188:AJ1188)=0,"",AVERAGE(AA1188:AJ1188)*4)</x:f>
      </x:c>
      <x:c r="CF1188" s="178" t="str">
        <x:f>IF(COUNT(AK1188:AR1188)=0,"",AVERAGE(AK1188:AR1188)*4)</x:f>
      </x:c>
      <x:c r="CG1188" s="178" t="str">
        <x:f>IF(COUNT(AS1188:AY1188)=0,"",AVERAGE(AS1188:AY1188)*4)</x:f>
      </x:c>
      <x:c r="CH1188" s="178" t="str">
        <x:f>IF(COUNT(AZ1188:BG1188)=0,"",AVERAGE(AZ1188:BG1188)*4)</x:f>
      </x:c>
      <x:c r="CI1188" s="178" t="str">
        <x:f>IF(COUNT(BH1188:BN1188)=0,"",AVERAGE(BH1188:BN1188)*4)</x:f>
      </x:c>
      <x:c r="CJ1188" s="178" t="str">
        <x:f>IF(COUNT(BO1188:BU1188)=0,"",AVERAGE(BO1188:BU1188)*4)</x:f>
      </x:c>
      <x:c r="CK1188" s="178" t="str">
        <x:f>IF(COUNT(BV1188:CB1188)=0,"",AVERAGE(BV1188:CB1188)*4)</x:f>
      </x:c>
      <x:c r="CL1188" s="178" t="str">
        <x:f>IF(C1188="","",IF(COUNT(G1188:CB1188)&lt;74,"",(CC1188*'تنظیمات وزن‌دهی'!$C$5+CD1188*'تنظیمات وزن‌دهی'!$C$6+CE1188*'تنظیمات وزن‌دهی'!$C$7+CF1188*'تنظیمات وزن‌دهی'!$C$8+CG1188*'تنظیمات وزن‌دهی'!$C$9+CH1188*'تنظیمات وزن‌دهی'!$C$10+CI1188*'تنظیمات وزن‌دهی'!$C$11+CJ1188*'تنظیمات وزن‌دهی'!$C$12+CK1188*'تنظیمات وزن‌دهی'!$C$13)/100))</x:f>
      </x:c>
      <x:c r="CM1188" s="178" t="str">
        <x:f>IF(C1188="","",IF(COUNT(G1188:CB1188)=0,"",IF(COUNT(G1188:CB1188)&lt;74,"موقت - اطلاعات ناقص",IF(CL1188&gt;=17,"عالی",IF(CL1188&gt;=14,"خوب",IF(CL1188&gt;=10,"متوسط","ضعیف"))))))</x:f>
      </x:c>
      <x:c r="CN1188" s="178" t="n">
        <x:v>8</x:v>
      </x:c>
      <x:c r="CO1188" s="142" t="n">
        <x:f>IF(C1188="","",COUNT(G1188:CB1188)/74)</x:f>
        <x:v>0</x:v>
      </x:c>
      <x:c r="CP1188" s="245"/>
    </x:row>
    <x:row r="1189">
      <x:c r="A1189" s="165" t="n">
        <x:v>1185</x:v>
      </x:c>
      <x:c r="B1189" s="233" t="str">
        <x:v>اسفند</x:v>
      </x:c>
      <x:c r="C1189" s="233" t="n">
        <x:f>IF('دانش‌آموزان'!E103="","",'دانش‌آموزان'!B103)</x:f>
        <x:v>99</x:v>
      </x:c>
      <x:c r="D1189" s="233" t="str">
        <x:f>IF('دانش‌آموزان'!C103="","",'دانش‌آموزان'!C103)</x:f>
        <x:v>4000000993</x:v>
      </x:c>
      <x:c r="E1189" s="233" t="str">
        <x:f>IF('دانش‌آموزان'!E103="","",'دانش‌آموزان'!E103&amp;" "&amp;'دانش‌آموزان'!F103)</x:f>
        <x:v>رضا صادقی</x:v>
      </x:c>
      <x:c r="F1189" s="166" t="str">
        <x:f>IF('دانش‌آموزان'!I103="","",'دانش‌آموزان'!I103)</x:f>
        <x:v>sample-7-d</x:v>
      </x:c>
      <x:c r="G1189" s="114"/>
      <x:c r="H1189" s="115"/>
      <x:c r="I1189" s="115"/>
      <x:c r="J1189" s="115"/>
      <x:c r="K1189" s="115"/>
      <x:c r="L1189" s="115"/>
      <x:c r="M1189" s="115"/>
      <x:c r="N1189" s="115"/>
      <x:c r="O1189" s="115"/>
      <x:c r="P1189" s="115"/>
      <x:c r="Q1189" s="115"/>
      <x:c r="R1189" s="115"/>
      <x:c r="S1189" s="115"/>
      <x:c r="T1189" s="115"/>
      <x:c r="U1189" s="115"/>
      <x:c r="V1189" s="115"/>
      <x:c r="W1189" s="115"/>
      <x:c r="X1189" s="115"/>
      <x:c r="Y1189" s="115"/>
      <x:c r="Z1189" s="115"/>
      <x:c r="AA1189" s="115"/>
      <x:c r="AB1189" s="115"/>
      <x:c r="AC1189" s="115"/>
      <x:c r="AD1189" s="115"/>
      <x:c r="AE1189" s="115"/>
      <x:c r="AF1189" s="115"/>
      <x:c r="AG1189" s="115"/>
      <x:c r="AH1189" s="115"/>
      <x:c r="AI1189" s="115"/>
      <x:c r="AJ1189" s="115"/>
      <x:c r="AK1189" s="115"/>
      <x:c r="AL1189" s="115"/>
      <x:c r="AM1189" s="115"/>
      <x:c r="AN1189" s="115"/>
      <x:c r="AO1189" s="115"/>
      <x:c r="AP1189" s="115"/>
      <x:c r="AQ1189" s="115"/>
      <x:c r="AR1189" s="115"/>
      <x:c r="AS1189" s="115"/>
      <x:c r="AT1189" s="115"/>
      <x:c r="AU1189" s="115"/>
      <x:c r="AV1189" s="115"/>
      <x:c r="AW1189" s="115"/>
      <x:c r="AX1189" s="115"/>
      <x:c r="AY1189" s="115"/>
      <x:c r="AZ1189" s="115"/>
      <x:c r="BA1189" s="115"/>
      <x:c r="BB1189" s="115"/>
      <x:c r="BC1189" s="115"/>
      <x:c r="BD1189" s="115"/>
      <x:c r="BE1189" s="115"/>
      <x:c r="BF1189" s="115"/>
      <x:c r="BG1189" s="115"/>
      <x:c r="BH1189" s="115"/>
      <x:c r="BI1189" s="115"/>
      <x:c r="BJ1189" s="115"/>
      <x:c r="BK1189" s="115"/>
      <x:c r="BL1189" s="115"/>
      <x:c r="BM1189" s="115"/>
      <x:c r="BN1189" s="115"/>
      <x:c r="BO1189" s="115"/>
      <x:c r="BP1189" s="115"/>
      <x:c r="BQ1189" s="115"/>
      <x:c r="BR1189" s="115"/>
      <x:c r="BS1189" s="115"/>
      <x:c r="BT1189" s="115"/>
      <x:c r="BU1189" s="115"/>
      <x:c r="BV1189" s="115"/>
      <x:c r="BW1189" s="115"/>
      <x:c r="BX1189" s="115"/>
      <x:c r="BY1189" s="115"/>
      <x:c r="BZ1189" s="115"/>
      <x:c r="CA1189" s="115"/>
      <x:c r="CB1189" s="116"/>
      <x:c r="CC1189" s="141" t="str">
        <x:f>IF(COUNT(G1189:P1189)=0,"",AVERAGE(G1189:P1189)*4)</x:f>
      </x:c>
      <x:c r="CD1189" s="178" t="str">
        <x:f>IF(COUNT(Q1189:Z1189)=0,"",AVERAGE(Q1189:Z1189)*4)</x:f>
      </x:c>
      <x:c r="CE1189" s="178" t="str">
        <x:f>IF(COUNT(AA1189:AJ1189)=0,"",AVERAGE(AA1189:AJ1189)*4)</x:f>
      </x:c>
      <x:c r="CF1189" s="178" t="str">
        <x:f>IF(COUNT(AK1189:AR1189)=0,"",AVERAGE(AK1189:AR1189)*4)</x:f>
      </x:c>
      <x:c r="CG1189" s="178" t="str">
        <x:f>IF(COUNT(AS1189:AY1189)=0,"",AVERAGE(AS1189:AY1189)*4)</x:f>
      </x:c>
      <x:c r="CH1189" s="178" t="str">
        <x:f>IF(COUNT(AZ1189:BG1189)=0,"",AVERAGE(AZ1189:BG1189)*4)</x:f>
      </x:c>
      <x:c r="CI1189" s="178" t="str">
        <x:f>IF(COUNT(BH1189:BN1189)=0,"",AVERAGE(BH1189:BN1189)*4)</x:f>
      </x:c>
      <x:c r="CJ1189" s="178" t="str">
        <x:f>IF(COUNT(BO1189:BU1189)=0,"",AVERAGE(BO1189:BU1189)*4)</x:f>
      </x:c>
      <x:c r="CK1189" s="178" t="str">
        <x:f>IF(COUNT(BV1189:CB1189)=0,"",AVERAGE(BV1189:CB1189)*4)</x:f>
      </x:c>
      <x:c r="CL1189" s="178" t="str">
        <x:f>IF(C1189="","",IF(COUNT(G1189:CB1189)&lt;74,"",(CC1189*'تنظیمات وزن‌دهی'!$C$5+CD1189*'تنظیمات وزن‌دهی'!$C$6+CE1189*'تنظیمات وزن‌دهی'!$C$7+CF1189*'تنظیمات وزن‌دهی'!$C$8+CG1189*'تنظیمات وزن‌دهی'!$C$9+CH1189*'تنظیمات وزن‌دهی'!$C$10+CI1189*'تنظیمات وزن‌دهی'!$C$11+CJ1189*'تنظیمات وزن‌دهی'!$C$12+CK1189*'تنظیمات وزن‌دهی'!$C$13)/100))</x:f>
      </x:c>
      <x:c r="CM1189" s="178" t="str">
        <x:f>IF(C1189="","",IF(COUNT(G1189:CB1189)=0,"",IF(COUNT(G1189:CB1189)&lt;74,"موقت - اطلاعات ناقص",IF(CL1189&gt;=17,"عالی",IF(CL1189&gt;=14,"خوب",IF(CL1189&gt;=10,"متوسط","ضعیف"))))))</x:f>
      </x:c>
      <x:c r="CN1189" s="178" t="n">
        <x:v>9</x:v>
      </x:c>
      <x:c r="CO1189" s="142" t="n">
        <x:f>IF(C1189="","",COUNT(G1189:CB1189)/74)</x:f>
        <x:v>0</x:v>
      </x:c>
      <x:c r="CP1189" s="245"/>
    </x:row>
    <x:row r="1190">
      <x:c r="A1190" s="165" t="n">
        <x:v>1186</x:v>
      </x:c>
      <x:c r="B1190" s="233" t="str">
        <x:v>فروردین</x:v>
      </x:c>
      <x:c r="C1190" s="233" t="n">
        <x:f>IF('دانش‌آموزان'!E103="","",'دانش‌آموزان'!B103)</x:f>
        <x:v>99</x:v>
      </x:c>
      <x:c r="D1190" s="233" t="str">
        <x:f>IF('دانش‌آموزان'!C103="","",'دانش‌آموزان'!C103)</x:f>
        <x:v>4000000993</x:v>
      </x:c>
      <x:c r="E1190" s="233" t="str">
        <x:f>IF('دانش‌آموزان'!E103="","",'دانش‌آموزان'!E103&amp;" "&amp;'دانش‌آموزان'!F103)</x:f>
        <x:v>رضا صادقی</x:v>
      </x:c>
      <x:c r="F1190" s="166" t="str">
        <x:f>IF('دانش‌آموزان'!I103="","",'دانش‌آموزان'!I103)</x:f>
        <x:v>sample-7-d</x:v>
      </x:c>
      <x:c r="G1190" s="114"/>
      <x:c r="H1190" s="115"/>
      <x:c r="I1190" s="115"/>
      <x:c r="J1190" s="115"/>
      <x:c r="K1190" s="115"/>
      <x:c r="L1190" s="115"/>
      <x:c r="M1190" s="115"/>
      <x:c r="N1190" s="115"/>
      <x:c r="O1190" s="115"/>
      <x:c r="P1190" s="115"/>
      <x:c r="Q1190" s="115"/>
      <x:c r="R1190" s="115"/>
      <x:c r="S1190" s="115"/>
      <x:c r="T1190" s="115"/>
      <x:c r="U1190" s="115"/>
      <x:c r="V1190" s="115"/>
      <x:c r="W1190" s="115"/>
      <x:c r="X1190" s="115"/>
      <x:c r="Y1190" s="115"/>
      <x:c r="Z1190" s="115"/>
      <x:c r="AA1190" s="115"/>
      <x:c r="AB1190" s="115"/>
      <x:c r="AC1190" s="115"/>
      <x:c r="AD1190" s="115"/>
      <x:c r="AE1190" s="115"/>
      <x:c r="AF1190" s="115"/>
      <x:c r="AG1190" s="115"/>
      <x:c r="AH1190" s="115"/>
      <x:c r="AI1190" s="115"/>
      <x:c r="AJ1190" s="115"/>
      <x:c r="AK1190" s="115"/>
      <x:c r="AL1190" s="115"/>
      <x:c r="AM1190" s="115"/>
      <x:c r="AN1190" s="115"/>
      <x:c r="AO1190" s="115"/>
      <x:c r="AP1190" s="115"/>
      <x:c r="AQ1190" s="115"/>
      <x:c r="AR1190" s="115"/>
      <x:c r="AS1190" s="115"/>
      <x:c r="AT1190" s="115"/>
      <x:c r="AU1190" s="115"/>
      <x:c r="AV1190" s="115"/>
      <x:c r="AW1190" s="115"/>
      <x:c r="AX1190" s="115"/>
      <x:c r="AY1190" s="115"/>
      <x:c r="AZ1190" s="115"/>
      <x:c r="BA1190" s="115"/>
      <x:c r="BB1190" s="115"/>
      <x:c r="BC1190" s="115"/>
      <x:c r="BD1190" s="115"/>
      <x:c r="BE1190" s="115"/>
      <x:c r="BF1190" s="115"/>
      <x:c r="BG1190" s="115"/>
      <x:c r="BH1190" s="115"/>
      <x:c r="BI1190" s="115"/>
      <x:c r="BJ1190" s="115"/>
      <x:c r="BK1190" s="115"/>
      <x:c r="BL1190" s="115"/>
      <x:c r="BM1190" s="115"/>
      <x:c r="BN1190" s="115"/>
      <x:c r="BO1190" s="115"/>
      <x:c r="BP1190" s="115"/>
      <x:c r="BQ1190" s="115"/>
      <x:c r="BR1190" s="115"/>
      <x:c r="BS1190" s="115"/>
      <x:c r="BT1190" s="115"/>
      <x:c r="BU1190" s="115"/>
      <x:c r="BV1190" s="115"/>
      <x:c r="BW1190" s="115"/>
      <x:c r="BX1190" s="115"/>
      <x:c r="BY1190" s="115"/>
      <x:c r="BZ1190" s="115"/>
      <x:c r="CA1190" s="115"/>
      <x:c r="CB1190" s="116"/>
      <x:c r="CC1190" s="141" t="str">
        <x:f>IF(COUNT(G1190:P1190)=0,"",AVERAGE(G1190:P1190)*4)</x:f>
      </x:c>
      <x:c r="CD1190" s="178" t="str">
        <x:f>IF(COUNT(Q1190:Z1190)=0,"",AVERAGE(Q1190:Z1190)*4)</x:f>
      </x:c>
      <x:c r="CE1190" s="178" t="str">
        <x:f>IF(COUNT(AA1190:AJ1190)=0,"",AVERAGE(AA1190:AJ1190)*4)</x:f>
      </x:c>
      <x:c r="CF1190" s="178" t="str">
        <x:f>IF(COUNT(AK1190:AR1190)=0,"",AVERAGE(AK1190:AR1190)*4)</x:f>
      </x:c>
      <x:c r="CG1190" s="178" t="str">
        <x:f>IF(COUNT(AS1190:AY1190)=0,"",AVERAGE(AS1190:AY1190)*4)</x:f>
      </x:c>
      <x:c r="CH1190" s="178" t="str">
        <x:f>IF(COUNT(AZ1190:BG1190)=0,"",AVERAGE(AZ1190:BG1190)*4)</x:f>
      </x:c>
      <x:c r="CI1190" s="178" t="str">
        <x:f>IF(COUNT(BH1190:BN1190)=0,"",AVERAGE(BH1190:BN1190)*4)</x:f>
      </x:c>
      <x:c r="CJ1190" s="178" t="str">
        <x:f>IF(COUNT(BO1190:BU1190)=0,"",AVERAGE(BO1190:BU1190)*4)</x:f>
      </x:c>
      <x:c r="CK1190" s="178" t="str">
        <x:f>IF(COUNT(BV1190:CB1190)=0,"",AVERAGE(BV1190:CB1190)*4)</x:f>
      </x:c>
      <x:c r="CL1190" s="178" t="str">
        <x:f>IF(C1190="","",IF(COUNT(G1190:CB1190)&lt;74,"",(CC1190*'تنظیمات وزن‌دهی'!$C$5+CD1190*'تنظیمات وزن‌دهی'!$C$6+CE1190*'تنظیمات وزن‌دهی'!$C$7+CF1190*'تنظیمات وزن‌دهی'!$C$8+CG1190*'تنظیمات وزن‌دهی'!$C$9+CH1190*'تنظیمات وزن‌دهی'!$C$10+CI1190*'تنظیمات وزن‌دهی'!$C$11+CJ1190*'تنظیمات وزن‌دهی'!$C$12+CK1190*'تنظیمات وزن‌دهی'!$C$13)/100))</x:f>
      </x:c>
      <x:c r="CM1190" s="178" t="str">
        <x:f>IF(C1190="","",IF(COUNT(G1190:CB1190)=0,"",IF(COUNT(G1190:CB1190)&lt;74,"موقت - اطلاعات ناقص",IF(CL1190&gt;=17,"عالی",IF(CL1190&gt;=14,"خوب",IF(CL1190&gt;=10,"متوسط","ضعیف"))))))</x:f>
      </x:c>
      <x:c r="CN1190" s="178" t="n">
        <x:v>10</x:v>
      </x:c>
      <x:c r="CO1190" s="142" t="n">
        <x:f>IF(C1190="","",COUNT(G1190:CB1190)/74)</x:f>
        <x:v>0</x:v>
      </x:c>
      <x:c r="CP1190" s="245"/>
    </x:row>
    <x:row r="1191">
      <x:c r="A1191" s="165" t="n">
        <x:v>1187</x:v>
      </x:c>
      <x:c r="B1191" s="233" t="str">
        <x:v>اردیبهشت</x:v>
      </x:c>
      <x:c r="C1191" s="233" t="n">
        <x:f>IF('دانش‌آموزان'!E103="","",'دانش‌آموزان'!B103)</x:f>
        <x:v>99</x:v>
      </x:c>
      <x:c r="D1191" s="233" t="str">
        <x:f>IF('دانش‌آموزان'!C103="","",'دانش‌آموزان'!C103)</x:f>
        <x:v>4000000993</x:v>
      </x:c>
      <x:c r="E1191" s="233" t="str">
        <x:f>IF('دانش‌آموزان'!E103="","",'دانش‌آموزان'!E103&amp;" "&amp;'دانش‌آموزان'!F103)</x:f>
        <x:v>رضا صادقی</x:v>
      </x:c>
      <x:c r="F1191" s="166" t="str">
        <x:f>IF('دانش‌آموزان'!I103="","",'دانش‌آموزان'!I103)</x:f>
        <x:v>sample-7-d</x:v>
      </x:c>
      <x:c r="G1191" s="114"/>
      <x:c r="H1191" s="115"/>
      <x:c r="I1191" s="115"/>
      <x:c r="J1191" s="115"/>
      <x:c r="K1191" s="115"/>
      <x:c r="L1191" s="115"/>
      <x:c r="M1191" s="115"/>
      <x:c r="N1191" s="115"/>
      <x:c r="O1191" s="115"/>
      <x:c r="P1191" s="115"/>
      <x:c r="Q1191" s="115"/>
      <x:c r="R1191" s="115"/>
      <x:c r="S1191" s="115"/>
      <x:c r="T1191" s="115"/>
      <x:c r="U1191" s="115"/>
      <x:c r="V1191" s="115"/>
      <x:c r="W1191" s="115"/>
      <x:c r="X1191" s="115"/>
      <x:c r="Y1191" s="115"/>
      <x:c r="Z1191" s="115"/>
      <x:c r="AA1191" s="115"/>
      <x:c r="AB1191" s="115"/>
      <x:c r="AC1191" s="115"/>
      <x:c r="AD1191" s="115"/>
      <x:c r="AE1191" s="115"/>
      <x:c r="AF1191" s="115"/>
      <x:c r="AG1191" s="115"/>
      <x:c r="AH1191" s="115"/>
      <x:c r="AI1191" s="115"/>
      <x:c r="AJ1191" s="115"/>
      <x:c r="AK1191" s="115"/>
      <x:c r="AL1191" s="115"/>
      <x:c r="AM1191" s="115"/>
      <x:c r="AN1191" s="115"/>
      <x:c r="AO1191" s="115"/>
      <x:c r="AP1191" s="115"/>
      <x:c r="AQ1191" s="115"/>
      <x:c r="AR1191" s="115"/>
      <x:c r="AS1191" s="115"/>
      <x:c r="AT1191" s="115"/>
      <x:c r="AU1191" s="115"/>
      <x:c r="AV1191" s="115"/>
      <x:c r="AW1191" s="115"/>
      <x:c r="AX1191" s="115"/>
      <x:c r="AY1191" s="115"/>
      <x:c r="AZ1191" s="115"/>
      <x:c r="BA1191" s="115"/>
      <x:c r="BB1191" s="115"/>
      <x:c r="BC1191" s="115"/>
      <x:c r="BD1191" s="115"/>
      <x:c r="BE1191" s="115"/>
      <x:c r="BF1191" s="115"/>
      <x:c r="BG1191" s="115"/>
      <x:c r="BH1191" s="115"/>
      <x:c r="BI1191" s="115"/>
      <x:c r="BJ1191" s="115"/>
      <x:c r="BK1191" s="115"/>
      <x:c r="BL1191" s="115"/>
      <x:c r="BM1191" s="115"/>
      <x:c r="BN1191" s="115"/>
      <x:c r="BO1191" s="115"/>
      <x:c r="BP1191" s="115"/>
      <x:c r="BQ1191" s="115"/>
      <x:c r="BR1191" s="115"/>
      <x:c r="BS1191" s="115"/>
      <x:c r="BT1191" s="115"/>
      <x:c r="BU1191" s="115"/>
      <x:c r="BV1191" s="115"/>
      <x:c r="BW1191" s="115"/>
      <x:c r="BX1191" s="115"/>
      <x:c r="BY1191" s="115"/>
      <x:c r="BZ1191" s="115"/>
      <x:c r="CA1191" s="115"/>
      <x:c r="CB1191" s="116"/>
      <x:c r="CC1191" s="141" t="str">
        <x:f>IF(COUNT(G1191:P1191)=0,"",AVERAGE(G1191:P1191)*4)</x:f>
      </x:c>
      <x:c r="CD1191" s="178" t="str">
        <x:f>IF(COUNT(Q1191:Z1191)=0,"",AVERAGE(Q1191:Z1191)*4)</x:f>
      </x:c>
      <x:c r="CE1191" s="178" t="str">
        <x:f>IF(COUNT(AA1191:AJ1191)=0,"",AVERAGE(AA1191:AJ1191)*4)</x:f>
      </x:c>
      <x:c r="CF1191" s="178" t="str">
        <x:f>IF(COUNT(AK1191:AR1191)=0,"",AVERAGE(AK1191:AR1191)*4)</x:f>
      </x:c>
      <x:c r="CG1191" s="178" t="str">
        <x:f>IF(COUNT(AS1191:AY1191)=0,"",AVERAGE(AS1191:AY1191)*4)</x:f>
      </x:c>
      <x:c r="CH1191" s="178" t="str">
        <x:f>IF(COUNT(AZ1191:BG1191)=0,"",AVERAGE(AZ1191:BG1191)*4)</x:f>
      </x:c>
      <x:c r="CI1191" s="178" t="str">
        <x:f>IF(COUNT(BH1191:BN1191)=0,"",AVERAGE(BH1191:BN1191)*4)</x:f>
      </x:c>
      <x:c r="CJ1191" s="178" t="str">
        <x:f>IF(COUNT(BO1191:BU1191)=0,"",AVERAGE(BO1191:BU1191)*4)</x:f>
      </x:c>
      <x:c r="CK1191" s="178" t="str">
        <x:f>IF(COUNT(BV1191:CB1191)=0,"",AVERAGE(BV1191:CB1191)*4)</x:f>
      </x:c>
      <x:c r="CL1191" s="178" t="str">
        <x:f>IF(C1191="","",IF(COUNT(G1191:CB1191)&lt;74,"",(CC1191*'تنظیمات وزن‌دهی'!$C$5+CD1191*'تنظیمات وزن‌دهی'!$C$6+CE1191*'تنظیمات وزن‌دهی'!$C$7+CF1191*'تنظیمات وزن‌دهی'!$C$8+CG1191*'تنظیمات وزن‌دهی'!$C$9+CH1191*'تنظیمات وزن‌دهی'!$C$10+CI1191*'تنظیمات وزن‌دهی'!$C$11+CJ1191*'تنظیمات وزن‌دهی'!$C$12+CK1191*'تنظیمات وزن‌دهی'!$C$13)/100))</x:f>
      </x:c>
      <x:c r="CM1191" s="178" t="str">
        <x:f>IF(C1191="","",IF(COUNT(G1191:CB1191)=0,"",IF(COUNT(G1191:CB1191)&lt;74,"موقت - اطلاعات ناقص",IF(CL1191&gt;=17,"عالی",IF(CL1191&gt;=14,"خوب",IF(CL1191&gt;=10,"متوسط","ضعیف"))))))</x:f>
      </x:c>
      <x:c r="CN1191" s="178" t="n">
        <x:v>11</x:v>
      </x:c>
      <x:c r="CO1191" s="142" t="n">
        <x:f>IF(C1191="","",COUNT(G1191:CB1191)/74)</x:f>
        <x:v>0</x:v>
      </x:c>
      <x:c r="CP1191" s="245"/>
    </x:row>
    <x:row r="1192">
      <x:c r="A1192" s="165" t="n">
        <x:v>1188</x:v>
      </x:c>
      <x:c r="B1192" s="233" t="str">
        <x:v>خرداد</x:v>
      </x:c>
      <x:c r="C1192" s="233" t="n">
        <x:f>IF('دانش‌آموزان'!E103="","",'دانش‌آموزان'!B103)</x:f>
        <x:v>99</x:v>
      </x:c>
      <x:c r="D1192" s="233" t="str">
        <x:f>IF('دانش‌آموزان'!C103="","",'دانش‌آموزان'!C103)</x:f>
        <x:v>4000000993</x:v>
      </x:c>
      <x:c r="E1192" s="233" t="str">
        <x:f>IF('دانش‌آموزان'!E103="","",'دانش‌آموزان'!E103&amp;" "&amp;'دانش‌آموزان'!F103)</x:f>
        <x:v>رضا صادقی</x:v>
      </x:c>
      <x:c r="F1192" s="166" t="str">
        <x:f>IF('دانش‌آموزان'!I103="","",'دانش‌آموزان'!I103)</x:f>
        <x:v>sample-7-d</x:v>
      </x:c>
      <x:c r="G1192" s="114"/>
      <x:c r="H1192" s="115"/>
      <x:c r="I1192" s="115"/>
      <x:c r="J1192" s="115"/>
      <x:c r="K1192" s="115"/>
      <x:c r="L1192" s="115"/>
      <x:c r="M1192" s="115"/>
      <x:c r="N1192" s="115"/>
      <x:c r="O1192" s="115"/>
      <x:c r="P1192" s="115"/>
      <x:c r="Q1192" s="115"/>
      <x:c r="R1192" s="115"/>
      <x:c r="S1192" s="115"/>
      <x:c r="T1192" s="115"/>
      <x:c r="U1192" s="115"/>
      <x:c r="V1192" s="115"/>
      <x:c r="W1192" s="115"/>
      <x:c r="X1192" s="115"/>
      <x:c r="Y1192" s="115"/>
      <x:c r="Z1192" s="115"/>
      <x:c r="AA1192" s="115"/>
      <x:c r="AB1192" s="115"/>
      <x:c r="AC1192" s="115"/>
      <x:c r="AD1192" s="115"/>
      <x:c r="AE1192" s="115"/>
      <x:c r="AF1192" s="115"/>
      <x:c r="AG1192" s="115"/>
      <x:c r="AH1192" s="115"/>
      <x:c r="AI1192" s="115"/>
      <x:c r="AJ1192" s="115"/>
      <x:c r="AK1192" s="115"/>
      <x:c r="AL1192" s="115"/>
      <x:c r="AM1192" s="115"/>
      <x:c r="AN1192" s="115"/>
      <x:c r="AO1192" s="115"/>
      <x:c r="AP1192" s="115"/>
      <x:c r="AQ1192" s="115"/>
      <x:c r="AR1192" s="115"/>
      <x:c r="AS1192" s="115"/>
      <x:c r="AT1192" s="115"/>
      <x:c r="AU1192" s="115"/>
      <x:c r="AV1192" s="115"/>
      <x:c r="AW1192" s="115"/>
      <x:c r="AX1192" s="115"/>
      <x:c r="AY1192" s="115"/>
      <x:c r="AZ1192" s="115"/>
      <x:c r="BA1192" s="115"/>
      <x:c r="BB1192" s="115"/>
      <x:c r="BC1192" s="115"/>
      <x:c r="BD1192" s="115"/>
      <x:c r="BE1192" s="115"/>
      <x:c r="BF1192" s="115"/>
      <x:c r="BG1192" s="115"/>
      <x:c r="BH1192" s="115"/>
      <x:c r="BI1192" s="115"/>
      <x:c r="BJ1192" s="115"/>
      <x:c r="BK1192" s="115"/>
      <x:c r="BL1192" s="115"/>
      <x:c r="BM1192" s="115"/>
      <x:c r="BN1192" s="115"/>
      <x:c r="BO1192" s="115"/>
      <x:c r="BP1192" s="115"/>
      <x:c r="BQ1192" s="115"/>
      <x:c r="BR1192" s="115"/>
      <x:c r="BS1192" s="115"/>
      <x:c r="BT1192" s="115"/>
      <x:c r="BU1192" s="115"/>
      <x:c r="BV1192" s="115"/>
      <x:c r="BW1192" s="115"/>
      <x:c r="BX1192" s="115"/>
      <x:c r="BY1192" s="115"/>
      <x:c r="BZ1192" s="115"/>
      <x:c r="CA1192" s="115"/>
      <x:c r="CB1192" s="116"/>
      <x:c r="CC1192" s="141" t="str">
        <x:f>IF(COUNT(G1192:P1192)=0,"",AVERAGE(G1192:P1192)*4)</x:f>
      </x:c>
      <x:c r="CD1192" s="178" t="str">
        <x:f>IF(COUNT(Q1192:Z1192)=0,"",AVERAGE(Q1192:Z1192)*4)</x:f>
      </x:c>
      <x:c r="CE1192" s="178" t="str">
        <x:f>IF(COUNT(AA1192:AJ1192)=0,"",AVERAGE(AA1192:AJ1192)*4)</x:f>
      </x:c>
      <x:c r="CF1192" s="178" t="str">
        <x:f>IF(COUNT(AK1192:AR1192)=0,"",AVERAGE(AK1192:AR1192)*4)</x:f>
      </x:c>
      <x:c r="CG1192" s="178" t="str">
        <x:f>IF(COUNT(AS1192:AY1192)=0,"",AVERAGE(AS1192:AY1192)*4)</x:f>
      </x:c>
      <x:c r="CH1192" s="178" t="str">
        <x:f>IF(COUNT(AZ1192:BG1192)=0,"",AVERAGE(AZ1192:BG1192)*4)</x:f>
      </x:c>
      <x:c r="CI1192" s="178" t="str">
        <x:f>IF(COUNT(BH1192:BN1192)=0,"",AVERAGE(BH1192:BN1192)*4)</x:f>
      </x:c>
      <x:c r="CJ1192" s="178" t="str">
        <x:f>IF(COUNT(BO1192:BU1192)=0,"",AVERAGE(BO1192:BU1192)*4)</x:f>
      </x:c>
      <x:c r="CK1192" s="178" t="str">
        <x:f>IF(COUNT(BV1192:CB1192)=0,"",AVERAGE(BV1192:CB1192)*4)</x:f>
      </x:c>
      <x:c r="CL1192" s="178" t="str">
        <x:f>IF(C1192="","",IF(COUNT(G1192:CB1192)&lt;74,"",(CC1192*'تنظیمات وزن‌دهی'!$C$5+CD1192*'تنظیمات وزن‌دهی'!$C$6+CE1192*'تنظیمات وزن‌دهی'!$C$7+CF1192*'تنظیمات وزن‌دهی'!$C$8+CG1192*'تنظیمات وزن‌دهی'!$C$9+CH1192*'تنظیمات وزن‌دهی'!$C$10+CI1192*'تنظیمات وزن‌دهی'!$C$11+CJ1192*'تنظیمات وزن‌دهی'!$C$12+CK1192*'تنظیمات وزن‌دهی'!$C$13)/100))</x:f>
      </x:c>
      <x:c r="CM1192" s="178" t="str">
        <x:f>IF(C1192="","",IF(COUNT(G1192:CB1192)=0,"",IF(COUNT(G1192:CB1192)&lt;74,"موقت - اطلاعات ناقص",IF(CL1192&gt;=17,"عالی",IF(CL1192&gt;=14,"خوب",IF(CL1192&gt;=10,"متوسط","ضعیف"))))))</x:f>
      </x:c>
      <x:c r="CN1192" s="178" t="n">
        <x:v>12</x:v>
      </x:c>
      <x:c r="CO1192" s="142" t="n">
        <x:f>IF(C1192="","",COUNT(G1192:CB1192)/74)</x:f>
        <x:v>0</x:v>
      </x:c>
      <x:c r="CP1192" s="245"/>
    </x:row>
    <x:row r="1193">
      <x:c r="A1193" s="165" t="n">
        <x:v>1189</x:v>
      </x:c>
      <x:c r="B1193" s="233" t="str">
        <x:v>تیر</x:v>
      </x:c>
      <x:c r="C1193" s="233" t="n">
        <x:f>IF('دانش‌آموزان'!E104="","",'دانش‌آموزان'!B104)</x:f>
        <x:v>100</x:v>
      </x:c>
      <x:c r="D1193" s="233" t="str">
        <x:f>IF('دانش‌آموزان'!C104="","",'دانش‌آموزان'!C104)</x:f>
        <x:v>4000001000</x:v>
      </x:c>
      <x:c r="E1193" s="233" t="str">
        <x:f>IF('دانش‌آموزان'!E104="","",'دانش‌آموزان'!E104&amp;" "&amp;'دانش‌آموزان'!F104)</x:f>
        <x:v>آوا کاظمی</x:v>
      </x:c>
      <x:c r="F1193" s="166" t="str">
        <x:f>IF('دانش‌آموزان'!I104="","",'دانش‌آموزان'!I104)</x:f>
        <x:v>sample-7-d</x:v>
      </x:c>
      <x:c r="G1193" s="114" t="n">
        <x:v>2</x:v>
      </x:c>
      <x:c r="H1193" s="115" t="n">
        <x:v>4</x:v>
      </x:c>
      <x:c r="I1193" s="115" t="n">
        <x:v>5</x:v>
      </x:c>
      <x:c r="J1193" s="115" t="n">
        <x:v>4</x:v>
      </x:c>
      <x:c r="K1193" s="115" t="n">
        <x:v>5</x:v>
      </x:c>
      <x:c r="L1193" s="115" t="n">
        <x:v>3</x:v>
      </x:c>
      <x:c r="M1193" s="115" t="n">
        <x:v>5</x:v>
      </x:c>
      <x:c r="N1193" s="115" t="n">
        <x:v>3</x:v>
      </x:c>
      <x:c r="O1193" s="115" t="n">
        <x:v>4</x:v>
      </x:c>
      <x:c r="P1193" s="115" t="n">
        <x:v>3</x:v>
      </x:c>
      <x:c r="Q1193" s="115" t="n">
        <x:v>4</x:v>
      </x:c>
      <x:c r="R1193" s="115" t="n">
        <x:v>2</x:v>
      </x:c>
      <x:c r="S1193" s="115" t="n">
        <x:v>4</x:v>
      </x:c>
      <x:c r="T1193" s="115" t="n">
        <x:v>5</x:v>
      </x:c>
      <x:c r="U1193" s="115" t="n">
        <x:v>4</x:v>
      </x:c>
      <x:c r="V1193" s="115" t="n">
        <x:v>5</x:v>
      </x:c>
      <x:c r="W1193" s="115" t="n">
        <x:v>3</x:v>
      </x:c>
      <x:c r="X1193" s="115" t="n">
        <x:v>5</x:v>
      </x:c>
      <x:c r="Y1193" s="115" t="n">
        <x:v>3</x:v>
      </x:c>
      <x:c r="Z1193" s="115" t="n">
        <x:v>4</x:v>
      </x:c>
      <x:c r="AA1193" s="115" t="n">
        <x:v>3</x:v>
      </x:c>
      <x:c r="AB1193" s="115" t="n">
        <x:v>4</x:v>
      </x:c>
      <x:c r="AC1193" s="115" t="n">
        <x:v>2</x:v>
      </x:c>
      <x:c r="AD1193" s="115" t="n">
        <x:v>4</x:v>
      </x:c>
      <x:c r="AE1193" s="115" t="n">
        <x:v>5</x:v>
      </x:c>
      <x:c r="AF1193" s="115" t="n">
        <x:v>4</x:v>
      </x:c>
      <x:c r="AG1193" s="115" t="n">
        <x:v>5</x:v>
      </x:c>
      <x:c r="AH1193" s="115" t="n">
        <x:v>3</x:v>
      </x:c>
      <x:c r="AI1193" s="115" t="n">
        <x:v>5</x:v>
      </x:c>
      <x:c r="AJ1193" s="115" t="n">
        <x:v>3</x:v>
      </x:c>
      <x:c r="AK1193" s="115" t="n">
        <x:v>4</x:v>
      </x:c>
      <x:c r="AL1193" s="115" t="n">
        <x:v>3</x:v>
      </x:c>
      <x:c r="AM1193" s="115" t="n">
        <x:v>4</x:v>
      </x:c>
      <x:c r="AN1193" s="115" t="n">
        <x:v>2</x:v>
      </x:c>
      <x:c r="AO1193" s="115" t="n">
        <x:v>4</x:v>
      </x:c>
      <x:c r="AP1193" s="115" t="n">
        <x:v>5</x:v>
      </x:c>
      <x:c r="AQ1193" s="115" t="n">
        <x:v>4</x:v>
      </x:c>
      <x:c r="AR1193" s="115" t="n">
        <x:v>5</x:v>
      </x:c>
      <x:c r="AS1193" s="115" t="n">
        <x:v>3</x:v>
      </x:c>
      <x:c r="AT1193" s="115" t="n">
        <x:v>5</x:v>
      </x:c>
      <x:c r="AU1193" s="115" t="n">
        <x:v>3</x:v>
      </x:c>
      <x:c r="AV1193" s="115" t="n">
        <x:v>4</x:v>
      </x:c>
      <x:c r="AW1193" s="115" t="n">
        <x:v>3</x:v>
      </x:c>
      <x:c r="AX1193" s="115" t="n">
        <x:v>4</x:v>
      </x:c>
      <x:c r="AY1193" s="115" t="n">
        <x:v>2</x:v>
      </x:c>
      <x:c r="AZ1193" s="115" t="n">
        <x:v>4</x:v>
      </x:c>
      <x:c r="BA1193" s="115" t="n">
        <x:v>5</x:v>
      </x:c>
      <x:c r="BB1193" s="115" t="n">
        <x:v>4</x:v>
      </x:c>
      <x:c r="BC1193" s="115" t="n">
        <x:v>5</x:v>
      </x:c>
      <x:c r="BD1193" s="115" t="n">
        <x:v>3</x:v>
      </x:c>
      <x:c r="BE1193" s="115" t="n">
        <x:v>5</x:v>
      </x:c>
      <x:c r="BF1193" s="115" t="n">
        <x:v>3</x:v>
      </x:c>
      <x:c r="BG1193" s="115" t="n">
        <x:v>4</x:v>
      </x:c>
      <x:c r="BH1193" s="115" t="n">
        <x:v>3</x:v>
      </x:c>
      <x:c r="BI1193" s="115" t="n">
        <x:v>4</x:v>
      </x:c>
      <x:c r="BJ1193" s="115" t="n">
        <x:v>2</x:v>
      </x:c>
      <x:c r="BK1193" s="115" t="n">
        <x:v>4</x:v>
      </x:c>
      <x:c r="BL1193" s="115" t="n">
        <x:v>5</x:v>
      </x:c>
      <x:c r="BM1193" s="115" t="n">
        <x:v>4</x:v>
      </x:c>
      <x:c r="BN1193" s="115" t="n">
        <x:v>5</x:v>
      </x:c>
      <x:c r="BO1193" s="115" t="n">
        <x:v>3</x:v>
      </x:c>
      <x:c r="BP1193" s="115" t="n">
        <x:v>5</x:v>
      </x:c>
      <x:c r="BQ1193" s="115" t="n">
        <x:v>3</x:v>
      </x:c>
      <x:c r="BR1193" s="115" t="n">
        <x:v>4</x:v>
      </x:c>
      <x:c r="BS1193" s="115" t="n">
        <x:v>3</x:v>
      </x:c>
      <x:c r="BT1193" s="115" t="n">
        <x:v>4</x:v>
      </x:c>
      <x:c r="BU1193" s="115" t="n">
        <x:v>2</x:v>
      </x:c>
      <x:c r="BV1193" s="115" t="n">
        <x:v>4</x:v>
      </x:c>
      <x:c r="BW1193" s="115" t="n">
        <x:v>5</x:v>
      </x:c>
      <x:c r="BX1193" s="115" t="n">
        <x:v>4</x:v>
      </x:c>
      <x:c r="BY1193" s="115" t="n">
        <x:v>5</x:v>
      </x:c>
      <x:c r="BZ1193" s="115" t="n">
        <x:v>3</x:v>
      </x:c>
      <x:c r="CA1193" s="115" t="n">
        <x:v>5</x:v>
      </x:c>
      <x:c r="CB1193" s="116" t="n">
        <x:v>3</x:v>
      </x:c>
      <x:c r="CC1193" s="141" t="n">
        <x:f>IF(COUNT(G1193:P1193)=0,"",AVERAGE(G1193:P1193)*4)</x:f>
        <x:v>15.2</x:v>
      </x:c>
      <x:c r="CD1193" s="178" t="n">
        <x:f>IF(COUNT(Q1193:Z1193)=0,"",AVERAGE(Q1193:Z1193)*4)</x:f>
        <x:v>15.6</x:v>
      </x:c>
      <x:c r="CE1193" s="178" t="n">
        <x:f>IF(COUNT(AA1193:AJ1193)=0,"",AVERAGE(AA1193:AJ1193)*4)</x:f>
        <x:v>15.2</x:v>
      </x:c>
      <x:c r="CF1193" s="178" t="n">
        <x:f>IF(COUNT(AK1193:AR1193)=0,"",AVERAGE(AK1193:AR1193)*4)</x:f>
        <x:v>15.5</x:v>
      </x:c>
      <x:c r="CG1193" s="178" t="n">
        <x:f>IF(COUNT(AS1193:AY1193)=0,"",AVERAGE(AS1193:AY1193)*4)</x:f>
        <x:v>13.714285714285714</x:v>
      </x:c>
      <x:c r="CH1193" s="178" t="n">
        <x:f>IF(COUNT(AZ1193:BG1193)=0,"",AVERAGE(AZ1193:BG1193)*4)</x:f>
        <x:v>16.5</x:v>
      </x:c>
      <x:c r="CI1193" s="178" t="n">
        <x:f>IF(COUNT(BH1193:BN1193)=0,"",AVERAGE(BH1193:BN1193)*4)</x:f>
        <x:v>15.428571428571429</x:v>
      </x:c>
      <x:c r="CJ1193" s="178" t="n">
        <x:f>IF(COUNT(BO1193:BU1193)=0,"",AVERAGE(BO1193:BU1193)*4)</x:f>
        <x:v>13.714285714285714</x:v>
      </x:c>
      <x:c r="CK1193" s="178" t="n">
        <x:f>IF(COUNT(BV1193:CB1193)=0,"",AVERAGE(BV1193:CB1193)*4)</x:f>
        <x:v>16.571428571428573</x:v>
      </x:c>
      <x:c r="CL1193" s="178" t="n">
        <x:f>IF(C1193="","",IF(COUNT(G1193:CB1193)&lt;74,"",(CC1193*'تنظیمات وزن‌دهی'!$C$5+CD1193*'تنظیمات وزن‌دهی'!$C$6+CE1193*'تنظیمات وزن‌دهی'!$C$7+CF1193*'تنظیمات وزن‌دهی'!$C$8+CG1193*'تنظیمات وزن‌دهی'!$C$9+CH1193*'تنظیمات وزن‌دهی'!$C$10+CI1193*'تنظیمات وزن‌دهی'!$C$11+CJ1193*'تنظیمات وزن‌دهی'!$C$12+CK1193*'تنظیمات وزن‌دهی'!$C$13)/100))</x:f>
        <x:v>15.327857142857143</x:v>
      </x:c>
      <x:c r="CM1193" s="178" t="str">
        <x:f>IF(C1193="","",IF(COUNT(G1193:CB1193)=0,"",IF(COUNT(G1193:CB1193)&lt;74,"موقت - اطلاعات ناقص",IF(CL1193&gt;=17,"عالی",IF(CL1193&gt;=14,"خوب",IF(CL1193&gt;=10,"متوسط","ضعیف"))))))</x:f>
        <x:v>خوب</x:v>
      </x:c>
      <x:c r="CN1193" s="178" t="n">
        <x:v>1</x:v>
      </x:c>
      <x:c r="CO1193" s="142" t="n">
        <x:f>IF(C1193="","",COUNT(G1193:CB1193)/74)</x:f>
        <x:v>1</x:v>
      </x:c>
      <x:c r="CP1193" s="245" t="str">
        <x:v>داده نمونه کامل برای ماه تیر - دانش‌آموز شماره 100</x:v>
      </x:c>
    </x:row>
    <x:row r="1194">
      <x:c r="A1194" s="165" t="n">
        <x:v>1190</x:v>
      </x:c>
      <x:c r="B1194" s="233" t="str">
        <x:v>مرداد</x:v>
      </x:c>
      <x:c r="C1194" s="233" t="n">
        <x:f>IF('دانش‌آموزان'!E104="","",'دانش‌آموزان'!B104)</x:f>
        <x:v>100</x:v>
      </x:c>
      <x:c r="D1194" s="233" t="str">
        <x:f>IF('دانش‌آموزان'!C104="","",'دانش‌آموزان'!C104)</x:f>
        <x:v>4000001000</x:v>
      </x:c>
      <x:c r="E1194" s="233" t="str">
        <x:f>IF('دانش‌آموزان'!E104="","",'دانش‌آموزان'!E104&amp;" "&amp;'دانش‌آموزان'!F104)</x:f>
        <x:v>آوا کاظمی</x:v>
      </x:c>
      <x:c r="F1194" s="166" t="str">
        <x:f>IF('دانش‌آموزان'!I104="","",'دانش‌آموزان'!I104)</x:f>
        <x:v>sample-7-d</x:v>
      </x:c>
      <x:c r="G1194" s="114"/>
      <x:c r="H1194" s="115"/>
      <x:c r="I1194" s="115"/>
      <x:c r="J1194" s="115"/>
      <x:c r="K1194" s="115"/>
      <x:c r="L1194" s="115"/>
      <x:c r="M1194" s="115"/>
      <x:c r="N1194" s="115"/>
      <x:c r="O1194" s="115"/>
      <x:c r="P1194" s="115"/>
      <x:c r="Q1194" s="115"/>
      <x:c r="R1194" s="115"/>
      <x:c r="S1194" s="115"/>
      <x:c r="T1194" s="115"/>
      <x:c r="U1194" s="115"/>
      <x:c r="V1194" s="115"/>
      <x:c r="W1194" s="115"/>
      <x:c r="X1194" s="115"/>
      <x:c r="Y1194" s="115"/>
      <x:c r="Z1194" s="115"/>
      <x:c r="AA1194" s="115"/>
      <x:c r="AB1194" s="115"/>
      <x:c r="AC1194" s="115"/>
      <x:c r="AD1194" s="115"/>
      <x:c r="AE1194" s="115"/>
      <x:c r="AF1194" s="115"/>
      <x:c r="AG1194" s="115"/>
      <x:c r="AH1194" s="115"/>
      <x:c r="AI1194" s="115"/>
      <x:c r="AJ1194" s="115"/>
      <x:c r="AK1194" s="115"/>
      <x:c r="AL1194" s="115"/>
      <x:c r="AM1194" s="115"/>
      <x:c r="AN1194" s="115"/>
      <x:c r="AO1194" s="115"/>
      <x:c r="AP1194" s="115"/>
      <x:c r="AQ1194" s="115"/>
      <x:c r="AR1194" s="115"/>
      <x:c r="AS1194" s="115"/>
      <x:c r="AT1194" s="115"/>
      <x:c r="AU1194" s="115"/>
      <x:c r="AV1194" s="115"/>
      <x:c r="AW1194" s="115"/>
      <x:c r="AX1194" s="115"/>
      <x:c r="AY1194" s="115"/>
      <x:c r="AZ1194" s="115"/>
      <x:c r="BA1194" s="115"/>
      <x:c r="BB1194" s="115"/>
      <x:c r="BC1194" s="115"/>
      <x:c r="BD1194" s="115"/>
      <x:c r="BE1194" s="115"/>
      <x:c r="BF1194" s="115"/>
      <x:c r="BG1194" s="115"/>
      <x:c r="BH1194" s="115"/>
      <x:c r="BI1194" s="115"/>
      <x:c r="BJ1194" s="115"/>
      <x:c r="BK1194" s="115"/>
      <x:c r="BL1194" s="115"/>
      <x:c r="BM1194" s="115"/>
      <x:c r="BN1194" s="115"/>
      <x:c r="BO1194" s="115"/>
      <x:c r="BP1194" s="115"/>
      <x:c r="BQ1194" s="115"/>
      <x:c r="BR1194" s="115"/>
      <x:c r="BS1194" s="115"/>
      <x:c r="BT1194" s="115"/>
      <x:c r="BU1194" s="115"/>
      <x:c r="BV1194" s="115"/>
      <x:c r="BW1194" s="115"/>
      <x:c r="BX1194" s="115"/>
      <x:c r="BY1194" s="115"/>
      <x:c r="BZ1194" s="115"/>
      <x:c r="CA1194" s="115"/>
      <x:c r="CB1194" s="116"/>
      <x:c r="CC1194" s="141" t="str">
        <x:f>IF(COUNT(G1194:P1194)=0,"",AVERAGE(G1194:P1194)*4)</x:f>
      </x:c>
      <x:c r="CD1194" s="178" t="str">
        <x:f>IF(COUNT(Q1194:Z1194)=0,"",AVERAGE(Q1194:Z1194)*4)</x:f>
      </x:c>
      <x:c r="CE1194" s="178" t="str">
        <x:f>IF(COUNT(AA1194:AJ1194)=0,"",AVERAGE(AA1194:AJ1194)*4)</x:f>
      </x:c>
      <x:c r="CF1194" s="178" t="str">
        <x:f>IF(COUNT(AK1194:AR1194)=0,"",AVERAGE(AK1194:AR1194)*4)</x:f>
      </x:c>
      <x:c r="CG1194" s="178" t="str">
        <x:f>IF(COUNT(AS1194:AY1194)=0,"",AVERAGE(AS1194:AY1194)*4)</x:f>
      </x:c>
      <x:c r="CH1194" s="178" t="str">
        <x:f>IF(COUNT(AZ1194:BG1194)=0,"",AVERAGE(AZ1194:BG1194)*4)</x:f>
      </x:c>
      <x:c r="CI1194" s="178" t="str">
        <x:f>IF(COUNT(BH1194:BN1194)=0,"",AVERAGE(BH1194:BN1194)*4)</x:f>
      </x:c>
      <x:c r="CJ1194" s="178" t="str">
        <x:f>IF(COUNT(BO1194:BU1194)=0,"",AVERAGE(BO1194:BU1194)*4)</x:f>
      </x:c>
      <x:c r="CK1194" s="178" t="str">
        <x:f>IF(COUNT(BV1194:CB1194)=0,"",AVERAGE(BV1194:CB1194)*4)</x:f>
      </x:c>
      <x:c r="CL1194" s="178" t="str">
        <x:f>IF(C1194="","",IF(COUNT(G1194:CB1194)&lt;74,"",(CC1194*'تنظیمات وزن‌دهی'!$C$5+CD1194*'تنظیمات وزن‌دهی'!$C$6+CE1194*'تنظیمات وزن‌دهی'!$C$7+CF1194*'تنظیمات وزن‌دهی'!$C$8+CG1194*'تنظیمات وزن‌دهی'!$C$9+CH1194*'تنظیمات وزن‌دهی'!$C$10+CI1194*'تنظیمات وزن‌دهی'!$C$11+CJ1194*'تنظیمات وزن‌دهی'!$C$12+CK1194*'تنظیمات وزن‌دهی'!$C$13)/100))</x:f>
      </x:c>
      <x:c r="CM1194" s="178" t="str">
        <x:f>IF(C1194="","",IF(COUNT(G1194:CB1194)=0,"",IF(COUNT(G1194:CB1194)&lt;74,"موقت - اطلاعات ناقص",IF(CL1194&gt;=17,"عالی",IF(CL1194&gt;=14,"خوب",IF(CL1194&gt;=10,"متوسط","ضعیف"))))))</x:f>
      </x:c>
      <x:c r="CN1194" s="178" t="n">
        <x:v>2</x:v>
      </x:c>
      <x:c r="CO1194" s="142" t="n">
        <x:f>IF(C1194="","",COUNT(G1194:CB1194)/74)</x:f>
        <x:v>0</x:v>
      </x:c>
      <x:c r="CP1194" s="245"/>
    </x:row>
    <x:row r="1195">
      <x:c r="A1195" s="165" t="n">
        <x:v>1191</x:v>
      </x:c>
      <x:c r="B1195" s="233" t="str">
        <x:v>شهریور</x:v>
      </x:c>
      <x:c r="C1195" s="233" t="n">
        <x:f>IF('دانش‌آموزان'!E104="","",'دانش‌آموزان'!B104)</x:f>
        <x:v>100</x:v>
      </x:c>
      <x:c r="D1195" s="233" t="str">
        <x:f>IF('دانش‌آموزان'!C104="","",'دانش‌آموزان'!C104)</x:f>
        <x:v>4000001000</x:v>
      </x:c>
      <x:c r="E1195" s="233" t="str">
        <x:f>IF('دانش‌آموزان'!E104="","",'دانش‌آموزان'!E104&amp;" "&amp;'دانش‌آموزان'!F104)</x:f>
        <x:v>آوا کاظمی</x:v>
      </x:c>
      <x:c r="F1195" s="166" t="str">
        <x:f>IF('دانش‌آموزان'!I104="","",'دانش‌آموزان'!I104)</x:f>
        <x:v>sample-7-d</x:v>
      </x:c>
      <x:c r="G1195" s="114"/>
      <x:c r="H1195" s="115"/>
      <x:c r="I1195" s="115"/>
      <x:c r="J1195" s="115"/>
      <x:c r="K1195" s="115"/>
      <x:c r="L1195" s="115"/>
      <x:c r="M1195" s="115"/>
      <x:c r="N1195" s="115"/>
      <x:c r="O1195" s="115"/>
      <x:c r="P1195" s="115"/>
      <x:c r="Q1195" s="115"/>
      <x:c r="R1195" s="115"/>
      <x:c r="S1195" s="115"/>
      <x:c r="T1195" s="115"/>
      <x:c r="U1195" s="115"/>
      <x:c r="V1195" s="115"/>
      <x:c r="W1195" s="115"/>
      <x:c r="X1195" s="115"/>
      <x:c r="Y1195" s="115"/>
      <x:c r="Z1195" s="115"/>
      <x:c r="AA1195" s="115"/>
      <x:c r="AB1195" s="115"/>
      <x:c r="AC1195" s="115"/>
      <x:c r="AD1195" s="115"/>
      <x:c r="AE1195" s="115"/>
      <x:c r="AF1195" s="115"/>
      <x:c r="AG1195" s="115"/>
      <x:c r="AH1195" s="115"/>
      <x:c r="AI1195" s="115"/>
      <x:c r="AJ1195" s="115"/>
      <x:c r="AK1195" s="115"/>
      <x:c r="AL1195" s="115"/>
      <x:c r="AM1195" s="115"/>
      <x:c r="AN1195" s="115"/>
      <x:c r="AO1195" s="115"/>
      <x:c r="AP1195" s="115"/>
      <x:c r="AQ1195" s="115"/>
      <x:c r="AR1195" s="115"/>
      <x:c r="AS1195" s="115"/>
      <x:c r="AT1195" s="115"/>
      <x:c r="AU1195" s="115"/>
      <x:c r="AV1195" s="115"/>
      <x:c r="AW1195" s="115"/>
      <x:c r="AX1195" s="115"/>
      <x:c r="AY1195" s="115"/>
      <x:c r="AZ1195" s="115"/>
      <x:c r="BA1195" s="115"/>
      <x:c r="BB1195" s="115"/>
      <x:c r="BC1195" s="115"/>
      <x:c r="BD1195" s="115"/>
      <x:c r="BE1195" s="115"/>
      <x:c r="BF1195" s="115"/>
      <x:c r="BG1195" s="115"/>
      <x:c r="BH1195" s="115"/>
      <x:c r="BI1195" s="115"/>
      <x:c r="BJ1195" s="115"/>
      <x:c r="BK1195" s="115"/>
      <x:c r="BL1195" s="115"/>
      <x:c r="BM1195" s="115"/>
      <x:c r="BN1195" s="115"/>
      <x:c r="BO1195" s="115"/>
      <x:c r="BP1195" s="115"/>
      <x:c r="BQ1195" s="115"/>
      <x:c r="BR1195" s="115"/>
      <x:c r="BS1195" s="115"/>
      <x:c r="BT1195" s="115"/>
      <x:c r="BU1195" s="115"/>
      <x:c r="BV1195" s="115"/>
      <x:c r="BW1195" s="115"/>
      <x:c r="BX1195" s="115"/>
      <x:c r="BY1195" s="115"/>
      <x:c r="BZ1195" s="115"/>
      <x:c r="CA1195" s="115"/>
      <x:c r="CB1195" s="116"/>
      <x:c r="CC1195" s="141" t="str">
        <x:f>IF(COUNT(G1195:P1195)=0,"",AVERAGE(G1195:P1195)*4)</x:f>
      </x:c>
      <x:c r="CD1195" s="178" t="str">
        <x:f>IF(COUNT(Q1195:Z1195)=0,"",AVERAGE(Q1195:Z1195)*4)</x:f>
      </x:c>
      <x:c r="CE1195" s="178" t="str">
        <x:f>IF(COUNT(AA1195:AJ1195)=0,"",AVERAGE(AA1195:AJ1195)*4)</x:f>
      </x:c>
      <x:c r="CF1195" s="178" t="str">
        <x:f>IF(COUNT(AK1195:AR1195)=0,"",AVERAGE(AK1195:AR1195)*4)</x:f>
      </x:c>
      <x:c r="CG1195" s="178" t="str">
        <x:f>IF(COUNT(AS1195:AY1195)=0,"",AVERAGE(AS1195:AY1195)*4)</x:f>
      </x:c>
      <x:c r="CH1195" s="178" t="str">
        <x:f>IF(COUNT(AZ1195:BG1195)=0,"",AVERAGE(AZ1195:BG1195)*4)</x:f>
      </x:c>
      <x:c r="CI1195" s="178" t="str">
        <x:f>IF(COUNT(BH1195:BN1195)=0,"",AVERAGE(BH1195:BN1195)*4)</x:f>
      </x:c>
      <x:c r="CJ1195" s="178" t="str">
        <x:f>IF(COUNT(BO1195:BU1195)=0,"",AVERAGE(BO1195:BU1195)*4)</x:f>
      </x:c>
      <x:c r="CK1195" s="178" t="str">
        <x:f>IF(COUNT(BV1195:CB1195)=0,"",AVERAGE(BV1195:CB1195)*4)</x:f>
      </x:c>
      <x:c r="CL1195" s="178" t="str">
        <x:f>IF(C1195="","",IF(COUNT(G1195:CB1195)&lt;74,"",(CC1195*'تنظیمات وزن‌دهی'!$C$5+CD1195*'تنظیمات وزن‌دهی'!$C$6+CE1195*'تنظیمات وزن‌دهی'!$C$7+CF1195*'تنظیمات وزن‌دهی'!$C$8+CG1195*'تنظیمات وزن‌دهی'!$C$9+CH1195*'تنظیمات وزن‌دهی'!$C$10+CI1195*'تنظیمات وزن‌دهی'!$C$11+CJ1195*'تنظیمات وزن‌دهی'!$C$12+CK1195*'تنظیمات وزن‌دهی'!$C$13)/100))</x:f>
      </x:c>
      <x:c r="CM1195" s="178" t="str">
        <x:f>IF(C1195="","",IF(COUNT(G1195:CB1195)=0,"",IF(COUNT(G1195:CB1195)&lt;74,"موقت - اطلاعات ناقص",IF(CL1195&gt;=17,"عالی",IF(CL1195&gt;=14,"خوب",IF(CL1195&gt;=10,"متوسط","ضعیف"))))))</x:f>
      </x:c>
      <x:c r="CN1195" s="178" t="n">
        <x:v>3</x:v>
      </x:c>
      <x:c r="CO1195" s="142" t="n">
        <x:f>IF(C1195="","",COUNT(G1195:CB1195)/74)</x:f>
        <x:v>0</x:v>
      </x:c>
      <x:c r="CP1195" s="245"/>
    </x:row>
    <x:row r="1196">
      <x:c r="A1196" s="165" t="n">
        <x:v>1192</x:v>
      </x:c>
      <x:c r="B1196" s="233" t="str">
        <x:v>مهر</x:v>
      </x:c>
      <x:c r="C1196" s="233" t="n">
        <x:f>IF('دانش‌آموزان'!E104="","",'دانش‌آموزان'!B104)</x:f>
        <x:v>100</x:v>
      </x:c>
      <x:c r="D1196" s="233" t="str">
        <x:f>IF('دانش‌آموزان'!C104="","",'دانش‌آموزان'!C104)</x:f>
        <x:v>4000001000</x:v>
      </x:c>
      <x:c r="E1196" s="233" t="str">
        <x:f>IF('دانش‌آموزان'!E104="","",'دانش‌آموزان'!E104&amp;" "&amp;'دانش‌آموزان'!F104)</x:f>
        <x:v>آوا کاظمی</x:v>
      </x:c>
      <x:c r="F1196" s="166" t="str">
        <x:f>IF('دانش‌آموزان'!I104="","",'دانش‌آموزان'!I104)</x:f>
        <x:v>sample-7-d</x:v>
      </x:c>
      <x:c r="G1196" s="114"/>
      <x:c r="H1196" s="115"/>
      <x:c r="I1196" s="115"/>
      <x:c r="J1196" s="115"/>
      <x:c r="K1196" s="115"/>
      <x:c r="L1196" s="115"/>
      <x:c r="M1196" s="115"/>
      <x:c r="N1196" s="115"/>
      <x:c r="O1196" s="115"/>
      <x:c r="P1196" s="115"/>
      <x:c r="Q1196" s="115"/>
      <x:c r="R1196" s="115"/>
      <x:c r="S1196" s="115"/>
      <x:c r="T1196" s="115"/>
      <x:c r="U1196" s="115"/>
      <x:c r="V1196" s="115"/>
      <x:c r="W1196" s="115"/>
      <x:c r="X1196" s="115"/>
      <x:c r="Y1196" s="115"/>
      <x:c r="Z1196" s="115"/>
      <x:c r="AA1196" s="115"/>
      <x:c r="AB1196" s="115"/>
      <x:c r="AC1196" s="115"/>
      <x:c r="AD1196" s="115"/>
      <x:c r="AE1196" s="115"/>
      <x:c r="AF1196" s="115"/>
      <x:c r="AG1196" s="115"/>
      <x:c r="AH1196" s="115"/>
      <x:c r="AI1196" s="115"/>
      <x:c r="AJ1196" s="115"/>
      <x:c r="AK1196" s="115"/>
      <x:c r="AL1196" s="115"/>
      <x:c r="AM1196" s="115"/>
      <x:c r="AN1196" s="115"/>
      <x:c r="AO1196" s="115"/>
      <x:c r="AP1196" s="115"/>
      <x:c r="AQ1196" s="115"/>
      <x:c r="AR1196" s="115"/>
      <x:c r="AS1196" s="115"/>
      <x:c r="AT1196" s="115"/>
      <x:c r="AU1196" s="115"/>
      <x:c r="AV1196" s="115"/>
      <x:c r="AW1196" s="115"/>
      <x:c r="AX1196" s="115"/>
      <x:c r="AY1196" s="115"/>
      <x:c r="AZ1196" s="115"/>
      <x:c r="BA1196" s="115"/>
      <x:c r="BB1196" s="115"/>
      <x:c r="BC1196" s="115"/>
      <x:c r="BD1196" s="115"/>
      <x:c r="BE1196" s="115"/>
      <x:c r="BF1196" s="115"/>
      <x:c r="BG1196" s="115"/>
      <x:c r="BH1196" s="115"/>
      <x:c r="BI1196" s="115"/>
      <x:c r="BJ1196" s="115"/>
      <x:c r="BK1196" s="115"/>
      <x:c r="BL1196" s="115"/>
      <x:c r="BM1196" s="115"/>
      <x:c r="BN1196" s="115"/>
      <x:c r="BO1196" s="115"/>
      <x:c r="BP1196" s="115"/>
      <x:c r="BQ1196" s="115"/>
      <x:c r="BR1196" s="115"/>
      <x:c r="BS1196" s="115"/>
      <x:c r="BT1196" s="115"/>
      <x:c r="BU1196" s="115"/>
      <x:c r="BV1196" s="115"/>
      <x:c r="BW1196" s="115"/>
      <x:c r="BX1196" s="115"/>
      <x:c r="BY1196" s="115"/>
      <x:c r="BZ1196" s="115"/>
      <x:c r="CA1196" s="115"/>
      <x:c r="CB1196" s="116"/>
      <x:c r="CC1196" s="141" t="str">
        <x:f>IF(COUNT(G1196:P1196)=0,"",AVERAGE(G1196:P1196)*4)</x:f>
      </x:c>
      <x:c r="CD1196" s="178" t="str">
        <x:f>IF(COUNT(Q1196:Z1196)=0,"",AVERAGE(Q1196:Z1196)*4)</x:f>
      </x:c>
      <x:c r="CE1196" s="178" t="str">
        <x:f>IF(COUNT(AA1196:AJ1196)=0,"",AVERAGE(AA1196:AJ1196)*4)</x:f>
      </x:c>
      <x:c r="CF1196" s="178" t="str">
        <x:f>IF(COUNT(AK1196:AR1196)=0,"",AVERAGE(AK1196:AR1196)*4)</x:f>
      </x:c>
      <x:c r="CG1196" s="178" t="str">
        <x:f>IF(COUNT(AS1196:AY1196)=0,"",AVERAGE(AS1196:AY1196)*4)</x:f>
      </x:c>
      <x:c r="CH1196" s="178" t="str">
        <x:f>IF(COUNT(AZ1196:BG1196)=0,"",AVERAGE(AZ1196:BG1196)*4)</x:f>
      </x:c>
      <x:c r="CI1196" s="178" t="str">
        <x:f>IF(COUNT(BH1196:BN1196)=0,"",AVERAGE(BH1196:BN1196)*4)</x:f>
      </x:c>
      <x:c r="CJ1196" s="178" t="str">
        <x:f>IF(COUNT(BO1196:BU1196)=0,"",AVERAGE(BO1196:BU1196)*4)</x:f>
      </x:c>
      <x:c r="CK1196" s="178" t="str">
        <x:f>IF(COUNT(BV1196:CB1196)=0,"",AVERAGE(BV1196:CB1196)*4)</x:f>
      </x:c>
      <x:c r="CL1196" s="178" t="str">
        <x:f>IF(C1196="","",IF(COUNT(G1196:CB1196)&lt;74,"",(CC1196*'تنظیمات وزن‌دهی'!$C$5+CD1196*'تنظیمات وزن‌دهی'!$C$6+CE1196*'تنظیمات وزن‌دهی'!$C$7+CF1196*'تنظیمات وزن‌دهی'!$C$8+CG1196*'تنظیمات وزن‌دهی'!$C$9+CH1196*'تنظیمات وزن‌دهی'!$C$10+CI1196*'تنظیمات وزن‌دهی'!$C$11+CJ1196*'تنظیمات وزن‌دهی'!$C$12+CK1196*'تنظیمات وزن‌دهی'!$C$13)/100))</x:f>
      </x:c>
      <x:c r="CM1196" s="178" t="str">
        <x:f>IF(C1196="","",IF(COUNT(G1196:CB1196)=0,"",IF(COUNT(G1196:CB1196)&lt;74,"موقت - اطلاعات ناقص",IF(CL1196&gt;=17,"عالی",IF(CL1196&gt;=14,"خوب",IF(CL1196&gt;=10,"متوسط","ضعیف"))))))</x:f>
      </x:c>
      <x:c r="CN1196" s="178" t="n">
        <x:v>4</x:v>
      </x:c>
      <x:c r="CO1196" s="142" t="n">
        <x:f>IF(C1196="","",COUNT(G1196:CB1196)/74)</x:f>
        <x:v>0</x:v>
      </x:c>
      <x:c r="CP1196" s="245"/>
    </x:row>
    <x:row r="1197">
      <x:c r="A1197" s="165" t="n">
        <x:v>1193</x:v>
      </x:c>
      <x:c r="B1197" s="233" t="str">
        <x:v>آبان</x:v>
      </x:c>
      <x:c r="C1197" s="233" t="n">
        <x:f>IF('دانش‌آموزان'!E104="","",'دانش‌آموزان'!B104)</x:f>
        <x:v>100</x:v>
      </x:c>
      <x:c r="D1197" s="233" t="str">
        <x:f>IF('دانش‌آموزان'!C104="","",'دانش‌آموزان'!C104)</x:f>
        <x:v>4000001000</x:v>
      </x:c>
      <x:c r="E1197" s="233" t="str">
        <x:f>IF('دانش‌آموزان'!E104="","",'دانش‌آموزان'!E104&amp;" "&amp;'دانش‌آموزان'!F104)</x:f>
        <x:v>آوا کاظمی</x:v>
      </x:c>
      <x:c r="F1197" s="166" t="str">
        <x:f>IF('دانش‌آموزان'!I104="","",'دانش‌آموزان'!I104)</x:f>
        <x:v>sample-7-d</x:v>
      </x:c>
      <x:c r="G1197" s="114"/>
      <x:c r="H1197" s="115"/>
      <x:c r="I1197" s="115"/>
      <x:c r="J1197" s="115"/>
      <x:c r="K1197" s="115"/>
      <x:c r="L1197" s="115"/>
      <x:c r="M1197" s="115"/>
      <x:c r="N1197" s="115"/>
      <x:c r="O1197" s="115"/>
      <x:c r="P1197" s="115"/>
      <x:c r="Q1197" s="115"/>
      <x:c r="R1197" s="115"/>
      <x:c r="S1197" s="115"/>
      <x:c r="T1197" s="115"/>
      <x:c r="U1197" s="115"/>
      <x:c r="V1197" s="115"/>
      <x:c r="W1197" s="115"/>
      <x:c r="X1197" s="115"/>
      <x:c r="Y1197" s="115"/>
      <x:c r="Z1197" s="115"/>
      <x:c r="AA1197" s="115"/>
      <x:c r="AB1197" s="115"/>
      <x:c r="AC1197" s="115"/>
      <x:c r="AD1197" s="115"/>
      <x:c r="AE1197" s="115"/>
      <x:c r="AF1197" s="115"/>
      <x:c r="AG1197" s="115"/>
      <x:c r="AH1197" s="115"/>
      <x:c r="AI1197" s="115"/>
      <x:c r="AJ1197" s="115"/>
      <x:c r="AK1197" s="115"/>
      <x:c r="AL1197" s="115"/>
      <x:c r="AM1197" s="115"/>
      <x:c r="AN1197" s="115"/>
      <x:c r="AO1197" s="115"/>
      <x:c r="AP1197" s="115"/>
      <x:c r="AQ1197" s="115"/>
      <x:c r="AR1197" s="115"/>
      <x:c r="AS1197" s="115"/>
      <x:c r="AT1197" s="115"/>
      <x:c r="AU1197" s="115"/>
      <x:c r="AV1197" s="115"/>
      <x:c r="AW1197" s="115"/>
      <x:c r="AX1197" s="115"/>
      <x:c r="AY1197" s="115"/>
      <x:c r="AZ1197" s="115"/>
      <x:c r="BA1197" s="115"/>
      <x:c r="BB1197" s="115"/>
      <x:c r="BC1197" s="115"/>
      <x:c r="BD1197" s="115"/>
      <x:c r="BE1197" s="115"/>
      <x:c r="BF1197" s="115"/>
      <x:c r="BG1197" s="115"/>
      <x:c r="BH1197" s="115"/>
      <x:c r="BI1197" s="115"/>
      <x:c r="BJ1197" s="115"/>
      <x:c r="BK1197" s="115"/>
      <x:c r="BL1197" s="115"/>
      <x:c r="BM1197" s="115"/>
      <x:c r="BN1197" s="115"/>
      <x:c r="BO1197" s="115"/>
      <x:c r="BP1197" s="115"/>
      <x:c r="BQ1197" s="115"/>
      <x:c r="BR1197" s="115"/>
      <x:c r="BS1197" s="115"/>
      <x:c r="BT1197" s="115"/>
      <x:c r="BU1197" s="115"/>
      <x:c r="BV1197" s="115"/>
      <x:c r="BW1197" s="115"/>
      <x:c r="BX1197" s="115"/>
      <x:c r="BY1197" s="115"/>
      <x:c r="BZ1197" s="115"/>
      <x:c r="CA1197" s="115"/>
      <x:c r="CB1197" s="116"/>
      <x:c r="CC1197" s="141" t="str">
        <x:f>IF(COUNT(G1197:P1197)=0,"",AVERAGE(G1197:P1197)*4)</x:f>
      </x:c>
      <x:c r="CD1197" s="178" t="str">
        <x:f>IF(COUNT(Q1197:Z1197)=0,"",AVERAGE(Q1197:Z1197)*4)</x:f>
      </x:c>
      <x:c r="CE1197" s="178" t="str">
        <x:f>IF(COUNT(AA1197:AJ1197)=0,"",AVERAGE(AA1197:AJ1197)*4)</x:f>
      </x:c>
      <x:c r="CF1197" s="178" t="str">
        <x:f>IF(COUNT(AK1197:AR1197)=0,"",AVERAGE(AK1197:AR1197)*4)</x:f>
      </x:c>
      <x:c r="CG1197" s="178" t="str">
        <x:f>IF(COUNT(AS1197:AY1197)=0,"",AVERAGE(AS1197:AY1197)*4)</x:f>
      </x:c>
      <x:c r="CH1197" s="178" t="str">
        <x:f>IF(COUNT(AZ1197:BG1197)=0,"",AVERAGE(AZ1197:BG1197)*4)</x:f>
      </x:c>
      <x:c r="CI1197" s="178" t="str">
        <x:f>IF(COUNT(BH1197:BN1197)=0,"",AVERAGE(BH1197:BN1197)*4)</x:f>
      </x:c>
      <x:c r="CJ1197" s="178" t="str">
        <x:f>IF(COUNT(BO1197:BU1197)=0,"",AVERAGE(BO1197:BU1197)*4)</x:f>
      </x:c>
      <x:c r="CK1197" s="178" t="str">
        <x:f>IF(COUNT(BV1197:CB1197)=0,"",AVERAGE(BV1197:CB1197)*4)</x:f>
      </x:c>
      <x:c r="CL1197" s="178" t="str">
        <x:f>IF(C1197="","",IF(COUNT(G1197:CB1197)&lt;74,"",(CC1197*'تنظیمات وزن‌دهی'!$C$5+CD1197*'تنظیمات وزن‌دهی'!$C$6+CE1197*'تنظیمات وزن‌دهی'!$C$7+CF1197*'تنظیمات وزن‌دهی'!$C$8+CG1197*'تنظیمات وزن‌دهی'!$C$9+CH1197*'تنظیمات وزن‌دهی'!$C$10+CI1197*'تنظیمات وزن‌دهی'!$C$11+CJ1197*'تنظیمات وزن‌دهی'!$C$12+CK1197*'تنظیمات وزن‌دهی'!$C$13)/100))</x:f>
      </x:c>
      <x:c r="CM1197" s="178" t="str">
        <x:f>IF(C1197="","",IF(COUNT(G1197:CB1197)=0,"",IF(COUNT(G1197:CB1197)&lt;74,"موقت - اطلاعات ناقص",IF(CL1197&gt;=17,"عالی",IF(CL1197&gt;=14,"خوب",IF(CL1197&gt;=10,"متوسط","ضعیف"))))))</x:f>
      </x:c>
      <x:c r="CN1197" s="178" t="n">
        <x:v>5</x:v>
      </x:c>
      <x:c r="CO1197" s="142" t="n">
        <x:f>IF(C1197="","",COUNT(G1197:CB1197)/74)</x:f>
        <x:v>0</x:v>
      </x:c>
      <x:c r="CP1197" s="245"/>
    </x:row>
    <x:row r="1198">
      <x:c r="A1198" s="165" t="n">
        <x:v>1194</x:v>
      </x:c>
      <x:c r="B1198" s="233" t="str">
        <x:v>آذر</x:v>
      </x:c>
      <x:c r="C1198" s="233" t="n">
        <x:f>IF('دانش‌آموزان'!E104="","",'دانش‌آموزان'!B104)</x:f>
        <x:v>100</x:v>
      </x:c>
      <x:c r="D1198" s="233" t="str">
        <x:f>IF('دانش‌آموزان'!C104="","",'دانش‌آموزان'!C104)</x:f>
        <x:v>4000001000</x:v>
      </x:c>
      <x:c r="E1198" s="233" t="str">
        <x:f>IF('دانش‌آموزان'!E104="","",'دانش‌آموزان'!E104&amp;" "&amp;'دانش‌آموزان'!F104)</x:f>
        <x:v>آوا کاظمی</x:v>
      </x:c>
      <x:c r="F1198" s="166" t="str">
        <x:f>IF('دانش‌آموزان'!I104="","",'دانش‌آموزان'!I104)</x:f>
        <x:v>sample-7-d</x:v>
      </x:c>
      <x:c r="G1198" s="114"/>
      <x:c r="H1198" s="115"/>
      <x:c r="I1198" s="115"/>
      <x:c r="J1198" s="115"/>
      <x:c r="K1198" s="115"/>
      <x:c r="L1198" s="115"/>
      <x:c r="M1198" s="115"/>
      <x:c r="N1198" s="115"/>
      <x:c r="O1198" s="115"/>
      <x:c r="P1198" s="115"/>
      <x:c r="Q1198" s="115"/>
      <x:c r="R1198" s="115"/>
      <x:c r="S1198" s="115"/>
      <x:c r="T1198" s="115"/>
      <x:c r="U1198" s="115"/>
      <x:c r="V1198" s="115"/>
      <x:c r="W1198" s="115"/>
      <x:c r="X1198" s="115"/>
      <x:c r="Y1198" s="115"/>
      <x:c r="Z1198" s="115"/>
      <x:c r="AA1198" s="115"/>
      <x:c r="AB1198" s="115"/>
      <x:c r="AC1198" s="115"/>
      <x:c r="AD1198" s="115"/>
      <x:c r="AE1198" s="115"/>
      <x:c r="AF1198" s="115"/>
      <x:c r="AG1198" s="115"/>
      <x:c r="AH1198" s="115"/>
      <x:c r="AI1198" s="115"/>
      <x:c r="AJ1198" s="115"/>
      <x:c r="AK1198" s="115"/>
      <x:c r="AL1198" s="115"/>
      <x:c r="AM1198" s="115"/>
      <x:c r="AN1198" s="115"/>
      <x:c r="AO1198" s="115"/>
      <x:c r="AP1198" s="115"/>
      <x:c r="AQ1198" s="115"/>
      <x:c r="AR1198" s="115"/>
      <x:c r="AS1198" s="115"/>
      <x:c r="AT1198" s="115"/>
      <x:c r="AU1198" s="115"/>
      <x:c r="AV1198" s="115"/>
      <x:c r="AW1198" s="115"/>
      <x:c r="AX1198" s="115"/>
      <x:c r="AY1198" s="115"/>
      <x:c r="AZ1198" s="115"/>
      <x:c r="BA1198" s="115"/>
      <x:c r="BB1198" s="115"/>
      <x:c r="BC1198" s="115"/>
      <x:c r="BD1198" s="115"/>
      <x:c r="BE1198" s="115"/>
      <x:c r="BF1198" s="115"/>
      <x:c r="BG1198" s="115"/>
      <x:c r="BH1198" s="115"/>
      <x:c r="BI1198" s="115"/>
      <x:c r="BJ1198" s="115"/>
      <x:c r="BK1198" s="115"/>
      <x:c r="BL1198" s="115"/>
      <x:c r="BM1198" s="115"/>
      <x:c r="BN1198" s="115"/>
      <x:c r="BO1198" s="115"/>
      <x:c r="BP1198" s="115"/>
      <x:c r="BQ1198" s="115"/>
      <x:c r="BR1198" s="115"/>
      <x:c r="BS1198" s="115"/>
      <x:c r="BT1198" s="115"/>
      <x:c r="BU1198" s="115"/>
      <x:c r="BV1198" s="115"/>
      <x:c r="BW1198" s="115"/>
      <x:c r="BX1198" s="115"/>
      <x:c r="BY1198" s="115"/>
      <x:c r="BZ1198" s="115"/>
      <x:c r="CA1198" s="115"/>
      <x:c r="CB1198" s="116"/>
      <x:c r="CC1198" s="141" t="str">
        <x:f>IF(COUNT(G1198:P1198)=0,"",AVERAGE(G1198:P1198)*4)</x:f>
      </x:c>
      <x:c r="CD1198" s="178" t="str">
        <x:f>IF(COUNT(Q1198:Z1198)=0,"",AVERAGE(Q1198:Z1198)*4)</x:f>
      </x:c>
      <x:c r="CE1198" s="178" t="str">
        <x:f>IF(COUNT(AA1198:AJ1198)=0,"",AVERAGE(AA1198:AJ1198)*4)</x:f>
      </x:c>
      <x:c r="CF1198" s="178" t="str">
        <x:f>IF(COUNT(AK1198:AR1198)=0,"",AVERAGE(AK1198:AR1198)*4)</x:f>
      </x:c>
      <x:c r="CG1198" s="178" t="str">
        <x:f>IF(COUNT(AS1198:AY1198)=0,"",AVERAGE(AS1198:AY1198)*4)</x:f>
      </x:c>
      <x:c r="CH1198" s="178" t="str">
        <x:f>IF(COUNT(AZ1198:BG1198)=0,"",AVERAGE(AZ1198:BG1198)*4)</x:f>
      </x:c>
      <x:c r="CI1198" s="178" t="str">
        <x:f>IF(COUNT(BH1198:BN1198)=0,"",AVERAGE(BH1198:BN1198)*4)</x:f>
      </x:c>
      <x:c r="CJ1198" s="178" t="str">
        <x:f>IF(COUNT(BO1198:BU1198)=0,"",AVERAGE(BO1198:BU1198)*4)</x:f>
      </x:c>
      <x:c r="CK1198" s="178" t="str">
        <x:f>IF(COUNT(BV1198:CB1198)=0,"",AVERAGE(BV1198:CB1198)*4)</x:f>
      </x:c>
      <x:c r="CL1198" s="178" t="str">
        <x:f>IF(C1198="","",IF(COUNT(G1198:CB1198)&lt;74,"",(CC1198*'تنظیمات وزن‌دهی'!$C$5+CD1198*'تنظیمات وزن‌دهی'!$C$6+CE1198*'تنظیمات وزن‌دهی'!$C$7+CF1198*'تنظیمات وزن‌دهی'!$C$8+CG1198*'تنظیمات وزن‌دهی'!$C$9+CH1198*'تنظیمات وزن‌دهی'!$C$10+CI1198*'تنظیمات وزن‌دهی'!$C$11+CJ1198*'تنظیمات وزن‌دهی'!$C$12+CK1198*'تنظیمات وزن‌دهی'!$C$13)/100))</x:f>
      </x:c>
      <x:c r="CM1198" s="178" t="str">
        <x:f>IF(C1198="","",IF(COUNT(G1198:CB1198)=0,"",IF(COUNT(G1198:CB1198)&lt;74,"موقت - اطلاعات ناقص",IF(CL1198&gt;=17,"عالی",IF(CL1198&gt;=14,"خوب",IF(CL1198&gt;=10,"متوسط","ضعیف"))))))</x:f>
      </x:c>
      <x:c r="CN1198" s="178" t="n">
        <x:v>6</x:v>
      </x:c>
      <x:c r="CO1198" s="142" t="n">
        <x:f>IF(C1198="","",COUNT(G1198:CB1198)/74)</x:f>
        <x:v>0</x:v>
      </x:c>
      <x:c r="CP1198" s="245"/>
    </x:row>
    <x:row r="1199">
      <x:c r="A1199" s="165" t="n">
        <x:v>1195</x:v>
      </x:c>
      <x:c r="B1199" s="233" t="str">
        <x:v>دی</x:v>
      </x:c>
      <x:c r="C1199" s="233" t="n">
        <x:f>IF('دانش‌آموزان'!E104="","",'دانش‌آموزان'!B104)</x:f>
        <x:v>100</x:v>
      </x:c>
      <x:c r="D1199" s="233" t="str">
        <x:f>IF('دانش‌آموزان'!C104="","",'دانش‌آموزان'!C104)</x:f>
        <x:v>4000001000</x:v>
      </x:c>
      <x:c r="E1199" s="233" t="str">
        <x:f>IF('دانش‌آموزان'!E104="","",'دانش‌آموزان'!E104&amp;" "&amp;'دانش‌آموزان'!F104)</x:f>
        <x:v>آوا کاظمی</x:v>
      </x:c>
      <x:c r="F1199" s="166" t="str">
        <x:f>IF('دانش‌آموزان'!I104="","",'دانش‌آموزان'!I104)</x:f>
        <x:v>sample-7-d</x:v>
      </x:c>
      <x:c r="G1199" s="114"/>
      <x:c r="H1199" s="115"/>
      <x:c r="I1199" s="115"/>
      <x:c r="J1199" s="115"/>
      <x:c r="K1199" s="115"/>
      <x:c r="L1199" s="115"/>
      <x:c r="M1199" s="115"/>
      <x:c r="N1199" s="115"/>
      <x:c r="O1199" s="115"/>
      <x:c r="P1199" s="115"/>
      <x:c r="Q1199" s="115"/>
      <x:c r="R1199" s="115"/>
      <x:c r="S1199" s="115"/>
      <x:c r="T1199" s="115"/>
      <x:c r="U1199" s="115"/>
      <x:c r="V1199" s="115"/>
      <x:c r="W1199" s="115"/>
      <x:c r="X1199" s="115"/>
      <x:c r="Y1199" s="115"/>
      <x:c r="Z1199" s="115"/>
      <x:c r="AA1199" s="115"/>
      <x:c r="AB1199" s="115"/>
      <x:c r="AC1199" s="115"/>
      <x:c r="AD1199" s="115"/>
      <x:c r="AE1199" s="115"/>
      <x:c r="AF1199" s="115"/>
      <x:c r="AG1199" s="115"/>
      <x:c r="AH1199" s="115"/>
      <x:c r="AI1199" s="115"/>
      <x:c r="AJ1199" s="115"/>
      <x:c r="AK1199" s="115"/>
      <x:c r="AL1199" s="115"/>
      <x:c r="AM1199" s="115"/>
      <x:c r="AN1199" s="115"/>
      <x:c r="AO1199" s="115"/>
      <x:c r="AP1199" s="115"/>
      <x:c r="AQ1199" s="115"/>
      <x:c r="AR1199" s="115"/>
      <x:c r="AS1199" s="115"/>
      <x:c r="AT1199" s="115"/>
      <x:c r="AU1199" s="115"/>
      <x:c r="AV1199" s="115"/>
      <x:c r="AW1199" s="115"/>
      <x:c r="AX1199" s="115"/>
      <x:c r="AY1199" s="115"/>
      <x:c r="AZ1199" s="115"/>
      <x:c r="BA1199" s="115"/>
      <x:c r="BB1199" s="115"/>
      <x:c r="BC1199" s="115"/>
      <x:c r="BD1199" s="115"/>
      <x:c r="BE1199" s="115"/>
      <x:c r="BF1199" s="115"/>
      <x:c r="BG1199" s="115"/>
      <x:c r="BH1199" s="115"/>
      <x:c r="BI1199" s="115"/>
      <x:c r="BJ1199" s="115"/>
      <x:c r="BK1199" s="115"/>
      <x:c r="BL1199" s="115"/>
      <x:c r="BM1199" s="115"/>
      <x:c r="BN1199" s="115"/>
      <x:c r="BO1199" s="115"/>
      <x:c r="BP1199" s="115"/>
      <x:c r="BQ1199" s="115"/>
      <x:c r="BR1199" s="115"/>
      <x:c r="BS1199" s="115"/>
      <x:c r="BT1199" s="115"/>
      <x:c r="BU1199" s="115"/>
      <x:c r="BV1199" s="115"/>
      <x:c r="BW1199" s="115"/>
      <x:c r="BX1199" s="115"/>
      <x:c r="BY1199" s="115"/>
      <x:c r="BZ1199" s="115"/>
      <x:c r="CA1199" s="115"/>
      <x:c r="CB1199" s="116"/>
      <x:c r="CC1199" s="141" t="str">
        <x:f>IF(COUNT(G1199:P1199)=0,"",AVERAGE(G1199:P1199)*4)</x:f>
      </x:c>
      <x:c r="CD1199" s="178" t="str">
        <x:f>IF(COUNT(Q1199:Z1199)=0,"",AVERAGE(Q1199:Z1199)*4)</x:f>
      </x:c>
      <x:c r="CE1199" s="178" t="str">
        <x:f>IF(COUNT(AA1199:AJ1199)=0,"",AVERAGE(AA1199:AJ1199)*4)</x:f>
      </x:c>
      <x:c r="CF1199" s="178" t="str">
        <x:f>IF(COUNT(AK1199:AR1199)=0,"",AVERAGE(AK1199:AR1199)*4)</x:f>
      </x:c>
      <x:c r="CG1199" s="178" t="str">
        <x:f>IF(COUNT(AS1199:AY1199)=0,"",AVERAGE(AS1199:AY1199)*4)</x:f>
      </x:c>
      <x:c r="CH1199" s="178" t="str">
        <x:f>IF(COUNT(AZ1199:BG1199)=0,"",AVERAGE(AZ1199:BG1199)*4)</x:f>
      </x:c>
      <x:c r="CI1199" s="178" t="str">
        <x:f>IF(COUNT(BH1199:BN1199)=0,"",AVERAGE(BH1199:BN1199)*4)</x:f>
      </x:c>
      <x:c r="CJ1199" s="178" t="str">
        <x:f>IF(COUNT(BO1199:BU1199)=0,"",AVERAGE(BO1199:BU1199)*4)</x:f>
      </x:c>
      <x:c r="CK1199" s="178" t="str">
        <x:f>IF(COUNT(BV1199:CB1199)=0,"",AVERAGE(BV1199:CB1199)*4)</x:f>
      </x:c>
      <x:c r="CL1199" s="178" t="str">
        <x:f>IF(C1199="","",IF(COUNT(G1199:CB1199)&lt;74,"",(CC1199*'تنظیمات وزن‌دهی'!$C$5+CD1199*'تنظیمات وزن‌دهی'!$C$6+CE1199*'تنظیمات وزن‌دهی'!$C$7+CF1199*'تنظیمات وزن‌دهی'!$C$8+CG1199*'تنظیمات وزن‌دهی'!$C$9+CH1199*'تنظیمات وزن‌دهی'!$C$10+CI1199*'تنظیمات وزن‌دهی'!$C$11+CJ1199*'تنظیمات وزن‌دهی'!$C$12+CK1199*'تنظیمات وزن‌دهی'!$C$13)/100))</x:f>
      </x:c>
      <x:c r="CM1199" s="178" t="str">
        <x:f>IF(C1199="","",IF(COUNT(G1199:CB1199)=0,"",IF(COUNT(G1199:CB1199)&lt;74,"موقت - اطلاعات ناقص",IF(CL1199&gt;=17,"عالی",IF(CL1199&gt;=14,"خوب",IF(CL1199&gt;=10,"متوسط","ضعیف"))))))</x:f>
      </x:c>
      <x:c r="CN1199" s="178" t="n">
        <x:v>7</x:v>
      </x:c>
      <x:c r="CO1199" s="142" t="n">
        <x:f>IF(C1199="","",COUNT(G1199:CB1199)/74)</x:f>
        <x:v>0</x:v>
      </x:c>
      <x:c r="CP1199" s="245"/>
    </x:row>
    <x:row r="1200">
      <x:c r="A1200" s="165" t="n">
        <x:v>1196</x:v>
      </x:c>
      <x:c r="B1200" s="233" t="str">
        <x:v>بهمن</x:v>
      </x:c>
      <x:c r="C1200" s="233" t="n">
        <x:f>IF('دانش‌آموزان'!E104="","",'دانش‌آموزان'!B104)</x:f>
        <x:v>100</x:v>
      </x:c>
      <x:c r="D1200" s="233" t="str">
        <x:f>IF('دانش‌آموزان'!C104="","",'دانش‌آموزان'!C104)</x:f>
        <x:v>4000001000</x:v>
      </x:c>
      <x:c r="E1200" s="233" t="str">
        <x:f>IF('دانش‌آموزان'!E104="","",'دانش‌آموزان'!E104&amp;" "&amp;'دانش‌آموزان'!F104)</x:f>
        <x:v>آوا کاظمی</x:v>
      </x:c>
      <x:c r="F1200" s="166" t="str">
        <x:f>IF('دانش‌آموزان'!I104="","",'دانش‌آموزان'!I104)</x:f>
        <x:v>sample-7-d</x:v>
      </x:c>
      <x:c r="G1200" s="114"/>
      <x:c r="H1200" s="115"/>
      <x:c r="I1200" s="115"/>
      <x:c r="J1200" s="115"/>
      <x:c r="K1200" s="115"/>
      <x:c r="L1200" s="115"/>
      <x:c r="M1200" s="115"/>
      <x:c r="N1200" s="115"/>
      <x:c r="O1200" s="115"/>
      <x:c r="P1200" s="115"/>
      <x:c r="Q1200" s="115"/>
      <x:c r="R1200" s="115"/>
      <x:c r="S1200" s="115"/>
      <x:c r="T1200" s="115"/>
      <x:c r="U1200" s="115"/>
      <x:c r="V1200" s="115"/>
      <x:c r="W1200" s="115"/>
      <x:c r="X1200" s="115"/>
      <x:c r="Y1200" s="115"/>
      <x:c r="Z1200" s="115"/>
      <x:c r="AA1200" s="115"/>
      <x:c r="AB1200" s="115"/>
      <x:c r="AC1200" s="115"/>
      <x:c r="AD1200" s="115"/>
      <x:c r="AE1200" s="115"/>
      <x:c r="AF1200" s="115"/>
      <x:c r="AG1200" s="115"/>
      <x:c r="AH1200" s="115"/>
      <x:c r="AI1200" s="115"/>
      <x:c r="AJ1200" s="115"/>
      <x:c r="AK1200" s="115"/>
      <x:c r="AL1200" s="115"/>
      <x:c r="AM1200" s="115"/>
      <x:c r="AN1200" s="115"/>
      <x:c r="AO1200" s="115"/>
      <x:c r="AP1200" s="115"/>
      <x:c r="AQ1200" s="115"/>
      <x:c r="AR1200" s="115"/>
      <x:c r="AS1200" s="115"/>
      <x:c r="AT1200" s="115"/>
      <x:c r="AU1200" s="115"/>
      <x:c r="AV1200" s="115"/>
      <x:c r="AW1200" s="115"/>
      <x:c r="AX1200" s="115"/>
      <x:c r="AY1200" s="115"/>
      <x:c r="AZ1200" s="115"/>
      <x:c r="BA1200" s="115"/>
      <x:c r="BB1200" s="115"/>
      <x:c r="BC1200" s="115"/>
      <x:c r="BD1200" s="115"/>
      <x:c r="BE1200" s="115"/>
      <x:c r="BF1200" s="115"/>
      <x:c r="BG1200" s="115"/>
      <x:c r="BH1200" s="115"/>
      <x:c r="BI1200" s="115"/>
      <x:c r="BJ1200" s="115"/>
      <x:c r="BK1200" s="115"/>
      <x:c r="BL1200" s="115"/>
      <x:c r="BM1200" s="115"/>
      <x:c r="BN1200" s="115"/>
      <x:c r="BO1200" s="115"/>
      <x:c r="BP1200" s="115"/>
      <x:c r="BQ1200" s="115"/>
      <x:c r="BR1200" s="115"/>
      <x:c r="BS1200" s="115"/>
      <x:c r="BT1200" s="115"/>
      <x:c r="BU1200" s="115"/>
      <x:c r="BV1200" s="115"/>
      <x:c r="BW1200" s="115"/>
      <x:c r="BX1200" s="115"/>
      <x:c r="BY1200" s="115"/>
      <x:c r="BZ1200" s="115"/>
      <x:c r="CA1200" s="115"/>
      <x:c r="CB1200" s="116"/>
      <x:c r="CC1200" s="141" t="str">
        <x:f>IF(COUNT(G1200:P1200)=0,"",AVERAGE(G1200:P1200)*4)</x:f>
      </x:c>
      <x:c r="CD1200" s="178" t="str">
        <x:f>IF(COUNT(Q1200:Z1200)=0,"",AVERAGE(Q1200:Z1200)*4)</x:f>
      </x:c>
      <x:c r="CE1200" s="178" t="str">
        <x:f>IF(COUNT(AA1200:AJ1200)=0,"",AVERAGE(AA1200:AJ1200)*4)</x:f>
      </x:c>
      <x:c r="CF1200" s="178" t="str">
        <x:f>IF(COUNT(AK1200:AR1200)=0,"",AVERAGE(AK1200:AR1200)*4)</x:f>
      </x:c>
      <x:c r="CG1200" s="178" t="str">
        <x:f>IF(COUNT(AS1200:AY1200)=0,"",AVERAGE(AS1200:AY1200)*4)</x:f>
      </x:c>
      <x:c r="CH1200" s="178" t="str">
        <x:f>IF(COUNT(AZ1200:BG1200)=0,"",AVERAGE(AZ1200:BG1200)*4)</x:f>
      </x:c>
      <x:c r="CI1200" s="178" t="str">
        <x:f>IF(COUNT(BH1200:BN1200)=0,"",AVERAGE(BH1200:BN1200)*4)</x:f>
      </x:c>
      <x:c r="CJ1200" s="178" t="str">
        <x:f>IF(COUNT(BO1200:BU1200)=0,"",AVERAGE(BO1200:BU1200)*4)</x:f>
      </x:c>
      <x:c r="CK1200" s="178" t="str">
        <x:f>IF(COUNT(BV1200:CB1200)=0,"",AVERAGE(BV1200:CB1200)*4)</x:f>
      </x:c>
      <x:c r="CL1200" s="178" t="str">
        <x:f>IF(C1200="","",IF(COUNT(G1200:CB1200)&lt;74,"",(CC1200*'تنظیمات وزن‌دهی'!$C$5+CD1200*'تنظیمات وزن‌دهی'!$C$6+CE1200*'تنظیمات وزن‌دهی'!$C$7+CF1200*'تنظیمات وزن‌دهی'!$C$8+CG1200*'تنظیمات وزن‌دهی'!$C$9+CH1200*'تنظیمات وزن‌دهی'!$C$10+CI1200*'تنظیمات وزن‌دهی'!$C$11+CJ1200*'تنظیمات وزن‌دهی'!$C$12+CK1200*'تنظیمات وزن‌دهی'!$C$13)/100))</x:f>
      </x:c>
      <x:c r="CM1200" s="178" t="str">
        <x:f>IF(C1200="","",IF(COUNT(G1200:CB1200)=0,"",IF(COUNT(G1200:CB1200)&lt;74,"موقت - اطلاعات ناقص",IF(CL1200&gt;=17,"عالی",IF(CL1200&gt;=14,"خوب",IF(CL1200&gt;=10,"متوسط","ضعیف"))))))</x:f>
      </x:c>
      <x:c r="CN1200" s="178" t="n">
        <x:v>8</x:v>
      </x:c>
      <x:c r="CO1200" s="142" t="n">
        <x:f>IF(C1200="","",COUNT(G1200:CB1200)/74)</x:f>
        <x:v>0</x:v>
      </x:c>
      <x:c r="CP1200" s="245"/>
    </x:row>
    <x:row r="1201">
      <x:c r="A1201" s="165" t="n">
        <x:v>1197</x:v>
      </x:c>
      <x:c r="B1201" s="233" t="str">
        <x:v>اسفند</x:v>
      </x:c>
      <x:c r="C1201" s="233" t="n">
        <x:f>IF('دانش‌آموزان'!E104="","",'دانش‌آموزان'!B104)</x:f>
        <x:v>100</x:v>
      </x:c>
      <x:c r="D1201" s="233" t="str">
        <x:f>IF('دانش‌آموزان'!C104="","",'دانش‌آموزان'!C104)</x:f>
        <x:v>4000001000</x:v>
      </x:c>
      <x:c r="E1201" s="233" t="str">
        <x:f>IF('دانش‌آموزان'!E104="","",'دانش‌آموزان'!E104&amp;" "&amp;'دانش‌آموزان'!F104)</x:f>
        <x:v>آوا کاظمی</x:v>
      </x:c>
      <x:c r="F1201" s="166" t="str">
        <x:f>IF('دانش‌آموزان'!I104="","",'دانش‌آموزان'!I104)</x:f>
        <x:v>sample-7-d</x:v>
      </x:c>
      <x:c r="G1201" s="114"/>
      <x:c r="H1201" s="115"/>
      <x:c r="I1201" s="115"/>
      <x:c r="J1201" s="115"/>
      <x:c r="K1201" s="115"/>
      <x:c r="L1201" s="115"/>
      <x:c r="M1201" s="115"/>
      <x:c r="N1201" s="115"/>
      <x:c r="O1201" s="115"/>
      <x:c r="P1201" s="115"/>
      <x:c r="Q1201" s="115"/>
      <x:c r="R1201" s="115"/>
      <x:c r="S1201" s="115"/>
      <x:c r="T1201" s="115"/>
      <x:c r="U1201" s="115"/>
      <x:c r="V1201" s="115"/>
      <x:c r="W1201" s="115"/>
      <x:c r="X1201" s="115"/>
      <x:c r="Y1201" s="115"/>
      <x:c r="Z1201" s="115"/>
      <x:c r="AA1201" s="115"/>
      <x:c r="AB1201" s="115"/>
      <x:c r="AC1201" s="115"/>
      <x:c r="AD1201" s="115"/>
      <x:c r="AE1201" s="115"/>
      <x:c r="AF1201" s="115"/>
      <x:c r="AG1201" s="115"/>
      <x:c r="AH1201" s="115"/>
      <x:c r="AI1201" s="115"/>
      <x:c r="AJ1201" s="115"/>
      <x:c r="AK1201" s="115"/>
      <x:c r="AL1201" s="115"/>
      <x:c r="AM1201" s="115"/>
      <x:c r="AN1201" s="115"/>
      <x:c r="AO1201" s="115"/>
      <x:c r="AP1201" s="115"/>
      <x:c r="AQ1201" s="115"/>
      <x:c r="AR1201" s="115"/>
      <x:c r="AS1201" s="115"/>
      <x:c r="AT1201" s="115"/>
      <x:c r="AU1201" s="115"/>
      <x:c r="AV1201" s="115"/>
      <x:c r="AW1201" s="115"/>
      <x:c r="AX1201" s="115"/>
      <x:c r="AY1201" s="115"/>
      <x:c r="AZ1201" s="115"/>
      <x:c r="BA1201" s="115"/>
      <x:c r="BB1201" s="115"/>
      <x:c r="BC1201" s="115"/>
      <x:c r="BD1201" s="115"/>
      <x:c r="BE1201" s="115"/>
      <x:c r="BF1201" s="115"/>
      <x:c r="BG1201" s="115"/>
      <x:c r="BH1201" s="115"/>
      <x:c r="BI1201" s="115"/>
      <x:c r="BJ1201" s="115"/>
      <x:c r="BK1201" s="115"/>
      <x:c r="BL1201" s="115"/>
      <x:c r="BM1201" s="115"/>
      <x:c r="BN1201" s="115"/>
      <x:c r="BO1201" s="115"/>
      <x:c r="BP1201" s="115"/>
      <x:c r="BQ1201" s="115"/>
      <x:c r="BR1201" s="115"/>
      <x:c r="BS1201" s="115"/>
      <x:c r="BT1201" s="115"/>
      <x:c r="BU1201" s="115"/>
      <x:c r="BV1201" s="115"/>
      <x:c r="BW1201" s="115"/>
      <x:c r="BX1201" s="115"/>
      <x:c r="BY1201" s="115"/>
      <x:c r="BZ1201" s="115"/>
      <x:c r="CA1201" s="115"/>
      <x:c r="CB1201" s="116"/>
      <x:c r="CC1201" s="141" t="str">
        <x:f>IF(COUNT(G1201:P1201)=0,"",AVERAGE(G1201:P1201)*4)</x:f>
      </x:c>
      <x:c r="CD1201" s="178" t="str">
        <x:f>IF(COUNT(Q1201:Z1201)=0,"",AVERAGE(Q1201:Z1201)*4)</x:f>
      </x:c>
      <x:c r="CE1201" s="178" t="str">
        <x:f>IF(COUNT(AA1201:AJ1201)=0,"",AVERAGE(AA1201:AJ1201)*4)</x:f>
      </x:c>
      <x:c r="CF1201" s="178" t="str">
        <x:f>IF(COUNT(AK1201:AR1201)=0,"",AVERAGE(AK1201:AR1201)*4)</x:f>
      </x:c>
      <x:c r="CG1201" s="178" t="str">
        <x:f>IF(COUNT(AS1201:AY1201)=0,"",AVERAGE(AS1201:AY1201)*4)</x:f>
      </x:c>
      <x:c r="CH1201" s="178" t="str">
        <x:f>IF(COUNT(AZ1201:BG1201)=0,"",AVERAGE(AZ1201:BG1201)*4)</x:f>
      </x:c>
      <x:c r="CI1201" s="178" t="str">
        <x:f>IF(COUNT(BH1201:BN1201)=0,"",AVERAGE(BH1201:BN1201)*4)</x:f>
      </x:c>
      <x:c r="CJ1201" s="178" t="str">
        <x:f>IF(COUNT(BO1201:BU1201)=0,"",AVERAGE(BO1201:BU1201)*4)</x:f>
      </x:c>
      <x:c r="CK1201" s="178" t="str">
        <x:f>IF(COUNT(BV1201:CB1201)=0,"",AVERAGE(BV1201:CB1201)*4)</x:f>
      </x:c>
      <x:c r="CL1201" s="178" t="str">
        <x:f>IF(C1201="","",IF(COUNT(G1201:CB1201)&lt;74,"",(CC1201*'تنظیمات وزن‌دهی'!$C$5+CD1201*'تنظیمات وزن‌دهی'!$C$6+CE1201*'تنظیمات وزن‌دهی'!$C$7+CF1201*'تنظیمات وزن‌دهی'!$C$8+CG1201*'تنظیمات وزن‌دهی'!$C$9+CH1201*'تنظیمات وزن‌دهی'!$C$10+CI1201*'تنظیمات وزن‌دهی'!$C$11+CJ1201*'تنظیمات وزن‌دهی'!$C$12+CK1201*'تنظیمات وزن‌دهی'!$C$13)/100))</x:f>
      </x:c>
      <x:c r="CM1201" s="178" t="str">
        <x:f>IF(C1201="","",IF(COUNT(G1201:CB1201)=0,"",IF(COUNT(G1201:CB1201)&lt;74,"موقت - اطلاعات ناقص",IF(CL1201&gt;=17,"عالی",IF(CL1201&gt;=14,"خوب",IF(CL1201&gt;=10,"متوسط","ضعیف"))))))</x:f>
      </x:c>
      <x:c r="CN1201" s="178" t="n">
        <x:v>9</x:v>
      </x:c>
      <x:c r="CO1201" s="142" t="n">
        <x:f>IF(C1201="","",COUNT(G1201:CB1201)/74)</x:f>
        <x:v>0</x:v>
      </x:c>
      <x:c r="CP1201" s="245"/>
    </x:row>
    <x:row r="1202">
      <x:c r="A1202" s="165" t="n">
        <x:v>1198</x:v>
      </x:c>
      <x:c r="B1202" s="233" t="str">
        <x:v>فروردین</x:v>
      </x:c>
      <x:c r="C1202" s="233" t="n">
        <x:f>IF('دانش‌آموزان'!E104="","",'دانش‌آموزان'!B104)</x:f>
        <x:v>100</x:v>
      </x:c>
      <x:c r="D1202" s="233" t="str">
        <x:f>IF('دانش‌آموزان'!C104="","",'دانش‌آموزان'!C104)</x:f>
        <x:v>4000001000</x:v>
      </x:c>
      <x:c r="E1202" s="233" t="str">
        <x:f>IF('دانش‌آموزان'!E104="","",'دانش‌آموزان'!E104&amp;" "&amp;'دانش‌آموزان'!F104)</x:f>
        <x:v>آوا کاظمی</x:v>
      </x:c>
      <x:c r="F1202" s="166" t="str">
        <x:f>IF('دانش‌آموزان'!I104="","",'دانش‌آموزان'!I104)</x:f>
        <x:v>sample-7-d</x:v>
      </x:c>
      <x:c r="G1202" s="114"/>
      <x:c r="H1202" s="115"/>
      <x:c r="I1202" s="115"/>
      <x:c r="J1202" s="115"/>
      <x:c r="K1202" s="115"/>
      <x:c r="L1202" s="115"/>
      <x:c r="M1202" s="115"/>
      <x:c r="N1202" s="115"/>
      <x:c r="O1202" s="115"/>
      <x:c r="P1202" s="115"/>
      <x:c r="Q1202" s="115"/>
      <x:c r="R1202" s="115"/>
      <x:c r="S1202" s="115"/>
      <x:c r="T1202" s="115"/>
      <x:c r="U1202" s="115"/>
      <x:c r="V1202" s="115"/>
      <x:c r="W1202" s="115"/>
      <x:c r="X1202" s="115"/>
      <x:c r="Y1202" s="115"/>
      <x:c r="Z1202" s="115"/>
      <x:c r="AA1202" s="115"/>
      <x:c r="AB1202" s="115"/>
      <x:c r="AC1202" s="115"/>
      <x:c r="AD1202" s="115"/>
      <x:c r="AE1202" s="115"/>
      <x:c r="AF1202" s="115"/>
      <x:c r="AG1202" s="115"/>
      <x:c r="AH1202" s="115"/>
      <x:c r="AI1202" s="115"/>
      <x:c r="AJ1202" s="115"/>
      <x:c r="AK1202" s="115"/>
      <x:c r="AL1202" s="115"/>
      <x:c r="AM1202" s="115"/>
      <x:c r="AN1202" s="115"/>
      <x:c r="AO1202" s="115"/>
      <x:c r="AP1202" s="115"/>
      <x:c r="AQ1202" s="115"/>
      <x:c r="AR1202" s="115"/>
      <x:c r="AS1202" s="115"/>
      <x:c r="AT1202" s="115"/>
      <x:c r="AU1202" s="115"/>
      <x:c r="AV1202" s="115"/>
      <x:c r="AW1202" s="115"/>
      <x:c r="AX1202" s="115"/>
      <x:c r="AY1202" s="115"/>
      <x:c r="AZ1202" s="115"/>
      <x:c r="BA1202" s="115"/>
      <x:c r="BB1202" s="115"/>
      <x:c r="BC1202" s="115"/>
      <x:c r="BD1202" s="115"/>
      <x:c r="BE1202" s="115"/>
      <x:c r="BF1202" s="115"/>
      <x:c r="BG1202" s="115"/>
      <x:c r="BH1202" s="115"/>
      <x:c r="BI1202" s="115"/>
      <x:c r="BJ1202" s="115"/>
      <x:c r="BK1202" s="115"/>
      <x:c r="BL1202" s="115"/>
      <x:c r="BM1202" s="115"/>
      <x:c r="BN1202" s="115"/>
      <x:c r="BO1202" s="115"/>
      <x:c r="BP1202" s="115"/>
      <x:c r="BQ1202" s="115"/>
      <x:c r="BR1202" s="115"/>
      <x:c r="BS1202" s="115"/>
      <x:c r="BT1202" s="115"/>
      <x:c r="BU1202" s="115"/>
      <x:c r="BV1202" s="115"/>
      <x:c r="BW1202" s="115"/>
      <x:c r="BX1202" s="115"/>
      <x:c r="BY1202" s="115"/>
      <x:c r="BZ1202" s="115"/>
      <x:c r="CA1202" s="115"/>
      <x:c r="CB1202" s="116"/>
      <x:c r="CC1202" s="141" t="str">
        <x:f>IF(COUNT(G1202:P1202)=0,"",AVERAGE(G1202:P1202)*4)</x:f>
      </x:c>
      <x:c r="CD1202" s="178" t="str">
        <x:f>IF(COUNT(Q1202:Z1202)=0,"",AVERAGE(Q1202:Z1202)*4)</x:f>
      </x:c>
      <x:c r="CE1202" s="178" t="str">
        <x:f>IF(COUNT(AA1202:AJ1202)=0,"",AVERAGE(AA1202:AJ1202)*4)</x:f>
      </x:c>
      <x:c r="CF1202" s="178" t="str">
        <x:f>IF(COUNT(AK1202:AR1202)=0,"",AVERAGE(AK1202:AR1202)*4)</x:f>
      </x:c>
      <x:c r="CG1202" s="178" t="str">
        <x:f>IF(COUNT(AS1202:AY1202)=0,"",AVERAGE(AS1202:AY1202)*4)</x:f>
      </x:c>
      <x:c r="CH1202" s="178" t="str">
        <x:f>IF(COUNT(AZ1202:BG1202)=0,"",AVERAGE(AZ1202:BG1202)*4)</x:f>
      </x:c>
      <x:c r="CI1202" s="178" t="str">
        <x:f>IF(COUNT(BH1202:BN1202)=0,"",AVERAGE(BH1202:BN1202)*4)</x:f>
      </x:c>
      <x:c r="CJ1202" s="178" t="str">
        <x:f>IF(COUNT(BO1202:BU1202)=0,"",AVERAGE(BO1202:BU1202)*4)</x:f>
      </x:c>
      <x:c r="CK1202" s="178" t="str">
        <x:f>IF(COUNT(BV1202:CB1202)=0,"",AVERAGE(BV1202:CB1202)*4)</x:f>
      </x:c>
      <x:c r="CL1202" s="178" t="str">
        <x:f>IF(C1202="","",IF(COUNT(G1202:CB1202)&lt;74,"",(CC1202*'تنظیمات وزن‌دهی'!$C$5+CD1202*'تنظیمات وزن‌دهی'!$C$6+CE1202*'تنظیمات وزن‌دهی'!$C$7+CF1202*'تنظیمات وزن‌دهی'!$C$8+CG1202*'تنظیمات وزن‌دهی'!$C$9+CH1202*'تنظیمات وزن‌دهی'!$C$10+CI1202*'تنظیمات وزن‌دهی'!$C$11+CJ1202*'تنظیمات وزن‌دهی'!$C$12+CK1202*'تنظیمات وزن‌دهی'!$C$13)/100))</x:f>
      </x:c>
      <x:c r="CM1202" s="178" t="str">
        <x:f>IF(C1202="","",IF(COUNT(G1202:CB1202)=0,"",IF(COUNT(G1202:CB1202)&lt;74,"موقت - اطلاعات ناقص",IF(CL1202&gt;=17,"عالی",IF(CL1202&gt;=14,"خوب",IF(CL1202&gt;=10,"متوسط","ضعیف"))))))</x:f>
      </x:c>
      <x:c r="CN1202" s="178" t="n">
        <x:v>10</x:v>
      </x:c>
      <x:c r="CO1202" s="142" t="n">
        <x:f>IF(C1202="","",COUNT(G1202:CB1202)/74)</x:f>
        <x:v>0</x:v>
      </x:c>
      <x:c r="CP1202" s="245"/>
    </x:row>
    <x:row r="1203">
      <x:c r="A1203" s="165" t="n">
        <x:v>1199</x:v>
      </x:c>
      <x:c r="B1203" s="233" t="str">
        <x:v>اردیبهشت</x:v>
      </x:c>
      <x:c r="C1203" s="233" t="n">
        <x:f>IF('دانش‌آموزان'!E104="","",'دانش‌آموزان'!B104)</x:f>
        <x:v>100</x:v>
      </x:c>
      <x:c r="D1203" s="233" t="str">
        <x:f>IF('دانش‌آموزان'!C104="","",'دانش‌آموزان'!C104)</x:f>
        <x:v>4000001000</x:v>
      </x:c>
      <x:c r="E1203" s="233" t="str">
        <x:f>IF('دانش‌آموزان'!E104="","",'دانش‌آموزان'!E104&amp;" "&amp;'دانش‌آموزان'!F104)</x:f>
        <x:v>آوا کاظمی</x:v>
      </x:c>
      <x:c r="F1203" s="166" t="str">
        <x:f>IF('دانش‌آموزان'!I104="","",'دانش‌آموزان'!I104)</x:f>
        <x:v>sample-7-d</x:v>
      </x:c>
      <x:c r="G1203" s="114"/>
      <x:c r="H1203" s="115"/>
      <x:c r="I1203" s="115"/>
      <x:c r="J1203" s="115"/>
      <x:c r="K1203" s="115"/>
      <x:c r="L1203" s="115"/>
      <x:c r="M1203" s="115"/>
      <x:c r="N1203" s="115"/>
      <x:c r="O1203" s="115"/>
      <x:c r="P1203" s="115"/>
      <x:c r="Q1203" s="115"/>
      <x:c r="R1203" s="115"/>
      <x:c r="S1203" s="115"/>
      <x:c r="T1203" s="115"/>
      <x:c r="U1203" s="115"/>
      <x:c r="V1203" s="115"/>
      <x:c r="W1203" s="115"/>
      <x:c r="X1203" s="115"/>
      <x:c r="Y1203" s="115"/>
      <x:c r="Z1203" s="115"/>
      <x:c r="AA1203" s="115"/>
      <x:c r="AB1203" s="115"/>
      <x:c r="AC1203" s="115"/>
      <x:c r="AD1203" s="115"/>
      <x:c r="AE1203" s="115"/>
      <x:c r="AF1203" s="115"/>
      <x:c r="AG1203" s="115"/>
      <x:c r="AH1203" s="115"/>
      <x:c r="AI1203" s="115"/>
      <x:c r="AJ1203" s="115"/>
      <x:c r="AK1203" s="115"/>
      <x:c r="AL1203" s="115"/>
      <x:c r="AM1203" s="115"/>
      <x:c r="AN1203" s="115"/>
      <x:c r="AO1203" s="115"/>
      <x:c r="AP1203" s="115"/>
      <x:c r="AQ1203" s="115"/>
      <x:c r="AR1203" s="115"/>
      <x:c r="AS1203" s="115"/>
      <x:c r="AT1203" s="115"/>
      <x:c r="AU1203" s="115"/>
      <x:c r="AV1203" s="115"/>
      <x:c r="AW1203" s="115"/>
      <x:c r="AX1203" s="115"/>
      <x:c r="AY1203" s="115"/>
      <x:c r="AZ1203" s="115"/>
      <x:c r="BA1203" s="115"/>
      <x:c r="BB1203" s="115"/>
      <x:c r="BC1203" s="115"/>
      <x:c r="BD1203" s="115"/>
      <x:c r="BE1203" s="115"/>
      <x:c r="BF1203" s="115"/>
      <x:c r="BG1203" s="115"/>
      <x:c r="BH1203" s="115"/>
      <x:c r="BI1203" s="115"/>
      <x:c r="BJ1203" s="115"/>
      <x:c r="BK1203" s="115"/>
      <x:c r="BL1203" s="115"/>
      <x:c r="BM1203" s="115"/>
      <x:c r="BN1203" s="115"/>
      <x:c r="BO1203" s="115"/>
      <x:c r="BP1203" s="115"/>
      <x:c r="BQ1203" s="115"/>
      <x:c r="BR1203" s="115"/>
      <x:c r="BS1203" s="115"/>
      <x:c r="BT1203" s="115"/>
      <x:c r="BU1203" s="115"/>
      <x:c r="BV1203" s="115"/>
      <x:c r="BW1203" s="115"/>
      <x:c r="BX1203" s="115"/>
      <x:c r="BY1203" s="115"/>
      <x:c r="BZ1203" s="115"/>
      <x:c r="CA1203" s="115"/>
      <x:c r="CB1203" s="116"/>
      <x:c r="CC1203" s="141" t="str">
        <x:f>IF(COUNT(G1203:P1203)=0,"",AVERAGE(G1203:P1203)*4)</x:f>
      </x:c>
      <x:c r="CD1203" s="178" t="str">
        <x:f>IF(COUNT(Q1203:Z1203)=0,"",AVERAGE(Q1203:Z1203)*4)</x:f>
      </x:c>
      <x:c r="CE1203" s="178" t="str">
        <x:f>IF(COUNT(AA1203:AJ1203)=0,"",AVERAGE(AA1203:AJ1203)*4)</x:f>
      </x:c>
      <x:c r="CF1203" s="178" t="str">
        <x:f>IF(COUNT(AK1203:AR1203)=0,"",AVERAGE(AK1203:AR1203)*4)</x:f>
      </x:c>
      <x:c r="CG1203" s="178" t="str">
        <x:f>IF(COUNT(AS1203:AY1203)=0,"",AVERAGE(AS1203:AY1203)*4)</x:f>
      </x:c>
      <x:c r="CH1203" s="178" t="str">
        <x:f>IF(COUNT(AZ1203:BG1203)=0,"",AVERAGE(AZ1203:BG1203)*4)</x:f>
      </x:c>
      <x:c r="CI1203" s="178" t="str">
        <x:f>IF(COUNT(BH1203:BN1203)=0,"",AVERAGE(BH1203:BN1203)*4)</x:f>
      </x:c>
      <x:c r="CJ1203" s="178" t="str">
        <x:f>IF(COUNT(BO1203:BU1203)=0,"",AVERAGE(BO1203:BU1203)*4)</x:f>
      </x:c>
      <x:c r="CK1203" s="178" t="str">
        <x:f>IF(COUNT(BV1203:CB1203)=0,"",AVERAGE(BV1203:CB1203)*4)</x:f>
      </x:c>
      <x:c r="CL1203" s="178" t="str">
        <x:f>IF(C1203="","",IF(COUNT(G1203:CB1203)&lt;74,"",(CC1203*'تنظیمات وزن‌دهی'!$C$5+CD1203*'تنظیمات وزن‌دهی'!$C$6+CE1203*'تنظیمات وزن‌دهی'!$C$7+CF1203*'تنظیمات وزن‌دهی'!$C$8+CG1203*'تنظیمات وزن‌دهی'!$C$9+CH1203*'تنظیمات وزن‌دهی'!$C$10+CI1203*'تنظیمات وزن‌دهی'!$C$11+CJ1203*'تنظیمات وزن‌دهی'!$C$12+CK1203*'تنظیمات وزن‌دهی'!$C$13)/100))</x:f>
      </x:c>
      <x:c r="CM1203" s="178" t="str">
        <x:f>IF(C1203="","",IF(COUNT(G1203:CB1203)=0,"",IF(COUNT(G1203:CB1203)&lt;74,"موقت - اطلاعات ناقص",IF(CL1203&gt;=17,"عالی",IF(CL1203&gt;=14,"خوب",IF(CL1203&gt;=10,"متوسط","ضعیف"))))))</x:f>
      </x:c>
      <x:c r="CN1203" s="178" t="n">
        <x:v>11</x:v>
      </x:c>
      <x:c r="CO1203" s="142" t="n">
        <x:f>IF(C1203="","",COUNT(G1203:CB1203)/74)</x:f>
        <x:v>0</x:v>
      </x:c>
      <x:c r="CP1203" s="245"/>
    </x:row>
    <x:row r="1204">
      <x:c r="A1204" s="167" t="n">
        <x:v>1200</x:v>
      </x:c>
      <x:c r="B1204" s="234" t="str">
        <x:v>خرداد</x:v>
      </x:c>
      <x:c r="C1204" s="234" t="n">
        <x:f>IF('دانش‌آموزان'!E104="","",'دانش‌آموزان'!B104)</x:f>
        <x:v>100</x:v>
      </x:c>
      <x:c r="D1204" s="234" t="str">
        <x:f>IF('دانش‌آموزان'!C104="","",'دانش‌آموزان'!C104)</x:f>
        <x:v>4000001000</x:v>
      </x:c>
      <x:c r="E1204" s="234" t="str">
        <x:f>IF('دانش‌آموزان'!E104="","",'دانش‌آموزان'!E104&amp;" "&amp;'دانش‌آموزان'!F104)</x:f>
        <x:v>آوا کاظمی</x:v>
      </x:c>
      <x:c r="F1204" s="168" t="str">
        <x:f>IF('دانش‌آموزان'!I104="","",'دانش‌آموزان'!I104)</x:f>
        <x:v>sample-7-d</x:v>
      </x:c>
      <x:c r="G1204" s="117"/>
      <x:c r="H1204" s="118"/>
      <x:c r="I1204" s="118"/>
      <x:c r="J1204" s="118"/>
      <x:c r="K1204" s="118"/>
      <x:c r="L1204" s="118"/>
      <x:c r="M1204" s="118"/>
      <x:c r="N1204" s="118"/>
      <x:c r="O1204" s="118"/>
      <x:c r="P1204" s="118"/>
      <x:c r="Q1204" s="118"/>
      <x:c r="R1204" s="118"/>
      <x:c r="S1204" s="118"/>
      <x:c r="T1204" s="118"/>
      <x:c r="U1204" s="118"/>
      <x:c r="V1204" s="118"/>
      <x:c r="W1204" s="118"/>
      <x:c r="X1204" s="118"/>
      <x:c r="Y1204" s="118"/>
      <x:c r="Z1204" s="118"/>
      <x:c r="AA1204" s="118"/>
      <x:c r="AB1204" s="118"/>
      <x:c r="AC1204" s="118"/>
      <x:c r="AD1204" s="118"/>
      <x:c r="AE1204" s="118"/>
      <x:c r="AF1204" s="118"/>
      <x:c r="AG1204" s="118"/>
      <x:c r="AH1204" s="118"/>
      <x:c r="AI1204" s="118"/>
      <x:c r="AJ1204" s="118"/>
      <x:c r="AK1204" s="118"/>
      <x:c r="AL1204" s="118"/>
      <x:c r="AM1204" s="118"/>
      <x:c r="AN1204" s="118"/>
      <x:c r="AO1204" s="118"/>
      <x:c r="AP1204" s="118"/>
      <x:c r="AQ1204" s="118"/>
      <x:c r="AR1204" s="118"/>
      <x:c r="AS1204" s="118"/>
      <x:c r="AT1204" s="118"/>
      <x:c r="AU1204" s="118"/>
      <x:c r="AV1204" s="118"/>
      <x:c r="AW1204" s="118"/>
      <x:c r="AX1204" s="118"/>
      <x:c r="AY1204" s="118"/>
      <x:c r="AZ1204" s="118"/>
      <x:c r="BA1204" s="118"/>
      <x:c r="BB1204" s="118"/>
      <x:c r="BC1204" s="118"/>
      <x:c r="BD1204" s="118"/>
      <x:c r="BE1204" s="118"/>
      <x:c r="BF1204" s="118"/>
      <x:c r="BG1204" s="118"/>
      <x:c r="BH1204" s="118"/>
      <x:c r="BI1204" s="118"/>
      <x:c r="BJ1204" s="118"/>
      <x:c r="BK1204" s="118"/>
      <x:c r="BL1204" s="118"/>
      <x:c r="BM1204" s="118"/>
      <x:c r="BN1204" s="118"/>
      <x:c r="BO1204" s="118"/>
      <x:c r="BP1204" s="118"/>
      <x:c r="BQ1204" s="118"/>
      <x:c r="BR1204" s="118"/>
      <x:c r="BS1204" s="118"/>
      <x:c r="BT1204" s="118"/>
      <x:c r="BU1204" s="118"/>
      <x:c r="BV1204" s="118"/>
      <x:c r="BW1204" s="118"/>
      <x:c r="BX1204" s="118"/>
      <x:c r="BY1204" s="118"/>
      <x:c r="BZ1204" s="118"/>
      <x:c r="CA1204" s="118"/>
      <x:c r="CB1204" s="119"/>
      <x:c r="CC1204" s="143" t="str">
        <x:f>IF(COUNT(G1204:P1204)=0,"",AVERAGE(G1204:P1204)*4)</x:f>
      </x:c>
      <x:c r="CD1204" s="179" t="str">
        <x:f>IF(COUNT(Q1204:Z1204)=0,"",AVERAGE(Q1204:Z1204)*4)</x:f>
      </x:c>
      <x:c r="CE1204" s="179" t="str">
        <x:f>IF(COUNT(AA1204:AJ1204)=0,"",AVERAGE(AA1204:AJ1204)*4)</x:f>
      </x:c>
      <x:c r="CF1204" s="179" t="str">
        <x:f>IF(COUNT(AK1204:AR1204)=0,"",AVERAGE(AK1204:AR1204)*4)</x:f>
      </x:c>
      <x:c r="CG1204" s="179" t="str">
        <x:f>IF(COUNT(AS1204:AY1204)=0,"",AVERAGE(AS1204:AY1204)*4)</x:f>
      </x:c>
      <x:c r="CH1204" s="179" t="str">
        <x:f>IF(COUNT(AZ1204:BG1204)=0,"",AVERAGE(AZ1204:BG1204)*4)</x:f>
      </x:c>
      <x:c r="CI1204" s="179" t="str">
        <x:f>IF(COUNT(BH1204:BN1204)=0,"",AVERAGE(BH1204:BN1204)*4)</x:f>
      </x:c>
      <x:c r="CJ1204" s="179" t="str">
        <x:f>IF(COUNT(BO1204:BU1204)=0,"",AVERAGE(BO1204:BU1204)*4)</x:f>
      </x:c>
      <x:c r="CK1204" s="179" t="str">
        <x:f>IF(COUNT(BV1204:CB1204)=0,"",AVERAGE(BV1204:CB1204)*4)</x:f>
      </x:c>
      <x:c r="CL1204" s="179" t="str">
        <x:f>IF(C1204="","",IF(COUNT(G1204:CB1204)&lt;74,"",(CC1204*'تنظیمات وزن‌دهی'!$C$5+CD1204*'تنظیمات وزن‌دهی'!$C$6+CE1204*'تنظیمات وزن‌دهی'!$C$7+CF1204*'تنظیمات وزن‌دهی'!$C$8+CG1204*'تنظیمات وزن‌دهی'!$C$9+CH1204*'تنظیمات وزن‌دهی'!$C$10+CI1204*'تنظیمات وزن‌دهی'!$C$11+CJ1204*'تنظیمات وزن‌دهی'!$C$12+CK1204*'تنظیمات وزن‌دهی'!$C$13)/100))</x:f>
      </x:c>
      <x:c r="CM1204" s="179" t="str">
        <x:f>IF(C1204="","",IF(COUNT(G1204:CB1204)=0,"",IF(COUNT(G1204:CB1204)&lt;74,"موقت - اطلاعات ناقص",IF(CL1204&gt;=17,"عالی",IF(CL1204&gt;=14,"خوب",IF(CL1204&gt;=10,"متوسط","ضعیف"))))))</x:f>
      </x:c>
      <x:c r="CN1204" s="179" t="n">
        <x:v>12</x:v>
      </x:c>
      <x:c r="CO1204" s="144" t="n">
        <x:f>IF(C1204="","",COUNT(G1204:CB1204)/74)</x:f>
        <x:v>0</x:v>
      </x:c>
      <x:c r="CP1204" s="246"/>
    </x:row>
  </x:sheetData>
  <x:mergeCells>
    <x:mergeCell ref="A1:CP1"/>
    <x:mergeCell ref="A2:CP2"/>
  </x:mergeCells>
  <x:conditionalFormatting sqref="CM5:CM1204">
    <x:cfRule type="cellIs" dxfId="4" priority="1">
      <x:formula>"موقت - اطلاعات ناقص"</x:formula>
    </x:cfRule>
  </x:conditionalFormatting>
  <x:dataValidations count="1">
    <x:dataValidation type="whole" operator="between" sqref="G5:CB1204">
      <x:formula1>0</x:formula1>
      <x:formula2>5</x:formula2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24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9" hidden="0" customWidth="1"/>
    <x:col min="25" max="25" width="55" hidden="0" customWidth="1"/>
  </x:cols>
  <x:sheetData>
    <x:row r="1" ht="32" customHeight="1">
      <x:c r="A1" s="4" t="str">
        <x:v>تحلیل دانش‌آموزان</x:v>
      </x:c>
      <x:c r="B1" s="297"/>
      <x:c r="C1" s="297"/>
      <x:c r="D1" s="297"/>
      <x:c r="E1" s="297"/>
      <x:c r="F1" s="297"/>
      <x:c r="G1" s="297"/>
      <x:c r="H1" s="297"/>
      <x:c r="I1" s="297"/>
      <x:c r="J1" s="297"/>
      <x:c r="K1" s="297"/>
      <x:c r="L1" s="297"/>
      <x:c r="M1" s="297"/>
      <x:c r="N1" s="297"/>
      <x:c r="O1" s="297"/>
      <x:c r="P1" s="297"/>
      <x:c r="Q1" s="297"/>
      <x:c r="R1" s="297"/>
      <x:c r="S1" s="297"/>
      <x:c r="T1" s="297"/>
      <x:c r="U1" s="297"/>
      <x:c r="V1" s="297"/>
      <x:c r="W1" s="297"/>
      <x:c r="X1" s="297"/>
      <x:c r="Y1" s="297"/>
    </x:row>
    <x:row r="2" ht="32" customHeight="1">
      <x:c r="A2" s="9" t="str">
        <x:v>این شیت خودکار است. فقط ارزیابی‌های نهایی در میانگین، روند و رتبه وارد می‌شوند و تعداد واقعی افراد رتبه‌بندی‌شده نمایش داده می‌شود.</x:v>
      </x:c>
      <x:c r="B2" s="297"/>
      <x:c r="C2" s="297"/>
      <x:c r="D2" s="297"/>
      <x:c r="E2" s="297"/>
      <x:c r="F2" s="297"/>
      <x:c r="G2" s="297"/>
      <x:c r="H2" s="297"/>
      <x:c r="I2" s="297"/>
      <x:c r="J2" s="297"/>
      <x:c r="K2" s="297"/>
      <x:c r="L2" s="297"/>
      <x:c r="M2" s="297"/>
      <x:c r="N2" s="297"/>
      <x:c r="O2" s="297"/>
      <x:c r="P2" s="297"/>
      <x:c r="Q2" s="297"/>
      <x:c r="R2" s="297"/>
      <x:c r="S2" s="297"/>
      <x:c r="T2" s="297"/>
      <x:c r="U2" s="297"/>
      <x:c r="V2" s="297"/>
      <x:c r="W2" s="297"/>
      <x:c r="X2" s="297"/>
      <x:c r="Y2" s="297"/>
    </x:row>
    <x:row r="3">
      <x:c r="A3" s="297"/>
      <x:c r="B3" s="297"/>
      <x:c r="C3" s="297"/>
      <x:c r="D3" s="297"/>
      <x:c r="E3" s="297"/>
      <x:c r="F3" s="297"/>
      <x:c r="G3" s="297"/>
      <x:c r="H3" s="297"/>
      <x:c r="I3" s="297"/>
      <x:c r="J3" s="297"/>
      <x:c r="K3" s="297"/>
      <x:c r="L3" s="297"/>
      <x:c r="M3" s="297"/>
      <x:c r="N3" s="297"/>
      <x:c r="O3" s="297"/>
      <x:c r="P3" s="297"/>
      <x:c r="Q3" s="297"/>
      <x:c r="R3" s="297"/>
      <x:c r="S3" s="297"/>
      <x:c r="T3" s="297"/>
      <x:c r="U3" s="297"/>
      <x:c r="V3" s="297"/>
      <x:c r="W3" s="297"/>
      <x:c r="X3" s="297"/>
      <x:c r="Y3" s="297"/>
    </x:row>
    <x:row r="4" ht="42" customHeight="1">
      <x:c r="A4" s="20" t="str">
        <x:v>کد محلی</x:v>
      </x:c>
      <x:c r="B4" s="21" t="str">
        <x:v>کد ملی</x:v>
      </x:c>
      <x:c r="C4" s="21" t="str">
        <x:v>نام و نام خانوادگی</x:v>
      </x:c>
      <x:c r="D4" s="21" t="str">
        <x:v>کد کلاس</x:v>
      </x:c>
      <x:c r="E4" s="21" t="str">
        <x:v>آموزشی</x:v>
      </x:c>
      <x:c r="F4" s="21" t="str">
        <x:v>پرورشی</x:v>
      </x:c>
      <x:c r="G4" s="21" t="str">
        <x:v>تربیتی</x:v>
      </x:c>
      <x:c r="H4" s="21" t="str">
        <x:v>انضباطی</x:v>
      </x:c>
      <x:c r="I4" s="21" t="str">
        <x:v>فرهنگی</x:v>
      </x:c>
      <x:c r="J4" s="21" t="str">
        <x:v>پژوهشی</x:v>
      </x:c>
      <x:c r="K4" s="21" t="str">
        <x:v>ورزشی</x:v>
      </x:c>
      <x:c r="L4" s="21" t="str">
        <x:v>هنری</x:v>
      </x:c>
      <x:c r="M4" s="21" t="str">
        <x:v>مهارت‌های فردی</x:v>
      </x:c>
      <x:c r="N4" s="21" t="str">
        <x:v>میانگین کل</x:v>
      </x:c>
      <x:c r="O4" s="21" t="str">
        <x:v>ماه نهایی</x:v>
      </x:c>
      <x:c r="P4" s="21" t="str">
        <x:v>اولین ماه</x:v>
      </x:c>
      <x:c r="Q4" s="21" t="str">
        <x:v>آخرین ماه</x:v>
      </x:c>
      <x:c r="R4" s="21" t="str">
        <x:v>میزان تغییر</x:v>
      </x:c>
      <x:c r="S4" s="21" t="str">
        <x:v>روند</x:v>
      </x:c>
      <x:c r="T4" s="21" t="str">
        <x:v>قوی‌ترین حوزه</x:v>
      </x:c>
      <x:c r="U4" s="21" t="str">
        <x:v>ضعیف‌ترین حوزه</x:v>
      </x:c>
      <x:c r="V4" s="21" t="str">
        <x:v>سطح</x:v>
      </x:c>
      <x:c r="W4" s="21" t="str">
        <x:v>رتبه</x:v>
      </x:c>
      <x:c r="X4" s="21" t="str">
        <x:v>تعداد رتبه‌بندی‌شده</x:v>
      </x:c>
      <x:c r="Y4" s="22" t="str">
        <x:v>پیشنهاد</x:v>
      </x:c>
    </x:row>
    <x:row r="5">
      <x:c r="A5" s="163" t="n">
        <x:f>IF('دانش‌آموزان'!L5="","",'دانش‌آموزان'!B5)</x:f>
        <x:v>1</x:v>
      </x:c>
      <x:c r="B5" s="232" t="str">
        <x:f>IF(A5="","",'دانش‌آموزان'!C5)</x:f>
        <x:v>4000000012</x:v>
      </x:c>
      <x:c r="C5" s="232" t="str">
        <x:f>IF(A5="","",'دانش‌آموزان'!E5&amp;" "&amp;'دانش‌آموزان'!F5)</x:f>
        <x:v>علی احمدی</x:v>
      </x:c>
      <x:c r="D5" s="164" t="str">
        <x:f>IF(A5="","",'دانش‌آموزان'!I5)</x:f>
        <x:v>sample-7-a</x:v>
      </x:c>
      <x:c r="E5" s="139" t="n">
        <x:f>IF(A5="","",IFERROR(SUMIFS('ثبت اطلاعات'!$CC$5:$CC$1204,'ثبت اطلاعات'!$C$5:$C$1204,A5,'ثبت اطلاعات'!$CO$5:$CO$1204,1)/COUNTIFS('ثبت اطلاعات'!$C$5:$C$1204,A5,'ثبت اطلاعات'!$CO$5:$CO$1204,1),""))</x:f>
        <x:v>15.2</x:v>
      </x:c>
      <x:c r="F5" s="177" t="n">
        <x:f>IF(A5="","",IFERROR(SUMIFS('ثبت اطلاعات'!$CD$5:$CD$1204,'ثبت اطلاعات'!$C$5:$C$1204,A5,'ثبت اطلاعات'!$CO$5:$CO$1204,1)/COUNTIFS('ثبت اطلاعات'!$C$5:$C$1204,A5,'ثبت اطلاعات'!$CO$5:$CO$1204,1),""))</x:f>
        <x:v>15.6</x:v>
      </x:c>
      <x:c r="G5" s="177" t="n">
        <x:f>IF(A5="","",IFERROR(SUMIFS('ثبت اطلاعات'!$CE$5:$CE$1204,'ثبت اطلاعات'!$C$5:$C$1204,A5,'ثبت اطلاعات'!$CO$5:$CO$1204,1)/COUNTIFS('ثبت اطلاعات'!$C$5:$C$1204,A5,'ثبت اطلاعات'!$CO$5:$CO$1204,1),""))</x:f>
        <x:v>15.2</x:v>
      </x:c>
      <x:c r="H5" s="177" t="n">
        <x:f>IF(A5="","",IFERROR(SUMIFS('ثبت اطلاعات'!$CF$5:$CF$1204,'ثبت اطلاعات'!$C$5:$C$1204,A5,'ثبت اطلاعات'!$CO$5:$CO$1204,1)/COUNTIFS('ثبت اطلاعات'!$C$5:$C$1204,A5,'ثبت اطلاعات'!$CO$5:$CO$1204,1),""))</x:f>
        <x:v>15.5</x:v>
      </x:c>
      <x:c r="I5" s="177" t="n">
        <x:f>IF(A5="","",IFERROR(SUMIFS('ثبت اطلاعات'!$CG$5:$CG$1204,'ثبت اطلاعات'!$C$5:$C$1204,A5,'ثبت اطلاعات'!$CO$5:$CO$1204,1)/COUNTIFS('ثبت اطلاعات'!$C$5:$C$1204,A5,'ثبت اطلاعات'!$CO$5:$CO$1204,1),""))</x:f>
        <x:v>13.714285714285714</x:v>
      </x:c>
      <x:c r="J5" s="177" t="n">
        <x:f>IF(A5="","",IFERROR(SUMIFS('ثبت اطلاعات'!$CH$5:$CH$1204,'ثبت اطلاعات'!$C$5:$C$1204,A5,'ثبت اطلاعات'!$CO$5:$CO$1204,1)/COUNTIFS('ثبت اطلاعات'!$C$5:$C$1204,A5,'ثبت اطلاعات'!$CO$5:$CO$1204,1),""))</x:f>
        <x:v>16.5</x:v>
      </x:c>
      <x:c r="K5" s="177" t="n">
        <x:f>IF(A5="","",IFERROR(SUMIFS('ثبت اطلاعات'!$CI$5:$CI$1204,'ثبت اطلاعات'!$C$5:$C$1204,A5,'ثبت اطلاعات'!$CO$5:$CO$1204,1)/COUNTIFS('ثبت اطلاعات'!$C$5:$C$1204,A5,'ثبت اطلاعات'!$CO$5:$CO$1204,1),""))</x:f>
        <x:v>15.428571428571429</x:v>
      </x:c>
      <x:c r="L5" s="177" t="n">
        <x:f>IF(A5="","",IFERROR(SUMIFS('ثبت اطلاعات'!$CJ$5:$CJ$1204,'ثبت اطلاعات'!$C$5:$C$1204,A5,'ثبت اطلاعات'!$CO$5:$CO$1204,1)/COUNTIFS('ثبت اطلاعات'!$C$5:$C$1204,A5,'ثبت اطلاعات'!$CO$5:$CO$1204,1),""))</x:f>
        <x:v>13.714285714285714</x:v>
      </x:c>
      <x:c r="M5" s="177" t="n">
        <x:f>IF(A5="","",IFERROR(SUMIFS('ثبت اطلاعات'!$CK$5:$CK$1204,'ثبت اطلاعات'!$C$5:$C$1204,A5,'ثبت اطلاعات'!$CO$5:$CO$1204,1)/COUNTIFS('ثبت اطلاعات'!$C$5:$C$1204,A5,'ثبت اطلاعات'!$CO$5:$CO$1204,1),""))</x:f>
        <x:v>16.571428571428573</x:v>
      </x:c>
      <x:c r="N5" s="177" t="n">
        <x:f>IF(A5="","",IFERROR(SUMIFS('ثبت اطلاعات'!$CL$5:$CL$1204,'ثبت اطلاعات'!$C$5:$C$1204,A5,'ثبت اطلاعات'!$CO$5:$CO$1204,1)/COUNTIFS('ثبت اطلاعات'!$C$5:$C$1204,A5,'ثبت اطلاعات'!$CO$5:$CO$1204,1),""))</x:f>
        <x:v>15.327857142857143</x:v>
      </x:c>
      <x:c r="O5" s="177" t="n">
        <x:f>IF(A5="","",COUNTIFS('ثبت اطلاعات'!$C$5:$C$1204,A5,'ثبت اطلاعات'!$CO$5:$CO$1204,1))</x:f>
        <x:v>1</x:v>
      </x:c>
      <x:c r="P5" s="177" t="n">
        <x:f>IF(O5=0,"",MINIFS('ثبت اطلاعات'!$CN$5:$CN$1204,'ثبت اطلاعات'!$C$5:$C$1204,A5,'ثبت اطلاعات'!$CO$5:$CO$1204,1))</x:f>
        <x:v>1</x:v>
      </x:c>
      <x:c r="Q5" s="177" t="n">
        <x:f>IF(O5=0,"",MAXIFS('ثبت اطلاعات'!$CN$5:$CN$1204,'ثبت اطلاعات'!$C$5:$C$1204,A5,'ثبت اطلاعات'!$CO$5:$CO$1204,1))</x:f>
        <x:v>1</x:v>
      </x:c>
      <x:c r="R5" s="177" t="str">
        <x:f>IF(O5&lt;2,"",SUMIFS('ثبت اطلاعات'!$CL$5:$CL$1204,'ثبت اطلاعات'!$C$5:$C$1204,A5,'ثبت اطلاعات'!$CN$5:$CN$1204,Q5)-SUMIFS('ثبت اطلاعات'!$CL$5:$CL$1204,'ثبت اطلاعات'!$C$5:$C$1204,A5,'ثبت اطلاعات'!$CN$5:$CN$1204,P5))</x:f>
      </x:c>
      <x:c r="S5" s="177" t="str">
        <x:f>IF(A5="","",IF(O5=0,"فاقد ارزیابی نهایی",IF(O5=1,"داده ناکافی",IF(R5&gt;0.5,"پیشرفت",IF(R5&lt;-0.5,"افت","ثبات")))))</x:f>
        <x:v>داده ناکافی</x:v>
      </x:c>
      <x:c r="T5" s="177" t="str">
        <x:f>IF(N5="","",INDEX($E$4:$M$4,1,MATCH(MAX(E5:M5),E5:M5,0)))</x:f>
        <x:v>مهارت‌های فردی</x:v>
      </x:c>
      <x:c r="U5" s="177" t="str">
        <x:f>IF(N5="","",INDEX($E$4:$M$4,1,MATCH(MIN(E5:M5),E5:M5,0)))</x:f>
        <x:v>فرهنگی</x:v>
      </x:c>
      <x:c r="V5" s="177" t="str">
        <x:f>IF(N5="","",IF(N5&gt;=17,"عالی",IF(N5&gt;=14,"خوب",IF(N5&gt;=10,"متوسط","ضعیف"))))</x:f>
        <x:v>خوب</x:v>
      </x:c>
      <x:c r="W5" s="177" t="n">
        <x:f>IF(N5="","",RANK.EQ(N5,$N$5:$N$104,0))</x:f>
        <x:v>19</x:v>
      </x:c>
      <x:c r="X5" s="177" t="n">
        <x:f>IF(N5="","",COUNT($N$5:$N$104))</x:f>
        <x:v>100</x:v>
      </x:c>
      <x:c r="Y5" s="140" t="str">
        <x:f>IF(U5="","",IFERROR(INDEX('بانک راهکارها'!$C$5:$C$13,MATCH(U5,'بانک راهکارها'!$B$5:$B$13,0)),""))</x:f>
        <x:v>مشارکت در برنامه‌های فرهنگی، مطالعه هدایت‌شده و فعالیت گروهی پیشنهاد می‌شود.</x:v>
      </x:c>
    </x:row>
    <x:row r="6">
      <x:c r="A6" s="165" t="n">
        <x:f>IF('دانش‌آموزان'!L6="","",'دانش‌آموزان'!B6)</x:f>
        <x:v>2</x:v>
      </x:c>
      <x:c r="B6" s="233" t="str">
        <x:f>IF(A6="","",'دانش‌آموزان'!C6)</x:f>
        <x:v>4000000020</x:v>
      </x:c>
      <x:c r="C6" s="233" t="str">
        <x:f>IF(A6="","",'دانش‌آموزان'!E6&amp;" "&amp;'دانش‌آموزان'!F6)</x:f>
        <x:v>فاطمه اکبری</x:v>
      </x:c>
      <x:c r="D6" s="166" t="str">
        <x:f>IF(A6="","",'دانش‌آموزان'!I6)</x:f>
        <x:v>sample-7-a</x:v>
      </x:c>
      <x:c r="E6" s="141" t="n">
        <x:f>IF(A6="","",IFERROR(SUMIFS('ثبت اطلاعات'!$CC$5:$CC$1204,'ثبت اطلاعات'!$C$5:$C$1204,A6,'ثبت اطلاعات'!$CO$5:$CO$1204,1)/COUNTIFS('ثبت اطلاعات'!$C$5:$C$1204,A6,'ثبت اطلاعات'!$CO$5:$CO$1204,1),""))</x:f>
        <x:v>14.8</x:v>
      </x:c>
      <x:c r="F6" s="178" t="n">
        <x:f>IF(A6="","",IFERROR(SUMIFS('ثبت اطلاعات'!$CD$5:$CD$1204,'ثبت اطلاعات'!$C$5:$C$1204,A6,'ثبت اطلاعات'!$CO$5:$CO$1204,1)/COUNTIFS('ثبت اطلاعات'!$C$5:$C$1204,A6,'ثبت اطلاعات'!$CO$5:$CO$1204,1),""))</x:f>
        <x:v>15.2</x:v>
      </x:c>
      <x:c r="G6" s="178" t="n">
        <x:f>IF(A6="","",IFERROR(SUMIFS('ثبت اطلاعات'!$CE$5:$CE$1204,'ثبت اطلاعات'!$C$5:$C$1204,A6,'ثبت اطلاعات'!$CO$5:$CO$1204,1)/COUNTIFS('ثبت اطلاعات'!$C$5:$C$1204,A6,'ثبت اطلاعات'!$CO$5:$CO$1204,1),""))</x:f>
        <x:v>14.8</x:v>
      </x:c>
      <x:c r="H6" s="178" t="n">
        <x:f>IF(A6="","",IFERROR(SUMIFS('ثبت اطلاعات'!$CF$5:$CF$1204,'ثبت اطلاعات'!$C$5:$C$1204,A6,'ثبت اطلاعات'!$CO$5:$CO$1204,1)/COUNTIFS('ثبت اطلاعات'!$C$5:$C$1204,A6,'ثبت اطلاعات'!$CO$5:$CO$1204,1),""))</x:f>
        <x:v>16</x:v>
      </x:c>
      <x:c r="I6" s="178" t="n">
        <x:f>IF(A6="","",IFERROR(SUMIFS('ثبت اطلاعات'!$CG$5:$CG$1204,'ثبت اطلاعات'!$C$5:$C$1204,A6,'ثبت اطلاعات'!$CO$5:$CO$1204,1)/COUNTIFS('ثبت اطلاعات'!$C$5:$C$1204,A6,'ثبت اطلاعات'!$CO$5:$CO$1204,1),""))</x:f>
        <x:v>15.428571428571429</x:v>
      </x:c>
      <x:c r="J6" s="178" t="n">
        <x:f>IF(A6="","",IFERROR(SUMIFS('ثبت اطلاعات'!$CH$5:$CH$1204,'ثبت اطلاعات'!$C$5:$C$1204,A6,'ثبت اطلاعات'!$CO$5:$CO$1204,1)/COUNTIFS('ثبت اطلاعات'!$C$5:$C$1204,A6,'ثبت اطلاعات'!$CO$5:$CO$1204,1),""))</x:f>
        <x:v>15</x:v>
      </x:c>
      <x:c r="K6" s="178" t="n">
        <x:f>IF(A6="","",IFERROR(SUMIFS('ثبت اطلاعات'!$CI$5:$CI$1204,'ثبت اطلاعات'!$C$5:$C$1204,A6,'ثبت اطلاعات'!$CO$5:$CO$1204,1)/COUNTIFS('ثبت اطلاعات'!$C$5:$C$1204,A6,'ثبت اطلاعات'!$CO$5:$CO$1204,1),""))</x:f>
        <x:v>15.428571428571429</x:v>
      </x:c>
      <x:c r="L6" s="178" t="n">
        <x:f>IF(A6="","",IFERROR(SUMIFS('ثبت اطلاعات'!$CJ$5:$CJ$1204,'ثبت اطلاعات'!$C$5:$C$1204,A6,'ثبت اطلاعات'!$CO$5:$CO$1204,1)/COUNTIFS('ثبت اطلاعات'!$C$5:$C$1204,A6,'ثبت اطلاعات'!$CO$5:$CO$1204,1),""))</x:f>
        <x:v>15.428571428571429</x:v>
      </x:c>
      <x:c r="M6" s="178" t="n">
        <x:f>IF(A6="","",IFERROR(SUMIFS('ثبت اطلاعات'!$CK$5:$CK$1204,'ثبت اطلاعات'!$C$5:$C$1204,A6,'ثبت اطلاعات'!$CO$5:$CO$1204,1)/COUNTIFS('ثبت اطلاعات'!$C$5:$C$1204,A6,'ثبت اطلاعات'!$CO$5:$CO$1204,1),""))</x:f>
        <x:v>14.285714285714286</x:v>
      </x:c>
      <x:c r="N6" s="178" t="n">
        <x:f>IF(A6="","",IFERROR(SUMIFS('ثبت اطلاعات'!$CL$5:$CL$1204,'ثبت اطلاعات'!$C$5:$C$1204,A6,'ثبت اطلاعات'!$CO$5:$CO$1204,1)/COUNTIFS('ثبت اطلاعات'!$C$5:$C$1204,A6,'ثبت اطلاعات'!$CO$5:$CO$1204,1),""))</x:f>
        <x:v>15.145714285714286</x:v>
      </x:c>
      <x:c r="O6" s="178" t="n">
        <x:f>IF(A6="","",COUNTIFS('ثبت اطلاعات'!$C$5:$C$1204,A6,'ثبت اطلاعات'!$CO$5:$CO$1204,1))</x:f>
        <x:v>1</x:v>
      </x:c>
      <x:c r="P6" s="178" t="n">
        <x:f>IF(O6=0,"",MINIFS('ثبت اطلاعات'!$CN$5:$CN$1204,'ثبت اطلاعات'!$C$5:$C$1204,A6,'ثبت اطلاعات'!$CO$5:$CO$1204,1))</x:f>
        <x:v>1</x:v>
      </x:c>
      <x:c r="Q6" s="178" t="n">
        <x:f>IF(O6=0,"",MAXIFS('ثبت اطلاعات'!$CN$5:$CN$1204,'ثبت اطلاعات'!$C$5:$C$1204,A6,'ثبت اطلاعات'!$CO$5:$CO$1204,1))</x:f>
        <x:v>1</x:v>
      </x:c>
      <x:c r="R6" s="178" t="str">
        <x:f>IF(O6&lt;2,"",SUMIFS('ثبت اطلاعات'!$CL$5:$CL$1204,'ثبت اطلاعات'!$C$5:$C$1204,A6,'ثبت اطلاعات'!$CN$5:$CN$1204,Q6)-SUMIFS('ثبت اطلاعات'!$CL$5:$CL$1204,'ثبت اطلاعات'!$C$5:$C$1204,A6,'ثبت اطلاعات'!$CN$5:$CN$1204,P6))</x:f>
      </x:c>
      <x:c r="S6" s="178" t="str">
        <x:f>IF(A6="","",IF(O6=0,"فاقد ارزیابی نهایی",IF(O6=1,"داده ناکافی",IF(R6&gt;0.5,"پیشرفت",IF(R6&lt;-0.5,"افت","ثبات")))))</x:f>
        <x:v>داده ناکافی</x:v>
      </x:c>
      <x:c r="T6" s="178" t="str">
        <x:f>IF(N6="","",INDEX($E$4:$M$4,1,MATCH(MAX(E6:M6),E6:M6,0)))</x:f>
        <x:v>انضباطی</x:v>
      </x:c>
      <x:c r="U6" s="178" t="str">
        <x:f>IF(N6="","",INDEX($E$4:$M$4,1,MATCH(MIN(E6:M6),E6:M6,0)))</x:f>
        <x:v>مهارت‌های فردی</x:v>
      </x:c>
      <x:c r="V6" s="178" t="str">
        <x:f>IF(N6="","",IF(N6&gt;=17,"عالی",IF(N6&gt;=14,"خوب",IF(N6&gt;=10,"متوسط","ضعیف"))))</x:f>
        <x:v>خوب</x:v>
      </x:c>
      <x:c r="W6" s="178" t="n">
        <x:f>IF(N6="","",RANK.EQ(N6,$N$5:$N$104,0))</x:f>
        <x:v>83</x:v>
      </x:c>
      <x:c r="X6" s="178" t="n">
        <x:f>IF(N6="","",COUNT($N$5:$N$104))</x:f>
        <x:v>100</x:v>
      </x:c>
      <x:c r="Y6" s="142" t="str">
        <x:f>IF(U6="","",IFERROR(INDEX('بانک راهکارها'!$C$5:$C$13,MATCH(U6,'بانک راهکارها'!$B$5:$B$13,0)),""))</x:f>
        <x:v>تمرین برنامه‌ریزی هفتگی، ارتباط مؤثر و کار تیمی پیشنهاد می‌شود.</x:v>
      </x:c>
    </x:row>
    <x:row r="7">
      <x:c r="A7" s="165" t="n">
        <x:f>IF('دانش‌آموزان'!L7="","",'دانش‌آموزان'!B7)</x:f>
        <x:v>3</x:v>
      </x:c>
      <x:c r="B7" s="233" t="str">
        <x:f>IF(A7="","",'دانش‌آموزان'!C7)</x:f>
        <x:v>4000000039</x:v>
      </x:c>
      <x:c r="C7" s="233" t="str">
        <x:f>IF(A7="","",'دانش‌آموزان'!E7&amp;" "&amp;'دانش‌آموزان'!F7)</x:f>
        <x:v>امیرحسین طاهری</x:v>
      </x:c>
      <x:c r="D7" s="166" t="str">
        <x:f>IF(A7="","",'دانش‌آموزان'!I7)</x:f>
        <x:v>sample-7-a</x:v>
      </x:c>
      <x:c r="E7" s="141" t="n">
        <x:f>IF(A7="","",IFERROR(SUMIFS('ثبت اطلاعات'!$CC$5:$CC$1204,'ثبت اطلاعات'!$C$5:$C$1204,A7,'ثبت اطلاعات'!$CO$5:$CO$1204,1)/COUNTIFS('ثبت اطلاعات'!$C$5:$C$1204,A7,'ثبت اطلاعات'!$CO$5:$CO$1204,1),""))</x:f>
        <x:v>15.6</x:v>
      </x:c>
      <x:c r="F7" s="178" t="n">
        <x:f>IF(A7="","",IFERROR(SUMIFS('ثبت اطلاعات'!$CD$5:$CD$1204,'ثبت اطلاعات'!$C$5:$C$1204,A7,'ثبت اطلاعات'!$CO$5:$CO$1204,1)/COUNTIFS('ثبت اطلاعات'!$C$5:$C$1204,A7,'ثبت اطلاعات'!$CO$5:$CO$1204,1),""))</x:f>
        <x:v>15.2</x:v>
      </x:c>
      <x:c r="G7" s="178" t="n">
        <x:f>IF(A7="","",IFERROR(SUMIFS('ثبت اطلاعات'!$CE$5:$CE$1204,'ثبت اطلاعات'!$C$5:$C$1204,A7,'ثبت اطلاعات'!$CO$5:$CO$1204,1)/COUNTIFS('ثبت اطلاعات'!$C$5:$C$1204,A7,'ثبت اطلاعات'!$CO$5:$CO$1204,1),""))</x:f>
        <x:v>15.6</x:v>
      </x:c>
      <x:c r="H7" s="178" t="n">
        <x:f>IF(A7="","",IFERROR(SUMIFS('ثبت اطلاعات'!$CF$5:$CF$1204,'ثبت اطلاعات'!$C$5:$C$1204,A7,'ثبت اطلاعات'!$CO$5:$CO$1204,1)/COUNTIFS('ثبت اطلاعات'!$C$5:$C$1204,A7,'ثبت اطلاعات'!$CO$5:$CO$1204,1),""))</x:f>
        <x:v>14.5</x:v>
      </x:c>
      <x:c r="I7" s="178" t="n">
        <x:f>IF(A7="","",IFERROR(SUMIFS('ثبت اطلاعات'!$CG$5:$CG$1204,'ثبت اطلاعات'!$C$5:$C$1204,A7,'ثبت اطلاعات'!$CO$5:$CO$1204,1)/COUNTIFS('ثبت اطلاعات'!$C$5:$C$1204,A7,'ثبت اطلاعات'!$CO$5:$CO$1204,1),""))</x:f>
        <x:v>15.428571428571429</x:v>
      </x:c>
      <x:c r="J7" s="178" t="n">
        <x:f>IF(A7="","",IFERROR(SUMIFS('ثبت اطلاعات'!$CH$5:$CH$1204,'ثبت اطلاعات'!$C$5:$C$1204,A7,'ثبت اطلاعات'!$CO$5:$CO$1204,1)/COUNTIFS('ثبت اطلاعات'!$C$5:$C$1204,A7,'ثبت اطلاعات'!$CO$5:$CO$1204,1),""))</x:f>
        <x:v>15.5</x:v>
      </x:c>
      <x:c r="K7" s="178" t="n">
        <x:f>IF(A7="","",IFERROR(SUMIFS('ثبت اطلاعات'!$CI$5:$CI$1204,'ثبت اطلاعات'!$C$5:$C$1204,A7,'ثبت اطلاعات'!$CO$5:$CO$1204,1)/COUNTIFS('ثبت اطلاعات'!$C$5:$C$1204,A7,'ثبت اطلاعات'!$CO$5:$CO$1204,1),""))</x:f>
        <x:v>14.857142857142858</x:v>
      </x:c>
      <x:c r="L7" s="178" t="n">
        <x:f>IF(A7="","",IFERROR(SUMIFS('ثبت اطلاعات'!$CJ$5:$CJ$1204,'ثبت اطلاعات'!$C$5:$C$1204,A7,'ثبت اطلاعات'!$CO$5:$CO$1204,1)/COUNTIFS('ثبت اطلاعات'!$C$5:$C$1204,A7,'ثبت اطلاعات'!$CO$5:$CO$1204,1),""))</x:f>
        <x:v>15.428571428571429</x:v>
      </x:c>
      <x:c r="M7" s="178" t="n">
        <x:f>IF(A7="","",IFERROR(SUMIFS('ثبت اطلاعات'!$CK$5:$CK$1204,'ثبت اطلاعات'!$C$5:$C$1204,A7,'ثبت اطلاعات'!$CO$5:$CO$1204,1)/COUNTIFS('ثبت اطلاعات'!$C$5:$C$1204,A7,'ثبت اطلاعات'!$CO$5:$CO$1204,1),""))</x:f>
        <x:v>16</x:v>
      </x:c>
      <x:c r="N7" s="178" t="n">
        <x:f>IF(A7="","",IFERROR(SUMIFS('ثبت اطلاعات'!$CL$5:$CL$1204,'ثبت اطلاعات'!$C$5:$C$1204,A7,'ثبت اطلاعات'!$CO$5:$CO$1204,1)/COUNTIFS('ثبت اطلاعات'!$C$5:$C$1204,A7,'ثبت اطلاعات'!$CO$5:$CO$1204,1),""))</x:f>
        <x:v>15.320714285714287</x:v>
      </x:c>
      <x:c r="O7" s="178" t="n">
        <x:f>IF(A7="","",COUNTIFS('ثبت اطلاعات'!$C$5:$C$1204,A7,'ثبت اطلاعات'!$CO$5:$CO$1204,1))</x:f>
        <x:v>1</x:v>
      </x:c>
      <x:c r="P7" s="178" t="n">
        <x:f>IF(O7=0,"",MINIFS('ثبت اطلاعات'!$CN$5:$CN$1204,'ثبت اطلاعات'!$C$5:$C$1204,A7,'ثبت اطلاعات'!$CO$5:$CO$1204,1))</x:f>
        <x:v>1</x:v>
      </x:c>
      <x:c r="Q7" s="178" t="n">
        <x:f>IF(O7=0,"",MAXIFS('ثبت اطلاعات'!$CN$5:$CN$1204,'ثبت اطلاعات'!$C$5:$C$1204,A7,'ثبت اطلاعات'!$CO$5:$CO$1204,1))</x:f>
        <x:v>1</x:v>
      </x:c>
      <x:c r="R7" s="178" t="str">
        <x:f>IF(O7&lt;2,"",SUMIFS('ثبت اطلاعات'!$CL$5:$CL$1204,'ثبت اطلاعات'!$C$5:$C$1204,A7,'ثبت اطلاعات'!$CN$5:$CN$1204,Q7)-SUMIFS('ثبت اطلاعات'!$CL$5:$CL$1204,'ثبت اطلاعات'!$C$5:$C$1204,A7,'ثبت اطلاعات'!$CN$5:$CN$1204,P7))</x:f>
      </x:c>
      <x:c r="S7" s="178" t="str">
        <x:f>IF(A7="","",IF(O7=0,"فاقد ارزیابی نهایی",IF(O7=1,"داده ناکافی",IF(R7&gt;0.5,"پیشرفت",IF(R7&lt;-0.5,"افت","ثبات")))))</x:f>
        <x:v>داده ناکافی</x:v>
      </x:c>
      <x:c r="T7" s="178" t="str">
        <x:f>IF(N7="","",INDEX($E$4:$M$4,1,MATCH(MAX(E7:M7),E7:M7,0)))</x:f>
        <x:v>مهارت‌های فردی</x:v>
      </x:c>
      <x:c r="U7" s="178" t="str">
        <x:f>IF(N7="","",INDEX($E$4:$M$4,1,MATCH(MIN(E7:M7),E7:M7,0)))</x:f>
        <x:v>انضباطی</x:v>
      </x:c>
      <x:c r="V7" s="178" t="str">
        <x:f>IF(N7="","",IF(N7&gt;=17,"عالی",IF(N7&gt;=14,"خوب",IF(N7&gt;=10,"متوسط","ضعیف"))))</x:f>
        <x:v>خوب</x:v>
      </x:c>
      <x:c r="W7" s="178" t="n">
        <x:f>IF(N7="","",RANK.EQ(N7,$N$5:$N$104,0))</x:f>
        <x:v>29</x:v>
      </x:c>
      <x:c r="X7" s="178" t="n">
        <x:f>IF(N7="","",COUNT($N$5:$N$104))</x:f>
        <x:v>100</x:v>
      </x:c>
      <x:c r="Y7" s="142" t="str">
        <x:f>IF(U7="","",IFERROR(INDEX('بانک راهکارها'!$C$5:$C$13,MATCH(U7,'بانک راهکارها'!$B$5:$B$13,0)),""))</x:f>
        <x:v>قواعد روشن، قرارداد رفتاری کوتاه‌مدت و ثبت منظم پیشرفت پیشنهاد می‌شود.</x:v>
      </x:c>
    </x:row>
    <x:row r="8">
      <x:c r="A8" s="165" t="n">
        <x:f>IF('دانش‌آموزان'!L8="","",'دانش‌آموزان'!B8)</x:f>
        <x:v>4</x:v>
      </x:c>
      <x:c r="B8" s="233" t="str">
        <x:f>IF(A8="","",'دانش‌آموزان'!C8)</x:f>
        <x:v>4000000047</x:v>
      </x:c>
      <x:c r="C8" s="233" t="str">
        <x:f>IF(A8="","",'دانش‌آموزان'!E8&amp;" "&amp;'دانش‌آموزان'!F8)</x:f>
        <x:v>زهرا محمدی</x:v>
      </x:c>
      <x:c r="D8" s="166" t="str">
        <x:f>IF(A8="","",'دانش‌آموزان'!I8)</x:f>
        <x:v>sample-7-a</x:v>
      </x:c>
      <x:c r="E8" s="141" t="n">
        <x:f>IF(A8="","",IFERROR(SUMIFS('ثبت اطلاعات'!$CC$5:$CC$1204,'ثبت اطلاعات'!$C$5:$C$1204,A8,'ثبت اطلاعات'!$CO$5:$CO$1204,1)/COUNTIFS('ثبت اطلاعات'!$C$5:$C$1204,A8,'ثبت اطلاعات'!$CO$5:$CO$1204,1),""))</x:f>
        <x:v>15.2</x:v>
      </x:c>
      <x:c r="F8" s="178" t="n">
        <x:f>IF(A8="","",IFERROR(SUMIFS('ثبت اطلاعات'!$CD$5:$CD$1204,'ثبت اطلاعات'!$C$5:$C$1204,A8,'ثبت اطلاعات'!$CO$5:$CO$1204,1)/COUNTIFS('ثبت اطلاعات'!$C$5:$C$1204,A8,'ثبت اطلاعات'!$CO$5:$CO$1204,1),""))</x:f>
        <x:v>14.8</x:v>
      </x:c>
      <x:c r="G8" s="178" t="n">
        <x:f>IF(A8="","",IFERROR(SUMIFS('ثبت اطلاعات'!$CE$5:$CE$1204,'ثبت اطلاعات'!$C$5:$C$1204,A8,'ثبت اطلاعات'!$CO$5:$CO$1204,1)/COUNTIFS('ثبت اطلاعات'!$C$5:$C$1204,A8,'ثبت اطلاعات'!$CO$5:$CO$1204,1),""))</x:f>
        <x:v>15.2</x:v>
      </x:c>
      <x:c r="H8" s="178" t="n">
        <x:f>IF(A8="","",IFERROR(SUMIFS('ثبت اطلاعات'!$CF$5:$CF$1204,'ثبت اطلاعات'!$C$5:$C$1204,A8,'ثبت اطلاعات'!$CO$5:$CO$1204,1)/COUNTIFS('ثبت اطلاعات'!$C$5:$C$1204,A8,'ثبت اطلاعات'!$CO$5:$CO$1204,1),""))</x:f>
        <x:v>16.5</x:v>
      </x:c>
      <x:c r="I8" s="178" t="n">
        <x:f>IF(A8="","",IFERROR(SUMIFS('ثبت اطلاعات'!$CG$5:$CG$1204,'ثبت اطلاعات'!$C$5:$C$1204,A8,'ثبت اطلاعات'!$CO$5:$CO$1204,1)/COUNTIFS('ثبت اطلاعات'!$C$5:$C$1204,A8,'ثبت اطلاعات'!$CO$5:$CO$1204,1),""))</x:f>
        <x:v>15.428571428571429</x:v>
      </x:c>
      <x:c r="J8" s="178" t="n">
        <x:f>IF(A8="","",IFERROR(SUMIFS('ثبت اطلاعات'!$CH$5:$CH$1204,'ثبت اطلاعات'!$C$5:$C$1204,A8,'ثبت اطلاعات'!$CO$5:$CO$1204,1)/COUNTIFS('ثبت اطلاعات'!$C$5:$C$1204,A8,'ثبت اطلاعات'!$CO$5:$CO$1204,1),""))</x:f>
        <x:v>14</x:v>
      </x:c>
      <x:c r="K8" s="178" t="n">
        <x:f>IF(A8="","",IFERROR(SUMIFS('ثبت اطلاعات'!$CI$5:$CI$1204,'ثبت اطلاعات'!$C$5:$C$1204,A8,'ثبت اطلاعات'!$CO$5:$CO$1204,1)/COUNTIFS('ثبت اطلاعات'!$C$5:$C$1204,A8,'ثبت اطلاعات'!$CO$5:$CO$1204,1),""))</x:f>
        <x:v>16.571428571428573</x:v>
      </x:c>
      <x:c r="L8" s="178" t="n">
        <x:f>IF(A8="","",IFERROR(SUMIFS('ثبت اطلاعات'!$CJ$5:$CJ$1204,'ثبت اطلاعات'!$C$5:$C$1204,A8,'ثبت اطلاعات'!$CO$5:$CO$1204,1)/COUNTIFS('ثبت اطلاعات'!$C$5:$C$1204,A8,'ثبت اطلاعات'!$CO$5:$CO$1204,1),""))</x:f>
        <x:v>15.428571428571429</x:v>
      </x:c>
      <x:c r="M8" s="178" t="n">
        <x:f>IF(A8="","",IFERROR(SUMIFS('ثبت اطلاعات'!$CK$5:$CK$1204,'ثبت اطلاعات'!$C$5:$C$1204,A8,'ثبت اطلاعات'!$CO$5:$CO$1204,1)/COUNTIFS('ثبت اطلاعات'!$C$5:$C$1204,A8,'ثبت اطلاعات'!$CO$5:$CO$1204,1),""))</x:f>
        <x:v>13.714285714285714</x:v>
      </x:c>
      <x:c r="N8" s="178" t="n">
        <x:f>IF(A8="","",IFERROR(SUMIFS('ثبت اطلاعات'!$CL$5:$CL$1204,'ثبت اطلاعات'!$C$5:$C$1204,A8,'ثبت اطلاعات'!$CO$5:$CO$1204,1)/COUNTIFS('ثبت اطلاعات'!$C$5:$C$1204,A8,'ثبت اطلاعات'!$CO$5:$CO$1204,1),""))</x:f>
        <x:v>15.260714285714286</x:v>
      </x:c>
      <x:c r="O8" s="178" t="n">
        <x:f>IF(A8="","",COUNTIFS('ثبت اطلاعات'!$C$5:$C$1204,A8,'ثبت اطلاعات'!$CO$5:$CO$1204,1))</x:f>
        <x:v>1</x:v>
      </x:c>
      <x:c r="P8" s="178" t="n">
        <x:f>IF(O8=0,"",MINIFS('ثبت اطلاعات'!$CN$5:$CN$1204,'ثبت اطلاعات'!$C$5:$C$1204,A8,'ثبت اطلاعات'!$CO$5:$CO$1204,1))</x:f>
        <x:v>1</x:v>
      </x:c>
      <x:c r="Q8" s="178" t="n">
        <x:f>IF(O8=0,"",MAXIFS('ثبت اطلاعات'!$CN$5:$CN$1204,'ثبت اطلاعات'!$C$5:$C$1204,A8,'ثبت اطلاعات'!$CO$5:$CO$1204,1))</x:f>
        <x:v>1</x:v>
      </x:c>
      <x:c r="R8" s="178" t="str">
        <x:f>IF(O8&lt;2,"",SUMIFS('ثبت اطلاعات'!$CL$5:$CL$1204,'ثبت اطلاعات'!$C$5:$C$1204,A8,'ثبت اطلاعات'!$CN$5:$CN$1204,Q8)-SUMIFS('ثبت اطلاعات'!$CL$5:$CL$1204,'ثبت اطلاعات'!$C$5:$C$1204,A8,'ثبت اطلاعات'!$CN$5:$CN$1204,P8))</x:f>
      </x:c>
      <x:c r="S8" s="178" t="str">
        <x:f>IF(A8="","",IF(O8=0,"فاقد ارزیابی نهایی",IF(O8=1,"داده ناکافی",IF(R8&gt;0.5,"پیشرفت",IF(R8&lt;-0.5,"افت","ثبات")))))</x:f>
        <x:v>داده ناکافی</x:v>
      </x:c>
      <x:c r="T8" s="178" t="str">
        <x:f>IF(N8="","",INDEX($E$4:$M$4,1,MATCH(MAX(E8:M8),E8:M8,0)))</x:f>
        <x:v>ورزشی</x:v>
      </x:c>
      <x:c r="U8" s="178" t="str">
        <x:f>IF(N8="","",INDEX($E$4:$M$4,1,MATCH(MIN(E8:M8),E8:M8,0)))</x:f>
        <x:v>مهارت‌های فردی</x:v>
      </x:c>
      <x:c r="V8" s="178" t="str">
        <x:f>IF(N8="","",IF(N8&gt;=17,"عالی",IF(N8&gt;=14,"خوب",IF(N8&gt;=10,"متوسط","ضعیف"))))</x:f>
        <x:v>خوب</x:v>
      </x:c>
      <x:c r="W8" s="178" t="n">
        <x:f>IF(N8="","",RANK.EQ(N8,$N$5:$N$104,0))</x:f>
        <x:v>56</x:v>
      </x:c>
      <x:c r="X8" s="178" t="n">
        <x:f>IF(N8="","",COUNT($N$5:$N$104))</x:f>
        <x:v>100</x:v>
      </x:c>
      <x:c r="Y8" s="142" t="str">
        <x:f>IF(U8="","",IFERROR(INDEX('بانک راهکارها'!$C$5:$C$13,MATCH(U8,'بانک راهکارها'!$B$5:$B$13,0)),""))</x:f>
        <x:v>تمرین برنامه‌ریزی هفتگی، ارتباط مؤثر و کار تیمی پیشنهاد می‌شود.</x:v>
      </x:c>
    </x:row>
    <x:row r="9">
      <x:c r="A9" s="165" t="n">
        <x:f>IF('دانش‌آموزان'!L9="","",'دانش‌آموزان'!B9)</x:f>
        <x:v>5</x:v>
      </x:c>
      <x:c r="B9" s="233" t="str">
        <x:f>IF(A9="","",'دانش‌آموزان'!C9)</x:f>
        <x:v>4000000055</x:v>
      </x:c>
      <x:c r="C9" s="233" t="str">
        <x:f>IF(A9="","",'دانش‌آموزان'!E9&amp;" "&amp;'دانش‌آموزان'!F9)</x:f>
        <x:v>محمد قاسمی</x:v>
      </x:c>
      <x:c r="D9" s="166" t="str">
        <x:f>IF(A9="","",'دانش‌آموزان'!I9)</x:f>
        <x:v>sample-7-a</x:v>
      </x:c>
      <x:c r="E9" s="141" t="n">
        <x:f>IF(A9="","",IFERROR(SUMIFS('ثبت اطلاعات'!$CC$5:$CC$1204,'ثبت اطلاعات'!$C$5:$C$1204,A9,'ثبت اطلاعات'!$CO$5:$CO$1204,1)/COUNTIFS('ثبت اطلاعات'!$C$5:$C$1204,A9,'ثبت اطلاعات'!$CO$5:$CO$1204,1),""))</x:f>
        <x:v>15.2</x:v>
      </x:c>
      <x:c r="F9" s="178" t="n">
        <x:f>IF(A9="","",IFERROR(SUMIFS('ثبت اطلاعات'!$CD$5:$CD$1204,'ثبت اطلاعات'!$C$5:$C$1204,A9,'ثبت اطلاعات'!$CO$5:$CO$1204,1)/COUNTIFS('ثبت اطلاعات'!$C$5:$C$1204,A9,'ثبت اطلاعات'!$CO$5:$CO$1204,1),""))</x:f>
        <x:v>15.6</x:v>
      </x:c>
      <x:c r="G9" s="178" t="n">
        <x:f>IF(A9="","",IFERROR(SUMIFS('ثبت اطلاعات'!$CE$5:$CE$1204,'ثبت اطلاعات'!$C$5:$C$1204,A9,'ثبت اطلاعات'!$CO$5:$CO$1204,1)/COUNTIFS('ثبت اطلاعات'!$C$5:$C$1204,A9,'ثبت اطلاعات'!$CO$5:$CO$1204,1),""))</x:f>
        <x:v>14.8</x:v>
      </x:c>
      <x:c r="H9" s="178" t="n">
        <x:f>IF(A9="","",IFERROR(SUMIFS('ثبت اطلاعات'!$CF$5:$CF$1204,'ثبت اطلاعات'!$C$5:$C$1204,A9,'ثبت اطلاعات'!$CO$5:$CO$1204,1)/COUNTIFS('ثبت اطلاعات'!$C$5:$C$1204,A9,'ثبت اطلاعات'!$CO$5:$CO$1204,1),""))</x:f>
        <x:v>15</x:v>
      </x:c>
      <x:c r="I9" s="178" t="n">
        <x:f>IF(A9="","",IFERROR(SUMIFS('ثبت اطلاعات'!$CG$5:$CG$1204,'ثبت اطلاعات'!$C$5:$C$1204,A9,'ثبت اطلاعات'!$CO$5:$CO$1204,1)/COUNTIFS('ثبت اطلاعات'!$C$5:$C$1204,A9,'ثبت اطلاعات'!$CO$5:$CO$1204,1),""))</x:f>
        <x:v>15.428571428571429</x:v>
      </x:c>
      <x:c r="J9" s="178" t="n">
        <x:f>IF(A9="","",IFERROR(SUMIFS('ثبت اطلاعات'!$CH$5:$CH$1204,'ثبت اطلاعات'!$C$5:$C$1204,A9,'ثبت اطلاعات'!$CO$5:$CO$1204,1)/COUNTIFS('ثبت اطلاعات'!$C$5:$C$1204,A9,'ثبت اطلاعات'!$CO$5:$CO$1204,1),""))</x:f>
        <x:v>16</x:v>
      </x:c>
      <x:c r="K9" s="178" t="n">
        <x:f>IF(A9="","",IFERROR(SUMIFS('ثبت اطلاعات'!$CI$5:$CI$1204,'ثبت اطلاعات'!$C$5:$C$1204,A9,'ثبت اطلاعات'!$CO$5:$CO$1204,1)/COUNTIFS('ثبت اطلاعات'!$C$5:$C$1204,A9,'ثبت اطلاعات'!$CO$5:$CO$1204,1),""))</x:f>
        <x:v>14.285714285714286</x:v>
      </x:c>
      <x:c r="L9" s="178" t="n">
        <x:f>IF(A9="","",IFERROR(SUMIFS('ثبت اطلاعات'!$CJ$5:$CJ$1204,'ثبت اطلاعات'!$C$5:$C$1204,A9,'ثبت اطلاعات'!$CO$5:$CO$1204,1)/COUNTIFS('ثبت اطلاعات'!$C$5:$C$1204,A9,'ثبت اطلاعات'!$CO$5:$CO$1204,1),""))</x:f>
        <x:v>15.428571428571429</x:v>
      </x:c>
      <x:c r="M9" s="178" t="n">
        <x:f>IF(A9="","",IFERROR(SUMIFS('ثبت اطلاعات'!$CK$5:$CK$1204,'ثبت اطلاعات'!$C$5:$C$1204,A9,'ثبت اطلاعات'!$CO$5:$CO$1204,1)/COUNTIFS('ثبت اطلاعات'!$C$5:$C$1204,A9,'ثبت اطلاعات'!$CO$5:$CO$1204,1),""))</x:f>
        <x:v>15.428571428571429</x:v>
      </x:c>
      <x:c r="N9" s="178" t="n">
        <x:f>IF(A9="","",IFERROR(SUMIFS('ثبت اطلاعات'!$CL$5:$CL$1204,'ثبت اطلاعات'!$C$5:$C$1204,A9,'ثبت اطلاعات'!$CO$5:$CO$1204,1)/COUNTIFS('ثبت اطلاعات'!$C$5:$C$1204,A9,'ثبت اطلاعات'!$CO$5:$CO$1204,1),""))</x:f>
        <x:v>15.215714285714286</x:v>
      </x:c>
      <x:c r="O9" s="178" t="n">
        <x:f>IF(A9="","",COUNTIFS('ثبت اطلاعات'!$C$5:$C$1204,A9,'ثبت اطلاعات'!$CO$5:$CO$1204,1))</x:f>
        <x:v>1</x:v>
      </x:c>
      <x:c r="P9" s="178" t="n">
        <x:f>IF(O9=0,"",MINIFS('ثبت اطلاعات'!$CN$5:$CN$1204,'ثبت اطلاعات'!$C$5:$C$1204,A9,'ثبت اطلاعات'!$CO$5:$CO$1204,1))</x:f>
        <x:v>1</x:v>
      </x:c>
      <x:c r="Q9" s="178" t="n">
        <x:f>IF(O9=0,"",MAXIFS('ثبت اطلاعات'!$CN$5:$CN$1204,'ثبت اطلاعات'!$C$5:$C$1204,A9,'ثبت اطلاعات'!$CO$5:$CO$1204,1))</x:f>
        <x:v>1</x:v>
      </x:c>
      <x:c r="R9" s="178" t="str">
        <x:f>IF(O9&lt;2,"",SUMIFS('ثبت اطلاعات'!$CL$5:$CL$1204,'ثبت اطلاعات'!$C$5:$C$1204,A9,'ثبت اطلاعات'!$CN$5:$CN$1204,Q9)-SUMIFS('ثبت اطلاعات'!$CL$5:$CL$1204,'ثبت اطلاعات'!$C$5:$C$1204,A9,'ثبت اطلاعات'!$CN$5:$CN$1204,P9))</x:f>
      </x:c>
      <x:c r="S9" s="178" t="str">
        <x:f>IF(A9="","",IF(O9=0,"فاقد ارزیابی نهایی",IF(O9=1,"داده ناکافی",IF(R9&gt;0.5,"پیشرفت",IF(R9&lt;-0.5,"افت","ثبات")))))</x:f>
        <x:v>داده ناکافی</x:v>
      </x:c>
      <x:c r="T9" s="178" t="str">
        <x:f>IF(N9="","",INDEX($E$4:$M$4,1,MATCH(MAX(E9:M9),E9:M9,0)))</x:f>
        <x:v>پژوهشی</x:v>
      </x:c>
      <x:c r="U9" s="178" t="str">
        <x:f>IF(N9="","",INDEX($E$4:$M$4,1,MATCH(MIN(E9:M9),E9:M9,0)))</x:f>
        <x:v>ورزشی</x:v>
      </x:c>
      <x:c r="V9" s="178" t="str">
        <x:f>IF(N9="","",IF(N9&gt;=17,"عالی",IF(N9&gt;=14,"خوب",IF(N9&gt;=10,"متوسط","ضعیف"))))</x:f>
        <x:v>خوب</x:v>
      </x:c>
      <x:c r="W9" s="178" t="n">
        <x:f>IF(N9="","",RANK.EQ(N9,$N$5:$N$104,0))</x:f>
        <x:v>65</x:v>
      </x:c>
      <x:c r="X9" s="178" t="n">
        <x:f>IF(N9="","",COUNT($N$5:$N$104))</x:f>
        <x:v>100</x:v>
      </x:c>
      <x:c r="Y9" s="142" t="str">
        <x:f>IF(U9="","",IFERROR(INDEX('بانک راهکارها'!$C$5:$C$13,MATCH(U9,'بانک راهکارها'!$B$5:$B$13,0)),""))</x:f>
        <x:v>برنامه فعالیت بدنی منظم و مشارکت در ورزش گروهی پیشنهاد می‌شود.</x:v>
      </x:c>
    </x:row>
    <x:row r="10">
      <x:c r="A10" s="165" t="n">
        <x:f>IF('دانش‌آموزان'!L10="","",'دانش‌آموزان'!B10)</x:f>
        <x:v>6</x:v>
      </x:c>
      <x:c r="B10" s="233" t="str">
        <x:f>IF(A10="","",'دانش‌آموزان'!C10)</x:f>
        <x:v>4000000063</x:v>
      </x:c>
      <x:c r="C10" s="233" t="str">
        <x:f>IF(A10="","",'دانش‌آموزان'!E10&amp;" "&amp;'دانش‌آموزان'!F10)</x:f>
        <x:v>سارا خلیلی</x:v>
      </x:c>
      <x:c r="D10" s="166" t="str">
        <x:f>IF(A10="","",'دانش‌آموزان'!I10)</x:f>
        <x:v>sample-7-a</x:v>
      </x:c>
      <x:c r="E10" s="141" t="n">
        <x:f>IF(A10="","",IFERROR(SUMIFS('ثبت اطلاعات'!$CC$5:$CC$1204,'ثبت اطلاعات'!$C$5:$C$1204,A10,'ثبت اطلاعات'!$CO$5:$CO$1204,1)/COUNTIFS('ثبت اطلاعات'!$C$5:$C$1204,A10,'ثبت اطلاعات'!$CO$5:$CO$1204,1),""))</x:f>
        <x:v>14.8</x:v>
      </x:c>
      <x:c r="F10" s="178" t="n">
        <x:f>IF(A10="","",IFERROR(SUMIFS('ثبت اطلاعات'!$CD$5:$CD$1204,'ثبت اطلاعات'!$C$5:$C$1204,A10,'ثبت اطلاعات'!$CO$5:$CO$1204,1)/COUNTIFS('ثبت اطلاعات'!$C$5:$C$1204,A10,'ثبت اطلاعات'!$CO$5:$CO$1204,1),""))</x:f>
        <x:v>15.2</x:v>
      </x:c>
      <x:c r="G10" s="178" t="n">
        <x:f>IF(A10="","",IFERROR(SUMIFS('ثبت اطلاعات'!$CE$5:$CE$1204,'ثبت اطلاعات'!$C$5:$C$1204,A10,'ثبت اطلاعات'!$CO$5:$CO$1204,1)/COUNTIFS('ثبت اطلاعات'!$C$5:$C$1204,A10,'ثبت اطلاعات'!$CO$5:$CO$1204,1),""))</x:f>
        <x:v>16</x:v>
      </x:c>
      <x:c r="H10" s="178" t="n">
        <x:f>IF(A10="","",IFERROR(SUMIFS('ثبت اطلاعات'!$CF$5:$CF$1204,'ثبت اطلاعات'!$C$5:$C$1204,A10,'ثبت اطلاعات'!$CO$5:$CO$1204,1)/COUNTIFS('ثبت اطلاعات'!$C$5:$C$1204,A10,'ثبت اطلاعات'!$CO$5:$CO$1204,1),""))</x:f>
        <x:v>15.5</x:v>
      </x:c>
      <x:c r="I10" s="178" t="n">
        <x:f>IF(A10="","",IFERROR(SUMIFS('ثبت اطلاعات'!$CG$5:$CG$1204,'ثبت اطلاعات'!$C$5:$C$1204,A10,'ثبت اطلاعات'!$CO$5:$CO$1204,1)/COUNTIFS('ثبت اطلاعات'!$C$5:$C$1204,A10,'ثبت اطلاعات'!$CO$5:$CO$1204,1),""))</x:f>
        <x:v>14.857142857142858</x:v>
      </x:c>
      <x:c r="J10" s="178" t="n">
        <x:f>IF(A10="","",IFERROR(SUMIFS('ثبت اطلاعات'!$CH$5:$CH$1204,'ثبت اطلاعات'!$C$5:$C$1204,A10,'ثبت اطلاعات'!$CO$5:$CO$1204,1)/COUNTIFS('ثبت اطلاعات'!$C$5:$C$1204,A10,'ثبت اطلاعات'!$CO$5:$CO$1204,1),""))</x:f>
        <x:v>14.5</x:v>
      </x:c>
      <x:c r="K10" s="178" t="n">
        <x:f>IF(A10="","",IFERROR(SUMIFS('ثبت اطلاعات'!$CI$5:$CI$1204,'ثبت اطلاعات'!$C$5:$C$1204,A10,'ثبت اطلاعات'!$CO$5:$CO$1204,1)/COUNTIFS('ثبت اطلاعات'!$C$5:$C$1204,A10,'ثبت اطلاعات'!$CO$5:$CO$1204,1),""))</x:f>
        <x:v>16.571428571428573</x:v>
      </x:c>
      <x:c r="L10" s="178" t="n">
        <x:f>IF(A10="","",IFERROR(SUMIFS('ثبت اطلاعات'!$CJ$5:$CJ$1204,'ثبت اطلاعات'!$C$5:$C$1204,A10,'ثبت اطلاعات'!$CO$5:$CO$1204,1)/COUNTIFS('ثبت اطلاعات'!$C$5:$C$1204,A10,'ثبت اطلاعات'!$CO$5:$CO$1204,1),""))</x:f>
        <x:v>14.857142857142858</x:v>
      </x:c>
      <x:c r="M10" s="178" t="n">
        <x:f>IF(A10="","",IFERROR(SUMIFS('ثبت اطلاعات'!$CK$5:$CK$1204,'ثبت اطلاعات'!$C$5:$C$1204,A10,'ثبت اطلاعات'!$CO$5:$CO$1204,1)/COUNTIFS('ثبت اطلاعات'!$C$5:$C$1204,A10,'ثبت اطلاعات'!$CO$5:$CO$1204,1),""))</x:f>
        <x:v>15.428571428571429</x:v>
      </x:c>
      <x:c r="N10" s="178" t="n">
        <x:f>IF(A10="","",IFERROR(SUMIFS('ثبت اطلاعات'!$CL$5:$CL$1204,'ثبت اطلاعات'!$C$5:$C$1204,A10,'ثبت اطلاعات'!$CO$5:$CO$1204,1)/COUNTIFS('ثبت اطلاعات'!$C$5:$C$1204,A10,'ثبت اطلاعات'!$CO$5:$CO$1204,1),""))</x:f>
        <x:v>15.29642857142857</x:v>
      </x:c>
      <x:c r="O10" s="178" t="n">
        <x:f>IF(A10="","",COUNTIFS('ثبت اطلاعات'!$C$5:$C$1204,A10,'ثبت اطلاعات'!$CO$5:$CO$1204,1))</x:f>
        <x:v>1</x:v>
      </x:c>
      <x:c r="P10" s="178" t="n">
        <x:f>IF(O10=0,"",MINIFS('ثبت اطلاعات'!$CN$5:$CN$1204,'ثبت اطلاعات'!$C$5:$C$1204,A10,'ثبت اطلاعات'!$CO$5:$CO$1204,1))</x:f>
        <x:v>1</x:v>
      </x:c>
      <x:c r="Q10" s="178" t="n">
        <x:f>IF(O10=0,"",MAXIFS('ثبت اطلاعات'!$CN$5:$CN$1204,'ثبت اطلاعات'!$C$5:$C$1204,A10,'ثبت اطلاعات'!$CO$5:$CO$1204,1))</x:f>
        <x:v>1</x:v>
      </x:c>
      <x:c r="R10" s="178" t="str">
        <x:f>IF(O10&lt;2,"",SUMIFS('ثبت اطلاعات'!$CL$5:$CL$1204,'ثبت اطلاعات'!$C$5:$C$1204,A10,'ثبت اطلاعات'!$CN$5:$CN$1204,Q10)-SUMIFS('ثبت اطلاعات'!$CL$5:$CL$1204,'ثبت اطلاعات'!$C$5:$C$1204,A10,'ثبت اطلاعات'!$CN$5:$CN$1204,P10))</x:f>
      </x:c>
      <x:c r="S10" s="178" t="str">
        <x:f>IF(A10="","",IF(O10=0,"فاقد ارزیابی نهایی",IF(O10=1,"داده ناکافی",IF(R10&gt;0.5,"پیشرفت",IF(R10&lt;-0.5,"افت","ثبات")))))</x:f>
        <x:v>داده ناکافی</x:v>
      </x:c>
      <x:c r="T10" s="178" t="str">
        <x:f>IF(N10="","",INDEX($E$4:$M$4,1,MATCH(MAX(E10:M10),E10:M10,0)))</x:f>
        <x:v>ورزشی</x:v>
      </x:c>
      <x:c r="U10" s="178" t="str">
        <x:f>IF(N10="","",INDEX($E$4:$M$4,1,MATCH(MIN(E10:M10),E10:M10,0)))</x:f>
        <x:v>پژوهشی</x:v>
      </x:c>
      <x:c r="V10" s="178" t="str">
        <x:f>IF(N10="","",IF(N10&gt;=17,"عالی",IF(N10&gt;=14,"خوب",IF(N10&gt;=10,"متوسط","ضعیف"))))</x:f>
        <x:v>خوب</x:v>
      </x:c>
      <x:c r="W10" s="178" t="n">
        <x:f>IF(N10="","",RANK.EQ(N10,$N$5:$N$104,0))</x:f>
        <x:v>38</x:v>
      </x:c>
      <x:c r="X10" s="178" t="n">
        <x:f>IF(N10="","",COUNT($N$5:$N$104))</x:f>
        <x:v>100</x:v>
      </x:c>
      <x:c r="Y10" s="142" t="str">
        <x:f>IF(U10="","",IFERROR(INDEX('بانک راهکارها'!$C$5:$C$13,MATCH(U10,'بانک راهکارها'!$B$5:$B$13,0)),""))</x:f>
        <x:v>یک پروژه کوچک پژوهشی با منابع مشخص و ارائه کوتاه پیشنهاد می‌شود.</x:v>
      </x:c>
    </x:row>
    <x:row r="11">
      <x:c r="A11" s="165" t="n">
        <x:f>IF('دانش‌آموزان'!L11="","",'دانش‌آموزان'!B11)</x:f>
        <x:v>7</x:v>
      </x:c>
      <x:c r="B11" s="233" t="str">
        <x:f>IF(A11="","",'دانش‌آموزان'!C11)</x:f>
        <x:v>4000000071</x:v>
      </x:c>
      <x:c r="C11" s="233" t="str">
        <x:f>IF(A11="","",'دانش‌آموزان'!E11&amp;" "&amp;'دانش‌آموزان'!F11)</x:f>
        <x:v>آراد حسینی</x:v>
      </x:c>
      <x:c r="D11" s="166" t="str">
        <x:f>IF(A11="","",'دانش‌آموزان'!I11)</x:f>
        <x:v>sample-7-a</x:v>
      </x:c>
      <x:c r="E11" s="141" t="n">
        <x:f>IF(A11="","",IFERROR(SUMIFS('ثبت اطلاعات'!$CC$5:$CC$1204,'ثبت اطلاعات'!$C$5:$C$1204,A11,'ثبت اطلاعات'!$CO$5:$CO$1204,1)/COUNTIFS('ثبت اطلاعات'!$C$5:$C$1204,A11,'ثبت اطلاعات'!$CO$5:$CO$1204,1),""))</x:f>
        <x:v>15.6</x:v>
      </x:c>
      <x:c r="F11" s="178" t="n">
        <x:f>IF(A11="","",IFERROR(SUMIFS('ثبت اطلاعات'!$CD$5:$CD$1204,'ثبت اطلاعات'!$C$5:$C$1204,A11,'ثبت اطلاعات'!$CO$5:$CO$1204,1)/COUNTIFS('ثبت اطلاعات'!$C$5:$C$1204,A11,'ثبت اطلاعات'!$CO$5:$CO$1204,1),""))</x:f>
        <x:v>14.8</x:v>
      </x:c>
      <x:c r="G11" s="178" t="n">
        <x:f>IF(A11="","",IFERROR(SUMIFS('ثبت اطلاعات'!$CE$5:$CE$1204,'ثبت اطلاعات'!$C$5:$C$1204,A11,'ثبت اطلاعات'!$CO$5:$CO$1204,1)/COUNTIFS('ثبت اطلاعات'!$C$5:$C$1204,A11,'ثبت اطلاعات'!$CO$5:$CO$1204,1),""))</x:f>
        <x:v>15.6</x:v>
      </x:c>
      <x:c r="H11" s="178" t="n">
        <x:f>IF(A11="","",IFERROR(SUMIFS('ثبت اطلاعات'!$CF$5:$CF$1204,'ثبت اطلاعات'!$C$5:$C$1204,A11,'ثبت اطلاعات'!$CO$5:$CO$1204,1)/COUNTIFS('ثبت اطلاعات'!$C$5:$C$1204,A11,'ثبت اطلاعات'!$CO$5:$CO$1204,1),""))</x:f>
        <x:v>14</x:v>
      </x:c>
      <x:c r="I11" s="178" t="n">
        <x:f>IF(A11="","",IFERROR(SUMIFS('ثبت اطلاعات'!$CG$5:$CG$1204,'ثبت اطلاعات'!$C$5:$C$1204,A11,'ثبت اطلاعات'!$CO$5:$CO$1204,1)/COUNTIFS('ثبت اطلاعات'!$C$5:$C$1204,A11,'ثبت اطلاعات'!$CO$5:$CO$1204,1),""))</x:f>
        <x:v>16.571428571428573</x:v>
      </x:c>
      <x:c r="J11" s="178" t="n">
        <x:f>IF(A11="","",IFERROR(SUMIFS('ثبت اطلاعات'!$CH$5:$CH$1204,'ثبت اطلاعات'!$C$5:$C$1204,A11,'ثبت اطلاعات'!$CO$5:$CO$1204,1)/COUNTIFS('ثبت اطلاعات'!$C$5:$C$1204,A11,'ثبت اطلاعات'!$CO$5:$CO$1204,1),""))</x:f>
        <x:v>15</x:v>
      </x:c>
      <x:c r="K11" s="178" t="n">
        <x:f>IF(A11="","",IFERROR(SUMIFS('ثبت اطلاعات'!$CI$5:$CI$1204,'ثبت اطلاعات'!$C$5:$C$1204,A11,'ثبت اطلاعات'!$CO$5:$CO$1204,1)/COUNTIFS('ثبت اطلاعات'!$C$5:$C$1204,A11,'ثبت اطلاعات'!$CO$5:$CO$1204,1),""))</x:f>
        <x:v>14.285714285714286</x:v>
      </x:c>
      <x:c r="L11" s="178" t="n">
        <x:f>IF(A11="","",IFERROR(SUMIFS('ثبت اطلاعات'!$CJ$5:$CJ$1204,'ثبت اطلاعات'!$C$5:$C$1204,A11,'ثبت اطلاعات'!$CO$5:$CO$1204,1)/COUNTIFS('ثبت اطلاعات'!$C$5:$C$1204,A11,'ثبت اطلاعات'!$CO$5:$CO$1204,1),""))</x:f>
        <x:v>16.571428571428573</x:v>
      </x:c>
      <x:c r="M11" s="178" t="n">
        <x:f>IF(A11="","",IFERROR(SUMIFS('ثبت اطلاعات'!$CK$5:$CK$1204,'ثبت اطلاعات'!$C$5:$C$1204,A11,'ثبت اطلاعات'!$CO$5:$CO$1204,1)/COUNTIFS('ثبت اطلاعات'!$C$5:$C$1204,A11,'ثبت اطلاعات'!$CO$5:$CO$1204,1),""))</x:f>
        <x:v>15.428571428571429</x:v>
      </x:c>
      <x:c r="N11" s="178" t="n">
        <x:f>IF(A11="","",IFERROR(SUMIFS('ثبت اطلاعات'!$CL$5:$CL$1204,'ثبت اطلاعات'!$C$5:$C$1204,A11,'ثبت اطلاعات'!$CO$5:$CO$1204,1)/COUNTIFS('ثبت اطلاعات'!$C$5:$C$1204,A11,'ثبت اطلاعات'!$CO$5:$CO$1204,1),""))</x:f>
        <x:v>15.214285714285715</x:v>
      </x:c>
      <x:c r="O11" s="178" t="n">
        <x:f>IF(A11="","",COUNTIFS('ثبت اطلاعات'!$C$5:$C$1204,A11,'ثبت اطلاعات'!$CO$5:$CO$1204,1))</x:f>
        <x:v>1</x:v>
      </x:c>
      <x:c r="P11" s="178" t="n">
        <x:f>IF(O11=0,"",MINIFS('ثبت اطلاعات'!$CN$5:$CN$1204,'ثبت اطلاعات'!$C$5:$C$1204,A11,'ثبت اطلاعات'!$CO$5:$CO$1204,1))</x:f>
        <x:v>1</x:v>
      </x:c>
      <x:c r="Q11" s="178" t="n">
        <x:f>IF(O11=0,"",MAXIFS('ثبت اطلاعات'!$CN$5:$CN$1204,'ثبت اطلاعات'!$C$5:$C$1204,A11,'ثبت اطلاعات'!$CO$5:$CO$1204,1))</x:f>
        <x:v>1</x:v>
      </x:c>
      <x:c r="R11" s="178" t="str">
        <x:f>IF(O11&lt;2,"",SUMIFS('ثبت اطلاعات'!$CL$5:$CL$1204,'ثبت اطلاعات'!$C$5:$C$1204,A11,'ثبت اطلاعات'!$CN$5:$CN$1204,Q11)-SUMIFS('ثبت اطلاعات'!$CL$5:$CL$1204,'ثبت اطلاعات'!$C$5:$C$1204,A11,'ثبت اطلاعات'!$CN$5:$CN$1204,P11))</x:f>
      </x:c>
      <x:c r="S11" s="178" t="str">
        <x:f>IF(A11="","",IF(O11=0,"فاقد ارزیابی نهایی",IF(O11=1,"داده ناکافی",IF(R11&gt;0.5,"پیشرفت",IF(R11&lt;-0.5,"افت","ثبات")))))</x:f>
        <x:v>داده ناکافی</x:v>
      </x:c>
      <x:c r="T11" s="178" t="str">
        <x:f>IF(N11="","",INDEX($E$4:$M$4,1,MATCH(MAX(E11:M11),E11:M11,0)))</x:f>
        <x:v>فرهنگی</x:v>
      </x:c>
      <x:c r="U11" s="178" t="str">
        <x:f>IF(N11="","",INDEX($E$4:$M$4,1,MATCH(MIN(E11:M11),E11:M11,0)))</x:f>
        <x:v>انضباطی</x:v>
      </x:c>
      <x:c r="V11" s="178" t="str">
        <x:f>IF(N11="","",IF(N11&gt;=17,"عالی",IF(N11&gt;=14,"خوب",IF(N11&gt;=10,"متوسط","ضعیف"))))</x:f>
        <x:v>خوب</x:v>
      </x:c>
      <x:c r="W11" s="178" t="n">
        <x:f>IF(N11="","",RANK.EQ(N11,$N$5:$N$104,0))</x:f>
        <x:v>74</x:v>
      </x:c>
      <x:c r="X11" s="178" t="n">
        <x:f>IF(N11="","",COUNT($N$5:$N$104))</x:f>
        <x:v>100</x:v>
      </x:c>
      <x:c r="Y11" s="142" t="str">
        <x:f>IF(U11="","",IFERROR(INDEX('بانک راهکارها'!$C$5:$C$13,MATCH(U11,'بانک راهکارها'!$B$5:$B$13,0)),""))</x:f>
        <x:v>قواعد روشن، قرارداد رفتاری کوتاه‌مدت و ثبت منظم پیشرفت پیشنهاد می‌شود.</x:v>
      </x:c>
    </x:row>
    <x:row r="12">
      <x:c r="A12" s="165" t="n">
        <x:f>IF('دانش‌آموزان'!L12="","",'دانش‌آموزان'!B12)</x:f>
        <x:v>8</x:v>
      </x:c>
      <x:c r="B12" s="233" t="str">
        <x:f>IF(A12="","",'دانش‌آموزان'!C12)</x:f>
        <x:v>4000000081</x:v>
      </x:c>
      <x:c r="C12" s="233" t="str">
        <x:f>IF(A12="","",'دانش‌آموزان'!E12&amp;" "&amp;'دانش‌آموزان'!F12)</x:f>
        <x:v>نگار جعفری</x:v>
      </x:c>
      <x:c r="D12" s="166" t="str">
        <x:f>IF(A12="","",'دانش‌آموزان'!I12)</x:f>
        <x:v>sample-7-a</x:v>
      </x:c>
      <x:c r="E12" s="141" t="n">
        <x:f>IF(A12="","",IFERROR(SUMIFS('ثبت اطلاعات'!$CC$5:$CC$1204,'ثبت اطلاعات'!$C$5:$C$1204,A12,'ثبت اطلاعات'!$CO$5:$CO$1204,1)/COUNTIFS('ثبت اطلاعات'!$C$5:$C$1204,A12,'ثبت اطلاعات'!$CO$5:$CO$1204,1),""))</x:f>
        <x:v>15.2</x:v>
      </x:c>
      <x:c r="F12" s="178" t="n">
        <x:f>IF(A12="","",IFERROR(SUMIFS('ثبت اطلاعات'!$CD$5:$CD$1204,'ثبت اطلاعات'!$C$5:$C$1204,A12,'ثبت اطلاعات'!$CO$5:$CO$1204,1)/COUNTIFS('ثبت اطلاعات'!$C$5:$C$1204,A12,'ثبت اطلاعات'!$CO$5:$CO$1204,1),""))</x:f>
        <x:v>16</x:v>
      </x:c>
      <x:c r="G12" s="178" t="n">
        <x:f>IF(A12="","",IFERROR(SUMIFS('ثبت اطلاعات'!$CE$5:$CE$1204,'ثبت اطلاعات'!$C$5:$C$1204,A12,'ثبت اطلاعات'!$CO$5:$CO$1204,1)/COUNTIFS('ثبت اطلاعات'!$C$5:$C$1204,A12,'ثبت اطلاعات'!$CO$5:$CO$1204,1),""))</x:f>
        <x:v>15.2</x:v>
      </x:c>
      <x:c r="H12" s="178" t="n">
        <x:f>IF(A12="","",IFERROR(SUMIFS('ثبت اطلاعات'!$CF$5:$CF$1204,'ثبت اطلاعات'!$C$5:$C$1204,A12,'ثبت اطلاعات'!$CO$5:$CO$1204,1)/COUNTIFS('ثبت اطلاعات'!$C$5:$C$1204,A12,'ثبت اطلاعات'!$CO$5:$CO$1204,1),""))</x:f>
        <x:v>16</x:v>
      </x:c>
      <x:c r="I12" s="178" t="n">
        <x:f>IF(A12="","",IFERROR(SUMIFS('ثبت اطلاعات'!$CG$5:$CG$1204,'ثبت اطلاعات'!$C$5:$C$1204,A12,'ثبت اطلاعات'!$CO$5:$CO$1204,1)/COUNTIFS('ثبت اطلاعات'!$C$5:$C$1204,A12,'ثبت اطلاعات'!$CO$5:$CO$1204,1),""))</x:f>
        <x:v>14.285714285714286</x:v>
      </x:c>
      <x:c r="J12" s="178" t="n">
        <x:f>IF(A12="","",IFERROR(SUMIFS('ثبت اطلاعات'!$CH$5:$CH$1204,'ثبت اطلاعات'!$C$5:$C$1204,A12,'ثبت اطلاعات'!$CO$5:$CO$1204,1)/COUNTIFS('ثبت اطلاعات'!$C$5:$C$1204,A12,'ثبت اطلاعات'!$CO$5:$CO$1204,1),""))</x:f>
        <x:v>15.5</x:v>
      </x:c>
      <x:c r="K12" s="178" t="n">
        <x:f>IF(A12="","",IFERROR(SUMIFS('ثبت اطلاعات'!$CI$5:$CI$1204,'ثبت اطلاعات'!$C$5:$C$1204,A12,'ثبت اطلاعات'!$CO$5:$CO$1204,1)/COUNTIFS('ثبت اطلاعات'!$C$5:$C$1204,A12,'ثبت اطلاعات'!$CO$5:$CO$1204,1),""))</x:f>
        <x:v>16</x:v>
      </x:c>
      <x:c r="L12" s="178" t="n">
        <x:f>IF(A12="","",IFERROR(SUMIFS('ثبت اطلاعات'!$CJ$5:$CJ$1204,'ثبت اطلاعات'!$C$5:$C$1204,A12,'ثبت اطلاعات'!$CO$5:$CO$1204,1)/COUNTIFS('ثبت اطلاعات'!$C$5:$C$1204,A12,'ثبت اطلاعات'!$CO$5:$CO$1204,1),""))</x:f>
        <x:v>14.285714285714286</x:v>
      </x:c>
      <x:c r="M12" s="178" t="n">
        <x:f>IF(A12="","",IFERROR(SUMIFS('ثبت اطلاعات'!$CK$5:$CK$1204,'ثبت اطلاعات'!$C$5:$C$1204,A12,'ثبت اطلاعات'!$CO$5:$CO$1204,1)/COUNTIFS('ثبت اطلاعات'!$C$5:$C$1204,A12,'ثبت اطلاعات'!$CO$5:$CO$1204,1),""))</x:f>
        <x:v>15.428571428571429</x:v>
      </x:c>
      <x:c r="N12" s="178" t="n">
        <x:f>IF(A12="","",IFERROR(SUMIFS('ثبت اطلاعات'!$CL$5:$CL$1204,'ثبت اطلاعات'!$C$5:$C$1204,A12,'ثبت اطلاعات'!$CO$5:$CO$1204,1)/COUNTIFS('ثبت اطلاعات'!$C$5:$C$1204,A12,'ثبت اطلاعات'!$CO$5:$CO$1204,1),""))</x:f>
        <x:v>15.417142857142858</x:v>
      </x:c>
      <x:c r="O12" s="178" t="n">
        <x:f>IF(A12="","",COUNTIFS('ثبت اطلاعات'!$C$5:$C$1204,A12,'ثبت اطلاعات'!$CO$5:$CO$1204,1))</x:f>
        <x:v>1</x:v>
      </x:c>
      <x:c r="P12" s="178" t="n">
        <x:f>IF(O12=0,"",MINIFS('ثبت اطلاعات'!$CN$5:$CN$1204,'ثبت اطلاعات'!$C$5:$C$1204,A12,'ثبت اطلاعات'!$CO$5:$CO$1204,1))</x:f>
        <x:v>1</x:v>
      </x:c>
      <x:c r="Q12" s="178" t="n">
        <x:f>IF(O12=0,"",MAXIFS('ثبت اطلاعات'!$CN$5:$CN$1204,'ثبت اطلاعات'!$C$5:$C$1204,A12,'ثبت اطلاعات'!$CO$5:$CO$1204,1))</x:f>
        <x:v>1</x:v>
      </x:c>
      <x:c r="R12" s="178" t="str">
        <x:f>IF(O12&lt;2,"",SUMIFS('ثبت اطلاعات'!$CL$5:$CL$1204,'ثبت اطلاعات'!$C$5:$C$1204,A12,'ثبت اطلاعات'!$CN$5:$CN$1204,Q12)-SUMIFS('ثبت اطلاعات'!$CL$5:$CL$1204,'ثبت اطلاعات'!$C$5:$C$1204,A12,'ثبت اطلاعات'!$CN$5:$CN$1204,P12))</x:f>
      </x:c>
      <x:c r="S12" s="178" t="str">
        <x:f>IF(A12="","",IF(O12=0,"فاقد ارزیابی نهایی",IF(O12=1,"داده ناکافی",IF(R12&gt;0.5,"پیشرفت",IF(R12&lt;-0.5,"افت","ثبات")))))</x:f>
        <x:v>داده ناکافی</x:v>
      </x:c>
      <x:c r="T12" s="178" t="str">
        <x:f>IF(N12="","",INDEX($E$4:$M$4,1,MATCH(MAX(E12:M12),E12:M12,0)))</x:f>
        <x:v>پرورشی</x:v>
      </x:c>
      <x:c r="U12" s="178" t="str">
        <x:f>IF(N12="","",INDEX($E$4:$M$4,1,MATCH(MIN(E12:M12),E12:M12,0)))</x:f>
        <x:v>فرهنگی</x:v>
      </x:c>
      <x:c r="V12" s="178" t="str">
        <x:f>IF(N12="","",IF(N12&gt;=17,"عالی",IF(N12&gt;=14,"خوب",IF(N12&gt;=10,"متوسط","ضعیف"))))</x:f>
        <x:v>خوب</x:v>
      </x:c>
      <x:c r="W12" s="178" t="n">
        <x:f>IF(N12="","",RANK.EQ(N12,$N$5:$N$104,0))</x:f>
        <x:v>10</x:v>
      </x:c>
      <x:c r="X12" s="178" t="n">
        <x:f>IF(N12="","",COUNT($N$5:$N$104))</x:f>
        <x:v>100</x:v>
      </x:c>
      <x:c r="Y12" s="142" t="str">
        <x:f>IF(U12="","",IFERROR(INDEX('بانک راهکارها'!$C$5:$C$13,MATCH(U12,'بانک راهکارها'!$B$5:$B$13,0)),""))</x:f>
        <x:v>مشارکت در برنامه‌های فرهنگی، مطالعه هدایت‌شده و فعالیت گروهی پیشنهاد می‌شود.</x:v>
      </x:c>
    </x:row>
    <x:row r="13">
      <x:c r="A13" s="165" t="n">
        <x:f>IF('دانش‌آموزان'!L13="","",'دانش‌آموزان'!B13)</x:f>
        <x:v>9</x:v>
      </x:c>
      <x:c r="B13" s="233" t="str">
        <x:f>IF(A13="","",'دانش‌آموزان'!C13)</x:f>
        <x:v>4000000098</x:v>
      </x:c>
      <x:c r="C13" s="233" t="str">
        <x:f>IF(A13="","",'دانش‌آموزان'!E13&amp;" "&amp;'دانش‌آموزان'!F13)</x:f>
        <x:v>سام امینی</x:v>
      </x:c>
      <x:c r="D13" s="166" t="str">
        <x:f>IF(A13="","",'دانش‌آموزان'!I13)</x:f>
        <x:v>sample-7-a</x:v>
      </x:c>
      <x:c r="E13" s="141" t="n">
        <x:f>IF(A13="","",IFERROR(SUMIFS('ثبت اطلاعات'!$CC$5:$CC$1204,'ثبت اطلاعات'!$C$5:$C$1204,A13,'ثبت اطلاعات'!$CO$5:$CO$1204,1)/COUNTIFS('ثبت اطلاعات'!$C$5:$C$1204,A13,'ثبت اطلاعات'!$CO$5:$CO$1204,1),""))</x:f>
        <x:v>14.8</x:v>
      </x:c>
      <x:c r="F13" s="178" t="n">
        <x:f>IF(A13="","",IFERROR(SUMIFS('ثبت اطلاعات'!$CD$5:$CD$1204,'ثبت اطلاعات'!$C$5:$C$1204,A13,'ثبت اطلاعات'!$CO$5:$CO$1204,1)/COUNTIFS('ثبت اطلاعات'!$C$5:$C$1204,A13,'ثبت اطلاعات'!$CO$5:$CO$1204,1),""))</x:f>
        <x:v>15.6</x:v>
      </x:c>
      <x:c r="G13" s="178" t="n">
        <x:f>IF(A13="","",IFERROR(SUMIFS('ثبت اطلاعات'!$CE$5:$CE$1204,'ثبت اطلاعات'!$C$5:$C$1204,A13,'ثبت اطلاعات'!$CO$5:$CO$1204,1)/COUNTIFS('ثبت اطلاعات'!$C$5:$C$1204,A13,'ثبت اطلاعات'!$CO$5:$CO$1204,1),""))</x:f>
        <x:v>14.8</x:v>
      </x:c>
      <x:c r="H13" s="178" t="n">
        <x:f>IF(A13="","",IFERROR(SUMIFS('ثبت اطلاعات'!$CF$5:$CF$1204,'ثبت اطلاعات'!$C$5:$C$1204,A13,'ثبت اطلاعات'!$CO$5:$CO$1204,1)/COUNTIFS('ثبت اطلاعات'!$C$5:$C$1204,A13,'ثبت اطلاعات'!$CO$5:$CO$1204,1),""))</x:f>
        <x:v>14.5</x:v>
      </x:c>
      <x:c r="I13" s="178" t="n">
        <x:f>IF(A13="","",IFERROR(SUMIFS('ثبت اطلاعات'!$CG$5:$CG$1204,'ثبت اطلاعات'!$C$5:$C$1204,A13,'ثبت اطلاعات'!$CO$5:$CO$1204,1)/COUNTIFS('ثبت اطلاعات'!$C$5:$C$1204,A13,'ثبت اطلاعات'!$CO$5:$CO$1204,1),""))</x:f>
        <x:v>16.571428571428573</x:v>
      </x:c>
      <x:c r="J13" s="178" t="n">
        <x:f>IF(A13="","",IFERROR(SUMIFS('ثبت اطلاعات'!$CH$5:$CH$1204,'ثبت اطلاعات'!$C$5:$C$1204,A13,'ثبت اطلاعات'!$CO$5:$CO$1204,1)/COUNTIFS('ثبت اطلاعات'!$C$5:$C$1204,A13,'ثبت اطلاعات'!$CO$5:$CO$1204,1),""))</x:f>
        <x:v>15.5</x:v>
      </x:c>
      <x:c r="K13" s="178" t="n">
        <x:f>IF(A13="","",IFERROR(SUMIFS('ثبت اطلاعات'!$CI$5:$CI$1204,'ثبت اطلاعات'!$C$5:$C$1204,A13,'ثبت اطلاعات'!$CO$5:$CO$1204,1)/COUNTIFS('ثبت اطلاعات'!$C$5:$C$1204,A13,'ثبت اطلاعات'!$CO$5:$CO$1204,1),""))</x:f>
        <x:v>13.714285714285714</x:v>
      </x:c>
      <x:c r="L13" s="178" t="n">
        <x:f>IF(A13="","",IFERROR(SUMIFS('ثبت اطلاعات'!$CJ$5:$CJ$1204,'ثبت اطلاعات'!$C$5:$C$1204,A13,'ثبت اطلاعات'!$CO$5:$CO$1204,1)/COUNTIFS('ثبت اطلاعات'!$C$5:$C$1204,A13,'ثبت اطلاعات'!$CO$5:$CO$1204,1),""))</x:f>
        <x:v>16.571428571428573</x:v>
      </x:c>
      <x:c r="M13" s="178" t="n">
        <x:f>IF(A13="","",IFERROR(SUMIFS('ثبت اطلاعات'!$CK$5:$CK$1204,'ثبت اطلاعات'!$C$5:$C$1204,A13,'ثبت اطلاعات'!$CO$5:$CO$1204,1)/COUNTIFS('ثبت اطلاعات'!$C$5:$C$1204,A13,'ثبت اطلاعات'!$CO$5:$CO$1204,1),""))</x:f>
        <x:v>14.857142857142858</x:v>
      </x:c>
      <x:c r="N13" s="178" t="n">
        <x:f>IF(A13="","",IFERROR(SUMIFS('ثبت اطلاعات'!$CL$5:$CL$1204,'ثبت اطلاعات'!$C$5:$C$1204,A13,'ثبت اطلاعات'!$CO$5:$CO$1204,1)/COUNTIFS('ثبت اطلاعات'!$C$5:$C$1204,A13,'ثبت اطلاعات'!$CO$5:$CO$1204,1),""))</x:f>
        <x:v>15.089285714285715</x:v>
      </x:c>
      <x:c r="O13" s="178" t="n">
        <x:f>IF(A13="","",COUNTIFS('ثبت اطلاعات'!$C$5:$C$1204,A13,'ثبت اطلاعات'!$CO$5:$CO$1204,1))</x:f>
        <x:v>1</x:v>
      </x:c>
      <x:c r="P13" s="178" t="n">
        <x:f>IF(O13=0,"",MINIFS('ثبت اطلاعات'!$CN$5:$CN$1204,'ثبت اطلاعات'!$C$5:$C$1204,A13,'ثبت اطلاعات'!$CO$5:$CO$1204,1))</x:f>
        <x:v>1</x:v>
      </x:c>
      <x:c r="Q13" s="178" t="n">
        <x:f>IF(O13=0,"",MAXIFS('ثبت اطلاعات'!$CN$5:$CN$1204,'ثبت اطلاعات'!$C$5:$C$1204,A13,'ثبت اطلاعات'!$CO$5:$CO$1204,1))</x:f>
        <x:v>1</x:v>
      </x:c>
      <x:c r="R13" s="178" t="str">
        <x:f>IF(O13&lt;2,"",SUMIFS('ثبت اطلاعات'!$CL$5:$CL$1204,'ثبت اطلاعات'!$C$5:$C$1204,A13,'ثبت اطلاعات'!$CN$5:$CN$1204,Q13)-SUMIFS('ثبت اطلاعات'!$CL$5:$CL$1204,'ثبت اطلاعات'!$C$5:$C$1204,A13,'ثبت اطلاعات'!$CN$5:$CN$1204,P13))</x:f>
      </x:c>
      <x:c r="S13" s="178" t="str">
        <x:f>IF(A13="","",IF(O13=0,"فاقد ارزیابی نهایی",IF(O13=1,"داده ناکافی",IF(R13&gt;0.5,"پیشرفت",IF(R13&lt;-0.5,"افت","ثبات")))))</x:f>
        <x:v>داده ناکافی</x:v>
      </x:c>
      <x:c r="T13" s="178" t="str">
        <x:f>IF(N13="","",INDEX($E$4:$M$4,1,MATCH(MAX(E13:M13),E13:M13,0)))</x:f>
        <x:v>فرهنگی</x:v>
      </x:c>
      <x:c r="U13" s="178" t="str">
        <x:f>IF(N13="","",INDEX($E$4:$M$4,1,MATCH(MIN(E13:M13),E13:M13,0)))</x:f>
        <x:v>ورزشی</x:v>
      </x:c>
      <x:c r="V13" s="178" t="str">
        <x:f>IF(N13="","",IF(N13&gt;=17,"عالی",IF(N13&gt;=14,"خوب",IF(N13&gt;=10,"متوسط","ضعیف"))))</x:f>
        <x:v>خوب</x:v>
      </x:c>
      <x:c r="W13" s="178" t="n">
        <x:f>IF(N13="","",RANK.EQ(N13,$N$5:$N$104,0))</x:f>
        <x:v>92</x:v>
      </x:c>
      <x:c r="X13" s="178" t="n">
        <x:f>IF(N13="","",COUNT($N$5:$N$104))</x:f>
        <x:v>100</x:v>
      </x:c>
      <x:c r="Y13" s="142" t="str">
        <x:f>IF(U13="","",IFERROR(INDEX('بانک راهکارها'!$C$5:$C$13,MATCH(U13,'بانک راهکارها'!$B$5:$B$13,0)),""))</x:f>
        <x:v>برنامه فعالیت بدنی منظم و مشارکت در ورزش گروهی پیشنهاد می‌شود.</x:v>
      </x:c>
    </x:row>
    <x:row r="14">
      <x:c r="A14" s="165" t="n">
        <x:f>IF('دانش‌آموزان'!L14="","",'دانش‌آموزان'!B14)</x:f>
        <x:v>10</x:v>
      </x:c>
      <x:c r="B14" s="233" t="str">
        <x:f>IF(A14="","",'دانش‌آموزان'!C14)</x:f>
        <x:v>4000000101</x:v>
      </x:c>
      <x:c r="C14" s="233" t="str">
        <x:f>IF(A14="","",'دانش‌آموزان'!E14&amp;" "&amp;'دانش‌آموزان'!F14)</x:f>
        <x:v>هلیا کریمی</x:v>
      </x:c>
      <x:c r="D14" s="166" t="str">
        <x:f>IF(A14="","",'دانش‌آموزان'!I14)</x:f>
        <x:v>sample-7-a</x:v>
      </x:c>
      <x:c r="E14" s="141" t="n">
        <x:f>IF(A14="","",IFERROR(SUMIFS('ثبت اطلاعات'!$CC$5:$CC$1204,'ثبت اطلاعات'!$C$5:$C$1204,A14,'ثبت اطلاعات'!$CO$5:$CO$1204,1)/COUNTIFS('ثبت اطلاعات'!$C$5:$C$1204,A14,'ثبت اطلاعات'!$CO$5:$CO$1204,1),""))</x:f>
        <x:v>16</x:v>
      </x:c>
      <x:c r="F14" s="178" t="n">
        <x:f>IF(A14="","",IFERROR(SUMIFS('ثبت اطلاعات'!$CD$5:$CD$1204,'ثبت اطلاعات'!$C$5:$C$1204,A14,'ثبت اطلاعات'!$CO$5:$CO$1204,1)/COUNTIFS('ثبت اطلاعات'!$C$5:$C$1204,A14,'ثبت اطلاعات'!$CO$5:$CO$1204,1),""))</x:f>
        <x:v>15.2</x:v>
      </x:c>
      <x:c r="G14" s="178" t="n">
        <x:f>IF(A14="","",IFERROR(SUMIFS('ثبت اطلاعات'!$CE$5:$CE$1204,'ثبت اطلاعات'!$C$5:$C$1204,A14,'ثبت اطلاعات'!$CO$5:$CO$1204,1)/COUNTIFS('ثبت اطلاعات'!$C$5:$C$1204,A14,'ثبت اطلاعات'!$CO$5:$CO$1204,1),""))</x:f>
        <x:v>15.6</x:v>
      </x:c>
      <x:c r="H14" s="178" t="n">
        <x:f>IF(A14="","",IFERROR(SUMIFS('ثبت اطلاعات'!$CF$5:$CF$1204,'ثبت اطلاعات'!$C$5:$C$1204,A14,'ثبت اطلاعات'!$CO$5:$CO$1204,1)/COUNTIFS('ثبت اطلاعات'!$C$5:$C$1204,A14,'ثبت اطلاعات'!$CO$5:$CO$1204,1),""))</x:f>
        <x:v>15</x:v>
      </x:c>
      <x:c r="I14" s="178" t="n">
        <x:f>IF(A14="","",IFERROR(SUMIFS('ثبت اطلاعات'!$CG$5:$CG$1204,'ثبت اطلاعات'!$C$5:$C$1204,A14,'ثبت اطلاعات'!$CO$5:$CO$1204,1)/COUNTIFS('ثبت اطلاعات'!$C$5:$C$1204,A14,'ثبت اطلاعات'!$CO$5:$CO$1204,1),""))</x:f>
        <x:v>14.285714285714286</x:v>
      </x:c>
      <x:c r="J14" s="178" t="n">
        <x:f>IF(A14="","",IFERROR(SUMIFS('ثبت اطلاعات'!$CH$5:$CH$1204,'ثبت اطلاعات'!$C$5:$C$1204,A14,'ثبت اطلاعات'!$CO$5:$CO$1204,1)/COUNTIFS('ثبت اطلاعات'!$C$5:$C$1204,A14,'ثبت اطلاعات'!$CO$5:$CO$1204,1),""))</x:f>
        <x:v>16</x:v>
      </x:c>
      <x:c r="K14" s="178" t="n">
        <x:f>IF(A14="","",IFERROR(SUMIFS('ثبت اطلاعات'!$CI$5:$CI$1204,'ثبت اطلاعات'!$C$5:$C$1204,A14,'ثبت اطلاعات'!$CO$5:$CO$1204,1)/COUNTIFS('ثبت اطلاعات'!$C$5:$C$1204,A14,'ثبت اطلاعات'!$CO$5:$CO$1204,1),""))</x:f>
        <x:v>15.428571428571429</x:v>
      </x:c>
      <x:c r="L14" s="178" t="n">
        <x:f>IF(A14="","",IFERROR(SUMIFS('ثبت اطلاعات'!$CJ$5:$CJ$1204,'ثبت اطلاعات'!$C$5:$C$1204,A14,'ثبت اطلاعات'!$CO$5:$CO$1204,1)/COUNTIFS('ثبت اطلاعات'!$C$5:$C$1204,A14,'ثبت اطلاعات'!$CO$5:$CO$1204,1),""))</x:f>
        <x:v>14.285714285714286</x:v>
      </x:c>
      <x:c r="M14" s="178" t="n">
        <x:f>IF(A14="","",IFERROR(SUMIFS('ثبت اطلاعات'!$CK$5:$CK$1204,'ثبت اطلاعات'!$C$5:$C$1204,A14,'ثبت اطلاعات'!$CO$5:$CO$1204,1)/COUNTIFS('ثبت اطلاعات'!$C$5:$C$1204,A14,'ثبت اطلاعات'!$CO$5:$CO$1204,1),""))</x:f>
        <x:v>16.571428571428573</x:v>
      </x:c>
      <x:c r="N14" s="178" t="n">
        <x:f>IF(A14="","",IFERROR(SUMIFS('ثبت اطلاعات'!$CL$5:$CL$1204,'ثبت اطلاعات'!$C$5:$C$1204,A14,'ثبت اطلاعات'!$CO$5:$CO$1204,1)/COUNTIFS('ثبت اطلاعات'!$C$5:$C$1204,A14,'ثبت اطلاعات'!$CO$5:$CO$1204,1),""))</x:f>
        <x:v>15.447142857142858</x:v>
      </x:c>
      <x:c r="O14" s="178" t="n">
        <x:f>IF(A14="","",COUNTIFS('ثبت اطلاعات'!$C$5:$C$1204,A14,'ثبت اطلاعات'!$CO$5:$CO$1204,1))</x:f>
        <x:v>1</x:v>
      </x:c>
      <x:c r="P14" s="178" t="n">
        <x:f>IF(O14=0,"",MINIFS('ثبت اطلاعات'!$CN$5:$CN$1204,'ثبت اطلاعات'!$C$5:$C$1204,A14,'ثبت اطلاعات'!$CO$5:$CO$1204,1))</x:f>
        <x:v>1</x:v>
      </x:c>
      <x:c r="Q14" s="178" t="n">
        <x:f>IF(O14=0,"",MAXIFS('ثبت اطلاعات'!$CN$5:$CN$1204,'ثبت اطلاعات'!$C$5:$C$1204,A14,'ثبت اطلاعات'!$CO$5:$CO$1204,1))</x:f>
        <x:v>1</x:v>
      </x:c>
      <x:c r="R14" s="178" t="str">
        <x:f>IF(O14&lt;2,"",SUMIFS('ثبت اطلاعات'!$CL$5:$CL$1204,'ثبت اطلاعات'!$C$5:$C$1204,A14,'ثبت اطلاعات'!$CN$5:$CN$1204,Q14)-SUMIFS('ثبت اطلاعات'!$CL$5:$CL$1204,'ثبت اطلاعات'!$C$5:$C$1204,A14,'ثبت اطلاعات'!$CN$5:$CN$1204,P14))</x:f>
      </x:c>
      <x:c r="S14" s="178" t="str">
        <x:f>IF(A14="","",IF(O14=0,"فاقد ارزیابی نهایی",IF(O14=1,"داده ناکافی",IF(R14&gt;0.5,"پیشرفت",IF(R14&lt;-0.5,"افت","ثبات")))))</x:f>
        <x:v>داده ناکافی</x:v>
      </x:c>
      <x:c r="T14" s="178" t="str">
        <x:f>IF(N14="","",INDEX($E$4:$M$4,1,MATCH(MAX(E14:M14),E14:M14,0)))</x:f>
        <x:v>مهارت‌های فردی</x:v>
      </x:c>
      <x:c r="U14" s="178" t="str">
        <x:f>IF(N14="","",INDEX($E$4:$M$4,1,MATCH(MIN(E14:M14),E14:M14,0)))</x:f>
        <x:v>فرهنگی</x:v>
      </x:c>
      <x:c r="V14" s="178" t="str">
        <x:f>IF(N14="","",IF(N14&gt;=17,"عالی",IF(N14&gt;=14,"خوب",IF(N14&gt;=10,"متوسط","ضعیف"))))</x:f>
        <x:v>خوب</x:v>
      </x:c>
      <x:c r="W14" s="178" t="n">
        <x:f>IF(N14="","",RANK.EQ(N14,$N$5:$N$104,0))</x:f>
        <x:v>1</x:v>
      </x:c>
      <x:c r="X14" s="178" t="n">
        <x:f>IF(N14="","",COUNT($N$5:$N$104))</x:f>
        <x:v>100</x:v>
      </x:c>
      <x:c r="Y14" s="142" t="str">
        <x:f>IF(U14="","",IFERROR(INDEX('بانک راهکارها'!$C$5:$C$13,MATCH(U14,'بانک راهکارها'!$B$5:$B$13,0)),""))</x:f>
        <x:v>مشارکت در برنامه‌های فرهنگی، مطالعه هدایت‌شده و فعالیت گروهی پیشنهاد می‌شود.</x:v>
      </x:c>
    </x:row>
    <x:row r="15">
      <x:c r="A15" s="165" t="n">
        <x:f>IF('دانش‌آموزان'!L15="","",'دانش‌آموزان'!B15)</x:f>
        <x:v>11</x:v>
      </x:c>
      <x:c r="B15" s="233" t="str">
        <x:f>IF(A15="","",'دانش‌آموزان'!C15)</x:f>
        <x:v>4000000111</x:v>
      </x:c>
      <x:c r="C15" s="233" t="str">
        <x:f>IF(A15="","",'دانش‌آموزان'!E15&amp;" "&amp;'دانش‌آموزان'!F15)</x:f>
        <x:v>پارسا موسوی</x:v>
      </x:c>
      <x:c r="D15" s="166" t="str">
        <x:f>IF(A15="","",'دانش‌آموزان'!I15)</x:f>
        <x:v>sample-7-a</x:v>
      </x:c>
      <x:c r="E15" s="141" t="n">
        <x:f>IF(A15="","",IFERROR(SUMIFS('ثبت اطلاعات'!$CC$5:$CC$1204,'ثبت اطلاعات'!$C$5:$C$1204,A15,'ثبت اطلاعات'!$CO$5:$CO$1204,1)/COUNTIFS('ثبت اطلاعات'!$C$5:$C$1204,A15,'ثبت اطلاعات'!$CO$5:$CO$1204,1),""))</x:f>
        <x:v>15.6</x:v>
      </x:c>
      <x:c r="F15" s="178" t="n">
        <x:f>IF(A15="","",IFERROR(SUMIFS('ثبت اطلاعات'!$CD$5:$CD$1204,'ثبت اطلاعات'!$C$5:$C$1204,A15,'ثبت اطلاعات'!$CO$5:$CO$1204,1)/COUNTIFS('ثبت اطلاعات'!$C$5:$C$1204,A15,'ثبت اطلاعات'!$CO$5:$CO$1204,1),""))</x:f>
        <x:v>14.8</x:v>
      </x:c>
      <x:c r="G15" s="178" t="n">
        <x:f>IF(A15="","",IFERROR(SUMIFS('ثبت اطلاعات'!$CE$5:$CE$1204,'ثبت اطلاعات'!$C$5:$C$1204,A15,'ثبت اطلاعات'!$CO$5:$CO$1204,1)/COUNTIFS('ثبت اطلاعات'!$C$5:$C$1204,A15,'ثبت اطلاعات'!$CO$5:$CO$1204,1),""))</x:f>
        <x:v>15.2</x:v>
      </x:c>
      <x:c r="H15" s="178" t="n">
        <x:f>IF(A15="","",IFERROR(SUMIFS('ثبت اطلاعات'!$CF$5:$CF$1204,'ثبت اطلاعات'!$C$5:$C$1204,A15,'ثبت اطلاعات'!$CO$5:$CO$1204,1)/COUNTIFS('ثبت اطلاعات'!$C$5:$C$1204,A15,'ثبت اطلاعات'!$CO$5:$CO$1204,1),""))</x:f>
        <x:v>15.5</x:v>
      </x:c>
      <x:c r="I15" s="178" t="n">
        <x:f>IF(A15="","",IFERROR(SUMIFS('ثبت اطلاعات'!$CG$5:$CG$1204,'ثبت اطلاعات'!$C$5:$C$1204,A15,'ثبت اطلاعات'!$CO$5:$CO$1204,1)/COUNTIFS('ثبت اطلاعات'!$C$5:$C$1204,A15,'ثبت اطلاعات'!$CO$5:$CO$1204,1),""))</x:f>
        <x:v>16</x:v>
      </x:c>
      <x:c r="J15" s="178" t="n">
        <x:f>IF(A15="","",IFERROR(SUMIFS('ثبت اطلاعات'!$CH$5:$CH$1204,'ثبت اطلاعات'!$C$5:$C$1204,A15,'ثبت اطلاعات'!$CO$5:$CO$1204,1)/COUNTIFS('ثبت اطلاعات'!$C$5:$C$1204,A15,'ثبت اطلاعات'!$CO$5:$CO$1204,1),""))</x:f>
        <x:v>14.5</x:v>
      </x:c>
      <x:c r="K15" s="178" t="n">
        <x:f>IF(A15="","",IFERROR(SUMIFS('ثبت اطلاعات'!$CI$5:$CI$1204,'ثبت اطلاعات'!$C$5:$C$1204,A15,'ثبت اطلاعات'!$CO$5:$CO$1204,1)/COUNTIFS('ثبت اطلاعات'!$C$5:$C$1204,A15,'ثبت اطلاعات'!$CO$5:$CO$1204,1),""))</x:f>
        <x:v>15.428571428571429</x:v>
      </x:c>
      <x:c r="L15" s="178" t="n">
        <x:f>IF(A15="","",IFERROR(SUMIFS('ثبت اطلاعات'!$CJ$5:$CJ$1204,'ثبت اطلاعات'!$C$5:$C$1204,A15,'ثبت اطلاعات'!$CO$5:$CO$1204,1)/COUNTIFS('ثبت اطلاعات'!$C$5:$C$1204,A15,'ثبت اطلاعات'!$CO$5:$CO$1204,1),""))</x:f>
        <x:v>16</x:v>
      </x:c>
      <x:c r="M15" s="178" t="n">
        <x:f>IF(A15="","",IFERROR(SUMIFS('ثبت اطلاعات'!$CK$5:$CK$1204,'ثبت اطلاعات'!$C$5:$C$1204,A15,'ثبت اطلاعات'!$CO$5:$CO$1204,1)/COUNTIFS('ثبت اطلاعات'!$C$5:$C$1204,A15,'ثبت اطلاعات'!$CO$5:$CO$1204,1),""))</x:f>
        <x:v>14.285714285714286</x:v>
      </x:c>
      <x:c r="N15" s="178" t="n">
        <x:f>IF(A15="","",IFERROR(SUMIFS('ثبت اطلاعات'!$CL$5:$CL$1204,'ثبت اطلاعات'!$C$5:$C$1204,A15,'ثبت اطلاعات'!$CO$5:$CO$1204,1)/COUNTIFS('ثبت اطلاعات'!$C$5:$C$1204,A15,'ثبت اطلاعات'!$CO$5:$CO$1204,1),""))</x:f>
        <x:v>15.265</x:v>
      </x:c>
      <x:c r="O15" s="178" t="n">
        <x:f>IF(A15="","",COUNTIFS('ثبت اطلاعات'!$C$5:$C$1204,A15,'ثبت اطلاعات'!$CO$5:$CO$1204,1))</x:f>
        <x:v>1</x:v>
      </x:c>
      <x:c r="P15" s="178" t="n">
        <x:f>IF(O15=0,"",MINIFS('ثبت اطلاعات'!$CN$5:$CN$1204,'ثبت اطلاعات'!$C$5:$C$1204,A15,'ثبت اطلاعات'!$CO$5:$CO$1204,1))</x:f>
        <x:v>1</x:v>
      </x:c>
      <x:c r="Q15" s="178" t="n">
        <x:f>IF(O15=0,"",MAXIFS('ثبت اطلاعات'!$CN$5:$CN$1204,'ثبت اطلاعات'!$C$5:$C$1204,A15,'ثبت اطلاعات'!$CO$5:$CO$1204,1))</x:f>
        <x:v>1</x:v>
      </x:c>
      <x:c r="R15" s="178" t="str">
        <x:f>IF(O15&lt;2,"",SUMIFS('ثبت اطلاعات'!$CL$5:$CL$1204,'ثبت اطلاعات'!$C$5:$C$1204,A15,'ثبت اطلاعات'!$CN$5:$CN$1204,Q15)-SUMIFS('ثبت اطلاعات'!$CL$5:$CL$1204,'ثبت اطلاعات'!$C$5:$C$1204,A15,'ثبت اطلاعات'!$CN$5:$CN$1204,P15))</x:f>
      </x:c>
      <x:c r="S15" s="178" t="str">
        <x:f>IF(A15="","",IF(O15=0,"فاقد ارزیابی نهایی",IF(O15=1,"داده ناکافی",IF(R15&gt;0.5,"پیشرفت",IF(R15&lt;-0.5,"افت","ثبات")))))</x:f>
        <x:v>داده ناکافی</x:v>
      </x:c>
      <x:c r="T15" s="178" t="str">
        <x:f>IF(N15="","",INDEX($E$4:$M$4,1,MATCH(MAX(E15:M15),E15:M15,0)))</x:f>
        <x:v>فرهنگی</x:v>
      </x:c>
      <x:c r="U15" s="178" t="str">
        <x:f>IF(N15="","",INDEX($E$4:$M$4,1,MATCH(MIN(E15:M15),E15:M15,0)))</x:f>
        <x:v>مهارت‌های فردی</x:v>
      </x:c>
      <x:c r="V15" s="178" t="str">
        <x:f>IF(N15="","",IF(N15&gt;=17,"عالی",IF(N15&gt;=14,"خوب",IF(N15&gt;=10,"متوسط","ضعیف"))))</x:f>
        <x:v>خوب</x:v>
      </x:c>
      <x:c r="W15" s="178" t="n">
        <x:f>IF(N15="","",RANK.EQ(N15,$N$5:$N$104,0))</x:f>
        <x:v>47</x:v>
      </x:c>
      <x:c r="X15" s="178" t="n">
        <x:f>IF(N15="","",COUNT($N$5:$N$104))</x:f>
        <x:v>100</x:v>
      </x:c>
      <x:c r="Y15" s="142" t="str">
        <x:f>IF(U15="","",IFERROR(INDEX('بانک راهکارها'!$C$5:$C$13,MATCH(U15,'بانک راهکارها'!$B$5:$B$13,0)),""))</x:f>
        <x:v>تمرین برنامه‌ریزی هفتگی، ارتباط مؤثر و کار تیمی پیشنهاد می‌شود.</x:v>
      </x:c>
    </x:row>
    <x:row r="16">
      <x:c r="A16" s="165" t="n">
        <x:f>IF('دانش‌آموزان'!L16="","",'دانش‌آموزان'!B16)</x:f>
        <x:v>12</x:v>
      </x:c>
      <x:c r="B16" s="233" t="str">
        <x:f>IF(A16="","",'دانش‌آموزان'!C16)</x:f>
        <x:v>4000000128</x:v>
      </x:c>
      <x:c r="C16" s="233" t="str">
        <x:f>IF(A16="","",'دانش‌آموزان'!E16&amp;" "&amp;'دانش‌آموزان'!F16)</x:f>
        <x:v>رها یوسفی</x:v>
      </x:c>
      <x:c r="D16" s="166" t="str">
        <x:f>IF(A16="","",'دانش‌آموزان'!I16)</x:f>
        <x:v>sample-7-a</x:v>
      </x:c>
      <x:c r="E16" s="141" t="n">
        <x:f>IF(A16="","",IFERROR(SUMIFS('ثبت اطلاعات'!$CC$5:$CC$1204,'ثبت اطلاعات'!$C$5:$C$1204,A16,'ثبت اطلاعات'!$CO$5:$CO$1204,1)/COUNTIFS('ثبت اطلاعات'!$C$5:$C$1204,A16,'ثبت اطلاعات'!$CO$5:$CO$1204,1),""))</x:f>
        <x:v>15.2</x:v>
      </x:c>
      <x:c r="F16" s="178" t="n">
        <x:f>IF(A16="","",IFERROR(SUMIFS('ثبت اطلاعات'!$CD$5:$CD$1204,'ثبت اطلاعات'!$C$5:$C$1204,A16,'ثبت اطلاعات'!$CO$5:$CO$1204,1)/COUNTIFS('ثبت اطلاعات'!$C$5:$C$1204,A16,'ثبت اطلاعات'!$CO$5:$CO$1204,1),""))</x:f>
        <x:v>15.6</x:v>
      </x:c>
      <x:c r="G16" s="178" t="n">
        <x:f>IF(A16="","",IFERROR(SUMIFS('ثبت اطلاعات'!$CE$5:$CE$1204,'ثبت اطلاعات'!$C$5:$C$1204,A16,'ثبت اطلاعات'!$CO$5:$CO$1204,1)/COUNTIFS('ثبت اطلاعات'!$C$5:$C$1204,A16,'ثبت اطلاعات'!$CO$5:$CO$1204,1),""))</x:f>
        <x:v>15.2</x:v>
      </x:c>
      <x:c r="H16" s="178" t="n">
        <x:f>IF(A16="","",IFERROR(SUMIFS('ثبت اطلاعات'!$CF$5:$CF$1204,'ثبت اطلاعات'!$C$5:$C$1204,A16,'ثبت اطلاعات'!$CO$5:$CO$1204,1)/COUNTIFS('ثبت اطلاعات'!$C$5:$C$1204,A16,'ثبت اطلاعات'!$CO$5:$CO$1204,1),""))</x:f>
        <x:v>15.5</x:v>
      </x:c>
      <x:c r="I16" s="178" t="n">
        <x:f>IF(A16="","",IFERROR(SUMIFS('ثبت اطلاعات'!$CG$5:$CG$1204,'ثبت اطلاعات'!$C$5:$C$1204,A16,'ثبت اطلاعات'!$CO$5:$CO$1204,1)/COUNTIFS('ثبت اطلاعات'!$C$5:$C$1204,A16,'ثبت اطلاعات'!$CO$5:$CO$1204,1),""))</x:f>
        <x:v>13.714285714285714</x:v>
      </x:c>
      <x:c r="J16" s="178" t="n">
        <x:f>IF(A16="","",IFERROR(SUMIFS('ثبت اطلاعات'!$CH$5:$CH$1204,'ثبت اطلاعات'!$C$5:$C$1204,A16,'ثبت اطلاعات'!$CO$5:$CO$1204,1)/COUNTIFS('ثبت اطلاعات'!$C$5:$C$1204,A16,'ثبت اطلاعات'!$CO$5:$CO$1204,1),""))</x:f>
        <x:v>16.5</x:v>
      </x:c>
      <x:c r="K16" s="178" t="n">
        <x:f>IF(A16="","",IFERROR(SUMIFS('ثبت اطلاعات'!$CI$5:$CI$1204,'ثبت اطلاعات'!$C$5:$C$1204,A16,'ثبت اطلاعات'!$CO$5:$CO$1204,1)/COUNTIFS('ثبت اطلاعات'!$C$5:$C$1204,A16,'ثبت اطلاعات'!$CO$5:$CO$1204,1),""))</x:f>
        <x:v>15.428571428571429</x:v>
      </x:c>
      <x:c r="L16" s="178" t="n">
        <x:f>IF(A16="","",IFERROR(SUMIFS('ثبت اطلاعات'!$CJ$5:$CJ$1204,'ثبت اطلاعات'!$C$5:$C$1204,A16,'ثبت اطلاعات'!$CO$5:$CO$1204,1)/COUNTIFS('ثبت اطلاعات'!$C$5:$C$1204,A16,'ثبت اطلاعات'!$CO$5:$CO$1204,1),""))</x:f>
        <x:v>13.714285714285714</x:v>
      </x:c>
      <x:c r="M16" s="178" t="n">
        <x:f>IF(A16="","",IFERROR(SUMIFS('ثبت اطلاعات'!$CK$5:$CK$1204,'ثبت اطلاعات'!$C$5:$C$1204,A16,'ثبت اطلاعات'!$CO$5:$CO$1204,1)/COUNTIFS('ثبت اطلاعات'!$C$5:$C$1204,A16,'ثبت اطلاعات'!$CO$5:$CO$1204,1),""))</x:f>
        <x:v>16.571428571428573</x:v>
      </x:c>
      <x:c r="N16" s="178" t="n">
        <x:f>IF(A16="","",IFERROR(SUMIFS('ثبت اطلاعات'!$CL$5:$CL$1204,'ثبت اطلاعات'!$C$5:$C$1204,A16,'ثبت اطلاعات'!$CO$5:$CO$1204,1)/COUNTIFS('ثبت اطلاعات'!$C$5:$C$1204,A16,'ثبت اطلاعات'!$CO$5:$CO$1204,1),""))</x:f>
        <x:v>15.327857142857143</x:v>
      </x:c>
      <x:c r="O16" s="178" t="n">
        <x:f>IF(A16="","",COUNTIFS('ثبت اطلاعات'!$C$5:$C$1204,A16,'ثبت اطلاعات'!$CO$5:$CO$1204,1))</x:f>
        <x:v>1</x:v>
      </x:c>
      <x:c r="P16" s="178" t="n">
        <x:f>IF(O16=0,"",MINIFS('ثبت اطلاعات'!$CN$5:$CN$1204,'ثبت اطلاعات'!$C$5:$C$1204,A16,'ثبت اطلاعات'!$CO$5:$CO$1204,1))</x:f>
        <x:v>1</x:v>
      </x:c>
      <x:c r="Q16" s="178" t="n">
        <x:f>IF(O16=0,"",MAXIFS('ثبت اطلاعات'!$CN$5:$CN$1204,'ثبت اطلاعات'!$C$5:$C$1204,A16,'ثبت اطلاعات'!$CO$5:$CO$1204,1))</x:f>
        <x:v>1</x:v>
      </x:c>
      <x:c r="R16" s="178" t="str">
        <x:f>IF(O16&lt;2,"",SUMIFS('ثبت اطلاعات'!$CL$5:$CL$1204,'ثبت اطلاعات'!$C$5:$C$1204,A16,'ثبت اطلاعات'!$CN$5:$CN$1204,Q16)-SUMIFS('ثبت اطلاعات'!$CL$5:$CL$1204,'ثبت اطلاعات'!$C$5:$C$1204,A16,'ثبت اطلاعات'!$CN$5:$CN$1204,P16))</x:f>
      </x:c>
      <x:c r="S16" s="178" t="str">
        <x:f>IF(A16="","",IF(O16=0,"فاقد ارزیابی نهایی",IF(O16=1,"داده ناکافی",IF(R16&gt;0.5,"پیشرفت",IF(R16&lt;-0.5,"افت","ثبات")))))</x:f>
        <x:v>داده ناکافی</x:v>
      </x:c>
      <x:c r="T16" s="178" t="str">
        <x:f>IF(N16="","",INDEX($E$4:$M$4,1,MATCH(MAX(E16:M16),E16:M16,0)))</x:f>
        <x:v>مهارت‌های فردی</x:v>
      </x:c>
      <x:c r="U16" s="178" t="str">
        <x:f>IF(N16="","",INDEX($E$4:$M$4,1,MATCH(MIN(E16:M16),E16:M16,0)))</x:f>
        <x:v>فرهنگی</x:v>
      </x:c>
      <x:c r="V16" s="178" t="str">
        <x:f>IF(N16="","",IF(N16&gt;=17,"عالی",IF(N16&gt;=14,"خوب",IF(N16&gt;=10,"متوسط","ضعیف"))))</x:f>
        <x:v>خوب</x:v>
      </x:c>
      <x:c r="W16" s="178" t="n">
        <x:f>IF(N16="","",RANK.EQ(N16,$N$5:$N$104,0))</x:f>
        <x:v>19</x:v>
      </x:c>
      <x:c r="X16" s="178" t="n">
        <x:f>IF(N16="","",COUNT($N$5:$N$104))</x:f>
        <x:v>100</x:v>
      </x:c>
      <x:c r="Y16" s="142" t="str">
        <x:f>IF(U16="","",IFERROR(INDEX('بانک راهکارها'!$C$5:$C$13,MATCH(U16,'بانک راهکارها'!$B$5:$B$13,0)),""))</x:f>
        <x:v>مشارکت در برنامه‌های فرهنگی، مطالعه هدایت‌شده و فعالیت گروهی پیشنهاد می‌شود.</x:v>
      </x:c>
    </x:row>
    <x:row r="17">
      <x:c r="A17" s="165" t="n">
        <x:f>IF('دانش‌آموزان'!L17="","",'دانش‌آموزان'!B17)</x:f>
        <x:v>13</x:v>
      </x:c>
      <x:c r="B17" s="233" t="str">
        <x:f>IF(A17="","",'دانش‌آموزان'!C17)</x:f>
        <x:v>4000000136</x:v>
      </x:c>
      <x:c r="C17" s="233" t="str">
        <x:f>IF(A17="","",'دانش‌آموزان'!E17&amp;" "&amp;'دانش‌آموزان'!F17)</x:f>
        <x:v>طاها رضایی</x:v>
      </x:c>
      <x:c r="D17" s="166" t="str">
        <x:f>IF(A17="","",'دانش‌آموزان'!I17)</x:f>
        <x:v>sample-7-a</x:v>
      </x:c>
      <x:c r="E17" s="141" t="n">
        <x:f>IF(A17="","",IFERROR(SUMIFS('ثبت اطلاعات'!$CC$5:$CC$1204,'ثبت اطلاعات'!$C$5:$C$1204,A17,'ثبت اطلاعات'!$CO$5:$CO$1204,1)/COUNTIFS('ثبت اطلاعات'!$C$5:$C$1204,A17,'ثبت اطلاعات'!$CO$5:$CO$1204,1),""))</x:f>
        <x:v>14.8</x:v>
      </x:c>
      <x:c r="F17" s="178" t="n">
        <x:f>IF(A17="","",IFERROR(SUMIFS('ثبت اطلاعات'!$CD$5:$CD$1204,'ثبت اطلاعات'!$C$5:$C$1204,A17,'ثبت اطلاعات'!$CO$5:$CO$1204,1)/COUNTIFS('ثبت اطلاعات'!$C$5:$C$1204,A17,'ثبت اطلاعات'!$CO$5:$CO$1204,1),""))</x:f>
        <x:v>15.2</x:v>
      </x:c>
      <x:c r="G17" s="178" t="n">
        <x:f>IF(A17="","",IFERROR(SUMIFS('ثبت اطلاعات'!$CE$5:$CE$1204,'ثبت اطلاعات'!$C$5:$C$1204,A17,'ثبت اطلاعات'!$CO$5:$CO$1204,1)/COUNTIFS('ثبت اطلاعات'!$C$5:$C$1204,A17,'ثبت اطلاعات'!$CO$5:$CO$1204,1),""))</x:f>
        <x:v>14.8</x:v>
      </x:c>
      <x:c r="H17" s="178" t="n">
        <x:f>IF(A17="","",IFERROR(SUMIFS('ثبت اطلاعات'!$CF$5:$CF$1204,'ثبت اطلاعات'!$C$5:$C$1204,A17,'ثبت اطلاعات'!$CO$5:$CO$1204,1)/COUNTIFS('ثبت اطلاعات'!$C$5:$C$1204,A17,'ثبت اطلاعات'!$CO$5:$CO$1204,1),""))</x:f>
        <x:v>16</x:v>
      </x:c>
      <x:c r="I17" s="178" t="n">
        <x:f>IF(A17="","",IFERROR(SUMIFS('ثبت اطلاعات'!$CG$5:$CG$1204,'ثبت اطلاعات'!$C$5:$C$1204,A17,'ثبت اطلاعات'!$CO$5:$CO$1204,1)/COUNTIFS('ثبت اطلاعات'!$C$5:$C$1204,A17,'ثبت اطلاعات'!$CO$5:$CO$1204,1),""))</x:f>
        <x:v>15.428571428571429</x:v>
      </x:c>
      <x:c r="J17" s="178" t="n">
        <x:f>IF(A17="","",IFERROR(SUMIFS('ثبت اطلاعات'!$CH$5:$CH$1204,'ثبت اطلاعات'!$C$5:$C$1204,A17,'ثبت اطلاعات'!$CO$5:$CO$1204,1)/COUNTIFS('ثبت اطلاعات'!$C$5:$C$1204,A17,'ثبت اطلاعات'!$CO$5:$CO$1204,1),""))</x:f>
        <x:v>15</x:v>
      </x:c>
      <x:c r="K17" s="178" t="n">
        <x:f>IF(A17="","",IFERROR(SUMIFS('ثبت اطلاعات'!$CI$5:$CI$1204,'ثبت اطلاعات'!$C$5:$C$1204,A17,'ثبت اطلاعات'!$CO$5:$CO$1204,1)/COUNTIFS('ثبت اطلاعات'!$C$5:$C$1204,A17,'ثبت اطلاعات'!$CO$5:$CO$1204,1),""))</x:f>
        <x:v>15.428571428571429</x:v>
      </x:c>
      <x:c r="L17" s="178" t="n">
        <x:f>IF(A17="","",IFERROR(SUMIFS('ثبت اطلاعات'!$CJ$5:$CJ$1204,'ثبت اطلاعات'!$C$5:$C$1204,A17,'ثبت اطلاعات'!$CO$5:$CO$1204,1)/COUNTIFS('ثبت اطلاعات'!$C$5:$C$1204,A17,'ثبت اطلاعات'!$CO$5:$CO$1204,1),""))</x:f>
        <x:v>15.428571428571429</x:v>
      </x:c>
      <x:c r="M17" s="178" t="n">
        <x:f>IF(A17="","",IFERROR(SUMIFS('ثبت اطلاعات'!$CK$5:$CK$1204,'ثبت اطلاعات'!$C$5:$C$1204,A17,'ثبت اطلاعات'!$CO$5:$CO$1204,1)/COUNTIFS('ثبت اطلاعات'!$C$5:$C$1204,A17,'ثبت اطلاعات'!$CO$5:$CO$1204,1),""))</x:f>
        <x:v>14.285714285714286</x:v>
      </x:c>
      <x:c r="N17" s="178" t="n">
        <x:f>IF(A17="","",IFERROR(SUMIFS('ثبت اطلاعات'!$CL$5:$CL$1204,'ثبت اطلاعات'!$C$5:$C$1204,A17,'ثبت اطلاعات'!$CO$5:$CO$1204,1)/COUNTIFS('ثبت اطلاعات'!$C$5:$C$1204,A17,'ثبت اطلاعات'!$CO$5:$CO$1204,1),""))</x:f>
        <x:v>15.145714285714286</x:v>
      </x:c>
      <x:c r="O17" s="178" t="n">
        <x:f>IF(A17="","",COUNTIFS('ثبت اطلاعات'!$C$5:$C$1204,A17,'ثبت اطلاعات'!$CO$5:$CO$1204,1))</x:f>
        <x:v>1</x:v>
      </x:c>
      <x:c r="P17" s="178" t="n">
        <x:f>IF(O17=0,"",MINIFS('ثبت اطلاعات'!$CN$5:$CN$1204,'ثبت اطلاعات'!$C$5:$C$1204,A17,'ثبت اطلاعات'!$CO$5:$CO$1204,1))</x:f>
        <x:v>1</x:v>
      </x:c>
      <x:c r="Q17" s="178" t="n">
        <x:f>IF(O17=0,"",MAXIFS('ثبت اطلاعات'!$CN$5:$CN$1204,'ثبت اطلاعات'!$C$5:$C$1204,A17,'ثبت اطلاعات'!$CO$5:$CO$1204,1))</x:f>
        <x:v>1</x:v>
      </x:c>
      <x:c r="R17" s="178" t="str">
        <x:f>IF(O17&lt;2,"",SUMIFS('ثبت اطلاعات'!$CL$5:$CL$1204,'ثبت اطلاعات'!$C$5:$C$1204,A17,'ثبت اطلاعات'!$CN$5:$CN$1204,Q17)-SUMIFS('ثبت اطلاعات'!$CL$5:$CL$1204,'ثبت اطلاعات'!$C$5:$C$1204,A17,'ثبت اطلاعات'!$CN$5:$CN$1204,P17))</x:f>
      </x:c>
      <x:c r="S17" s="178" t="str">
        <x:f>IF(A17="","",IF(O17=0,"فاقد ارزیابی نهایی",IF(O17=1,"داده ناکافی",IF(R17&gt;0.5,"پیشرفت",IF(R17&lt;-0.5,"افت","ثبات")))))</x:f>
        <x:v>داده ناکافی</x:v>
      </x:c>
      <x:c r="T17" s="178" t="str">
        <x:f>IF(N17="","",INDEX($E$4:$M$4,1,MATCH(MAX(E17:M17),E17:M17,0)))</x:f>
        <x:v>انضباطی</x:v>
      </x:c>
      <x:c r="U17" s="178" t="str">
        <x:f>IF(N17="","",INDEX($E$4:$M$4,1,MATCH(MIN(E17:M17),E17:M17,0)))</x:f>
        <x:v>مهارت‌های فردی</x:v>
      </x:c>
      <x:c r="V17" s="178" t="str">
        <x:f>IF(N17="","",IF(N17&gt;=17,"عالی",IF(N17&gt;=14,"خوب",IF(N17&gt;=10,"متوسط","ضعیف"))))</x:f>
        <x:v>خوب</x:v>
      </x:c>
      <x:c r="W17" s="178" t="n">
        <x:f>IF(N17="","",RANK.EQ(N17,$N$5:$N$104,0))</x:f>
        <x:v>83</x:v>
      </x:c>
      <x:c r="X17" s="178" t="n">
        <x:f>IF(N17="","",COUNT($N$5:$N$104))</x:f>
        <x:v>100</x:v>
      </x:c>
      <x:c r="Y17" s="142" t="str">
        <x:f>IF(U17="","",IFERROR(INDEX('بانک راهکارها'!$C$5:$C$13,MATCH(U17,'بانک راهکارها'!$B$5:$B$13,0)),""))</x:f>
        <x:v>تمرین برنامه‌ریزی هفتگی، ارتباط مؤثر و کار تیمی پیشنهاد می‌شود.</x:v>
      </x:c>
    </x:row>
    <x:row r="18">
      <x:c r="A18" s="165" t="n">
        <x:f>IF('دانش‌آموزان'!L18="","",'دانش‌آموزان'!B18)</x:f>
        <x:v>14</x:v>
      </x:c>
      <x:c r="B18" s="233" t="str">
        <x:f>IF(A18="","",'دانش‌آموزان'!C18)</x:f>
        <x:v>4000000144</x:v>
      </x:c>
      <x:c r="C18" s="233" t="str">
        <x:f>IF(A18="","",'دانش‌آموزان'!E18&amp;" "&amp;'دانش‌آموزان'!F18)</x:f>
        <x:v>باران نوری</x:v>
      </x:c>
      <x:c r="D18" s="166" t="str">
        <x:f>IF(A18="","",'دانش‌آموزان'!I18)</x:f>
        <x:v>sample-7-a</x:v>
      </x:c>
      <x:c r="E18" s="141" t="n">
        <x:f>IF(A18="","",IFERROR(SUMIFS('ثبت اطلاعات'!$CC$5:$CC$1204,'ثبت اطلاعات'!$C$5:$C$1204,A18,'ثبت اطلاعات'!$CO$5:$CO$1204,1)/COUNTIFS('ثبت اطلاعات'!$C$5:$C$1204,A18,'ثبت اطلاعات'!$CO$5:$CO$1204,1),""))</x:f>
        <x:v>15.6</x:v>
      </x:c>
      <x:c r="F18" s="178" t="n">
        <x:f>IF(A18="","",IFERROR(SUMIFS('ثبت اطلاعات'!$CD$5:$CD$1204,'ثبت اطلاعات'!$C$5:$C$1204,A18,'ثبت اطلاعات'!$CO$5:$CO$1204,1)/COUNTIFS('ثبت اطلاعات'!$C$5:$C$1204,A18,'ثبت اطلاعات'!$CO$5:$CO$1204,1),""))</x:f>
        <x:v>15.2</x:v>
      </x:c>
      <x:c r="G18" s="178" t="n">
        <x:f>IF(A18="","",IFERROR(SUMIFS('ثبت اطلاعات'!$CE$5:$CE$1204,'ثبت اطلاعات'!$C$5:$C$1204,A18,'ثبت اطلاعات'!$CO$5:$CO$1204,1)/COUNTIFS('ثبت اطلاعات'!$C$5:$C$1204,A18,'ثبت اطلاعات'!$CO$5:$CO$1204,1),""))</x:f>
        <x:v>15.6</x:v>
      </x:c>
      <x:c r="H18" s="178" t="n">
        <x:f>IF(A18="","",IFERROR(SUMIFS('ثبت اطلاعات'!$CF$5:$CF$1204,'ثبت اطلاعات'!$C$5:$C$1204,A18,'ثبت اطلاعات'!$CO$5:$CO$1204,1)/COUNTIFS('ثبت اطلاعات'!$C$5:$C$1204,A18,'ثبت اطلاعات'!$CO$5:$CO$1204,1),""))</x:f>
        <x:v>14.5</x:v>
      </x:c>
      <x:c r="I18" s="178" t="n">
        <x:f>IF(A18="","",IFERROR(SUMIFS('ثبت اطلاعات'!$CG$5:$CG$1204,'ثبت اطلاعات'!$C$5:$C$1204,A18,'ثبت اطلاعات'!$CO$5:$CO$1204,1)/COUNTIFS('ثبت اطلاعات'!$C$5:$C$1204,A18,'ثبت اطلاعات'!$CO$5:$CO$1204,1),""))</x:f>
        <x:v>15.428571428571429</x:v>
      </x:c>
      <x:c r="J18" s="178" t="n">
        <x:f>IF(A18="","",IFERROR(SUMIFS('ثبت اطلاعات'!$CH$5:$CH$1204,'ثبت اطلاعات'!$C$5:$C$1204,A18,'ثبت اطلاعات'!$CO$5:$CO$1204,1)/COUNTIFS('ثبت اطلاعات'!$C$5:$C$1204,A18,'ثبت اطلاعات'!$CO$5:$CO$1204,1),""))</x:f>
        <x:v>15.5</x:v>
      </x:c>
      <x:c r="K18" s="178" t="n">
        <x:f>IF(A18="","",IFERROR(SUMIFS('ثبت اطلاعات'!$CI$5:$CI$1204,'ثبت اطلاعات'!$C$5:$C$1204,A18,'ثبت اطلاعات'!$CO$5:$CO$1204,1)/COUNTIFS('ثبت اطلاعات'!$C$5:$C$1204,A18,'ثبت اطلاعات'!$CO$5:$CO$1204,1),""))</x:f>
        <x:v>14.857142857142858</x:v>
      </x:c>
      <x:c r="L18" s="178" t="n">
        <x:f>IF(A18="","",IFERROR(SUMIFS('ثبت اطلاعات'!$CJ$5:$CJ$1204,'ثبت اطلاعات'!$C$5:$C$1204,A18,'ثبت اطلاعات'!$CO$5:$CO$1204,1)/COUNTIFS('ثبت اطلاعات'!$C$5:$C$1204,A18,'ثبت اطلاعات'!$CO$5:$CO$1204,1),""))</x:f>
        <x:v>15.428571428571429</x:v>
      </x:c>
      <x:c r="M18" s="178" t="n">
        <x:f>IF(A18="","",IFERROR(SUMIFS('ثبت اطلاعات'!$CK$5:$CK$1204,'ثبت اطلاعات'!$C$5:$C$1204,A18,'ثبت اطلاعات'!$CO$5:$CO$1204,1)/COUNTIFS('ثبت اطلاعات'!$C$5:$C$1204,A18,'ثبت اطلاعات'!$CO$5:$CO$1204,1),""))</x:f>
        <x:v>16</x:v>
      </x:c>
      <x:c r="N18" s="178" t="n">
        <x:f>IF(A18="","",IFERROR(SUMIFS('ثبت اطلاعات'!$CL$5:$CL$1204,'ثبت اطلاعات'!$C$5:$C$1204,A18,'ثبت اطلاعات'!$CO$5:$CO$1204,1)/COUNTIFS('ثبت اطلاعات'!$C$5:$C$1204,A18,'ثبت اطلاعات'!$CO$5:$CO$1204,1),""))</x:f>
        <x:v>15.320714285714287</x:v>
      </x:c>
      <x:c r="O18" s="178" t="n">
        <x:f>IF(A18="","",COUNTIFS('ثبت اطلاعات'!$C$5:$C$1204,A18,'ثبت اطلاعات'!$CO$5:$CO$1204,1))</x:f>
        <x:v>1</x:v>
      </x:c>
      <x:c r="P18" s="178" t="n">
        <x:f>IF(O18=0,"",MINIFS('ثبت اطلاعات'!$CN$5:$CN$1204,'ثبت اطلاعات'!$C$5:$C$1204,A18,'ثبت اطلاعات'!$CO$5:$CO$1204,1))</x:f>
        <x:v>1</x:v>
      </x:c>
      <x:c r="Q18" s="178" t="n">
        <x:f>IF(O18=0,"",MAXIFS('ثبت اطلاعات'!$CN$5:$CN$1204,'ثبت اطلاعات'!$C$5:$C$1204,A18,'ثبت اطلاعات'!$CO$5:$CO$1204,1))</x:f>
        <x:v>1</x:v>
      </x:c>
      <x:c r="R18" s="178" t="str">
        <x:f>IF(O18&lt;2,"",SUMIFS('ثبت اطلاعات'!$CL$5:$CL$1204,'ثبت اطلاعات'!$C$5:$C$1204,A18,'ثبت اطلاعات'!$CN$5:$CN$1204,Q18)-SUMIFS('ثبت اطلاعات'!$CL$5:$CL$1204,'ثبت اطلاعات'!$C$5:$C$1204,A18,'ثبت اطلاعات'!$CN$5:$CN$1204,P18))</x:f>
      </x:c>
      <x:c r="S18" s="178" t="str">
        <x:f>IF(A18="","",IF(O18=0,"فاقد ارزیابی نهایی",IF(O18=1,"داده ناکافی",IF(R18&gt;0.5,"پیشرفت",IF(R18&lt;-0.5,"افت","ثبات")))))</x:f>
        <x:v>داده ناکافی</x:v>
      </x:c>
      <x:c r="T18" s="178" t="str">
        <x:f>IF(N18="","",INDEX($E$4:$M$4,1,MATCH(MAX(E18:M18),E18:M18,0)))</x:f>
        <x:v>مهارت‌های فردی</x:v>
      </x:c>
      <x:c r="U18" s="178" t="str">
        <x:f>IF(N18="","",INDEX($E$4:$M$4,1,MATCH(MIN(E18:M18),E18:M18,0)))</x:f>
        <x:v>انضباطی</x:v>
      </x:c>
      <x:c r="V18" s="178" t="str">
        <x:f>IF(N18="","",IF(N18&gt;=17,"عالی",IF(N18&gt;=14,"خوب",IF(N18&gt;=10,"متوسط","ضعیف"))))</x:f>
        <x:v>خوب</x:v>
      </x:c>
      <x:c r="W18" s="178" t="n">
        <x:f>IF(N18="","",RANK.EQ(N18,$N$5:$N$104,0))</x:f>
        <x:v>29</x:v>
      </x:c>
      <x:c r="X18" s="178" t="n">
        <x:f>IF(N18="","",COUNT($N$5:$N$104))</x:f>
        <x:v>100</x:v>
      </x:c>
      <x:c r="Y18" s="142" t="str">
        <x:f>IF(U18="","",IFERROR(INDEX('بانک راهکارها'!$C$5:$C$13,MATCH(U18,'بانک راهکارها'!$B$5:$B$13,0)),""))</x:f>
        <x:v>قواعد روشن، قرارداد رفتاری کوتاه‌مدت و ثبت منظم پیشرفت پیشنهاد می‌شود.</x:v>
      </x:c>
    </x:row>
    <x:row r="19">
      <x:c r="A19" s="165" t="n">
        <x:f>IF('دانش‌آموزان'!L19="","",'دانش‌آموزان'!B19)</x:f>
        <x:v>15</x:v>
      </x:c>
      <x:c r="B19" s="233" t="str">
        <x:f>IF(A19="","",'دانش‌آموزان'!C19)</x:f>
        <x:v>4000000152</x:v>
      </x:c>
      <x:c r="C19" s="233" t="str">
        <x:f>IF(A19="","",'دانش‌آموزان'!E19&amp;" "&amp;'دانش‌آموزان'!F19)</x:f>
        <x:v>ماهان سلیمانی</x:v>
      </x:c>
      <x:c r="D19" s="166" t="str">
        <x:f>IF(A19="","",'دانش‌آموزان'!I19)</x:f>
        <x:v>sample-7-a</x:v>
      </x:c>
      <x:c r="E19" s="141" t="n">
        <x:f>IF(A19="","",IFERROR(SUMIFS('ثبت اطلاعات'!$CC$5:$CC$1204,'ثبت اطلاعات'!$C$5:$C$1204,A19,'ثبت اطلاعات'!$CO$5:$CO$1204,1)/COUNTIFS('ثبت اطلاعات'!$C$5:$C$1204,A19,'ثبت اطلاعات'!$CO$5:$CO$1204,1),""))</x:f>
        <x:v>15.2</x:v>
      </x:c>
      <x:c r="F19" s="178" t="n">
        <x:f>IF(A19="","",IFERROR(SUMIFS('ثبت اطلاعات'!$CD$5:$CD$1204,'ثبت اطلاعات'!$C$5:$C$1204,A19,'ثبت اطلاعات'!$CO$5:$CO$1204,1)/COUNTIFS('ثبت اطلاعات'!$C$5:$C$1204,A19,'ثبت اطلاعات'!$CO$5:$CO$1204,1),""))</x:f>
        <x:v>14.8</x:v>
      </x:c>
      <x:c r="G19" s="178" t="n">
        <x:f>IF(A19="","",IFERROR(SUMIFS('ثبت اطلاعات'!$CE$5:$CE$1204,'ثبت اطلاعات'!$C$5:$C$1204,A19,'ثبت اطلاعات'!$CO$5:$CO$1204,1)/COUNTIFS('ثبت اطلاعات'!$C$5:$C$1204,A19,'ثبت اطلاعات'!$CO$5:$CO$1204,1),""))</x:f>
        <x:v>15.2</x:v>
      </x:c>
      <x:c r="H19" s="178" t="n">
        <x:f>IF(A19="","",IFERROR(SUMIFS('ثبت اطلاعات'!$CF$5:$CF$1204,'ثبت اطلاعات'!$C$5:$C$1204,A19,'ثبت اطلاعات'!$CO$5:$CO$1204,1)/COUNTIFS('ثبت اطلاعات'!$C$5:$C$1204,A19,'ثبت اطلاعات'!$CO$5:$CO$1204,1),""))</x:f>
        <x:v>16.5</x:v>
      </x:c>
      <x:c r="I19" s="178" t="n">
        <x:f>IF(A19="","",IFERROR(SUMIFS('ثبت اطلاعات'!$CG$5:$CG$1204,'ثبت اطلاعات'!$C$5:$C$1204,A19,'ثبت اطلاعات'!$CO$5:$CO$1204,1)/COUNTIFS('ثبت اطلاعات'!$C$5:$C$1204,A19,'ثبت اطلاعات'!$CO$5:$CO$1204,1),""))</x:f>
        <x:v>15.428571428571429</x:v>
      </x:c>
      <x:c r="J19" s="178" t="n">
        <x:f>IF(A19="","",IFERROR(SUMIFS('ثبت اطلاعات'!$CH$5:$CH$1204,'ثبت اطلاعات'!$C$5:$C$1204,A19,'ثبت اطلاعات'!$CO$5:$CO$1204,1)/COUNTIFS('ثبت اطلاعات'!$C$5:$C$1204,A19,'ثبت اطلاعات'!$CO$5:$CO$1204,1),""))</x:f>
        <x:v>14</x:v>
      </x:c>
      <x:c r="K19" s="178" t="n">
        <x:f>IF(A19="","",IFERROR(SUMIFS('ثبت اطلاعات'!$CI$5:$CI$1204,'ثبت اطلاعات'!$C$5:$C$1204,A19,'ثبت اطلاعات'!$CO$5:$CO$1204,1)/COUNTIFS('ثبت اطلاعات'!$C$5:$C$1204,A19,'ثبت اطلاعات'!$CO$5:$CO$1204,1),""))</x:f>
        <x:v>16.571428571428573</x:v>
      </x:c>
      <x:c r="L19" s="178" t="n">
        <x:f>IF(A19="","",IFERROR(SUMIFS('ثبت اطلاعات'!$CJ$5:$CJ$1204,'ثبت اطلاعات'!$C$5:$C$1204,A19,'ثبت اطلاعات'!$CO$5:$CO$1204,1)/COUNTIFS('ثبت اطلاعات'!$C$5:$C$1204,A19,'ثبت اطلاعات'!$CO$5:$CO$1204,1),""))</x:f>
        <x:v>15.428571428571429</x:v>
      </x:c>
      <x:c r="M19" s="178" t="n">
        <x:f>IF(A19="","",IFERROR(SUMIFS('ثبت اطلاعات'!$CK$5:$CK$1204,'ثبت اطلاعات'!$C$5:$C$1204,A19,'ثبت اطلاعات'!$CO$5:$CO$1204,1)/COUNTIFS('ثبت اطلاعات'!$C$5:$C$1204,A19,'ثبت اطلاعات'!$CO$5:$CO$1204,1),""))</x:f>
        <x:v>13.714285714285714</x:v>
      </x:c>
      <x:c r="N19" s="178" t="n">
        <x:f>IF(A19="","",IFERROR(SUMIFS('ثبت اطلاعات'!$CL$5:$CL$1204,'ثبت اطلاعات'!$C$5:$C$1204,A19,'ثبت اطلاعات'!$CO$5:$CO$1204,1)/COUNTIFS('ثبت اطلاعات'!$C$5:$C$1204,A19,'ثبت اطلاعات'!$CO$5:$CO$1204,1),""))</x:f>
        <x:v>15.260714285714286</x:v>
      </x:c>
      <x:c r="O19" s="178" t="n">
        <x:f>IF(A19="","",COUNTIFS('ثبت اطلاعات'!$C$5:$C$1204,A19,'ثبت اطلاعات'!$CO$5:$CO$1204,1))</x:f>
        <x:v>1</x:v>
      </x:c>
      <x:c r="P19" s="178" t="n">
        <x:f>IF(O19=0,"",MINIFS('ثبت اطلاعات'!$CN$5:$CN$1204,'ثبت اطلاعات'!$C$5:$C$1204,A19,'ثبت اطلاعات'!$CO$5:$CO$1204,1))</x:f>
        <x:v>1</x:v>
      </x:c>
      <x:c r="Q19" s="178" t="n">
        <x:f>IF(O19=0,"",MAXIFS('ثبت اطلاعات'!$CN$5:$CN$1204,'ثبت اطلاعات'!$C$5:$C$1204,A19,'ثبت اطلاعات'!$CO$5:$CO$1204,1))</x:f>
        <x:v>1</x:v>
      </x:c>
      <x:c r="R19" s="178" t="str">
        <x:f>IF(O19&lt;2,"",SUMIFS('ثبت اطلاعات'!$CL$5:$CL$1204,'ثبت اطلاعات'!$C$5:$C$1204,A19,'ثبت اطلاعات'!$CN$5:$CN$1204,Q19)-SUMIFS('ثبت اطلاعات'!$CL$5:$CL$1204,'ثبت اطلاعات'!$C$5:$C$1204,A19,'ثبت اطلاعات'!$CN$5:$CN$1204,P19))</x:f>
      </x:c>
      <x:c r="S19" s="178" t="str">
        <x:f>IF(A19="","",IF(O19=0,"فاقد ارزیابی نهایی",IF(O19=1,"داده ناکافی",IF(R19&gt;0.5,"پیشرفت",IF(R19&lt;-0.5,"افت","ثبات")))))</x:f>
        <x:v>داده ناکافی</x:v>
      </x:c>
      <x:c r="T19" s="178" t="str">
        <x:f>IF(N19="","",INDEX($E$4:$M$4,1,MATCH(MAX(E19:M19),E19:M19,0)))</x:f>
        <x:v>ورزشی</x:v>
      </x:c>
      <x:c r="U19" s="178" t="str">
        <x:f>IF(N19="","",INDEX($E$4:$M$4,1,MATCH(MIN(E19:M19),E19:M19,0)))</x:f>
        <x:v>مهارت‌های فردی</x:v>
      </x:c>
      <x:c r="V19" s="178" t="str">
        <x:f>IF(N19="","",IF(N19&gt;=17,"عالی",IF(N19&gt;=14,"خوب",IF(N19&gt;=10,"متوسط","ضعیف"))))</x:f>
        <x:v>خوب</x:v>
      </x:c>
      <x:c r="W19" s="178" t="n">
        <x:f>IF(N19="","",RANK.EQ(N19,$N$5:$N$104,0))</x:f>
        <x:v>56</x:v>
      </x:c>
      <x:c r="X19" s="178" t="n">
        <x:f>IF(N19="","",COUNT($N$5:$N$104))</x:f>
        <x:v>100</x:v>
      </x:c>
      <x:c r="Y19" s="142" t="str">
        <x:f>IF(U19="","",IFERROR(INDEX('بانک راهکارها'!$C$5:$C$13,MATCH(U19,'بانک راهکارها'!$B$5:$B$13,0)),""))</x:f>
        <x:v>تمرین برنامه‌ریزی هفتگی، ارتباط مؤثر و کار تیمی پیشنهاد می‌شود.</x:v>
      </x:c>
    </x:row>
    <x:row r="20">
      <x:c r="A20" s="165" t="n">
        <x:f>IF('دانش‌آموزان'!L20="","",'دانش‌آموزان'!B20)</x:f>
        <x:v>16</x:v>
      </x:c>
      <x:c r="B20" s="233" t="str">
        <x:f>IF(A20="","",'دانش‌آموزان'!C20)</x:f>
        <x:v>4000000160</x:v>
      </x:c>
      <x:c r="C20" s="233" t="str">
        <x:f>IF(A20="","",'دانش‌آموزان'!E20&amp;" "&amp;'دانش‌آموزان'!F20)</x:f>
        <x:v>نازنین مرادی</x:v>
      </x:c>
      <x:c r="D20" s="166" t="str">
        <x:f>IF(A20="","",'دانش‌آموزان'!I20)</x:f>
        <x:v>sample-7-a</x:v>
      </x:c>
      <x:c r="E20" s="141" t="n">
        <x:f>IF(A20="","",IFERROR(SUMIFS('ثبت اطلاعات'!$CC$5:$CC$1204,'ثبت اطلاعات'!$C$5:$C$1204,A20,'ثبت اطلاعات'!$CO$5:$CO$1204,1)/COUNTIFS('ثبت اطلاعات'!$C$5:$C$1204,A20,'ثبت اطلاعات'!$CO$5:$CO$1204,1),""))</x:f>
        <x:v>15.2</x:v>
      </x:c>
      <x:c r="F20" s="178" t="n">
        <x:f>IF(A20="","",IFERROR(SUMIFS('ثبت اطلاعات'!$CD$5:$CD$1204,'ثبت اطلاعات'!$C$5:$C$1204,A20,'ثبت اطلاعات'!$CO$5:$CO$1204,1)/COUNTIFS('ثبت اطلاعات'!$C$5:$C$1204,A20,'ثبت اطلاعات'!$CO$5:$CO$1204,1),""))</x:f>
        <x:v>15.6</x:v>
      </x:c>
      <x:c r="G20" s="178" t="n">
        <x:f>IF(A20="","",IFERROR(SUMIFS('ثبت اطلاعات'!$CE$5:$CE$1204,'ثبت اطلاعات'!$C$5:$C$1204,A20,'ثبت اطلاعات'!$CO$5:$CO$1204,1)/COUNTIFS('ثبت اطلاعات'!$C$5:$C$1204,A20,'ثبت اطلاعات'!$CO$5:$CO$1204,1),""))</x:f>
        <x:v>14.8</x:v>
      </x:c>
      <x:c r="H20" s="178" t="n">
        <x:f>IF(A20="","",IFERROR(SUMIFS('ثبت اطلاعات'!$CF$5:$CF$1204,'ثبت اطلاعات'!$C$5:$C$1204,A20,'ثبت اطلاعات'!$CO$5:$CO$1204,1)/COUNTIFS('ثبت اطلاعات'!$C$5:$C$1204,A20,'ثبت اطلاعات'!$CO$5:$CO$1204,1),""))</x:f>
        <x:v>15</x:v>
      </x:c>
      <x:c r="I20" s="178" t="n">
        <x:f>IF(A20="","",IFERROR(SUMIFS('ثبت اطلاعات'!$CG$5:$CG$1204,'ثبت اطلاعات'!$C$5:$C$1204,A20,'ثبت اطلاعات'!$CO$5:$CO$1204,1)/COUNTIFS('ثبت اطلاعات'!$C$5:$C$1204,A20,'ثبت اطلاعات'!$CO$5:$CO$1204,1),""))</x:f>
        <x:v>15.428571428571429</x:v>
      </x:c>
      <x:c r="J20" s="178" t="n">
        <x:f>IF(A20="","",IFERROR(SUMIFS('ثبت اطلاعات'!$CH$5:$CH$1204,'ثبت اطلاعات'!$C$5:$C$1204,A20,'ثبت اطلاعات'!$CO$5:$CO$1204,1)/COUNTIFS('ثبت اطلاعات'!$C$5:$C$1204,A20,'ثبت اطلاعات'!$CO$5:$CO$1204,1),""))</x:f>
        <x:v>16</x:v>
      </x:c>
      <x:c r="K20" s="178" t="n">
        <x:f>IF(A20="","",IFERROR(SUMIFS('ثبت اطلاعات'!$CI$5:$CI$1204,'ثبت اطلاعات'!$C$5:$C$1204,A20,'ثبت اطلاعات'!$CO$5:$CO$1204,1)/COUNTIFS('ثبت اطلاعات'!$C$5:$C$1204,A20,'ثبت اطلاعات'!$CO$5:$CO$1204,1),""))</x:f>
        <x:v>14.285714285714286</x:v>
      </x:c>
      <x:c r="L20" s="178" t="n">
        <x:f>IF(A20="","",IFERROR(SUMIFS('ثبت اطلاعات'!$CJ$5:$CJ$1204,'ثبت اطلاعات'!$C$5:$C$1204,A20,'ثبت اطلاعات'!$CO$5:$CO$1204,1)/COUNTIFS('ثبت اطلاعات'!$C$5:$C$1204,A20,'ثبت اطلاعات'!$CO$5:$CO$1204,1),""))</x:f>
        <x:v>15.428571428571429</x:v>
      </x:c>
      <x:c r="M20" s="178" t="n">
        <x:f>IF(A20="","",IFERROR(SUMIFS('ثبت اطلاعات'!$CK$5:$CK$1204,'ثبت اطلاعات'!$C$5:$C$1204,A20,'ثبت اطلاعات'!$CO$5:$CO$1204,1)/COUNTIFS('ثبت اطلاعات'!$C$5:$C$1204,A20,'ثبت اطلاعات'!$CO$5:$CO$1204,1),""))</x:f>
        <x:v>15.428571428571429</x:v>
      </x:c>
      <x:c r="N20" s="178" t="n">
        <x:f>IF(A20="","",IFERROR(SUMIFS('ثبت اطلاعات'!$CL$5:$CL$1204,'ثبت اطلاعات'!$C$5:$C$1204,A20,'ثبت اطلاعات'!$CO$5:$CO$1204,1)/COUNTIFS('ثبت اطلاعات'!$C$5:$C$1204,A20,'ثبت اطلاعات'!$CO$5:$CO$1204,1),""))</x:f>
        <x:v>15.215714285714286</x:v>
      </x:c>
      <x:c r="O20" s="178" t="n">
        <x:f>IF(A20="","",COUNTIFS('ثبت اطلاعات'!$C$5:$C$1204,A20,'ثبت اطلاعات'!$CO$5:$CO$1204,1))</x:f>
        <x:v>1</x:v>
      </x:c>
      <x:c r="P20" s="178" t="n">
        <x:f>IF(O20=0,"",MINIFS('ثبت اطلاعات'!$CN$5:$CN$1204,'ثبت اطلاعات'!$C$5:$C$1204,A20,'ثبت اطلاعات'!$CO$5:$CO$1204,1))</x:f>
        <x:v>1</x:v>
      </x:c>
      <x:c r="Q20" s="178" t="n">
        <x:f>IF(O20=0,"",MAXIFS('ثبت اطلاعات'!$CN$5:$CN$1204,'ثبت اطلاعات'!$C$5:$C$1204,A20,'ثبت اطلاعات'!$CO$5:$CO$1204,1))</x:f>
        <x:v>1</x:v>
      </x:c>
      <x:c r="R20" s="178" t="str">
        <x:f>IF(O20&lt;2,"",SUMIFS('ثبت اطلاعات'!$CL$5:$CL$1204,'ثبت اطلاعات'!$C$5:$C$1204,A20,'ثبت اطلاعات'!$CN$5:$CN$1204,Q20)-SUMIFS('ثبت اطلاعات'!$CL$5:$CL$1204,'ثبت اطلاعات'!$C$5:$C$1204,A20,'ثبت اطلاعات'!$CN$5:$CN$1204,P20))</x:f>
      </x:c>
      <x:c r="S20" s="178" t="str">
        <x:f>IF(A20="","",IF(O20=0,"فاقد ارزیابی نهایی",IF(O20=1,"داده ناکافی",IF(R20&gt;0.5,"پیشرفت",IF(R20&lt;-0.5,"افت","ثبات")))))</x:f>
        <x:v>داده ناکافی</x:v>
      </x:c>
      <x:c r="T20" s="178" t="str">
        <x:f>IF(N20="","",INDEX($E$4:$M$4,1,MATCH(MAX(E20:M20),E20:M20,0)))</x:f>
        <x:v>پژوهشی</x:v>
      </x:c>
      <x:c r="U20" s="178" t="str">
        <x:f>IF(N20="","",INDEX($E$4:$M$4,1,MATCH(MIN(E20:M20),E20:M20,0)))</x:f>
        <x:v>ورزشی</x:v>
      </x:c>
      <x:c r="V20" s="178" t="str">
        <x:f>IF(N20="","",IF(N20&gt;=17,"عالی",IF(N20&gt;=14,"خوب",IF(N20&gt;=10,"متوسط","ضعیف"))))</x:f>
        <x:v>خوب</x:v>
      </x:c>
      <x:c r="W20" s="178" t="n">
        <x:f>IF(N20="","",RANK.EQ(N20,$N$5:$N$104,0))</x:f>
        <x:v>65</x:v>
      </x:c>
      <x:c r="X20" s="178" t="n">
        <x:f>IF(N20="","",COUNT($N$5:$N$104))</x:f>
        <x:v>100</x:v>
      </x:c>
      <x:c r="Y20" s="142" t="str">
        <x:f>IF(U20="","",IFERROR(INDEX('بانک راهکارها'!$C$5:$C$13,MATCH(U20,'بانک راهکارها'!$B$5:$B$13,0)),""))</x:f>
        <x:v>برنامه فعالیت بدنی منظم و مشارکت در ورزش گروهی پیشنهاد می‌شود.</x:v>
      </x:c>
    </x:row>
    <x:row r="21">
      <x:c r="A21" s="165" t="n">
        <x:f>IF('دانش‌آموزان'!L21="","",'دانش‌آموزان'!B21)</x:f>
        <x:v>17</x:v>
      </x:c>
      <x:c r="B21" s="233" t="str">
        <x:f>IF(A21="","",'دانش‌آموزان'!C21)</x:f>
        <x:v>4000000179</x:v>
      </x:c>
      <x:c r="C21" s="233" t="str">
        <x:f>IF(A21="","",'دانش‌آموزان'!E21&amp;" "&amp;'دانش‌آموزان'!F21)</x:f>
        <x:v>سینا رحیمی</x:v>
      </x:c>
      <x:c r="D21" s="166" t="str">
        <x:f>IF(A21="","",'دانش‌آموزان'!I21)</x:f>
        <x:v>sample-7-a</x:v>
      </x:c>
      <x:c r="E21" s="141" t="n">
        <x:f>IF(A21="","",IFERROR(SUMIFS('ثبت اطلاعات'!$CC$5:$CC$1204,'ثبت اطلاعات'!$C$5:$C$1204,A21,'ثبت اطلاعات'!$CO$5:$CO$1204,1)/COUNTIFS('ثبت اطلاعات'!$C$5:$C$1204,A21,'ثبت اطلاعات'!$CO$5:$CO$1204,1),""))</x:f>
        <x:v>14.8</x:v>
      </x:c>
      <x:c r="F21" s="178" t="n">
        <x:f>IF(A21="","",IFERROR(SUMIFS('ثبت اطلاعات'!$CD$5:$CD$1204,'ثبت اطلاعات'!$C$5:$C$1204,A21,'ثبت اطلاعات'!$CO$5:$CO$1204,1)/COUNTIFS('ثبت اطلاعات'!$C$5:$C$1204,A21,'ثبت اطلاعات'!$CO$5:$CO$1204,1),""))</x:f>
        <x:v>15.2</x:v>
      </x:c>
      <x:c r="G21" s="178" t="n">
        <x:f>IF(A21="","",IFERROR(SUMIFS('ثبت اطلاعات'!$CE$5:$CE$1204,'ثبت اطلاعات'!$C$5:$C$1204,A21,'ثبت اطلاعات'!$CO$5:$CO$1204,1)/COUNTIFS('ثبت اطلاعات'!$C$5:$C$1204,A21,'ثبت اطلاعات'!$CO$5:$CO$1204,1),""))</x:f>
        <x:v>16</x:v>
      </x:c>
      <x:c r="H21" s="178" t="n">
        <x:f>IF(A21="","",IFERROR(SUMIFS('ثبت اطلاعات'!$CF$5:$CF$1204,'ثبت اطلاعات'!$C$5:$C$1204,A21,'ثبت اطلاعات'!$CO$5:$CO$1204,1)/COUNTIFS('ثبت اطلاعات'!$C$5:$C$1204,A21,'ثبت اطلاعات'!$CO$5:$CO$1204,1),""))</x:f>
        <x:v>15.5</x:v>
      </x:c>
      <x:c r="I21" s="178" t="n">
        <x:f>IF(A21="","",IFERROR(SUMIFS('ثبت اطلاعات'!$CG$5:$CG$1204,'ثبت اطلاعات'!$C$5:$C$1204,A21,'ثبت اطلاعات'!$CO$5:$CO$1204,1)/COUNTIFS('ثبت اطلاعات'!$C$5:$C$1204,A21,'ثبت اطلاعات'!$CO$5:$CO$1204,1),""))</x:f>
        <x:v>14.857142857142858</x:v>
      </x:c>
      <x:c r="J21" s="178" t="n">
        <x:f>IF(A21="","",IFERROR(SUMIFS('ثبت اطلاعات'!$CH$5:$CH$1204,'ثبت اطلاعات'!$C$5:$C$1204,A21,'ثبت اطلاعات'!$CO$5:$CO$1204,1)/COUNTIFS('ثبت اطلاعات'!$C$5:$C$1204,A21,'ثبت اطلاعات'!$CO$5:$CO$1204,1),""))</x:f>
        <x:v>14.5</x:v>
      </x:c>
      <x:c r="K21" s="178" t="n">
        <x:f>IF(A21="","",IFERROR(SUMIFS('ثبت اطلاعات'!$CI$5:$CI$1204,'ثبت اطلاعات'!$C$5:$C$1204,A21,'ثبت اطلاعات'!$CO$5:$CO$1204,1)/COUNTIFS('ثبت اطلاعات'!$C$5:$C$1204,A21,'ثبت اطلاعات'!$CO$5:$CO$1204,1),""))</x:f>
        <x:v>16.571428571428573</x:v>
      </x:c>
      <x:c r="L21" s="178" t="n">
        <x:f>IF(A21="","",IFERROR(SUMIFS('ثبت اطلاعات'!$CJ$5:$CJ$1204,'ثبت اطلاعات'!$C$5:$C$1204,A21,'ثبت اطلاعات'!$CO$5:$CO$1204,1)/COUNTIFS('ثبت اطلاعات'!$C$5:$C$1204,A21,'ثبت اطلاعات'!$CO$5:$CO$1204,1),""))</x:f>
        <x:v>14.857142857142858</x:v>
      </x:c>
      <x:c r="M21" s="178" t="n">
        <x:f>IF(A21="","",IFERROR(SUMIFS('ثبت اطلاعات'!$CK$5:$CK$1204,'ثبت اطلاعات'!$C$5:$C$1204,A21,'ثبت اطلاعات'!$CO$5:$CO$1204,1)/COUNTIFS('ثبت اطلاعات'!$C$5:$C$1204,A21,'ثبت اطلاعات'!$CO$5:$CO$1204,1),""))</x:f>
        <x:v>15.428571428571429</x:v>
      </x:c>
      <x:c r="N21" s="178" t="n">
        <x:f>IF(A21="","",IFERROR(SUMIFS('ثبت اطلاعات'!$CL$5:$CL$1204,'ثبت اطلاعات'!$C$5:$C$1204,A21,'ثبت اطلاعات'!$CO$5:$CO$1204,1)/COUNTIFS('ثبت اطلاعات'!$C$5:$C$1204,A21,'ثبت اطلاعات'!$CO$5:$CO$1204,1),""))</x:f>
        <x:v>15.29642857142857</x:v>
      </x:c>
      <x:c r="O21" s="178" t="n">
        <x:f>IF(A21="","",COUNTIFS('ثبت اطلاعات'!$C$5:$C$1204,A21,'ثبت اطلاعات'!$CO$5:$CO$1204,1))</x:f>
        <x:v>1</x:v>
      </x:c>
      <x:c r="P21" s="178" t="n">
        <x:f>IF(O21=0,"",MINIFS('ثبت اطلاعات'!$CN$5:$CN$1204,'ثبت اطلاعات'!$C$5:$C$1204,A21,'ثبت اطلاعات'!$CO$5:$CO$1204,1))</x:f>
        <x:v>1</x:v>
      </x:c>
      <x:c r="Q21" s="178" t="n">
        <x:f>IF(O21=0,"",MAXIFS('ثبت اطلاعات'!$CN$5:$CN$1204,'ثبت اطلاعات'!$C$5:$C$1204,A21,'ثبت اطلاعات'!$CO$5:$CO$1204,1))</x:f>
        <x:v>1</x:v>
      </x:c>
      <x:c r="R21" s="178" t="str">
        <x:f>IF(O21&lt;2,"",SUMIFS('ثبت اطلاعات'!$CL$5:$CL$1204,'ثبت اطلاعات'!$C$5:$C$1204,A21,'ثبت اطلاعات'!$CN$5:$CN$1204,Q21)-SUMIFS('ثبت اطلاعات'!$CL$5:$CL$1204,'ثبت اطلاعات'!$C$5:$C$1204,A21,'ثبت اطلاعات'!$CN$5:$CN$1204,P21))</x:f>
      </x:c>
      <x:c r="S21" s="178" t="str">
        <x:f>IF(A21="","",IF(O21=0,"فاقد ارزیابی نهایی",IF(O21=1,"داده ناکافی",IF(R21&gt;0.5,"پیشرفت",IF(R21&lt;-0.5,"افت","ثبات")))))</x:f>
        <x:v>داده ناکافی</x:v>
      </x:c>
      <x:c r="T21" s="178" t="str">
        <x:f>IF(N21="","",INDEX($E$4:$M$4,1,MATCH(MAX(E21:M21),E21:M21,0)))</x:f>
        <x:v>ورزشی</x:v>
      </x:c>
      <x:c r="U21" s="178" t="str">
        <x:f>IF(N21="","",INDEX($E$4:$M$4,1,MATCH(MIN(E21:M21),E21:M21,0)))</x:f>
        <x:v>پژوهشی</x:v>
      </x:c>
      <x:c r="V21" s="178" t="str">
        <x:f>IF(N21="","",IF(N21&gt;=17,"عالی",IF(N21&gt;=14,"خوب",IF(N21&gt;=10,"متوسط","ضعیف"))))</x:f>
        <x:v>خوب</x:v>
      </x:c>
      <x:c r="W21" s="178" t="n">
        <x:f>IF(N21="","",RANK.EQ(N21,$N$5:$N$104,0))</x:f>
        <x:v>38</x:v>
      </x:c>
      <x:c r="X21" s="178" t="n">
        <x:f>IF(N21="","",COUNT($N$5:$N$104))</x:f>
        <x:v>100</x:v>
      </x:c>
      <x:c r="Y21" s="142" t="str">
        <x:f>IF(U21="","",IFERROR(INDEX('بانک راهکارها'!$C$5:$C$13,MATCH(U21,'بانک راهکارها'!$B$5:$B$13,0)),""))</x:f>
        <x:v>یک پروژه کوچک پژوهشی با منابع مشخص و ارائه کوتاه پیشنهاد می‌شود.</x:v>
      </x:c>
    </x:row>
    <x:row r="22">
      <x:c r="A22" s="165" t="n">
        <x:f>IF('دانش‌آموزان'!L22="","",'دانش‌آموزان'!B22)</x:f>
        <x:v>18</x:v>
      </x:c>
      <x:c r="B22" s="233" t="str">
        <x:f>IF(A22="","",'دانش‌آموزان'!C22)</x:f>
        <x:v>4000000187</x:v>
      </x:c>
      <x:c r="C22" s="233" t="str">
        <x:f>IF(A22="","",'دانش‌آموزان'!E22&amp;" "&amp;'دانش‌آموزان'!F22)</x:f>
        <x:v>یسنا حیدری</x:v>
      </x:c>
      <x:c r="D22" s="166" t="str">
        <x:f>IF(A22="","",'دانش‌آموزان'!I22)</x:f>
        <x:v>sample-7-a</x:v>
      </x:c>
      <x:c r="E22" s="141" t="n">
        <x:f>IF(A22="","",IFERROR(SUMIFS('ثبت اطلاعات'!$CC$5:$CC$1204,'ثبت اطلاعات'!$C$5:$C$1204,A22,'ثبت اطلاعات'!$CO$5:$CO$1204,1)/COUNTIFS('ثبت اطلاعات'!$C$5:$C$1204,A22,'ثبت اطلاعات'!$CO$5:$CO$1204,1),""))</x:f>
        <x:v>15.6</x:v>
      </x:c>
      <x:c r="F22" s="178" t="n">
        <x:f>IF(A22="","",IFERROR(SUMIFS('ثبت اطلاعات'!$CD$5:$CD$1204,'ثبت اطلاعات'!$C$5:$C$1204,A22,'ثبت اطلاعات'!$CO$5:$CO$1204,1)/COUNTIFS('ثبت اطلاعات'!$C$5:$C$1204,A22,'ثبت اطلاعات'!$CO$5:$CO$1204,1),""))</x:f>
        <x:v>14.8</x:v>
      </x:c>
      <x:c r="G22" s="178" t="n">
        <x:f>IF(A22="","",IFERROR(SUMIFS('ثبت اطلاعات'!$CE$5:$CE$1204,'ثبت اطلاعات'!$C$5:$C$1204,A22,'ثبت اطلاعات'!$CO$5:$CO$1204,1)/COUNTIFS('ثبت اطلاعات'!$C$5:$C$1204,A22,'ثبت اطلاعات'!$CO$5:$CO$1204,1),""))</x:f>
        <x:v>15.6</x:v>
      </x:c>
      <x:c r="H22" s="178" t="n">
        <x:f>IF(A22="","",IFERROR(SUMIFS('ثبت اطلاعات'!$CF$5:$CF$1204,'ثبت اطلاعات'!$C$5:$C$1204,A22,'ثبت اطلاعات'!$CO$5:$CO$1204,1)/COUNTIFS('ثبت اطلاعات'!$C$5:$C$1204,A22,'ثبت اطلاعات'!$CO$5:$CO$1204,1),""))</x:f>
        <x:v>14</x:v>
      </x:c>
      <x:c r="I22" s="178" t="n">
        <x:f>IF(A22="","",IFERROR(SUMIFS('ثبت اطلاعات'!$CG$5:$CG$1204,'ثبت اطلاعات'!$C$5:$C$1204,A22,'ثبت اطلاعات'!$CO$5:$CO$1204,1)/COUNTIFS('ثبت اطلاعات'!$C$5:$C$1204,A22,'ثبت اطلاعات'!$CO$5:$CO$1204,1),""))</x:f>
        <x:v>16.571428571428573</x:v>
      </x:c>
      <x:c r="J22" s="178" t="n">
        <x:f>IF(A22="","",IFERROR(SUMIFS('ثبت اطلاعات'!$CH$5:$CH$1204,'ثبت اطلاعات'!$C$5:$C$1204,A22,'ثبت اطلاعات'!$CO$5:$CO$1204,1)/COUNTIFS('ثبت اطلاعات'!$C$5:$C$1204,A22,'ثبت اطلاعات'!$CO$5:$CO$1204,1),""))</x:f>
        <x:v>15</x:v>
      </x:c>
      <x:c r="K22" s="178" t="n">
        <x:f>IF(A22="","",IFERROR(SUMIFS('ثبت اطلاعات'!$CI$5:$CI$1204,'ثبت اطلاعات'!$C$5:$C$1204,A22,'ثبت اطلاعات'!$CO$5:$CO$1204,1)/COUNTIFS('ثبت اطلاعات'!$C$5:$C$1204,A22,'ثبت اطلاعات'!$CO$5:$CO$1204,1),""))</x:f>
        <x:v>14.285714285714286</x:v>
      </x:c>
      <x:c r="L22" s="178" t="n">
        <x:f>IF(A22="","",IFERROR(SUMIFS('ثبت اطلاعات'!$CJ$5:$CJ$1204,'ثبت اطلاعات'!$C$5:$C$1204,A22,'ثبت اطلاعات'!$CO$5:$CO$1204,1)/COUNTIFS('ثبت اطلاعات'!$C$5:$C$1204,A22,'ثبت اطلاعات'!$CO$5:$CO$1204,1),""))</x:f>
        <x:v>16.571428571428573</x:v>
      </x:c>
      <x:c r="M22" s="178" t="n">
        <x:f>IF(A22="","",IFERROR(SUMIFS('ثبت اطلاعات'!$CK$5:$CK$1204,'ثبت اطلاعات'!$C$5:$C$1204,A22,'ثبت اطلاعات'!$CO$5:$CO$1204,1)/COUNTIFS('ثبت اطلاعات'!$C$5:$C$1204,A22,'ثبت اطلاعات'!$CO$5:$CO$1204,1),""))</x:f>
        <x:v>15.428571428571429</x:v>
      </x:c>
      <x:c r="N22" s="178" t="n">
        <x:f>IF(A22="","",IFERROR(SUMIFS('ثبت اطلاعات'!$CL$5:$CL$1204,'ثبت اطلاعات'!$C$5:$C$1204,A22,'ثبت اطلاعات'!$CO$5:$CO$1204,1)/COUNTIFS('ثبت اطلاعات'!$C$5:$C$1204,A22,'ثبت اطلاعات'!$CO$5:$CO$1204,1),""))</x:f>
        <x:v>15.214285714285715</x:v>
      </x:c>
      <x:c r="O22" s="178" t="n">
        <x:f>IF(A22="","",COUNTIFS('ثبت اطلاعات'!$C$5:$C$1204,A22,'ثبت اطلاعات'!$CO$5:$CO$1204,1))</x:f>
        <x:v>1</x:v>
      </x:c>
      <x:c r="P22" s="178" t="n">
        <x:f>IF(O22=0,"",MINIFS('ثبت اطلاعات'!$CN$5:$CN$1204,'ثبت اطلاعات'!$C$5:$C$1204,A22,'ثبت اطلاعات'!$CO$5:$CO$1204,1))</x:f>
        <x:v>1</x:v>
      </x:c>
      <x:c r="Q22" s="178" t="n">
        <x:f>IF(O22=0,"",MAXIFS('ثبت اطلاعات'!$CN$5:$CN$1204,'ثبت اطلاعات'!$C$5:$C$1204,A22,'ثبت اطلاعات'!$CO$5:$CO$1204,1))</x:f>
        <x:v>1</x:v>
      </x:c>
      <x:c r="R22" s="178" t="str">
        <x:f>IF(O22&lt;2,"",SUMIFS('ثبت اطلاعات'!$CL$5:$CL$1204,'ثبت اطلاعات'!$C$5:$C$1204,A22,'ثبت اطلاعات'!$CN$5:$CN$1204,Q22)-SUMIFS('ثبت اطلاعات'!$CL$5:$CL$1204,'ثبت اطلاعات'!$C$5:$C$1204,A22,'ثبت اطلاعات'!$CN$5:$CN$1204,P22))</x:f>
      </x:c>
      <x:c r="S22" s="178" t="str">
        <x:f>IF(A22="","",IF(O22=0,"فاقد ارزیابی نهایی",IF(O22=1,"داده ناکافی",IF(R22&gt;0.5,"پیشرفت",IF(R22&lt;-0.5,"افت","ثبات")))))</x:f>
        <x:v>داده ناکافی</x:v>
      </x:c>
      <x:c r="T22" s="178" t="str">
        <x:f>IF(N22="","",INDEX($E$4:$M$4,1,MATCH(MAX(E22:M22),E22:M22,0)))</x:f>
        <x:v>فرهنگی</x:v>
      </x:c>
      <x:c r="U22" s="178" t="str">
        <x:f>IF(N22="","",INDEX($E$4:$M$4,1,MATCH(MIN(E22:M22),E22:M22,0)))</x:f>
        <x:v>انضباطی</x:v>
      </x:c>
      <x:c r="V22" s="178" t="str">
        <x:f>IF(N22="","",IF(N22&gt;=17,"عالی",IF(N22&gt;=14,"خوب",IF(N22&gt;=10,"متوسط","ضعیف"))))</x:f>
        <x:v>خوب</x:v>
      </x:c>
      <x:c r="W22" s="178" t="n">
        <x:f>IF(N22="","",RANK.EQ(N22,$N$5:$N$104,0))</x:f>
        <x:v>74</x:v>
      </x:c>
      <x:c r="X22" s="178" t="n">
        <x:f>IF(N22="","",COUNT($N$5:$N$104))</x:f>
        <x:v>100</x:v>
      </x:c>
      <x:c r="Y22" s="142" t="str">
        <x:f>IF(U22="","",IFERROR(INDEX('بانک راهکارها'!$C$5:$C$13,MATCH(U22,'بانک راهکارها'!$B$5:$B$13,0)),""))</x:f>
        <x:v>قواعد روشن، قرارداد رفتاری کوتاه‌مدت و ثبت منظم پیشرفت پیشنهاد می‌شود.</x:v>
      </x:c>
    </x:row>
    <x:row r="23">
      <x:c r="A23" s="165" t="n">
        <x:f>IF('دانش‌آموزان'!L23="","",'دانش‌آموزان'!B23)</x:f>
        <x:v>19</x:v>
      </x:c>
      <x:c r="B23" s="233" t="str">
        <x:f>IF(A23="","",'دانش‌آموزان'!C23)</x:f>
        <x:v>4000000195</x:v>
      </x:c>
      <x:c r="C23" s="233" t="str">
        <x:f>IF(A23="","",'دانش‌آموزان'!E23&amp;" "&amp;'دانش‌آموزان'!F23)</x:f>
        <x:v>رضا صادقی</x:v>
      </x:c>
      <x:c r="D23" s="166" t="str">
        <x:f>IF(A23="","",'دانش‌آموزان'!I23)</x:f>
        <x:v>sample-7-a</x:v>
      </x:c>
      <x:c r="E23" s="141" t="n">
        <x:f>IF(A23="","",IFERROR(SUMIFS('ثبت اطلاعات'!$CC$5:$CC$1204,'ثبت اطلاعات'!$C$5:$C$1204,A23,'ثبت اطلاعات'!$CO$5:$CO$1204,1)/COUNTIFS('ثبت اطلاعات'!$C$5:$C$1204,A23,'ثبت اطلاعات'!$CO$5:$CO$1204,1),""))</x:f>
        <x:v>15.2</x:v>
      </x:c>
      <x:c r="F23" s="178" t="n">
        <x:f>IF(A23="","",IFERROR(SUMIFS('ثبت اطلاعات'!$CD$5:$CD$1204,'ثبت اطلاعات'!$C$5:$C$1204,A23,'ثبت اطلاعات'!$CO$5:$CO$1204,1)/COUNTIFS('ثبت اطلاعات'!$C$5:$C$1204,A23,'ثبت اطلاعات'!$CO$5:$CO$1204,1),""))</x:f>
        <x:v>16</x:v>
      </x:c>
      <x:c r="G23" s="178" t="n">
        <x:f>IF(A23="","",IFERROR(SUMIFS('ثبت اطلاعات'!$CE$5:$CE$1204,'ثبت اطلاعات'!$C$5:$C$1204,A23,'ثبت اطلاعات'!$CO$5:$CO$1204,1)/COUNTIFS('ثبت اطلاعات'!$C$5:$C$1204,A23,'ثبت اطلاعات'!$CO$5:$CO$1204,1),""))</x:f>
        <x:v>15.2</x:v>
      </x:c>
      <x:c r="H23" s="178" t="n">
        <x:f>IF(A23="","",IFERROR(SUMIFS('ثبت اطلاعات'!$CF$5:$CF$1204,'ثبت اطلاعات'!$C$5:$C$1204,A23,'ثبت اطلاعات'!$CO$5:$CO$1204,1)/COUNTIFS('ثبت اطلاعات'!$C$5:$C$1204,A23,'ثبت اطلاعات'!$CO$5:$CO$1204,1),""))</x:f>
        <x:v>16</x:v>
      </x:c>
      <x:c r="I23" s="178" t="n">
        <x:f>IF(A23="","",IFERROR(SUMIFS('ثبت اطلاعات'!$CG$5:$CG$1204,'ثبت اطلاعات'!$C$5:$C$1204,A23,'ثبت اطلاعات'!$CO$5:$CO$1204,1)/COUNTIFS('ثبت اطلاعات'!$C$5:$C$1204,A23,'ثبت اطلاعات'!$CO$5:$CO$1204,1),""))</x:f>
        <x:v>14.285714285714286</x:v>
      </x:c>
      <x:c r="J23" s="178" t="n">
        <x:f>IF(A23="","",IFERROR(SUMIFS('ثبت اطلاعات'!$CH$5:$CH$1204,'ثبت اطلاعات'!$C$5:$C$1204,A23,'ثبت اطلاعات'!$CO$5:$CO$1204,1)/COUNTIFS('ثبت اطلاعات'!$C$5:$C$1204,A23,'ثبت اطلاعات'!$CO$5:$CO$1204,1),""))</x:f>
        <x:v>15.5</x:v>
      </x:c>
      <x:c r="K23" s="178" t="n">
        <x:f>IF(A23="","",IFERROR(SUMIFS('ثبت اطلاعات'!$CI$5:$CI$1204,'ثبت اطلاعات'!$C$5:$C$1204,A23,'ثبت اطلاعات'!$CO$5:$CO$1204,1)/COUNTIFS('ثبت اطلاعات'!$C$5:$C$1204,A23,'ثبت اطلاعات'!$CO$5:$CO$1204,1),""))</x:f>
        <x:v>16</x:v>
      </x:c>
      <x:c r="L23" s="178" t="n">
        <x:f>IF(A23="","",IFERROR(SUMIFS('ثبت اطلاعات'!$CJ$5:$CJ$1204,'ثبت اطلاعات'!$C$5:$C$1204,A23,'ثبت اطلاعات'!$CO$5:$CO$1204,1)/COUNTIFS('ثبت اطلاعات'!$C$5:$C$1204,A23,'ثبت اطلاعات'!$CO$5:$CO$1204,1),""))</x:f>
        <x:v>14.285714285714286</x:v>
      </x:c>
      <x:c r="M23" s="178" t="n">
        <x:f>IF(A23="","",IFERROR(SUMIFS('ثبت اطلاعات'!$CK$5:$CK$1204,'ثبت اطلاعات'!$C$5:$C$1204,A23,'ثبت اطلاعات'!$CO$5:$CO$1204,1)/COUNTIFS('ثبت اطلاعات'!$C$5:$C$1204,A23,'ثبت اطلاعات'!$CO$5:$CO$1204,1),""))</x:f>
        <x:v>15.428571428571429</x:v>
      </x:c>
      <x:c r="N23" s="178" t="n">
        <x:f>IF(A23="","",IFERROR(SUMIFS('ثبت اطلاعات'!$CL$5:$CL$1204,'ثبت اطلاعات'!$C$5:$C$1204,A23,'ثبت اطلاعات'!$CO$5:$CO$1204,1)/COUNTIFS('ثبت اطلاعات'!$C$5:$C$1204,A23,'ثبت اطلاعات'!$CO$5:$CO$1204,1),""))</x:f>
        <x:v>15.417142857142858</x:v>
      </x:c>
      <x:c r="O23" s="178" t="n">
        <x:f>IF(A23="","",COUNTIFS('ثبت اطلاعات'!$C$5:$C$1204,A23,'ثبت اطلاعات'!$CO$5:$CO$1204,1))</x:f>
        <x:v>1</x:v>
      </x:c>
      <x:c r="P23" s="178" t="n">
        <x:f>IF(O23=0,"",MINIFS('ثبت اطلاعات'!$CN$5:$CN$1204,'ثبت اطلاعات'!$C$5:$C$1204,A23,'ثبت اطلاعات'!$CO$5:$CO$1204,1))</x:f>
        <x:v>1</x:v>
      </x:c>
      <x:c r="Q23" s="178" t="n">
        <x:f>IF(O23=0,"",MAXIFS('ثبت اطلاعات'!$CN$5:$CN$1204,'ثبت اطلاعات'!$C$5:$C$1204,A23,'ثبت اطلاعات'!$CO$5:$CO$1204,1))</x:f>
        <x:v>1</x:v>
      </x:c>
      <x:c r="R23" s="178" t="str">
        <x:f>IF(O23&lt;2,"",SUMIFS('ثبت اطلاعات'!$CL$5:$CL$1204,'ثبت اطلاعات'!$C$5:$C$1204,A23,'ثبت اطلاعات'!$CN$5:$CN$1204,Q23)-SUMIFS('ثبت اطلاعات'!$CL$5:$CL$1204,'ثبت اطلاعات'!$C$5:$C$1204,A23,'ثبت اطلاعات'!$CN$5:$CN$1204,P23))</x:f>
      </x:c>
      <x:c r="S23" s="178" t="str">
        <x:f>IF(A23="","",IF(O23=0,"فاقد ارزیابی نهایی",IF(O23=1,"داده ناکافی",IF(R23&gt;0.5,"پیشرفت",IF(R23&lt;-0.5,"افت","ثبات")))))</x:f>
        <x:v>داده ناکافی</x:v>
      </x:c>
      <x:c r="T23" s="178" t="str">
        <x:f>IF(N23="","",INDEX($E$4:$M$4,1,MATCH(MAX(E23:M23),E23:M23,0)))</x:f>
        <x:v>پرورشی</x:v>
      </x:c>
      <x:c r="U23" s="178" t="str">
        <x:f>IF(N23="","",INDEX($E$4:$M$4,1,MATCH(MIN(E23:M23),E23:M23,0)))</x:f>
        <x:v>فرهنگی</x:v>
      </x:c>
      <x:c r="V23" s="178" t="str">
        <x:f>IF(N23="","",IF(N23&gt;=17,"عالی",IF(N23&gt;=14,"خوب",IF(N23&gt;=10,"متوسط","ضعیف"))))</x:f>
        <x:v>خوب</x:v>
      </x:c>
      <x:c r="W23" s="178" t="n">
        <x:f>IF(N23="","",RANK.EQ(N23,$N$5:$N$104,0))</x:f>
        <x:v>10</x:v>
      </x:c>
      <x:c r="X23" s="178" t="n">
        <x:f>IF(N23="","",COUNT($N$5:$N$104))</x:f>
        <x:v>100</x:v>
      </x:c>
      <x:c r="Y23" s="142" t="str">
        <x:f>IF(U23="","",IFERROR(INDEX('بانک راهکارها'!$C$5:$C$13,MATCH(U23,'بانک راهکارها'!$B$5:$B$13,0)),""))</x:f>
        <x:v>مشارکت در برنامه‌های فرهنگی، مطالعه هدایت‌شده و فعالیت گروهی پیشنهاد می‌شود.</x:v>
      </x:c>
    </x:row>
    <x:row r="24">
      <x:c r="A24" s="165" t="n">
        <x:f>IF('دانش‌آموزان'!L24="","",'دانش‌آموزان'!B24)</x:f>
        <x:v>20</x:v>
      </x:c>
      <x:c r="B24" s="233" t="str">
        <x:f>IF(A24="","",'دانش‌آموزان'!C24)</x:f>
        <x:v>4000000209</x:v>
      </x:c>
      <x:c r="C24" s="233" t="str">
        <x:f>IF(A24="","",'دانش‌آموزان'!E24&amp;" "&amp;'دانش‌آموزان'!F24)</x:f>
        <x:v>آوا کاظمی</x:v>
      </x:c>
      <x:c r="D24" s="166" t="str">
        <x:f>IF(A24="","",'دانش‌آموزان'!I24)</x:f>
        <x:v>sample-7-a</x:v>
      </x:c>
      <x:c r="E24" s="141" t="n">
        <x:f>IF(A24="","",IFERROR(SUMIFS('ثبت اطلاعات'!$CC$5:$CC$1204,'ثبت اطلاعات'!$C$5:$C$1204,A24,'ثبت اطلاعات'!$CO$5:$CO$1204,1)/COUNTIFS('ثبت اطلاعات'!$C$5:$C$1204,A24,'ثبت اطلاعات'!$CO$5:$CO$1204,1),""))</x:f>
        <x:v>14.8</x:v>
      </x:c>
      <x:c r="F24" s="178" t="n">
        <x:f>IF(A24="","",IFERROR(SUMIFS('ثبت اطلاعات'!$CD$5:$CD$1204,'ثبت اطلاعات'!$C$5:$C$1204,A24,'ثبت اطلاعات'!$CO$5:$CO$1204,1)/COUNTIFS('ثبت اطلاعات'!$C$5:$C$1204,A24,'ثبت اطلاعات'!$CO$5:$CO$1204,1),""))</x:f>
        <x:v>15.6</x:v>
      </x:c>
      <x:c r="G24" s="178" t="n">
        <x:f>IF(A24="","",IFERROR(SUMIFS('ثبت اطلاعات'!$CE$5:$CE$1204,'ثبت اطلاعات'!$C$5:$C$1204,A24,'ثبت اطلاعات'!$CO$5:$CO$1204,1)/COUNTIFS('ثبت اطلاعات'!$C$5:$C$1204,A24,'ثبت اطلاعات'!$CO$5:$CO$1204,1),""))</x:f>
        <x:v>14.8</x:v>
      </x:c>
      <x:c r="H24" s="178" t="n">
        <x:f>IF(A24="","",IFERROR(SUMIFS('ثبت اطلاعات'!$CF$5:$CF$1204,'ثبت اطلاعات'!$C$5:$C$1204,A24,'ثبت اطلاعات'!$CO$5:$CO$1204,1)/COUNTIFS('ثبت اطلاعات'!$C$5:$C$1204,A24,'ثبت اطلاعات'!$CO$5:$CO$1204,1),""))</x:f>
        <x:v>14.5</x:v>
      </x:c>
      <x:c r="I24" s="178" t="n">
        <x:f>IF(A24="","",IFERROR(SUMIFS('ثبت اطلاعات'!$CG$5:$CG$1204,'ثبت اطلاعات'!$C$5:$C$1204,A24,'ثبت اطلاعات'!$CO$5:$CO$1204,1)/COUNTIFS('ثبت اطلاعات'!$C$5:$C$1204,A24,'ثبت اطلاعات'!$CO$5:$CO$1204,1),""))</x:f>
        <x:v>16.571428571428573</x:v>
      </x:c>
      <x:c r="J24" s="178" t="n">
        <x:f>IF(A24="","",IFERROR(SUMIFS('ثبت اطلاعات'!$CH$5:$CH$1204,'ثبت اطلاعات'!$C$5:$C$1204,A24,'ثبت اطلاعات'!$CO$5:$CO$1204,1)/COUNTIFS('ثبت اطلاعات'!$C$5:$C$1204,A24,'ثبت اطلاعات'!$CO$5:$CO$1204,1),""))</x:f>
        <x:v>15.5</x:v>
      </x:c>
      <x:c r="K24" s="178" t="n">
        <x:f>IF(A24="","",IFERROR(SUMIFS('ثبت اطلاعات'!$CI$5:$CI$1204,'ثبت اطلاعات'!$C$5:$C$1204,A24,'ثبت اطلاعات'!$CO$5:$CO$1204,1)/COUNTIFS('ثبت اطلاعات'!$C$5:$C$1204,A24,'ثبت اطلاعات'!$CO$5:$CO$1204,1),""))</x:f>
        <x:v>13.714285714285714</x:v>
      </x:c>
      <x:c r="L24" s="178" t="n">
        <x:f>IF(A24="","",IFERROR(SUMIFS('ثبت اطلاعات'!$CJ$5:$CJ$1204,'ثبت اطلاعات'!$C$5:$C$1204,A24,'ثبت اطلاعات'!$CO$5:$CO$1204,1)/COUNTIFS('ثبت اطلاعات'!$C$5:$C$1204,A24,'ثبت اطلاعات'!$CO$5:$CO$1204,1),""))</x:f>
        <x:v>16.571428571428573</x:v>
      </x:c>
      <x:c r="M24" s="178" t="n">
        <x:f>IF(A24="","",IFERROR(SUMIFS('ثبت اطلاعات'!$CK$5:$CK$1204,'ثبت اطلاعات'!$C$5:$C$1204,A24,'ثبت اطلاعات'!$CO$5:$CO$1204,1)/COUNTIFS('ثبت اطلاعات'!$C$5:$C$1204,A24,'ثبت اطلاعات'!$CO$5:$CO$1204,1),""))</x:f>
        <x:v>14.857142857142858</x:v>
      </x:c>
      <x:c r="N24" s="178" t="n">
        <x:f>IF(A24="","",IFERROR(SUMIFS('ثبت اطلاعات'!$CL$5:$CL$1204,'ثبت اطلاعات'!$C$5:$C$1204,A24,'ثبت اطلاعات'!$CO$5:$CO$1204,1)/COUNTIFS('ثبت اطلاعات'!$C$5:$C$1204,A24,'ثبت اطلاعات'!$CO$5:$CO$1204,1),""))</x:f>
        <x:v>15.089285714285715</x:v>
      </x:c>
      <x:c r="O24" s="178" t="n">
        <x:f>IF(A24="","",COUNTIFS('ثبت اطلاعات'!$C$5:$C$1204,A24,'ثبت اطلاعات'!$CO$5:$CO$1204,1))</x:f>
        <x:v>1</x:v>
      </x:c>
      <x:c r="P24" s="178" t="n">
        <x:f>IF(O24=0,"",MINIFS('ثبت اطلاعات'!$CN$5:$CN$1204,'ثبت اطلاعات'!$C$5:$C$1204,A24,'ثبت اطلاعات'!$CO$5:$CO$1204,1))</x:f>
        <x:v>1</x:v>
      </x:c>
      <x:c r="Q24" s="178" t="n">
        <x:f>IF(O24=0,"",MAXIFS('ثبت اطلاعات'!$CN$5:$CN$1204,'ثبت اطلاعات'!$C$5:$C$1204,A24,'ثبت اطلاعات'!$CO$5:$CO$1204,1))</x:f>
        <x:v>1</x:v>
      </x:c>
      <x:c r="R24" s="178" t="str">
        <x:f>IF(O24&lt;2,"",SUMIFS('ثبت اطلاعات'!$CL$5:$CL$1204,'ثبت اطلاعات'!$C$5:$C$1204,A24,'ثبت اطلاعات'!$CN$5:$CN$1204,Q24)-SUMIFS('ثبت اطلاعات'!$CL$5:$CL$1204,'ثبت اطلاعات'!$C$5:$C$1204,A24,'ثبت اطلاعات'!$CN$5:$CN$1204,P24))</x:f>
      </x:c>
      <x:c r="S24" s="178" t="str">
        <x:f>IF(A24="","",IF(O24=0,"فاقد ارزیابی نهایی",IF(O24=1,"داده ناکافی",IF(R24&gt;0.5,"پیشرفت",IF(R24&lt;-0.5,"افت","ثبات")))))</x:f>
        <x:v>داده ناکافی</x:v>
      </x:c>
      <x:c r="T24" s="178" t="str">
        <x:f>IF(N24="","",INDEX($E$4:$M$4,1,MATCH(MAX(E24:M24),E24:M24,0)))</x:f>
        <x:v>فرهنگی</x:v>
      </x:c>
      <x:c r="U24" s="178" t="str">
        <x:f>IF(N24="","",INDEX($E$4:$M$4,1,MATCH(MIN(E24:M24),E24:M24,0)))</x:f>
        <x:v>ورزشی</x:v>
      </x:c>
      <x:c r="V24" s="178" t="str">
        <x:f>IF(N24="","",IF(N24&gt;=17,"عالی",IF(N24&gt;=14,"خوب",IF(N24&gt;=10,"متوسط","ضعیف"))))</x:f>
        <x:v>خوب</x:v>
      </x:c>
      <x:c r="W24" s="178" t="n">
        <x:f>IF(N24="","",RANK.EQ(N24,$N$5:$N$104,0))</x:f>
        <x:v>92</x:v>
      </x:c>
      <x:c r="X24" s="178" t="n">
        <x:f>IF(N24="","",COUNT($N$5:$N$104))</x:f>
        <x:v>100</x:v>
      </x:c>
      <x:c r="Y24" s="142" t="str">
        <x:f>IF(U24="","",IFERROR(INDEX('بانک راهکارها'!$C$5:$C$13,MATCH(U24,'بانک راهکارها'!$B$5:$B$13,0)),""))</x:f>
        <x:v>برنامه فعالیت بدنی منظم و مشارکت در ورزش گروهی پیشنهاد می‌شود.</x:v>
      </x:c>
    </x:row>
    <x:row r="25">
      <x:c r="A25" s="165" t="n">
        <x:f>IF('دانش‌آموزان'!L25="","",'دانش‌آموزان'!B25)</x:f>
        <x:v>21</x:v>
      </x:c>
      <x:c r="B25" s="233" t="str">
        <x:f>IF(A25="","",'دانش‌آموزان'!C25)</x:f>
        <x:v>4000000217</x:v>
      </x:c>
      <x:c r="C25" s="233" t="str">
        <x:f>IF(A25="","",'دانش‌آموزان'!E25&amp;" "&amp;'دانش‌آموزان'!F25)</x:f>
        <x:v>علی احمدی</x:v>
      </x:c>
      <x:c r="D25" s="166" t="str">
        <x:f>IF(A25="","",'دانش‌آموزان'!I25)</x:f>
        <x:v>sample-7-a</x:v>
      </x:c>
      <x:c r="E25" s="141" t="n">
        <x:f>IF(A25="","",IFERROR(SUMIFS('ثبت اطلاعات'!$CC$5:$CC$1204,'ثبت اطلاعات'!$C$5:$C$1204,A25,'ثبت اطلاعات'!$CO$5:$CO$1204,1)/COUNTIFS('ثبت اطلاعات'!$C$5:$C$1204,A25,'ثبت اطلاعات'!$CO$5:$CO$1204,1),""))</x:f>
        <x:v>16</x:v>
      </x:c>
      <x:c r="F25" s="178" t="n">
        <x:f>IF(A25="","",IFERROR(SUMIFS('ثبت اطلاعات'!$CD$5:$CD$1204,'ثبت اطلاعات'!$C$5:$C$1204,A25,'ثبت اطلاعات'!$CO$5:$CO$1204,1)/COUNTIFS('ثبت اطلاعات'!$C$5:$C$1204,A25,'ثبت اطلاعات'!$CO$5:$CO$1204,1),""))</x:f>
        <x:v>15.2</x:v>
      </x:c>
      <x:c r="G25" s="178" t="n">
        <x:f>IF(A25="","",IFERROR(SUMIFS('ثبت اطلاعات'!$CE$5:$CE$1204,'ثبت اطلاعات'!$C$5:$C$1204,A25,'ثبت اطلاعات'!$CO$5:$CO$1204,1)/COUNTIFS('ثبت اطلاعات'!$C$5:$C$1204,A25,'ثبت اطلاعات'!$CO$5:$CO$1204,1),""))</x:f>
        <x:v>15.6</x:v>
      </x:c>
      <x:c r="H25" s="178" t="n">
        <x:f>IF(A25="","",IFERROR(SUMIFS('ثبت اطلاعات'!$CF$5:$CF$1204,'ثبت اطلاعات'!$C$5:$C$1204,A25,'ثبت اطلاعات'!$CO$5:$CO$1204,1)/COUNTIFS('ثبت اطلاعات'!$C$5:$C$1204,A25,'ثبت اطلاعات'!$CO$5:$CO$1204,1),""))</x:f>
        <x:v>15</x:v>
      </x:c>
      <x:c r="I25" s="178" t="n">
        <x:f>IF(A25="","",IFERROR(SUMIFS('ثبت اطلاعات'!$CG$5:$CG$1204,'ثبت اطلاعات'!$C$5:$C$1204,A25,'ثبت اطلاعات'!$CO$5:$CO$1204,1)/COUNTIFS('ثبت اطلاعات'!$C$5:$C$1204,A25,'ثبت اطلاعات'!$CO$5:$CO$1204,1),""))</x:f>
        <x:v>14.285714285714286</x:v>
      </x:c>
      <x:c r="J25" s="178" t="n">
        <x:f>IF(A25="","",IFERROR(SUMIFS('ثبت اطلاعات'!$CH$5:$CH$1204,'ثبت اطلاعات'!$C$5:$C$1204,A25,'ثبت اطلاعات'!$CO$5:$CO$1204,1)/COUNTIFS('ثبت اطلاعات'!$C$5:$C$1204,A25,'ثبت اطلاعات'!$CO$5:$CO$1204,1),""))</x:f>
        <x:v>16</x:v>
      </x:c>
      <x:c r="K25" s="178" t="n">
        <x:f>IF(A25="","",IFERROR(SUMIFS('ثبت اطلاعات'!$CI$5:$CI$1204,'ثبت اطلاعات'!$C$5:$C$1204,A25,'ثبت اطلاعات'!$CO$5:$CO$1204,1)/COUNTIFS('ثبت اطلاعات'!$C$5:$C$1204,A25,'ثبت اطلاعات'!$CO$5:$CO$1204,1),""))</x:f>
        <x:v>15.428571428571429</x:v>
      </x:c>
      <x:c r="L25" s="178" t="n">
        <x:f>IF(A25="","",IFERROR(SUMIFS('ثبت اطلاعات'!$CJ$5:$CJ$1204,'ثبت اطلاعات'!$C$5:$C$1204,A25,'ثبت اطلاعات'!$CO$5:$CO$1204,1)/COUNTIFS('ثبت اطلاعات'!$C$5:$C$1204,A25,'ثبت اطلاعات'!$CO$5:$CO$1204,1),""))</x:f>
        <x:v>14.285714285714286</x:v>
      </x:c>
      <x:c r="M25" s="178" t="n">
        <x:f>IF(A25="","",IFERROR(SUMIFS('ثبت اطلاعات'!$CK$5:$CK$1204,'ثبت اطلاعات'!$C$5:$C$1204,A25,'ثبت اطلاعات'!$CO$5:$CO$1204,1)/COUNTIFS('ثبت اطلاعات'!$C$5:$C$1204,A25,'ثبت اطلاعات'!$CO$5:$CO$1204,1),""))</x:f>
        <x:v>16.571428571428573</x:v>
      </x:c>
      <x:c r="N25" s="178" t="n">
        <x:f>IF(A25="","",IFERROR(SUMIFS('ثبت اطلاعات'!$CL$5:$CL$1204,'ثبت اطلاعات'!$C$5:$C$1204,A25,'ثبت اطلاعات'!$CO$5:$CO$1204,1)/COUNTIFS('ثبت اطلاعات'!$C$5:$C$1204,A25,'ثبت اطلاعات'!$CO$5:$CO$1204,1),""))</x:f>
        <x:v>15.447142857142858</x:v>
      </x:c>
      <x:c r="O25" s="178" t="n">
        <x:f>IF(A25="","",COUNTIFS('ثبت اطلاعات'!$C$5:$C$1204,A25,'ثبت اطلاعات'!$CO$5:$CO$1204,1))</x:f>
        <x:v>1</x:v>
      </x:c>
      <x:c r="P25" s="178" t="n">
        <x:f>IF(O25=0,"",MINIFS('ثبت اطلاعات'!$CN$5:$CN$1204,'ثبت اطلاعات'!$C$5:$C$1204,A25,'ثبت اطلاعات'!$CO$5:$CO$1204,1))</x:f>
        <x:v>1</x:v>
      </x:c>
      <x:c r="Q25" s="178" t="n">
        <x:f>IF(O25=0,"",MAXIFS('ثبت اطلاعات'!$CN$5:$CN$1204,'ثبت اطلاعات'!$C$5:$C$1204,A25,'ثبت اطلاعات'!$CO$5:$CO$1204,1))</x:f>
        <x:v>1</x:v>
      </x:c>
      <x:c r="R25" s="178" t="str">
        <x:f>IF(O25&lt;2,"",SUMIFS('ثبت اطلاعات'!$CL$5:$CL$1204,'ثبت اطلاعات'!$C$5:$C$1204,A25,'ثبت اطلاعات'!$CN$5:$CN$1204,Q25)-SUMIFS('ثبت اطلاعات'!$CL$5:$CL$1204,'ثبت اطلاعات'!$C$5:$C$1204,A25,'ثبت اطلاعات'!$CN$5:$CN$1204,P25))</x:f>
      </x:c>
      <x:c r="S25" s="178" t="str">
        <x:f>IF(A25="","",IF(O25=0,"فاقد ارزیابی نهایی",IF(O25=1,"داده ناکافی",IF(R25&gt;0.5,"پیشرفت",IF(R25&lt;-0.5,"افت","ثبات")))))</x:f>
        <x:v>داده ناکافی</x:v>
      </x:c>
      <x:c r="T25" s="178" t="str">
        <x:f>IF(N25="","",INDEX($E$4:$M$4,1,MATCH(MAX(E25:M25),E25:M25,0)))</x:f>
        <x:v>مهارت‌های فردی</x:v>
      </x:c>
      <x:c r="U25" s="178" t="str">
        <x:f>IF(N25="","",INDEX($E$4:$M$4,1,MATCH(MIN(E25:M25),E25:M25,0)))</x:f>
        <x:v>فرهنگی</x:v>
      </x:c>
      <x:c r="V25" s="178" t="str">
        <x:f>IF(N25="","",IF(N25&gt;=17,"عالی",IF(N25&gt;=14,"خوب",IF(N25&gt;=10,"متوسط","ضعیف"))))</x:f>
        <x:v>خوب</x:v>
      </x:c>
      <x:c r="W25" s="178" t="n">
        <x:f>IF(N25="","",RANK.EQ(N25,$N$5:$N$104,0))</x:f>
        <x:v>1</x:v>
      </x:c>
      <x:c r="X25" s="178" t="n">
        <x:f>IF(N25="","",COUNT($N$5:$N$104))</x:f>
        <x:v>100</x:v>
      </x:c>
      <x:c r="Y25" s="142" t="str">
        <x:f>IF(U25="","",IFERROR(INDEX('بانک راهکارها'!$C$5:$C$13,MATCH(U25,'بانک راهکارها'!$B$5:$B$13,0)),""))</x:f>
        <x:v>مشارکت در برنامه‌های فرهنگی، مطالعه هدایت‌شده و فعالیت گروهی پیشنهاد می‌شود.</x:v>
      </x:c>
    </x:row>
    <x:row r="26">
      <x:c r="A26" s="165" t="n">
        <x:f>IF('دانش‌آموزان'!L26="","",'دانش‌آموزان'!B26)</x:f>
        <x:v>22</x:v>
      </x:c>
      <x:c r="B26" s="233" t="str">
        <x:f>IF(A26="","",'دانش‌آموزان'!C26)</x:f>
        <x:v>4000000225</x:v>
      </x:c>
      <x:c r="C26" s="233" t="str">
        <x:f>IF(A26="","",'دانش‌آموزان'!E26&amp;" "&amp;'دانش‌آموزان'!F26)</x:f>
        <x:v>فاطمه اکبری</x:v>
      </x:c>
      <x:c r="D26" s="166" t="str">
        <x:f>IF(A26="","",'دانش‌آموزان'!I26)</x:f>
        <x:v>sample-7-a</x:v>
      </x:c>
      <x:c r="E26" s="141" t="n">
        <x:f>IF(A26="","",IFERROR(SUMIFS('ثبت اطلاعات'!$CC$5:$CC$1204,'ثبت اطلاعات'!$C$5:$C$1204,A26,'ثبت اطلاعات'!$CO$5:$CO$1204,1)/COUNTIFS('ثبت اطلاعات'!$C$5:$C$1204,A26,'ثبت اطلاعات'!$CO$5:$CO$1204,1),""))</x:f>
        <x:v>15.6</x:v>
      </x:c>
      <x:c r="F26" s="178" t="n">
        <x:f>IF(A26="","",IFERROR(SUMIFS('ثبت اطلاعات'!$CD$5:$CD$1204,'ثبت اطلاعات'!$C$5:$C$1204,A26,'ثبت اطلاعات'!$CO$5:$CO$1204,1)/COUNTIFS('ثبت اطلاعات'!$C$5:$C$1204,A26,'ثبت اطلاعات'!$CO$5:$CO$1204,1),""))</x:f>
        <x:v>14.8</x:v>
      </x:c>
      <x:c r="G26" s="178" t="n">
        <x:f>IF(A26="","",IFERROR(SUMIFS('ثبت اطلاعات'!$CE$5:$CE$1204,'ثبت اطلاعات'!$C$5:$C$1204,A26,'ثبت اطلاعات'!$CO$5:$CO$1204,1)/COUNTIFS('ثبت اطلاعات'!$C$5:$C$1204,A26,'ثبت اطلاعات'!$CO$5:$CO$1204,1),""))</x:f>
        <x:v>15.2</x:v>
      </x:c>
      <x:c r="H26" s="178" t="n">
        <x:f>IF(A26="","",IFERROR(SUMIFS('ثبت اطلاعات'!$CF$5:$CF$1204,'ثبت اطلاعات'!$C$5:$C$1204,A26,'ثبت اطلاعات'!$CO$5:$CO$1204,1)/COUNTIFS('ثبت اطلاعات'!$C$5:$C$1204,A26,'ثبت اطلاعات'!$CO$5:$CO$1204,1),""))</x:f>
        <x:v>15.5</x:v>
      </x:c>
      <x:c r="I26" s="178" t="n">
        <x:f>IF(A26="","",IFERROR(SUMIFS('ثبت اطلاعات'!$CG$5:$CG$1204,'ثبت اطلاعات'!$C$5:$C$1204,A26,'ثبت اطلاعات'!$CO$5:$CO$1204,1)/COUNTIFS('ثبت اطلاعات'!$C$5:$C$1204,A26,'ثبت اطلاعات'!$CO$5:$CO$1204,1),""))</x:f>
        <x:v>16</x:v>
      </x:c>
      <x:c r="J26" s="178" t="n">
        <x:f>IF(A26="","",IFERROR(SUMIFS('ثبت اطلاعات'!$CH$5:$CH$1204,'ثبت اطلاعات'!$C$5:$C$1204,A26,'ثبت اطلاعات'!$CO$5:$CO$1204,1)/COUNTIFS('ثبت اطلاعات'!$C$5:$C$1204,A26,'ثبت اطلاعات'!$CO$5:$CO$1204,1),""))</x:f>
        <x:v>14.5</x:v>
      </x:c>
      <x:c r="K26" s="178" t="n">
        <x:f>IF(A26="","",IFERROR(SUMIFS('ثبت اطلاعات'!$CI$5:$CI$1204,'ثبت اطلاعات'!$C$5:$C$1204,A26,'ثبت اطلاعات'!$CO$5:$CO$1204,1)/COUNTIFS('ثبت اطلاعات'!$C$5:$C$1204,A26,'ثبت اطلاعات'!$CO$5:$CO$1204,1),""))</x:f>
        <x:v>15.428571428571429</x:v>
      </x:c>
      <x:c r="L26" s="178" t="n">
        <x:f>IF(A26="","",IFERROR(SUMIFS('ثبت اطلاعات'!$CJ$5:$CJ$1204,'ثبت اطلاعات'!$C$5:$C$1204,A26,'ثبت اطلاعات'!$CO$5:$CO$1204,1)/COUNTIFS('ثبت اطلاعات'!$C$5:$C$1204,A26,'ثبت اطلاعات'!$CO$5:$CO$1204,1),""))</x:f>
        <x:v>16</x:v>
      </x:c>
      <x:c r="M26" s="178" t="n">
        <x:f>IF(A26="","",IFERROR(SUMIFS('ثبت اطلاعات'!$CK$5:$CK$1204,'ثبت اطلاعات'!$C$5:$C$1204,A26,'ثبت اطلاعات'!$CO$5:$CO$1204,1)/COUNTIFS('ثبت اطلاعات'!$C$5:$C$1204,A26,'ثبت اطلاعات'!$CO$5:$CO$1204,1),""))</x:f>
        <x:v>14.285714285714286</x:v>
      </x:c>
      <x:c r="N26" s="178" t="n">
        <x:f>IF(A26="","",IFERROR(SUMIFS('ثبت اطلاعات'!$CL$5:$CL$1204,'ثبت اطلاعات'!$C$5:$C$1204,A26,'ثبت اطلاعات'!$CO$5:$CO$1204,1)/COUNTIFS('ثبت اطلاعات'!$C$5:$C$1204,A26,'ثبت اطلاعات'!$CO$5:$CO$1204,1),""))</x:f>
        <x:v>15.265</x:v>
      </x:c>
      <x:c r="O26" s="178" t="n">
        <x:f>IF(A26="","",COUNTIFS('ثبت اطلاعات'!$C$5:$C$1204,A26,'ثبت اطلاعات'!$CO$5:$CO$1204,1))</x:f>
        <x:v>1</x:v>
      </x:c>
      <x:c r="P26" s="178" t="n">
        <x:f>IF(O26=0,"",MINIFS('ثبت اطلاعات'!$CN$5:$CN$1204,'ثبت اطلاعات'!$C$5:$C$1204,A26,'ثبت اطلاعات'!$CO$5:$CO$1204,1))</x:f>
        <x:v>1</x:v>
      </x:c>
      <x:c r="Q26" s="178" t="n">
        <x:f>IF(O26=0,"",MAXIFS('ثبت اطلاعات'!$CN$5:$CN$1204,'ثبت اطلاعات'!$C$5:$C$1204,A26,'ثبت اطلاعات'!$CO$5:$CO$1204,1))</x:f>
        <x:v>1</x:v>
      </x:c>
      <x:c r="R26" s="178" t="str">
        <x:f>IF(O26&lt;2,"",SUMIFS('ثبت اطلاعات'!$CL$5:$CL$1204,'ثبت اطلاعات'!$C$5:$C$1204,A26,'ثبت اطلاعات'!$CN$5:$CN$1204,Q26)-SUMIFS('ثبت اطلاعات'!$CL$5:$CL$1204,'ثبت اطلاعات'!$C$5:$C$1204,A26,'ثبت اطلاعات'!$CN$5:$CN$1204,P26))</x:f>
      </x:c>
      <x:c r="S26" s="178" t="str">
        <x:f>IF(A26="","",IF(O26=0,"فاقد ارزیابی نهایی",IF(O26=1,"داده ناکافی",IF(R26&gt;0.5,"پیشرفت",IF(R26&lt;-0.5,"افت","ثبات")))))</x:f>
        <x:v>داده ناکافی</x:v>
      </x:c>
      <x:c r="T26" s="178" t="str">
        <x:f>IF(N26="","",INDEX($E$4:$M$4,1,MATCH(MAX(E26:M26),E26:M26,0)))</x:f>
        <x:v>فرهنگی</x:v>
      </x:c>
      <x:c r="U26" s="178" t="str">
        <x:f>IF(N26="","",INDEX($E$4:$M$4,1,MATCH(MIN(E26:M26),E26:M26,0)))</x:f>
        <x:v>مهارت‌های فردی</x:v>
      </x:c>
      <x:c r="V26" s="178" t="str">
        <x:f>IF(N26="","",IF(N26&gt;=17,"عالی",IF(N26&gt;=14,"خوب",IF(N26&gt;=10,"متوسط","ضعیف"))))</x:f>
        <x:v>خوب</x:v>
      </x:c>
      <x:c r="W26" s="178" t="n">
        <x:f>IF(N26="","",RANK.EQ(N26,$N$5:$N$104,0))</x:f>
        <x:v>47</x:v>
      </x:c>
      <x:c r="X26" s="178" t="n">
        <x:f>IF(N26="","",COUNT($N$5:$N$104))</x:f>
        <x:v>100</x:v>
      </x:c>
      <x:c r="Y26" s="142" t="str">
        <x:f>IF(U26="","",IFERROR(INDEX('بانک راهکارها'!$C$5:$C$13,MATCH(U26,'بانک راهکارها'!$B$5:$B$13,0)),""))</x:f>
        <x:v>تمرین برنامه‌ریزی هفتگی، ارتباط مؤثر و کار تیمی پیشنهاد می‌شود.</x:v>
      </x:c>
    </x:row>
    <x:row r="27">
      <x:c r="A27" s="165" t="n">
        <x:f>IF('دانش‌آموزان'!L27="","",'دانش‌آموزان'!B27)</x:f>
        <x:v>23</x:v>
      </x:c>
      <x:c r="B27" s="233" t="str">
        <x:f>IF(A27="","",'دانش‌آموزان'!C27)</x:f>
        <x:v>4000000233</x:v>
      </x:c>
      <x:c r="C27" s="233" t="str">
        <x:f>IF(A27="","",'دانش‌آموزان'!E27&amp;" "&amp;'دانش‌آموزان'!F27)</x:f>
        <x:v>امیرحسین طاهری</x:v>
      </x:c>
      <x:c r="D27" s="166" t="str">
        <x:f>IF(A27="","",'دانش‌آموزان'!I27)</x:f>
        <x:v>sample-7-a</x:v>
      </x:c>
      <x:c r="E27" s="141" t="n">
        <x:f>IF(A27="","",IFERROR(SUMIFS('ثبت اطلاعات'!$CC$5:$CC$1204,'ثبت اطلاعات'!$C$5:$C$1204,A27,'ثبت اطلاعات'!$CO$5:$CO$1204,1)/COUNTIFS('ثبت اطلاعات'!$C$5:$C$1204,A27,'ثبت اطلاعات'!$CO$5:$CO$1204,1),""))</x:f>
        <x:v>15.2</x:v>
      </x:c>
      <x:c r="F27" s="178" t="n">
        <x:f>IF(A27="","",IFERROR(SUMIFS('ثبت اطلاعات'!$CD$5:$CD$1204,'ثبت اطلاعات'!$C$5:$C$1204,A27,'ثبت اطلاعات'!$CO$5:$CO$1204,1)/COUNTIFS('ثبت اطلاعات'!$C$5:$C$1204,A27,'ثبت اطلاعات'!$CO$5:$CO$1204,1),""))</x:f>
        <x:v>15.6</x:v>
      </x:c>
      <x:c r="G27" s="178" t="n">
        <x:f>IF(A27="","",IFERROR(SUMIFS('ثبت اطلاعات'!$CE$5:$CE$1204,'ثبت اطلاعات'!$C$5:$C$1204,A27,'ثبت اطلاعات'!$CO$5:$CO$1204,1)/COUNTIFS('ثبت اطلاعات'!$C$5:$C$1204,A27,'ثبت اطلاعات'!$CO$5:$CO$1204,1),""))</x:f>
        <x:v>15.2</x:v>
      </x:c>
      <x:c r="H27" s="178" t="n">
        <x:f>IF(A27="","",IFERROR(SUMIFS('ثبت اطلاعات'!$CF$5:$CF$1204,'ثبت اطلاعات'!$C$5:$C$1204,A27,'ثبت اطلاعات'!$CO$5:$CO$1204,1)/COUNTIFS('ثبت اطلاعات'!$C$5:$C$1204,A27,'ثبت اطلاعات'!$CO$5:$CO$1204,1),""))</x:f>
        <x:v>15.5</x:v>
      </x:c>
      <x:c r="I27" s="178" t="n">
        <x:f>IF(A27="","",IFERROR(SUMIFS('ثبت اطلاعات'!$CG$5:$CG$1204,'ثبت اطلاعات'!$C$5:$C$1204,A27,'ثبت اطلاعات'!$CO$5:$CO$1204,1)/COUNTIFS('ثبت اطلاعات'!$C$5:$C$1204,A27,'ثبت اطلاعات'!$CO$5:$CO$1204,1),""))</x:f>
        <x:v>13.714285714285714</x:v>
      </x:c>
      <x:c r="J27" s="178" t="n">
        <x:f>IF(A27="","",IFERROR(SUMIFS('ثبت اطلاعات'!$CH$5:$CH$1204,'ثبت اطلاعات'!$C$5:$C$1204,A27,'ثبت اطلاعات'!$CO$5:$CO$1204,1)/COUNTIFS('ثبت اطلاعات'!$C$5:$C$1204,A27,'ثبت اطلاعات'!$CO$5:$CO$1204,1),""))</x:f>
        <x:v>16.5</x:v>
      </x:c>
      <x:c r="K27" s="178" t="n">
        <x:f>IF(A27="","",IFERROR(SUMIFS('ثبت اطلاعات'!$CI$5:$CI$1204,'ثبت اطلاعات'!$C$5:$C$1204,A27,'ثبت اطلاعات'!$CO$5:$CO$1204,1)/COUNTIFS('ثبت اطلاعات'!$C$5:$C$1204,A27,'ثبت اطلاعات'!$CO$5:$CO$1204,1),""))</x:f>
        <x:v>15.428571428571429</x:v>
      </x:c>
      <x:c r="L27" s="178" t="n">
        <x:f>IF(A27="","",IFERROR(SUMIFS('ثبت اطلاعات'!$CJ$5:$CJ$1204,'ثبت اطلاعات'!$C$5:$C$1204,A27,'ثبت اطلاعات'!$CO$5:$CO$1204,1)/COUNTIFS('ثبت اطلاعات'!$C$5:$C$1204,A27,'ثبت اطلاعات'!$CO$5:$CO$1204,1),""))</x:f>
        <x:v>13.714285714285714</x:v>
      </x:c>
      <x:c r="M27" s="178" t="n">
        <x:f>IF(A27="","",IFERROR(SUMIFS('ثبت اطلاعات'!$CK$5:$CK$1204,'ثبت اطلاعات'!$C$5:$C$1204,A27,'ثبت اطلاعات'!$CO$5:$CO$1204,1)/COUNTIFS('ثبت اطلاعات'!$C$5:$C$1204,A27,'ثبت اطلاعات'!$CO$5:$CO$1204,1),""))</x:f>
        <x:v>16.571428571428573</x:v>
      </x:c>
      <x:c r="N27" s="178" t="n">
        <x:f>IF(A27="","",IFERROR(SUMIFS('ثبت اطلاعات'!$CL$5:$CL$1204,'ثبت اطلاعات'!$C$5:$C$1204,A27,'ثبت اطلاعات'!$CO$5:$CO$1204,1)/COUNTIFS('ثبت اطلاعات'!$C$5:$C$1204,A27,'ثبت اطلاعات'!$CO$5:$CO$1204,1),""))</x:f>
        <x:v>15.327857142857143</x:v>
      </x:c>
      <x:c r="O27" s="178" t="n">
        <x:f>IF(A27="","",COUNTIFS('ثبت اطلاعات'!$C$5:$C$1204,A27,'ثبت اطلاعات'!$CO$5:$CO$1204,1))</x:f>
        <x:v>1</x:v>
      </x:c>
      <x:c r="P27" s="178" t="n">
        <x:f>IF(O27=0,"",MINIFS('ثبت اطلاعات'!$CN$5:$CN$1204,'ثبت اطلاعات'!$C$5:$C$1204,A27,'ثبت اطلاعات'!$CO$5:$CO$1204,1))</x:f>
        <x:v>1</x:v>
      </x:c>
      <x:c r="Q27" s="178" t="n">
        <x:f>IF(O27=0,"",MAXIFS('ثبت اطلاعات'!$CN$5:$CN$1204,'ثبت اطلاعات'!$C$5:$C$1204,A27,'ثبت اطلاعات'!$CO$5:$CO$1204,1))</x:f>
        <x:v>1</x:v>
      </x:c>
      <x:c r="R27" s="178" t="str">
        <x:f>IF(O27&lt;2,"",SUMIFS('ثبت اطلاعات'!$CL$5:$CL$1204,'ثبت اطلاعات'!$C$5:$C$1204,A27,'ثبت اطلاعات'!$CN$5:$CN$1204,Q27)-SUMIFS('ثبت اطلاعات'!$CL$5:$CL$1204,'ثبت اطلاعات'!$C$5:$C$1204,A27,'ثبت اطلاعات'!$CN$5:$CN$1204,P27))</x:f>
      </x:c>
      <x:c r="S27" s="178" t="str">
        <x:f>IF(A27="","",IF(O27=0,"فاقد ارزیابی نهایی",IF(O27=1,"داده ناکافی",IF(R27&gt;0.5,"پیشرفت",IF(R27&lt;-0.5,"افت","ثبات")))))</x:f>
        <x:v>داده ناکافی</x:v>
      </x:c>
      <x:c r="T27" s="178" t="str">
        <x:f>IF(N27="","",INDEX($E$4:$M$4,1,MATCH(MAX(E27:M27),E27:M27,0)))</x:f>
        <x:v>مهارت‌های فردی</x:v>
      </x:c>
      <x:c r="U27" s="178" t="str">
        <x:f>IF(N27="","",INDEX($E$4:$M$4,1,MATCH(MIN(E27:M27),E27:M27,0)))</x:f>
        <x:v>فرهنگی</x:v>
      </x:c>
      <x:c r="V27" s="178" t="str">
        <x:f>IF(N27="","",IF(N27&gt;=17,"عالی",IF(N27&gt;=14,"خوب",IF(N27&gt;=10,"متوسط","ضعیف"))))</x:f>
        <x:v>خوب</x:v>
      </x:c>
      <x:c r="W27" s="178" t="n">
        <x:f>IF(N27="","",RANK.EQ(N27,$N$5:$N$104,0))</x:f>
        <x:v>19</x:v>
      </x:c>
      <x:c r="X27" s="178" t="n">
        <x:f>IF(N27="","",COUNT($N$5:$N$104))</x:f>
        <x:v>100</x:v>
      </x:c>
      <x:c r="Y27" s="142" t="str">
        <x:f>IF(U27="","",IFERROR(INDEX('بانک راهکارها'!$C$5:$C$13,MATCH(U27,'بانک راهکارها'!$B$5:$B$13,0)),""))</x:f>
        <x:v>مشارکت در برنامه‌های فرهنگی، مطالعه هدایت‌شده و فعالیت گروهی پیشنهاد می‌شود.</x:v>
      </x:c>
    </x:row>
    <x:row r="28">
      <x:c r="A28" s="165" t="n">
        <x:f>IF('دانش‌آموزان'!L28="","",'دانش‌آموزان'!B28)</x:f>
        <x:v>24</x:v>
      </x:c>
      <x:c r="B28" s="233" t="str">
        <x:f>IF(A28="","",'دانش‌آموزان'!C28)</x:f>
        <x:v>4000000241</x:v>
      </x:c>
      <x:c r="C28" s="233" t="str">
        <x:f>IF(A28="","",'دانش‌آموزان'!E28&amp;" "&amp;'دانش‌آموزان'!F28)</x:f>
        <x:v>زهرا محمدی</x:v>
      </x:c>
      <x:c r="D28" s="166" t="str">
        <x:f>IF(A28="","",'دانش‌آموزان'!I28)</x:f>
        <x:v>sample-7-a</x:v>
      </x:c>
      <x:c r="E28" s="141" t="n">
        <x:f>IF(A28="","",IFERROR(SUMIFS('ثبت اطلاعات'!$CC$5:$CC$1204,'ثبت اطلاعات'!$C$5:$C$1204,A28,'ثبت اطلاعات'!$CO$5:$CO$1204,1)/COUNTIFS('ثبت اطلاعات'!$C$5:$C$1204,A28,'ثبت اطلاعات'!$CO$5:$CO$1204,1),""))</x:f>
        <x:v>14.8</x:v>
      </x:c>
      <x:c r="F28" s="178" t="n">
        <x:f>IF(A28="","",IFERROR(SUMIFS('ثبت اطلاعات'!$CD$5:$CD$1204,'ثبت اطلاعات'!$C$5:$C$1204,A28,'ثبت اطلاعات'!$CO$5:$CO$1204,1)/COUNTIFS('ثبت اطلاعات'!$C$5:$C$1204,A28,'ثبت اطلاعات'!$CO$5:$CO$1204,1),""))</x:f>
        <x:v>15.2</x:v>
      </x:c>
      <x:c r="G28" s="178" t="n">
        <x:f>IF(A28="","",IFERROR(SUMIFS('ثبت اطلاعات'!$CE$5:$CE$1204,'ثبت اطلاعات'!$C$5:$C$1204,A28,'ثبت اطلاعات'!$CO$5:$CO$1204,1)/COUNTIFS('ثبت اطلاعات'!$C$5:$C$1204,A28,'ثبت اطلاعات'!$CO$5:$CO$1204,1),""))</x:f>
        <x:v>14.8</x:v>
      </x:c>
      <x:c r="H28" s="178" t="n">
        <x:f>IF(A28="","",IFERROR(SUMIFS('ثبت اطلاعات'!$CF$5:$CF$1204,'ثبت اطلاعات'!$C$5:$C$1204,A28,'ثبت اطلاعات'!$CO$5:$CO$1204,1)/COUNTIFS('ثبت اطلاعات'!$C$5:$C$1204,A28,'ثبت اطلاعات'!$CO$5:$CO$1204,1),""))</x:f>
        <x:v>16</x:v>
      </x:c>
      <x:c r="I28" s="178" t="n">
        <x:f>IF(A28="","",IFERROR(SUMIFS('ثبت اطلاعات'!$CG$5:$CG$1204,'ثبت اطلاعات'!$C$5:$C$1204,A28,'ثبت اطلاعات'!$CO$5:$CO$1204,1)/COUNTIFS('ثبت اطلاعات'!$C$5:$C$1204,A28,'ثبت اطلاعات'!$CO$5:$CO$1204,1),""))</x:f>
        <x:v>15.428571428571429</x:v>
      </x:c>
      <x:c r="J28" s="178" t="n">
        <x:f>IF(A28="","",IFERROR(SUMIFS('ثبت اطلاعات'!$CH$5:$CH$1204,'ثبت اطلاعات'!$C$5:$C$1204,A28,'ثبت اطلاعات'!$CO$5:$CO$1204,1)/COUNTIFS('ثبت اطلاعات'!$C$5:$C$1204,A28,'ثبت اطلاعات'!$CO$5:$CO$1204,1),""))</x:f>
        <x:v>15</x:v>
      </x:c>
      <x:c r="K28" s="178" t="n">
        <x:f>IF(A28="","",IFERROR(SUMIFS('ثبت اطلاعات'!$CI$5:$CI$1204,'ثبت اطلاعات'!$C$5:$C$1204,A28,'ثبت اطلاعات'!$CO$5:$CO$1204,1)/COUNTIFS('ثبت اطلاعات'!$C$5:$C$1204,A28,'ثبت اطلاعات'!$CO$5:$CO$1204,1),""))</x:f>
        <x:v>15.428571428571429</x:v>
      </x:c>
      <x:c r="L28" s="178" t="n">
        <x:f>IF(A28="","",IFERROR(SUMIFS('ثبت اطلاعات'!$CJ$5:$CJ$1204,'ثبت اطلاعات'!$C$5:$C$1204,A28,'ثبت اطلاعات'!$CO$5:$CO$1204,1)/COUNTIFS('ثبت اطلاعات'!$C$5:$C$1204,A28,'ثبت اطلاعات'!$CO$5:$CO$1204,1),""))</x:f>
        <x:v>15.428571428571429</x:v>
      </x:c>
      <x:c r="M28" s="178" t="n">
        <x:f>IF(A28="","",IFERROR(SUMIFS('ثبت اطلاعات'!$CK$5:$CK$1204,'ثبت اطلاعات'!$C$5:$C$1204,A28,'ثبت اطلاعات'!$CO$5:$CO$1204,1)/COUNTIFS('ثبت اطلاعات'!$C$5:$C$1204,A28,'ثبت اطلاعات'!$CO$5:$CO$1204,1),""))</x:f>
        <x:v>14.285714285714286</x:v>
      </x:c>
      <x:c r="N28" s="178" t="n">
        <x:f>IF(A28="","",IFERROR(SUMIFS('ثبت اطلاعات'!$CL$5:$CL$1204,'ثبت اطلاعات'!$C$5:$C$1204,A28,'ثبت اطلاعات'!$CO$5:$CO$1204,1)/COUNTIFS('ثبت اطلاعات'!$C$5:$C$1204,A28,'ثبت اطلاعات'!$CO$5:$CO$1204,1),""))</x:f>
        <x:v>15.145714285714286</x:v>
      </x:c>
      <x:c r="O28" s="178" t="n">
        <x:f>IF(A28="","",COUNTIFS('ثبت اطلاعات'!$C$5:$C$1204,A28,'ثبت اطلاعات'!$CO$5:$CO$1204,1))</x:f>
        <x:v>1</x:v>
      </x:c>
      <x:c r="P28" s="178" t="n">
        <x:f>IF(O28=0,"",MINIFS('ثبت اطلاعات'!$CN$5:$CN$1204,'ثبت اطلاعات'!$C$5:$C$1204,A28,'ثبت اطلاعات'!$CO$5:$CO$1204,1))</x:f>
        <x:v>1</x:v>
      </x:c>
      <x:c r="Q28" s="178" t="n">
        <x:f>IF(O28=0,"",MAXIFS('ثبت اطلاعات'!$CN$5:$CN$1204,'ثبت اطلاعات'!$C$5:$C$1204,A28,'ثبت اطلاعات'!$CO$5:$CO$1204,1))</x:f>
        <x:v>1</x:v>
      </x:c>
      <x:c r="R28" s="178" t="str">
        <x:f>IF(O28&lt;2,"",SUMIFS('ثبت اطلاعات'!$CL$5:$CL$1204,'ثبت اطلاعات'!$C$5:$C$1204,A28,'ثبت اطلاعات'!$CN$5:$CN$1204,Q28)-SUMIFS('ثبت اطلاعات'!$CL$5:$CL$1204,'ثبت اطلاعات'!$C$5:$C$1204,A28,'ثبت اطلاعات'!$CN$5:$CN$1204,P28))</x:f>
      </x:c>
      <x:c r="S28" s="178" t="str">
        <x:f>IF(A28="","",IF(O28=0,"فاقد ارزیابی نهایی",IF(O28=1,"داده ناکافی",IF(R28&gt;0.5,"پیشرفت",IF(R28&lt;-0.5,"افت","ثبات")))))</x:f>
        <x:v>داده ناکافی</x:v>
      </x:c>
      <x:c r="T28" s="178" t="str">
        <x:f>IF(N28="","",INDEX($E$4:$M$4,1,MATCH(MAX(E28:M28),E28:M28,0)))</x:f>
        <x:v>انضباطی</x:v>
      </x:c>
      <x:c r="U28" s="178" t="str">
        <x:f>IF(N28="","",INDEX($E$4:$M$4,1,MATCH(MIN(E28:M28),E28:M28,0)))</x:f>
        <x:v>مهارت‌های فردی</x:v>
      </x:c>
      <x:c r="V28" s="178" t="str">
        <x:f>IF(N28="","",IF(N28&gt;=17,"عالی",IF(N28&gt;=14,"خوب",IF(N28&gt;=10,"متوسط","ضعیف"))))</x:f>
        <x:v>خوب</x:v>
      </x:c>
      <x:c r="W28" s="178" t="n">
        <x:f>IF(N28="","",RANK.EQ(N28,$N$5:$N$104,0))</x:f>
        <x:v>83</x:v>
      </x:c>
      <x:c r="X28" s="178" t="n">
        <x:f>IF(N28="","",COUNT($N$5:$N$104))</x:f>
        <x:v>100</x:v>
      </x:c>
      <x:c r="Y28" s="142" t="str">
        <x:f>IF(U28="","",IFERROR(INDEX('بانک راهکارها'!$C$5:$C$13,MATCH(U28,'بانک راهکارها'!$B$5:$B$13,0)),""))</x:f>
        <x:v>تمرین برنامه‌ریزی هفتگی، ارتباط مؤثر و کار تیمی پیشنهاد می‌شود.</x:v>
      </x:c>
    </x:row>
    <x:row r="29">
      <x:c r="A29" s="165" t="n">
        <x:f>IF('دانش‌آموزان'!L29="","",'دانش‌آموزان'!B29)</x:f>
        <x:v>25</x:v>
      </x:c>
      <x:c r="B29" s="233" t="str">
        <x:f>IF(A29="","",'دانش‌آموزان'!C29)</x:f>
        <x:v>4000000251</x:v>
      </x:c>
      <x:c r="C29" s="233" t="str">
        <x:f>IF(A29="","",'دانش‌آموزان'!E29&amp;" "&amp;'دانش‌آموزان'!F29)</x:f>
        <x:v>محمد قاسمی</x:v>
      </x:c>
      <x:c r="D29" s="166" t="str">
        <x:f>IF(A29="","",'دانش‌آموزان'!I29)</x:f>
        <x:v>sample-7-a</x:v>
      </x:c>
      <x:c r="E29" s="141" t="n">
        <x:f>IF(A29="","",IFERROR(SUMIFS('ثبت اطلاعات'!$CC$5:$CC$1204,'ثبت اطلاعات'!$C$5:$C$1204,A29,'ثبت اطلاعات'!$CO$5:$CO$1204,1)/COUNTIFS('ثبت اطلاعات'!$C$5:$C$1204,A29,'ثبت اطلاعات'!$CO$5:$CO$1204,1),""))</x:f>
        <x:v>15.6</x:v>
      </x:c>
      <x:c r="F29" s="178" t="n">
        <x:f>IF(A29="","",IFERROR(SUMIFS('ثبت اطلاعات'!$CD$5:$CD$1204,'ثبت اطلاعات'!$C$5:$C$1204,A29,'ثبت اطلاعات'!$CO$5:$CO$1204,1)/COUNTIFS('ثبت اطلاعات'!$C$5:$C$1204,A29,'ثبت اطلاعات'!$CO$5:$CO$1204,1),""))</x:f>
        <x:v>15.2</x:v>
      </x:c>
      <x:c r="G29" s="178" t="n">
        <x:f>IF(A29="","",IFERROR(SUMIFS('ثبت اطلاعات'!$CE$5:$CE$1204,'ثبت اطلاعات'!$C$5:$C$1204,A29,'ثبت اطلاعات'!$CO$5:$CO$1204,1)/COUNTIFS('ثبت اطلاعات'!$C$5:$C$1204,A29,'ثبت اطلاعات'!$CO$5:$CO$1204,1),""))</x:f>
        <x:v>15.6</x:v>
      </x:c>
      <x:c r="H29" s="178" t="n">
        <x:f>IF(A29="","",IFERROR(SUMIFS('ثبت اطلاعات'!$CF$5:$CF$1204,'ثبت اطلاعات'!$C$5:$C$1204,A29,'ثبت اطلاعات'!$CO$5:$CO$1204,1)/COUNTIFS('ثبت اطلاعات'!$C$5:$C$1204,A29,'ثبت اطلاعات'!$CO$5:$CO$1204,1),""))</x:f>
        <x:v>14.5</x:v>
      </x:c>
      <x:c r="I29" s="178" t="n">
        <x:f>IF(A29="","",IFERROR(SUMIFS('ثبت اطلاعات'!$CG$5:$CG$1204,'ثبت اطلاعات'!$C$5:$C$1204,A29,'ثبت اطلاعات'!$CO$5:$CO$1204,1)/COUNTIFS('ثبت اطلاعات'!$C$5:$C$1204,A29,'ثبت اطلاعات'!$CO$5:$CO$1204,1),""))</x:f>
        <x:v>15.428571428571429</x:v>
      </x:c>
      <x:c r="J29" s="178" t="n">
        <x:f>IF(A29="","",IFERROR(SUMIFS('ثبت اطلاعات'!$CH$5:$CH$1204,'ثبت اطلاعات'!$C$5:$C$1204,A29,'ثبت اطلاعات'!$CO$5:$CO$1204,1)/COUNTIFS('ثبت اطلاعات'!$C$5:$C$1204,A29,'ثبت اطلاعات'!$CO$5:$CO$1204,1),""))</x:f>
        <x:v>15.5</x:v>
      </x:c>
      <x:c r="K29" s="178" t="n">
        <x:f>IF(A29="","",IFERROR(SUMIFS('ثبت اطلاعات'!$CI$5:$CI$1204,'ثبت اطلاعات'!$C$5:$C$1204,A29,'ثبت اطلاعات'!$CO$5:$CO$1204,1)/COUNTIFS('ثبت اطلاعات'!$C$5:$C$1204,A29,'ثبت اطلاعات'!$CO$5:$CO$1204,1),""))</x:f>
        <x:v>14.857142857142858</x:v>
      </x:c>
      <x:c r="L29" s="178" t="n">
        <x:f>IF(A29="","",IFERROR(SUMIFS('ثبت اطلاعات'!$CJ$5:$CJ$1204,'ثبت اطلاعات'!$C$5:$C$1204,A29,'ثبت اطلاعات'!$CO$5:$CO$1204,1)/COUNTIFS('ثبت اطلاعات'!$C$5:$C$1204,A29,'ثبت اطلاعات'!$CO$5:$CO$1204,1),""))</x:f>
        <x:v>15.428571428571429</x:v>
      </x:c>
      <x:c r="M29" s="178" t="n">
        <x:f>IF(A29="","",IFERROR(SUMIFS('ثبت اطلاعات'!$CK$5:$CK$1204,'ثبت اطلاعات'!$C$5:$C$1204,A29,'ثبت اطلاعات'!$CO$5:$CO$1204,1)/COUNTIFS('ثبت اطلاعات'!$C$5:$C$1204,A29,'ثبت اطلاعات'!$CO$5:$CO$1204,1),""))</x:f>
        <x:v>16</x:v>
      </x:c>
      <x:c r="N29" s="178" t="n">
        <x:f>IF(A29="","",IFERROR(SUMIFS('ثبت اطلاعات'!$CL$5:$CL$1204,'ثبت اطلاعات'!$C$5:$C$1204,A29,'ثبت اطلاعات'!$CO$5:$CO$1204,1)/COUNTIFS('ثبت اطلاعات'!$C$5:$C$1204,A29,'ثبت اطلاعات'!$CO$5:$CO$1204,1),""))</x:f>
        <x:v>15.320714285714287</x:v>
      </x:c>
      <x:c r="O29" s="178" t="n">
        <x:f>IF(A29="","",COUNTIFS('ثبت اطلاعات'!$C$5:$C$1204,A29,'ثبت اطلاعات'!$CO$5:$CO$1204,1))</x:f>
        <x:v>1</x:v>
      </x:c>
      <x:c r="P29" s="178" t="n">
        <x:f>IF(O29=0,"",MINIFS('ثبت اطلاعات'!$CN$5:$CN$1204,'ثبت اطلاعات'!$C$5:$C$1204,A29,'ثبت اطلاعات'!$CO$5:$CO$1204,1))</x:f>
        <x:v>1</x:v>
      </x:c>
      <x:c r="Q29" s="178" t="n">
        <x:f>IF(O29=0,"",MAXIFS('ثبت اطلاعات'!$CN$5:$CN$1204,'ثبت اطلاعات'!$C$5:$C$1204,A29,'ثبت اطلاعات'!$CO$5:$CO$1204,1))</x:f>
        <x:v>1</x:v>
      </x:c>
      <x:c r="R29" s="178" t="str">
        <x:f>IF(O29&lt;2,"",SUMIFS('ثبت اطلاعات'!$CL$5:$CL$1204,'ثبت اطلاعات'!$C$5:$C$1204,A29,'ثبت اطلاعات'!$CN$5:$CN$1204,Q29)-SUMIFS('ثبت اطلاعات'!$CL$5:$CL$1204,'ثبت اطلاعات'!$C$5:$C$1204,A29,'ثبت اطلاعات'!$CN$5:$CN$1204,P29))</x:f>
      </x:c>
      <x:c r="S29" s="178" t="str">
        <x:f>IF(A29="","",IF(O29=0,"فاقد ارزیابی نهایی",IF(O29=1,"داده ناکافی",IF(R29&gt;0.5,"پیشرفت",IF(R29&lt;-0.5,"افت","ثبات")))))</x:f>
        <x:v>داده ناکافی</x:v>
      </x:c>
      <x:c r="T29" s="178" t="str">
        <x:f>IF(N29="","",INDEX($E$4:$M$4,1,MATCH(MAX(E29:M29),E29:M29,0)))</x:f>
        <x:v>مهارت‌های فردی</x:v>
      </x:c>
      <x:c r="U29" s="178" t="str">
        <x:f>IF(N29="","",INDEX($E$4:$M$4,1,MATCH(MIN(E29:M29),E29:M29,0)))</x:f>
        <x:v>انضباطی</x:v>
      </x:c>
      <x:c r="V29" s="178" t="str">
        <x:f>IF(N29="","",IF(N29&gt;=17,"عالی",IF(N29&gt;=14,"خوب",IF(N29&gt;=10,"متوسط","ضعیف"))))</x:f>
        <x:v>خوب</x:v>
      </x:c>
      <x:c r="W29" s="178" t="n">
        <x:f>IF(N29="","",RANK.EQ(N29,$N$5:$N$104,0))</x:f>
        <x:v>29</x:v>
      </x:c>
      <x:c r="X29" s="178" t="n">
        <x:f>IF(N29="","",COUNT($N$5:$N$104))</x:f>
        <x:v>100</x:v>
      </x:c>
      <x:c r="Y29" s="142" t="str">
        <x:f>IF(U29="","",IFERROR(INDEX('بانک راهکارها'!$C$5:$C$13,MATCH(U29,'بانک راهکارها'!$B$5:$B$13,0)),""))</x:f>
        <x:v>قواعد روشن، قرارداد رفتاری کوتاه‌مدت و ثبت منظم پیشرفت پیشنهاد می‌شود.</x:v>
      </x:c>
    </x:row>
    <x:row r="30">
      <x:c r="A30" s="165" t="n">
        <x:f>IF('دانش‌آموزان'!L30="","",'دانش‌آموزان'!B30)</x:f>
        <x:v>26</x:v>
      </x:c>
      <x:c r="B30" s="233" t="str">
        <x:f>IF(A30="","",'دانش‌آموزان'!C30)</x:f>
        <x:v>4000000268</x:v>
      </x:c>
      <x:c r="C30" s="233" t="str">
        <x:f>IF(A30="","",'دانش‌آموزان'!E30&amp;" "&amp;'دانش‌آموزان'!F30)</x:f>
        <x:v>سارا خلیلی</x:v>
      </x:c>
      <x:c r="D30" s="166" t="str">
        <x:f>IF(A30="","",'دانش‌آموزان'!I30)</x:f>
        <x:v>sample-7-b</x:v>
      </x:c>
      <x:c r="E30" s="141" t="n">
        <x:f>IF(A30="","",IFERROR(SUMIFS('ثبت اطلاعات'!$CC$5:$CC$1204,'ثبت اطلاعات'!$C$5:$C$1204,A30,'ثبت اطلاعات'!$CO$5:$CO$1204,1)/COUNTIFS('ثبت اطلاعات'!$C$5:$C$1204,A30,'ثبت اطلاعات'!$CO$5:$CO$1204,1),""))</x:f>
        <x:v>15.2</x:v>
      </x:c>
      <x:c r="F30" s="178" t="n">
        <x:f>IF(A30="","",IFERROR(SUMIFS('ثبت اطلاعات'!$CD$5:$CD$1204,'ثبت اطلاعات'!$C$5:$C$1204,A30,'ثبت اطلاعات'!$CO$5:$CO$1204,1)/COUNTIFS('ثبت اطلاعات'!$C$5:$C$1204,A30,'ثبت اطلاعات'!$CO$5:$CO$1204,1),""))</x:f>
        <x:v>14.8</x:v>
      </x:c>
      <x:c r="G30" s="178" t="n">
        <x:f>IF(A30="","",IFERROR(SUMIFS('ثبت اطلاعات'!$CE$5:$CE$1204,'ثبت اطلاعات'!$C$5:$C$1204,A30,'ثبت اطلاعات'!$CO$5:$CO$1204,1)/COUNTIFS('ثبت اطلاعات'!$C$5:$C$1204,A30,'ثبت اطلاعات'!$CO$5:$CO$1204,1),""))</x:f>
        <x:v>15.2</x:v>
      </x:c>
      <x:c r="H30" s="178" t="n">
        <x:f>IF(A30="","",IFERROR(SUMIFS('ثبت اطلاعات'!$CF$5:$CF$1204,'ثبت اطلاعات'!$C$5:$C$1204,A30,'ثبت اطلاعات'!$CO$5:$CO$1204,1)/COUNTIFS('ثبت اطلاعات'!$C$5:$C$1204,A30,'ثبت اطلاعات'!$CO$5:$CO$1204,1),""))</x:f>
        <x:v>16.5</x:v>
      </x:c>
      <x:c r="I30" s="178" t="n">
        <x:f>IF(A30="","",IFERROR(SUMIFS('ثبت اطلاعات'!$CG$5:$CG$1204,'ثبت اطلاعات'!$C$5:$C$1204,A30,'ثبت اطلاعات'!$CO$5:$CO$1204,1)/COUNTIFS('ثبت اطلاعات'!$C$5:$C$1204,A30,'ثبت اطلاعات'!$CO$5:$CO$1204,1),""))</x:f>
        <x:v>15.428571428571429</x:v>
      </x:c>
      <x:c r="J30" s="178" t="n">
        <x:f>IF(A30="","",IFERROR(SUMIFS('ثبت اطلاعات'!$CH$5:$CH$1204,'ثبت اطلاعات'!$C$5:$C$1204,A30,'ثبت اطلاعات'!$CO$5:$CO$1204,1)/COUNTIFS('ثبت اطلاعات'!$C$5:$C$1204,A30,'ثبت اطلاعات'!$CO$5:$CO$1204,1),""))</x:f>
        <x:v>14</x:v>
      </x:c>
      <x:c r="K30" s="178" t="n">
        <x:f>IF(A30="","",IFERROR(SUMIFS('ثبت اطلاعات'!$CI$5:$CI$1204,'ثبت اطلاعات'!$C$5:$C$1204,A30,'ثبت اطلاعات'!$CO$5:$CO$1204,1)/COUNTIFS('ثبت اطلاعات'!$C$5:$C$1204,A30,'ثبت اطلاعات'!$CO$5:$CO$1204,1),""))</x:f>
        <x:v>16.571428571428573</x:v>
      </x:c>
      <x:c r="L30" s="178" t="n">
        <x:f>IF(A30="","",IFERROR(SUMIFS('ثبت اطلاعات'!$CJ$5:$CJ$1204,'ثبت اطلاعات'!$C$5:$C$1204,A30,'ثبت اطلاعات'!$CO$5:$CO$1204,1)/COUNTIFS('ثبت اطلاعات'!$C$5:$C$1204,A30,'ثبت اطلاعات'!$CO$5:$CO$1204,1),""))</x:f>
        <x:v>15.428571428571429</x:v>
      </x:c>
      <x:c r="M30" s="178" t="n">
        <x:f>IF(A30="","",IFERROR(SUMIFS('ثبت اطلاعات'!$CK$5:$CK$1204,'ثبت اطلاعات'!$C$5:$C$1204,A30,'ثبت اطلاعات'!$CO$5:$CO$1204,1)/COUNTIFS('ثبت اطلاعات'!$C$5:$C$1204,A30,'ثبت اطلاعات'!$CO$5:$CO$1204,1),""))</x:f>
        <x:v>13.714285714285714</x:v>
      </x:c>
      <x:c r="N30" s="178" t="n">
        <x:f>IF(A30="","",IFERROR(SUMIFS('ثبت اطلاعات'!$CL$5:$CL$1204,'ثبت اطلاعات'!$C$5:$C$1204,A30,'ثبت اطلاعات'!$CO$5:$CO$1204,1)/COUNTIFS('ثبت اطلاعات'!$C$5:$C$1204,A30,'ثبت اطلاعات'!$CO$5:$CO$1204,1),""))</x:f>
        <x:v>15.260714285714286</x:v>
      </x:c>
      <x:c r="O30" s="178" t="n">
        <x:f>IF(A30="","",COUNTIFS('ثبت اطلاعات'!$C$5:$C$1204,A30,'ثبت اطلاعات'!$CO$5:$CO$1204,1))</x:f>
        <x:v>1</x:v>
      </x:c>
      <x:c r="P30" s="178" t="n">
        <x:f>IF(O30=0,"",MINIFS('ثبت اطلاعات'!$CN$5:$CN$1204,'ثبت اطلاعات'!$C$5:$C$1204,A30,'ثبت اطلاعات'!$CO$5:$CO$1204,1))</x:f>
        <x:v>1</x:v>
      </x:c>
      <x:c r="Q30" s="178" t="n">
        <x:f>IF(O30=0,"",MAXIFS('ثبت اطلاعات'!$CN$5:$CN$1204,'ثبت اطلاعات'!$C$5:$C$1204,A30,'ثبت اطلاعات'!$CO$5:$CO$1204,1))</x:f>
        <x:v>1</x:v>
      </x:c>
      <x:c r="R30" s="178" t="str">
        <x:f>IF(O30&lt;2,"",SUMIFS('ثبت اطلاعات'!$CL$5:$CL$1204,'ثبت اطلاعات'!$C$5:$C$1204,A30,'ثبت اطلاعات'!$CN$5:$CN$1204,Q30)-SUMIFS('ثبت اطلاعات'!$CL$5:$CL$1204,'ثبت اطلاعات'!$C$5:$C$1204,A30,'ثبت اطلاعات'!$CN$5:$CN$1204,P30))</x:f>
      </x:c>
      <x:c r="S30" s="178" t="str">
        <x:f>IF(A30="","",IF(O30=0,"فاقد ارزیابی نهایی",IF(O30=1,"داده ناکافی",IF(R30&gt;0.5,"پیشرفت",IF(R30&lt;-0.5,"افت","ثبات")))))</x:f>
        <x:v>داده ناکافی</x:v>
      </x:c>
      <x:c r="T30" s="178" t="str">
        <x:f>IF(N30="","",INDEX($E$4:$M$4,1,MATCH(MAX(E30:M30),E30:M30,0)))</x:f>
        <x:v>ورزشی</x:v>
      </x:c>
      <x:c r="U30" s="178" t="str">
        <x:f>IF(N30="","",INDEX($E$4:$M$4,1,MATCH(MIN(E30:M30),E30:M30,0)))</x:f>
        <x:v>مهارت‌های فردی</x:v>
      </x:c>
      <x:c r="V30" s="178" t="str">
        <x:f>IF(N30="","",IF(N30&gt;=17,"عالی",IF(N30&gt;=14,"خوب",IF(N30&gt;=10,"متوسط","ضعیف"))))</x:f>
        <x:v>خوب</x:v>
      </x:c>
      <x:c r="W30" s="178" t="n">
        <x:f>IF(N30="","",RANK.EQ(N30,$N$5:$N$104,0))</x:f>
        <x:v>56</x:v>
      </x:c>
      <x:c r="X30" s="178" t="n">
        <x:f>IF(N30="","",COUNT($N$5:$N$104))</x:f>
        <x:v>100</x:v>
      </x:c>
      <x:c r="Y30" s="142" t="str">
        <x:f>IF(U30="","",IFERROR(INDEX('بانک راهکارها'!$C$5:$C$13,MATCH(U30,'بانک راهکارها'!$B$5:$B$13,0)),""))</x:f>
        <x:v>تمرین برنامه‌ریزی هفتگی، ارتباط مؤثر و کار تیمی پیشنهاد می‌شود.</x:v>
      </x:c>
    </x:row>
    <x:row r="31">
      <x:c r="A31" s="165" t="n">
        <x:f>IF('دانش‌آموزان'!L31="","",'دانش‌آموزان'!B31)</x:f>
        <x:v>27</x:v>
      </x:c>
      <x:c r="B31" s="233" t="str">
        <x:f>IF(A31="","",'دانش‌آموزان'!C31)</x:f>
        <x:v>4000000276</x:v>
      </x:c>
      <x:c r="C31" s="233" t="str">
        <x:f>IF(A31="","",'دانش‌آموزان'!E31&amp;" "&amp;'دانش‌آموزان'!F31)</x:f>
        <x:v>آراد حسینی</x:v>
      </x:c>
      <x:c r="D31" s="166" t="str">
        <x:f>IF(A31="","",'دانش‌آموزان'!I31)</x:f>
        <x:v>sample-7-b</x:v>
      </x:c>
      <x:c r="E31" s="141" t="n">
        <x:f>IF(A31="","",IFERROR(SUMIFS('ثبت اطلاعات'!$CC$5:$CC$1204,'ثبت اطلاعات'!$C$5:$C$1204,A31,'ثبت اطلاعات'!$CO$5:$CO$1204,1)/COUNTIFS('ثبت اطلاعات'!$C$5:$C$1204,A31,'ثبت اطلاعات'!$CO$5:$CO$1204,1),""))</x:f>
        <x:v>15.2</x:v>
      </x:c>
      <x:c r="F31" s="178" t="n">
        <x:f>IF(A31="","",IFERROR(SUMIFS('ثبت اطلاعات'!$CD$5:$CD$1204,'ثبت اطلاعات'!$C$5:$C$1204,A31,'ثبت اطلاعات'!$CO$5:$CO$1204,1)/COUNTIFS('ثبت اطلاعات'!$C$5:$C$1204,A31,'ثبت اطلاعات'!$CO$5:$CO$1204,1),""))</x:f>
        <x:v>15.6</x:v>
      </x:c>
      <x:c r="G31" s="178" t="n">
        <x:f>IF(A31="","",IFERROR(SUMIFS('ثبت اطلاعات'!$CE$5:$CE$1204,'ثبت اطلاعات'!$C$5:$C$1204,A31,'ثبت اطلاعات'!$CO$5:$CO$1204,1)/COUNTIFS('ثبت اطلاعات'!$C$5:$C$1204,A31,'ثبت اطلاعات'!$CO$5:$CO$1204,1),""))</x:f>
        <x:v>14.8</x:v>
      </x:c>
      <x:c r="H31" s="178" t="n">
        <x:f>IF(A31="","",IFERROR(SUMIFS('ثبت اطلاعات'!$CF$5:$CF$1204,'ثبت اطلاعات'!$C$5:$C$1204,A31,'ثبت اطلاعات'!$CO$5:$CO$1204,1)/COUNTIFS('ثبت اطلاعات'!$C$5:$C$1204,A31,'ثبت اطلاعات'!$CO$5:$CO$1204,1),""))</x:f>
        <x:v>15</x:v>
      </x:c>
      <x:c r="I31" s="178" t="n">
        <x:f>IF(A31="","",IFERROR(SUMIFS('ثبت اطلاعات'!$CG$5:$CG$1204,'ثبت اطلاعات'!$C$5:$C$1204,A31,'ثبت اطلاعات'!$CO$5:$CO$1204,1)/COUNTIFS('ثبت اطلاعات'!$C$5:$C$1204,A31,'ثبت اطلاعات'!$CO$5:$CO$1204,1),""))</x:f>
        <x:v>15.428571428571429</x:v>
      </x:c>
      <x:c r="J31" s="178" t="n">
        <x:f>IF(A31="","",IFERROR(SUMIFS('ثبت اطلاعات'!$CH$5:$CH$1204,'ثبت اطلاعات'!$C$5:$C$1204,A31,'ثبت اطلاعات'!$CO$5:$CO$1204,1)/COUNTIFS('ثبت اطلاعات'!$C$5:$C$1204,A31,'ثبت اطلاعات'!$CO$5:$CO$1204,1),""))</x:f>
        <x:v>16</x:v>
      </x:c>
      <x:c r="K31" s="178" t="n">
        <x:f>IF(A31="","",IFERROR(SUMIFS('ثبت اطلاعات'!$CI$5:$CI$1204,'ثبت اطلاعات'!$C$5:$C$1204,A31,'ثبت اطلاعات'!$CO$5:$CO$1204,1)/COUNTIFS('ثبت اطلاعات'!$C$5:$C$1204,A31,'ثبت اطلاعات'!$CO$5:$CO$1204,1),""))</x:f>
        <x:v>14.285714285714286</x:v>
      </x:c>
      <x:c r="L31" s="178" t="n">
        <x:f>IF(A31="","",IFERROR(SUMIFS('ثبت اطلاعات'!$CJ$5:$CJ$1204,'ثبت اطلاعات'!$C$5:$C$1204,A31,'ثبت اطلاعات'!$CO$5:$CO$1204,1)/COUNTIFS('ثبت اطلاعات'!$C$5:$C$1204,A31,'ثبت اطلاعات'!$CO$5:$CO$1204,1),""))</x:f>
        <x:v>15.428571428571429</x:v>
      </x:c>
      <x:c r="M31" s="178" t="n">
        <x:f>IF(A31="","",IFERROR(SUMIFS('ثبت اطلاعات'!$CK$5:$CK$1204,'ثبت اطلاعات'!$C$5:$C$1204,A31,'ثبت اطلاعات'!$CO$5:$CO$1204,1)/COUNTIFS('ثبت اطلاعات'!$C$5:$C$1204,A31,'ثبت اطلاعات'!$CO$5:$CO$1204,1),""))</x:f>
        <x:v>15.428571428571429</x:v>
      </x:c>
      <x:c r="N31" s="178" t="n">
        <x:f>IF(A31="","",IFERROR(SUMIFS('ثبت اطلاعات'!$CL$5:$CL$1204,'ثبت اطلاعات'!$C$5:$C$1204,A31,'ثبت اطلاعات'!$CO$5:$CO$1204,1)/COUNTIFS('ثبت اطلاعات'!$C$5:$C$1204,A31,'ثبت اطلاعات'!$CO$5:$CO$1204,1),""))</x:f>
        <x:v>15.215714285714286</x:v>
      </x:c>
      <x:c r="O31" s="178" t="n">
        <x:f>IF(A31="","",COUNTIFS('ثبت اطلاعات'!$C$5:$C$1204,A31,'ثبت اطلاعات'!$CO$5:$CO$1204,1))</x:f>
        <x:v>1</x:v>
      </x:c>
      <x:c r="P31" s="178" t="n">
        <x:f>IF(O31=0,"",MINIFS('ثبت اطلاعات'!$CN$5:$CN$1204,'ثبت اطلاعات'!$C$5:$C$1204,A31,'ثبت اطلاعات'!$CO$5:$CO$1204,1))</x:f>
        <x:v>1</x:v>
      </x:c>
      <x:c r="Q31" s="178" t="n">
        <x:f>IF(O31=0,"",MAXIFS('ثبت اطلاعات'!$CN$5:$CN$1204,'ثبت اطلاعات'!$C$5:$C$1204,A31,'ثبت اطلاعات'!$CO$5:$CO$1204,1))</x:f>
        <x:v>1</x:v>
      </x:c>
      <x:c r="R31" s="178" t="str">
        <x:f>IF(O31&lt;2,"",SUMIFS('ثبت اطلاعات'!$CL$5:$CL$1204,'ثبت اطلاعات'!$C$5:$C$1204,A31,'ثبت اطلاعات'!$CN$5:$CN$1204,Q31)-SUMIFS('ثبت اطلاعات'!$CL$5:$CL$1204,'ثبت اطلاعات'!$C$5:$C$1204,A31,'ثبت اطلاعات'!$CN$5:$CN$1204,P31))</x:f>
      </x:c>
      <x:c r="S31" s="178" t="str">
        <x:f>IF(A31="","",IF(O31=0,"فاقد ارزیابی نهایی",IF(O31=1,"داده ناکافی",IF(R31&gt;0.5,"پیشرفت",IF(R31&lt;-0.5,"افت","ثبات")))))</x:f>
        <x:v>داده ناکافی</x:v>
      </x:c>
      <x:c r="T31" s="178" t="str">
        <x:f>IF(N31="","",INDEX($E$4:$M$4,1,MATCH(MAX(E31:M31),E31:M31,0)))</x:f>
        <x:v>پژوهشی</x:v>
      </x:c>
      <x:c r="U31" s="178" t="str">
        <x:f>IF(N31="","",INDEX($E$4:$M$4,1,MATCH(MIN(E31:M31),E31:M31,0)))</x:f>
        <x:v>ورزشی</x:v>
      </x:c>
      <x:c r="V31" s="178" t="str">
        <x:f>IF(N31="","",IF(N31&gt;=17,"عالی",IF(N31&gt;=14,"خوب",IF(N31&gt;=10,"متوسط","ضعیف"))))</x:f>
        <x:v>خوب</x:v>
      </x:c>
      <x:c r="W31" s="178" t="n">
        <x:f>IF(N31="","",RANK.EQ(N31,$N$5:$N$104,0))</x:f>
        <x:v>65</x:v>
      </x:c>
      <x:c r="X31" s="178" t="n">
        <x:f>IF(N31="","",COUNT($N$5:$N$104))</x:f>
        <x:v>100</x:v>
      </x:c>
      <x:c r="Y31" s="142" t="str">
        <x:f>IF(U31="","",IFERROR(INDEX('بانک راهکارها'!$C$5:$C$13,MATCH(U31,'بانک راهکارها'!$B$5:$B$13,0)),""))</x:f>
        <x:v>برنامه فعالیت بدنی منظم و مشارکت در ورزش گروهی پیشنهاد می‌شود.</x:v>
      </x:c>
    </x:row>
    <x:row r="32">
      <x:c r="A32" s="165" t="n">
        <x:f>IF('دانش‌آموزان'!L32="","",'دانش‌آموزان'!B32)</x:f>
        <x:v>28</x:v>
      </x:c>
      <x:c r="B32" s="233" t="str">
        <x:f>IF(A32="","",'دانش‌آموزان'!C32)</x:f>
        <x:v>4000000284</x:v>
      </x:c>
      <x:c r="C32" s="233" t="str">
        <x:f>IF(A32="","",'دانش‌آموزان'!E32&amp;" "&amp;'دانش‌آموزان'!F32)</x:f>
        <x:v>نگار جعفری</x:v>
      </x:c>
      <x:c r="D32" s="166" t="str">
        <x:f>IF(A32="","",'دانش‌آموزان'!I32)</x:f>
        <x:v>sample-7-b</x:v>
      </x:c>
      <x:c r="E32" s="141" t="n">
        <x:f>IF(A32="","",IFERROR(SUMIFS('ثبت اطلاعات'!$CC$5:$CC$1204,'ثبت اطلاعات'!$C$5:$C$1204,A32,'ثبت اطلاعات'!$CO$5:$CO$1204,1)/COUNTIFS('ثبت اطلاعات'!$C$5:$C$1204,A32,'ثبت اطلاعات'!$CO$5:$CO$1204,1),""))</x:f>
        <x:v>14.8</x:v>
      </x:c>
      <x:c r="F32" s="178" t="n">
        <x:f>IF(A32="","",IFERROR(SUMIFS('ثبت اطلاعات'!$CD$5:$CD$1204,'ثبت اطلاعات'!$C$5:$C$1204,A32,'ثبت اطلاعات'!$CO$5:$CO$1204,1)/COUNTIFS('ثبت اطلاعات'!$C$5:$C$1204,A32,'ثبت اطلاعات'!$CO$5:$CO$1204,1),""))</x:f>
        <x:v>15.2</x:v>
      </x:c>
      <x:c r="G32" s="178" t="n">
        <x:f>IF(A32="","",IFERROR(SUMIFS('ثبت اطلاعات'!$CE$5:$CE$1204,'ثبت اطلاعات'!$C$5:$C$1204,A32,'ثبت اطلاعات'!$CO$5:$CO$1204,1)/COUNTIFS('ثبت اطلاعات'!$C$5:$C$1204,A32,'ثبت اطلاعات'!$CO$5:$CO$1204,1),""))</x:f>
        <x:v>16</x:v>
      </x:c>
      <x:c r="H32" s="178" t="n">
        <x:f>IF(A32="","",IFERROR(SUMIFS('ثبت اطلاعات'!$CF$5:$CF$1204,'ثبت اطلاعات'!$C$5:$C$1204,A32,'ثبت اطلاعات'!$CO$5:$CO$1204,1)/COUNTIFS('ثبت اطلاعات'!$C$5:$C$1204,A32,'ثبت اطلاعات'!$CO$5:$CO$1204,1),""))</x:f>
        <x:v>15.5</x:v>
      </x:c>
      <x:c r="I32" s="178" t="n">
        <x:f>IF(A32="","",IFERROR(SUMIFS('ثبت اطلاعات'!$CG$5:$CG$1204,'ثبت اطلاعات'!$C$5:$C$1204,A32,'ثبت اطلاعات'!$CO$5:$CO$1204,1)/COUNTIFS('ثبت اطلاعات'!$C$5:$C$1204,A32,'ثبت اطلاعات'!$CO$5:$CO$1204,1),""))</x:f>
        <x:v>14.857142857142858</x:v>
      </x:c>
      <x:c r="J32" s="178" t="n">
        <x:f>IF(A32="","",IFERROR(SUMIFS('ثبت اطلاعات'!$CH$5:$CH$1204,'ثبت اطلاعات'!$C$5:$C$1204,A32,'ثبت اطلاعات'!$CO$5:$CO$1204,1)/COUNTIFS('ثبت اطلاعات'!$C$5:$C$1204,A32,'ثبت اطلاعات'!$CO$5:$CO$1204,1),""))</x:f>
        <x:v>14.5</x:v>
      </x:c>
      <x:c r="K32" s="178" t="n">
        <x:f>IF(A32="","",IFERROR(SUMIFS('ثبت اطلاعات'!$CI$5:$CI$1204,'ثبت اطلاعات'!$C$5:$C$1204,A32,'ثبت اطلاعات'!$CO$5:$CO$1204,1)/COUNTIFS('ثبت اطلاعات'!$C$5:$C$1204,A32,'ثبت اطلاعات'!$CO$5:$CO$1204,1),""))</x:f>
        <x:v>16.571428571428573</x:v>
      </x:c>
      <x:c r="L32" s="178" t="n">
        <x:f>IF(A32="","",IFERROR(SUMIFS('ثبت اطلاعات'!$CJ$5:$CJ$1204,'ثبت اطلاعات'!$C$5:$C$1204,A32,'ثبت اطلاعات'!$CO$5:$CO$1204,1)/COUNTIFS('ثبت اطلاعات'!$C$5:$C$1204,A32,'ثبت اطلاعات'!$CO$5:$CO$1204,1),""))</x:f>
        <x:v>14.857142857142858</x:v>
      </x:c>
      <x:c r="M32" s="178" t="n">
        <x:f>IF(A32="","",IFERROR(SUMIFS('ثبت اطلاعات'!$CK$5:$CK$1204,'ثبت اطلاعات'!$C$5:$C$1204,A32,'ثبت اطلاعات'!$CO$5:$CO$1204,1)/COUNTIFS('ثبت اطلاعات'!$C$5:$C$1204,A32,'ثبت اطلاعات'!$CO$5:$CO$1204,1),""))</x:f>
        <x:v>15.428571428571429</x:v>
      </x:c>
      <x:c r="N32" s="178" t="n">
        <x:f>IF(A32="","",IFERROR(SUMIFS('ثبت اطلاعات'!$CL$5:$CL$1204,'ثبت اطلاعات'!$C$5:$C$1204,A32,'ثبت اطلاعات'!$CO$5:$CO$1204,1)/COUNTIFS('ثبت اطلاعات'!$C$5:$C$1204,A32,'ثبت اطلاعات'!$CO$5:$CO$1204,1),""))</x:f>
        <x:v>15.29642857142857</x:v>
      </x:c>
      <x:c r="O32" s="178" t="n">
        <x:f>IF(A32="","",COUNTIFS('ثبت اطلاعات'!$C$5:$C$1204,A32,'ثبت اطلاعات'!$CO$5:$CO$1204,1))</x:f>
        <x:v>1</x:v>
      </x:c>
      <x:c r="P32" s="178" t="n">
        <x:f>IF(O32=0,"",MINIFS('ثبت اطلاعات'!$CN$5:$CN$1204,'ثبت اطلاعات'!$C$5:$C$1204,A32,'ثبت اطلاعات'!$CO$5:$CO$1204,1))</x:f>
        <x:v>1</x:v>
      </x:c>
      <x:c r="Q32" s="178" t="n">
        <x:f>IF(O32=0,"",MAXIFS('ثبت اطلاعات'!$CN$5:$CN$1204,'ثبت اطلاعات'!$C$5:$C$1204,A32,'ثبت اطلاعات'!$CO$5:$CO$1204,1))</x:f>
        <x:v>1</x:v>
      </x:c>
      <x:c r="R32" s="178" t="str">
        <x:f>IF(O32&lt;2,"",SUMIFS('ثبت اطلاعات'!$CL$5:$CL$1204,'ثبت اطلاعات'!$C$5:$C$1204,A32,'ثبت اطلاعات'!$CN$5:$CN$1204,Q32)-SUMIFS('ثبت اطلاعات'!$CL$5:$CL$1204,'ثبت اطلاعات'!$C$5:$C$1204,A32,'ثبت اطلاعات'!$CN$5:$CN$1204,P32))</x:f>
      </x:c>
      <x:c r="S32" s="178" t="str">
        <x:f>IF(A32="","",IF(O32=0,"فاقد ارزیابی نهایی",IF(O32=1,"داده ناکافی",IF(R32&gt;0.5,"پیشرفت",IF(R32&lt;-0.5,"افت","ثبات")))))</x:f>
        <x:v>داده ناکافی</x:v>
      </x:c>
      <x:c r="T32" s="178" t="str">
        <x:f>IF(N32="","",INDEX($E$4:$M$4,1,MATCH(MAX(E32:M32),E32:M32,0)))</x:f>
        <x:v>ورزشی</x:v>
      </x:c>
      <x:c r="U32" s="178" t="str">
        <x:f>IF(N32="","",INDEX($E$4:$M$4,1,MATCH(MIN(E32:M32),E32:M32,0)))</x:f>
        <x:v>پژوهشی</x:v>
      </x:c>
      <x:c r="V32" s="178" t="str">
        <x:f>IF(N32="","",IF(N32&gt;=17,"عالی",IF(N32&gt;=14,"خوب",IF(N32&gt;=10,"متوسط","ضعیف"))))</x:f>
        <x:v>خوب</x:v>
      </x:c>
      <x:c r="W32" s="178" t="n">
        <x:f>IF(N32="","",RANK.EQ(N32,$N$5:$N$104,0))</x:f>
        <x:v>38</x:v>
      </x:c>
      <x:c r="X32" s="178" t="n">
        <x:f>IF(N32="","",COUNT($N$5:$N$104))</x:f>
        <x:v>100</x:v>
      </x:c>
      <x:c r="Y32" s="142" t="str">
        <x:f>IF(U32="","",IFERROR(INDEX('بانک راهکارها'!$C$5:$C$13,MATCH(U32,'بانک راهکارها'!$B$5:$B$13,0)),""))</x:f>
        <x:v>یک پروژه کوچک پژوهشی با منابع مشخص و ارائه کوتاه پیشنهاد می‌شود.</x:v>
      </x:c>
    </x:row>
    <x:row r="33">
      <x:c r="A33" s="165" t="n">
        <x:f>IF('دانش‌آموزان'!L33="","",'دانش‌آموزان'!B33)</x:f>
        <x:v>29</x:v>
      </x:c>
      <x:c r="B33" s="233" t="str">
        <x:f>IF(A33="","",'دانش‌آموزان'!C33)</x:f>
        <x:v>4000000292</x:v>
      </x:c>
      <x:c r="C33" s="233" t="str">
        <x:f>IF(A33="","",'دانش‌آموزان'!E33&amp;" "&amp;'دانش‌آموزان'!F33)</x:f>
        <x:v>سام امینی</x:v>
      </x:c>
      <x:c r="D33" s="166" t="str">
        <x:f>IF(A33="","",'دانش‌آموزان'!I33)</x:f>
        <x:v>sample-7-b</x:v>
      </x:c>
      <x:c r="E33" s="141" t="n">
        <x:f>IF(A33="","",IFERROR(SUMIFS('ثبت اطلاعات'!$CC$5:$CC$1204,'ثبت اطلاعات'!$C$5:$C$1204,A33,'ثبت اطلاعات'!$CO$5:$CO$1204,1)/COUNTIFS('ثبت اطلاعات'!$C$5:$C$1204,A33,'ثبت اطلاعات'!$CO$5:$CO$1204,1),""))</x:f>
        <x:v>15.6</x:v>
      </x:c>
      <x:c r="F33" s="178" t="n">
        <x:f>IF(A33="","",IFERROR(SUMIFS('ثبت اطلاعات'!$CD$5:$CD$1204,'ثبت اطلاعات'!$C$5:$C$1204,A33,'ثبت اطلاعات'!$CO$5:$CO$1204,1)/COUNTIFS('ثبت اطلاعات'!$C$5:$C$1204,A33,'ثبت اطلاعات'!$CO$5:$CO$1204,1),""))</x:f>
        <x:v>14.8</x:v>
      </x:c>
      <x:c r="G33" s="178" t="n">
        <x:f>IF(A33="","",IFERROR(SUMIFS('ثبت اطلاعات'!$CE$5:$CE$1204,'ثبت اطلاعات'!$C$5:$C$1204,A33,'ثبت اطلاعات'!$CO$5:$CO$1204,1)/COUNTIFS('ثبت اطلاعات'!$C$5:$C$1204,A33,'ثبت اطلاعات'!$CO$5:$CO$1204,1),""))</x:f>
        <x:v>15.6</x:v>
      </x:c>
      <x:c r="H33" s="178" t="n">
        <x:f>IF(A33="","",IFERROR(SUMIFS('ثبت اطلاعات'!$CF$5:$CF$1204,'ثبت اطلاعات'!$C$5:$C$1204,A33,'ثبت اطلاعات'!$CO$5:$CO$1204,1)/COUNTIFS('ثبت اطلاعات'!$C$5:$C$1204,A33,'ثبت اطلاعات'!$CO$5:$CO$1204,1),""))</x:f>
        <x:v>14</x:v>
      </x:c>
      <x:c r="I33" s="178" t="n">
        <x:f>IF(A33="","",IFERROR(SUMIFS('ثبت اطلاعات'!$CG$5:$CG$1204,'ثبت اطلاعات'!$C$5:$C$1204,A33,'ثبت اطلاعات'!$CO$5:$CO$1204,1)/COUNTIFS('ثبت اطلاعات'!$C$5:$C$1204,A33,'ثبت اطلاعات'!$CO$5:$CO$1204,1),""))</x:f>
        <x:v>16.571428571428573</x:v>
      </x:c>
      <x:c r="J33" s="178" t="n">
        <x:f>IF(A33="","",IFERROR(SUMIFS('ثبت اطلاعات'!$CH$5:$CH$1204,'ثبت اطلاعات'!$C$5:$C$1204,A33,'ثبت اطلاعات'!$CO$5:$CO$1204,1)/COUNTIFS('ثبت اطلاعات'!$C$5:$C$1204,A33,'ثبت اطلاعات'!$CO$5:$CO$1204,1),""))</x:f>
        <x:v>15</x:v>
      </x:c>
      <x:c r="K33" s="178" t="n">
        <x:f>IF(A33="","",IFERROR(SUMIFS('ثبت اطلاعات'!$CI$5:$CI$1204,'ثبت اطلاعات'!$C$5:$C$1204,A33,'ثبت اطلاعات'!$CO$5:$CO$1204,1)/COUNTIFS('ثبت اطلاعات'!$C$5:$C$1204,A33,'ثبت اطلاعات'!$CO$5:$CO$1204,1),""))</x:f>
        <x:v>14.285714285714286</x:v>
      </x:c>
      <x:c r="L33" s="178" t="n">
        <x:f>IF(A33="","",IFERROR(SUMIFS('ثبت اطلاعات'!$CJ$5:$CJ$1204,'ثبت اطلاعات'!$C$5:$C$1204,A33,'ثبت اطلاعات'!$CO$5:$CO$1204,1)/COUNTIFS('ثبت اطلاعات'!$C$5:$C$1204,A33,'ثبت اطلاعات'!$CO$5:$CO$1204,1),""))</x:f>
        <x:v>16.571428571428573</x:v>
      </x:c>
      <x:c r="M33" s="178" t="n">
        <x:f>IF(A33="","",IFERROR(SUMIFS('ثبت اطلاعات'!$CK$5:$CK$1204,'ثبت اطلاعات'!$C$5:$C$1204,A33,'ثبت اطلاعات'!$CO$5:$CO$1204,1)/COUNTIFS('ثبت اطلاعات'!$C$5:$C$1204,A33,'ثبت اطلاعات'!$CO$5:$CO$1204,1),""))</x:f>
        <x:v>15.428571428571429</x:v>
      </x:c>
      <x:c r="N33" s="178" t="n">
        <x:f>IF(A33="","",IFERROR(SUMIFS('ثبت اطلاعات'!$CL$5:$CL$1204,'ثبت اطلاعات'!$C$5:$C$1204,A33,'ثبت اطلاعات'!$CO$5:$CO$1204,1)/COUNTIFS('ثبت اطلاعات'!$C$5:$C$1204,A33,'ثبت اطلاعات'!$CO$5:$CO$1204,1),""))</x:f>
        <x:v>15.214285714285715</x:v>
      </x:c>
      <x:c r="O33" s="178" t="n">
        <x:f>IF(A33="","",COUNTIFS('ثبت اطلاعات'!$C$5:$C$1204,A33,'ثبت اطلاعات'!$CO$5:$CO$1204,1))</x:f>
        <x:v>1</x:v>
      </x:c>
      <x:c r="P33" s="178" t="n">
        <x:f>IF(O33=0,"",MINIFS('ثبت اطلاعات'!$CN$5:$CN$1204,'ثبت اطلاعات'!$C$5:$C$1204,A33,'ثبت اطلاعات'!$CO$5:$CO$1204,1))</x:f>
        <x:v>1</x:v>
      </x:c>
      <x:c r="Q33" s="178" t="n">
        <x:f>IF(O33=0,"",MAXIFS('ثبت اطلاعات'!$CN$5:$CN$1204,'ثبت اطلاعات'!$C$5:$C$1204,A33,'ثبت اطلاعات'!$CO$5:$CO$1204,1))</x:f>
        <x:v>1</x:v>
      </x:c>
      <x:c r="R33" s="178" t="str">
        <x:f>IF(O33&lt;2,"",SUMIFS('ثبت اطلاعات'!$CL$5:$CL$1204,'ثبت اطلاعات'!$C$5:$C$1204,A33,'ثبت اطلاعات'!$CN$5:$CN$1204,Q33)-SUMIFS('ثبت اطلاعات'!$CL$5:$CL$1204,'ثبت اطلاعات'!$C$5:$C$1204,A33,'ثبت اطلاعات'!$CN$5:$CN$1204,P33))</x:f>
      </x:c>
      <x:c r="S33" s="178" t="str">
        <x:f>IF(A33="","",IF(O33=0,"فاقد ارزیابی نهایی",IF(O33=1,"داده ناکافی",IF(R33&gt;0.5,"پیشرفت",IF(R33&lt;-0.5,"افت","ثبات")))))</x:f>
        <x:v>داده ناکافی</x:v>
      </x:c>
      <x:c r="T33" s="178" t="str">
        <x:f>IF(N33="","",INDEX($E$4:$M$4,1,MATCH(MAX(E33:M33),E33:M33,0)))</x:f>
        <x:v>فرهنگی</x:v>
      </x:c>
      <x:c r="U33" s="178" t="str">
        <x:f>IF(N33="","",INDEX($E$4:$M$4,1,MATCH(MIN(E33:M33),E33:M33,0)))</x:f>
        <x:v>انضباطی</x:v>
      </x:c>
      <x:c r="V33" s="178" t="str">
        <x:f>IF(N33="","",IF(N33&gt;=17,"عالی",IF(N33&gt;=14,"خوب",IF(N33&gt;=10,"متوسط","ضعیف"))))</x:f>
        <x:v>خوب</x:v>
      </x:c>
      <x:c r="W33" s="178" t="n">
        <x:f>IF(N33="","",RANK.EQ(N33,$N$5:$N$104,0))</x:f>
        <x:v>74</x:v>
      </x:c>
      <x:c r="X33" s="178" t="n">
        <x:f>IF(N33="","",COUNT($N$5:$N$104))</x:f>
        <x:v>100</x:v>
      </x:c>
      <x:c r="Y33" s="142" t="str">
        <x:f>IF(U33="","",IFERROR(INDEX('بانک راهکارها'!$C$5:$C$13,MATCH(U33,'بانک راهکارها'!$B$5:$B$13,0)),""))</x:f>
        <x:v>قواعد روشن، قرارداد رفتاری کوتاه‌مدت و ثبت منظم پیشرفت پیشنهاد می‌شود.</x:v>
      </x:c>
    </x:row>
    <x:row r="34">
      <x:c r="A34" s="165" t="n">
        <x:f>IF('دانش‌آموزان'!L34="","",'دانش‌آموزان'!B34)</x:f>
        <x:v>30</x:v>
      </x:c>
      <x:c r="B34" s="233" t="str">
        <x:f>IF(A34="","",'دانش‌آموزان'!C34)</x:f>
        <x:v>4000000306</x:v>
      </x:c>
      <x:c r="C34" s="233" t="str">
        <x:f>IF(A34="","",'دانش‌آموزان'!E34&amp;" "&amp;'دانش‌آموزان'!F34)</x:f>
        <x:v>هلیا کریمی</x:v>
      </x:c>
      <x:c r="D34" s="166" t="str">
        <x:f>IF(A34="","",'دانش‌آموزان'!I34)</x:f>
        <x:v>sample-7-b</x:v>
      </x:c>
      <x:c r="E34" s="141" t="n">
        <x:f>IF(A34="","",IFERROR(SUMIFS('ثبت اطلاعات'!$CC$5:$CC$1204,'ثبت اطلاعات'!$C$5:$C$1204,A34,'ثبت اطلاعات'!$CO$5:$CO$1204,1)/COUNTIFS('ثبت اطلاعات'!$C$5:$C$1204,A34,'ثبت اطلاعات'!$CO$5:$CO$1204,1),""))</x:f>
        <x:v>15.2</x:v>
      </x:c>
      <x:c r="F34" s="178" t="n">
        <x:f>IF(A34="","",IFERROR(SUMIFS('ثبت اطلاعات'!$CD$5:$CD$1204,'ثبت اطلاعات'!$C$5:$C$1204,A34,'ثبت اطلاعات'!$CO$5:$CO$1204,1)/COUNTIFS('ثبت اطلاعات'!$C$5:$C$1204,A34,'ثبت اطلاعات'!$CO$5:$CO$1204,1),""))</x:f>
        <x:v>16</x:v>
      </x:c>
      <x:c r="G34" s="178" t="n">
        <x:f>IF(A34="","",IFERROR(SUMIFS('ثبت اطلاعات'!$CE$5:$CE$1204,'ثبت اطلاعات'!$C$5:$C$1204,A34,'ثبت اطلاعات'!$CO$5:$CO$1204,1)/COUNTIFS('ثبت اطلاعات'!$C$5:$C$1204,A34,'ثبت اطلاعات'!$CO$5:$CO$1204,1),""))</x:f>
        <x:v>15.2</x:v>
      </x:c>
      <x:c r="H34" s="178" t="n">
        <x:f>IF(A34="","",IFERROR(SUMIFS('ثبت اطلاعات'!$CF$5:$CF$1204,'ثبت اطلاعات'!$C$5:$C$1204,A34,'ثبت اطلاعات'!$CO$5:$CO$1204,1)/COUNTIFS('ثبت اطلاعات'!$C$5:$C$1204,A34,'ثبت اطلاعات'!$CO$5:$CO$1204,1),""))</x:f>
        <x:v>16</x:v>
      </x:c>
      <x:c r="I34" s="178" t="n">
        <x:f>IF(A34="","",IFERROR(SUMIFS('ثبت اطلاعات'!$CG$5:$CG$1204,'ثبت اطلاعات'!$C$5:$C$1204,A34,'ثبت اطلاعات'!$CO$5:$CO$1204,1)/COUNTIFS('ثبت اطلاعات'!$C$5:$C$1204,A34,'ثبت اطلاعات'!$CO$5:$CO$1204,1),""))</x:f>
        <x:v>14.285714285714286</x:v>
      </x:c>
      <x:c r="J34" s="178" t="n">
        <x:f>IF(A34="","",IFERROR(SUMIFS('ثبت اطلاعات'!$CH$5:$CH$1204,'ثبت اطلاعات'!$C$5:$C$1204,A34,'ثبت اطلاعات'!$CO$5:$CO$1204,1)/COUNTIFS('ثبت اطلاعات'!$C$5:$C$1204,A34,'ثبت اطلاعات'!$CO$5:$CO$1204,1),""))</x:f>
        <x:v>15.5</x:v>
      </x:c>
      <x:c r="K34" s="178" t="n">
        <x:f>IF(A34="","",IFERROR(SUMIFS('ثبت اطلاعات'!$CI$5:$CI$1204,'ثبت اطلاعات'!$C$5:$C$1204,A34,'ثبت اطلاعات'!$CO$5:$CO$1204,1)/COUNTIFS('ثبت اطلاعات'!$C$5:$C$1204,A34,'ثبت اطلاعات'!$CO$5:$CO$1204,1),""))</x:f>
        <x:v>16</x:v>
      </x:c>
      <x:c r="L34" s="178" t="n">
        <x:f>IF(A34="","",IFERROR(SUMIFS('ثبت اطلاعات'!$CJ$5:$CJ$1204,'ثبت اطلاعات'!$C$5:$C$1204,A34,'ثبت اطلاعات'!$CO$5:$CO$1204,1)/COUNTIFS('ثبت اطلاعات'!$C$5:$C$1204,A34,'ثبت اطلاعات'!$CO$5:$CO$1204,1),""))</x:f>
        <x:v>14.285714285714286</x:v>
      </x:c>
      <x:c r="M34" s="178" t="n">
        <x:f>IF(A34="","",IFERROR(SUMIFS('ثبت اطلاعات'!$CK$5:$CK$1204,'ثبت اطلاعات'!$C$5:$C$1204,A34,'ثبت اطلاعات'!$CO$5:$CO$1204,1)/COUNTIFS('ثبت اطلاعات'!$C$5:$C$1204,A34,'ثبت اطلاعات'!$CO$5:$CO$1204,1),""))</x:f>
        <x:v>15.428571428571429</x:v>
      </x:c>
      <x:c r="N34" s="178" t="n">
        <x:f>IF(A34="","",IFERROR(SUMIFS('ثبت اطلاعات'!$CL$5:$CL$1204,'ثبت اطلاعات'!$C$5:$C$1204,A34,'ثبت اطلاعات'!$CO$5:$CO$1204,1)/COUNTIFS('ثبت اطلاعات'!$C$5:$C$1204,A34,'ثبت اطلاعات'!$CO$5:$CO$1204,1),""))</x:f>
        <x:v>15.417142857142858</x:v>
      </x:c>
      <x:c r="O34" s="178" t="n">
        <x:f>IF(A34="","",COUNTIFS('ثبت اطلاعات'!$C$5:$C$1204,A34,'ثبت اطلاعات'!$CO$5:$CO$1204,1))</x:f>
        <x:v>1</x:v>
      </x:c>
      <x:c r="P34" s="178" t="n">
        <x:f>IF(O34=0,"",MINIFS('ثبت اطلاعات'!$CN$5:$CN$1204,'ثبت اطلاعات'!$C$5:$C$1204,A34,'ثبت اطلاعات'!$CO$5:$CO$1204,1))</x:f>
        <x:v>1</x:v>
      </x:c>
      <x:c r="Q34" s="178" t="n">
        <x:f>IF(O34=0,"",MAXIFS('ثبت اطلاعات'!$CN$5:$CN$1204,'ثبت اطلاعات'!$C$5:$C$1204,A34,'ثبت اطلاعات'!$CO$5:$CO$1204,1))</x:f>
        <x:v>1</x:v>
      </x:c>
      <x:c r="R34" s="178" t="str">
        <x:f>IF(O34&lt;2,"",SUMIFS('ثبت اطلاعات'!$CL$5:$CL$1204,'ثبت اطلاعات'!$C$5:$C$1204,A34,'ثبت اطلاعات'!$CN$5:$CN$1204,Q34)-SUMIFS('ثبت اطلاعات'!$CL$5:$CL$1204,'ثبت اطلاعات'!$C$5:$C$1204,A34,'ثبت اطلاعات'!$CN$5:$CN$1204,P34))</x:f>
      </x:c>
      <x:c r="S34" s="178" t="str">
        <x:f>IF(A34="","",IF(O34=0,"فاقد ارزیابی نهایی",IF(O34=1,"داده ناکافی",IF(R34&gt;0.5,"پیشرفت",IF(R34&lt;-0.5,"افت","ثبات")))))</x:f>
        <x:v>داده ناکافی</x:v>
      </x:c>
      <x:c r="T34" s="178" t="str">
        <x:f>IF(N34="","",INDEX($E$4:$M$4,1,MATCH(MAX(E34:M34),E34:M34,0)))</x:f>
        <x:v>پرورشی</x:v>
      </x:c>
      <x:c r="U34" s="178" t="str">
        <x:f>IF(N34="","",INDEX($E$4:$M$4,1,MATCH(MIN(E34:M34),E34:M34,0)))</x:f>
        <x:v>فرهنگی</x:v>
      </x:c>
      <x:c r="V34" s="178" t="str">
        <x:f>IF(N34="","",IF(N34&gt;=17,"عالی",IF(N34&gt;=14,"خوب",IF(N34&gt;=10,"متوسط","ضعیف"))))</x:f>
        <x:v>خوب</x:v>
      </x:c>
      <x:c r="W34" s="178" t="n">
        <x:f>IF(N34="","",RANK.EQ(N34,$N$5:$N$104,0))</x:f>
        <x:v>10</x:v>
      </x:c>
      <x:c r="X34" s="178" t="n">
        <x:f>IF(N34="","",COUNT($N$5:$N$104))</x:f>
        <x:v>100</x:v>
      </x:c>
      <x:c r="Y34" s="142" t="str">
        <x:f>IF(U34="","",IFERROR(INDEX('بانک راهکارها'!$C$5:$C$13,MATCH(U34,'بانک راهکارها'!$B$5:$B$13,0)),""))</x:f>
        <x:v>مشارکت در برنامه‌های فرهنگی، مطالعه هدایت‌شده و فعالیت گروهی پیشنهاد می‌شود.</x:v>
      </x:c>
    </x:row>
    <x:row r="35">
      <x:c r="A35" s="165" t="n">
        <x:f>IF('دانش‌آموزان'!L35="","",'دانش‌آموزان'!B35)</x:f>
        <x:v>31</x:v>
      </x:c>
      <x:c r="B35" s="233" t="str">
        <x:f>IF(A35="","",'دانش‌آموزان'!C35)</x:f>
        <x:v>4000000314</x:v>
      </x:c>
      <x:c r="C35" s="233" t="str">
        <x:f>IF(A35="","",'دانش‌آموزان'!E35&amp;" "&amp;'دانش‌آموزان'!F35)</x:f>
        <x:v>پارسا موسوی</x:v>
      </x:c>
      <x:c r="D35" s="166" t="str">
        <x:f>IF(A35="","",'دانش‌آموزان'!I35)</x:f>
        <x:v>sample-7-b</x:v>
      </x:c>
      <x:c r="E35" s="141" t="n">
        <x:f>IF(A35="","",IFERROR(SUMIFS('ثبت اطلاعات'!$CC$5:$CC$1204,'ثبت اطلاعات'!$C$5:$C$1204,A35,'ثبت اطلاعات'!$CO$5:$CO$1204,1)/COUNTIFS('ثبت اطلاعات'!$C$5:$C$1204,A35,'ثبت اطلاعات'!$CO$5:$CO$1204,1),""))</x:f>
        <x:v>14.8</x:v>
      </x:c>
      <x:c r="F35" s="178" t="n">
        <x:f>IF(A35="","",IFERROR(SUMIFS('ثبت اطلاعات'!$CD$5:$CD$1204,'ثبت اطلاعات'!$C$5:$C$1204,A35,'ثبت اطلاعات'!$CO$5:$CO$1204,1)/COUNTIFS('ثبت اطلاعات'!$C$5:$C$1204,A35,'ثبت اطلاعات'!$CO$5:$CO$1204,1),""))</x:f>
        <x:v>15.6</x:v>
      </x:c>
      <x:c r="G35" s="178" t="n">
        <x:f>IF(A35="","",IFERROR(SUMIFS('ثبت اطلاعات'!$CE$5:$CE$1204,'ثبت اطلاعات'!$C$5:$C$1204,A35,'ثبت اطلاعات'!$CO$5:$CO$1204,1)/COUNTIFS('ثبت اطلاعات'!$C$5:$C$1204,A35,'ثبت اطلاعات'!$CO$5:$CO$1204,1),""))</x:f>
        <x:v>14.8</x:v>
      </x:c>
      <x:c r="H35" s="178" t="n">
        <x:f>IF(A35="","",IFERROR(SUMIFS('ثبت اطلاعات'!$CF$5:$CF$1204,'ثبت اطلاعات'!$C$5:$C$1204,A35,'ثبت اطلاعات'!$CO$5:$CO$1204,1)/COUNTIFS('ثبت اطلاعات'!$C$5:$C$1204,A35,'ثبت اطلاعات'!$CO$5:$CO$1204,1),""))</x:f>
        <x:v>14.5</x:v>
      </x:c>
      <x:c r="I35" s="178" t="n">
        <x:f>IF(A35="","",IFERROR(SUMIFS('ثبت اطلاعات'!$CG$5:$CG$1204,'ثبت اطلاعات'!$C$5:$C$1204,A35,'ثبت اطلاعات'!$CO$5:$CO$1204,1)/COUNTIFS('ثبت اطلاعات'!$C$5:$C$1204,A35,'ثبت اطلاعات'!$CO$5:$CO$1204,1),""))</x:f>
        <x:v>16.571428571428573</x:v>
      </x:c>
      <x:c r="J35" s="178" t="n">
        <x:f>IF(A35="","",IFERROR(SUMIFS('ثبت اطلاعات'!$CH$5:$CH$1204,'ثبت اطلاعات'!$C$5:$C$1204,A35,'ثبت اطلاعات'!$CO$5:$CO$1204,1)/COUNTIFS('ثبت اطلاعات'!$C$5:$C$1204,A35,'ثبت اطلاعات'!$CO$5:$CO$1204,1),""))</x:f>
        <x:v>15.5</x:v>
      </x:c>
      <x:c r="K35" s="178" t="n">
        <x:f>IF(A35="","",IFERROR(SUMIFS('ثبت اطلاعات'!$CI$5:$CI$1204,'ثبت اطلاعات'!$C$5:$C$1204,A35,'ثبت اطلاعات'!$CO$5:$CO$1204,1)/COUNTIFS('ثبت اطلاعات'!$C$5:$C$1204,A35,'ثبت اطلاعات'!$CO$5:$CO$1204,1),""))</x:f>
        <x:v>13.714285714285714</x:v>
      </x:c>
      <x:c r="L35" s="178" t="n">
        <x:f>IF(A35="","",IFERROR(SUMIFS('ثبت اطلاعات'!$CJ$5:$CJ$1204,'ثبت اطلاعات'!$C$5:$C$1204,A35,'ثبت اطلاعات'!$CO$5:$CO$1204,1)/COUNTIFS('ثبت اطلاعات'!$C$5:$C$1204,A35,'ثبت اطلاعات'!$CO$5:$CO$1204,1),""))</x:f>
        <x:v>16.571428571428573</x:v>
      </x:c>
      <x:c r="M35" s="178" t="n">
        <x:f>IF(A35="","",IFERROR(SUMIFS('ثبت اطلاعات'!$CK$5:$CK$1204,'ثبت اطلاعات'!$C$5:$C$1204,A35,'ثبت اطلاعات'!$CO$5:$CO$1204,1)/COUNTIFS('ثبت اطلاعات'!$C$5:$C$1204,A35,'ثبت اطلاعات'!$CO$5:$CO$1204,1),""))</x:f>
        <x:v>14.857142857142858</x:v>
      </x:c>
      <x:c r="N35" s="178" t="n">
        <x:f>IF(A35="","",IFERROR(SUMIFS('ثبت اطلاعات'!$CL$5:$CL$1204,'ثبت اطلاعات'!$C$5:$C$1204,A35,'ثبت اطلاعات'!$CO$5:$CO$1204,1)/COUNTIFS('ثبت اطلاعات'!$C$5:$C$1204,A35,'ثبت اطلاعات'!$CO$5:$CO$1204,1),""))</x:f>
        <x:v>15.089285714285715</x:v>
      </x:c>
      <x:c r="O35" s="178" t="n">
        <x:f>IF(A35="","",COUNTIFS('ثبت اطلاعات'!$C$5:$C$1204,A35,'ثبت اطلاعات'!$CO$5:$CO$1204,1))</x:f>
        <x:v>1</x:v>
      </x:c>
      <x:c r="P35" s="178" t="n">
        <x:f>IF(O35=0,"",MINIFS('ثبت اطلاعات'!$CN$5:$CN$1204,'ثبت اطلاعات'!$C$5:$C$1204,A35,'ثبت اطلاعات'!$CO$5:$CO$1204,1))</x:f>
        <x:v>1</x:v>
      </x:c>
      <x:c r="Q35" s="178" t="n">
        <x:f>IF(O35=0,"",MAXIFS('ثبت اطلاعات'!$CN$5:$CN$1204,'ثبت اطلاعات'!$C$5:$C$1204,A35,'ثبت اطلاعات'!$CO$5:$CO$1204,1))</x:f>
        <x:v>1</x:v>
      </x:c>
      <x:c r="R35" s="178" t="str">
        <x:f>IF(O35&lt;2,"",SUMIFS('ثبت اطلاعات'!$CL$5:$CL$1204,'ثبت اطلاعات'!$C$5:$C$1204,A35,'ثبت اطلاعات'!$CN$5:$CN$1204,Q35)-SUMIFS('ثبت اطلاعات'!$CL$5:$CL$1204,'ثبت اطلاعات'!$C$5:$C$1204,A35,'ثبت اطلاعات'!$CN$5:$CN$1204,P35))</x:f>
      </x:c>
      <x:c r="S35" s="178" t="str">
        <x:f>IF(A35="","",IF(O35=0,"فاقد ارزیابی نهایی",IF(O35=1,"داده ناکافی",IF(R35&gt;0.5,"پیشرفت",IF(R35&lt;-0.5,"افت","ثبات")))))</x:f>
        <x:v>داده ناکافی</x:v>
      </x:c>
      <x:c r="T35" s="178" t="str">
        <x:f>IF(N35="","",INDEX($E$4:$M$4,1,MATCH(MAX(E35:M35),E35:M35,0)))</x:f>
        <x:v>فرهنگی</x:v>
      </x:c>
      <x:c r="U35" s="178" t="str">
        <x:f>IF(N35="","",INDEX($E$4:$M$4,1,MATCH(MIN(E35:M35),E35:M35,0)))</x:f>
        <x:v>ورزشی</x:v>
      </x:c>
      <x:c r="V35" s="178" t="str">
        <x:f>IF(N35="","",IF(N35&gt;=17,"عالی",IF(N35&gt;=14,"خوب",IF(N35&gt;=10,"متوسط","ضعیف"))))</x:f>
        <x:v>خوب</x:v>
      </x:c>
      <x:c r="W35" s="178" t="n">
        <x:f>IF(N35="","",RANK.EQ(N35,$N$5:$N$104,0))</x:f>
        <x:v>92</x:v>
      </x:c>
      <x:c r="X35" s="178" t="n">
        <x:f>IF(N35="","",COUNT($N$5:$N$104))</x:f>
        <x:v>100</x:v>
      </x:c>
      <x:c r="Y35" s="142" t="str">
        <x:f>IF(U35="","",IFERROR(INDEX('بانک راهکارها'!$C$5:$C$13,MATCH(U35,'بانک راهکارها'!$B$5:$B$13,0)),""))</x:f>
        <x:v>برنامه فعالیت بدنی منظم و مشارکت در ورزش گروهی پیشنهاد می‌شود.</x:v>
      </x:c>
    </x:row>
    <x:row r="36">
      <x:c r="A36" s="165" t="n">
        <x:f>IF('دانش‌آموزان'!L36="","",'دانش‌آموزان'!B36)</x:f>
        <x:v>32</x:v>
      </x:c>
      <x:c r="B36" s="233" t="str">
        <x:f>IF(A36="","",'دانش‌آموزان'!C36)</x:f>
        <x:v>4000000322</x:v>
      </x:c>
      <x:c r="C36" s="233" t="str">
        <x:f>IF(A36="","",'دانش‌آموزان'!E36&amp;" "&amp;'دانش‌آموزان'!F36)</x:f>
        <x:v>رها یوسفی</x:v>
      </x:c>
      <x:c r="D36" s="166" t="str">
        <x:f>IF(A36="","",'دانش‌آموزان'!I36)</x:f>
        <x:v>sample-7-b</x:v>
      </x:c>
      <x:c r="E36" s="141" t="n">
        <x:f>IF(A36="","",IFERROR(SUMIFS('ثبت اطلاعات'!$CC$5:$CC$1204,'ثبت اطلاعات'!$C$5:$C$1204,A36,'ثبت اطلاعات'!$CO$5:$CO$1204,1)/COUNTIFS('ثبت اطلاعات'!$C$5:$C$1204,A36,'ثبت اطلاعات'!$CO$5:$CO$1204,1),""))</x:f>
        <x:v>16</x:v>
      </x:c>
      <x:c r="F36" s="178" t="n">
        <x:f>IF(A36="","",IFERROR(SUMIFS('ثبت اطلاعات'!$CD$5:$CD$1204,'ثبت اطلاعات'!$C$5:$C$1204,A36,'ثبت اطلاعات'!$CO$5:$CO$1204,1)/COUNTIFS('ثبت اطلاعات'!$C$5:$C$1204,A36,'ثبت اطلاعات'!$CO$5:$CO$1204,1),""))</x:f>
        <x:v>15.2</x:v>
      </x:c>
      <x:c r="G36" s="178" t="n">
        <x:f>IF(A36="","",IFERROR(SUMIFS('ثبت اطلاعات'!$CE$5:$CE$1204,'ثبت اطلاعات'!$C$5:$C$1204,A36,'ثبت اطلاعات'!$CO$5:$CO$1204,1)/COUNTIFS('ثبت اطلاعات'!$C$5:$C$1204,A36,'ثبت اطلاعات'!$CO$5:$CO$1204,1),""))</x:f>
        <x:v>15.6</x:v>
      </x:c>
      <x:c r="H36" s="178" t="n">
        <x:f>IF(A36="","",IFERROR(SUMIFS('ثبت اطلاعات'!$CF$5:$CF$1204,'ثبت اطلاعات'!$C$5:$C$1204,A36,'ثبت اطلاعات'!$CO$5:$CO$1204,1)/COUNTIFS('ثبت اطلاعات'!$C$5:$C$1204,A36,'ثبت اطلاعات'!$CO$5:$CO$1204,1),""))</x:f>
        <x:v>15</x:v>
      </x:c>
      <x:c r="I36" s="178" t="n">
        <x:f>IF(A36="","",IFERROR(SUMIFS('ثبت اطلاعات'!$CG$5:$CG$1204,'ثبت اطلاعات'!$C$5:$C$1204,A36,'ثبت اطلاعات'!$CO$5:$CO$1204,1)/COUNTIFS('ثبت اطلاعات'!$C$5:$C$1204,A36,'ثبت اطلاعات'!$CO$5:$CO$1204,1),""))</x:f>
        <x:v>14.285714285714286</x:v>
      </x:c>
      <x:c r="J36" s="178" t="n">
        <x:f>IF(A36="","",IFERROR(SUMIFS('ثبت اطلاعات'!$CH$5:$CH$1204,'ثبت اطلاعات'!$C$5:$C$1204,A36,'ثبت اطلاعات'!$CO$5:$CO$1204,1)/COUNTIFS('ثبت اطلاعات'!$C$5:$C$1204,A36,'ثبت اطلاعات'!$CO$5:$CO$1204,1),""))</x:f>
        <x:v>16</x:v>
      </x:c>
      <x:c r="K36" s="178" t="n">
        <x:f>IF(A36="","",IFERROR(SUMIFS('ثبت اطلاعات'!$CI$5:$CI$1204,'ثبت اطلاعات'!$C$5:$C$1204,A36,'ثبت اطلاعات'!$CO$5:$CO$1204,1)/COUNTIFS('ثبت اطلاعات'!$C$5:$C$1204,A36,'ثبت اطلاعات'!$CO$5:$CO$1204,1),""))</x:f>
        <x:v>15.428571428571429</x:v>
      </x:c>
      <x:c r="L36" s="178" t="n">
        <x:f>IF(A36="","",IFERROR(SUMIFS('ثبت اطلاعات'!$CJ$5:$CJ$1204,'ثبت اطلاعات'!$C$5:$C$1204,A36,'ثبت اطلاعات'!$CO$5:$CO$1204,1)/COUNTIFS('ثبت اطلاعات'!$C$5:$C$1204,A36,'ثبت اطلاعات'!$CO$5:$CO$1204,1),""))</x:f>
        <x:v>14.285714285714286</x:v>
      </x:c>
      <x:c r="M36" s="178" t="n">
        <x:f>IF(A36="","",IFERROR(SUMIFS('ثبت اطلاعات'!$CK$5:$CK$1204,'ثبت اطلاعات'!$C$5:$C$1204,A36,'ثبت اطلاعات'!$CO$5:$CO$1204,1)/COUNTIFS('ثبت اطلاعات'!$C$5:$C$1204,A36,'ثبت اطلاعات'!$CO$5:$CO$1204,1),""))</x:f>
        <x:v>16.571428571428573</x:v>
      </x:c>
      <x:c r="N36" s="178" t="n">
        <x:f>IF(A36="","",IFERROR(SUMIFS('ثبت اطلاعات'!$CL$5:$CL$1204,'ثبت اطلاعات'!$C$5:$C$1204,A36,'ثبت اطلاعات'!$CO$5:$CO$1204,1)/COUNTIFS('ثبت اطلاعات'!$C$5:$C$1204,A36,'ثبت اطلاعات'!$CO$5:$CO$1204,1),""))</x:f>
        <x:v>15.447142857142858</x:v>
      </x:c>
      <x:c r="O36" s="178" t="n">
        <x:f>IF(A36="","",COUNTIFS('ثبت اطلاعات'!$C$5:$C$1204,A36,'ثبت اطلاعات'!$CO$5:$CO$1204,1))</x:f>
        <x:v>1</x:v>
      </x:c>
      <x:c r="P36" s="178" t="n">
        <x:f>IF(O36=0,"",MINIFS('ثبت اطلاعات'!$CN$5:$CN$1204,'ثبت اطلاعات'!$C$5:$C$1204,A36,'ثبت اطلاعات'!$CO$5:$CO$1204,1))</x:f>
        <x:v>1</x:v>
      </x:c>
      <x:c r="Q36" s="178" t="n">
        <x:f>IF(O36=0,"",MAXIFS('ثبت اطلاعات'!$CN$5:$CN$1204,'ثبت اطلاعات'!$C$5:$C$1204,A36,'ثبت اطلاعات'!$CO$5:$CO$1204,1))</x:f>
        <x:v>1</x:v>
      </x:c>
      <x:c r="R36" s="178" t="str">
        <x:f>IF(O36&lt;2,"",SUMIFS('ثبت اطلاعات'!$CL$5:$CL$1204,'ثبت اطلاعات'!$C$5:$C$1204,A36,'ثبت اطلاعات'!$CN$5:$CN$1204,Q36)-SUMIFS('ثبت اطلاعات'!$CL$5:$CL$1204,'ثبت اطلاعات'!$C$5:$C$1204,A36,'ثبت اطلاعات'!$CN$5:$CN$1204,P36))</x:f>
      </x:c>
      <x:c r="S36" s="178" t="str">
        <x:f>IF(A36="","",IF(O36=0,"فاقد ارزیابی نهایی",IF(O36=1,"داده ناکافی",IF(R36&gt;0.5,"پیشرفت",IF(R36&lt;-0.5,"افت","ثبات")))))</x:f>
        <x:v>داده ناکافی</x:v>
      </x:c>
      <x:c r="T36" s="178" t="str">
        <x:f>IF(N36="","",INDEX($E$4:$M$4,1,MATCH(MAX(E36:M36),E36:M36,0)))</x:f>
        <x:v>مهارت‌های فردی</x:v>
      </x:c>
      <x:c r="U36" s="178" t="str">
        <x:f>IF(N36="","",INDEX($E$4:$M$4,1,MATCH(MIN(E36:M36),E36:M36,0)))</x:f>
        <x:v>فرهنگی</x:v>
      </x:c>
      <x:c r="V36" s="178" t="str">
        <x:f>IF(N36="","",IF(N36&gt;=17,"عالی",IF(N36&gt;=14,"خوب",IF(N36&gt;=10,"متوسط","ضعیف"))))</x:f>
        <x:v>خوب</x:v>
      </x:c>
      <x:c r="W36" s="178" t="n">
        <x:f>IF(N36="","",RANK.EQ(N36,$N$5:$N$104,0))</x:f>
        <x:v>1</x:v>
      </x:c>
      <x:c r="X36" s="178" t="n">
        <x:f>IF(N36="","",COUNT($N$5:$N$104))</x:f>
        <x:v>100</x:v>
      </x:c>
      <x:c r="Y36" s="142" t="str">
        <x:f>IF(U36="","",IFERROR(INDEX('بانک راهکارها'!$C$5:$C$13,MATCH(U36,'بانک راهکارها'!$B$5:$B$13,0)),""))</x:f>
        <x:v>مشارکت در برنامه‌های فرهنگی، مطالعه هدایت‌شده و فعالیت گروهی پیشنهاد می‌شود.</x:v>
      </x:c>
    </x:row>
    <x:row r="37">
      <x:c r="A37" s="165" t="n">
        <x:f>IF('دانش‌آموزان'!L37="","",'دانش‌آموزان'!B37)</x:f>
        <x:v>33</x:v>
      </x:c>
      <x:c r="B37" s="233" t="str">
        <x:f>IF(A37="","",'دانش‌آموزان'!C37)</x:f>
        <x:v>4000000330</x:v>
      </x:c>
      <x:c r="C37" s="233" t="str">
        <x:f>IF(A37="","",'دانش‌آموزان'!E37&amp;" "&amp;'دانش‌آموزان'!F37)</x:f>
        <x:v>طاها رضایی</x:v>
      </x:c>
      <x:c r="D37" s="166" t="str">
        <x:f>IF(A37="","",'دانش‌آموزان'!I37)</x:f>
        <x:v>sample-7-b</x:v>
      </x:c>
      <x:c r="E37" s="141" t="n">
        <x:f>IF(A37="","",IFERROR(SUMIFS('ثبت اطلاعات'!$CC$5:$CC$1204,'ثبت اطلاعات'!$C$5:$C$1204,A37,'ثبت اطلاعات'!$CO$5:$CO$1204,1)/COUNTIFS('ثبت اطلاعات'!$C$5:$C$1204,A37,'ثبت اطلاعات'!$CO$5:$CO$1204,1),""))</x:f>
        <x:v>15.6</x:v>
      </x:c>
      <x:c r="F37" s="178" t="n">
        <x:f>IF(A37="","",IFERROR(SUMIFS('ثبت اطلاعات'!$CD$5:$CD$1204,'ثبت اطلاعات'!$C$5:$C$1204,A37,'ثبت اطلاعات'!$CO$5:$CO$1204,1)/COUNTIFS('ثبت اطلاعات'!$C$5:$C$1204,A37,'ثبت اطلاعات'!$CO$5:$CO$1204,1),""))</x:f>
        <x:v>14.8</x:v>
      </x:c>
      <x:c r="G37" s="178" t="n">
        <x:f>IF(A37="","",IFERROR(SUMIFS('ثبت اطلاعات'!$CE$5:$CE$1204,'ثبت اطلاعات'!$C$5:$C$1204,A37,'ثبت اطلاعات'!$CO$5:$CO$1204,1)/COUNTIFS('ثبت اطلاعات'!$C$5:$C$1204,A37,'ثبت اطلاعات'!$CO$5:$CO$1204,1),""))</x:f>
        <x:v>15.2</x:v>
      </x:c>
      <x:c r="H37" s="178" t="n">
        <x:f>IF(A37="","",IFERROR(SUMIFS('ثبت اطلاعات'!$CF$5:$CF$1204,'ثبت اطلاعات'!$C$5:$C$1204,A37,'ثبت اطلاعات'!$CO$5:$CO$1204,1)/COUNTIFS('ثبت اطلاعات'!$C$5:$C$1204,A37,'ثبت اطلاعات'!$CO$5:$CO$1204,1),""))</x:f>
        <x:v>15.5</x:v>
      </x:c>
      <x:c r="I37" s="178" t="n">
        <x:f>IF(A37="","",IFERROR(SUMIFS('ثبت اطلاعات'!$CG$5:$CG$1204,'ثبت اطلاعات'!$C$5:$C$1204,A37,'ثبت اطلاعات'!$CO$5:$CO$1204,1)/COUNTIFS('ثبت اطلاعات'!$C$5:$C$1204,A37,'ثبت اطلاعات'!$CO$5:$CO$1204,1),""))</x:f>
        <x:v>16</x:v>
      </x:c>
      <x:c r="J37" s="178" t="n">
        <x:f>IF(A37="","",IFERROR(SUMIFS('ثبت اطلاعات'!$CH$5:$CH$1204,'ثبت اطلاعات'!$C$5:$C$1204,A37,'ثبت اطلاعات'!$CO$5:$CO$1204,1)/COUNTIFS('ثبت اطلاعات'!$C$5:$C$1204,A37,'ثبت اطلاعات'!$CO$5:$CO$1204,1),""))</x:f>
        <x:v>14.5</x:v>
      </x:c>
      <x:c r="K37" s="178" t="n">
        <x:f>IF(A37="","",IFERROR(SUMIFS('ثبت اطلاعات'!$CI$5:$CI$1204,'ثبت اطلاعات'!$C$5:$C$1204,A37,'ثبت اطلاعات'!$CO$5:$CO$1204,1)/COUNTIFS('ثبت اطلاعات'!$C$5:$C$1204,A37,'ثبت اطلاعات'!$CO$5:$CO$1204,1),""))</x:f>
        <x:v>15.428571428571429</x:v>
      </x:c>
      <x:c r="L37" s="178" t="n">
        <x:f>IF(A37="","",IFERROR(SUMIFS('ثبت اطلاعات'!$CJ$5:$CJ$1204,'ثبت اطلاعات'!$C$5:$C$1204,A37,'ثبت اطلاعات'!$CO$5:$CO$1204,1)/COUNTIFS('ثبت اطلاعات'!$C$5:$C$1204,A37,'ثبت اطلاعات'!$CO$5:$CO$1204,1),""))</x:f>
        <x:v>16</x:v>
      </x:c>
      <x:c r="M37" s="178" t="n">
        <x:f>IF(A37="","",IFERROR(SUMIFS('ثبت اطلاعات'!$CK$5:$CK$1204,'ثبت اطلاعات'!$C$5:$C$1204,A37,'ثبت اطلاعات'!$CO$5:$CO$1204,1)/COUNTIFS('ثبت اطلاعات'!$C$5:$C$1204,A37,'ثبت اطلاعات'!$CO$5:$CO$1204,1),""))</x:f>
        <x:v>14.285714285714286</x:v>
      </x:c>
      <x:c r="N37" s="178" t="n">
        <x:f>IF(A37="","",IFERROR(SUMIFS('ثبت اطلاعات'!$CL$5:$CL$1204,'ثبت اطلاعات'!$C$5:$C$1204,A37,'ثبت اطلاعات'!$CO$5:$CO$1204,1)/COUNTIFS('ثبت اطلاعات'!$C$5:$C$1204,A37,'ثبت اطلاعات'!$CO$5:$CO$1204,1),""))</x:f>
        <x:v>15.265</x:v>
      </x:c>
      <x:c r="O37" s="178" t="n">
        <x:f>IF(A37="","",COUNTIFS('ثبت اطلاعات'!$C$5:$C$1204,A37,'ثبت اطلاعات'!$CO$5:$CO$1204,1))</x:f>
        <x:v>1</x:v>
      </x:c>
      <x:c r="P37" s="178" t="n">
        <x:f>IF(O37=0,"",MINIFS('ثبت اطلاعات'!$CN$5:$CN$1204,'ثبت اطلاعات'!$C$5:$C$1204,A37,'ثبت اطلاعات'!$CO$5:$CO$1204,1))</x:f>
        <x:v>1</x:v>
      </x:c>
      <x:c r="Q37" s="178" t="n">
        <x:f>IF(O37=0,"",MAXIFS('ثبت اطلاعات'!$CN$5:$CN$1204,'ثبت اطلاعات'!$C$5:$C$1204,A37,'ثبت اطلاعات'!$CO$5:$CO$1204,1))</x:f>
        <x:v>1</x:v>
      </x:c>
      <x:c r="R37" s="178" t="str">
        <x:f>IF(O37&lt;2,"",SUMIFS('ثبت اطلاعات'!$CL$5:$CL$1204,'ثبت اطلاعات'!$C$5:$C$1204,A37,'ثبت اطلاعات'!$CN$5:$CN$1204,Q37)-SUMIFS('ثبت اطلاعات'!$CL$5:$CL$1204,'ثبت اطلاعات'!$C$5:$C$1204,A37,'ثبت اطلاعات'!$CN$5:$CN$1204,P37))</x:f>
      </x:c>
      <x:c r="S37" s="178" t="str">
        <x:f>IF(A37="","",IF(O37=0,"فاقد ارزیابی نهایی",IF(O37=1,"داده ناکافی",IF(R37&gt;0.5,"پیشرفت",IF(R37&lt;-0.5,"افت","ثبات")))))</x:f>
        <x:v>داده ناکافی</x:v>
      </x:c>
      <x:c r="T37" s="178" t="str">
        <x:f>IF(N37="","",INDEX($E$4:$M$4,1,MATCH(MAX(E37:M37),E37:M37,0)))</x:f>
        <x:v>فرهنگی</x:v>
      </x:c>
      <x:c r="U37" s="178" t="str">
        <x:f>IF(N37="","",INDEX($E$4:$M$4,1,MATCH(MIN(E37:M37),E37:M37,0)))</x:f>
        <x:v>مهارت‌های فردی</x:v>
      </x:c>
      <x:c r="V37" s="178" t="str">
        <x:f>IF(N37="","",IF(N37&gt;=17,"عالی",IF(N37&gt;=14,"خوب",IF(N37&gt;=10,"متوسط","ضعیف"))))</x:f>
        <x:v>خوب</x:v>
      </x:c>
      <x:c r="W37" s="178" t="n">
        <x:f>IF(N37="","",RANK.EQ(N37,$N$5:$N$104,0))</x:f>
        <x:v>47</x:v>
      </x:c>
      <x:c r="X37" s="178" t="n">
        <x:f>IF(N37="","",COUNT($N$5:$N$104))</x:f>
        <x:v>100</x:v>
      </x:c>
      <x:c r="Y37" s="142" t="str">
        <x:f>IF(U37="","",IFERROR(INDEX('بانک راهکارها'!$C$5:$C$13,MATCH(U37,'بانک راهکارها'!$B$5:$B$13,0)),""))</x:f>
        <x:v>تمرین برنامه‌ریزی هفتگی، ارتباط مؤثر و کار تیمی پیشنهاد می‌شود.</x:v>
      </x:c>
    </x:row>
    <x:row r="38">
      <x:c r="A38" s="165" t="n">
        <x:f>IF('دانش‌آموزان'!L38="","",'دانش‌آموزان'!B38)</x:f>
        <x:v>34</x:v>
      </x:c>
      <x:c r="B38" s="233" t="str">
        <x:f>IF(A38="","",'دانش‌آموزان'!C38)</x:f>
        <x:v>4000000349</x:v>
      </x:c>
      <x:c r="C38" s="233" t="str">
        <x:f>IF(A38="","",'دانش‌آموزان'!E38&amp;" "&amp;'دانش‌آموزان'!F38)</x:f>
        <x:v>باران نوری</x:v>
      </x:c>
      <x:c r="D38" s="166" t="str">
        <x:f>IF(A38="","",'دانش‌آموزان'!I38)</x:f>
        <x:v>sample-7-b</x:v>
      </x:c>
      <x:c r="E38" s="141" t="n">
        <x:f>IF(A38="","",IFERROR(SUMIFS('ثبت اطلاعات'!$CC$5:$CC$1204,'ثبت اطلاعات'!$C$5:$C$1204,A38,'ثبت اطلاعات'!$CO$5:$CO$1204,1)/COUNTIFS('ثبت اطلاعات'!$C$5:$C$1204,A38,'ثبت اطلاعات'!$CO$5:$CO$1204,1),""))</x:f>
        <x:v>15.2</x:v>
      </x:c>
      <x:c r="F38" s="178" t="n">
        <x:f>IF(A38="","",IFERROR(SUMIFS('ثبت اطلاعات'!$CD$5:$CD$1204,'ثبت اطلاعات'!$C$5:$C$1204,A38,'ثبت اطلاعات'!$CO$5:$CO$1204,1)/COUNTIFS('ثبت اطلاعات'!$C$5:$C$1204,A38,'ثبت اطلاعات'!$CO$5:$CO$1204,1),""))</x:f>
        <x:v>15.6</x:v>
      </x:c>
      <x:c r="G38" s="178" t="n">
        <x:f>IF(A38="","",IFERROR(SUMIFS('ثبت اطلاعات'!$CE$5:$CE$1204,'ثبت اطلاعات'!$C$5:$C$1204,A38,'ثبت اطلاعات'!$CO$5:$CO$1204,1)/COUNTIFS('ثبت اطلاعات'!$C$5:$C$1204,A38,'ثبت اطلاعات'!$CO$5:$CO$1204,1),""))</x:f>
        <x:v>15.2</x:v>
      </x:c>
      <x:c r="H38" s="178" t="n">
        <x:f>IF(A38="","",IFERROR(SUMIFS('ثبت اطلاعات'!$CF$5:$CF$1204,'ثبت اطلاعات'!$C$5:$C$1204,A38,'ثبت اطلاعات'!$CO$5:$CO$1204,1)/COUNTIFS('ثبت اطلاعات'!$C$5:$C$1204,A38,'ثبت اطلاعات'!$CO$5:$CO$1204,1),""))</x:f>
        <x:v>15.5</x:v>
      </x:c>
      <x:c r="I38" s="178" t="n">
        <x:f>IF(A38="","",IFERROR(SUMIFS('ثبت اطلاعات'!$CG$5:$CG$1204,'ثبت اطلاعات'!$C$5:$C$1204,A38,'ثبت اطلاعات'!$CO$5:$CO$1204,1)/COUNTIFS('ثبت اطلاعات'!$C$5:$C$1204,A38,'ثبت اطلاعات'!$CO$5:$CO$1204,1),""))</x:f>
        <x:v>13.714285714285714</x:v>
      </x:c>
      <x:c r="J38" s="178" t="n">
        <x:f>IF(A38="","",IFERROR(SUMIFS('ثبت اطلاعات'!$CH$5:$CH$1204,'ثبت اطلاعات'!$C$5:$C$1204,A38,'ثبت اطلاعات'!$CO$5:$CO$1204,1)/COUNTIFS('ثبت اطلاعات'!$C$5:$C$1204,A38,'ثبت اطلاعات'!$CO$5:$CO$1204,1),""))</x:f>
        <x:v>16.5</x:v>
      </x:c>
      <x:c r="K38" s="178" t="n">
        <x:f>IF(A38="","",IFERROR(SUMIFS('ثبت اطلاعات'!$CI$5:$CI$1204,'ثبت اطلاعات'!$C$5:$C$1204,A38,'ثبت اطلاعات'!$CO$5:$CO$1204,1)/COUNTIFS('ثبت اطلاعات'!$C$5:$C$1204,A38,'ثبت اطلاعات'!$CO$5:$CO$1204,1),""))</x:f>
        <x:v>15.428571428571429</x:v>
      </x:c>
      <x:c r="L38" s="178" t="n">
        <x:f>IF(A38="","",IFERROR(SUMIFS('ثبت اطلاعات'!$CJ$5:$CJ$1204,'ثبت اطلاعات'!$C$5:$C$1204,A38,'ثبت اطلاعات'!$CO$5:$CO$1204,1)/COUNTIFS('ثبت اطلاعات'!$C$5:$C$1204,A38,'ثبت اطلاعات'!$CO$5:$CO$1204,1),""))</x:f>
        <x:v>13.714285714285714</x:v>
      </x:c>
      <x:c r="M38" s="178" t="n">
        <x:f>IF(A38="","",IFERROR(SUMIFS('ثبت اطلاعات'!$CK$5:$CK$1204,'ثبت اطلاعات'!$C$5:$C$1204,A38,'ثبت اطلاعات'!$CO$5:$CO$1204,1)/COUNTIFS('ثبت اطلاعات'!$C$5:$C$1204,A38,'ثبت اطلاعات'!$CO$5:$CO$1204,1),""))</x:f>
        <x:v>16.571428571428573</x:v>
      </x:c>
      <x:c r="N38" s="178" t="n">
        <x:f>IF(A38="","",IFERROR(SUMIFS('ثبت اطلاعات'!$CL$5:$CL$1204,'ثبت اطلاعات'!$C$5:$C$1204,A38,'ثبت اطلاعات'!$CO$5:$CO$1204,1)/COUNTIFS('ثبت اطلاعات'!$C$5:$C$1204,A38,'ثبت اطلاعات'!$CO$5:$CO$1204,1),""))</x:f>
        <x:v>15.327857142857143</x:v>
      </x:c>
      <x:c r="O38" s="178" t="n">
        <x:f>IF(A38="","",COUNTIFS('ثبت اطلاعات'!$C$5:$C$1204,A38,'ثبت اطلاعات'!$CO$5:$CO$1204,1))</x:f>
        <x:v>1</x:v>
      </x:c>
      <x:c r="P38" s="178" t="n">
        <x:f>IF(O38=0,"",MINIFS('ثبت اطلاعات'!$CN$5:$CN$1204,'ثبت اطلاعات'!$C$5:$C$1204,A38,'ثبت اطلاعات'!$CO$5:$CO$1204,1))</x:f>
        <x:v>1</x:v>
      </x:c>
      <x:c r="Q38" s="178" t="n">
        <x:f>IF(O38=0,"",MAXIFS('ثبت اطلاعات'!$CN$5:$CN$1204,'ثبت اطلاعات'!$C$5:$C$1204,A38,'ثبت اطلاعات'!$CO$5:$CO$1204,1))</x:f>
        <x:v>1</x:v>
      </x:c>
      <x:c r="R38" s="178" t="str">
        <x:f>IF(O38&lt;2,"",SUMIFS('ثبت اطلاعات'!$CL$5:$CL$1204,'ثبت اطلاعات'!$C$5:$C$1204,A38,'ثبت اطلاعات'!$CN$5:$CN$1204,Q38)-SUMIFS('ثبت اطلاعات'!$CL$5:$CL$1204,'ثبت اطلاعات'!$C$5:$C$1204,A38,'ثبت اطلاعات'!$CN$5:$CN$1204,P38))</x:f>
      </x:c>
      <x:c r="S38" s="178" t="str">
        <x:f>IF(A38="","",IF(O38=0,"فاقد ارزیابی نهایی",IF(O38=1,"داده ناکافی",IF(R38&gt;0.5,"پیشرفت",IF(R38&lt;-0.5,"افت","ثبات")))))</x:f>
        <x:v>داده ناکافی</x:v>
      </x:c>
      <x:c r="T38" s="178" t="str">
        <x:f>IF(N38="","",INDEX($E$4:$M$4,1,MATCH(MAX(E38:M38),E38:M38,0)))</x:f>
        <x:v>مهارت‌های فردی</x:v>
      </x:c>
      <x:c r="U38" s="178" t="str">
        <x:f>IF(N38="","",INDEX($E$4:$M$4,1,MATCH(MIN(E38:M38),E38:M38,0)))</x:f>
        <x:v>فرهنگی</x:v>
      </x:c>
      <x:c r="V38" s="178" t="str">
        <x:f>IF(N38="","",IF(N38&gt;=17,"عالی",IF(N38&gt;=14,"خوب",IF(N38&gt;=10,"متوسط","ضعیف"))))</x:f>
        <x:v>خوب</x:v>
      </x:c>
      <x:c r="W38" s="178" t="n">
        <x:f>IF(N38="","",RANK.EQ(N38,$N$5:$N$104,0))</x:f>
        <x:v>19</x:v>
      </x:c>
      <x:c r="X38" s="178" t="n">
        <x:f>IF(N38="","",COUNT($N$5:$N$104))</x:f>
        <x:v>100</x:v>
      </x:c>
      <x:c r="Y38" s="142" t="str">
        <x:f>IF(U38="","",IFERROR(INDEX('بانک راهکارها'!$C$5:$C$13,MATCH(U38,'بانک راهکارها'!$B$5:$B$13,0)),""))</x:f>
        <x:v>مشارکت در برنامه‌های فرهنگی، مطالعه هدایت‌شده و فعالیت گروهی پیشنهاد می‌شود.</x:v>
      </x:c>
    </x:row>
    <x:row r="39">
      <x:c r="A39" s="165" t="n">
        <x:f>IF('دانش‌آموزان'!L39="","",'دانش‌آموزان'!B39)</x:f>
        <x:v>35</x:v>
      </x:c>
      <x:c r="B39" s="233" t="str">
        <x:f>IF(A39="","",'دانش‌آموزان'!C39)</x:f>
        <x:v>4000000357</x:v>
      </x:c>
      <x:c r="C39" s="233" t="str">
        <x:f>IF(A39="","",'دانش‌آموزان'!E39&amp;" "&amp;'دانش‌آموزان'!F39)</x:f>
        <x:v>ماهان سلیمانی</x:v>
      </x:c>
      <x:c r="D39" s="166" t="str">
        <x:f>IF(A39="","",'دانش‌آموزان'!I39)</x:f>
        <x:v>sample-7-b</x:v>
      </x:c>
      <x:c r="E39" s="141" t="n">
        <x:f>IF(A39="","",IFERROR(SUMIFS('ثبت اطلاعات'!$CC$5:$CC$1204,'ثبت اطلاعات'!$C$5:$C$1204,A39,'ثبت اطلاعات'!$CO$5:$CO$1204,1)/COUNTIFS('ثبت اطلاعات'!$C$5:$C$1204,A39,'ثبت اطلاعات'!$CO$5:$CO$1204,1),""))</x:f>
        <x:v>14.8</x:v>
      </x:c>
      <x:c r="F39" s="178" t="n">
        <x:f>IF(A39="","",IFERROR(SUMIFS('ثبت اطلاعات'!$CD$5:$CD$1204,'ثبت اطلاعات'!$C$5:$C$1204,A39,'ثبت اطلاعات'!$CO$5:$CO$1204,1)/COUNTIFS('ثبت اطلاعات'!$C$5:$C$1204,A39,'ثبت اطلاعات'!$CO$5:$CO$1204,1),""))</x:f>
        <x:v>15.2</x:v>
      </x:c>
      <x:c r="G39" s="178" t="n">
        <x:f>IF(A39="","",IFERROR(SUMIFS('ثبت اطلاعات'!$CE$5:$CE$1204,'ثبت اطلاعات'!$C$5:$C$1204,A39,'ثبت اطلاعات'!$CO$5:$CO$1204,1)/COUNTIFS('ثبت اطلاعات'!$C$5:$C$1204,A39,'ثبت اطلاعات'!$CO$5:$CO$1204,1),""))</x:f>
        <x:v>14.8</x:v>
      </x:c>
      <x:c r="H39" s="178" t="n">
        <x:f>IF(A39="","",IFERROR(SUMIFS('ثبت اطلاعات'!$CF$5:$CF$1204,'ثبت اطلاعات'!$C$5:$C$1204,A39,'ثبت اطلاعات'!$CO$5:$CO$1204,1)/COUNTIFS('ثبت اطلاعات'!$C$5:$C$1204,A39,'ثبت اطلاعات'!$CO$5:$CO$1204,1),""))</x:f>
        <x:v>16</x:v>
      </x:c>
      <x:c r="I39" s="178" t="n">
        <x:f>IF(A39="","",IFERROR(SUMIFS('ثبت اطلاعات'!$CG$5:$CG$1204,'ثبت اطلاعات'!$C$5:$C$1204,A39,'ثبت اطلاعات'!$CO$5:$CO$1204,1)/COUNTIFS('ثبت اطلاعات'!$C$5:$C$1204,A39,'ثبت اطلاعات'!$CO$5:$CO$1204,1),""))</x:f>
        <x:v>15.428571428571429</x:v>
      </x:c>
      <x:c r="J39" s="178" t="n">
        <x:f>IF(A39="","",IFERROR(SUMIFS('ثبت اطلاعات'!$CH$5:$CH$1204,'ثبت اطلاعات'!$C$5:$C$1204,A39,'ثبت اطلاعات'!$CO$5:$CO$1204,1)/COUNTIFS('ثبت اطلاعات'!$C$5:$C$1204,A39,'ثبت اطلاعات'!$CO$5:$CO$1204,1),""))</x:f>
        <x:v>15</x:v>
      </x:c>
      <x:c r="K39" s="178" t="n">
        <x:f>IF(A39="","",IFERROR(SUMIFS('ثبت اطلاعات'!$CI$5:$CI$1204,'ثبت اطلاعات'!$C$5:$C$1204,A39,'ثبت اطلاعات'!$CO$5:$CO$1204,1)/COUNTIFS('ثبت اطلاعات'!$C$5:$C$1204,A39,'ثبت اطلاعات'!$CO$5:$CO$1204,1),""))</x:f>
        <x:v>15.428571428571429</x:v>
      </x:c>
      <x:c r="L39" s="178" t="n">
        <x:f>IF(A39="","",IFERROR(SUMIFS('ثبت اطلاعات'!$CJ$5:$CJ$1204,'ثبت اطلاعات'!$C$5:$C$1204,A39,'ثبت اطلاعات'!$CO$5:$CO$1204,1)/COUNTIFS('ثبت اطلاعات'!$C$5:$C$1204,A39,'ثبت اطلاعات'!$CO$5:$CO$1204,1),""))</x:f>
        <x:v>15.428571428571429</x:v>
      </x:c>
      <x:c r="M39" s="178" t="n">
        <x:f>IF(A39="","",IFERROR(SUMIFS('ثبت اطلاعات'!$CK$5:$CK$1204,'ثبت اطلاعات'!$C$5:$C$1204,A39,'ثبت اطلاعات'!$CO$5:$CO$1204,1)/COUNTIFS('ثبت اطلاعات'!$C$5:$C$1204,A39,'ثبت اطلاعات'!$CO$5:$CO$1204,1),""))</x:f>
        <x:v>14.285714285714286</x:v>
      </x:c>
      <x:c r="N39" s="178" t="n">
        <x:f>IF(A39="","",IFERROR(SUMIFS('ثبت اطلاعات'!$CL$5:$CL$1204,'ثبت اطلاعات'!$C$5:$C$1204,A39,'ثبت اطلاعات'!$CO$5:$CO$1204,1)/COUNTIFS('ثبت اطلاعات'!$C$5:$C$1204,A39,'ثبت اطلاعات'!$CO$5:$CO$1204,1),""))</x:f>
        <x:v>15.145714285714286</x:v>
      </x:c>
      <x:c r="O39" s="178" t="n">
        <x:f>IF(A39="","",COUNTIFS('ثبت اطلاعات'!$C$5:$C$1204,A39,'ثبت اطلاعات'!$CO$5:$CO$1204,1))</x:f>
        <x:v>1</x:v>
      </x:c>
      <x:c r="P39" s="178" t="n">
        <x:f>IF(O39=0,"",MINIFS('ثبت اطلاعات'!$CN$5:$CN$1204,'ثبت اطلاعات'!$C$5:$C$1204,A39,'ثبت اطلاعات'!$CO$5:$CO$1204,1))</x:f>
        <x:v>1</x:v>
      </x:c>
      <x:c r="Q39" s="178" t="n">
        <x:f>IF(O39=0,"",MAXIFS('ثبت اطلاعات'!$CN$5:$CN$1204,'ثبت اطلاعات'!$C$5:$C$1204,A39,'ثبت اطلاعات'!$CO$5:$CO$1204,1))</x:f>
        <x:v>1</x:v>
      </x:c>
      <x:c r="R39" s="178" t="str">
        <x:f>IF(O39&lt;2,"",SUMIFS('ثبت اطلاعات'!$CL$5:$CL$1204,'ثبت اطلاعات'!$C$5:$C$1204,A39,'ثبت اطلاعات'!$CN$5:$CN$1204,Q39)-SUMIFS('ثبت اطلاعات'!$CL$5:$CL$1204,'ثبت اطلاعات'!$C$5:$C$1204,A39,'ثبت اطلاعات'!$CN$5:$CN$1204,P39))</x:f>
      </x:c>
      <x:c r="S39" s="178" t="str">
        <x:f>IF(A39="","",IF(O39=0,"فاقد ارزیابی نهایی",IF(O39=1,"داده ناکافی",IF(R39&gt;0.5,"پیشرفت",IF(R39&lt;-0.5,"افت","ثبات")))))</x:f>
        <x:v>داده ناکافی</x:v>
      </x:c>
      <x:c r="T39" s="178" t="str">
        <x:f>IF(N39="","",INDEX($E$4:$M$4,1,MATCH(MAX(E39:M39),E39:M39,0)))</x:f>
        <x:v>انضباطی</x:v>
      </x:c>
      <x:c r="U39" s="178" t="str">
        <x:f>IF(N39="","",INDEX($E$4:$M$4,1,MATCH(MIN(E39:M39),E39:M39,0)))</x:f>
        <x:v>مهارت‌های فردی</x:v>
      </x:c>
      <x:c r="V39" s="178" t="str">
        <x:f>IF(N39="","",IF(N39&gt;=17,"عالی",IF(N39&gt;=14,"خوب",IF(N39&gt;=10,"متوسط","ضعیف"))))</x:f>
        <x:v>خوب</x:v>
      </x:c>
      <x:c r="W39" s="178" t="n">
        <x:f>IF(N39="","",RANK.EQ(N39,$N$5:$N$104,0))</x:f>
        <x:v>83</x:v>
      </x:c>
      <x:c r="X39" s="178" t="n">
        <x:f>IF(N39="","",COUNT($N$5:$N$104))</x:f>
        <x:v>100</x:v>
      </x:c>
      <x:c r="Y39" s="142" t="str">
        <x:f>IF(U39="","",IFERROR(INDEX('بانک راهکارها'!$C$5:$C$13,MATCH(U39,'بانک راهکارها'!$B$5:$B$13,0)),""))</x:f>
        <x:v>تمرین برنامه‌ریزی هفتگی، ارتباط مؤثر و کار تیمی پیشنهاد می‌شود.</x:v>
      </x:c>
    </x:row>
    <x:row r="40">
      <x:c r="A40" s="165" t="n">
        <x:f>IF('دانش‌آموزان'!L40="","",'دانش‌آموزان'!B40)</x:f>
        <x:v>36</x:v>
      </x:c>
      <x:c r="B40" s="233" t="str">
        <x:f>IF(A40="","",'دانش‌آموزان'!C40)</x:f>
        <x:v>4000000365</x:v>
      </x:c>
      <x:c r="C40" s="233" t="str">
        <x:f>IF(A40="","",'دانش‌آموزان'!E40&amp;" "&amp;'دانش‌آموزان'!F40)</x:f>
        <x:v>نازنین مرادی</x:v>
      </x:c>
      <x:c r="D40" s="166" t="str">
        <x:f>IF(A40="","",'دانش‌آموزان'!I40)</x:f>
        <x:v>sample-7-b</x:v>
      </x:c>
      <x:c r="E40" s="141" t="n">
        <x:f>IF(A40="","",IFERROR(SUMIFS('ثبت اطلاعات'!$CC$5:$CC$1204,'ثبت اطلاعات'!$C$5:$C$1204,A40,'ثبت اطلاعات'!$CO$5:$CO$1204,1)/COUNTIFS('ثبت اطلاعات'!$C$5:$C$1204,A40,'ثبت اطلاعات'!$CO$5:$CO$1204,1),""))</x:f>
        <x:v>15.6</x:v>
      </x:c>
      <x:c r="F40" s="178" t="n">
        <x:f>IF(A40="","",IFERROR(SUMIFS('ثبت اطلاعات'!$CD$5:$CD$1204,'ثبت اطلاعات'!$C$5:$C$1204,A40,'ثبت اطلاعات'!$CO$5:$CO$1204,1)/COUNTIFS('ثبت اطلاعات'!$C$5:$C$1204,A40,'ثبت اطلاعات'!$CO$5:$CO$1204,1),""))</x:f>
        <x:v>15.2</x:v>
      </x:c>
      <x:c r="G40" s="178" t="n">
        <x:f>IF(A40="","",IFERROR(SUMIFS('ثبت اطلاعات'!$CE$5:$CE$1204,'ثبت اطلاعات'!$C$5:$C$1204,A40,'ثبت اطلاعات'!$CO$5:$CO$1204,1)/COUNTIFS('ثبت اطلاعات'!$C$5:$C$1204,A40,'ثبت اطلاعات'!$CO$5:$CO$1204,1),""))</x:f>
        <x:v>15.6</x:v>
      </x:c>
      <x:c r="H40" s="178" t="n">
        <x:f>IF(A40="","",IFERROR(SUMIFS('ثبت اطلاعات'!$CF$5:$CF$1204,'ثبت اطلاعات'!$C$5:$C$1204,A40,'ثبت اطلاعات'!$CO$5:$CO$1204,1)/COUNTIFS('ثبت اطلاعات'!$C$5:$C$1204,A40,'ثبت اطلاعات'!$CO$5:$CO$1204,1),""))</x:f>
        <x:v>14.5</x:v>
      </x:c>
      <x:c r="I40" s="178" t="n">
        <x:f>IF(A40="","",IFERROR(SUMIFS('ثبت اطلاعات'!$CG$5:$CG$1204,'ثبت اطلاعات'!$C$5:$C$1204,A40,'ثبت اطلاعات'!$CO$5:$CO$1204,1)/COUNTIFS('ثبت اطلاعات'!$C$5:$C$1204,A40,'ثبت اطلاعات'!$CO$5:$CO$1204,1),""))</x:f>
        <x:v>15.428571428571429</x:v>
      </x:c>
      <x:c r="J40" s="178" t="n">
        <x:f>IF(A40="","",IFERROR(SUMIFS('ثبت اطلاعات'!$CH$5:$CH$1204,'ثبت اطلاعات'!$C$5:$C$1204,A40,'ثبت اطلاعات'!$CO$5:$CO$1204,1)/COUNTIFS('ثبت اطلاعات'!$C$5:$C$1204,A40,'ثبت اطلاعات'!$CO$5:$CO$1204,1),""))</x:f>
        <x:v>15.5</x:v>
      </x:c>
      <x:c r="K40" s="178" t="n">
        <x:f>IF(A40="","",IFERROR(SUMIFS('ثبت اطلاعات'!$CI$5:$CI$1204,'ثبت اطلاعات'!$C$5:$C$1204,A40,'ثبت اطلاعات'!$CO$5:$CO$1204,1)/COUNTIFS('ثبت اطلاعات'!$C$5:$C$1204,A40,'ثبت اطلاعات'!$CO$5:$CO$1204,1),""))</x:f>
        <x:v>14.857142857142858</x:v>
      </x:c>
      <x:c r="L40" s="178" t="n">
        <x:f>IF(A40="","",IFERROR(SUMIFS('ثبت اطلاعات'!$CJ$5:$CJ$1204,'ثبت اطلاعات'!$C$5:$C$1204,A40,'ثبت اطلاعات'!$CO$5:$CO$1204,1)/COUNTIFS('ثبت اطلاعات'!$C$5:$C$1204,A40,'ثبت اطلاعات'!$CO$5:$CO$1204,1),""))</x:f>
        <x:v>15.428571428571429</x:v>
      </x:c>
      <x:c r="M40" s="178" t="n">
        <x:f>IF(A40="","",IFERROR(SUMIFS('ثبت اطلاعات'!$CK$5:$CK$1204,'ثبت اطلاعات'!$C$5:$C$1204,A40,'ثبت اطلاعات'!$CO$5:$CO$1204,1)/COUNTIFS('ثبت اطلاعات'!$C$5:$C$1204,A40,'ثبت اطلاعات'!$CO$5:$CO$1204,1),""))</x:f>
        <x:v>16</x:v>
      </x:c>
      <x:c r="N40" s="178" t="n">
        <x:f>IF(A40="","",IFERROR(SUMIFS('ثبت اطلاعات'!$CL$5:$CL$1204,'ثبت اطلاعات'!$C$5:$C$1204,A40,'ثبت اطلاعات'!$CO$5:$CO$1204,1)/COUNTIFS('ثبت اطلاعات'!$C$5:$C$1204,A40,'ثبت اطلاعات'!$CO$5:$CO$1204,1),""))</x:f>
        <x:v>15.320714285714287</x:v>
      </x:c>
      <x:c r="O40" s="178" t="n">
        <x:f>IF(A40="","",COUNTIFS('ثبت اطلاعات'!$C$5:$C$1204,A40,'ثبت اطلاعات'!$CO$5:$CO$1204,1))</x:f>
        <x:v>1</x:v>
      </x:c>
      <x:c r="P40" s="178" t="n">
        <x:f>IF(O40=0,"",MINIFS('ثبت اطلاعات'!$CN$5:$CN$1204,'ثبت اطلاعات'!$C$5:$C$1204,A40,'ثبت اطلاعات'!$CO$5:$CO$1204,1))</x:f>
        <x:v>1</x:v>
      </x:c>
      <x:c r="Q40" s="178" t="n">
        <x:f>IF(O40=0,"",MAXIFS('ثبت اطلاعات'!$CN$5:$CN$1204,'ثبت اطلاعات'!$C$5:$C$1204,A40,'ثبت اطلاعات'!$CO$5:$CO$1204,1))</x:f>
        <x:v>1</x:v>
      </x:c>
      <x:c r="R40" s="178" t="str">
        <x:f>IF(O40&lt;2,"",SUMIFS('ثبت اطلاعات'!$CL$5:$CL$1204,'ثبت اطلاعات'!$C$5:$C$1204,A40,'ثبت اطلاعات'!$CN$5:$CN$1204,Q40)-SUMIFS('ثبت اطلاعات'!$CL$5:$CL$1204,'ثبت اطلاعات'!$C$5:$C$1204,A40,'ثبت اطلاعات'!$CN$5:$CN$1204,P40))</x:f>
      </x:c>
      <x:c r="S40" s="178" t="str">
        <x:f>IF(A40="","",IF(O40=0,"فاقد ارزیابی نهایی",IF(O40=1,"داده ناکافی",IF(R40&gt;0.5,"پیشرفت",IF(R40&lt;-0.5,"افت","ثبات")))))</x:f>
        <x:v>داده ناکافی</x:v>
      </x:c>
      <x:c r="T40" s="178" t="str">
        <x:f>IF(N40="","",INDEX($E$4:$M$4,1,MATCH(MAX(E40:M40),E40:M40,0)))</x:f>
        <x:v>مهارت‌های فردی</x:v>
      </x:c>
      <x:c r="U40" s="178" t="str">
        <x:f>IF(N40="","",INDEX($E$4:$M$4,1,MATCH(MIN(E40:M40),E40:M40,0)))</x:f>
        <x:v>انضباطی</x:v>
      </x:c>
      <x:c r="V40" s="178" t="str">
        <x:f>IF(N40="","",IF(N40&gt;=17,"عالی",IF(N40&gt;=14,"خوب",IF(N40&gt;=10,"متوسط","ضعیف"))))</x:f>
        <x:v>خوب</x:v>
      </x:c>
      <x:c r="W40" s="178" t="n">
        <x:f>IF(N40="","",RANK.EQ(N40,$N$5:$N$104,0))</x:f>
        <x:v>29</x:v>
      </x:c>
      <x:c r="X40" s="178" t="n">
        <x:f>IF(N40="","",COUNT($N$5:$N$104))</x:f>
        <x:v>100</x:v>
      </x:c>
      <x:c r="Y40" s="142" t="str">
        <x:f>IF(U40="","",IFERROR(INDEX('بانک راهکارها'!$C$5:$C$13,MATCH(U40,'بانک راهکارها'!$B$5:$B$13,0)),""))</x:f>
        <x:v>قواعد روشن، قرارداد رفتاری کوتاه‌مدت و ثبت منظم پیشرفت پیشنهاد می‌شود.</x:v>
      </x:c>
    </x:row>
    <x:row r="41">
      <x:c r="A41" s="165" t="n">
        <x:f>IF('دانش‌آموزان'!L41="","",'دانش‌آموزان'!B41)</x:f>
        <x:v>37</x:v>
      </x:c>
      <x:c r="B41" s="233" t="str">
        <x:f>IF(A41="","",'دانش‌آموزان'!C41)</x:f>
        <x:v>4000000373</x:v>
      </x:c>
      <x:c r="C41" s="233" t="str">
        <x:f>IF(A41="","",'دانش‌آموزان'!E41&amp;" "&amp;'دانش‌آموزان'!F41)</x:f>
        <x:v>سینا رحیمی</x:v>
      </x:c>
      <x:c r="D41" s="166" t="str">
        <x:f>IF(A41="","",'دانش‌آموزان'!I41)</x:f>
        <x:v>sample-7-b</x:v>
      </x:c>
      <x:c r="E41" s="141" t="n">
        <x:f>IF(A41="","",IFERROR(SUMIFS('ثبت اطلاعات'!$CC$5:$CC$1204,'ثبت اطلاعات'!$C$5:$C$1204,A41,'ثبت اطلاعات'!$CO$5:$CO$1204,1)/COUNTIFS('ثبت اطلاعات'!$C$5:$C$1204,A41,'ثبت اطلاعات'!$CO$5:$CO$1204,1),""))</x:f>
        <x:v>15.2</x:v>
      </x:c>
      <x:c r="F41" s="178" t="n">
        <x:f>IF(A41="","",IFERROR(SUMIFS('ثبت اطلاعات'!$CD$5:$CD$1204,'ثبت اطلاعات'!$C$5:$C$1204,A41,'ثبت اطلاعات'!$CO$5:$CO$1204,1)/COUNTIFS('ثبت اطلاعات'!$C$5:$C$1204,A41,'ثبت اطلاعات'!$CO$5:$CO$1204,1),""))</x:f>
        <x:v>14.8</x:v>
      </x:c>
      <x:c r="G41" s="178" t="n">
        <x:f>IF(A41="","",IFERROR(SUMIFS('ثبت اطلاعات'!$CE$5:$CE$1204,'ثبت اطلاعات'!$C$5:$C$1204,A41,'ثبت اطلاعات'!$CO$5:$CO$1204,1)/COUNTIFS('ثبت اطلاعات'!$C$5:$C$1204,A41,'ثبت اطلاعات'!$CO$5:$CO$1204,1),""))</x:f>
        <x:v>15.2</x:v>
      </x:c>
      <x:c r="H41" s="178" t="n">
        <x:f>IF(A41="","",IFERROR(SUMIFS('ثبت اطلاعات'!$CF$5:$CF$1204,'ثبت اطلاعات'!$C$5:$C$1204,A41,'ثبت اطلاعات'!$CO$5:$CO$1204,1)/COUNTIFS('ثبت اطلاعات'!$C$5:$C$1204,A41,'ثبت اطلاعات'!$CO$5:$CO$1204,1),""))</x:f>
        <x:v>16.5</x:v>
      </x:c>
      <x:c r="I41" s="178" t="n">
        <x:f>IF(A41="","",IFERROR(SUMIFS('ثبت اطلاعات'!$CG$5:$CG$1204,'ثبت اطلاعات'!$C$5:$C$1204,A41,'ثبت اطلاعات'!$CO$5:$CO$1204,1)/COUNTIFS('ثبت اطلاعات'!$C$5:$C$1204,A41,'ثبت اطلاعات'!$CO$5:$CO$1204,1),""))</x:f>
        <x:v>15.428571428571429</x:v>
      </x:c>
      <x:c r="J41" s="178" t="n">
        <x:f>IF(A41="","",IFERROR(SUMIFS('ثبت اطلاعات'!$CH$5:$CH$1204,'ثبت اطلاعات'!$C$5:$C$1204,A41,'ثبت اطلاعات'!$CO$5:$CO$1204,1)/COUNTIFS('ثبت اطلاعات'!$C$5:$C$1204,A41,'ثبت اطلاعات'!$CO$5:$CO$1204,1),""))</x:f>
        <x:v>14</x:v>
      </x:c>
      <x:c r="K41" s="178" t="n">
        <x:f>IF(A41="","",IFERROR(SUMIFS('ثبت اطلاعات'!$CI$5:$CI$1204,'ثبت اطلاعات'!$C$5:$C$1204,A41,'ثبت اطلاعات'!$CO$5:$CO$1204,1)/COUNTIFS('ثبت اطلاعات'!$C$5:$C$1204,A41,'ثبت اطلاعات'!$CO$5:$CO$1204,1),""))</x:f>
        <x:v>16.571428571428573</x:v>
      </x:c>
      <x:c r="L41" s="178" t="n">
        <x:f>IF(A41="","",IFERROR(SUMIFS('ثبت اطلاعات'!$CJ$5:$CJ$1204,'ثبت اطلاعات'!$C$5:$C$1204,A41,'ثبت اطلاعات'!$CO$5:$CO$1204,1)/COUNTIFS('ثبت اطلاعات'!$C$5:$C$1204,A41,'ثبت اطلاعات'!$CO$5:$CO$1204,1),""))</x:f>
        <x:v>15.428571428571429</x:v>
      </x:c>
      <x:c r="M41" s="178" t="n">
        <x:f>IF(A41="","",IFERROR(SUMIFS('ثبت اطلاعات'!$CK$5:$CK$1204,'ثبت اطلاعات'!$C$5:$C$1204,A41,'ثبت اطلاعات'!$CO$5:$CO$1204,1)/COUNTIFS('ثبت اطلاعات'!$C$5:$C$1204,A41,'ثبت اطلاعات'!$CO$5:$CO$1204,1),""))</x:f>
        <x:v>13.714285714285714</x:v>
      </x:c>
      <x:c r="N41" s="178" t="n">
        <x:f>IF(A41="","",IFERROR(SUMIFS('ثبت اطلاعات'!$CL$5:$CL$1204,'ثبت اطلاعات'!$C$5:$C$1204,A41,'ثبت اطلاعات'!$CO$5:$CO$1204,1)/COUNTIFS('ثبت اطلاعات'!$C$5:$C$1204,A41,'ثبت اطلاعات'!$CO$5:$CO$1204,1),""))</x:f>
        <x:v>15.260714285714286</x:v>
      </x:c>
      <x:c r="O41" s="178" t="n">
        <x:f>IF(A41="","",COUNTIFS('ثبت اطلاعات'!$C$5:$C$1204,A41,'ثبت اطلاعات'!$CO$5:$CO$1204,1))</x:f>
        <x:v>1</x:v>
      </x:c>
      <x:c r="P41" s="178" t="n">
        <x:f>IF(O41=0,"",MINIFS('ثبت اطلاعات'!$CN$5:$CN$1204,'ثبت اطلاعات'!$C$5:$C$1204,A41,'ثبت اطلاعات'!$CO$5:$CO$1204,1))</x:f>
        <x:v>1</x:v>
      </x:c>
      <x:c r="Q41" s="178" t="n">
        <x:f>IF(O41=0,"",MAXIFS('ثبت اطلاعات'!$CN$5:$CN$1204,'ثبت اطلاعات'!$C$5:$C$1204,A41,'ثبت اطلاعات'!$CO$5:$CO$1204,1))</x:f>
        <x:v>1</x:v>
      </x:c>
      <x:c r="R41" s="178" t="str">
        <x:f>IF(O41&lt;2,"",SUMIFS('ثبت اطلاعات'!$CL$5:$CL$1204,'ثبت اطلاعات'!$C$5:$C$1204,A41,'ثبت اطلاعات'!$CN$5:$CN$1204,Q41)-SUMIFS('ثبت اطلاعات'!$CL$5:$CL$1204,'ثبت اطلاعات'!$C$5:$C$1204,A41,'ثبت اطلاعات'!$CN$5:$CN$1204,P41))</x:f>
      </x:c>
      <x:c r="S41" s="178" t="str">
        <x:f>IF(A41="","",IF(O41=0,"فاقد ارزیابی نهایی",IF(O41=1,"داده ناکافی",IF(R41&gt;0.5,"پیشرفت",IF(R41&lt;-0.5,"افت","ثبات")))))</x:f>
        <x:v>داده ناکافی</x:v>
      </x:c>
      <x:c r="T41" s="178" t="str">
        <x:f>IF(N41="","",INDEX($E$4:$M$4,1,MATCH(MAX(E41:M41),E41:M41,0)))</x:f>
        <x:v>ورزشی</x:v>
      </x:c>
      <x:c r="U41" s="178" t="str">
        <x:f>IF(N41="","",INDEX($E$4:$M$4,1,MATCH(MIN(E41:M41),E41:M41,0)))</x:f>
        <x:v>مهارت‌های فردی</x:v>
      </x:c>
      <x:c r="V41" s="178" t="str">
        <x:f>IF(N41="","",IF(N41&gt;=17,"عالی",IF(N41&gt;=14,"خوب",IF(N41&gt;=10,"متوسط","ضعیف"))))</x:f>
        <x:v>خوب</x:v>
      </x:c>
      <x:c r="W41" s="178" t="n">
        <x:f>IF(N41="","",RANK.EQ(N41,$N$5:$N$104,0))</x:f>
        <x:v>56</x:v>
      </x:c>
      <x:c r="X41" s="178" t="n">
        <x:f>IF(N41="","",COUNT($N$5:$N$104))</x:f>
        <x:v>100</x:v>
      </x:c>
      <x:c r="Y41" s="142" t="str">
        <x:f>IF(U41="","",IFERROR(INDEX('بانک راهکارها'!$C$5:$C$13,MATCH(U41,'بانک راهکارها'!$B$5:$B$13,0)),""))</x:f>
        <x:v>تمرین برنامه‌ریزی هفتگی، ارتباط مؤثر و کار تیمی پیشنهاد می‌شود.</x:v>
      </x:c>
    </x:row>
    <x:row r="42">
      <x:c r="A42" s="165" t="n">
        <x:f>IF('دانش‌آموزان'!L42="","",'دانش‌آموزان'!B42)</x:f>
        <x:v>38</x:v>
      </x:c>
      <x:c r="B42" s="233" t="str">
        <x:f>IF(A42="","",'دانش‌آموزان'!C42)</x:f>
        <x:v>4000000381</x:v>
      </x:c>
      <x:c r="C42" s="233" t="str">
        <x:f>IF(A42="","",'دانش‌آموزان'!E42&amp;" "&amp;'دانش‌آموزان'!F42)</x:f>
        <x:v>یسنا حیدری</x:v>
      </x:c>
      <x:c r="D42" s="166" t="str">
        <x:f>IF(A42="","",'دانش‌آموزان'!I42)</x:f>
        <x:v>sample-7-b</x:v>
      </x:c>
      <x:c r="E42" s="141" t="n">
        <x:f>IF(A42="","",IFERROR(SUMIFS('ثبت اطلاعات'!$CC$5:$CC$1204,'ثبت اطلاعات'!$C$5:$C$1204,A42,'ثبت اطلاعات'!$CO$5:$CO$1204,1)/COUNTIFS('ثبت اطلاعات'!$C$5:$C$1204,A42,'ثبت اطلاعات'!$CO$5:$CO$1204,1),""))</x:f>
        <x:v>15.2</x:v>
      </x:c>
      <x:c r="F42" s="178" t="n">
        <x:f>IF(A42="","",IFERROR(SUMIFS('ثبت اطلاعات'!$CD$5:$CD$1204,'ثبت اطلاعات'!$C$5:$C$1204,A42,'ثبت اطلاعات'!$CO$5:$CO$1204,1)/COUNTIFS('ثبت اطلاعات'!$C$5:$C$1204,A42,'ثبت اطلاعات'!$CO$5:$CO$1204,1),""))</x:f>
        <x:v>15.6</x:v>
      </x:c>
      <x:c r="G42" s="178" t="n">
        <x:f>IF(A42="","",IFERROR(SUMIFS('ثبت اطلاعات'!$CE$5:$CE$1204,'ثبت اطلاعات'!$C$5:$C$1204,A42,'ثبت اطلاعات'!$CO$5:$CO$1204,1)/COUNTIFS('ثبت اطلاعات'!$C$5:$C$1204,A42,'ثبت اطلاعات'!$CO$5:$CO$1204,1),""))</x:f>
        <x:v>14.8</x:v>
      </x:c>
      <x:c r="H42" s="178" t="n">
        <x:f>IF(A42="","",IFERROR(SUMIFS('ثبت اطلاعات'!$CF$5:$CF$1204,'ثبت اطلاعات'!$C$5:$C$1204,A42,'ثبت اطلاعات'!$CO$5:$CO$1204,1)/COUNTIFS('ثبت اطلاعات'!$C$5:$C$1204,A42,'ثبت اطلاعات'!$CO$5:$CO$1204,1),""))</x:f>
        <x:v>15</x:v>
      </x:c>
      <x:c r="I42" s="178" t="n">
        <x:f>IF(A42="","",IFERROR(SUMIFS('ثبت اطلاعات'!$CG$5:$CG$1204,'ثبت اطلاعات'!$C$5:$C$1204,A42,'ثبت اطلاعات'!$CO$5:$CO$1204,1)/COUNTIFS('ثبت اطلاعات'!$C$5:$C$1204,A42,'ثبت اطلاعات'!$CO$5:$CO$1204,1),""))</x:f>
        <x:v>15.428571428571429</x:v>
      </x:c>
      <x:c r="J42" s="178" t="n">
        <x:f>IF(A42="","",IFERROR(SUMIFS('ثبت اطلاعات'!$CH$5:$CH$1204,'ثبت اطلاعات'!$C$5:$C$1204,A42,'ثبت اطلاعات'!$CO$5:$CO$1204,1)/COUNTIFS('ثبت اطلاعات'!$C$5:$C$1204,A42,'ثبت اطلاعات'!$CO$5:$CO$1204,1),""))</x:f>
        <x:v>16</x:v>
      </x:c>
      <x:c r="K42" s="178" t="n">
        <x:f>IF(A42="","",IFERROR(SUMIFS('ثبت اطلاعات'!$CI$5:$CI$1204,'ثبت اطلاعات'!$C$5:$C$1204,A42,'ثبت اطلاعات'!$CO$5:$CO$1204,1)/COUNTIFS('ثبت اطلاعات'!$C$5:$C$1204,A42,'ثبت اطلاعات'!$CO$5:$CO$1204,1),""))</x:f>
        <x:v>14.285714285714286</x:v>
      </x:c>
      <x:c r="L42" s="178" t="n">
        <x:f>IF(A42="","",IFERROR(SUMIFS('ثبت اطلاعات'!$CJ$5:$CJ$1204,'ثبت اطلاعات'!$C$5:$C$1204,A42,'ثبت اطلاعات'!$CO$5:$CO$1204,1)/COUNTIFS('ثبت اطلاعات'!$C$5:$C$1204,A42,'ثبت اطلاعات'!$CO$5:$CO$1204,1),""))</x:f>
        <x:v>15.428571428571429</x:v>
      </x:c>
      <x:c r="M42" s="178" t="n">
        <x:f>IF(A42="","",IFERROR(SUMIFS('ثبت اطلاعات'!$CK$5:$CK$1204,'ثبت اطلاعات'!$C$5:$C$1204,A42,'ثبت اطلاعات'!$CO$5:$CO$1204,1)/COUNTIFS('ثبت اطلاعات'!$C$5:$C$1204,A42,'ثبت اطلاعات'!$CO$5:$CO$1204,1),""))</x:f>
        <x:v>15.428571428571429</x:v>
      </x:c>
      <x:c r="N42" s="178" t="n">
        <x:f>IF(A42="","",IFERROR(SUMIFS('ثبت اطلاعات'!$CL$5:$CL$1204,'ثبت اطلاعات'!$C$5:$C$1204,A42,'ثبت اطلاعات'!$CO$5:$CO$1204,1)/COUNTIFS('ثبت اطلاعات'!$C$5:$C$1204,A42,'ثبت اطلاعات'!$CO$5:$CO$1204,1),""))</x:f>
        <x:v>15.215714285714286</x:v>
      </x:c>
      <x:c r="O42" s="178" t="n">
        <x:f>IF(A42="","",COUNTIFS('ثبت اطلاعات'!$C$5:$C$1204,A42,'ثبت اطلاعات'!$CO$5:$CO$1204,1))</x:f>
        <x:v>1</x:v>
      </x:c>
      <x:c r="P42" s="178" t="n">
        <x:f>IF(O42=0,"",MINIFS('ثبت اطلاعات'!$CN$5:$CN$1204,'ثبت اطلاعات'!$C$5:$C$1204,A42,'ثبت اطلاعات'!$CO$5:$CO$1204,1))</x:f>
        <x:v>1</x:v>
      </x:c>
      <x:c r="Q42" s="178" t="n">
        <x:f>IF(O42=0,"",MAXIFS('ثبت اطلاعات'!$CN$5:$CN$1204,'ثبت اطلاعات'!$C$5:$C$1204,A42,'ثبت اطلاعات'!$CO$5:$CO$1204,1))</x:f>
        <x:v>1</x:v>
      </x:c>
      <x:c r="R42" s="178" t="str">
        <x:f>IF(O42&lt;2,"",SUMIFS('ثبت اطلاعات'!$CL$5:$CL$1204,'ثبت اطلاعات'!$C$5:$C$1204,A42,'ثبت اطلاعات'!$CN$5:$CN$1204,Q42)-SUMIFS('ثبت اطلاعات'!$CL$5:$CL$1204,'ثبت اطلاعات'!$C$5:$C$1204,A42,'ثبت اطلاعات'!$CN$5:$CN$1204,P42))</x:f>
      </x:c>
      <x:c r="S42" s="178" t="str">
        <x:f>IF(A42="","",IF(O42=0,"فاقد ارزیابی نهایی",IF(O42=1,"داده ناکافی",IF(R42&gt;0.5,"پیشرفت",IF(R42&lt;-0.5,"افت","ثبات")))))</x:f>
        <x:v>داده ناکافی</x:v>
      </x:c>
      <x:c r="T42" s="178" t="str">
        <x:f>IF(N42="","",INDEX($E$4:$M$4,1,MATCH(MAX(E42:M42),E42:M42,0)))</x:f>
        <x:v>پژوهشی</x:v>
      </x:c>
      <x:c r="U42" s="178" t="str">
        <x:f>IF(N42="","",INDEX($E$4:$M$4,1,MATCH(MIN(E42:M42),E42:M42,0)))</x:f>
        <x:v>ورزشی</x:v>
      </x:c>
      <x:c r="V42" s="178" t="str">
        <x:f>IF(N42="","",IF(N42&gt;=17,"عالی",IF(N42&gt;=14,"خوب",IF(N42&gt;=10,"متوسط","ضعیف"))))</x:f>
        <x:v>خوب</x:v>
      </x:c>
      <x:c r="W42" s="178" t="n">
        <x:f>IF(N42="","",RANK.EQ(N42,$N$5:$N$104,0))</x:f>
        <x:v>65</x:v>
      </x:c>
      <x:c r="X42" s="178" t="n">
        <x:f>IF(N42="","",COUNT($N$5:$N$104))</x:f>
        <x:v>100</x:v>
      </x:c>
      <x:c r="Y42" s="142" t="str">
        <x:f>IF(U42="","",IFERROR(INDEX('بانک راهکارها'!$C$5:$C$13,MATCH(U42,'بانک راهکارها'!$B$5:$B$13,0)),""))</x:f>
        <x:v>برنامه فعالیت بدنی منظم و مشارکت در ورزش گروهی پیشنهاد می‌شود.</x:v>
      </x:c>
    </x:row>
    <x:row r="43">
      <x:c r="A43" s="165" t="n">
        <x:f>IF('دانش‌آموزان'!L43="","",'دانش‌آموزان'!B43)</x:f>
        <x:v>39</x:v>
      </x:c>
      <x:c r="B43" s="233" t="str">
        <x:f>IF(A43="","",'دانش‌آموزان'!C43)</x:f>
        <x:v>4000000391</x:v>
      </x:c>
      <x:c r="C43" s="233" t="str">
        <x:f>IF(A43="","",'دانش‌آموزان'!E43&amp;" "&amp;'دانش‌آموزان'!F43)</x:f>
        <x:v>رضا صادقی</x:v>
      </x:c>
      <x:c r="D43" s="166" t="str">
        <x:f>IF(A43="","",'دانش‌آموزان'!I43)</x:f>
        <x:v>sample-7-b</x:v>
      </x:c>
      <x:c r="E43" s="141" t="n">
        <x:f>IF(A43="","",IFERROR(SUMIFS('ثبت اطلاعات'!$CC$5:$CC$1204,'ثبت اطلاعات'!$C$5:$C$1204,A43,'ثبت اطلاعات'!$CO$5:$CO$1204,1)/COUNTIFS('ثبت اطلاعات'!$C$5:$C$1204,A43,'ثبت اطلاعات'!$CO$5:$CO$1204,1),""))</x:f>
        <x:v>14.8</x:v>
      </x:c>
      <x:c r="F43" s="178" t="n">
        <x:f>IF(A43="","",IFERROR(SUMIFS('ثبت اطلاعات'!$CD$5:$CD$1204,'ثبت اطلاعات'!$C$5:$C$1204,A43,'ثبت اطلاعات'!$CO$5:$CO$1204,1)/COUNTIFS('ثبت اطلاعات'!$C$5:$C$1204,A43,'ثبت اطلاعات'!$CO$5:$CO$1204,1),""))</x:f>
        <x:v>15.2</x:v>
      </x:c>
      <x:c r="G43" s="178" t="n">
        <x:f>IF(A43="","",IFERROR(SUMIFS('ثبت اطلاعات'!$CE$5:$CE$1204,'ثبت اطلاعات'!$C$5:$C$1204,A43,'ثبت اطلاعات'!$CO$5:$CO$1204,1)/COUNTIFS('ثبت اطلاعات'!$C$5:$C$1204,A43,'ثبت اطلاعات'!$CO$5:$CO$1204,1),""))</x:f>
        <x:v>16</x:v>
      </x:c>
      <x:c r="H43" s="178" t="n">
        <x:f>IF(A43="","",IFERROR(SUMIFS('ثبت اطلاعات'!$CF$5:$CF$1204,'ثبت اطلاعات'!$C$5:$C$1204,A43,'ثبت اطلاعات'!$CO$5:$CO$1204,1)/COUNTIFS('ثبت اطلاعات'!$C$5:$C$1204,A43,'ثبت اطلاعات'!$CO$5:$CO$1204,1),""))</x:f>
        <x:v>15.5</x:v>
      </x:c>
      <x:c r="I43" s="178" t="n">
        <x:f>IF(A43="","",IFERROR(SUMIFS('ثبت اطلاعات'!$CG$5:$CG$1204,'ثبت اطلاعات'!$C$5:$C$1204,A43,'ثبت اطلاعات'!$CO$5:$CO$1204,1)/COUNTIFS('ثبت اطلاعات'!$C$5:$C$1204,A43,'ثبت اطلاعات'!$CO$5:$CO$1204,1),""))</x:f>
        <x:v>14.857142857142858</x:v>
      </x:c>
      <x:c r="J43" s="178" t="n">
        <x:f>IF(A43="","",IFERROR(SUMIFS('ثبت اطلاعات'!$CH$5:$CH$1204,'ثبت اطلاعات'!$C$5:$C$1204,A43,'ثبت اطلاعات'!$CO$5:$CO$1204,1)/COUNTIFS('ثبت اطلاعات'!$C$5:$C$1204,A43,'ثبت اطلاعات'!$CO$5:$CO$1204,1),""))</x:f>
        <x:v>14.5</x:v>
      </x:c>
      <x:c r="K43" s="178" t="n">
        <x:f>IF(A43="","",IFERROR(SUMIFS('ثبت اطلاعات'!$CI$5:$CI$1204,'ثبت اطلاعات'!$C$5:$C$1204,A43,'ثبت اطلاعات'!$CO$5:$CO$1204,1)/COUNTIFS('ثبت اطلاعات'!$C$5:$C$1204,A43,'ثبت اطلاعات'!$CO$5:$CO$1204,1),""))</x:f>
        <x:v>16.571428571428573</x:v>
      </x:c>
      <x:c r="L43" s="178" t="n">
        <x:f>IF(A43="","",IFERROR(SUMIFS('ثبت اطلاعات'!$CJ$5:$CJ$1204,'ثبت اطلاعات'!$C$5:$C$1204,A43,'ثبت اطلاعات'!$CO$5:$CO$1204,1)/COUNTIFS('ثبت اطلاعات'!$C$5:$C$1204,A43,'ثبت اطلاعات'!$CO$5:$CO$1204,1),""))</x:f>
        <x:v>14.857142857142858</x:v>
      </x:c>
      <x:c r="M43" s="178" t="n">
        <x:f>IF(A43="","",IFERROR(SUMIFS('ثبت اطلاعات'!$CK$5:$CK$1204,'ثبت اطلاعات'!$C$5:$C$1204,A43,'ثبت اطلاعات'!$CO$5:$CO$1204,1)/COUNTIFS('ثبت اطلاعات'!$C$5:$C$1204,A43,'ثبت اطلاعات'!$CO$5:$CO$1204,1),""))</x:f>
        <x:v>15.428571428571429</x:v>
      </x:c>
      <x:c r="N43" s="178" t="n">
        <x:f>IF(A43="","",IFERROR(SUMIFS('ثبت اطلاعات'!$CL$5:$CL$1204,'ثبت اطلاعات'!$C$5:$C$1204,A43,'ثبت اطلاعات'!$CO$5:$CO$1204,1)/COUNTIFS('ثبت اطلاعات'!$C$5:$C$1204,A43,'ثبت اطلاعات'!$CO$5:$CO$1204,1),""))</x:f>
        <x:v>15.29642857142857</x:v>
      </x:c>
      <x:c r="O43" s="178" t="n">
        <x:f>IF(A43="","",COUNTIFS('ثبت اطلاعات'!$C$5:$C$1204,A43,'ثبت اطلاعات'!$CO$5:$CO$1204,1))</x:f>
        <x:v>1</x:v>
      </x:c>
      <x:c r="P43" s="178" t="n">
        <x:f>IF(O43=0,"",MINIFS('ثبت اطلاعات'!$CN$5:$CN$1204,'ثبت اطلاعات'!$C$5:$C$1204,A43,'ثبت اطلاعات'!$CO$5:$CO$1204,1))</x:f>
        <x:v>1</x:v>
      </x:c>
      <x:c r="Q43" s="178" t="n">
        <x:f>IF(O43=0,"",MAXIFS('ثبت اطلاعات'!$CN$5:$CN$1204,'ثبت اطلاعات'!$C$5:$C$1204,A43,'ثبت اطلاعات'!$CO$5:$CO$1204,1))</x:f>
        <x:v>1</x:v>
      </x:c>
      <x:c r="R43" s="178" t="str">
        <x:f>IF(O43&lt;2,"",SUMIFS('ثبت اطلاعات'!$CL$5:$CL$1204,'ثبت اطلاعات'!$C$5:$C$1204,A43,'ثبت اطلاعات'!$CN$5:$CN$1204,Q43)-SUMIFS('ثبت اطلاعات'!$CL$5:$CL$1204,'ثبت اطلاعات'!$C$5:$C$1204,A43,'ثبت اطلاعات'!$CN$5:$CN$1204,P43))</x:f>
      </x:c>
      <x:c r="S43" s="178" t="str">
        <x:f>IF(A43="","",IF(O43=0,"فاقد ارزیابی نهایی",IF(O43=1,"داده ناکافی",IF(R43&gt;0.5,"پیشرفت",IF(R43&lt;-0.5,"افت","ثبات")))))</x:f>
        <x:v>داده ناکافی</x:v>
      </x:c>
      <x:c r="T43" s="178" t="str">
        <x:f>IF(N43="","",INDEX($E$4:$M$4,1,MATCH(MAX(E43:M43),E43:M43,0)))</x:f>
        <x:v>ورزشی</x:v>
      </x:c>
      <x:c r="U43" s="178" t="str">
        <x:f>IF(N43="","",INDEX($E$4:$M$4,1,MATCH(MIN(E43:M43),E43:M43,0)))</x:f>
        <x:v>پژوهشی</x:v>
      </x:c>
      <x:c r="V43" s="178" t="str">
        <x:f>IF(N43="","",IF(N43&gt;=17,"عالی",IF(N43&gt;=14,"خوب",IF(N43&gt;=10,"متوسط","ضعیف"))))</x:f>
        <x:v>خوب</x:v>
      </x:c>
      <x:c r="W43" s="178" t="n">
        <x:f>IF(N43="","",RANK.EQ(N43,$N$5:$N$104,0))</x:f>
        <x:v>38</x:v>
      </x:c>
      <x:c r="X43" s="178" t="n">
        <x:f>IF(N43="","",COUNT($N$5:$N$104))</x:f>
        <x:v>100</x:v>
      </x:c>
      <x:c r="Y43" s="142" t="str">
        <x:f>IF(U43="","",IFERROR(INDEX('بانک راهکارها'!$C$5:$C$13,MATCH(U43,'بانک راهکارها'!$B$5:$B$13,0)),""))</x:f>
        <x:v>یک پروژه کوچک پژوهشی با منابع مشخص و ارائه کوتاه پیشنهاد می‌شود.</x:v>
      </x:c>
    </x:row>
    <x:row r="44">
      <x:c r="A44" s="165" t="n">
        <x:f>IF('دانش‌آموزان'!L44="","",'دانش‌آموزان'!B44)</x:f>
        <x:v>40</x:v>
      </x:c>
      <x:c r="B44" s="233" t="str">
        <x:f>IF(A44="","",'دانش‌آموزان'!C44)</x:f>
        <x:v>4000000403</x:v>
      </x:c>
      <x:c r="C44" s="233" t="str">
        <x:f>IF(A44="","",'دانش‌آموزان'!E44&amp;" "&amp;'دانش‌آموزان'!F44)</x:f>
        <x:v>آوا کاظمی</x:v>
      </x:c>
      <x:c r="D44" s="166" t="str">
        <x:f>IF(A44="","",'دانش‌آموزان'!I44)</x:f>
        <x:v>sample-7-b</x:v>
      </x:c>
      <x:c r="E44" s="141" t="n">
        <x:f>IF(A44="","",IFERROR(SUMIFS('ثبت اطلاعات'!$CC$5:$CC$1204,'ثبت اطلاعات'!$C$5:$C$1204,A44,'ثبت اطلاعات'!$CO$5:$CO$1204,1)/COUNTIFS('ثبت اطلاعات'!$C$5:$C$1204,A44,'ثبت اطلاعات'!$CO$5:$CO$1204,1),""))</x:f>
        <x:v>15.6</x:v>
      </x:c>
      <x:c r="F44" s="178" t="n">
        <x:f>IF(A44="","",IFERROR(SUMIFS('ثبت اطلاعات'!$CD$5:$CD$1204,'ثبت اطلاعات'!$C$5:$C$1204,A44,'ثبت اطلاعات'!$CO$5:$CO$1204,1)/COUNTIFS('ثبت اطلاعات'!$C$5:$C$1204,A44,'ثبت اطلاعات'!$CO$5:$CO$1204,1),""))</x:f>
        <x:v>14.8</x:v>
      </x:c>
      <x:c r="G44" s="178" t="n">
        <x:f>IF(A44="","",IFERROR(SUMIFS('ثبت اطلاعات'!$CE$5:$CE$1204,'ثبت اطلاعات'!$C$5:$C$1204,A44,'ثبت اطلاعات'!$CO$5:$CO$1204,1)/COUNTIFS('ثبت اطلاعات'!$C$5:$C$1204,A44,'ثبت اطلاعات'!$CO$5:$CO$1204,1),""))</x:f>
        <x:v>15.6</x:v>
      </x:c>
      <x:c r="H44" s="178" t="n">
        <x:f>IF(A44="","",IFERROR(SUMIFS('ثبت اطلاعات'!$CF$5:$CF$1204,'ثبت اطلاعات'!$C$5:$C$1204,A44,'ثبت اطلاعات'!$CO$5:$CO$1204,1)/COUNTIFS('ثبت اطلاعات'!$C$5:$C$1204,A44,'ثبت اطلاعات'!$CO$5:$CO$1204,1),""))</x:f>
        <x:v>14</x:v>
      </x:c>
      <x:c r="I44" s="178" t="n">
        <x:f>IF(A44="","",IFERROR(SUMIFS('ثبت اطلاعات'!$CG$5:$CG$1204,'ثبت اطلاعات'!$C$5:$C$1204,A44,'ثبت اطلاعات'!$CO$5:$CO$1204,1)/COUNTIFS('ثبت اطلاعات'!$C$5:$C$1204,A44,'ثبت اطلاعات'!$CO$5:$CO$1204,1),""))</x:f>
        <x:v>16.571428571428573</x:v>
      </x:c>
      <x:c r="J44" s="178" t="n">
        <x:f>IF(A44="","",IFERROR(SUMIFS('ثبت اطلاعات'!$CH$5:$CH$1204,'ثبت اطلاعات'!$C$5:$C$1204,A44,'ثبت اطلاعات'!$CO$5:$CO$1204,1)/COUNTIFS('ثبت اطلاعات'!$C$5:$C$1204,A44,'ثبت اطلاعات'!$CO$5:$CO$1204,1),""))</x:f>
        <x:v>15</x:v>
      </x:c>
      <x:c r="K44" s="178" t="n">
        <x:f>IF(A44="","",IFERROR(SUMIFS('ثبت اطلاعات'!$CI$5:$CI$1204,'ثبت اطلاعات'!$C$5:$C$1204,A44,'ثبت اطلاعات'!$CO$5:$CO$1204,1)/COUNTIFS('ثبت اطلاعات'!$C$5:$C$1204,A44,'ثبت اطلاعات'!$CO$5:$CO$1204,1),""))</x:f>
        <x:v>14.285714285714286</x:v>
      </x:c>
      <x:c r="L44" s="178" t="n">
        <x:f>IF(A44="","",IFERROR(SUMIFS('ثبت اطلاعات'!$CJ$5:$CJ$1204,'ثبت اطلاعات'!$C$5:$C$1204,A44,'ثبت اطلاعات'!$CO$5:$CO$1204,1)/COUNTIFS('ثبت اطلاعات'!$C$5:$C$1204,A44,'ثبت اطلاعات'!$CO$5:$CO$1204,1),""))</x:f>
        <x:v>16.571428571428573</x:v>
      </x:c>
      <x:c r="M44" s="178" t="n">
        <x:f>IF(A44="","",IFERROR(SUMIFS('ثبت اطلاعات'!$CK$5:$CK$1204,'ثبت اطلاعات'!$C$5:$C$1204,A44,'ثبت اطلاعات'!$CO$5:$CO$1204,1)/COUNTIFS('ثبت اطلاعات'!$C$5:$C$1204,A44,'ثبت اطلاعات'!$CO$5:$CO$1204,1),""))</x:f>
        <x:v>15.428571428571429</x:v>
      </x:c>
      <x:c r="N44" s="178" t="n">
        <x:f>IF(A44="","",IFERROR(SUMIFS('ثبت اطلاعات'!$CL$5:$CL$1204,'ثبت اطلاعات'!$C$5:$C$1204,A44,'ثبت اطلاعات'!$CO$5:$CO$1204,1)/COUNTIFS('ثبت اطلاعات'!$C$5:$C$1204,A44,'ثبت اطلاعات'!$CO$5:$CO$1204,1),""))</x:f>
        <x:v>15.214285714285715</x:v>
      </x:c>
      <x:c r="O44" s="178" t="n">
        <x:f>IF(A44="","",COUNTIFS('ثبت اطلاعات'!$C$5:$C$1204,A44,'ثبت اطلاعات'!$CO$5:$CO$1204,1))</x:f>
        <x:v>1</x:v>
      </x:c>
      <x:c r="P44" s="178" t="n">
        <x:f>IF(O44=0,"",MINIFS('ثبت اطلاعات'!$CN$5:$CN$1204,'ثبت اطلاعات'!$C$5:$C$1204,A44,'ثبت اطلاعات'!$CO$5:$CO$1204,1))</x:f>
        <x:v>1</x:v>
      </x:c>
      <x:c r="Q44" s="178" t="n">
        <x:f>IF(O44=0,"",MAXIFS('ثبت اطلاعات'!$CN$5:$CN$1204,'ثبت اطلاعات'!$C$5:$C$1204,A44,'ثبت اطلاعات'!$CO$5:$CO$1204,1))</x:f>
        <x:v>1</x:v>
      </x:c>
      <x:c r="R44" s="178" t="str">
        <x:f>IF(O44&lt;2,"",SUMIFS('ثبت اطلاعات'!$CL$5:$CL$1204,'ثبت اطلاعات'!$C$5:$C$1204,A44,'ثبت اطلاعات'!$CN$5:$CN$1204,Q44)-SUMIFS('ثبت اطلاعات'!$CL$5:$CL$1204,'ثبت اطلاعات'!$C$5:$C$1204,A44,'ثبت اطلاعات'!$CN$5:$CN$1204,P44))</x:f>
      </x:c>
      <x:c r="S44" s="178" t="str">
        <x:f>IF(A44="","",IF(O44=0,"فاقد ارزیابی نهایی",IF(O44=1,"داده ناکافی",IF(R44&gt;0.5,"پیشرفت",IF(R44&lt;-0.5,"افت","ثبات")))))</x:f>
        <x:v>داده ناکافی</x:v>
      </x:c>
      <x:c r="T44" s="178" t="str">
        <x:f>IF(N44="","",INDEX($E$4:$M$4,1,MATCH(MAX(E44:M44),E44:M44,0)))</x:f>
        <x:v>فرهنگی</x:v>
      </x:c>
      <x:c r="U44" s="178" t="str">
        <x:f>IF(N44="","",INDEX($E$4:$M$4,1,MATCH(MIN(E44:M44),E44:M44,0)))</x:f>
        <x:v>انضباطی</x:v>
      </x:c>
      <x:c r="V44" s="178" t="str">
        <x:f>IF(N44="","",IF(N44&gt;=17,"عالی",IF(N44&gt;=14,"خوب",IF(N44&gt;=10,"متوسط","ضعیف"))))</x:f>
        <x:v>خوب</x:v>
      </x:c>
      <x:c r="W44" s="178" t="n">
        <x:f>IF(N44="","",RANK.EQ(N44,$N$5:$N$104,0))</x:f>
        <x:v>74</x:v>
      </x:c>
      <x:c r="X44" s="178" t="n">
        <x:f>IF(N44="","",COUNT($N$5:$N$104))</x:f>
        <x:v>100</x:v>
      </x:c>
      <x:c r="Y44" s="142" t="str">
        <x:f>IF(U44="","",IFERROR(INDEX('بانک راهکارها'!$C$5:$C$13,MATCH(U44,'بانک راهکارها'!$B$5:$B$13,0)),""))</x:f>
        <x:v>قواعد روشن، قرارداد رفتاری کوتاه‌مدت و ثبت منظم پیشرفت پیشنهاد می‌شود.</x:v>
      </x:c>
    </x:row>
    <x:row r="45">
      <x:c r="A45" s="165" t="n">
        <x:f>IF('دانش‌آموزان'!L45="","",'دانش‌آموزان'!B45)</x:f>
        <x:v>41</x:v>
      </x:c>
      <x:c r="B45" s="233" t="str">
        <x:f>IF(A45="","",'دانش‌آموزان'!C45)</x:f>
        <x:v>4000000411</x:v>
      </x:c>
      <x:c r="C45" s="233" t="str">
        <x:f>IF(A45="","",'دانش‌آموزان'!E45&amp;" "&amp;'دانش‌آموزان'!F45)</x:f>
        <x:v>علی احمدی</x:v>
      </x:c>
      <x:c r="D45" s="166" t="str">
        <x:f>IF(A45="","",'دانش‌آموزان'!I45)</x:f>
        <x:v>sample-7-b</x:v>
      </x:c>
      <x:c r="E45" s="141" t="n">
        <x:f>IF(A45="","",IFERROR(SUMIFS('ثبت اطلاعات'!$CC$5:$CC$1204,'ثبت اطلاعات'!$C$5:$C$1204,A45,'ثبت اطلاعات'!$CO$5:$CO$1204,1)/COUNTIFS('ثبت اطلاعات'!$C$5:$C$1204,A45,'ثبت اطلاعات'!$CO$5:$CO$1204,1),""))</x:f>
        <x:v>15.2</x:v>
      </x:c>
      <x:c r="F45" s="178" t="n">
        <x:f>IF(A45="","",IFERROR(SUMIFS('ثبت اطلاعات'!$CD$5:$CD$1204,'ثبت اطلاعات'!$C$5:$C$1204,A45,'ثبت اطلاعات'!$CO$5:$CO$1204,1)/COUNTIFS('ثبت اطلاعات'!$C$5:$C$1204,A45,'ثبت اطلاعات'!$CO$5:$CO$1204,1),""))</x:f>
        <x:v>16</x:v>
      </x:c>
      <x:c r="G45" s="178" t="n">
        <x:f>IF(A45="","",IFERROR(SUMIFS('ثبت اطلاعات'!$CE$5:$CE$1204,'ثبت اطلاعات'!$C$5:$C$1204,A45,'ثبت اطلاعات'!$CO$5:$CO$1204,1)/COUNTIFS('ثبت اطلاعات'!$C$5:$C$1204,A45,'ثبت اطلاعات'!$CO$5:$CO$1204,1),""))</x:f>
        <x:v>15.2</x:v>
      </x:c>
      <x:c r="H45" s="178" t="n">
        <x:f>IF(A45="","",IFERROR(SUMIFS('ثبت اطلاعات'!$CF$5:$CF$1204,'ثبت اطلاعات'!$C$5:$C$1204,A45,'ثبت اطلاعات'!$CO$5:$CO$1204,1)/COUNTIFS('ثبت اطلاعات'!$C$5:$C$1204,A45,'ثبت اطلاعات'!$CO$5:$CO$1204,1),""))</x:f>
        <x:v>16</x:v>
      </x:c>
      <x:c r="I45" s="178" t="n">
        <x:f>IF(A45="","",IFERROR(SUMIFS('ثبت اطلاعات'!$CG$5:$CG$1204,'ثبت اطلاعات'!$C$5:$C$1204,A45,'ثبت اطلاعات'!$CO$5:$CO$1204,1)/COUNTIFS('ثبت اطلاعات'!$C$5:$C$1204,A45,'ثبت اطلاعات'!$CO$5:$CO$1204,1),""))</x:f>
        <x:v>14.285714285714286</x:v>
      </x:c>
      <x:c r="J45" s="178" t="n">
        <x:f>IF(A45="","",IFERROR(SUMIFS('ثبت اطلاعات'!$CH$5:$CH$1204,'ثبت اطلاعات'!$C$5:$C$1204,A45,'ثبت اطلاعات'!$CO$5:$CO$1204,1)/COUNTIFS('ثبت اطلاعات'!$C$5:$C$1204,A45,'ثبت اطلاعات'!$CO$5:$CO$1204,1),""))</x:f>
        <x:v>15.5</x:v>
      </x:c>
      <x:c r="K45" s="178" t="n">
        <x:f>IF(A45="","",IFERROR(SUMIFS('ثبت اطلاعات'!$CI$5:$CI$1204,'ثبت اطلاعات'!$C$5:$C$1204,A45,'ثبت اطلاعات'!$CO$5:$CO$1204,1)/COUNTIFS('ثبت اطلاعات'!$C$5:$C$1204,A45,'ثبت اطلاعات'!$CO$5:$CO$1204,1),""))</x:f>
        <x:v>16</x:v>
      </x:c>
      <x:c r="L45" s="178" t="n">
        <x:f>IF(A45="","",IFERROR(SUMIFS('ثبت اطلاعات'!$CJ$5:$CJ$1204,'ثبت اطلاعات'!$C$5:$C$1204,A45,'ثبت اطلاعات'!$CO$5:$CO$1204,1)/COUNTIFS('ثبت اطلاعات'!$C$5:$C$1204,A45,'ثبت اطلاعات'!$CO$5:$CO$1204,1),""))</x:f>
        <x:v>14.285714285714286</x:v>
      </x:c>
      <x:c r="M45" s="178" t="n">
        <x:f>IF(A45="","",IFERROR(SUMIFS('ثبت اطلاعات'!$CK$5:$CK$1204,'ثبت اطلاعات'!$C$5:$C$1204,A45,'ثبت اطلاعات'!$CO$5:$CO$1204,1)/COUNTIFS('ثبت اطلاعات'!$C$5:$C$1204,A45,'ثبت اطلاعات'!$CO$5:$CO$1204,1),""))</x:f>
        <x:v>15.428571428571429</x:v>
      </x:c>
      <x:c r="N45" s="178" t="n">
        <x:f>IF(A45="","",IFERROR(SUMIFS('ثبت اطلاعات'!$CL$5:$CL$1204,'ثبت اطلاعات'!$C$5:$C$1204,A45,'ثبت اطلاعات'!$CO$5:$CO$1204,1)/COUNTIFS('ثبت اطلاعات'!$C$5:$C$1204,A45,'ثبت اطلاعات'!$CO$5:$CO$1204,1),""))</x:f>
        <x:v>15.417142857142858</x:v>
      </x:c>
      <x:c r="O45" s="178" t="n">
        <x:f>IF(A45="","",COUNTIFS('ثبت اطلاعات'!$C$5:$C$1204,A45,'ثبت اطلاعات'!$CO$5:$CO$1204,1))</x:f>
        <x:v>1</x:v>
      </x:c>
      <x:c r="P45" s="178" t="n">
        <x:f>IF(O45=0,"",MINIFS('ثبت اطلاعات'!$CN$5:$CN$1204,'ثبت اطلاعات'!$C$5:$C$1204,A45,'ثبت اطلاعات'!$CO$5:$CO$1204,1))</x:f>
        <x:v>1</x:v>
      </x:c>
      <x:c r="Q45" s="178" t="n">
        <x:f>IF(O45=0,"",MAXIFS('ثبت اطلاعات'!$CN$5:$CN$1204,'ثبت اطلاعات'!$C$5:$C$1204,A45,'ثبت اطلاعات'!$CO$5:$CO$1204,1))</x:f>
        <x:v>1</x:v>
      </x:c>
      <x:c r="R45" s="178" t="str">
        <x:f>IF(O45&lt;2,"",SUMIFS('ثبت اطلاعات'!$CL$5:$CL$1204,'ثبت اطلاعات'!$C$5:$C$1204,A45,'ثبت اطلاعات'!$CN$5:$CN$1204,Q45)-SUMIFS('ثبت اطلاعات'!$CL$5:$CL$1204,'ثبت اطلاعات'!$C$5:$C$1204,A45,'ثبت اطلاعات'!$CN$5:$CN$1204,P45))</x:f>
      </x:c>
      <x:c r="S45" s="178" t="str">
        <x:f>IF(A45="","",IF(O45=0,"فاقد ارزیابی نهایی",IF(O45=1,"داده ناکافی",IF(R45&gt;0.5,"پیشرفت",IF(R45&lt;-0.5,"افت","ثبات")))))</x:f>
        <x:v>داده ناکافی</x:v>
      </x:c>
      <x:c r="T45" s="178" t="str">
        <x:f>IF(N45="","",INDEX($E$4:$M$4,1,MATCH(MAX(E45:M45),E45:M45,0)))</x:f>
        <x:v>پرورشی</x:v>
      </x:c>
      <x:c r="U45" s="178" t="str">
        <x:f>IF(N45="","",INDEX($E$4:$M$4,1,MATCH(MIN(E45:M45),E45:M45,0)))</x:f>
        <x:v>فرهنگی</x:v>
      </x:c>
      <x:c r="V45" s="178" t="str">
        <x:f>IF(N45="","",IF(N45&gt;=17,"عالی",IF(N45&gt;=14,"خوب",IF(N45&gt;=10,"متوسط","ضعیف"))))</x:f>
        <x:v>خوب</x:v>
      </x:c>
      <x:c r="W45" s="178" t="n">
        <x:f>IF(N45="","",RANK.EQ(N45,$N$5:$N$104,0))</x:f>
        <x:v>10</x:v>
      </x:c>
      <x:c r="X45" s="178" t="n">
        <x:f>IF(N45="","",COUNT($N$5:$N$104))</x:f>
        <x:v>100</x:v>
      </x:c>
      <x:c r="Y45" s="142" t="str">
        <x:f>IF(U45="","",IFERROR(INDEX('بانک راهکارها'!$C$5:$C$13,MATCH(U45,'بانک راهکارها'!$B$5:$B$13,0)),""))</x:f>
        <x:v>مشارکت در برنامه‌های فرهنگی، مطالعه هدایت‌شده و فعالیت گروهی پیشنهاد می‌شود.</x:v>
      </x:c>
    </x:row>
    <x:row r="46">
      <x:c r="A46" s="165" t="n">
        <x:f>IF('دانش‌آموزان'!L46="","",'دانش‌آموزان'!B46)</x:f>
        <x:v>42</x:v>
      </x:c>
      <x:c r="B46" s="233" t="str">
        <x:f>IF(A46="","",'دانش‌آموزان'!C46)</x:f>
        <x:v>4000000421</x:v>
      </x:c>
      <x:c r="C46" s="233" t="str">
        <x:f>IF(A46="","",'دانش‌آموزان'!E46&amp;" "&amp;'دانش‌آموزان'!F46)</x:f>
        <x:v>فاطمه اکبری</x:v>
      </x:c>
      <x:c r="D46" s="166" t="str">
        <x:f>IF(A46="","",'دانش‌آموزان'!I46)</x:f>
        <x:v>sample-7-b</x:v>
      </x:c>
      <x:c r="E46" s="141" t="n">
        <x:f>IF(A46="","",IFERROR(SUMIFS('ثبت اطلاعات'!$CC$5:$CC$1204,'ثبت اطلاعات'!$C$5:$C$1204,A46,'ثبت اطلاعات'!$CO$5:$CO$1204,1)/COUNTIFS('ثبت اطلاعات'!$C$5:$C$1204,A46,'ثبت اطلاعات'!$CO$5:$CO$1204,1),""))</x:f>
        <x:v>14.8</x:v>
      </x:c>
      <x:c r="F46" s="178" t="n">
        <x:f>IF(A46="","",IFERROR(SUMIFS('ثبت اطلاعات'!$CD$5:$CD$1204,'ثبت اطلاعات'!$C$5:$C$1204,A46,'ثبت اطلاعات'!$CO$5:$CO$1204,1)/COUNTIFS('ثبت اطلاعات'!$C$5:$C$1204,A46,'ثبت اطلاعات'!$CO$5:$CO$1204,1),""))</x:f>
        <x:v>15.6</x:v>
      </x:c>
      <x:c r="G46" s="178" t="n">
        <x:f>IF(A46="","",IFERROR(SUMIFS('ثبت اطلاعات'!$CE$5:$CE$1204,'ثبت اطلاعات'!$C$5:$C$1204,A46,'ثبت اطلاعات'!$CO$5:$CO$1204,1)/COUNTIFS('ثبت اطلاعات'!$C$5:$C$1204,A46,'ثبت اطلاعات'!$CO$5:$CO$1204,1),""))</x:f>
        <x:v>14.8</x:v>
      </x:c>
      <x:c r="H46" s="178" t="n">
        <x:f>IF(A46="","",IFERROR(SUMIFS('ثبت اطلاعات'!$CF$5:$CF$1204,'ثبت اطلاعات'!$C$5:$C$1204,A46,'ثبت اطلاعات'!$CO$5:$CO$1204,1)/COUNTIFS('ثبت اطلاعات'!$C$5:$C$1204,A46,'ثبت اطلاعات'!$CO$5:$CO$1204,1),""))</x:f>
        <x:v>14.5</x:v>
      </x:c>
      <x:c r="I46" s="178" t="n">
        <x:f>IF(A46="","",IFERROR(SUMIFS('ثبت اطلاعات'!$CG$5:$CG$1204,'ثبت اطلاعات'!$C$5:$C$1204,A46,'ثبت اطلاعات'!$CO$5:$CO$1204,1)/COUNTIFS('ثبت اطلاعات'!$C$5:$C$1204,A46,'ثبت اطلاعات'!$CO$5:$CO$1204,1),""))</x:f>
        <x:v>16.571428571428573</x:v>
      </x:c>
      <x:c r="J46" s="178" t="n">
        <x:f>IF(A46="","",IFERROR(SUMIFS('ثبت اطلاعات'!$CH$5:$CH$1204,'ثبت اطلاعات'!$C$5:$C$1204,A46,'ثبت اطلاعات'!$CO$5:$CO$1204,1)/COUNTIFS('ثبت اطلاعات'!$C$5:$C$1204,A46,'ثبت اطلاعات'!$CO$5:$CO$1204,1),""))</x:f>
        <x:v>15.5</x:v>
      </x:c>
      <x:c r="K46" s="178" t="n">
        <x:f>IF(A46="","",IFERROR(SUMIFS('ثبت اطلاعات'!$CI$5:$CI$1204,'ثبت اطلاعات'!$C$5:$C$1204,A46,'ثبت اطلاعات'!$CO$5:$CO$1204,1)/COUNTIFS('ثبت اطلاعات'!$C$5:$C$1204,A46,'ثبت اطلاعات'!$CO$5:$CO$1204,1),""))</x:f>
        <x:v>13.714285714285714</x:v>
      </x:c>
      <x:c r="L46" s="178" t="n">
        <x:f>IF(A46="","",IFERROR(SUMIFS('ثبت اطلاعات'!$CJ$5:$CJ$1204,'ثبت اطلاعات'!$C$5:$C$1204,A46,'ثبت اطلاعات'!$CO$5:$CO$1204,1)/COUNTIFS('ثبت اطلاعات'!$C$5:$C$1204,A46,'ثبت اطلاعات'!$CO$5:$CO$1204,1),""))</x:f>
        <x:v>16.571428571428573</x:v>
      </x:c>
      <x:c r="M46" s="178" t="n">
        <x:f>IF(A46="","",IFERROR(SUMIFS('ثبت اطلاعات'!$CK$5:$CK$1204,'ثبت اطلاعات'!$C$5:$C$1204,A46,'ثبت اطلاعات'!$CO$5:$CO$1204,1)/COUNTIFS('ثبت اطلاعات'!$C$5:$C$1204,A46,'ثبت اطلاعات'!$CO$5:$CO$1204,1),""))</x:f>
        <x:v>14.857142857142858</x:v>
      </x:c>
      <x:c r="N46" s="178" t="n">
        <x:f>IF(A46="","",IFERROR(SUMIFS('ثبت اطلاعات'!$CL$5:$CL$1204,'ثبت اطلاعات'!$C$5:$C$1204,A46,'ثبت اطلاعات'!$CO$5:$CO$1204,1)/COUNTIFS('ثبت اطلاعات'!$C$5:$C$1204,A46,'ثبت اطلاعات'!$CO$5:$CO$1204,1),""))</x:f>
        <x:v>15.089285714285715</x:v>
      </x:c>
      <x:c r="O46" s="178" t="n">
        <x:f>IF(A46="","",COUNTIFS('ثبت اطلاعات'!$C$5:$C$1204,A46,'ثبت اطلاعات'!$CO$5:$CO$1204,1))</x:f>
        <x:v>1</x:v>
      </x:c>
      <x:c r="P46" s="178" t="n">
        <x:f>IF(O46=0,"",MINIFS('ثبت اطلاعات'!$CN$5:$CN$1204,'ثبت اطلاعات'!$C$5:$C$1204,A46,'ثبت اطلاعات'!$CO$5:$CO$1204,1))</x:f>
        <x:v>1</x:v>
      </x:c>
      <x:c r="Q46" s="178" t="n">
        <x:f>IF(O46=0,"",MAXIFS('ثبت اطلاعات'!$CN$5:$CN$1204,'ثبت اطلاعات'!$C$5:$C$1204,A46,'ثبت اطلاعات'!$CO$5:$CO$1204,1))</x:f>
        <x:v>1</x:v>
      </x:c>
      <x:c r="R46" s="178" t="str">
        <x:f>IF(O46&lt;2,"",SUMIFS('ثبت اطلاعات'!$CL$5:$CL$1204,'ثبت اطلاعات'!$C$5:$C$1204,A46,'ثبت اطلاعات'!$CN$5:$CN$1204,Q46)-SUMIFS('ثبت اطلاعات'!$CL$5:$CL$1204,'ثبت اطلاعات'!$C$5:$C$1204,A46,'ثبت اطلاعات'!$CN$5:$CN$1204,P46))</x:f>
      </x:c>
      <x:c r="S46" s="178" t="str">
        <x:f>IF(A46="","",IF(O46=0,"فاقد ارزیابی نهایی",IF(O46=1,"داده ناکافی",IF(R46&gt;0.5,"پیشرفت",IF(R46&lt;-0.5,"افت","ثبات")))))</x:f>
        <x:v>داده ناکافی</x:v>
      </x:c>
      <x:c r="T46" s="178" t="str">
        <x:f>IF(N46="","",INDEX($E$4:$M$4,1,MATCH(MAX(E46:M46),E46:M46,0)))</x:f>
        <x:v>فرهنگی</x:v>
      </x:c>
      <x:c r="U46" s="178" t="str">
        <x:f>IF(N46="","",INDEX($E$4:$M$4,1,MATCH(MIN(E46:M46),E46:M46,0)))</x:f>
        <x:v>ورزشی</x:v>
      </x:c>
      <x:c r="V46" s="178" t="str">
        <x:f>IF(N46="","",IF(N46&gt;=17,"عالی",IF(N46&gt;=14,"خوب",IF(N46&gt;=10,"متوسط","ضعیف"))))</x:f>
        <x:v>خوب</x:v>
      </x:c>
      <x:c r="W46" s="178" t="n">
        <x:f>IF(N46="","",RANK.EQ(N46,$N$5:$N$104,0))</x:f>
        <x:v>92</x:v>
      </x:c>
      <x:c r="X46" s="178" t="n">
        <x:f>IF(N46="","",COUNT($N$5:$N$104))</x:f>
        <x:v>100</x:v>
      </x:c>
      <x:c r="Y46" s="142" t="str">
        <x:f>IF(U46="","",IFERROR(INDEX('بانک راهکارها'!$C$5:$C$13,MATCH(U46,'بانک راهکارها'!$B$5:$B$13,0)),""))</x:f>
        <x:v>برنامه فعالیت بدنی منظم و مشارکت در ورزش گروهی پیشنهاد می‌شود.</x:v>
      </x:c>
    </x:row>
    <x:row r="47">
      <x:c r="A47" s="165" t="n">
        <x:f>IF('دانش‌آموزان'!L47="","",'دانش‌آموزان'!B47)</x:f>
        <x:v>43</x:v>
      </x:c>
      <x:c r="B47" s="233" t="str">
        <x:f>IF(A47="","",'دانش‌آموزان'!C47)</x:f>
        <x:v>4000000438</x:v>
      </x:c>
      <x:c r="C47" s="233" t="str">
        <x:f>IF(A47="","",'دانش‌آموزان'!E47&amp;" "&amp;'دانش‌آموزان'!F47)</x:f>
        <x:v>امیرحسین طاهری</x:v>
      </x:c>
      <x:c r="D47" s="166" t="str">
        <x:f>IF(A47="","",'دانش‌آموزان'!I47)</x:f>
        <x:v>sample-7-b</x:v>
      </x:c>
      <x:c r="E47" s="141" t="n">
        <x:f>IF(A47="","",IFERROR(SUMIFS('ثبت اطلاعات'!$CC$5:$CC$1204,'ثبت اطلاعات'!$C$5:$C$1204,A47,'ثبت اطلاعات'!$CO$5:$CO$1204,1)/COUNTIFS('ثبت اطلاعات'!$C$5:$C$1204,A47,'ثبت اطلاعات'!$CO$5:$CO$1204,1),""))</x:f>
        <x:v>16</x:v>
      </x:c>
      <x:c r="F47" s="178" t="n">
        <x:f>IF(A47="","",IFERROR(SUMIFS('ثبت اطلاعات'!$CD$5:$CD$1204,'ثبت اطلاعات'!$C$5:$C$1204,A47,'ثبت اطلاعات'!$CO$5:$CO$1204,1)/COUNTIFS('ثبت اطلاعات'!$C$5:$C$1204,A47,'ثبت اطلاعات'!$CO$5:$CO$1204,1),""))</x:f>
        <x:v>15.2</x:v>
      </x:c>
      <x:c r="G47" s="178" t="n">
        <x:f>IF(A47="","",IFERROR(SUMIFS('ثبت اطلاعات'!$CE$5:$CE$1204,'ثبت اطلاعات'!$C$5:$C$1204,A47,'ثبت اطلاعات'!$CO$5:$CO$1204,1)/COUNTIFS('ثبت اطلاعات'!$C$5:$C$1204,A47,'ثبت اطلاعات'!$CO$5:$CO$1204,1),""))</x:f>
        <x:v>15.6</x:v>
      </x:c>
      <x:c r="H47" s="178" t="n">
        <x:f>IF(A47="","",IFERROR(SUMIFS('ثبت اطلاعات'!$CF$5:$CF$1204,'ثبت اطلاعات'!$C$5:$C$1204,A47,'ثبت اطلاعات'!$CO$5:$CO$1204,1)/COUNTIFS('ثبت اطلاعات'!$C$5:$C$1204,A47,'ثبت اطلاعات'!$CO$5:$CO$1204,1),""))</x:f>
        <x:v>15</x:v>
      </x:c>
      <x:c r="I47" s="178" t="n">
        <x:f>IF(A47="","",IFERROR(SUMIFS('ثبت اطلاعات'!$CG$5:$CG$1204,'ثبت اطلاعات'!$C$5:$C$1204,A47,'ثبت اطلاعات'!$CO$5:$CO$1204,1)/COUNTIFS('ثبت اطلاعات'!$C$5:$C$1204,A47,'ثبت اطلاعات'!$CO$5:$CO$1204,1),""))</x:f>
        <x:v>14.285714285714286</x:v>
      </x:c>
      <x:c r="J47" s="178" t="n">
        <x:f>IF(A47="","",IFERROR(SUMIFS('ثبت اطلاعات'!$CH$5:$CH$1204,'ثبت اطلاعات'!$C$5:$C$1204,A47,'ثبت اطلاعات'!$CO$5:$CO$1204,1)/COUNTIFS('ثبت اطلاعات'!$C$5:$C$1204,A47,'ثبت اطلاعات'!$CO$5:$CO$1204,1),""))</x:f>
        <x:v>16</x:v>
      </x:c>
      <x:c r="K47" s="178" t="n">
        <x:f>IF(A47="","",IFERROR(SUMIFS('ثبت اطلاعات'!$CI$5:$CI$1204,'ثبت اطلاعات'!$C$5:$C$1204,A47,'ثبت اطلاعات'!$CO$5:$CO$1204,1)/COUNTIFS('ثبت اطلاعات'!$C$5:$C$1204,A47,'ثبت اطلاعات'!$CO$5:$CO$1204,1),""))</x:f>
        <x:v>15.428571428571429</x:v>
      </x:c>
      <x:c r="L47" s="178" t="n">
        <x:f>IF(A47="","",IFERROR(SUMIFS('ثبت اطلاعات'!$CJ$5:$CJ$1204,'ثبت اطلاعات'!$C$5:$C$1204,A47,'ثبت اطلاعات'!$CO$5:$CO$1204,1)/COUNTIFS('ثبت اطلاعات'!$C$5:$C$1204,A47,'ثبت اطلاعات'!$CO$5:$CO$1204,1),""))</x:f>
        <x:v>14.285714285714286</x:v>
      </x:c>
      <x:c r="M47" s="178" t="n">
        <x:f>IF(A47="","",IFERROR(SUMIFS('ثبت اطلاعات'!$CK$5:$CK$1204,'ثبت اطلاعات'!$C$5:$C$1204,A47,'ثبت اطلاعات'!$CO$5:$CO$1204,1)/COUNTIFS('ثبت اطلاعات'!$C$5:$C$1204,A47,'ثبت اطلاعات'!$CO$5:$CO$1204,1),""))</x:f>
        <x:v>16.571428571428573</x:v>
      </x:c>
      <x:c r="N47" s="178" t="n">
        <x:f>IF(A47="","",IFERROR(SUMIFS('ثبت اطلاعات'!$CL$5:$CL$1204,'ثبت اطلاعات'!$C$5:$C$1204,A47,'ثبت اطلاعات'!$CO$5:$CO$1204,1)/COUNTIFS('ثبت اطلاعات'!$C$5:$C$1204,A47,'ثبت اطلاعات'!$CO$5:$CO$1204,1),""))</x:f>
        <x:v>15.447142857142858</x:v>
      </x:c>
      <x:c r="O47" s="178" t="n">
        <x:f>IF(A47="","",COUNTIFS('ثبت اطلاعات'!$C$5:$C$1204,A47,'ثبت اطلاعات'!$CO$5:$CO$1204,1))</x:f>
        <x:v>1</x:v>
      </x:c>
      <x:c r="P47" s="178" t="n">
        <x:f>IF(O47=0,"",MINIFS('ثبت اطلاعات'!$CN$5:$CN$1204,'ثبت اطلاعات'!$C$5:$C$1204,A47,'ثبت اطلاعات'!$CO$5:$CO$1204,1))</x:f>
        <x:v>1</x:v>
      </x:c>
      <x:c r="Q47" s="178" t="n">
        <x:f>IF(O47=0,"",MAXIFS('ثبت اطلاعات'!$CN$5:$CN$1204,'ثبت اطلاعات'!$C$5:$C$1204,A47,'ثبت اطلاعات'!$CO$5:$CO$1204,1))</x:f>
        <x:v>1</x:v>
      </x:c>
      <x:c r="R47" s="178" t="str">
        <x:f>IF(O47&lt;2,"",SUMIFS('ثبت اطلاعات'!$CL$5:$CL$1204,'ثبت اطلاعات'!$C$5:$C$1204,A47,'ثبت اطلاعات'!$CN$5:$CN$1204,Q47)-SUMIFS('ثبت اطلاعات'!$CL$5:$CL$1204,'ثبت اطلاعات'!$C$5:$C$1204,A47,'ثبت اطلاعات'!$CN$5:$CN$1204,P47))</x:f>
      </x:c>
      <x:c r="S47" s="178" t="str">
        <x:f>IF(A47="","",IF(O47=0,"فاقد ارزیابی نهایی",IF(O47=1,"داده ناکافی",IF(R47&gt;0.5,"پیشرفت",IF(R47&lt;-0.5,"افت","ثبات")))))</x:f>
        <x:v>داده ناکافی</x:v>
      </x:c>
      <x:c r="T47" s="178" t="str">
        <x:f>IF(N47="","",INDEX($E$4:$M$4,1,MATCH(MAX(E47:M47),E47:M47,0)))</x:f>
        <x:v>مهارت‌های فردی</x:v>
      </x:c>
      <x:c r="U47" s="178" t="str">
        <x:f>IF(N47="","",INDEX($E$4:$M$4,1,MATCH(MIN(E47:M47),E47:M47,0)))</x:f>
        <x:v>فرهنگی</x:v>
      </x:c>
      <x:c r="V47" s="178" t="str">
        <x:f>IF(N47="","",IF(N47&gt;=17,"عالی",IF(N47&gt;=14,"خوب",IF(N47&gt;=10,"متوسط","ضعیف"))))</x:f>
        <x:v>خوب</x:v>
      </x:c>
      <x:c r="W47" s="178" t="n">
        <x:f>IF(N47="","",RANK.EQ(N47,$N$5:$N$104,0))</x:f>
        <x:v>1</x:v>
      </x:c>
      <x:c r="X47" s="178" t="n">
        <x:f>IF(N47="","",COUNT($N$5:$N$104))</x:f>
        <x:v>100</x:v>
      </x:c>
      <x:c r="Y47" s="142" t="str">
        <x:f>IF(U47="","",IFERROR(INDEX('بانک راهکارها'!$C$5:$C$13,MATCH(U47,'بانک راهکارها'!$B$5:$B$13,0)),""))</x:f>
        <x:v>مشارکت در برنامه‌های فرهنگی، مطالعه هدایت‌شده و فعالیت گروهی پیشنهاد می‌شود.</x:v>
      </x:c>
    </x:row>
    <x:row r="48">
      <x:c r="A48" s="165" t="n">
        <x:f>IF('دانش‌آموزان'!L48="","",'دانش‌آموزان'!B48)</x:f>
        <x:v>44</x:v>
      </x:c>
      <x:c r="B48" s="233" t="str">
        <x:f>IF(A48="","",'دانش‌آموزان'!C48)</x:f>
        <x:v>4000000446</x:v>
      </x:c>
      <x:c r="C48" s="233" t="str">
        <x:f>IF(A48="","",'دانش‌آموزان'!E48&amp;" "&amp;'دانش‌آموزان'!F48)</x:f>
        <x:v>زهرا محمدی</x:v>
      </x:c>
      <x:c r="D48" s="166" t="str">
        <x:f>IF(A48="","",'دانش‌آموزان'!I48)</x:f>
        <x:v>sample-7-b</x:v>
      </x:c>
      <x:c r="E48" s="141" t="n">
        <x:f>IF(A48="","",IFERROR(SUMIFS('ثبت اطلاعات'!$CC$5:$CC$1204,'ثبت اطلاعات'!$C$5:$C$1204,A48,'ثبت اطلاعات'!$CO$5:$CO$1204,1)/COUNTIFS('ثبت اطلاعات'!$C$5:$C$1204,A48,'ثبت اطلاعات'!$CO$5:$CO$1204,1),""))</x:f>
        <x:v>15.6</x:v>
      </x:c>
      <x:c r="F48" s="178" t="n">
        <x:f>IF(A48="","",IFERROR(SUMIFS('ثبت اطلاعات'!$CD$5:$CD$1204,'ثبت اطلاعات'!$C$5:$C$1204,A48,'ثبت اطلاعات'!$CO$5:$CO$1204,1)/COUNTIFS('ثبت اطلاعات'!$C$5:$C$1204,A48,'ثبت اطلاعات'!$CO$5:$CO$1204,1),""))</x:f>
        <x:v>14.8</x:v>
      </x:c>
      <x:c r="G48" s="178" t="n">
        <x:f>IF(A48="","",IFERROR(SUMIFS('ثبت اطلاعات'!$CE$5:$CE$1204,'ثبت اطلاعات'!$C$5:$C$1204,A48,'ثبت اطلاعات'!$CO$5:$CO$1204,1)/COUNTIFS('ثبت اطلاعات'!$C$5:$C$1204,A48,'ثبت اطلاعات'!$CO$5:$CO$1204,1),""))</x:f>
        <x:v>15.2</x:v>
      </x:c>
      <x:c r="H48" s="178" t="n">
        <x:f>IF(A48="","",IFERROR(SUMIFS('ثبت اطلاعات'!$CF$5:$CF$1204,'ثبت اطلاعات'!$C$5:$C$1204,A48,'ثبت اطلاعات'!$CO$5:$CO$1204,1)/COUNTIFS('ثبت اطلاعات'!$C$5:$C$1204,A48,'ثبت اطلاعات'!$CO$5:$CO$1204,1),""))</x:f>
        <x:v>15.5</x:v>
      </x:c>
      <x:c r="I48" s="178" t="n">
        <x:f>IF(A48="","",IFERROR(SUMIFS('ثبت اطلاعات'!$CG$5:$CG$1204,'ثبت اطلاعات'!$C$5:$C$1204,A48,'ثبت اطلاعات'!$CO$5:$CO$1204,1)/COUNTIFS('ثبت اطلاعات'!$C$5:$C$1204,A48,'ثبت اطلاعات'!$CO$5:$CO$1204,1),""))</x:f>
        <x:v>16</x:v>
      </x:c>
      <x:c r="J48" s="178" t="n">
        <x:f>IF(A48="","",IFERROR(SUMIFS('ثبت اطلاعات'!$CH$5:$CH$1204,'ثبت اطلاعات'!$C$5:$C$1204,A48,'ثبت اطلاعات'!$CO$5:$CO$1204,1)/COUNTIFS('ثبت اطلاعات'!$C$5:$C$1204,A48,'ثبت اطلاعات'!$CO$5:$CO$1204,1),""))</x:f>
        <x:v>14.5</x:v>
      </x:c>
      <x:c r="K48" s="178" t="n">
        <x:f>IF(A48="","",IFERROR(SUMIFS('ثبت اطلاعات'!$CI$5:$CI$1204,'ثبت اطلاعات'!$C$5:$C$1204,A48,'ثبت اطلاعات'!$CO$5:$CO$1204,1)/COUNTIFS('ثبت اطلاعات'!$C$5:$C$1204,A48,'ثبت اطلاعات'!$CO$5:$CO$1204,1),""))</x:f>
        <x:v>15.428571428571429</x:v>
      </x:c>
      <x:c r="L48" s="178" t="n">
        <x:f>IF(A48="","",IFERROR(SUMIFS('ثبت اطلاعات'!$CJ$5:$CJ$1204,'ثبت اطلاعات'!$C$5:$C$1204,A48,'ثبت اطلاعات'!$CO$5:$CO$1204,1)/COUNTIFS('ثبت اطلاعات'!$C$5:$C$1204,A48,'ثبت اطلاعات'!$CO$5:$CO$1204,1),""))</x:f>
        <x:v>16</x:v>
      </x:c>
      <x:c r="M48" s="178" t="n">
        <x:f>IF(A48="","",IFERROR(SUMIFS('ثبت اطلاعات'!$CK$5:$CK$1204,'ثبت اطلاعات'!$C$5:$C$1204,A48,'ثبت اطلاعات'!$CO$5:$CO$1204,1)/COUNTIFS('ثبت اطلاعات'!$C$5:$C$1204,A48,'ثبت اطلاعات'!$CO$5:$CO$1204,1),""))</x:f>
        <x:v>14.285714285714286</x:v>
      </x:c>
      <x:c r="N48" s="178" t="n">
        <x:f>IF(A48="","",IFERROR(SUMIFS('ثبت اطلاعات'!$CL$5:$CL$1204,'ثبت اطلاعات'!$C$5:$C$1204,A48,'ثبت اطلاعات'!$CO$5:$CO$1204,1)/COUNTIFS('ثبت اطلاعات'!$C$5:$C$1204,A48,'ثبت اطلاعات'!$CO$5:$CO$1204,1),""))</x:f>
        <x:v>15.265</x:v>
      </x:c>
      <x:c r="O48" s="178" t="n">
        <x:f>IF(A48="","",COUNTIFS('ثبت اطلاعات'!$C$5:$C$1204,A48,'ثبت اطلاعات'!$CO$5:$CO$1204,1))</x:f>
        <x:v>1</x:v>
      </x:c>
      <x:c r="P48" s="178" t="n">
        <x:f>IF(O48=0,"",MINIFS('ثبت اطلاعات'!$CN$5:$CN$1204,'ثبت اطلاعات'!$C$5:$C$1204,A48,'ثبت اطلاعات'!$CO$5:$CO$1204,1))</x:f>
        <x:v>1</x:v>
      </x:c>
      <x:c r="Q48" s="178" t="n">
        <x:f>IF(O48=0,"",MAXIFS('ثبت اطلاعات'!$CN$5:$CN$1204,'ثبت اطلاعات'!$C$5:$C$1204,A48,'ثبت اطلاعات'!$CO$5:$CO$1204,1))</x:f>
        <x:v>1</x:v>
      </x:c>
      <x:c r="R48" s="178" t="str">
        <x:f>IF(O48&lt;2,"",SUMIFS('ثبت اطلاعات'!$CL$5:$CL$1204,'ثبت اطلاعات'!$C$5:$C$1204,A48,'ثبت اطلاعات'!$CN$5:$CN$1204,Q48)-SUMIFS('ثبت اطلاعات'!$CL$5:$CL$1204,'ثبت اطلاعات'!$C$5:$C$1204,A48,'ثبت اطلاعات'!$CN$5:$CN$1204,P48))</x:f>
      </x:c>
      <x:c r="S48" s="178" t="str">
        <x:f>IF(A48="","",IF(O48=0,"فاقد ارزیابی نهایی",IF(O48=1,"داده ناکافی",IF(R48&gt;0.5,"پیشرفت",IF(R48&lt;-0.5,"افت","ثبات")))))</x:f>
        <x:v>داده ناکافی</x:v>
      </x:c>
      <x:c r="T48" s="178" t="str">
        <x:f>IF(N48="","",INDEX($E$4:$M$4,1,MATCH(MAX(E48:M48),E48:M48,0)))</x:f>
        <x:v>فرهنگی</x:v>
      </x:c>
      <x:c r="U48" s="178" t="str">
        <x:f>IF(N48="","",INDEX($E$4:$M$4,1,MATCH(MIN(E48:M48),E48:M48,0)))</x:f>
        <x:v>مهارت‌های فردی</x:v>
      </x:c>
      <x:c r="V48" s="178" t="str">
        <x:f>IF(N48="","",IF(N48&gt;=17,"عالی",IF(N48&gt;=14,"خوب",IF(N48&gt;=10,"متوسط","ضعیف"))))</x:f>
        <x:v>خوب</x:v>
      </x:c>
      <x:c r="W48" s="178" t="n">
        <x:f>IF(N48="","",RANK.EQ(N48,$N$5:$N$104,0))</x:f>
        <x:v>47</x:v>
      </x:c>
      <x:c r="X48" s="178" t="n">
        <x:f>IF(N48="","",COUNT($N$5:$N$104))</x:f>
        <x:v>100</x:v>
      </x:c>
      <x:c r="Y48" s="142" t="str">
        <x:f>IF(U48="","",IFERROR(INDEX('بانک راهکارها'!$C$5:$C$13,MATCH(U48,'بانک راهکارها'!$B$5:$B$13,0)),""))</x:f>
        <x:v>تمرین برنامه‌ریزی هفتگی، ارتباط مؤثر و کار تیمی پیشنهاد می‌شود.</x:v>
      </x:c>
    </x:row>
    <x:row r="49">
      <x:c r="A49" s="165" t="n">
        <x:f>IF('دانش‌آموزان'!L49="","",'دانش‌آموزان'!B49)</x:f>
        <x:v>45</x:v>
      </x:c>
      <x:c r="B49" s="233" t="str">
        <x:f>IF(A49="","",'دانش‌آموزان'!C49)</x:f>
        <x:v>4000000454</x:v>
      </x:c>
      <x:c r="C49" s="233" t="str">
        <x:f>IF(A49="","",'دانش‌آموزان'!E49&amp;" "&amp;'دانش‌آموزان'!F49)</x:f>
        <x:v>محمد قاسمی</x:v>
      </x:c>
      <x:c r="D49" s="166" t="str">
        <x:f>IF(A49="","",'دانش‌آموزان'!I49)</x:f>
        <x:v>sample-7-b</x:v>
      </x:c>
      <x:c r="E49" s="141" t="n">
        <x:f>IF(A49="","",IFERROR(SUMIFS('ثبت اطلاعات'!$CC$5:$CC$1204,'ثبت اطلاعات'!$C$5:$C$1204,A49,'ثبت اطلاعات'!$CO$5:$CO$1204,1)/COUNTIFS('ثبت اطلاعات'!$C$5:$C$1204,A49,'ثبت اطلاعات'!$CO$5:$CO$1204,1),""))</x:f>
        <x:v>15.2</x:v>
      </x:c>
      <x:c r="F49" s="178" t="n">
        <x:f>IF(A49="","",IFERROR(SUMIFS('ثبت اطلاعات'!$CD$5:$CD$1204,'ثبت اطلاعات'!$C$5:$C$1204,A49,'ثبت اطلاعات'!$CO$5:$CO$1204,1)/COUNTIFS('ثبت اطلاعات'!$C$5:$C$1204,A49,'ثبت اطلاعات'!$CO$5:$CO$1204,1),""))</x:f>
        <x:v>15.6</x:v>
      </x:c>
      <x:c r="G49" s="178" t="n">
        <x:f>IF(A49="","",IFERROR(SUMIFS('ثبت اطلاعات'!$CE$5:$CE$1204,'ثبت اطلاعات'!$C$5:$C$1204,A49,'ثبت اطلاعات'!$CO$5:$CO$1204,1)/COUNTIFS('ثبت اطلاعات'!$C$5:$C$1204,A49,'ثبت اطلاعات'!$CO$5:$CO$1204,1),""))</x:f>
        <x:v>15.2</x:v>
      </x:c>
      <x:c r="H49" s="178" t="n">
        <x:f>IF(A49="","",IFERROR(SUMIFS('ثبت اطلاعات'!$CF$5:$CF$1204,'ثبت اطلاعات'!$C$5:$C$1204,A49,'ثبت اطلاعات'!$CO$5:$CO$1204,1)/COUNTIFS('ثبت اطلاعات'!$C$5:$C$1204,A49,'ثبت اطلاعات'!$CO$5:$CO$1204,1),""))</x:f>
        <x:v>15.5</x:v>
      </x:c>
      <x:c r="I49" s="178" t="n">
        <x:f>IF(A49="","",IFERROR(SUMIFS('ثبت اطلاعات'!$CG$5:$CG$1204,'ثبت اطلاعات'!$C$5:$C$1204,A49,'ثبت اطلاعات'!$CO$5:$CO$1204,1)/COUNTIFS('ثبت اطلاعات'!$C$5:$C$1204,A49,'ثبت اطلاعات'!$CO$5:$CO$1204,1),""))</x:f>
        <x:v>13.714285714285714</x:v>
      </x:c>
      <x:c r="J49" s="178" t="n">
        <x:f>IF(A49="","",IFERROR(SUMIFS('ثبت اطلاعات'!$CH$5:$CH$1204,'ثبت اطلاعات'!$C$5:$C$1204,A49,'ثبت اطلاعات'!$CO$5:$CO$1204,1)/COUNTIFS('ثبت اطلاعات'!$C$5:$C$1204,A49,'ثبت اطلاعات'!$CO$5:$CO$1204,1),""))</x:f>
        <x:v>16.5</x:v>
      </x:c>
      <x:c r="K49" s="178" t="n">
        <x:f>IF(A49="","",IFERROR(SUMIFS('ثبت اطلاعات'!$CI$5:$CI$1204,'ثبت اطلاعات'!$C$5:$C$1204,A49,'ثبت اطلاعات'!$CO$5:$CO$1204,1)/COUNTIFS('ثبت اطلاعات'!$C$5:$C$1204,A49,'ثبت اطلاعات'!$CO$5:$CO$1204,1),""))</x:f>
        <x:v>15.428571428571429</x:v>
      </x:c>
      <x:c r="L49" s="178" t="n">
        <x:f>IF(A49="","",IFERROR(SUMIFS('ثبت اطلاعات'!$CJ$5:$CJ$1204,'ثبت اطلاعات'!$C$5:$C$1204,A49,'ثبت اطلاعات'!$CO$5:$CO$1204,1)/COUNTIFS('ثبت اطلاعات'!$C$5:$C$1204,A49,'ثبت اطلاعات'!$CO$5:$CO$1204,1),""))</x:f>
        <x:v>13.714285714285714</x:v>
      </x:c>
      <x:c r="M49" s="178" t="n">
        <x:f>IF(A49="","",IFERROR(SUMIFS('ثبت اطلاعات'!$CK$5:$CK$1204,'ثبت اطلاعات'!$C$5:$C$1204,A49,'ثبت اطلاعات'!$CO$5:$CO$1204,1)/COUNTIFS('ثبت اطلاعات'!$C$5:$C$1204,A49,'ثبت اطلاعات'!$CO$5:$CO$1204,1),""))</x:f>
        <x:v>16.571428571428573</x:v>
      </x:c>
      <x:c r="N49" s="178" t="n">
        <x:f>IF(A49="","",IFERROR(SUMIFS('ثبت اطلاعات'!$CL$5:$CL$1204,'ثبت اطلاعات'!$C$5:$C$1204,A49,'ثبت اطلاعات'!$CO$5:$CO$1204,1)/COUNTIFS('ثبت اطلاعات'!$C$5:$C$1204,A49,'ثبت اطلاعات'!$CO$5:$CO$1204,1),""))</x:f>
        <x:v>15.327857142857143</x:v>
      </x:c>
      <x:c r="O49" s="178" t="n">
        <x:f>IF(A49="","",COUNTIFS('ثبت اطلاعات'!$C$5:$C$1204,A49,'ثبت اطلاعات'!$CO$5:$CO$1204,1))</x:f>
        <x:v>1</x:v>
      </x:c>
      <x:c r="P49" s="178" t="n">
        <x:f>IF(O49=0,"",MINIFS('ثبت اطلاعات'!$CN$5:$CN$1204,'ثبت اطلاعات'!$C$5:$C$1204,A49,'ثبت اطلاعات'!$CO$5:$CO$1204,1))</x:f>
        <x:v>1</x:v>
      </x:c>
      <x:c r="Q49" s="178" t="n">
        <x:f>IF(O49=0,"",MAXIFS('ثبت اطلاعات'!$CN$5:$CN$1204,'ثبت اطلاعات'!$C$5:$C$1204,A49,'ثبت اطلاعات'!$CO$5:$CO$1204,1))</x:f>
        <x:v>1</x:v>
      </x:c>
      <x:c r="R49" s="178" t="str">
        <x:f>IF(O49&lt;2,"",SUMIFS('ثبت اطلاعات'!$CL$5:$CL$1204,'ثبت اطلاعات'!$C$5:$C$1204,A49,'ثبت اطلاعات'!$CN$5:$CN$1204,Q49)-SUMIFS('ثبت اطلاعات'!$CL$5:$CL$1204,'ثبت اطلاعات'!$C$5:$C$1204,A49,'ثبت اطلاعات'!$CN$5:$CN$1204,P49))</x:f>
      </x:c>
      <x:c r="S49" s="178" t="str">
        <x:f>IF(A49="","",IF(O49=0,"فاقد ارزیابی نهایی",IF(O49=1,"داده ناکافی",IF(R49&gt;0.5,"پیشرفت",IF(R49&lt;-0.5,"افت","ثبات")))))</x:f>
        <x:v>داده ناکافی</x:v>
      </x:c>
      <x:c r="T49" s="178" t="str">
        <x:f>IF(N49="","",INDEX($E$4:$M$4,1,MATCH(MAX(E49:M49),E49:M49,0)))</x:f>
        <x:v>مهارت‌های فردی</x:v>
      </x:c>
      <x:c r="U49" s="178" t="str">
        <x:f>IF(N49="","",INDEX($E$4:$M$4,1,MATCH(MIN(E49:M49),E49:M49,0)))</x:f>
        <x:v>فرهنگی</x:v>
      </x:c>
      <x:c r="V49" s="178" t="str">
        <x:f>IF(N49="","",IF(N49&gt;=17,"عالی",IF(N49&gt;=14,"خوب",IF(N49&gt;=10,"متوسط","ضعیف"))))</x:f>
        <x:v>خوب</x:v>
      </x:c>
      <x:c r="W49" s="178" t="n">
        <x:f>IF(N49="","",RANK.EQ(N49,$N$5:$N$104,0))</x:f>
        <x:v>19</x:v>
      </x:c>
      <x:c r="X49" s="178" t="n">
        <x:f>IF(N49="","",COUNT($N$5:$N$104))</x:f>
        <x:v>100</x:v>
      </x:c>
      <x:c r="Y49" s="142" t="str">
        <x:f>IF(U49="","",IFERROR(INDEX('بانک راهکارها'!$C$5:$C$13,MATCH(U49,'بانک راهکارها'!$B$5:$B$13,0)),""))</x:f>
        <x:v>مشارکت در برنامه‌های فرهنگی، مطالعه هدایت‌شده و فعالیت گروهی پیشنهاد می‌شود.</x:v>
      </x:c>
    </x:row>
    <x:row r="50">
      <x:c r="A50" s="165" t="n">
        <x:f>IF('دانش‌آموزان'!L50="","",'دانش‌آموزان'!B50)</x:f>
        <x:v>46</x:v>
      </x:c>
      <x:c r="B50" s="233" t="str">
        <x:f>IF(A50="","",'دانش‌آموزان'!C50)</x:f>
        <x:v>4000000462</x:v>
      </x:c>
      <x:c r="C50" s="233" t="str">
        <x:f>IF(A50="","",'دانش‌آموزان'!E50&amp;" "&amp;'دانش‌آموزان'!F50)</x:f>
        <x:v>سارا خلیلی</x:v>
      </x:c>
      <x:c r="D50" s="166" t="str">
        <x:f>IF(A50="","",'دانش‌آموزان'!I50)</x:f>
        <x:v>sample-7-b</x:v>
      </x:c>
      <x:c r="E50" s="141" t="n">
        <x:f>IF(A50="","",IFERROR(SUMIFS('ثبت اطلاعات'!$CC$5:$CC$1204,'ثبت اطلاعات'!$C$5:$C$1204,A50,'ثبت اطلاعات'!$CO$5:$CO$1204,1)/COUNTIFS('ثبت اطلاعات'!$C$5:$C$1204,A50,'ثبت اطلاعات'!$CO$5:$CO$1204,1),""))</x:f>
        <x:v>14.8</x:v>
      </x:c>
      <x:c r="F50" s="178" t="n">
        <x:f>IF(A50="","",IFERROR(SUMIFS('ثبت اطلاعات'!$CD$5:$CD$1204,'ثبت اطلاعات'!$C$5:$C$1204,A50,'ثبت اطلاعات'!$CO$5:$CO$1204,1)/COUNTIFS('ثبت اطلاعات'!$C$5:$C$1204,A50,'ثبت اطلاعات'!$CO$5:$CO$1204,1),""))</x:f>
        <x:v>15.2</x:v>
      </x:c>
      <x:c r="G50" s="178" t="n">
        <x:f>IF(A50="","",IFERROR(SUMIFS('ثبت اطلاعات'!$CE$5:$CE$1204,'ثبت اطلاعات'!$C$5:$C$1204,A50,'ثبت اطلاعات'!$CO$5:$CO$1204,1)/COUNTIFS('ثبت اطلاعات'!$C$5:$C$1204,A50,'ثبت اطلاعات'!$CO$5:$CO$1204,1),""))</x:f>
        <x:v>14.8</x:v>
      </x:c>
      <x:c r="H50" s="178" t="n">
        <x:f>IF(A50="","",IFERROR(SUMIFS('ثبت اطلاعات'!$CF$5:$CF$1204,'ثبت اطلاعات'!$C$5:$C$1204,A50,'ثبت اطلاعات'!$CO$5:$CO$1204,1)/COUNTIFS('ثبت اطلاعات'!$C$5:$C$1204,A50,'ثبت اطلاعات'!$CO$5:$CO$1204,1),""))</x:f>
        <x:v>16</x:v>
      </x:c>
      <x:c r="I50" s="178" t="n">
        <x:f>IF(A50="","",IFERROR(SUMIFS('ثبت اطلاعات'!$CG$5:$CG$1204,'ثبت اطلاعات'!$C$5:$C$1204,A50,'ثبت اطلاعات'!$CO$5:$CO$1204,1)/COUNTIFS('ثبت اطلاعات'!$C$5:$C$1204,A50,'ثبت اطلاعات'!$CO$5:$CO$1204,1),""))</x:f>
        <x:v>15.428571428571429</x:v>
      </x:c>
      <x:c r="J50" s="178" t="n">
        <x:f>IF(A50="","",IFERROR(SUMIFS('ثبت اطلاعات'!$CH$5:$CH$1204,'ثبت اطلاعات'!$C$5:$C$1204,A50,'ثبت اطلاعات'!$CO$5:$CO$1204,1)/COUNTIFS('ثبت اطلاعات'!$C$5:$C$1204,A50,'ثبت اطلاعات'!$CO$5:$CO$1204,1),""))</x:f>
        <x:v>15</x:v>
      </x:c>
      <x:c r="K50" s="178" t="n">
        <x:f>IF(A50="","",IFERROR(SUMIFS('ثبت اطلاعات'!$CI$5:$CI$1204,'ثبت اطلاعات'!$C$5:$C$1204,A50,'ثبت اطلاعات'!$CO$5:$CO$1204,1)/COUNTIFS('ثبت اطلاعات'!$C$5:$C$1204,A50,'ثبت اطلاعات'!$CO$5:$CO$1204,1),""))</x:f>
        <x:v>15.428571428571429</x:v>
      </x:c>
      <x:c r="L50" s="178" t="n">
        <x:f>IF(A50="","",IFERROR(SUMIFS('ثبت اطلاعات'!$CJ$5:$CJ$1204,'ثبت اطلاعات'!$C$5:$C$1204,A50,'ثبت اطلاعات'!$CO$5:$CO$1204,1)/COUNTIFS('ثبت اطلاعات'!$C$5:$C$1204,A50,'ثبت اطلاعات'!$CO$5:$CO$1204,1),""))</x:f>
        <x:v>15.428571428571429</x:v>
      </x:c>
      <x:c r="M50" s="178" t="n">
        <x:f>IF(A50="","",IFERROR(SUMIFS('ثبت اطلاعات'!$CK$5:$CK$1204,'ثبت اطلاعات'!$C$5:$C$1204,A50,'ثبت اطلاعات'!$CO$5:$CO$1204,1)/COUNTIFS('ثبت اطلاعات'!$C$5:$C$1204,A50,'ثبت اطلاعات'!$CO$5:$CO$1204,1),""))</x:f>
        <x:v>14.285714285714286</x:v>
      </x:c>
      <x:c r="N50" s="178" t="n">
        <x:f>IF(A50="","",IFERROR(SUMIFS('ثبت اطلاعات'!$CL$5:$CL$1204,'ثبت اطلاعات'!$C$5:$C$1204,A50,'ثبت اطلاعات'!$CO$5:$CO$1204,1)/COUNTIFS('ثبت اطلاعات'!$C$5:$C$1204,A50,'ثبت اطلاعات'!$CO$5:$CO$1204,1),""))</x:f>
        <x:v>15.145714285714286</x:v>
      </x:c>
      <x:c r="O50" s="178" t="n">
        <x:f>IF(A50="","",COUNTIFS('ثبت اطلاعات'!$C$5:$C$1204,A50,'ثبت اطلاعات'!$CO$5:$CO$1204,1))</x:f>
        <x:v>1</x:v>
      </x:c>
      <x:c r="P50" s="178" t="n">
        <x:f>IF(O50=0,"",MINIFS('ثبت اطلاعات'!$CN$5:$CN$1204,'ثبت اطلاعات'!$C$5:$C$1204,A50,'ثبت اطلاعات'!$CO$5:$CO$1204,1))</x:f>
        <x:v>1</x:v>
      </x:c>
      <x:c r="Q50" s="178" t="n">
        <x:f>IF(O50=0,"",MAXIFS('ثبت اطلاعات'!$CN$5:$CN$1204,'ثبت اطلاعات'!$C$5:$C$1204,A50,'ثبت اطلاعات'!$CO$5:$CO$1204,1))</x:f>
        <x:v>1</x:v>
      </x:c>
      <x:c r="R50" s="178" t="str">
        <x:f>IF(O50&lt;2,"",SUMIFS('ثبت اطلاعات'!$CL$5:$CL$1204,'ثبت اطلاعات'!$C$5:$C$1204,A50,'ثبت اطلاعات'!$CN$5:$CN$1204,Q50)-SUMIFS('ثبت اطلاعات'!$CL$5:$CL$1204,'ثبت اطلاعات'!$C$5:$C$1204,A50,'ثبت اطلاعات'!$CN$5:$CN$1204,P50))</x:f>
      </x:c>
      <x:c r="S50" s="178" t="str">
        <x:f>IF(A50="","",IF(O50=0,"فاقد ارزیابی نهایی",IF(O50=1,"داده ناکافی",IF(R50&gt;0.5,"پیشرفت",IF(R50&lt;-0.5,"افت","ثبات")))))</x:f>
        <x:v>داده ناکافی</x:v>
      </x:c>
      <x:c r="T50" s="178" t="str">
        <x:f>IF(N50="","",INDEX($E$4:$M$4,1,MATCH(MAX(E50:M50),E50:M50,0)))</x:f>
        <x:v>انضباطی</x:v>
      </x:c>
      <x:c r="U50" s="178" t="str">
        <x:f>IF(N50="","",INDEX($E$4:$M$4,1,MATCH(MIN(E50:M50),E50:M50,0)))</x:f>
        <x:v>مهارت‌های فردی</x:v>
      </x:c>
      <x:c r="V50" s="178" t="str">
        <x:f>IF(N50="","",IF(N50&gt;=17,"عالی",IF(N50&gt;=14,"خوب",IF(N50&gt;=10,"متوسط","ضعیف"))))</x:f>
        <x:v>خوب</x:v>
      </x:c>
      <x:c r="W50" s="178" t="n">
        <x:f>IF(N50="","",RANK.EQ(N50,$N$5:$N$104,0))</x:f>
        <x:v>83</x:v>
      </x:c>
      <x:c r="X50" s="178" t="n">
        <x:f>IF(N50="","",COUNT($N$5:$N$104))</x:f>
        <x:v>100</x:v>
      </x:c>
      <x:c r="Y50" s="142" t="str">
        <x:f>IF(U50="","",IFERROR(INDEX('بانک راهکارها'!$C$5:$C$13,MATCH(U50,'بانک راهکارها'!$B$5:$B$13,0)),""))</x:f>
        <x:v>تمرین برنامه‌ریزی هفتگی، ارتباط مؤثر و کار تیمی پیشنهاد می‌شود.</x:v>
      </x:c>
    </x:row>
    <x:row r="51">
      <x:c r="A51" s="165" t="n">
        <x:f>IF('دانش‌آموزان'!L51="","",'دانش‌آموزان'!B51)</x:f>
        <x:v>47</x:v>
      </x:c>
      <x:c r="B51" s="233" t="str">
        <x:f>IF(A51="","",'دانش‌آموزان'!C51)</x:f>
        <x:v>4000000470</x:v>
      </x:c>
      <x:c r="C51" s="233" t="str">
        <x:f>IF(A51="","",'دانش‌آموزان'!E51&amp;" "&amp;'دانش‌آموزان'!F51)</x:f>
        <x:v>آراد حسینی</x:v>
      </x:c>
      <x:c r="D51" s="166" t="str">
        <x:f>IF(A51="","",'دانش‌آموزان'!I51)</x:f>
        <x:v>sample-7-b</x:v>
      </x:c>
      <x:c r="E51" s="141" t="n">
        <x:f>IF(A51="","",IFERROR(SUMIFS('ثبت اطلاعات'!$CC$5:$CC$1204,'ثبت اطلاعات'!$C$5:$C$1204,A51,'ثبت اطلاعات'!$CO$5:$CO$1204,1)/COUNTIFS('ثبت اطلاعات'!$C$5:$C$1204,A51,'ثبت اطلاعات'!$CO$5:$CO$1204,1),""))</x:f>
        <x:v>15.6</x:v>
      </x:c>
      <x:c r="F51" s="178" t="n">
        <x:f>IF(A51="","",IFERROR(SUMIFS('ثبت اطلاعات'!$CD$5:$CD$1204,'ثبت اطلاعات'!$C$5:$C$1204,A51,'ثبت اطلاعات'!$CO$5:$CO$1204,1)/COUNTIFS('ثبت اطلاعات'!$C$5:$C$1204,A51,'ثبت اطلاعات'!$CO$5:$CO$1204,1),""))</x:f>
        <x:v>15.2</x:v>
      </x:c>
      <x:c r="G51" s="178" t="n">
        <x:f>IF(A51="","",IFERROR(SUMIFS('ثبت اطلاعات'!$CE$5:$CE$1204,'ثبت اطلاعات'!$C$5:$C$1204,A51,'ثبت اطلاعات'!$CO$5:$CO$1204,1)/COUNTIFS('ثبت اطلاعات'!$C$5:$C$1204,A51,'ثبت اطلاعات'!$CO$5:$CO$1204,1),""))</x:f>
        <x:v>15.6</x:v>
      </x:c>
      <x:c r="H51" s="178" t="n">
        <x:f>IF(A51="","",IFERROR(SUMIFS('ثبت اطلاعات'!$CF$5:$CF$1204,'ثبت اطلاعات'!$C$5:$C$1204,A51,'ثبت اطلاعات'!$CO$5:$CO$1204,1)/COUNTIFS('ثبت اطلاعات'!$C$5:$C$1204,A51,'ثبت اطلاعات'!$CO$5:$CO$1204,1),""))</x:f>
        <x:v>14.5</x:v>
      </x:c>
      <x:c r="I51" s="178" t="n">
        <x:f>IF(A51="","",IFERROR(SUMIFS('ثبت اطلاعات'!$CG$5:$CG$1204,'ثبت اطلاعات'!$C$5:$C$1204,A51,'ثبت اطلاعات'!$CO$5:$CO$1204,1)/COUNTIFS('ثبت اطلاعات'!$C$5:$C$1204,A51,'ثبت اطلاعات'!$CO$5:$CO$1204,1),""))</x:f>
        <x:v>15.428571428571429</x:v>
      </x:c>
      <x:c r="J51" s="178" t="n">
        <x:f>IF(A51="","",IFERROR(SUMIFS('ثبت اطلاعات'!$CH$5:$CH$1204,'ثبت اطلاعات'!$C$5:$C$1204,A51,'ثبت اطلاعات'!$CO$5:$CO$1204,1)/COUNTIFS('ثبت اطلاعات'!$C$5:$C$1204,A51,'ثبت اطلاعات'!$CO$5:$CO$1204,1),""))</x:f>
        <x:v>15.5</x:v>
      </x:c>
      <x:c r="K51" s="178" t="n">
        <x:f>IF(A51="","",IFERROR(SUMIFS('ثبت اطلاعات'!$CI$5:$CI$1204,'ثبت اطلاعات'!$C$5:$C$1204,A51,'ثبت اطلاعات'!$CO$5:$CO$1204,1)/COUNTIFS('ثبت اطلاعات'!$C$5:$C$1204,A51,'ثبت اطلاعات'!$CO$5:$CO$1204,1),""))</x:f>
        <x:v>14.857142857142858</x:v>
      </x:c>
      <x:c r="L51" s="178" t="n">
        <x:f>IF(A51="","",IFERROR(SUMIFS('ثبت اطلاعات'!$CJ$5:$CJ$1204,'ثبت اطلاعات'!$C$5:$C$1204,A51,'ثبت اطلاعات'!$CO$5:$CO$1204,1)/COUNTIFS('ثبت اطلاعات'!$C$5:$C$1204,A51,'ثبت اطلاعات'!$CO$5:$CO$1204,1),""))</x:f>
        <x:v>15.428571428571429</x:v>
      </x:c>
      <x:c r="M51" s="178" t="n">
        <x:f>IF(A51="","",IFERROR(SUMIFS('ثبت اطلاعات'!$CK$5:$CK$1204,'ثبت اطلاعات'!$C$5:$C$1204,A51,'ثبت اطلاعات'!$CO$5:$CO$1204,1)/COUNTIFS('ثبت اطلاعات'!$C$5:$C$1204,A51,'ثبت اطلاعات'!$CO$5:$CO$1204,1),""))</x:f>
        <x:v>16</x:v>
      </x:c>
      <x:c r="N51" s="178" t="n">
        <x:f>IF(A51="","",IFERROR(SUMIFS('ثبت اطلاعات'!$CL$5:$CL$1204,'ثبت اطلاعات'!$C$5:$C$1204,A51,'ثبت اطلاعات'!$CO$5:$CO$1204,1)/COUNTIFS('ثبت اطلاعات'!$C$5:$C$1204,A51,'ثبت اطلاعات'!$CO$5:$CO$1204,1),""))</x:f>
        <x:v>15.320714285714287</x:v>
      </x:c>
      <x:c r="O51" s="178" t="n">
        <x:f>IF(A51="","",COUNTIFS('ثبت اطلاعات'!$C$5:$C$1204,A51,'ثبت اطلاعات'!$CO$5:$CO$1204,1))</x:f>
        <x:v>1</x:v>
      </x:c>
      <x:c r="P51" s="178" t="n">
        <x:f>IF(O51=0,"",MINIFS('ثبت اطلاعات'!$CN$5:$CN$1204,'ثبت اطلاعات'!$C$5:$C$1204,A51,'ثبت اطلاعات'!$CO$5:$CO$1204,1))</x:f>
        <x:v>1</x:v>
      </x:c>
      <x:c r="Q51" s="178" t="n">
        <x:f>IF(O51=0,"",MAXIFS('ثبت اطلاعات'!$CN$5:$CN$1204,'ثبت اطلاعات'!$C$5:$C$1204,A51,'ثبت اطلاعات'!$CO$5:$CO$1204,1))</x:f>
        <x:v>1</x:v>
      </x:c>
      <x:c r="R51" s="178" t="str">
        <x:f>IF(O51&lt;2,"",SUMIFS('ثبت اطلاعات'!$CL$5:$CL$1204,'ثبت اطلاعات'!$C$5:$C$1204,A51,'ثبت اطلاعات'!$CN$5:$CN$1204,Q51)-SUMIFS('ثبت اطلاعات'!$CL$5:$CL$1204,'ثبت اطلاعات'!$C$5:$C$1204,A51,'ثبت اطلاعات'!$CN$5:$CN$1204,P51))</x:f>
      </x:c>
      <x:c r="S51" s="178" t="str">
        <x:f>IF(A51="","",IF(O51=0,"فاقد ارزیابی نهایی",IF(O51=1,"داده ناکافی",IF(R51&gt;0.5,"پیشرفت",IF(R51&lt;-0.5,"افت","ثبات")))))</x:f>
        <x:v>داده ناکافی</x:v>
      </x:c>
      <x:c r="T51" s="178" t="str">
        <x:f>IF(N51="","",INDEX($E$4:$M$4,1,MATCH(MAX(E51:M51),E51:M51,0)))</x:f>
        <x:v>مهارت‌های فردی</x:v>
      </x:c>
      <x:c r="U51" s="178" t="str">
        <x:f>IF(N51="","",INDEX($E$4:$M$4,1,MATCH(MIN(E51:M51),E51:M51,0)))</x:f>
        <x:v>انضباطی</x:v>
      </x:c>
      <x:c r="V51" s="178" t="str">
        <x:f>IF(N51="","",IF(N51&gt;=17,"عالی",IF(N51&gt;=14,"خوب",IF(N51&gt;=10,"متوسط","ضعیف"))))</x:f>
        <x:v>خوب</x:v>
      </x:c>
      <x:c r="W51" s="178" t="n">
        <x:f>IF(N51="","",RANK.EQ(N51,$N$5:$N$104,0))</x:f>
        <x:v>29</x:v>
      </x:c>
      <x:c r="X51" s="178" t="n">
        <x:f>IF(N51="","",COUNT($N$5:$N$104))</x:f>
        <x:v>100</x:v>
      </x:c>
      <x:c r="Y51" s="142" t="str">
        <x:f>IF(U51="","",IFERROR(INDEX('بانک راهکارها'!$C$5:$C$13,MATCH(U51,'بانک راهکارها'!$B$5:$B$13,0)),""))</x:f>
        <x:v>قواعد روشن، قرارداد رفتاری کوتاه‌مدت و ثبت منظم پیشرفت پیشنهاد می‌شود.</x:v>
      </x:c>
    </x:row>
    <x:row r="52">
      <x:c r="A52" s="165" t="n">
        <x:f>IF('دانش‌آموزان'!L52="","",'دانش‌آموزان'!B52)</x:f>
        <x:v>48</x:v>
      </x:c>
      <x:c r="B52" s="233" t="str">
        <x:f>IF(A52="","",'دانش‌آموزان'!C52)</x:f>
        <x:v>4000000489</x:v>
      </x:c>
      <x:c r="C52" s="233" t="str">
        <x:f>IF(A52="","",'دانش‌آموزان'!E52&amp;" "&amp;'دانش‌آموزان'!F52)</x:f>
        <x:v>نگار جعفری</x:v>
      </x:c>
      <x:c r="D52" s="166" t="str">
        <x:f>IF(A52="","",'دانش‌آموزان'!I52)</x:f>
        <x:v>sample-7-b</x:v>
      </x:c>
      <x:c r="E52" s="141" t="n">
        <x:f>IF(A52="","",IFERROR(SUMIFS('ثبت اطلاعات'!$CC$5:$CC$1204,'ثبت اطلاعات'!$C$5:$C$1204,A52,'ثبت اطلاعات'!$CO$5:$CO$1204,1)/COUNTIFS('ثبت اطلاعات'!$C$5:$C$1204,A52,'ثبت اطلاعات'!$CO$5:$CO$1204,1),""))</x:f>
        <x:v>15.2</x:v>
      </x:c>
      <x:c r="F52" s="178" t="n">
        <x:f>IF(A52="","",IFERROR(SUMIFS('ثبت اطلاعات'!$CD$5:$CD$1204,'ثبت اطلاعات'!$C$5:$C$1204,A52,'ثبت اطلاعات'!$CO$5:$CO$1204,1)/COUNTIFS('ثبت اطلاعات'!$C$5:$C$1204,A52,'ثبت اطلاعات'!$CO$5:$CO$1204,1),""))</x:f>
        <x:v>14.8</x:v>
      </x:c>
      <x:c r="G52" s="178" t="n">
        <x:f>IF(A52="","",IFERROR(SUMIFS('ثبت اطلاعات'!$CE$5:$CE$1204,'ثبت اطلاعات'!$C$5:$C$1204,A52,'ثبت اطلاعات'!$CO$5:$CO$1204,1)/COUNTIFS('ثبت اطلاعات'!$C$5:$C$1204,A52,'ثبت اطلاعات'!$CO$5:$CO$1204,1),""))</x:f>
        <x:v>15.2</x:v>
      </x:c>
      <x:c r="H52" s="178" t="n">
        <x:f>IF(A52="","",IFERROR(SUMIFS('ثبت اطلاعات'!$CF$5:$CF$1204,'ثبت اطلاعات'!$C$5:$C$1204,A52,'ثبت اطلاعات'!$CO$5:$CO$1204,1)/COUNTIFS('ثبت اطلاعات'!$C$5:$C$1204,A52,'ثبت اطلاعات'!$CO$5:$CO$1204,1),""))</x:f>
        <x:v>16.5</x:v>
      </x:c>
      <x:c r="I52" s="178" t="n">
        <x:f>IF(A52="","",IFERROR(SUMIFS('ثبت اطلاعات'!$CG$5:$CG$1204,'ثبت اطلاعات'!$C$5:$C$1204,A52,'ثبت اطلاعات'!$CO$5:$CO$1204,1)/COUNTIFS('ثبت اطلاعات'!$C$5:$C$1204,A52,'ثبت اطلاعات'!$CO$5:$CO$1204,1),""))</x:f>
        <x:v>15.428571428571429</x:v>
      </x:c>
      <x:c r="J52" s="178" t="n">
        <x:f>IF(A52="","",IFERROR(SUMIFS('ثبت اطلاعات'!$CH$5:$CH$1204,'ثبت اطلاعات'!$C$5:$C$1204,A52,'ثبت اطلاعات'!$CO$5:$CO$1204,1)/COUNTIFS('ثبت اطلاعات'!$C$5:$C$1204,A52,'ثبت اطلاعات'!$CO$5:$CO$1204,1),""))</x:f>
        <x:v>14</x:v>
      </x:c>
      <x:c r="K52" s="178" t="n">
        <x:f>IF(A52="","",IFERROR(SUMIFS('ثبت اطلاعات'!$CI$5:$CI$1204,'ثبت اطلاعات'!$C$5:$C$1204,A52,'ثبت اطلاعات'!$CO$5:$CO$1204,1)/COUNTIFS('ثبت اطلاعات'!$C$5:$C$1204,A52,'ثبت اطلاعات'!$CO$5:$CO$1204,1),""))</x:f>
        <x:v>16.571428571428573</x:v>
      </x:c>
      <x:c r="L52" s="178" t="n">
        <x:f>IF(A52="","",IFERROR(SUMIFS('ثبت اطلاعات'!$CJ$5:$CJ$1204,'ثبت اطلاعات'!$C$5:$C$1204,A52,'ثبت اطلاعات'!$CO$5:$CO$1204,1)/COUNTIFS('ثبت اطلاعات'!$C$5:$C$1204,A52,'ثبت اطلاعات'!$CO$5:$CO$1204,1),""))</x:f>
        <x:v>15.428571428571429</x:v>
      </x:c>
      <x:c r="M52" s="178" t="n">
        <x:f>IF(A52="","",IFERROR(SUMIFS('ثبت اطلاعات'!$CK$5:$CK$1204,'ثبت اطلاعات'!$C$5:$C$1204,A52,'ثبت اطلاعات'!$CO$5:$CO$1204,1)/COUNTIFS('ثبت اطلاعات'!$C$5:$C$1204,A52,'ثبت اطلاعات'!$CO$5:$CO$1204,1),""))</x:f>
        <x:v>13.714285714285714</x:v>
      </x:c>
      <x:c r="N52" s="178" t="n">
        <x:f>IF(A52="","",IFERROR(SUMIFS('ثبت اطلاعات'!$CL$5:$CL$1204,'ثبت اطلاعات'!$C$5:$C$1204,A52,'ثبت اطلاعات'!$CO$5:$CO$1204,1)/COUNTIFS('ثبت اطلاعات'!$C$5:$C$1204,A52,'ثبت اطلاعات'!$CO$5:$CO$1204,1),""))</x:f>
        <x:v>15.260714285714286</x:v>
      </x:c>
      <x:c r="O52" s="178" t="n">
        <x:f>IF(A52="","",COUNTIFS('ثبت اطلاعات'!$C$5:$C$1204,A52,'ثبت اطلاعات'!$CO$5:$CO$1204,1))</x:f>
        <x:v>1</x:v>
      </x:c>
      <x:c r="P52" s="178" t="n">
        <x:f>IF(O52=0,"",MINIFS('ثبت اطلاعات'!$CN$5:$CN$1204,'ثبت اطلاعات'!$C$5:$C$1204,A52,'ثبت اطلاعات'!$CO$5:$CO$1204,1))</x:f>
        <x:v>1</x:v>
      </x:c>
      <x:c r="Q52" s="178" t="n">
        <x:f>IF(O52=0,"",MAXIFS('ثبت اطلاعات'!$CN$5:$CN$1204,'ثبت اطلاعات'!$C$5:$C$1204,A52,'ثبت اطلاعات'!$CO$5:$CO$1204,1))</x:f>
        <x:v>1</x:v>
      </x:c>
      <x:c r="R52" s="178" t="str">
        <x:f>IF(O52&lt;2,"",SUMIFS('ثبت اطلاعات'!$CL$5:$CL$1204,'ثبت اطلاعات'!$C$5:$C$1204,A52,'ثبت اطلاعات'!$CN$5:$CN$1204,Q52)-SUMIFS('ثبت اطلاعات'!$CL$5:$CL$1204,'ثبت اطلاعات'!$C$5:$C$1204,A52,'ثبت اطلاعات'!$CN$5:$CN$1204,P52))</x:f>
      </x:c>
      <x:c r="S52" s="178" t="str">
        <x:f>IF(A52="","",IF(O52=0,"فاقد ارزیابی نهایی",IF(O52=1,"داده ناکافی",IF(R52&gt;0.5,"پیشرفت",IF(R52&lt;-0.5,"افت","ثبات")))))</x:f>
        <x:v>داده ناکافی</x:v>
      </x:c>
      <x:c r="T52" s="178" t="str">
        <x:f>IF(N52="","",INDEX($E$4:$M$4,1,MATCH(MAX(E52:M52),E52:M52,0)))</x:f>
        <x:v>ورزشی</x:v>
      </x:c>
      <x:c r="U52" s="178" t="str">
        <x:f>IF(N52="","",INDEX($E$4:$M$4,1,MATCH(MIN(E52:M52),E52:M52,0)))</x:f>
        <x:v>مهارت‌های فردی</x:v>
      </x:c>
      <x:c r="V52" s="178" t="str">
        <x:f>IF(N52="","",IF(N52&gt;=17,"عالی",IF(N52&gt;=14,"خوب",IF(N52&gt;=10,"متوسط","ضعیف"))))</x:f>
        <x:v>خوب</x:v>
      </x:c>
      <x:c r="W52" s="178" t="n">
        <x:f>IF(N52="","",RANK.EQ(N52,$N$5:$N$104,0))</x:f>
        <x:v>56</x:v>
      </x:c>
      <x:c r="X52" s="178" t="n">
        <x:f>IF(N52="","",COUNT($N$5:$N$104))</x:f>
        <x:v>100</x:v>
      </x:c>
      <x:c r="Y52" s="142" t="str">
        <x:f>IF(U52="","",IFERROR(INDEX('بانک راهکارها'!$C$5:$C$13,MATCH(U52,'بانک راهکارها'!$B$5:$B$13,0)),""))</x:f>
        <x:v>تمرین برنامه‌ریزی هفتگی، ارتباط مؤثر و کار تیمی پیشنهاد می‌شود.</x:v>
      </x:c>
    </x:row>
    <x:row r="53">
      <x:c r="A53" s="165" t="n">
        <x:f>IF('دانش‌آموزان'!L53="","",'دانش‌آموزان'!B53)</x:f>
        <x:v>49</x:v>
      </x:c>
      <x:c r="B53" s="233" t="str">
        <x:f>IF(A53="","",'دانش‌آموزان'!C53)</x:f>
        <x:v>4000000497</x:v>
      </x:c>
      <x:c r="C53" s="233" t="str">
        <x:f>IF(A53="","",'دانش‌آموزان'!E53&amp;" "&amp;'دانش‌آموزان'!F53)</x:f>
        <x:v>سام امینی</x:v>
      </x:c>
      <x:c r="D53" s="166" t="str">
        <x:f>IF(A53="","",'دانش‌آموزان'!I53)</x:f>
        <x:v>sample-7-b</x:v>
      </x:c>
      <x:c r="E53" s="141" t="n">
        <x:f>IF(A53="","",IFERROR(SUMIFS('ثبت اطلاعات'!$CC$5:$CC$1204,'ثبت اطلاعات'!$C$5:$C$1204,A53,'ثبت اطلاعات'!$CO$5:$CO$1204,1)/COUNTIFS('ثبت اطلاعات'!$C$5:$C$1204,A53,'ثبت اطلاعات'!$CO$5:$CO$1204,1),""))</x:f>
        <x:v>15.2</x:v>
      </x:c>
      <x:c r="F53" s="178" t="n">
        <x:f>IF(A53="","",IFERROR(SUMIFS('ثبت اطلاعات'!$CD$5:$CD$1204,'ثبت اطلاعات'!$C$5:$C$1204,A53,'ثبت اطلاعات'!$CO$5:$CO$1204,1)/COUNTIFS('ثبت اطلاعات'!$C$5:$C$1204,A53,'ثبت اطلاعات'!$CO$5:$CO$1204,1),""))</x:f>
        <x:v>15.6</x:v>
      </x:c>
      <x:c r="G53" s="178" t="n">
        <x:f>IF(A53="","",IFERROR(SUMIFS('ثبت اطلاعات'!$CE$5:$CE$1204,'ثبت اطلاعات'!$C$5:$C$1204,A53,'ثبت اطلاعات'!$CO$5:$CO$1204,1)/COUNTIFS('ثبت اطلاعات'!$C$5:$C$1204,A53,'ثبت اطلاعات'!$CO$5:$CO$1204,1),""))</x:f>
        <x:v>14.8</x:v>
      </x:c>
      <x:c r="H53" s="178" t="n">
        <x:f>IF(A53="","",IFERROR(SUMIFS('ثبت اطلاعات'!$CF$5:$CF$1204,'ثبت اطلاعات'!$C$5:$C$1204,A53,'ثبت اطلاعات'!$CO$5:$CO$1204,1)/COUNTIFS('ثبت اطلاعات'!$C$5:$C$1204,A53,'ثبت اطلاعات'!$CO$5:$CO$1204,1),""))</x:f>
        <x:v>15</x:v>
      </x:c>
      <x:c r="I53" s="178" t="n">
        <x:f>IF(A53="","",IFERROR(SUMIFS('ثبت اطلاعات'!$CG$5:$CG$1204,'ثبت اطلاعات'!$C$5:$C$1204,A53,'ثبت اطلاعات'!$CO$5:$CO$1204,1)/COUNTIFS('ثبت اطلاعات'!$C$5:$C$1204,A53,'ثبت اطلاعات'!$CO$5:$CO$1204,1),""))</x:f>
        <x:v>15.428571428571429</x:v>
      </x:c>
      <x:c r="J53" s="178" t="n">
        <x:f>IF(A53="","",IFERROR(SUMIFS('ثبت اطلاعات'!$CH$5:$CH$1204,'ثبت اطلاعات'!$C$5:$C$1204,A53,'ثبت اطلاعات'!$CO$5:$CO$1204,1)/COUNTIFS('ثبت اطلاعات'!$C$5:$C$1204,A53,'ثبت اطلاعات'!$CO$5:$CO$1204,1),""))</x:f>
        <x:v>16</x:v>
      </x:c>
      <x:c r="K53" s="178" t="n">
        <x:f>IF(A53="","",IFERROR(SUMIFS('ثبت اطلاعات'!$CI$5:$CI$1204,'ثبت اطلاعات'!$C$5:$C$1204,A53,'ثبت اطلاعات'!$CO$5:$CO$1204,1)/COUNTIFS('ثبت اطلاعات'!$C$5:$C$1204,A53,'ثبت اطلاعات'!$CO$5:$CO$1204,1),""))</x:f>
        <x:v>14.285714285714286</x:v>
      </x:c>
      <x:c r="L53" s="178" t="n">
        <x:f>IF(A53="","",IFERROR(SUMIFS('ثبت اطلاعات'!$CJ$5:$CJ$1204,'ثبت اطلاعات'!$C$5:$C$1204,A53,'ثبت اطلاعات'!$CO$5:$CO$1204,1)/COUNTIFS('ثبت اطلاعات'!$C$5:$C$1204,A53,'ثبت اطلاعات'!$CO$5:$CO$1204,1),""))</x:f>
        <x:v>15.428571428571429</x:v>
      </x:c>
      <x:c r="M53" s="178" t="n">
        <x:f>IF(A53="","",IFERROR(SUMIFS('ثبت اطلاعات'!$CK$5:$CK$1204,'ثبت اطلاعات'!$C$5:$C$1204,A53,'ثبت اطلاعات'!$CO$5:$CO$1204,1)/COUNTIFS('ثبت اطلاعات'!$C$5:$C$1204,A53,'ثبت اطلاعات'!$CO$5:$CO$1204,1),""))</x:f>
        <x:v>15.428571428571429</x:v>
      </x:c>
      <x:c r="N53" s="178" t="n">
        <x:f>IF(A53="","",IFERROR(SUMIFS('ثبت اطلاعات'!$CL$5:$CL$1204,'ثبت اطلاعات'!$C$5:$C$1204,A53,'ثبت اطلاعات'!$CO$5:$CO$1204,1)/COUNTIFS('ثبت اطلاعات'!$C$5:$C$1204,A53,'ثبت اطلاعات'!$CO$5:$CO$1204,1),""))</x:f>
        <x:v>15.215714285714286</x:v>
      </x:c>
      <x:c r="O53" s="178" t="n">
        <x:f>IF(A53="","",COUNTIFS('ثبت اطلاعات'!$C$5:$C$1204,A53,'ثبت اطلاعات'!$CO$5:$CO$1204,1))</x:f>
        <x:v>1</x:v>
      </x:c>
      <x:c r="P53" s="178" t="n">
        <x:f>IF(O53=0,"",MINIFS('ثبت اطلاعات'!$CN$5:$CN$1204,'ثبت اطلاعات'!$C$5:$C$1204,A53,'ثبت اطلاعات'!$CO$5:$CO$1204,1))</x:f>
        <x:v>1</x:v>
      </x:c>
      <x:c r="Q53" s="178" t="n">
        <x:f>IF(O53=0,"",MAXIFS('ثبت اطلاعات'!$CN$5:$CN$1204,'ثبت اطلاعات'!$C$5:$C$1204,A53,'ثبت اطلاعات'!$CO$5:$CO$1204,1))</x:f>
        <x:v>1</x:v>
      </x:c>
      <x:c r="R53" s="178" t="str">
        <x:f>IF(O53&lt;2,"",SUMIFS('ثبت اطلاعات'!$CL$5:$CL$1204,'ثبت اطلاعات'!$C$5:$C$1204,A53,'ثبت اطلاعات'!$CN$5:$CN$1204,Q53)-SUMIFS('ثبت اطلاعات'!$CL$5:$CL$1204,'ثبت اطلاعات'!$C$5:$C$1204,A53,'ثبت اطلاعات'!$CN$5:$CN$1204,P53))</x:f>
      </x:c>
      <x:c r="S53" s="178" t="str">
        <x:f>IF(A53="","",IF(O53=0,"فاقد ارزیابی نهایی",IF(O53=1,"داده ناکافی",IF(R53&gt;0.5,"پیشرفت",IF(R53&lt;-0.5,"افت","ثبات")))))</x:f>
        <x:v>داده ناکافی</x:v>
      </x:c>
      <x:c r="T53" s="178" t="str">
        <x:f>IF(N53="","",INDEX($E$4:$M$4,1,MATCH(MAX(E53:M53),E53:M53,0)))</x:f>
        <x:v>پژوهشی</x:v>
      </x:c>
      <x:c r="U53" s="178" t="str">
        <x:f>IF(N53="","",INDEX($E$4:$M$4,1,MATCH(MIN(E53:M53),E53:M53,0)))</x:f>
        <x:v>ورزشی</x:v>
      </x:c>
      <x:c r="V53" s="178" t="str">
        <x:f>IF(N53="","",IF(N53&gt;=17,"عالی",IF(N53&gt;=14,"خوب",IF(N53&gt;=10,"متوسط","ضعیف"))))</x:f>
        <x:v>خوب</x:v>
      </x:c>
      <x:c r="W53" s="178" t="n">
        <x:f>IF(N53="","",RANK.EQ(N53,$N$5:$N$104,0))</x:f>
        <x:v>65</x:v>
      </x:c>
      <x:c r="X53" s="178" t="n">
        <x:f>IF(N53="","",COUNT($N$5:$N$104))</x:f>
        <x:v>100</x:v>
      </x:c>
      <x:c r="Y53" s="142" t="str">
        <x:f>IF(U53="","",IFERROR(INDEX('بانک راهکارها'!$C$5:$C$13,MATCH(U53,'بانک راهکارها'!$B$5:$B$13,0)),""))</x:f>
        <x:v>برنامه فعالیت بدنی منظم و مشارکت در ورزش گروهی پیشنهاد می‌شود.</x:v>
      </x:c>
    </x:row>
    <x:row r="54">
      <x:c r="A54" s="165" t="n">
        <x:f>IF('دانش‌آموزان'!L54="","",'دانش‌آموزان'!B54)</x:f>
        <x:v>50</x:v>
      </x:c>
      <x:c r="B54" s="233" t="str">
        <x:f>IF(A54="","",'دانش‌آموزان'!C54)</x:f>
        <x:v>4000000500</x:v>
      </x:c>
      <x:c r="C54" s="233" t="str">
        <x:f>IF(A54="","",'دانش‌آموزان'!E54&amp;" "&amp;'دانش‌آموزان'!F54)</x:f>
        <x:v>هلیا کریمی</x:v>
      </x:c>
      <x:c r="D54" s="166" t="str">
        <x:f>IF(A54="","",'دانش‌آموزان'!I54)</x:f>
        <x:v>sample-7-b</x:v>
      </x:c>
      <x:c r="E54" s="141" t="n">
        <x:f>IF(A54="","",IFERROR(SUMIFS('ثبت اطلاعات'!$CC$5:$CC$1204,'ثبت اطلاعات'!$C$5:$C$1204,A54,'ثبت اطلاعات'!$CO$5:$CO$1204,1)/COUNTIFS('ثبت اطلاعات'!$C$5:$C$1204,A54,'ثبت اطلاعات'!$CO$5:$CO$1204,1),""))</x:f>
        <x:v>14.8</x:v>
      </x:c>
      <x:c r="F54" s="178" t="n">
        <x:f>IF(A54="","",IFERROR(SUMIFS('ثبت اطلاعات'!$CD$5:$CD$1204,'ثبت اطلاعات'!$C$5:$C$1204,A54,'ثبت اطلاعات'!$CO$5:$CO$1204,1)/COUNTIFS('ثبت اطلاعات'!$C$5:$C$1204,A54,'ثبت اطلاعات'!$CO$5:$CO$1204,1),""))</x:f>
        <x:v>15.2</x:v>
      </x:c>
      <x:c r="G54" s="178" t="n">
        <x:f>IF(A54="","",IFERROR(SUMIFS('ثبت اطلاعات'!$CE$5:$CE$1204,'ثبت اطلاعات'!$C$5:$C$1204,A54,'ثبت اطلاعات'!$CO$5:$CO$1204,1)/COUNTIFS('ثبت اطلاعات'!$C$5:$C$1204,A54,'ثبت اطلاعات'!$CO$5:$CO$1204,1),""))</x:f>
        <x:v>16</x:v>
      </x:c>
      <x:c r="H54" s="178" t="n">
        <x:f>IF(A54="","",IFERROR(SUMIFS('ثبت اطلاعات'!$CF$5:$CF$1204,'ثبت اطلاعات'!$C$5:$C$1204,A54,'ثبت اطلاعات'!$CO$5:$CO$1204,1)/COUNTIFS('ثبت اطلاعات'!$C$5:$C$1204,A54,'ثبت اطلاعات'!$CO$5:$CO$1204,1),""))</x:f>
        <x:v>15.5</x:v>
      </x:c>
      <x:c r="I54" s="178" t="n">
        <x:f>IF(A54="","",IFERROR(SUMIFS('ثبت اطلاعات'!$CG$5:$CG$1204,'ثبت اطلاعات'!$C$5:$C$1204,A54,'ثبت اطلاعات'!$CO$5:$CO$1204,1)/COUNTIFS('ثبت اطلاعات'!$C$5:$C$1204,A54,'ثبت اطلاعات'!$CO$5:$CO$1204,1),""))</x:f>
        <x:v>14.857142857142858</x:v>
      </x:c>
      <x:c r="J54" s="178" t="n">
        <x:f>IF(A54="","",IFERROR(SUMIFS('ثبت اطلاعات'!$CH$5:$CH$1204,'ثبت اطلاعات'!$C$5:$C$1204,A54,'ثبت اطلاعات'!$CO$5:$CO$1204,1)/COUNTIFS('ثبت اطلاعات'!$C$5:$C$1204,A54,'ثبت اطلاعات'!$CO$5:$CO$1204,1),""))</x:f>
        <x:v>14.5</x:v>
      </x:c>
      <x:c r="K54" s="178" t="n">
        <x:f>IF(A54="","",IFERROR(SUMIFS('ثبت اطلاعات'!$CI$5:$CI$1204,'ثبت اطلاعات'!$C$5:$C$1204,A54,'ثبت اطلاعات'!$CO$5:$CO$1204,1)/COUNTIFS('ثبت اطلاعات'!$C$5:$C$1204,A54,'ثبت اطلاعات'!$CO$5:$CO$1204,1),""))</x:f>
        <x:v>16.571428571428573</x:v>
      </x:c>
      <x:c r="L54" s="178" t="n">
        <x:f>IF(A54="","",IFERROR(SUMIFS('ثبت اطلاعات'!$CJ$5:$CJ$1204,'ثبت اطلاعات'!$C$5:$C$1204,A54,'ثبت اطلاعات'!$CO$5:$CO$1204,1)/COUNTIFS('ثبت اطلاعات'!$C$5:$C$1204,A54,'ثبت اطلاعات'!$CO$5:$CO$1204,1),""))</x:f>
        <x:v>14.857142857142858</x:v>
      </x:c>
      <x:c r="M54" s="178" t="n">
        <x:f>IF(A54="","",IFERROR(SUMIFS('ثبت اطلاعات'!$CK$5:$CK$1204,'ثبت اطلاعات'!$C$5:$C$1204,A54,'ثبت اطلاعات'!$CO$5:$CO$1204,1)/COUNTIFS('ثبت اطلاعات'!$C$5:$C$1204,A54,'ثبت اطلاعات'!$CO$5:$CO$1204,1),""))</x:f>
        <x:v>15.428571428571429</x:v>
      </x:c>
      <x:c r="N54" s="178" t="n">
        <x:f>IF(A54="","",IFERROR(SUMIFS('ثبت اطلاعات'!$CL$5:$CL$1204,'ثبت اطلاعات'!$C$5:$C$1204,A54,'ثبت اطلاعات'!$CO$5:$CO$1204,1)/COUNTIFS('ثبت اطلاعات'!$C$5:$C$1204,A54,'ثبت اطلاعات'!$CO$5:$CO$1204,1),""))</x:f>
        <x:v>15.29642857142857</x:v>
      </x:c>
      <x:c r="O54" s="178" t="n">
        <x:f>IF(A54="","",COUNTIFS('ثبت اطلاعات'!$C$5:$C$1204,A54,'ثبت اطلاعات'!$CO$5:$CO$1204,1))</x:f>
        <x:v>1</x:v>
      </x:c>
      <x:c r="P54" s="178" t="n">
        <x:f>IF(O54=0,"",MINIFS('ثبت اطلاعات'!$CN$5:$CN$1204,'ثبت اطلاعات'!$C$5:$C$1204,A54,'ثبت اطلاعات'!$CO$5:$CO$1204,1))</x:f>
        <x:v>1</x:v>
      </x:c>
      <x:c r="Q54" s="178" t="n">
        <x:f>IF(O54=0,"",MAXIFS('ثبت اطلاعات'!$CN$5:$CN$1204,'ثبت اطلاعات'!$C$5:$C$1204,A54,'ثبت اطلاعات'!$CO$5:$CO$1204,1))</x:f>
        <x:v>1</x:v>
      </x:c>
      <x:c r="R54" s="178" t="str">
        <x:f>IF(O54&lt;2,"",SUMIFS('ثبت اطلاعات'!$CL$5:$CL$1204,'ثبت اطلاعات'!$C$5:$C$1204,A54,'ثبت اطلاعات'!$CN$5:$CN$1204,Q54)-SUMIFS('ثبت اطلاعات'!$CL$5:$CL$1204,'ثبت اطلاعات'!$C$5:$C$1204,A54,'ثبت اطلاعات'!$CN$5:$CN$1204,P54))</x:f>
      </x:c>
      <x:c r="S54" s="178" t="str">
        <x:f>IF(A54="","",IF(O54=0,"فاقد ارزیابی نهایی",IF(O54=1,"داده ناکافی",IF(R54&gt;0.5,"پیشرفت",IF(R54&lt;-0.5,"افت","ثبات")))))</x:f>
        <x:v>داده ناکافی</x:v>
      </x:c>
      <x:c r="T54" s="178" t="str">
        <x:f>IF(N54="","",INDEX($E$4:$M$4,1,MATCH(MAX(E54:M54),E54:M54,0)))</x:f>
        <x:v>ورزشی</x:v>
      </x:c>
      <x:c r="U54" s="178" t="str">
        <x:f>IF(N54="","",INDEX($E$4:$M$4,1,MATCH(MIN(E54:M54),E54:M54,0)))</x:f>
        <x:v>پژوهشی</x:v>
      </x:c>
      <x:c r="V54" s="178" t="str">
        <x:f>IF(N54="","",IF(N54&gt;=17,"عالی",IF(N54&gt;=14,"خوب",IF(N54&gt;=10,"متوسط","ضعیف"))))</x:f>
        <x:v>خوب</x:v>
      </x:c>
      <x:c r="W54" s="178" t="n">
        <x:f>IF(N54="","",RANK.EQ(N54,$N$5:$N$104,0))</x:f>
        <x:v>38</x:v>
      </x:c>
      <x:c r="X54" s="178" t="n">
        <x:f>IF(N54="","",COUNT($N$5:$N$104))</x:f>
        <x:v>100</x:v>
      </x:c>
      <x:c r="Y54" s="142" t="str">
        <x:f>IF(U54="","",IFERROR(INDEX('بانک راهکارها'!$C$5:$C$13,MATCH(U54,'بانک راهکارها'!$B$5:$B$13,0)),""))</x:f>
        <x:v>یک پروژه کوچک پژوهشی با منابع مشخص و ارائه کوتاه پیشنهاد می‌شود.</x:v>
      </x:c>
    </x:row>
    <x:row r="55">
      <x:c r="A55" s="165" t="n">
        <x:f>IF('دانش‌آموزان'!L55="","",'دانش‌آموزان'!B55)</x:f>
        <x:v>51</x:v>
      </x:c>
      <x:c r="B55" s="233" t="str">
        <x:f>IF(A55="","",'دانش‌آموزان'!C55)</x:f>
        <x:v>4000000519</x:v>
      </x:c>
      <x:c r="C55" s="233" t="str">
        <x:f>IF(A55="","",'دانش‌آموزان'!E55&amp;" "&amp;'دانش‌آموزان'!F55)</x:f>
        <x:v>پارسا موسوی</x:v>
      </x:c>
      <x:c r="D55" s="166" t="str">
        <x:f>IF(A55="","",'دانش‌آموزان'!I55)</x:f>
        <x:v>sample-7-c</x:v>
      </x:c>
      <x:c r="E55" s="141" t="n">
        <x:f>IF(A55="","",IFERROR(SUMIFS('ثبت اطلاعات'!$CC$5:$CC$1204,'ثبت اطلاعات'!$C$5:$C$1204,A55,'ثبت اطلاعات'!$CO$5:$CO$1204,1)/COUNTIFS('ثبت اطلاعات'!$C$5:$C$1204,A55,'ثبت اطلاعات'!$CO$5:$CO$1204,1),""))</x:f>
        <x:v>15.6</x:v>
      </x:c>
      <x:c r="F55" s="178" t="n">
        <x:f>IF(A55="","",IFERROR(SUMIFS('ثبت اطلاعات'!$CD$5:$CD$1204,'ثبت اطلاعات'!$C$5:$C$1204,A55,'ثبت اطلاعات'!$CO$5:$CO$1204,1)/COUNTIFS('ثبت اطلاعات'!$C$5:$C$1204,A55,'ثبت اطلاعات'!$CO$5:$CO$1204,1),""))</x:f>
        <x:v>14.8</x:v>
      </x:c>
      <x:c r="G55" s="178" t="n">
        <x:f>IF(A55="","",IFERROR(SUMIFS('ثبت اطلاعات'!$CE$5:$CE$1204,'ثبت اطلاعات'!$C$5:$C$1204,A55,'ثبت اطلاعات'!$CO$5:$CO$1204,1)/COUNTIFS('ثبت اطلاعات'!$C$5:$C$1204,A55,'ثبت اطلاعات'!$CO$5:$CO$1204,1),""))</x:f>
        <x:v>15.6</x:v>
      </x:c>
      <x:c r="H55" s="178" t="n">
        <x:f>IF(A55="","",IFERROR(SUMIFS('ثبت اطلاعات'!$CF$5:$CF$1204,'ثبت اطلاعات'!$C$5:$C$1204,A55,'ثبت اطلاعات'!$CO$5:$CO$1204,1)/COUNTIFS('ثبت اطلاعات'!$C$5:$C$1204,A55,'ثبت اطلاعات'!$CO$5:$CO$1204,1),""))</x:f>
        <x:v>14</x:v>
      </x:c>
      <x:c r="I55" s="178" t="n">
        <x:f>IF(A55="","",IFERROR(SUMIFS('ثبت اطلاعات'!$CG$5:$CG$1204,'ثبت اطلاعات'!$C$5:$C$1204,A55,'ثبت اطلاعات'!$CO$5:$CO$1204,1)/COUNTIFS('ثبت اطلاعات'!$C$5:$C$1204,A55,'ثبت اطلاعات'!$CO$5:$CO$1204,1),""))</x:f>
        <x:v>16.571428571428573</x:v>
      </x:c>
      <x:c r="J55" s="178" t="n">
        <x:f>IF(A55="","",IFERROR(SUMIFS('ثبت اطلاعات'!$CH$5:$CH$1204,'ثبت اطلاعات'!$C$5:$C$1204,A55,'ثبت اطلاعات'!$CO$5:$CO$1204,1)/COUNTIFS('ثبت اطلاعات'!$C$5:$C$1204,A55,'ثبت اطلاعات'!$CO$5:$CO$1204,1),""))</x:f>
        <x:v>15</x:v>
      </x:c>
      <x:c r="K55" s="178" t="n">
        <x:f>IF(A55="","",IFERROR(SUMIFS('ثبت اطلاعات'!$CI$5:$CI$1204,'ثبت اطلاعات'!$C$5:$C$1204,A55,'ثبت اطلاعات'!$CO$5:$CO$1204,1)/COUNTIFS('ثبت اطلاعات'!$C$5:$C$1204,A55,'ثبت اطلاعات'!$CO$5:$CO$1204,1),""))</x:f>
        <x:v>14.285714285714286</x:v>
      </x:c>
      <x:c r="L55" s="178" t="n">
        <x:f>IF(A55="","",IFERROR(SUMIFS('ثبت اطلاعات'!$CJ$5:$CJ$1204,'ثبت اطلاعات'!$C$5:$C$1204,A55,'ثبت اطلاعات'!$CO$5:$CO$1204,1)/COUNTIFS('ثبت اطلاعات'!$C$5:$C$1204,A55,'ثبت اطلاعات'!$CO$5:$CO$1204,1),""))</x:f>
        <x:v>16.571428571428573</x:v>
      </x:c>
      <x:c r="M55" s="178" t="n">
        <x:f>IF(A55="","",IFERROR(SUMIFS('ثبت اطلاعات'!$CK$5:$CK$1204,'ثبت اطلاعات'!$C$5:$C$1204,A55,'ثبت اطلاعات'!$CO$5:$CO$1204,1)/COUNTIFS('ثبت اطلاعات'!$C$5:$C$1204,A55,'ثبت اطلاعات'!$CO$5:$CO$1204,1),""))</x:f>
        <x:v>15.428571428571429</x:v>
      </x:c>
      <x:c r="N55" s="178" t="n">
        <x:f>IF(A55="","",IFERROR(SUMIFS('ثبت اطلاعات'!$CL$5:$CL$1204,'ثبت اطلاعات'!$C$5:$C$1204,A55,'ثبت اطلاعات'!$CO$5:$CO$1204,1)/COUNTIFS('ثبت اطلاعات'!$C$5:$C$1204,A55,'ثبت اطلاعات'!$CO$5:$CO$1204,1),""))</x:f>
        <x:v>15.214285714285715</x:v>
      </x:c>
      <x:c r="O55" s="178" t="n">
        <x:f>IF(A55="","",COUNTIFS('ثبت اطلاعات'!$C$5:$C$1204,A55,'ثبت اطلاعات'!$CO$5:$CO$1204,1))</x:f>
        <x:v>1</x:v>
      </x:c>
      <x:c r="P55" s="178" t="n">
        <x:f>IF(O55=0,"",MINIFS('ثبت اطلاعات'!$CN$5:$CN$1204,'ثبت اطلاعات'!$C$5:$C$1204,A55,'ثبت اطلاعات'!$CO$5:$CO$1204,1))</x:f>
        <x:v>1</x:v>
      </x:c>
      <x:c r="Q55" s="178" t="n">
        <x:f>IF(O55=0,"",MAXIFS('ثبت اطلاعات'!$CN$5:$CN$1204,'ثبت اطلاعات'!$C$5:$C$1204,A55,'ثبت اطلاعات'!$CO$5:$CO$1204,1))</x:f>
        <x:v>1</x:v>
      </x:c>
      <x:c r="R55" s="178" t="str">
        <x:f>IF(O55&lt;2,"",SUMIFS('ثبت اطلاعات'!$CL$5:$CL$1204,'ثبت اطلاعات'!$C$5:$C$1204,A55,'ثبت اطلاعات'!$CN$5:$CN$1204,Q55)-SUMIFS('ثبت اطلاعات'!$CL$5:$CL$1204,'ثبت اطلاعات'!$C$5:$C$1204,A55,'ثبت اطلاعات'!$CN$5:$CN$1204,P55))</x:f>
      </x:c>
      <x:c r="S55" s="178" t="str">
        <x:f>IF(A55="","",IF(O55=0,"فاقد ارزیابی نهایی",IF(O55=1,"داده ناکافی",IF(R55&gt;0.5,"پیشرفت",IF(R55&lt;-0.5,"افت","ثبات")))))</x:f>
        <x:v>داده ناکافی</x:v>
      </x:c>
      <x:c r="T55" s="178" t="str">
        <x:f>IF(N55="","",INDEX($E$4:$M$4,1,MATCH(MAX(E55:M55),E55:M55,0)))</x:f>
        <x:v>فرهنگی</x:v>
      </x:c>
      <x:c r="U55" s="178" t="str">
        <x:f>IF(N55="","",INDEX($E$4:$M$4,1,MATCH(MIN(E55:M55),E55:M55,0)))</x:f>
        <x:v>انضباطی</x:v>
      </x:c>
      <x:c r="V55" s="178" t="str">
        <x:f>IF(N55="","",IF(N55&gt;=17,"عالی",IF(N55&gt;=14,"خوب",IF(N55&gt;=10,"متوسط","ضعیف"))))</x:f>
        <x:v>خوب</x:v>
      </x:c>
      <x:c r="W55" s="178" t="n">
        <x:f>IF(N55="","",RANK.EQ(N55,$N$5:$N$104,0))</x:f>
        <x:v>74</x:v>
      </x:c>
      <x:c r="X55" s="178" t="n">
        <x:f>IF(N55="","",COUNT($N$5:$N$104))</x:f>
        <x:v>100</x:v>
      </x:c>
      <x:c r="Y55" s="142" t="str">
        <x:f>IF(U55="","",IFERROR(INDEX('بانک راهکارها'!$C$5:$C$13,MATCH(U55,'بانک راهکارها'!$B$5:$B$13,0)),""))</x:f>
        <x:v>قواعد روشن، قرارداد رفتاری کوتاه‌مدت و ثبت منظم پیشرفت پیشنهاد می‌شود.</x:v>
      </x:c>
    </x:row>
    <x:row r="56">
      <x:c r="A56" s="165" t="n">
        <x:f>IF('دانش‌آموزان'!L56="","",'دانش‌آموزان'!B56)</x:f>
        <x:v>52</x:v>
      </x:c>
      <x:c r="B56" s="233" t="str">
        <x:f>IF(A56="","",'دانش‌آموزان'!C56)</x:f>
        <x:v>4000000527</x:v>
      </x:c>
      <x:c r="C56" s="233" t="str">
        <x:f>IF(A56="","",'دانش‌آموزان'!E56&amp;" "&amp;'دانش‌آموزان'!F56)</x:f>
        <x:v>رها یوسفی</x:v>
      </x:c>
      <x:c r="D56" s="166" t="str">
        <x:f>IF(A56="","",'دانش‌آموزان'!I56)</x:f>
        <x:v>sample-7-c</x:v>
      </x:c>
      <x:c r="E56" s="141" t="n">
        <x:f>IF(A56="","",IFERROR(SUMIFS('ثبت اطلاعات'!$CC$5:$CC$1204,'ثبت اطلاعات'!$C$5:$C$1204,A56,'ثبت اطلاعات'!$CO$5:$CO$1204,1)/COUNTIFS('ثبت اطلاعات'!$C$5:$C$1204,A56,'ثبت اطلاعات'!$CO$5:$CO$1204,1),""))</x:f>
        <x:v>15.2</x:v>
      </x:c>
      <x:c r="F56" s="178" t="n">
        <x:f>IF(A56="","",IFERROR(SUMIFS('ثبت اطلاعات'!$CD$5:$CD$1204,'ثبت اطلاعات'!$C$5:$C$1204,A56,'ثبت اطلاعات'!$CO$5:$CO$1204,1)/COUNTIFS('ثبت اطلاعات'!$C$5:$C$1204,A56,'ثبت اطلاعات'!$CO$5:$CO$1204,1),""))</x:f>
        <x:v>16</x:v>
      </x:c>
      <x:c r="G56" s="178" t="n">
        <x:f>IF(A56="","",IFERROR(SUMIFS('ثبت اطلاعات'!$CE$5:$CE$1204,'ثبت اطلاعات'!$C$5:$C$1204,A56,'ثبت اطلاعات'!$CO$5:$CO$1204,1)/COUNTIFS('ثبت اطلاعات'!$C$5:$C$1204,A56,'ثبت اطلاعات'!$CO$5:$CO$1204,1),""))</x:f>
        <x:v>15.2</x:v>
      </x:c>
      <x:c r="H56" s="178" t="n">
        <x:f>IF(A56="","",IFERROR(SUMIFS('ثبت اطلاعات'!$CF$5:$CF$1204,'ثبت اطلاعات'!$C$5:$C$1204,A56,'ثبت اطلاعات'!$CO$5:$CO$1204,1)/COUNTIFS('ثبت اطلاعات'!$C$5:$C$1204,A56,'ثبت اطلاعات'!$CO$5:$CO$1204,1),""))</x:f>
        <x:v>16</x:v>
      </x:c>
      <x:c r="I56" s="178" t="n">
        <x:f>IF(A56="","",IFERROR(SUMIFS('ثبت اطلاعات'!$CG$5:$CG$1204,'ثبت اطلاعات'!$C$5:$C$1204,A56,'ثبت اطلاعات'!$CO$5:$CO$1204,1)/COUNTIFS('ثبت اطلاعات'!$C$5:$C$1204,A56,'ثبت اطلاعات'!$CO$5:$CO$1204,1),""))</x:f>
        <x:v>14.285714285714286</x:v>
      </x:c>
      <x:c r="J56" s="178" t="n">
        <x:f>IF(A56="","",IFERROR(SUMIFS('ثبت اطلاعات'!$CH$5:$CH$1204,'ثبت اطلاعات'!$C$5:$C$1204,A56,'ثبت اطلاعات'!$CO$5:$CO$1204,1)/COUNTIFS('ثبت اطلاعات'!$C$5:$C$1204,A56,'ثبت اطلاعات'!$CO$5:$CO$1204,1),""))</x:f>
        <x:v>15.5</x:v>
      </x:c>
      <x:c r="K56" s="178" t="n">
        <x:f>IF(A56="","",IFERROR(SUMIFS('ثبت اطلاعات'!$CI$5:$CI$1204,'ثبت اطلاعات'!$C$5:$C$1204,A56,'ثبت اطلاعات'!$CO$5:$CO$1204,1)/COUNTIFS('ثبت اطلاعات'!$C$5:$C$1204,A56,'ثبت اطلاعات'!$CO$5:$CO$1204,1),""))</x:f>
        <x:v>16</x:v>
      </x:c>
      <x:c r="L56" s="178" t="n">
        <x:f>IF(A56="","",IFERROR(SUMIFS('ثبت اطلاعات'!$CJ$5:$CJ$1204,'ثبت اطلاعات'!$C$5:$C$1204,A56,'ثبت اطلاعات'!$CO$5:$CO$1204,1)/COUNTIFS('ثبت اطلاعات'!$C$5:$C$1204,A56,'ثبت اطلاعات'!$CO$5:$CO$1204,1),""))</x:f>
        <x:v>14.285714285714286</x:v>
      </x:c>
      <x:c r="M56" s="178" t="n">
        <x:f>IF(A56="","",IFERROR(SUMIFS('ثبت اطلاعات'!$CK$5:$CK$1204,'ثبت اطلاعات'!$C$5:$C$1204,A56,'ثبت اطلاعات'!$CO$5:$CO$1204,1)/COUNTIFS('ثبت اطلاعات'!$C$5:$C$1204,A56,'ثبت اطلاعات'!$CO$5:$CO$1204,1),""))</x:f>
        <x:v>15.428571428571429</x:v>
      </x:c>
      <x:c r="N56" s="178" t="n">
        <x:f>IF(A56="","",IFERROR(SUMIFS('ثبت اطلاعات'!$CL$5:$CL$1204,'ثبت اطلاعات'!$C$5:$C$1204,A56,'ثبت اطلاعات'!$CO$5:$CO$1204,1)/COUNTIFS('ثبت اطلاعات'!$C$5:$C$1204,A56,'ثبت اطلاعات'!$CO$5:$CO$1204,1),""))</x:f>
        <x:v>15.417142857142858</x:v>
      </x:c>
      <x:c r="O56" s="178" t="n">
        <x:f>IF(A56="","",COUNTIFS('ثبت اطلاعات'!$C$5:$C$1204,A56,'ثبت اطلاعات'!$CO$5:$CO$1204,1))</x:f>
        <x:v>1</x:v>
      </x:c>
      <x:c r="P56" s="178" t="n">
        <x:f>IF(O56=0,"",MINIFS('ثبت اطلاعات'!$CN$5:$CN$1204,'ثبت اطلاعات'!$C$5:$C$1204,A56,'ثبت اطلاعات'!$CO$5:$CO$1204,1))</x:f>
        <x:v>1</x:v>
      </x:c>
      <x:c r="Q56" s="178" t="n">
        <x:f>IF(O56=0,"",MAXIFS('ثبت اطلاعات'!$CN$5:$CN$1204,'ثبت اطلاعات'!$C$5:$C$1204,A56,'ثبت اطلاعات'!$CO$5:$CO$1204,1))</x:f>
        <x:v>1</x:v>
      </x:c>
      <x:c r="R56" s="178" t="str">
        <x:f>IF(O56&lt;2,"",SUMIFS('ثبت اطلاعات'!$CL$5:$CL$1204,'ثبت اطلاعات'!$C$5:$C$1204,A56,'ثبت اطلاعات'!$CN$5:$CN$1204,Q56)-SUMIFS('ثبت اطلاعات'!$CL$5:$CL$1204,'ثبت اطلاعات'!$C$5:$C$1204,A56,'ثبت اطلاعات'!$CN$5:$CN$1204,P56))</x:f>
      </x:c>
      <x:c r="S56" s="178" t="str">
        <x:f>IF(A56="","",IF(O56=0,"فاقد ارزیابی نهایی",IF(O56=1,"داده ناکافی",IF(R56&gt;0.5,"پیشرفت",IF(R56&lt;-0.5,"افت","ثبات")))))</x:f>
        <x:v>داده ناکافی</x:v>
      </x:c>
      <x:c r="T56" s="178" t="str">
        <x:f>IF(N56="","",INDEX($E$4:$M$4,1,MATCH(MAX(E56:M56),E56:M56,0)))</x:f>
        <x:v>پرورشی</x:v>
      </x:c>
      <x:c r="U56" s="178" t="str">
        <x:f>IF(N56="","",INDEX($E$4:$M$4,1,MATCH(MIN(E56:M56),E56:M56,0)))</x:f>
        <x:v>فرهنگی</x:v>
      </x:c>
      <x:c r="V56" s="178" t="str">
        <x:f>IF(N56="","",IF(N56&gt;=17,"عالی",IF(N56&gt;=14,"خوب",IF(N56&gt;=10,"متوسط","ضعیف"))))</x:f>
        <x:v>خوب</x:v>
      </x:c>
      <x:c r="W56" s="178" t="n">
        <x:f>IF(N56="","",RANK.EQ(N56,$N$5:$N$104,0))</x:f>
        <x:v>10</x:v>
      </x:c>
      <x:c r="X56" s="178" t="n">
        <x:f>IF(N56="","",COUNT($N$5:$N$104))</x:f>
        <x:v>100</x:v>
      </x:c>
      <x:c r="Y56" s="142" t="str">
        <x:f>IF(U56="","",IFERROR(INDEX('بانک راهکارها'!$C$5:$C$13,MATCH(U56,'بانک راهکارها'!$B$5:$B$13,0)),""))</x:f>
        <x:v>مشارکت در برنامه‌های فرهنگی، مطالعه هدایت‌شده و فعالیت گروهی پیشنهاد می‌شود.</x:v>
      </x:c>
    </x:row>
    <x:row r="57">
      <x:c r="A57" s="165" t="n">
        <x:f>IF('دانش‌آموزان'!L57="","",'دانش‌آموزان'!B57)</x:f>
        <x:v>53</x:v>
      </x:c>
      <x:c r="B57" s="233" t="str">
        <x:f>IF(A57="","",'دانش‌آموزان'!C57)</x:f>
        <x:v>4000000535</x:v>
      </x:c>
      <x:c r="C57" s="233" t="str">
        <x:f>IF(A57="","",'دانش‌آموزان'!E57&amp;" "&amp;'دانش‌آموزان'!F57)</x:f>
        <x:v>طاها رضایی</x:v>
      </x:c>
      <x:c r="D57" s="166" t="str">
        <x:f>IF(A57="","",'دانش‌آموزان'!I57)</x:f>
        <x:v>sample-7-c</x:v>
      </x:c>
      <x:c r="E57" s="141" t="n">
        <x:f>IF(A57="","",IFERROR(SUMIFS('ثبت اطلاعات'!$CC$5:$CC$1204,'ثبت اطلاعات'!$C$5:$C$1204,A57,'ثبت اطلاعات'!$CO$5:$CO$1204,1)/COUNTIFS('ثبت اطلاعات'!$C$5:$C$1204,A57,'ثبت اطلاعات'!$CO$5:$CO$1204,1),""))</x:f>
        <x:v>14.8</x:v>
      </x:c>
      <x:c r="F57" s="178" t="n">
        <x:f>IF(A57="","",IFERROR(SUMIFS('ثبت اطلاعات'!$CD$5:$CD$1204,'ثبت اطلاعات'!$C$5:$C$1204,A57,'ثبت اطلاعات'!$CO$5:$CO$1204,1)/COUNTIFS('ثبت اطلاعات'!$C$5:$C$1204,A57,'ثبت اطلاعات'!$CO$5:$CO$1204,1),""))</x:f>
        <x:v>15.6</x:v>
      </x:c>
      <x:c r="G57" s="178" t="n">
        <x:f>IF(A57="","",IFERROR(SUMIFS('ثبت اطلاعات'!$CE$5:$CE$1204,'ثبت اطلاعات'!$C$5:$C$1204,A57,'ثبت اطلاعات'!$CO$5:$CO$1204,1)/COUNTIFS('ثبت اطلاعات'!$C$5:$C$1204,A57,'ثبت اطلاعات'!$CO$5:$CO$1204,1),""))</x:f>
        <x:v>14.8</x:v>
      </x:c>
      <x:c r="H57" s="178" t="n">
        <x:f>IF(A57="","",IFERROR(SUMIFS('ثبت اطلاعات'!$CF$5:$CF$1204,'ثبت اطلاعات'!$C$5:$C$1204,A57,'ثبت اطلاعات'!$CO$5:$CO$1204,1)/COUNTIFS('ثبت اطلاعات'!$C$5:$C$1204,A57,'ثبت اطلاعات'!$CO$5:$CO$1204,1),""))</x:f>
        <x:v>14.5</x:v>
      </x:c>
      <x:c r="I57" s="178" t="n">
        <x:f>IF(A57="","",IFERROR(SUMIFS('ثبت اطلاعات'!$CG$5:$CG$1204,'ثبت اطلاعات'!$C$5:$C$1204,A57,'ثبت اطلاعات'!$CO$5:$CO$1204,1)/COUNTIFS('ثبت اطلاعات'!$C$5:$C$1204,A57,'ثبت اطلاعات'!$CO$5:$CO$1204,1),""))</x:f>
        <x:v>16.571428571428573</x:v>
      </x:c>
      <x:c r="J57" s="178" t="n">
        <x:f>IF(A57="","",IFERROR(SUMIFS('ثبت اطلاعات'!$CH$5:$CH$1204,'ثبت اطلاعات'!$C$5:$C$1204,A57,'ثبت اطلاعات'!$CO$5:$CO$1204,1)/COUNTIFS('ثبت اطلاعات'!$C$5:$C$1204,A57,'ثبت اطلاعات'!$CO$5:$CO$1204,1),""))</x:f>
        <x:v>15.5</x:v>
      </x:c>
      <x:c r="K57" s="178" t="n">
        <x:f>IF(A57="","",IFERROR(SUMIFS('ثبت اطلاعات'!$CI$5:$CI$1204,'ثبت اطلاعات'!$C$5:$C$1204,A57,'ثبت اطلاعات'!$CO$5:$CO$1204,1)/COUNTIFS('ثبت اطلاعات'!$C$5:$C$1204,A57,'ثبت اطلاعات'!$CO$5:$CO$1204,1),""))</x:f>
        <x:v>13.714285714285714</x:v>
      </x:c>
      <x:c r="L57" s="178" t="n">
        <x:f>IF(A57="","",IFERROR(SUMIFS('ثبت اطلاعات'!$CJ$5:$CJ$1204,'ثبت اطلاعات'!$C$5:$C$1204,A57,'ثبت اطلاعات'!$CO$5:$CO$1204,1)/COUNTIFS('ثبت اطلاعات'!$C$5:$C$1204,A57,'ثبت اطلاعات'!$CO$5:$CO$1204,1),""))</x:f>
        <x:v>16.571428571428573</x:v>
      </x:c>
      <x:c r="M57" s="178" t="n">
        <x:f>IF(A57="","",IFERROR(SUMIFS('ثبت اطلاعات'!$CK$5:$CK$1204,'ثبت اطلاعات'!$C$5:$C$1204,A57,'ثبت اطلاعات'!$CO$5:$CO$1204,1)/COUNTIFS('ثبت اطلاعات'!$C$5:$C$1204,A57,'ثبت اطلاعات'!$CO$5:$CO$1204,1),""))</x:f>
        <x:v>14.857142857142858</x:v>
      </x:c>
      <x:c r="N57" s="178" t="n">
        <x:f>IF(A57="","",IFERROR(SUMIFS('ثبت اطلاعات'!$CL$5:$CL$1204,'ثبت اطلاعات'!$C$5:$C$1204,A57,'ثبت اطلاعات'!$CO$5:$CO$1204,1)/COUNTIFS('ثبت اطلاعات'!$C$5:$C$1204,A57,'ثبت اطلاعات'!$CO$5:$CO$1204,1),""))</x:f>
        <x:v>15.089285714285715</x:v>
      </x:c>
      <x:c r="O57" s="178" t="n">
        <x:f>IF(A57="","",COUNTIFS('ثبت اطلاعات'!$C$5:$C$1204,A57,'ثبت اطلاعات'!$CO$5:$CO$1204,1))</x:f>
        <x:v>1</x:v>
      </x:c>
      <x:c r="P57" s="178" t="n">
        <x:f>IF(O57=0,"",MINIFS('ثبت اطلاعات'!$CN$5:$CN$1204,'ثبت اطلاعات'!$C$5:$C$1204,A57,'ثبت اطلاعات'!$CO$5:$CO$1204,1))</x:f>
        <x:v>1</x:v>
      </x:c>
      <x:c r="Q57" s="178" t="n">
        <x:f>IF(O57=0,"",MAXIFS('ثبت اطلاعات'!$CN$5:$CN$1204,'ثبت اطلاعات'!$C$5:$C$1204,A57,'ثبت اطلاعات'!$CO$5:$CO$1204,1))</x:f>
        <x:v>1</x:v>
      </x:c>
      <x:c r="R57" s="178" t="str">
        <x:f>IF(O57&lt;2,"",SUMIFS('ثبت اطلاعات'!$CL$5:$CL$1204,'ثبت اطلاعات'!$C$5:$C$1204,A57,'ثبت اطلاعات'!$CN$5:$CN$1204,Q57)-SUMIFS('ثبت اطلاعات'!$CL$5:$CL$1204,'ثبت اطلاعات'!$C$5:$C$1204,A57,'ثبت اطلاعات'!$CN$5:$CN$1204,P57))</x:f>
      </x:c>
      <x:c r="S57" s="178" t="str">
        <x:f>IF(A57="","",IF(O57=0,"فاقد ارزیابی نهایی",IF(O57=1,"داده ناکافی",IF(R57&gt;0.5,"پیشرفت",IF(R57&lt;-0.5,"افت","ثبات")))))</x:f>
        <x:v>داده ناکافی</x:v>
      </x:c>
      <x:c r="T57" s="178" t="str">
        <x:f>IF(N57="","",INDEX($E$4:$M$4,1,MATCH(MAX(E57:M57),E57:M57,0)))</x:f>
        <x:v>فرهنگی</x:v>
      </x:c>
      <x:c r="U57" s="178" t="str">
        <x:f>IF(N57="","",INDEX($E$4:$M$4,1,MATCH(MIN(E57:M57),E57:M57,0)))</x:f>
        <x:v>ورزشی</x:v>
      </x:c>
      <x:c r="V57" s="178" t="str">
        <x:f>IF(N57="","",IF(N57&gt;=17,"عالی",IF(N57&gt;=14,"خوب",IF(N57&gt;=10,"متوسط","ضعیف"))))</x:f>
        <x:v>خوب</x:v>
      </x:c>
      <x:c r="W57" s="178" t="n">
        <x:f>IF(N57="","",RANK.EQ(N57,$N$5:$N$104,0))</x:f>
        <x:v>92</x:v>
      </x:c>
      <x:c r="X57" s="178" t="n">
        <x:f>IF(N57="","",COUNT($N$5:$N$104))</x:f>
        <x:v>100</x:v>
      </x:c>
      <x:c r="Y57" s="142" t="str">
        <x:f>IF(U57="","",IFERROR(INDEX('بانک راهکارها'!$C$5:$C$13,MATCH(U57,'بانک راهکارها'!$B$5:$B$13,0)),""))</x:f>
        <x:v>برنامه فعالیت بدنی منظم و مشارکت در ورزش گروهی پیشنهاد می‌شود.</x:v>
      </x:c>
    </x:row>
    <x:row r="58">
      <x:c r="A58" s="165" t="n">
        <x:f>IF('دانش‌آموزان'!L58="","",'دانش‌آموزان'!B58)</x:f>
        <x:v>54</x:v>
      </x:c>
      <x:c r="B58" s="233" t="str">
        <x:f>IF(A58="","",'دانش‌آموزان'!C58)</x:f>
        <x:v>4000000543</x:v>
      </x:c>
      <x:c r="C58" s="233" t="str">
        <x:f>IF(A58="","",'دانش‌آموزان'!E58&amp;" "&amp;'دانش‌آموزان'!F58)</x:f>
        <x:v>باران نوری</x:v>
      </x:c>
      <x:c r="D58" s="166" t="str">
        <x:f>IF(A58="","",'دانش‌آموزان'!I58)</x:f>
        <x:v>sample-7-c</x:v>
      </x:c>
      <x:c r="E58" s="141" t="n">
        <x:f>IF(A58="","",IFERROR(SUMIFS('ثبت اطلاعات'!$CC$5:$CC$1204,'ثبت اطلاعات'!$C$5:$C$1204,A58,'ثبت اطلاعات'!$CO$5:$CO$1204,1)/COUNTIFS('ثبت اطلاعات'!$C$5:$C$1204,A58,'ثبت اطلاعات'!$CO$5:$CO$1204,1),""))</x:f>
        <x:v>16</x:v>
      </x:c>
      <x:c r="F58" s="178" t="n">
        <x:f>IF(A58="","",IFERROR(SUMIFS('ثبت اطلاعات'!$CD$5:$CD$1204,'ثبت اطلاعات'!$C$5:$C$1204,A58,'ثبت اطلاعات'!$CO$5:$CO$1204,1)/COUNTIFS('ثبت اطلاعات'!$C$5:$C$1204,A58,'ثبت اطلاعات'!$CO$5:$CO$1204,1),""))</x:f>
        <x:v>15.2</x:v>
      </x:c>
      <x:c r="G58" s="178" t="n">
        <x:f>IF(A58="","",IFERROR(SUMIFS('ثبت اطلاعات'!$CE$5:$CE$1204,'ثبت اطلاعات'!$C$5:$C$1204,A58,'ثبت اطلاعات'!$CO$5:$CO$1204,1)/COUNTIFS('ثبت اطلاعات'!$C$5:$C$1204,A58,'ثبت اطلاعات'!$CO$5:$CO$1204,1),""))</x:f>
        <x:v>15.6</x:v>
      </x:c>
      <x:c r="H58" s="178" t="n">
        <x:f>IF(A58="","",IFERROR(SUMIFS('ثبت اطلاعات'!$CF$5:$CF$1204,'ثبت اطلاعات'!$C$5:$C$1204,A58,'ثبت اطلاعات'!$CO$5:$CO$1204,1)/COUNTIFS('ثبت اطلاعات'!$C$5:$C$1204,A58,'ثبت اطلاعات'!$CO$5:$CO$1204,1),""))</x:f>
        <x:v>15</x:v>
      </x:c>
      <x:c r="I58" s="178" t="n">
        <x:f>IF(A58="","",IFERROR(SUMIFS('ثبت اطلاعات'!$CG$5:$CG$1204,'ثبت اطلاعات'!$C$5:$C$1204,A58,'ثبت اطلاعات'!$CO$5:$CO$1204,1)/COUNTIFS('ثبت اطلاعات'!$C$5:$C$1204,A58,'ثبت اطلاعات'!$CO$5:$CO$1204,1),""))</x:f>
        <x:v>14.285714285714286</x:v>
      </x:c>
      <x:c r="J58" s="178" t="n">
        <x:f>IF(A58="","",IFERROR(SUMIFS('ثبت اطلاعات'!$CH$5:$CH$1204,'ثبت اطلاعات'!$C$5:$C$1204,A58,'ثبت اطلاعات'!$CO$5:$CO$1204,1)/COUNTIFS('ثبت اطلاعات'!$C$5:$C$1204,A58,'ثبت اطلاعات'!$CO$5:$CO$1204,1),""))</x:f>
        <x:v>16</x:v>
      </x:c>
      <x:c r="K58" s="178" t="n">
        <x:f>IF(A58="","",IFERROR(SUMIFS('ثبت اطلاعات'!$CI$5:$CI$1204,'ثبت اطلاعات'!$C$5:$C$1204,A58,'ثبت اطلاعات'!$CO$5:$CO$1204,1)/COUNTIFS('ثبت اطلاعات'!$C$5:$C$1204,A58,'ثبت اطلاعات'!$CO$5:$CO$1204,1),""))</x:f>
        <x:v>15.428571428571429</x:v>
      </x:c>
      <x:c r="L58" s="178" t="n">
        <x:f>IF(A58="","",IFERROR(SUMIFS('ثبت اطلاعات'!$CJ$5:$CJ$1204,'ثبت اطلاعات'!$C$5:$C$1204,A58,'ثبت اطلاعات'!$CO$5:$CO$1204,1)/COUNTIFS('ثبت اطلاعات'!$C$5:$C$1204,A58,'ثبت اطلاعات'!$CO$5:$CO$1204,1),""))</x:f>
        <x:v>14.285714285714286</x:v>
      </x:c>
      <x:c r="M58" s="178" t="n">
        <x:f>IF(A58="","",IFERROR(SUMIFS('ثبت اطلاعات'!$CK$5:$CK$1204,'ثبت اطلاعات'!$C$5:$C$1204,A58,'ثبت اطلاعات'!$CO$5:$CO$1204,1)/COUNTIFS('ثبت اطلاعات'!$C$5:$C$1204,A58,'ثبت اطلاعات'!$CO$5:$CO$1204,1),""))</x:f>
        <x:v>16.571428571428573</x:v>
      </x:c>
      <x:c r="N58" s="178" t="n">
        <x:f>IF(A58="","",IFERROR(SUMIFS('ثبت اطلاعات'!$CL$5:$CL$1204,'ثبت اطلاعات'!$C$5:$C$1204,A58,'ثبت اطلاعات'!$CO$5:$CO$1204,1)/COUNTIFS('ثبت اطلاعات'!$C$5:$C$1204,A58,'ثبت اطلاعات'!$CO$5:$CO$1204,1),""))</x:f>
        <x:v>15.447142857142858</x:v>
      </x:c>
      <x:c r="O58" s="178" t="n">
        <x:f>IF(A58="","",COUNTIFS('ثبت اطلاعات'!$C$5:$C$1204,A58,'ثبت اطلاعات'!$CO$5:$CO$1204,1))</x:f>
        <x:v>1</x:v>
      </x:c>
      <x:c r="P58" s="178" t="n">
        <x:f>IF(O58=0,"",MINIFS('ثبت اطلاعات'!$CN$5:$CN$1204,'ثبت اطلاعات'!$C$5:$C$1204,A58,'ثبت اطلاعات'!$CO$5:$CO$1204,1))</x:f>
        <x:v>1</x:v>
      </x:c>
      <x:c r="Q58" s="178" t="n">
        <x:f>IF(O58=0,"",MAXIFS('ثبت اطلاعات'!$CN$5:$CN$1204,'ثبت اطلاعات'!$C$5:$C$1204,A58,'ثبت اطلاعات'!$CO$5:$CO$1204,1))</x:f>
        <x:v>1</x:v>
      </x:c>
      <x:c r="R58" s="178" t="str">
        <x:f>IF(O58&lt;2,"",SUMIFS('ثبت اطلاعات'!$CL$5:$CL$1204,'ثبت اطلاعات'!$C$5:$C$1204,A58,'ثبت اطلاعات'!$CN$5:$CN$1204,Q58)-SUMIFS('ثبت اطلاعات'!$CL$5:$CL$1204,'ثبت اطلاعات'!$C$5:$C$1204,A58,'ثبت اطلاعات'!$CN$5:$CN$1204,P58))</x:f>
      </x:c>
      <x:c r="S58" s="178" t="str">
        <x:f>IF(A58="","",IF(O58=0,"فاقد ارزیابی نهایی",IF(O58=1,"داده ناکافی",IF(R58&gt;0.5,"پیشرفت",IF(R58&lt;-0.5,"افت","ثبات")))))</x:f>
        <x:v>داده ناکافی</x:v>
      </x:c>
      <x:c r="T58" s="178" t="str">
        <x:f>IF(N58="","",INDEX($E$4:$M$4,1,MATCH(MAX(E58:M58),E58:M58,0)))</x:f>
        <x:v>مهارت‌های فردی</x:v>
      </x:c>
      <x:c r="U58" s="178" t="str">
        <x:f>IF(N58="","",INDEX($E$4:$M$4,1,MATCH(MIN(E58:M58),E58:M58,0)))</x:f>
        <x:v>فرهنگی</x:v>
      </x:c>
      <x:c r="V58" s="178" t="str">
        <x:f>IF(N58="","",IF(N58&gt;=17,"عالی",IF(N58&gt;=14,"خوب",IF(N58&gt;=10,"متوسط","ضعیف"))))</x:f>
        <x:v>خوب</x:v>
      </x:c>
      <x:c r="W58" s="178" t="n">
        <x:f>IF(N58="","",RANK.EQ(N58,$N$5:$N$104,0))</x:f>
        <x:v>1</x:v>
      </x:c>
      <x:c r="X58" s="178" t="n">
        <x:f>IF(N58="","",COUNT($N$5:$N$104))</x:f>
        <x:v>100</x:v>
      </x:c>
      <x:c r="Y58" s="142" t="str">
        <x:f>IF(U58="","",IFERROR(INDEX('بانک راهکارها'!$C$5:$C$13,MATCH(U58,'بانک راهکارها'!$B$5:$B$13,0)),""))</x:f>
        <x:v>مشارکت در برنامه‌های فرهنگی، مطالعه هدایت‌شده و فعالیت گروهی پیشنهاد می‌شود.</x:v>
      </x:c>
    </x:row>
    <x:row r="59">
      <x:c r="A59" s="165" t="n">
        <x:f>IF('دانش‌آموزان'!L59="","",'دانش‌آموزان'!B59)</x:f>
        <x:v>55</x:v>
      </x:c>
      <x:c r="B59" s="233" t="str">
        <x:f>IF(A59="","",'دانش‌آموزان'!C59)</x:f>
        <x:v>4000000551</x:v>
      </x:c>
      <x:c r="C59" s="233" t="str">
        <x:f>IF(A59="","",'دانش‌آموزان'!E59&amp;" "&amp;'دانش‌آموزان'!F59)</x:f>
        <x:v>ماهان سلیمانی</x:v>
      </x:c>
      <x:c r="D59" s="166" t="str">
        <x:f>IF(A59="","",'دانش‌آموزان'!I59)</x:f>
        <x:v>sample-7-c</x:v>
      </x:c>
      <x:c r="E59" s="141" t="n">
        <x:f>IF(A59="","",IFERROR(SUMIFS('ثبت اطلاعات'!$CC$5:$CC$1204,'ثبت اطلاعات'!$C$5:$C$1204,A59,'ثبت اطلاعات'!$CO$5:$CO$1204,1)/COUNTIFS('ثبت اطلاعات'!$C$5:$C$1204,A59,'ثبت اطلاعات'!$CO$5:$CO$1204,1),""))</x:f>
        <x:v>15.6</x:v>
      </x:c>
      <x:c r="F59" s="178" t="n">
        <x:f>IF(A59="","",IFERROR(SUMIFS('ثبت اطلاعات'!$CD$5:$CD$1204,'ثبت اطلاعات'!$C$5:$C$1204,A59,'ثبت اطلاعات'!$CO$5:$CO$1204,1)/COUNTIFS('ثبت اطلاعات'!$C$5:$C$1204,A59,'ثبت اطلاعات'!$CO$5:$CO$1204,1),""))</x:f>
        <x:v>14.8</x:v>
      </x:c>
      <x:c r="G59" s="178" t="n">
        <x:f>IF(A59="","",IFERROR(SUMIFS('ثبت اطلاعات'!$CE$5:$CE$1204,'ثبت اطلاعات'!$C$5:$C$1204,A59,'ثبت اطلاعات'!$CO$5:$CO$1204,1)/COUNTIFS('ثبت اطلاعات'!$C$5:$C$1204,A59,'ثبت اطلاعات'!$CO$5:$CO$1204,1),""))</x:f>
        <x:v>15.2</x:v>
      </x:c>
      <x:c r="H59" s="178" t="n">
        <x:f>IF(A59="","",IFERROR(SUMIFS('ثبت اطلاعات'!$CF$5:$CF$1204,'ثبت اطلاعات'!$C$5:$C$1204,A59,'ثبت اطلاعات'!$CO$5:$CO$1204,1)/COUNTIFS('ثبت اطلاعات'!$C$5:$C$1204,A59,'ثبت اطلاعات'!$CO$5:$CO$1204,1),""))</x:f>
        <x:v>15.5</x:v>
      </x:c>
      <x:c r="I59" s="178" t="n">
        <x:f>IF(A59="","",IFERROR(SUMIFS('ثبت اطلاعات'!$CG$5:$CG$1204,'ثبت اطلاعات'!$C$5:$C$1204,A59,'ثبت اطلاعات'!$CO$5:$CO$1204,1)/COUNTIFS('ثبت اطلاعات'!$C$5:$C$1204,A59,'ثبت اطلاعات'!$CO$5:$CO$1204,1),""))</x:f>
        <x:v>16</x:v>
      </x:c>
      <x:c r="J59" s="178" t="n">
        <x:f>IF(A59="","",IFERROR(SUMIFS('ثبت اطلاعات'!$CH$5:$CH$1204,'ثبت اطلاعات'!$C$5:$C$1204,A59,'ثبت اطلاعات'!$CO$5:$CO$1204,1)/COUNTIFS('ثبت اطلاعات'!$C$5:$C$1204,A59,'ثبت اطلاعات'!$CO$5:$CO$1204,1),""))</x:f>
        <x:v>14.5</x:v>
      </x:c>
      <x:c r="K59" s="178" t="n">
        <x:f>IF(A59="","",IFERROR(SUMIFS('ثبت اطلاعات'!$CI$5:$CI$1204,'ثبت اطلاعات'!$C$5:$C$1204,A59,'ثبت اطلاعات'!$CO$5:$CO$1204,1)/COUNTIFS('ثبت اطلاعات'!$C$5:$C$1204,A59,'ثبت اطلاعات'!$CO$5:$CO$1204,1),""))</x:f>
        <x:v>15.428571428571429</x:v>
      </x:c>
      <x:c r="L59" s="178" t="n">
        <x:f>IF(A59="","",IFERROR(SUMIFS('ثبت اطلاعات'!$CJ$5:$CJ$1204,'ثبت اطلاعات'!$C$5:$C$1204,A59,'ثبت اطلاعات'!$CO$5:$CO$1204,1)/COUNTIFS('ثبت اطلاعات'!$C$5:$C$1204,A59,'ثبت اطلاعات'!$CO$5:$CO$1204,1),""))</x:f>
        <x:v>16</x:v>
      </x:c>
      <x:c r="M59" s="178" t="n">
        <x:f>IF(A59="","",IFERROR(SUMIFS('ثبت اطلاعات'!$CK$5:$CK$1204,'ثبت اطلاعات'!$C$5:$C$1204,A59,'ثبت اطلاعات'!$CO$5:$CO$1204,1)/COUNTIFS('ثبت اطلاعات'!$C$5:$C$1204,A59,'ثبت اطلاعات'!$CO$5:$CO$1204,1),""))</x:f>
        <x:v>14.285714285714286</x:v>
      </x:c>
      <x:c r="N59" s="178" t="n">
        <x:f>IF(A59="","",IFERROR(SUMIFS('ثبت اطلاعات'!$CL$5:$CL$1204,'ثبت اطلاعات'!$C$5:$C$1204,A59,'ثبت اطلاعات'!$CO$5:$CO$1204,1)/COUNTIFS('ثبت اطلاعات'!$C$5:$C$1204,A59,'ثبت اطلاعات'!$CO$5:$CO$1204,1),""))</x:f>
        <x:v>15.265</x:v>
      </x:c>
      <x:c r="O59" s="178" t="n">
        <x:f>IF(A59="","",COUNTIFS('ثبت اطلاعات'!$C$5:$C$1204,A59,'ثبت اطلاعات'!$CO$5:$CO$1204,1))</x:f>
        <x:v>1</x:v>
      </x:c>
      <x:c r="P59" s="178" t="n">
        <x:f>IF(O59=0,"",MINIFS('ثبت اطلاعات'!$CN$5:$CN$1204,'ثبت اطلاعات'!$C$5:$C$1204,A59,'ثبت اطلاعات'!$CO$5:$CO$1204,1))</x:f>
        <x:v>1</x:v>
      </x:c>
      <x:c r="Q59" s="178" t="n">
        <x:f>IF(O59=0,"",MAXIFS('ثبت اطلاعات'!$CN$5:$CN$1204,'ثبت اطلاعات'!$C$5:$C$1204,A59,'ثبت اطلاعات'!$CO$5:$CO$1204,1))</x:f>
        <x:v>1</x:v>
      </x:c>
      <x:c r="R59" s="178" t="str">
        <x:f>IF(O59&lt;2,"",SUMIFS('ثبت اطلاعات'!$CL$5:$CL$1204,'ثبت اطلاعات'!$C$5:$C$1204,A59,'ثبت اطلاعات'!$CN$5:$CN$1204,Q59)-SUMIFS('ثبت اطلاعات'!$CL$5:$CL$1204,'ثبت اطلاعات'!$C$5:$C$1204,A59,'ثبت اطلاعات'!$CN$5:$CN$1204,P59))</x:f>
      </x:c>
      <x:c r="S59" s="178" t="str">
        <x:f>IF(A59="","",IF(O59=0,"فاقد ارزیابی نهایی",IF(O59=1,"داده ناکافی",IF(R59&gt;0.5,"پیشرفت",IF(R59&lt;-0.5,"افت","ثبات")))))</x:f>
        <x:v>داده ناکافی</x:v>
      </x:c>
      <x:c r="T59" s="178" t="str">
        <x:f>IF(N59="","",INDEX($E$4:$M$4,1,MATCH(MAX(E59:M59),E59:M59,0)))</x:f>
        <x:v>فرهنگی</x:v>
      </x:c>
      <x:c r="U59" s="178" t="str">
        <x:f>IF(N59="","",INDEX($E$4:$M$4,1,MATCH(MIN(E59:M59),E59:M59,0)))</x:f>
        <x:v>مهارت‌های فردی</x:v>
      </x:c>
      <x:c r="V59" s="178" t="str">
        <x:f>IF(N59="","",IF(N59&gt;=17,"عالی",IF(N59&gt;=14,"خوب",IF(N59&gt;=10,"متوسط","ضعیف"))))</x:f>
        <x:v>خوب</x:v>
      </x:c>
      <x:c r="W59" s="178" t="n">
        <x:f>IF(N59="","",RANK.EQ(N59,$N$5:$N$104,0))</x:f>
        <x:v>47</x:v>
      </x:c>
      <x:c r="X59" s="178" t="n">
        <x:f>IF(N59="","",COUNT($N$5:$N$104))</x:f>
        <x:v>100</x:v>
      </x:c>
      <x:c r="Y59" s="142" t="str">
        <x:f>IF(U59="","",IFERROR(INDEX('بانک راهکارها'!$C$5:$C$13,MATCH(U59,'بانک راهکارها'!$B$5:$B$13,0)),""))</x:f>
        <x:v>تمرین برنامه‌ریزی هفتگی، ارتباط مؤثر و کار تیمی پیشنهاد می‌شود.</x:v>
      </x:c>
    </x:row>
    <x:row r="60">
      <x:c r="A60" s="165" t="n">
        <x:f>IF('دانش‌آموزان'!L60="","",'دانش‌آموزان'!B60)</x:f>
        <x:v>56</x:v>
      </x:c>
      <x:c r="B60" s="233" t="str">
        <x:f>IF(A60="","",'دانش‌آموزان'!C60)</x:f>
        <x:v>4000000561</x:v>
      </x:c>
      <x:c r="C60" s="233" t="str">
        <x:f>IF(A60="","",'دانش‌آموزان'!E60&amp;" "&amp;'دانش‌آموزان'!F60)</x:f>
        <x:v>نازنین مرادی</x:v>
      </x:c>
      <x:c r="D60" s="166" t="str">
        <x:f>IF(A60="","",'دانش‌آموزان'!I60)</x:f>
        <x:v>sample-7-c</x:v>
      </x:c>
      <x:c r="E60" s="141" t="n">
        <x:f>IF(A60="","",IFERROR(SUMIFS('ثبت اطلاعات'!$CC$5:$CC$1204,'ثبت اطلاعات'!$C$5:$C$1204,A60,'ثبت اطلاعات'!$CO$5:$CO$1204,1)/COUNTIFS('ثبت اطلاعات'!$C$5:$C$1204,A60,'ثبت اطلاعات'!$CO$5:$CO$1204,1),""))</x:f>
        <x:v>15.2</x:v>
      </x:c>
      <x:c r="F60" s="178" t="n">
        <x:f>IF(A60="","",IFERROR(SUMIFS('ثبت اطلاعات'!$CD$5:$CD$1204,'ثبت اطلاعات'!$C$5:$C$1204,A60,'ثبت اطلاعات'!$CO$5:$CO$1204,1)/COUNTIFS('ثبت اطلاعات'!$C$5:$C$1204,A60,'ثبت اطلاعات'!$CO$5:$CO$1204,1),""))</x:f>
        <x:v>15.6</x:v>
      </x:c>
      <x:c r="G60" s="178" t="n">
        <x:f>IF(A60="","",IFERROR(SUMIFS('ثبت اطلاعات'!$CE$5:$CE$1204,'ثبت اطلاعات'!$C$5:$C$1204,A60,'ثبت اطلاعات'!$CO$5:$CO$1204,1)/COUNTIFS('ثبت اطلاعات'!$C$5:$C$1204,A60,'ثبت اطلاعات'!$CO$5:$CO$1204,1),""))</x:f>
        <x:v>15.2</x:v>
      </x:c>
      <x:c r="H60" s="178" t="n">
        <x:f>IF(A60="","",IFERROR(SUMIFS('ثبت اطلاعات'!$CF$5:$CF$1204,'ثبت اطلاعات'!$C$5:$C$1204,A60,'ثبت اطلاعات'!$CO$5:$CO$1204,1)/COUNTIFS('ثبت اطلاعات'!$C$5:$C$1204,A60,'ثبت اطلاعات'!$CO$5:$CO$1204,1),""))</x:f>
        <x:v>15.5</x:v>
      </x:c>
      <x:c r="I60" s="178" t="n">
        <x:f>IF(A60="","",IFERROR(SUMIFS('ثبت اطلاعات'!$CG$5:$CG$1204,'ثبت اطلاعات'!$C$5:$C$1204,A60,'ثبت اطلاعات'!$CO$5:$CO$1204,1)/COUNTIFS('ثبت اطلاعات'!$C$5:$C$1204,A60,'ثبت اطلاعات'!$CO$5:$CO$1204,1),""))</x:f>
        <x:v>13.714285714285714</x:v>
      </x:c>
      <x:c r="J60" s="178" t="n">
        <x:f>IF(A60="","",IFERROR(SUMIFS('ثبت اطلاعات'!$CH$5:$CH$1204,'ثبت اطلاعات'!$C$5:$C$1204,A60,'ثبت اطلاعات'!$CO$5:$CO$1204,1)/COUNTIFS('ثبت اطلاعات'!$C$5:$C$1204,A60,'ثبت اطلاعات'!$CO$5:$CO$1204,1),""))</x:f>
        <x:v>16.5</x:v>
      </x:c>
      <x:c r="K60" s="178" t="n">
        <x:f>IF(A60="","",IFERROR(SUMIFS('ثبت اطلاعات'!$CI$5:$CI$1204,'ثبت اطلاعات'!$C$5:$C$1204,A60,'ثبت اطلاعات'!$CO$5:$CO$1204,1)/COUNTIFS('ثبت اطلاعات'!$C$5:$C$1204,A60,'ثبت اطلاعات'!$CO$5:$CO$1204,1),""))</x:f>
        <x:v>15.428571428571429</x:v>
      </x:c>
      <x:c r="L60" s="178" t="n">
        <x:f>IF(A60="","",IFERROR(SUMIFS('ثبت اطلاعات'!$CJ$5:$CJ$1204,'ثبت اطلاعات'!$C$5:$C$1204,A60,'ثبت اطلاعات'!$CO$5:$CO$1204,1)/COUNTIFS('ثبت اطلاعات'!$C$5:$C$1204,A60,'ثبت اطلاعات'!$CO$5:$CO$1204,1),""))</x:f>
        <x:v>13.714285714285714</x:v>
      </x:c>
      <x:c r="M60" s="178" t="n">
        <x:f>IF(A60="","",IFERROR(SUMIFS('ثبت اطلاعات'!$CK$5:$CK$1204,'ثبت اطلاعات'!$C$5:$C$1204,A60,'ثبت اطلاعات'!$CO$5:$CO$1204,1)/COUNTIFS('ثبت اطلاعات'!$C$5:$C$1204,A60,'ثبت اطلاعات'!$CO$5:$CO$1204,1),""))</x:f>
        <x:v>16.571428571428573</x:v>
      </x:c>
      <x:c r="N60" s="178" t="n">
        <x:f>IF(A60="","",IFERROR(SUMIFS('ثبت اطلاعات'!$CL$5:$CL$1204,'ثبت اطلاعات'!$C$5:$C$1204,A60,'ثبت اطلاعات'!$CO$5:$CO$1204,1)/COUNTIFS('ثبت اطلاعات'!$C$5:$C$1204,A60,'ثبت اطلاعات'!$CO$5:$CO$1204,1),""))</x:f>
        <x:v>15.327857142857143</x:v>
      </x:c>
      <x:c r="O60" s="178" t="n">
        <x:f>IF(A60="","",COUNTIFS('ثبت اطلاعات'!$C$5:$C$1204,A60,'ثبت اطلاعات'!$CO$5:$CO$1204,1))</x:f>
        <x:v>1</x:v>
      </x:c>
      <x:c r="P60" s="178" t="n">
        <x:f>IF(O60=0,"",MINIFS('ثبت اطلاعات'!$CN$5:$CN$1204,'ثبت اطلاعات'!$C$5:$C$1204,A60,'ثبت اطلاعات'!$CO$5:$CO$1204,1))</x:f>
        <x:v>1</x:v>
      </x:c>
      <x:c r="Q60" s="178" t="n">
        <x:f>IF(O60=0,"",MAXIFS('ثبت اطلاعات'!$CN$5:$CN$1204,'ثبت اطلاعات'!$C$5:$C$1204,A60,'ثبت اطلاعات'!$CO$5:$CO$1204,1))</x:f>
        <x:v>1</x:v>
      </x:c>
      <x:c r="R60" s="178" t="str">
        <x:f>IF(O60&lt;2,"",SUMIFS('ثبت اطلاعات'!$CL$5:$CL$1204,'ثبت اطلاعات'!$C$5:$C$1204,A60,'ثبت اطلاعات'!$CN$5:$CN$1204,Q60)-SUMIFS('ثبت اطلاعات'!$CL$5:$CL$1204,'ثبت اطلاعات'!$C$5:$C$1204,A60,'ثبت اطلاعات'!$CN$5:$CN$1204,P60))</x:f>
      </x:c>
      <x:c r="S60" s="178" t="str">
        <x:f>IF(A60="","",IF(O60=0,"فاقد ارزیابی نهایی",IF(O60=1,"داده ناکافی",IF(R60&gt;0.5,"پیشرفت",IF(R60&lt;-0.5,"افت","ثبات")))))</x:f>
        <x:v>داده ناکافی</x:v>
      </x:c>
      <x:c r="T60" s="178" t="str">
        <x:f>IF(N60="","",INDEX($E$4:$M$4,1,MATCH(MAX(E60:M60),E60:M60,0)))</x:f>
        <x:v>مهارت‌های فردی</x:v>
      </x:c>
      <x:c r="U60" s="178" t="str">
        <x:f>IF(N60="","",INDEX($E$4:$M$4,1,MATCH(MIN(E60:M60),E60:M60,0)))</x:f>
        <x:v>فرهنگی</x:v>
      </x:c>
      <x:c r="V60" s="178" t="str">
        <x:f>IF(N60="","",IF(N60&gt;=17,"عالی",IF(N60&gt;=14,"خوب",IF(N60&gt;=10,"متوسط","ضعیف"))))</x:f>
        <x:v>خوب</x:v>
      </x:c>
      <x:c r="W60" s="178" t="n">
        <x:f>IF(N60="","",RANK.EQ(N60,$N$5:$N$104,0))</x:f>
        <x:v>19</x:v>
      </x:c>
      <x:c r="X60" s="178" t="n">
        <x:f>IF(N60="","",COUNT($N$5:$N$104))</x:f>
        <x:v>100</x:v>
      </x:c>
      <x:c r="Y60" s="142" t="str">
        <x:f>IF(U60="","",IFERROR(INDEX('بانک راهکارها'!$C$5:$C$13,MATCH(U60,'بانک راهکارها'!$B$5:$B$13,0)),""))</x:f>
        <x:v>مشارکت در برنامه‌های فرهنگی، مطالعه هدایت‌شده و فعالیت گروهی پیشنهاد می‌شود.</x:v>
      </x:c>
    </x:row>
    <x:row r="61">
      <x:c r="A61" s="165" t="n">
        <x:f>IF('دانش‌آموزان'!L61="","",'دانش‌آموزان'!B61)</x:f>
        <x:v>57</x:v>
      </x:c>
      <x:c r="B61" s="233" t="str">
        <x:f>IF(A61="","",'دانش‌آموزان'!C61)</x:f>
        <x:v>4000000578</x:v>
      </x:c>
      <x:c r="C61" s="233" t="str">
        <x:f>IF(A61="","",'دانش‌آموزان'!E61&amp;" "&amp;'دانش‌آموزان'!F61)</x:f>
        <x:v>سینا رحیمی</x:v>
      </x:c>
      <x:c r="D61" s="166" t="str">
        <x:f>IF(A61="","",'دانش‌آموزان'!I61)</x:f>
        <x:v>sample-7-c</x:v>
      </x:c>
      <x:c r="E61" s="141" t="n">
        <x:f>IF(A61="","",IFERROR(SUMIFS('ثبت اطلاعات'!$CC$5:$CC$1204,'ثبت اطلاعات'!$C$5:$C$1204,A61,'ثبت اطلاعات'!$CO$5:$CO$1204,1)/COUNTIFS('ثبت اطلاعات'!$C$5:$C$1204,A61,'ثبت اطلاعات'!$CO$5:$CO$1204,1),""))</x:f>
        <x:v>14.8</x:v>
      </x:c>
      <x:c r="F61" s="178" t="n">
        <x:f>IF(A61="","",IFERROR(SUMIFS('ثبت اطلاعات'!$CD$5:$CD$1204,'ثبت اطلاعات'!$C$5:$C$1204,A61,'ثبت اطلاعات'!$CO$5:$CO$1204,1)/COUNTIFS('ثبت اطلاعات'!$C$5:$C$1204,A61,'ثبت اطلاعات'!$CO$5:$CO$1204,1),""))</x:f>
        <x:v>15.2</x:v>
      </x:c>
      <x:c r="G61" s="178" t="n">
        <x:f>IF(A61="","",IFERROR(SUMIFS('ثبت اطلاعات'!$CE$5:$CE$1204,'ثبت اطلاعات'!$C$5:$C$1204,A61,'ثبت اطلاعات'!$CO$5:$CO$1204,1)/COUNTIFS('ثبت اطلاعات'!$C$5:$C$1204,A61,'ثبت اطلاعات'!$CO$5:$CO$1204,1),""))</x:f>
        <x:v>14.8</x:v>
      </x:c>
      <x:c r="H61" s="178" t="n">
        <x:f>IF(A61="","",IFERROR(SUMIFS('ثبت اطلاعات'!$CF$5:$CF$1204,'ثبت اطلاعات'!$C$5:$C$1204,A61,'ثبت اطلاعات'!$CO$5:$CO$1204,1)/COUNTIFS('ثبت اطلاعات'!$C$5:$C$1204,A61,'ثبت اطلاعات'!$CO$5:$CO$1204,1),""))</x:f>
        <x:v>16</x:v>
      </x:c>
      <x:c r="I61" s="178" t="n">
        <x:f>IF(A61="","",IFERROR(SUMIFS('ثبت اطلاعات'!$CG$5:$CG$1204,'ثبت اطلاعات'!$C$5:$C$1204,A61,'ثبت اطلاعات'!$CO$5:$CO$1204,1)/COUNTIFS('ثبت اطلاعات'!$C$5:$C$1204,A61,'ثبت اطلاعات'!$CO$5:$CO$1204,1),""))</x:f>
        <x:v>15.428571428571429</x:v>
      </x:c>
      <x:c r="J61" s="178" t="n">
        <x:f>IF(A61="","",IFERROR(SUMIFS('ثبت اطلاعات'!$CH$5:$CH$1204,'ثبت اطلاعات'!$C$5:$C$1204,A61,'ثبت اطلاعات'!$CO$5:$CO$1204,1)/COUNTIFS('ثبت اطلاعات'!$C$5:$C$1204,A61,'ثبت اطلاعات'!$CO$5:$CO$1204,1),""))</x:f>
        <x:v>15</x:v>
      </x:c>
      <x:c r="K61" s="178" t="n">
        <x:f>IF(A61="","",IFERROR(SUMIFS('ثبت اطلاعات'!$CI$5:$CI$1204,'ثبت اطلاعات'!$C$5:$C$1204,A61,'ثبت اطلاعات'!$CO$5:$CO$1204,1)/COUNTIFS('ثبت اطلاعات'!$C$5:$C$1204,A61,'ثبت اطلاعات'!$CO$5:$CO$1204,1),""))</x:f>
        <x:v>15.428571428571429</x:v>
      </x:c>
      <x:c r="L61" s="178" t="n">
        <x:f>IF(A61="","",IFERROR(SUMIFS('ثبت اطلاعات'!$CJ$5:$CJ$1204,'ثبت اطلاعات'!$C$5:$C$1204,A61,'ثبت اطلاعات'!$CO$5:$CO$1204,1)/COUNTIFS('ثبت اطلاعات'!$C$5:$C$1204,A61,'ثبت اطلاعات'!$CO$5:$CO$1204,1),""))</x:f>
        <x:v>15.428571428571429</x:v>
      </x:c>
      <x:c r="M61" s="178" t="n">
        <x:f>IF(A61="","",IFERROR(SUMIFS('ثبت اطلاعات'!$CK$5:$CK$1204,'ثبت اطلاعات'!$C$5:$C$1204,A61,'ثبت اطلاعات'!$CO$5:$CO$1204,1)/COUNTIFS('ثبت اطلاعات'!$C$5:$C$1204,A61,'ثبت اطلاعات'!$CO$5:$CO$1204,1),""))</x:f>
        <x:v>14.285714285714286</x:v>
      </x:c>
      <x:c r="N61" s="178" t="n">
        <x:f>IF(A61="","",IFERROR(SUMIFS('ثبت اطلاعات'!$CL$5:$CL$1204,'ثبت اطلاعات'!$C$5:$C$1204,A61,'ثبت اطلاعات'!$CO$5:$CO$1204,1)/COUNTIFS('ثبت اطلاعات'!$C$5:$C$1204,A61,'ثبت اطلاعات'!$CO$5:$CO$1204,1),""))</x:f>
        <x:v>15.145714285714286</x:v>
      </x:c>
      <x:c r="O61" s="178" t="n">
        <x:f>IF(A61="","",COUNTIFS('ثبت اطلاعات'!$C$5:$C$1204,A61,'ثبت اطلاعات'!$CO$5:$CO$1204,1))</x:f>
        <x:v>1</x:v>
      </x:c>
      <x:c r="P61" s="178" t="n">
        <x:f>IF(O61=0,"",MINIFS('ثبت اطلاعات'!$CN$5:$CN$1204,'ثبت اطلاعات'!$C$5:$C$1204,A61,'ثبت اطلاعات'!$CO$5:$CO$1204,1))</x:f>
        <x:v>1</x:v>
      </x:c>
      <x:c r="Q61" s="178" t="n">
        <x:f>IF(O61=0,"",MAXIFS('ثبت اطلاعات'!$CN$5:$CN$1204,'ثبت اطلاعات'!$C$5:$C$1204,A61,'ثبت اطلاعات'!$CO$5:$CO$1204,1))</x:f>
        <x:v>1</x:v>
      </x:c>
      <x:c r="R61" s="178" t="str">
        <x:f>IF(O61&lt;2,"",SUMIFS('ثبت اطلاعات'!$CL$5:$CL$1204,'ثبت اطلاعات'!$C$5:$C$1204,A61,'ثبت اطلاعات'!$CN$5:$CN$1204,Q61)-SUMIFS('ثبت اطلاعات'!$CL$5:$CL$1204,'ثبت اطلاعات'!$C$5:$C$1204,A61,'ثبت اطلاعات'!$CN$5:$CN$1204,P61))</x:f>
      </x:c>
      <x:c r="S61" s="178" t="str">
        <x:f>IF(A61="","",IF(O61=0,"فاقد ارزیابی نهایی",IF(O61=1,"داده ناکافی",IF(R61&gt;0.5,"پیشرفت",IF(R61&lt;-0.5,"افت","ثبات")))))</x:f>
        <x:v>داده ناکافی</x:v>
      </x:c>
      <x:c r="T61" s="178" t="str">
        <x:f>IF(N61="","",INDEX($E$4:$M$4,1,MATCH(MAX(E61:M61),E61:M61,0)))</x:f>
        <x:v>انضباطی</x:v>
      </x:c>
      <x:c r="U61" s="178" t="str">
        <x:f>IF(N61="","",INDEX($E$4:$M$4,1,MATCH(MIN(E61:M61),E61:M61,0)))</x:f>
        <x:v>مهارت‌های فردی</x:v>
      </x:c>
      <x:c r="V61" s="178" t="str">
        <x:f>IF(N61="","",IF(N61&gt;=17,"عالی",IF(N61&gt;=14,"خوب",IF(N61&gt;=10,"متوسط","ضعیف"))))</x:f>
        <x:v>خوب</x:v>
      </x:c>
      <x:c r="W61" s="178" t="n">
        <x:f>IF(N61="","",RANK.EQ(N61,$N$5:$N$104,0))</x:f>
        <x:v>83</x:v>
      </x:c>
      <x:c r="X61" s="178" t="n">
        <x:f>IF(N61="","",COUNT($N$5:$N$104))</x:f>
        <x:v>100</x:v>
      </x:c>
      <x:c r="Y61" s="142" t="str">
        <x:f>IF(U61="","",IFERROR(INDEX('بانک راهکارها'!$C$5:$C$13,MATCH(U61,'بانک راهکارها'!$B$5:$B$13,0)),""))</x:f>
        <x:v>تمرین برنامه‌ریزی هفتگی، ارتباط مؤثر و کار تیمی پیشنهاد می‌شود.</x:v>
      </x:c>
    </x:row>
    <x:row r="62">
      <x:c r="A62" s="165" t="n">
        <x:f>IF('دانش‌آموزان'!L62="","",'دانش‌آموزان'!B62)</x:f>
        <x:v>58</x:v>
      </x:c>
      <x:c r="B62" s="233" t="str">
        <x:f>IF(A62="","",'دانش‌آموزان'!C62)</x:f>
        <x:v>4000000586</x:v>
      </x:c>
      <x:c r="C62" s="233" t="str">
        <x:f>IF(A62="","",'دانش‌آموزان'!E62&amp;" "&amp;'دانش‌آموزان'!F62)</x:f>
        <x:v>یسنا حیدری</x:v>
      </x:c>
      <x:c r="D62" s="166" t="str">
        <x:f>IF(A62="","",'دانش‌آموزان'!I62)</x:f>
        <x:v>sample-7-c</x:v>
      </x:c>
      <x:c r="E62" s="141" t="n">
        <x:f>IF(A62="","",IFERROR(SUMIFS('ثبت اطلاعات'!$CC$5:$CC$1204,'ثبت اطلاعات'!$C$5:$C$1204,A62,'ثبت اطلاعات'!$CO$5:$CO$1204,1)/COUNTIFS('ثبت اطلاعات'!$C$5:$C$1204,A62,'ثبت اطلاعات'!$CO$5:$CO$1204,1),""))</x:f>
        <x:v>15.6</x:v>
      </x:c>
      <x:c r="F62" s="178" t="n">
        <x:f>IF(A62="","",IFERROR(SUMIFS('ثبت اطلاعات'!$CD$5:$CD$1204,'ثبت اطلاعات'!$C$5:$C$1204,A62,'ثبت اطلاعات'!$CO$5:$CO$1204,1)/COUNTIFS('ثبت اطلاعات'!$C$5:$C$1204,A62,'ثبت اطلاعات'!$CO$5:$CO$1204,1),""))</x:f>
        <x:v>15.2</x:v>
      </x:c>
      <x:c r="G62" s="178" t="n">
        <x:f>IF(A62="","",IFERROR(SUMIFS('ثبت اطلاعات'!$CE$5:$CE$1204,'ثبت اطلاعات'!$C$5:$C$1204,A62,'ثبت اطلاعات'!$CO$5:$CO$1204,1)/COUNTIFS('ثبت اطلاعات'!$C$5:$C$1204,A62,'ثبت اطلاعات'!$CO$5:$CO$1204,1),""))</x:f>
        <x:v>15.6</x:v>
      </x:c>
      <x:c r="H62" s="178" t="n">
        <x:f>IF(A62="","",IFERROR(SUMIFS('ثبت اطلاعات'!$CF$5:$CF$1204,'ثبت اطلاعات'!$C$5:$C$1204,A62,'ثبت اطلاعات'!$CO$5:$CO$1204,1)/COUNTIFS('ثبت اطلاعات'!$C$5:$C$1204,A62,'ثبت اطلاعات'!$CO$5:$CO$1204,1),""))</x:f>
        <x:v>14.5</x:v>
      </x:c>
      <x:c r="I62" s="178" t="n">
        <x:f>IF(A62="","",IFERROR(SUMIFS('ثبت اطلاعات'!$CG$5:$CG$1204,'ثبت اطلاعات'!$C$5:$C$1204,A62,'ثبت اطلاعات'!$CO$5:$CO$1204,1)/COUNTIFS('ثبت اطلاعات'!$C$5:$C$1204,A62,'ثبت اطلاعات'!$CO$5:$CO$1204,1),""))</x:f>
        <x:v>15.428571428571429</x:v>
      </x:c>
      <x:c r="J62" s="178" t="n">
        <x:f>IF(A62="","",IFERROR(SUMIFS('ثبت اطلاعات'!$CH$5:$CH$1204,'ثبت اطلاعات'!$C$5:$C$1204,A62,'ثبت اطلاعات'!$CO$5:$CO$1204,1)/COUNTIFS('ثبت اطلاعات'!$C$5:$C$1204,A62,'ثبت اطلاعات'!$CO$5:$CO$1204,1),""))</x:f>
        <x:v>15.5</x:v>
      </x:c>
      <x:c r="K62" s="178" t="n">
        <x:f>IF(A62="","",IFERROR(SUMIFS('ثبت اطلاعات'!$CI$5:$CI$1204,'ثبت اطلاعات'!$C$5:$C$1204,A62,'ثبت اطلاعات'!$CO$5:$CO$1204,1)/COUNTIFS('ثبت اطلاعات'!$C$5:$C$1204,A62,'ثبت اطلاعات'!$CO$5:$CO$1204,1),""))</x:f>
        <x:v>14.857142857142858</x:v>
      </x:c>
      <x:c r="L62" s="178" t="n">
        <x:f>IF(A62="","",IFERROR(SUMIFS('ثبت اطلاعات'!$CJ$5:$CJ$1204,'ثبت اطلاعات'!$C$5:$C$1204,A62,'ثبت اطلاعات'!$CO$5:$CO$1204,1)/COUNTIFS('ثبت اطلاعات'!$C$5:$C$1204,A62,'ثبت اطلاعات'!$CO$5:$CO$1204,1),""))</x:f>
        <x:v>15.428571428571429</x:v>
      </x:c>
      <x:c r="M62" s="178" t="n">
        <x:f>IF(A62="","",IFERROR(SUMIFS('ثبت اطلاعات'!$CK$5:$CK$1204,'ثبت اطلاعات'!$C$5:$C$1204,A62,'ثبت اطلاعات'!$CO$5:$CO$1204,1)/COUNTIFS('ثبت اطلاعات'!$C$5:$C$1204,A62,'ثبت اطلاعات'!$CO$5:$CO$1204,1),""))</x:f>
        <x:v>16</x:v>
      </x:c>
      <x:c r="N62" s="178" t="n">
        <x:f>IF(A62="","",IFERROR(SUMIFS('ثبت اطلاعات'!$CL$5:$CL$1204,'ثبت اطلاعات'!$C$5:$C$1204,A62,'ثبت اطلاعات'!$CO$5:$CO$1204,1)/COUNTIFS('ثبت اطلاعات'!$C$5:$C$1204,A62,'ثبت اطلاعات'!$CO$5:$CO$1204,1),""))</x:f>
        <x:v>15.320714285714287</x:v>
      </x:c>
      <x:c r="O62" s="178" t="n">
        <x:f>IF(A62="","",COUNTIFS('ثبت اطلاعات'!$C$5:$C$1204,A62,'ثبت اطلاعات'!$CO$5:$CO$1204,1))</x:f>
        <x:v>1</x:v>
      </x:c>
      <x:c r="P62" s="178" t="n">
        <x:f>IF(O62=0,"",MINIFS('ثبت اطلاعات'!$CN$5:$CN$1204,'ثبت اطلاعات'!$C$5:$C$1204,A62,'ثبت اطلاعات'!$CO$5:$CO$1204,1))</x:f>
        <x:v>1</x:v>
      </x:c>
      <x:c r="Q62" s="178" t="n">
        <x:f>IF(O62=0,"",MAXIFS('ثبت اطلاعات'!$CN$5:$CN$1204,'ثبت اطلاعات'!$C$5:$C$1204,A62,'ثبت اطلاعات'!$CO$5:$CO$1204,1))</x:f>
        <x:v>1</x:v>
      </x:c>
      <x:c r="R62" s="178" t="str">
        <x:f>IF(O62&lt;2,"",SUMIFS('ثبت اطلاعات'!$CL$5:$CL$1204,'ثبت اطلاعات'!$C$5:$C$1204,A62,'ثبت اطلاعات'!$CN$5:$CN$1204,Q62)-SUMIFS('ثبت اطلاعات'!$CL$5:$CL$1204,'ثبت اطلاعات'!$C$5:$C$1204,A62,'ثبت اطلاعات'!$CN$5:$CN$1204,P62))</x:f>
      </x:c>
      <x:c r="S62" s="178" t="str">
        <x:f>IF(A62="","",IF(O62=0,"فاقد ارزیابی نهایی",IF(O62=1,"داده ناکافی",IF(R62&gt;0.5,"پیشرفت",IF(R62&lt;-0.5,"افت","ثبات")))))</x:f>
        <x:v>داده ناکافی</x:v>
      </x:c>
      <x:c r="T62" s="178" t="str">
        <x:f>IF(N62="","",INDEX($E$4:$M$4,1,MATCH(MAX(E62:M62),E62:M62,0)))</x:f>
        <x:v>مهارت‌های فردی</x:v>
      </x:c>
      <x:c r="U62" s="178" t="str">
        <x:f>IF(N62="","",INDEX($E$4:$M$4,1,MATCH(MIN(E62:M62),E62:M62,0)))</x:f>
        <x:v>انضباطی</x:v>
      </x:c>
      <x:c r="V62" s="178" t="str">
        <x:f>IF(N62="","",IF(N62&gt;=17,"عالی",IF(N62&gt;=14,"خوب",IF(N62&gt;=10,"متوسط","ضعیف"))))</x:f>
        <x:v>خوب</x:v>
      </x:c>
      <x:c r="W62" s="178" t="n">
        <x:f>IF(N62="","",RANK.EQ(N62,$N$5:$N$104,0))</x:f>
        <x:v>29</x:v>
      </x:c>
      <x:c r="X62" s="178" t="n">
        <x:f>IF(N62="","",COUNT($N$5:$N$104))</x:f>
        <x:v>100</x:v>
      </x:c>
      <x:c r="Y62" s="142" t="str">
        <x:f>IF(U62="","",IFERROR(INDEX('بانک راهکارها'!$C$5:$C$13,MATCH(U62,'بانک راهکارها'!$B$5:$B$13,0)),""))</x:f>
        <x:v>قواعد روشن، قرارداد رفتاری کوتاه‌مدت و ثبت منظم پیشرفت پیشنهاد می‌شود.</x:v>
      </x:c>
    </x:row>
    <x:row r="63">
      <x:c r="A63" s="165" t="n">
        <x:f>IF('دانش‌آموزان'!L63="","",'دانش‌آموزان'!B63)</x:f>
        <x:v>59</x:v>
      </x:c>
      <x:c r="B63" s="233" t="str">
        <x:f>IF(A63="","",'دانش‌آموزان'!C63)</x:f>
        <x:v>4000000594</x:v>
      </x:c>
      <x:c r="C63" s="233" t="str">
        <x:f>IF(A63="","",'دانش‌آموزان'!E63&amp;" "&amp;'دانش‌آموزان'!F63)</x:f>
        <x:v>رضا صادقی</x:v>
      </x:c>
      <x:c r="D63" s="166" t="str">
        <x:f>IF(A63="","",'دانش‌آموزان'!I63)</x:f>
        <x:v>sample-7-c</x:v>
      </x:c>
      <x:c r="E63" s="141" t="n">
        <x:f>IF(A63="","",IFERROR(SUMIFS('ثبت اطلاعات'!$CC$5:$CC$1204,'ثبت اطلاعات'!$C$5:$C$1204,A63,'ثبت اطلاعات'!$CO$5:$CO$1204,1)/COUNTIFS('ثبت اطلاعات'!$C$5:$C$1204,A63,'ثبت اطلاعات'!$CO$5:$CO$1204,1),""))</x:f>
        <x:v>15.2</x:v>
      </x:c>
      <x:c r="F63" s="178" t="n">
        <x:f>IF(A63="","",IFERROR(SUMIFS('ثبت اطلاعات'!$CD$5:$CD$1204,'ثبت اطلاعات'!$C$5:$C$1204,A63,'ثبت اطلاعات'!$CO$5:$CO$1204,1)/COUNTIFS('ثبت اطلاعات'!$C$5:$C$1204,A63,'ثبت اطلاعات'!$CO$5:$CO$1204,1),""))</x:f>
        <x:v>14.8</x:v>
      </x:c>
      <x:c r="G63" s="178" t="n">
        <x:f>IF(A63="","",IFERROR(SUMIFS('ثبت اطلاعات'!$CE$5:$CE$1204,'ثبت اطلاعات'!$C$5:$C$1204,A63,'ثبت اطلاعات'!$CO$5:$CO$1204,1)/COUNTIFS('ثبت اطلاعات'!$C$5:$C$1204,A63,'ثبت اطلاعات'!$CO$5:$CO$1204,1),""))</x:f>
        <x:v>15.2</x:v>
      </x:c>
      <x:c r="H63" s="178" t="n">
        <x:f>IF(A63="","",IFERROR(SUMIFS('ثبت اطلاعات'!$CF$5:$CF$1204,'ثبت اطلاعات'!$C$5:$C$1204,A63,'ثبت اطلاعات'!$CO$5:$CO$1204,1)/COUNTIFS('ثبت اطلاعات'!$C$5:$C$1204,A63,'ثبت اطلاعات'!$CO$5:$CO$1204,1),""))</x:f>
        <x:v>16.5</x:v>
      </x:c>
      <x:c r="I63" s="178" t="n">
        <x:f>IF(A63="","",IFERROR(SUMIFS('ثبت اطلاعات'!$CG$5:$CG$1204,'ثبت اطلاعات'!$C$5:$C$1204,A63,'ثبت اطلاعات'!$CO$5:$CO$1204,1)/COUNTIFS('ثبت اطلاعات'!$C$5:$C$1204,A63,'ثبت اطلاعات'!$CO$5:$CO$1204,1),""))</x:f>
        <x:v>15.428571428571429</x:v>
      </x:c>
      <x:c r="J63" s="178" t="n">
        <x:f>IF(A63="","",IFERROR(SUMIFS('ثبت اطلاعات'!$CH$5:$CH$1204,'ثبت اطلاعات'!$C$5:$C$1204,A63,'ثبت اطلاعات'!$CO$5:$CO$1204,1)/COUNTIFS('ثبت اطلاعات'!$C$5:$C$1204,A63,'ثبت اطلاعات'!$CO$5:$CO$1204,1),""))</x:f>
        <x:v>14</x:v>
      </x:c>
      <x:c r="K63" s="178" t="n">
        <x:f>IF(A63="","",IFERROR(SUMIFS('ثبت اطلاعات'!$CI$5:$CI$1204,'ثبت اطلاعات'!$C$5:$C$1204,A63,'ثبت اطلاعات'!$CO$5:$CO$1204,1)/COUNTIFS('ثبت اطلاعات'!$C$5:$C$1204,A63,'ثبت اطلاعات'!$CO$5:$CO$1204,1),""))</x:f>
        <x:v>16.571428571428573</x:v>
      </x:c>
      <x:c r="L63" s="178" t="n">
        <x:f>IF(A63="","",IFERROR(SUMIFS('ثبت اطلاعات'!$CJ$5:$CJ$1204,'ثبت اطلاعات'!$C$5:$C$1204,A63,'ثبت اطلاعات'!$CO$5:$CO$1204,1)/COUNTIFS('ثبت اطلاعات'!$C$5:$C$1204,A63,'ثبت اطلاعات'!$CO$5:$CO$1204,1),""))</x:f>
        <x:v>15.428571428571429</x:v>
      </x:c>
      <x:c r="M63" s="178" t="n">
        <x:f>IF(A63="","",IFERROR(SUMIFS('ثبت اطلاعات'!$CK$5:$CK$1204,'ثبت اطلاعات'!$C$5:$C$1204,A63,'ثبت اطلاعات'!$CO$5:$CO$1204,1)/COUNTIFS('ثبت اطلاعات'!$C$5:$C$1204,A63,'ثبت اطلاعات'!$CO$5:$CO$1204,1),""))</x:f>
        <x:v>13.714285714285714</x:v>
      </x:c>
      <x:c r="N63" s="178" t="n">
        <x:f>IF(A63="","",IFERROR(SUMIFS('ثبت اطلاعات'!$CL$5:$CL$1204,'ثبت اطلاعات'!$C$5:$C$1204,A63,'ثبت اطلاعات'!$CO$5:$CO$1204,1)/COUNTIFS('ثبت اطلاعات'!$C$5:$C$1204,A63,'ثبت اطلاعات'!$CO$5:$CO$1204,1),""))</x:f>
        <x:v>15.260714285714286</x:v>
      </x:c>
      <x:c r="O63" s="178" t="n">
        <x:f>IF(A63="","",COUNTIFS('ثبت اطلاعات'!$C$5:$C$1204,A63,'ثبت اطلاعات'!$CO$5:$CO$1204,1))</x:f>
        <x:v>1</x:v>
      </x:c>
      <x:c r="P63" s="178" t="n">
        <x:f>IF(O63=0,"",MINIFS('ثبت اطلاعات'!$CN$5:$CN$1204,'ثبت اطلاعات'!$C$5:$C$1204,A63,'ثبت اطلاعات'!$CO$5:$CO$1204,1))</x:f>
        <x:v>1</x:v>
      </x:c>
      <x:c r="Q63" s="178" t="n">
        <x:f>IF(O63=0,"",MAXIFS('ثبت اطلاعات'!$CN$5:$CN$1204,'ثبت اطلاعات'!$C$5:$C$1204,A63,'ثبت اطلاعات'!$CO$5:$CO$1204,1))</x:f>
        <x:v>1</x:v>
      </x:c>
      <x:c r="R63" s="178" t="str">
        <x:f>IF(O63&lt;2,"",SUMIFS('ثبت اطلاعات'!$CL$5:$CL$1204,'ثبت اطلاعات'!$C$5:$C$1204,A63,'ثبت اطلاعات'!$CN$5:$CN$1204,Q63)-SUMIFS('ثبت اطلاعات'!$CL$5:$CL$1204,'ثبت اطلاعات'!$C$5:$C$1204,A63,'ثبت اطلاعات'!$CN$5:$CN$1204,P63))</x:f>
      </x:c>
      <x:c r="S63" s="178" t="str">
        <x:f>IF(A63="","",IF(O63=0,"فاقد ارزیابی نهایی",IF(O63=1,"داده ناکافی",IF(R63&gt;0.5,"پیشرفت",IF(R63&lt;-0.5,"افت","ثبات")))))</x:f>
        <x:v>داده ناکافی</x:v>
      </x:c>
      <x:c r="T63" s="178" t="str">
        <x:f>IF(N63="","",INDEX($E$4:$M$4,1,MATCH(MAX(E63:M63),E63:M63,0)))</x:f>
        <x:v>ورزشی</x:v>
      </x:c>
      <x:c r="U63" s="178" t="str">
        <x:f>IF(N63="","",INDEX($E$4:$M$4,1,MATCH(MIN(E63:M63),E63:M63,0)))</x:f>
        <x:v>مهارت‌های فردی</x:v>
      </x:c>
      <x:c r="V63" s="178" t="str">
        <x:f>IF(N63="","",IF(N63&gt;=17,"عالی",IF(N63&gt;=14,"خوب",IF(N63&gt;=10,"متوسط","ضعیف"))))</x:f>
        <x:v>خوب</x:v>
      </x:c>
      <x:c r="W63" s="178" t="n">
        <x:f>IF(N63="","",RANK.EQ(N63,$N$5:$N$104,0))</x:f>
        <x:v>56</x:v>
      </x:c>
      <x:c r="X63" s="178" t="n">
        <x:f>IF(N63="","",COUNT($N$5:$N$104))</x:f>
        <x:v>100</x:v>
      </x:c>
      <x:c r="Y63" s="142" t="str">
        <x:f>IF(U63="","",IFERROR(INDEX('بانک راهکارها'!$C$5:$C$13,MATCH(U63,'بانک راهکارها'!$B$5:$B$13,0)),""))</x:f>
        <x:v>تمرین برنامه‌ریزی هفتگی، ارتباط مؤثر و کار تیمی پیشنهاد می‌شود.</x:v>
      </x:c>
    </x:row>
    <x:row r="64">
      <x:c r="A64" s="165" t="n">
        <x:f>IF('دانش‌آموزان'!L64="","",'دانش‌آموزان'!B64)</x:f>
        <x:v>60</x:v>
      </x:c>
      <x:c r="B64" s="233" t="str">
        <x:f>IF(A64="","",'دانش‌آموزان'!C64)</x:f>
        <x:v>4000000608</x:v>
      </x:c>
      <x:c r="C64" s="233" t="str">
        <x:f>IF(A64="","",'دانش‌آموزان'!E64&amp;" "&amp;'دانش‌آموزان'!F64)</x:f>
        <x:v>آوا کاظمی</x:v>
      </x:c>
      <x:c r="D64" s="166" t="str">
        <x:f>IF(A64="","",'دانش‌آموزان'!I64)</x:f>
        <x:v>sample-7-c</x:v>
      </x:c>
      <x:c r="E64" s="141" t="n">
        <x:f>IF(A64="","",IFERROR(SUMIFS('ثبت اطلاعات'!$CC$5:$CC$1204,'ثبت اطلاعات'!$C$5:$C$1204,A64,'ثبت اطلاعات'!$CO$5:$CO$1204,1)/COUNTIFS('ثبت اطلاعات'!$C$5:$C$1204,A64,'ثبت اطلاعات'!$CO$5:$CO$1204,1),""))</x:f>
        <x:v>15.2</x:v>
      </x:c>
      <x:c r="F64" s="178" t="n">
        <x:f>IF(A64="","",IFERROR(SUMIFS('ثبت اطلاعات'!$CD$5:$CD$1204,'ثبت اطلاعات'!$C$5:$C$1204,A64,'ثبت اطلاعات'!$CO$5:$CO$1204,1)/COUNTIFS('ثبت اطلاعات'!$C$5:$C$1204,A64,'ثبت اطلاعات'!$CO$5:$CO$1204,1),""))</x:f>
        <x:v>15.6</x:v>
      </x:c>
      <x:c r="G64" s="178" t="n">
        <x:f>IF(A64="","",IFERROR(SUMIFS('ثبت اطلاعات'!$CE$5:$CE$1204,'ثبت اطلاعات'!$C$5:$C$1204,A64,'ثبت اطلاعات'!$CO$5:$CO$1204,1)/COUNTIFS('ثبت اطلاعات'!$C$5:$C$1204,A64,'ثبت اطلاعات'!$CO$5:$CO$1204,1),""))</x:f>
        <x:v>14.8</x:v>
      </x:c>
      <x:c r="H64" s="178" t="n">
        <x:f>IF(A64="","",IFERROR(SUMIFS('ثبت اطلاعات'!$CF$5:$CF$1204,'ثبت اطلاعات'!$C$5:$C$1204,A64,'ثبت اطلاعات'!$CO$5:$CO$1204,1)/COUNTIFS('ثبت اطلاعات'!$C$5:$C$1204,A64,'ثبت اطلاعات'!$CO$5:$CO$1204,1),""))</x:f>
        <x:v>15</x:v>
      </x:c>
      <x:c r="I64" s="178" t="n">
        <x:f>IF(A64="","",IFERROR(SUMIFS('ثبت اطلاعات'!$CG$5:$CG$1204,'ثبت اطلاعات'!$C$5:$C$1204,A64,'ثبت اطلاعات'!$CO$5:$CO$1204,1)/COUNTIFS('ثبت اطلاعات'!$C$5:$C$1204,A64,'ثبت اطلاعات'!$CO$5:$CO$1204,1),""))</x:f>
        <x:v>15.428571428571429</x:v>
      </x:c>
      <x:c r="J64" s="178" t="n">
        <x:f>IF(A64="","",IFERROR(SUMIFS('ثبت اطلاعات'!$CH$5:$CH$1204,'ثبت اطلاعات'!$C$5:$C$1204,A64,'ثبت اطلاعات'!$CO$5:$CO$1204,1)/COUNTIFS('ثبت اطلاعات'!$C$5:$C$1204,A64,'ثبت اطلاعات'!$CO$5:$CO$1204,1),""))</x:f>
        <x:v>16</x:v>
      </x:c>
      <x:c r="K64" s="178" t="n">
        <x:f>IF(A64="","",IFERROR(SUMIFS('ثبت اطلاعات'!$CI$5:$CI$1204,'ثبت اطلاعات'!$C$5:$C$1204,A64,'ثبت اطلاعات'!$CO$5:$CO$1204,1)/COUNTIFS('ثبت اطلاعات'!$C$5:$C$1204,A64,'ثبت اطلاعات'!$CO$5:$CO$1204,1),""))</x:f>
        <x:v>14.285714285714286</x:v>
      </x:c>
      <x:c r="L64" s="178" t="n">
        <x:f>IF(A64="","",IFERROR(SUMIFS('ثبت اطلاعات'!$CJ$5:$CJ$1204,'ثبت اطلاعات'!$C$5:$C$1204,A64,'ثبت اطلاعات'!$CO$5:$CO$1204,1)/COUNTIFS('ثبت اطلاعات'!$C$5:$C$1204,A64,'ثبت اطلاعات'!$CO$5:$CO$1204,1),""))</x:f>
        <x:v>15.428571428571429</x:v>
      </x:c>
      <x:c r="M64" s="178" t="n">
        <x:f>IF(A64="","",IFERROR(SUMIFS('ثبت اطلاعات'!$CK$5:$CK$1204,'ثبت اطلاعات'!$C$5:$C$1204,A64,'ثبت اطلاعات'!$CO$5:$CO$1204,1)/COUNTIFS('ثبت اطلاعات'!$C$5:$C$1204,A64,'ثبت اطلاعات'!$CO$5:$CO$1204,1),""))</x:f>
        <x:v>15.428571428571429</x:v>
      </x:c>
      <x:c r="N64" s="178" t="n">
        <x:f>IF(A64="","",IFERROR(SUMIFS('ثبت اطلاعات'!$CL$5:$CL$1204,'ثبت اطلاعات'!$C$5:$C$1204,A64,'ثبت اطلاعات'!$CO$5:$CO$1204,1)/COUNTIFS('ثبت اطلاعات'!$C$5:$C$1204,A64,'ثبت اطلاعات'!$CO$5:$CO$1204,1),""))</x:f>
        <x:v>15.215714285714286</x:v>
      </x:c>
      <x:c r="O64" s="178" t="n">
        <x:f>IF(A64="","",COUNTIFS('ثبت اطلاعات'!$C$5:$C$1204,A64,'ثبت اطلاعات'!$CO$5:$CO$1204,1))</x:f>
        <x:v>1</x:v>
      </x:c>
      <x:c r="P64" s="178" t="n">
        <x:f>IF(O64=0,"",MINIFS('ثبت اطلاعات'!$CN$5:$CN$1204,'ثبت اطلاعات'!$C$5:$C$1204,A64,'ثبت اطلاعات'!$CO$5:$CO$1204,1))</x:f>
        <x:v>1</x:v>
      </x:c>
      <x:c r="Q64" s="178" t="n">
        <x:f>IF(O64=0,"",MAXIFS('ثبت اطلاعات'!$CN$5:$CN$1204,'ثبت اطلاعات'!$C$5:$C$1204,A64,'ثبت اطلاعات'!$CO$5:$CO$1204,1))</x:f>
        <x:v>1</x:v>
      </x:c>
      <x:c r="R64" s="178" t="str">
        <x:f>IF(O64&lt;2,"",SUMIFS('ثبت اطلاعات'!$CL$5:$CL$1204,'ثبت اطلاعات'!$C$5:$C$1204,A64,'ثبت اطلاعات'!$CN$5:$CN$1204,Q64)-SUMIFS('ثبت اطلاعات'!$CL$5:$CL$1204,'ثبت اطلاعات'!$C$5:$C$1204,A64,'ثبت اطلاعات'!$CN$5:$CN$1204,P64))</x:f>
      </x:c>
      <x:c r="S64" s="178" t="str">
        <x:f>IF(A64="","",IF(O64=0,"فاقد ارزیابی نهایی",IF(O64=1,"داده ناکافی",IF(R64&gt;0.5,"پیشرفت",IF(R64&lt;-0.5,"افت","ثبات")))))</x:f>
        <x:v>داده ناکافی</x:v>
      </x:c>
      <x:c r="T64" s="178" t="str">
        <x:f>IF(N64="","",INDEX($E$4:$M$4,1,MATCH(MAX(E64:M64),E64:M64,0)))</x:f>
        <x:v>پژوهشی</x:v>
      </x:c>
      <x:c r="U64" s="178" t="str">
        <x:f>IF(N64="","",INDEX($E$4:$M$4,1,MATCH(MIN(E64:M64),E64:M64,0)))</x:f>
        <x:v>ورزشی</x:v>
      </x:c>
      <x:c r="V64" s="178" t="str">
        <x:f>IF(N64="","",IF(N64&gt;=17,"عالی",IF(N64&gt;=14,"خوب",IF(N64&gt;=10,"متوسط","ضعیف"))))</x:f>
        <x:v>خوب</x:v>
      </x:c>
      <x:c r="W64" s="178" t="n">
        <x:f>IF(N64="","",RANK.EQ(N64,$N$5:$N$104,0))</x:f>
        <x:v>65</x:v>
      </x:c>
      <x:c r="X64" s="178" t="n">
        <x:f>IF(N64="","",COUNT($N$5:$N$104))</x:f>
        <x:v>100</x:v>
      </x:c>
      <x:c r="Y64" s="142" t="str">
        <x:f>IF(U64="","",IFERROR(INDEX('بانک راهکارها'!$C$5:$C$13,MATCH(U64,'بانک راهکارها'!$B$5:$B$13,0)),""))</x:f>
        <x:v>برنامه فعالیت بدنی منظم و مشارکت در ورزش گروهی پیشنهاد می‌شود.</x:v>
      </x:c>
    </x:row>
    <x:row r="65">
      <x:c r="A65" s="165" t="n">
        <x:f>IF('دانش‌آموزان'!L65="","",'دانش‌آموزان'!B65)</x:f>
        <x:v>61</x:v>
      </x:c>
      <x:c r="B65" s="233" t="str">
        <x:f>IF(A65="","",'دانش‌آموزان'!C65)</x:f>
        <x:v>4000000616</x:v>
      </x:c>
      <x:c r="C65" s="233" t="str">
        <x:f>IF(A65="","",'دانش‌آموزان'!E65&amp;" "&amp;'دانش‌آموزان'!F65)</x:f>
        <x:v>علی احمدی</x:v>
      </x:c>
      <x:c r="D65" s="166" t="str">
        <x:f>IF(A65="","",'دانش‌آموزان'!I65)</x:f>
        <x:v>sample-7-c</x:v>
      </x:c>
      <x:c r="E65" s="141" t="n">
        <x:f>IF(A65="","",IFERROR(SUMIFS('ثبت اطلاعات'!$CC$5:$CC$1204,'ثبت اطلاعات'!$C$5:$C$1204,A65,'ثبت اطلاعات'!$CO$5:$CO$1204,1)/COUNTIFS('ثبت اطلاعات'!$C$5:$C$1204,A65,'ثبت اطلاعات'!$CO$5:$CO$1204,1),""))</x:f>
        <x:v>14.8</x:v>
      </x:c>
      <x:c r="F65" s="178" t="n">
        <x:f>IF(A65="","",IFERROR(SUMIFS('ثبت اطلاعات'!$CD$5:$CD$1204,'ثبت اطلاعات'!$C$5:$C$1204,A65,'ثبت اطلاعات'!$CO$5:$CO$1204,1)/COUNTIFS('ثبت اطلاعات'!$C$5:$C$1204,A65,'ثبت اطلاعات'!$CO$5:$CO$1204,1),""))</x:f>
        <x:v>15.2</x:v>
      </x:c>
      <x:c r="G65" s="178" t="n">
        <x:f>IF(A65="","",IFERROR(SUMIFS('ثبت اطلاعات'!$CE$5:$CE$1204,'ثبت اطلاعات'!$C$5:$C$1204,A65,'ثبت اطلاعات'!$CO$5:$CO$1204,1)/COUNTIFS('ثبت اطلاعات'!$C$5:$C$1204,A65,'ثبت اطلاعات'!$CO$5:$CO$1204,1),""))</x:f>
        <x:v>16</x:v>
      </x:c>
      <x:c r="H65" s="178" t="n">
        <x:f>IF(A65="","",IFERROR(SUMIFS('ثبت اطلاعات'!$CF$5:$CF$1204,'ثبت اطلاعات'!$C$5:$C$1204,A65,'ثبت اطلاعات'!$CO$5:$CO$1204,1)/COUNTIFS('ثبت اطلاعات'!$C$5:$C$1204,A65,'ثبت اطلاعات'!$CO$5:$CO$1204,1),""))</x:f>
        <x:v>15.5</x:v>
      </x:c>
      <x:c r="I65" s="178" t="n">
        <x:f>IF(A65="","",IFERROR(SUMIFS('ثبت اطلاعات'!$CG$5:$CG$1204,'ثبت اطلاعات'!$C$5:$C$1204,A65,'ثبت اطلاعات'!$CO$5:$CO$1204,1)/COUNTIFS('ثبت اطلاعات'!$C$5:$C$1204,A65,'ثبت اطلاعات'!$CO$5:$CO$1204,1),""))</x:f>
        <x:v>14.857142857142858</x:v>
      </x:c>
      <x:c r="J65" s="178" t="n">
        <x:f>IF(A65="","",IFERROR(SUMIFS('ثبت اطلاعات'!$CH$5:$CH$1204,'ثبت اطلاعات'!$C$5:$C$1204,A65,'ثبت اطلاعات'!$CO$5:$CO$1204,1)/COUNTIFS('ثبت اطلاعات'!$C$5:$C$1204,A65,'ثبت اطلاعات'!$CO$5:$CO$1204,1),""))</x:f>
        <x:v>14.5</x:v>
      </x:c>
      <x:c r="K65" s="178" t="n">
        <x:f>IF(A65="","",IFERROR(SUMIFS('ثبت اطلاعات'!$CI$5:$CI$1204,'ثبت اطلاعات'!$C$5:$C$1204,A65,'ثبت اطلاعات'!$CO$5:$CO$1204,1)/COUNTIFS('ثبت اطلاعات'!$C$5:$C$1204,A65,'ثبت اطلاعات'!$CO$5:$CO$1204,1),""))</x:f>
        <x:v>16.571428571428573</x:v>
      </x:c>
      <x:c r="L65" s="178" t="n">
        <x:f>IF(A65="","",IFERROR(SUMIFS('ثبت اطلاعات'!$CJ$5:$CJ$1204,'ثبت اطلاعات'!$C$5:$C$1204,A65,'ثبت اطلاعات'!$CO$5:$CO$1204,1)/COUNTIFS('ثبت اطلاعات'!$C$5:$C$1204,A65,'ثبت اطلاعات'!$CO$5:$CO$1204,1),""))</x:f>
        <x:v>14.857142857142858</x:v>
      </x:c>
      <x:c r="M65" s="178" t="n">
        <x:f>IF(A65="","",IFERROR(SUMIFS('ثبت اطلاعات'!$CK$5:$CK$1204,'ثبت اطلاعات'!$C$5:$C$1204,A65,'ثبت اطلاعات'!$CO$5:$CO$1204,1)/COUNTIFS('ثبت اطلاعات'!$C$5:$C$1204,A65,'ثبت اطلاعات'!$CO$5:$CO$1204,1),""))</x:f>
        <x:v>15.428571428571429</x:v>
      </x:c>
      <x:c r="N65" s="178" t="n">
        <x:f>IF(A65="","",IFERROR(SUMIFS('ثبت اطلاعات'!$CL$5:$CL$1204,'ثبت اطلاعات'!$C$5:$C$1204,A65,'ثبت اطلاعات'!$CO$5:$CO$1204,1)/COUNTIFS('ثبت اطلاعات'!$C$5:$C$1204,A65,'ثبت اطلاعات'!$CO$5:$CO$1204,1),""))</x:f>
        <x:v>15.29642857142857</x:v>
      </x:c>
      <x:c r="O65" s="178" t="n">
        <x:f>IF(A65="","",COUNTIFS('ثبت اطلاعات'!$C$5:$C$1204,A65,'ثبت اطلاعات'!$CO$5:$CO$1204,1))</x:f>
        <x:v>1</x:v>
      </x:c>
      <x:c r="P65" s="178" t="n">
        <x:f>IF(O65=0,"",MINIFS('ثبت اطلاعات'!$CN$5:$CN$1204,'ثبت اطلاعات'!$C$5:$C$1204,A65,'ثبت اطلاعات'!$CO$5:$CO$1204,1))</x:f>
        <x:v>1</x:v>
      </x:c>
      <x:c r="Q65" s="178" t="n">
        <x:f>IF(O65=0,"",MAXIFS('ثبت اطلاعات'!$CN$5:$CN$1204,'ثبت اطلاعات'!$C$5:$C$1204,A65,'ثبت اطلاعات'!$CO$5:$CO$1204,1))</x:f>
        <x:v>1</x:v>
      </x:c>
      <x:c r="R65" s="178" t="str">
        <x:f>IF(O65&lt;2,"",SUMIFS('ثبت اطلاعات'!$CL$5:$CL$1204,'ثبت اطلاعات'!$C$5:$C$1204,A65,'ثبت اطلاعات'!$CN$5:$CN$1204,Q65)-SUMIFS('ثبت اطلاعات'!$CL$5:$CL$1204,'ثبت اطلاعات'!$C$5:$C$1204,A65,'ثبت اطلاعات'!$CN$5:$CN$1204,P65))</x:f>
      </x:c>
      <x:c r="S65" s="178" t="str">
        <x:f>IF(A65="","",IF(O65=0,"فاقد ارزیابی نهایی",IF(O65=1,"داده ناکافی",IF(R65&gt;0.5,"پیشرفت",IF(R65&lt;-0.5,"افت","ثبات")))))</x:f>
        <x:v>داده ناکافی</x:v>
      </x:c>
      <x:c r="T65" s="178" t="str">
        <x:f>IF(N65="","",INDEX($E$4:$M$4,1,MATCH(MAX(E65:M65),E65:M65,0)))</x:f>
        <x:v>ورزشی</x:v>
      </x:c>
      <x:c r="U65" s="178" t="str">
        <x:f>IF(N65="","",INDEX($E$4:$M$4,1,MATCH(MIN(E65:M65),E65:M65,0)))</x:f>
        <x:v>پژوهشی</x:v>
      </x:c>
      <x:c r="V65" s="178" t="str">
        <x:f>IF(N65="","",IF(N65&gt;=17,"عالی",IF(N65&gt;=14,"خوب",IF(N65&gt;=10,"متوسط","ضعیف"))))</x:f>
        <x:v>خوب</x:v>
      </x:c>
      <x:c r="W65" s="178" t="n">
        <x:f>IF(N65="","",RANK.EQ(N65,$N$5:$N$104,0))</x:f>
        <x:v>38</x:v>
      </x:c>
      <x:c r="X65" s="178" t="n">
        <x:f>IF(N65="","",COUNT($N$5:$N$104))</x:f>
        <x:v>100</x:v>
      </x:c>
      <x:c r="Y65" s="142" t="str">
        <x:f>IF(U65="","",IFERROR(INDEX('بانک راهکارها'!$C$5:$C$13,MATCH(U65,'بانک راهکارها'!$B$5:$B$13,0)),""))</x:f>
        <x:v>یک پروژه کوچک پژوهشی با منابع مشخص و ارائه کوتاه پیشنهاد می‌شود.</x:v>
      </x:c>
    </x:row>
    <x:row r="66">
      <x:c r="A66" s="165" t="n">
        <x:f>IF('دانش‌آموزان'!L66="","",'دانش‌آموزان'!B66)</x:f>
        <x:v>62</x:v>
      </x:c>
      <x:c r="B66" s="233" t="str">
        <x:f>IF(A66="","",'دانش‌آموزان'!C66)</x:f>
        <x:v>4000000624</x:v>
      </x:c>
      <x:c r="C66" s="233" t="str">
        <x:f>IF(A66="","",'دانش‌آموزان'!E66&amp;" "&amp;'دانش‌آموزان'!F66)</x:f>
        <x:v>فاطمه اکبری</x:v>
      </x:c>
      <x:c r="D66" s="166" t="str">
        <x:f>IF(A66="","",'دانش‌آموزان'!I66)</x:f>
        <x:v>sample-7-c</x:v>
      </x:c>
      <x:c r="E66" s="141" t="n">
        <x:f>IF(A66="","",IFERROR(SUMIFS('ثبت اطلاعات'!$CC$5:$CC$1204,'ثبت اطلاعات'!$C$5:$C$1204,A66,'ثبت اطلاعات'!$CO$5:$CO$1204,1)/COUNTIFS('ثبت اطلاعات'!$C$5:$C$1204,A66,'ثبت اطلاعات'!$CO$5:$CO$1204,1),""))</x:f>
        <x:v>15.6</x:v>
      </x:c>
      <x:c r="F66" s="178" t="n">
        <x:f>IF(A66="","",IFERROR(SUMIFS('ثبت اطلاعات'!$CD$5:$CD$1204,'ثبت اطلاعات'!$C$5:$C$1204,A66,'ثبت اطلاعات'!$CO$5:$CO$1204,1)/COUNTIFS('ثبت اطلاعات'!$C$5:$C$1204,A66,'ثبت اطلاعات'!$CO$5:$CO$1204,1),""))</x:f>
        <x:v>14.8</x:v>
      </x:c>
      <x:c r="G66" s="178" t="n">
        <x:f>IF(A66="","",IFERROR(SUMIFS('ثبت اطلاعات'!$CE$5:$CE$1204,'ثبت اطلاعات'!$C$5:$C$1204,A66,'ثبت اطلاعات'!$CO$5:$CO$1204,1)/COUNTIFS('ثبت اطلاعات'!$C$5:$C$1204,A66,'ثبت اطلاعات'!$CO$5:$CO$1204,1),""))</x:f>
        <x:v>15.6</x:v>
      </x:c>
      <x:c r="H66" s="178" t="n">
        <x:f>IF(A66="","",IFERROR(SUMIFS('ثبت اطلاعات'!$CF$5:$CF$1204,'ثبت اطلاعات'!$C$5:$C$1204,A66,'ثبت اطلاعات'!$CO$5:$CO$1204,1)/COUNTIFS('ثبت اطلاعات'!$C$5:$C$1204,A66,'ثبت اطلاعات'!$CO$5:$CO$1204,1),""))</x:f>
        <x:v>14</x:v>
      </x:c>
      <x:c r="I66" s="178" t="n">
        <x:f>IF(A66="","",IFERROR(SUMIFS('ثبت اطلاعات'!$CG$5:$CG$1204,'ثبت اطلاعات'!$C$5:$C$1204,A66,'ثبت اطلاعات'!$CO$5:$CO$1204,1)/COUNTIFS('ثبت اطلاعات'!$C$5:$C$1204,A66,'ثبت اطلاعات'!$CO$5:$CO$1204,1),""))</x:f>
        <x:v>16.571428571428573</x:v>
      </x:c>
      <x:c r="J66" s="178" t="n">
        <x:f>IF(A66="","",IFERROR(SUMIFS('ثبت اطلاعات'!$CH$5:$CH$1204,'ثبت اطلاعات'!$C$5:$C$1204,A66,'ثبت اطلاعات'!$CO$5:$CO$1204,1)/COUNTIFS('ثبت اطلاعات'!$C$5:$C$1204,A66,'ثبت اطلاعات'!$CO$5:$CO$1204,1),""))</x:f>
        <x:v>15</x:v>
      </x:c>
      <x:c r="K66" s="178" t="n">
        <x:f>IF(A66="","",IFERROR(SUMIFS('ثبت اطلاعات'!$CI$5:$CI$1204,'ثبت اطلاعات'!$C$5:$C$1204,A66,'ثبت اطلاعات'!$CO$5:$CO$1204,1)/COUNTIFS('ثبت اطلاعات'!$C$5:$C$1204,A66,'ثبت اطلاعات'!$CO$5:$CO$1204,1),""))</x:f>
        <x:v>14.285714285714286</x:v>
      </x:c>
      <x:c r="L66" s="178" t="n">
        <x:f>IF(A66="","",IFERROR(SUMIFS('ثبت اطلاعات'!$CJ$5:$CJ$1204,'ثبت اطلاعات'!$C$5:$C$1204,A66,'ثبت اطلاعات'!$CO$5:$CO$1204,1)/COUNTIFS('ثبت اطلاعات'!$C$5:$C$1204,A66,'ثبت اطلاعات'!$CO$5:$CO$1204,1),""))</x:f>
        <x:v>16.571428571428573</x:v>
      </x:c>
      <x:c r="M66" s="178" t="n">
        <x:f>IF(A66="","",IFERROR(SUMIFS('ثبت اطلاعات'!$CK$5:$CK$1204,'ثبت اطلاعات'!$C$5:$C$1204,A66,'ثبت اطلاعات'!$CO$5:$CO$1204,1)/COUNTIFS('ثبت اطلاعات'!$C$5:$C$1204,A66,'ثبت اطلاعات'!$CO$5:$CO$1204,1),""))</x:f>
        <x:v>15.428571428571429</x:v>
      </x:c>
      <x:c r="N66" s="178" t="n">
        <x:f>IF(A66="","",IFERROR(SUMIFS('ثبت اطلاعات'!$CL$5:$CL$1204,'ثبت اطلاعات'!$C$5:$C$1204,A66,'ثبت اطلاعات'!$CO$5:$CO$1204,1)/COUNTIFS('ثبت اطلاعات'!$C$5:$C$1204,A66,'ثبت اطلاعات'!$CO$5:$CO$1204,1),""))</x:f>
        <x:v>15.214285714285715</x:v>
      </x:c>
      <x:c r="O66" s="178" t="n">
        <x:f>IF(A66="","",COUNTIFS('ثبت اطلاعات'!$C$5:$C$1204,A66,'ثبت اطلاعات'!$CO$5:$CO$1204,1))</x:f>
        <x:v>1</x:v>
      </x:c>
      <x:c r="P66" s="178" t="n">
        <x:f>IF(O66=0,"",MINIFS('ثبت اطلاعات'!$CN$5:$CN$1204,'ثبت اطلاعات'!$C$5:$C$1204,A66,'ثبت اطلاعات'!$CO$5:$CO$1204,1))</x:f>
        <x:v>1</x:v>
      </x:c>
      <x:c r="Q66" s="178" t="n">
        <x:f>IF(O66=0,"",MAXIFS('ثبت اطلاعات'!$CN$5:$CN$1204,'ثبت اطلاعات'!$C$5:$C$1204,A66,'ثبت اطلاعات'!$CO$5:$CO$1204,1))</x:f>
        <x:v>1</x:v>
      </x:c>
      <x:c r="R66" s="178" t="str">
        <x:f>IF(O66&lt;2,"",SUMIFS('ثبت اطلاعات'!$CL$5:$CL$1204,'ثبت اطلاعات'!$C$5:$C$1204,A66,'ثبت اطلاعات'!$CN$5:$CN$1204,Q66)-SUMIFS('ثبت اطلاعات'!$CL$5:$CL$1204,'ثبت اطلاعات'!$C$5:$C$1204,A66,'ثبت اطلاعات'!$CN$5:$CN$1204,P66))</x:f>
      </x:c>
      <x:c r="S66" s="178" t="str">
        <x:f>IF(A66="","",IF(O66=0,"فاقد ارزیابی نهایی",IF(O66=1,"داده ناکافی",IF(R66&gt;0.5,"پیشرفت",IF(R66&lt;-0.5,"افت","ثبات")))))</x:f>
        <x:v>داده ناکافی</x:v>
      </x:c>
      <x:c r="T66" s="178" t="str">
        <x:f>IF(N66="","",INDEX($E$4:$M$4,1,MATCH(MAX(E66:M66),E66:M66,0)))</x:f>
        <x:v>فرهنگی</x:v>
      </x:c>
      <x:c r="U66" s="178" t="str">
        <x:f>IF(N66="","",INDEX($E$4:$M$4,1,MATCH(MIN(E66:M66),E66:M66,0)))</x:f>
        <x:v>انضباطی</x:v>
      </x:c>
      <x:c r="V66" s="178" t="str">
        <x:f>IF(N66="","",IF(N66&gt;=17,"عالی",IF(N66&gt;=14,"خوب",IF(N66&gt;=10,"متوسط","ضعیف"))))</x:f>
        <x:v>خوب</x:v>
      </x:c>
      <x:c r="W66" s="178" t="n">
        <x:f>IF(N66="","",RANK.EQ(N66,$N$5:$N$104,0))</x:f>
        <x:v>74</x:v>
      </x:c>
      <x:c r="X66" s="178" t="n">
        <x:f>IF(N66="","",COUNT($N$5:$N$104))</x:f>
        <x:v>100</x:v>
      </x:c>
      <x:c r="Y66" s="142" t="str">
        <x:f>IF(U66="","",IFERROR(INDEX('بانک راهکارها'!$C$5:$C$13,MATCH(U66,'بانک راهکارها'!$B$5:$B$13,0)),""))</x:f>
        <x:v>قواعد روشن، قرارداد رفتاری کوتاه‌مدت و ثبت منظم پیشرفت پیشنهاد می‌شود.</x:v>
      </x:c>
    </x:row>
    <x:row r="67">
      <x:c r="A67" s="165" t="n">
        <x:f>IF('دانش‌آموزان'!L67="","",'دانش‌آموزان'!B67)</x:f>
        <x:v>63</x:v>
      </x:c>
      <x:c r="B67" s="233" t="str">
        <x:f>IF(A67="","",'دانش‌آموزان'!C67)</x:f>
        <x:v>4000000632</x:v>
      </x:c>
      <x:c r="C67" s="233" t="str">
        <x:f>IF(A67="","",'دانش‌آموزان'!E67&amp;" "&amp;'دانش‌آموزان'!F67)</x:f>
        <x:v>امیرحسین طاهری</x:v>
      </x:c>
      <x:c r="D67" s="166" t="str">
        <x:f>IF(A67="","",'دانش‌آموزان'!I67)</x:f>
        <x:v>sample-7-c</x:v>
      </x:c>
      <x:c r="E67" s="141" t="n">
        <x:f>IF(A67="","",IFERROR(SUMIFS('ثبت اطلاعات'!$CC$5:$CC$1204,'ثبت اطلاعات'!$C$5:$C$1204,A67,'ثبت اطلاعات'!$CO$5:$CO$1204,1)/COUNTIFS('ثبت اطلاعات'!$C$5:$C$1204,A67,'ثبت اطلاعات'!$CO$5:$CO$1204,1),""))</x:f>
        <x:v>15.2</x:v>
      </x:c>
      <x:c r="F67" s="178" t="n">
        <x:f>IF(A67="","",IFERROR(SUMIFS('ثبت اطلاعات'!$CD$5:$CD$1204,'ثبت اطلاعات'!$C$5:$C$1204,A67,'ثبت اطلاعات'!$CO$5:$CO$1204,1)/COUNTIFS('ثبت اطلاعات'!$C$5:$C$1204,A67,'ثبت اطلاعات'!$CO$5:$CO$1204,1),""))</x:f>
        <x:v>16</x:v>
      </x:c>
      <x:c r="G67" s="178" t="n">
        <x:f>IF(A67="","",IFERROR(SUMIFS('ثبت اطلاعات'!$CE$5:$CE$1204,'ثبت اطلاعات'!$C$5:$C$1204,A67,'ثبت اطلاعات'!$CO$5:$CO$1204,1)/COUNTIFS('ثبت اطلاعات'!$C$5:$C$1204,A67,'ثبت اطلاعات'!$CO$5:$CO$1204,1),""))</x:f>
        <x:v>15.2</x:v>
      </x:c>
      <x:c r="H67" s="178" t="n">
        <x:f>IF(A67="","",IFERROR(SUMIFS('ثبت اطلاعات'!$CF$5:$CF$1204,'ثبت اطلاعات'!$C$5:$C$1204,A67,'ثبت اطلاعات'!$CO$5:$CO$1204,1)/COUNTIFS('ثبت اطلاعات'!$C$5:$C$1204,A67,'ثبت اطلاعات'!$CO$5:$CO$1204,1),""))</x:f>
        <x:v>16</x:v>
      </x:c>
      <x:c r="I67" s="178" t="n">
        <x:f>IF(A67="","",IFERROR(SUMIFS('ثبت اطلاعات'!$CG$5:$CG$1204,'ثبت اطلاعات'!$C$5:$C$1204,A67,'ثبت اطلاعات'!$CO$5:$CO$1204,1)/COUNTIFS('ثبت اطلاعات'!$C$5:$C$1204,A67,'ثبت اطلاعات'!$CO$5:$CO$1204,1),""))</x:f>
        <x:v>14.285714285714286</x:v>
      </x:c>
      <x:c r="J67" s="178" t="n">
        <x:f>IF(A67="","",IFERROR(SUMIFS('ثبت اطلاعات'!$CH$5:$CH$1204,'ثبت اطلاعات'!$C$5:$C$1204,A67,'ثبت اطلاعات'!$CO$5:$CO$1204,1)/COUNTIFS('ثبت اطلاعات'!$C$5:$C$1204,A67,'ثبت اطلاعات'!$CO$5:$CO$1204,1),""))</x:f>
        <x:v>15.5</x:v>
      </x:c>
      <x:c r="K67" s="178" t="n">
        <x:f>IF(A67="","",IFERROR(SUMIFS('ثبت اطلاعات'!$CI$5:$CI$1204,'ثبت اطلاعات'!$C$5:$C$1204,A67,'ثبت اطلاعات'!$CO$5:$CO$1204,1)/COUNTIFS('ثبت اطلاعات'!$C$5:$C$1204,A67,'ثبت اطلاعات'!$CO$5:$CO$1204,1),""))</x:f>
        <x:v>16</x:v>
      </x:c>
      <x:c r="L67" s="178" t="n">
        <x:f>IF(A67="","",IFERROR(SUMIFS('ثبت اطلاعات'!$CJ$5:$CJ$1204,'ثبت اطلاعات'!$C$5:$C$1204,A67,'ثبت اطلاعات'!$CO$5:$CO$1204,1)/COUNTIFS('ثبت اطلاعات'!$C$5:$C$1204,A67,'ثبت اطلاعات'!$CO$5:$CO$1204,1),""))</x:f>
        <x:v>14.285714285714286</x:v>
      </x:c>
      <x:c r="M67" s="178" t="n">
        <x:f>IF(A67="","",IFERROR(SUMIFS('ثبت اطلاعات'!$CK$5:$CK$1204,'ثبت اطلاعات'!$C$5:$C$1204,A67,'ثبت اطلاعات'!$CO$5:$CO$1204,1)/COUNTIFS('ثبت اطلاعات'!$C$5:$C$1204,A67,'ثبت اطلاعات'!$CO$5:$CO$1204,1),""))</x:f>
        <x:v>15.428571428571429</x:v>
      </x:c>
      <x:c r="N67" s="178" t="n">
        <x:f>IF(A67="","",IFERROR(SUMIFS('ثبت اطلاعات'!$CL$5:$CL$1204,'ثبت اطلاعات'!$C$5:$C$1204,A67,'ثبت اطلاعات'!$CO$5:$CO$1204,1)/COUNTIFS('ثبت اطلاعات'!$C$5:$C$1204,A67,'ثبت اطلاعات'!$CO$5:$CO$1204,1),""))</x:f>
        <x:v>15.417142857142858</x:v>
      </x:c>
      <x:c r="O67" s="178" t="n">
        <x:f>IF(A67="","",COUNTIFS('ثبت اطلاعات'!$C$5:$C$1204,A67,'ثبت اطلاعات'!$CO$5:$CO$1204,1))</x:f>
        <x:v>1</x:v>
      </x:c>
      <x:c r="P67" s="178" t="n">
        <x:f>IF(O67=0,"",MINIFS('ثبت اطلاعات'!$CN$5:$CN$1204,'ثبت اطلاعات'!$C$5:$C$1204,A67,'ثبت اطلاعات'!$CO$5:$CO$1204,1))</x:f>
        <x:v>1</x:v>
      </x:c>
      <x:c r="Q67" s="178" t="n">
        <x:f>IF(O67=0,"",MAXIFS('ثبت اطلاعات'!$CN$5:$CN$1204,'ثبت اطلاعات'!$C$5:$C$1204,A67,'ثبت اطلاعات'!$CO$5:$CO$1204,1))</x:f>
        <x:v>1</x:v>
      </x:c>
      <x:c r="R67" s="178" t="str">
        <x:f>IF(O67&lt;2,"",SUMIFS('ثبت اطلاعات'!$CL$5:$CL$1204,'ثبت اطلاعات'!$C$5:$C$1204,A67,'ثبت اطلاعات'!$CN$5:$CN$1204,Q67)-SUMIFS('ثبت اطلاعات'!$CL$5:$CL$1204,'ثبت اطلاعات'!$C$5:$C$1204,A67,'ثبت اطلاعات'!$CN$5:$CN$1204,P67))</x:f>
      </x:c>
      <x:c r="S67" s="178" t="str">
        <x:f>IF(A67="","",IF(O67=0,"فاقد ارزیابی نهایی",IF(O67=1,"داده ناکافی",IF(R67&gt;0.5,"پیشرفت",IF(R67&lt;-0.5,"افت","ثبات")))))</x:f>
        <x:v>داده ناکافی</x:v>
      </x:c>
      <x:c r="T67" s="178" t="str">
        <x:f>IF(N67="","",INDEX($E$4:$M$4,1,MATCH(MAX(E67:M67),E67:M67,0)))</x:f>
        <x:v>پرورشی</x:v>
      </x:c>
      <x:c r="U67" s="178" t="str">
        <x:f>IF(N67="","",INDEX($E$4:$M$4,1,MATCH(MIN(E67:M67),E67:M67,0)))</x:f>
        <x:v>فرهنگی</x:v>
      </x:c>
      <x:c r="V67" s="178" t="str">
        <x:f>IF(N67="","",IF(N67&gt;=17,"عالی",IF(N67&gt;=14,"خوب",IF(N67&gt;=10,"متوسط","ضعیف"))))</x:f>
        <x:v>خوب</x:v>
      </x:c>
      <x:c r="W67" s="178" t="n">
        <x:f>IF(N67="","",RANK.EQ(N67,$N$5:$N$104,0))</x:f>
        <x:v>10</x:v>
      </x:c>
      <x:c r="X67" s="178" t="n">
        <x:f>IF(N67="","",COUNT($N$5:$N$104))</x:f>
        <x:v>100</x:v>
      </x:c>
      <x:c r="Y67" s="142" t="str">
        <x:f>IF(U67="","",IFERROR(INDEX('بانک راهکارها'!$C$5:$C$13,MATCH(U67,'بانک راهکارها'!$B$5:$B$13,0)),""))</x:f>
        <x:v>مشارکت در برنامه‌های فرهنگی، مطالعه هدایت‌شده و فعالیت گروهی پیشنهاد می‌شود.</x:v>
      </x:c>
    </x:row>
    <x:row r="68">
      <x:c r="A68" s="165" t="n">
        <x:f>IF('دانش‌آموزان'!L68="","",'دانش‌آموزان'!B68)</x:f>
        <x:v>64</x:v>
      </x:c>
      <x:c r="B68" s="233" t="str">
        <x:f>IF(A68="","",'دانش‌آموزان'!C68)</x:f>
        <x:v>4000000640</x:v>
      </x:c>
      <x:c r="C68" s="233" t="str">
        <x:f>IF(A68="","",'دانش‌آموزان'!E68&amp;" "&amp;'دانش‌آموزان'!F68)</x:f>
        <x:v>زهرا محمدی</x:v>
      </x:c>
      <x:c r="D68" s="166" t="str">
        <x:f>IF(A68="","",'دانش‌آموزان'!I68)</x:f>
        <x:v>sample-7-c</x:v>
      </x:c>
      <x:c r="E68" s="141" t="n">
        <x:f>IF(A68="","",IFERROR(SUMIFS('ثبت اطلاعات'!$CC$5:$CC$1204,'ثبت اطلاعات'!$C$5:$C$1204,A68,'ثبت اطلاعات'!$CO$5:$CO$1204,1)/COUNTIFS('ثبت اطلاعات'!$C$5:$C$1204,A68,'ثبت اطلاعات'!$CO$5:$CO$1204,1),""))</x:f>
        <x:v>14.8</x:v>
      </x:c>
      <x:c r="F68" s="178" t="n">
        <x:f>IF(A68="","",IFERROR(SUMIFS('ثبت اطلاعات'!$CD$5:$CD$1204,'ثبت اطلاعات'!$C$5:$C$1204,A68,'ثبت اطلاعات'!$CO$5:$CO$1204,1)/COUNTIFS('ثبت اطلاعات'!$C$5:$C$1204,A68,'ثبت اطلاعات'!$CO$5:$CO$1204,1),""))</x:f>
        <x:v>15.6</x:v>
      </x:c>
      <x:c r="G68" s="178" t="n">
        <x:f>IF(A68="","",IFERROR(SUMIFS('ثبت اطلاعات'!$CE$5:$CE$1204,'ثبت اطلاعات'!$C$5:$C$1204,A68,'ثبت اطلاعات'!$CO$5:$CO$1204,1)/COUNTIFS('ثبت اطلاعات'!$C$5:$C$1204,A68,'ثبت اطلاعات'!$CO$5:$CO$1204,1),""))</x:f>
        <x:v>14.8</x:v>
      </x:c>
      <x:c r="H68" s="178" t="n">
        <x:f>IF(A68="","",IFERROR(SUMIFS('ثبت اطلاعات'!$CF$5:$CF$1204,'ثبت اطلاعات'!$C$5:$C$1204,A68,'ثبت اطلاعات'!$CO$5:$CO$1204,1)/COUNTIFS('ثبت اطلاعات'!$C$5:$C$1204,A68,'ثبت اطلاعات'!$CO$5:$CO$1204,1),""))</x:f>
        <x:v>14.5</x:v>
      </x:c>
      <x:c r="I68" s="178" t="n">
        <x:f>IF(A68="","",IFERROR(SUMIFS('ثبت اطلاعات'!$CG$5:$CG$1204,'ثبت اطلاعات'!$C$5:$C$1204,A68,'ثبت اطلاعات'!$CO$5:$CO$1204,1)/COUNTIFS('ثبت اطلاعات'!$C$5:$C$1204,A68,'ثبت اطلاعات'!$CO$5:$CO$1204,1),""))</x:f>
        <x:v>16.571428571428573</x:v>
      </x:c>
      <x:c r="J68" s="178" t="n">
        <x:f>IF(A68="","",IFERROR(SUMIFS('ثبت اطلاعات'!$CH$5:$CH$1204,'ثبت اطلاعات'!$C$5:$C$1204,A68,'ثبت اطلاعات'!$CO$5:$CO$1204,1)/COUNTIFS('ثبت اطلاعات'!$C$5:$C$1204,A68,'ثبت اطلاعات'!$CO$5:$CO$1204,1),""))</x:f>
        <x:v>15.5</x:v>
      </x:c>
      <x:c r="K68" s="178" t="n">
        <x:f>IF(A68="","",IFERROR(SUMIFS('ثبت اطلاعات'!$CI$5:$CI$1204,'ثبت اطلاعات'!$C$5:$C$1204,A68,'ثبت اطلاعات'!$CO$5:$CO$1204,1)/COUNTIFS('ثبت اطلاعات'!$C$5:$C$1204,A68,'ثبت اطلاعات'!$CO$5:$CO$1204,1),""))</x:f>
        <x:v>13.714285714285714</x:v>
      </x:c>
      <x:c r="L68" s="178" t="n">
        <x:f>IF(A68="","",IFERROR(SUMIFS('ثبت اطلاعات'!$CJ$5:$CJ$1204,'ثبت اطلاعات'!$C$5:$C$1204,A68,'ثبت اطلاعات'!$CO$5:$CO$1204,1)/COUNTIFS('ثبت اطلاعات'!$C$5:$C$1204,A68,'ثبت اطلاعات'!$CO$5:$CO$1204,1),""))</x:f>
        <x:v>16.571428571428573</x:v>
      </x:c>
      <x:c r="M68" s="178" t="n">
        <x:f>IF(A68="","",IFERROR(SUMIFS('ثبت اطلاعات'!$CK$5:$CK$1204,'ثبت اطلاعات'!$C$5:$C$1204,A68,'ثبت اطلاعات'!$CO$5:$CO$1204,1)/COUNTIFS('ثبت اطلاعات'!$C$5:$C$1204,A68,'ثبت اطلاعات'!$CO$5:$CO$1204,1),""))</x:f>
        <x:v>14.857142857142858</x:v>
      </x:c>
      <x:c r="N68" s="178" t="n">
        <x:f>IF(A68="","",IFERROR(SUMIFS('ثبت اطلاعات'!$CL$5:$CL$1204,'ثبت اطلاعات'!$C$5:$C$1204,A68,'ثبت اطلاعات'!$CO$5:$CO$1204,1)/COUNTIFS('ثبت اطلاعات'!$C$5:$C$1204,A68,'ثبت اطلاعات'!$CO$5:$CO$1204,1),""))</x:f>
        <x:v>15.089285714285715</x:v>
      </x:c>
      <x:c r="O68" s="178" t="n">
        <x:f>IF(A68="","",COUNTIFS('ثبت اطلاعات'!$C$5:$C$1204,A68,'ثبت اطلاعات'!$CO$5:$CO$1204,1))</x:f>
        <x:v>1</x:v>
      </x:c>
      <x:c r="P68" s="178" t="n">
        <x:f>IF(O68=0,"",MINIFS('ثبت اطلاعات'!$CN$5:$CN$1204,'ثبت اطلاعات'!$C$5:$C$1204,A68,'ثبت اطلاعات'!$CO$5:$CO$1204,1))</x:f>
        <x:v>1</x:v>
      </x:c>
      <x:c r="Q68" s="178" t="n">
        <x:f>IF(O68=0,"",MAXIFS('ثبت اطلاعات'!$CN$5:$CN$1204,'ثبت اطلاعات'!$C$5:$C$1204,A68,'ثبت اطلاعات'!$CO$5:$CO$1204,1))</x:f>
        <x:v>1</x:v>
      </x:c>
      <x:c r="R68" s="178" t="str">
        <x:f>IF(O68&lt;2,"",SUMIFS('ثبت اطلاعات'!$CL$5:$CL$1204,'ثبت اطلاعات'!$C$5:$C$1204,A68,'ثبت اطلاعات'!$CN$5:$CN$1204,Q68)-SUMIFS('ثبت اطلاعات'!$CL$5:$CL$1204,'ثبت اطلاعات'!$C$5:$C$1204,A68,'ثبت اطلاعات'!$CN$5:$CN$1204,P68))</x:f>
      </x:c>
      <x:c r="S68" s="178" t="str">
        <x:f>IF(A68="","",IF(O68=0,"فاقد ارزیابی نهایی",IF(O68=1,"داده ناکافی",IF(R68&gt;0.5,"پیشرفت",IF(R68&lt;-0.5,"افت","ثبات")))))</x:f>
        <x:v>داده ناکافی</x:v>
      </x:c>
      <x:c r="T68" s="178" t="str">
        <x:f>IF(N68="","",INDEX($E$4:$M$4,1,MATCH(MAX(E68:M68),E68:M68,0)))</x:f>
        <x:v>فرهنگی</x:v>
      </x:c>
      <x:c r="U68" s="178" t="str">
        <x:f>IF(N68="","",INDEX($E$4:$M$4,1,MATCH(MIN(E68:M68),E68:M68,0)))</x:f>
        <x:v>ورزشی</x:v>
      </x:c>
      <x:c r="V68" s="178" t="str">
        <x:f>IF(N68="","",IF(N68&gt;=17,"عالی",IF(N68&gt;=14,"خوب",IF(N68&gt;=10,"متوسط","ضعیف"))))</x:f>
        <x:v>خوب</x:v>
      </x:c>
      <x:c r="W68" s="178" t="n">
        <x:f>IF(N68="","",RANK.EQ(N68,$N$5:$N$104,0))</x:f>
        <x:v>92</x:v>
      </x:c>
      <x:c r="X68" s="178" t="n">
        <x:f>IF(N68="","",COUNT($N$5:$N$104))</x:f>
        <x:v>100</x:v>
      </x:c>
      <x:c r="Y68" s="142" t="str">
        <x:f>IF(U68="","",IFERROR(INDEX('بانک راهکارها'!$C$5:$C$13,MATCH(U68,'بانک راهکارها'!$B$5:$B$13,0)),""))</x:f>
        <x:v>برنامه فعالیت بدنی منظم و مشارکت در ورزش گروهی پیشنهاد می‌شود.</x:v>
      </x:c>
    </x:row>
    <x:row r="69">
      <x:c r="A69" s="165" t="n">
        <x:f>IF('دانش‌آموزان'!L69="","",'دانش‌آموزان'!B69)</x:f>
        <x:v>65</x:v>
      </x:c>
      <x:c r="B69" s="233" t="str">
        <x:f>IF(A69="","",'دانش‌آموزان'!C69)</x:f>
        <x:v>4000000659</x:v>
      </x:c>
      <x:c r="C69" s="233" t="str">
        <x:f>IF(A69="","",'دانش‌آموزان'!E69&amp;" "&amp;'دانش‌آموزان'!F69)</x:f>
        <x:v>محمد قاسمی</x:v>
      </x:c>
      <x:c r="D69" s="166" t="str">
        <x:f>IF(A69="","",'دانش‌آموزان'!I69)</x:f>
        <x:v>sample-7-c</x:v>
      </x:c>
      <x:c r="E69" s="141" t="n">
        <x:f>IF(A69="","",IFERROR(SUMIFS('ثبت اطلاعات'!$CC$5:$CC$1204,'ثبت اطلاعات'!$C$5:$C$1204,A69,'ثبت اطلاعات'!$CO$5:$CO$1204,1)/COUNTIFS('ثبت اطلاعات'!$C$5:$C$1204,A69,'ثبت اطلاعات'!$CO$5:$CO$1204,1),""))</x:f>
        <x:v>16</x:v>
      </x:c>
      <x:c r="F69" s="178" t="n">
        <x:f>IF(A69="","",IFERROR(SUMIFS('ثبت اطلاعات'!$CD$5:$CD$1204,'ثبت اطلاعات'!$C$5:$C$1204,A69,'ثبت اطلاعات'!$CO$5:$CO$1204,1)/COUNTIFS('ثبت اطلاعات'!$C$5:$C$1204,A69,'ثبت اطلاعات'!$CO$5:$CO$1204,1),""))</x:f>
        <x:v>15.2</x:v>
      </x:c>
      <x:c r="G69" s="178" t="n">
        <x:f>IF(A69="","",IFERROR(SUMIFS('ثبت اطلاعات'!$CE$5:$CE$1204,'ثبت اطلاعات'!$C$5:$C$1204,A69,'ثبت اطلاعات'!$CO$5:$CO$1204,1)/COUNTIFS('ثبت اطلاعات'!$C$5:$C$1204,A69,'ثبت اطلاعات'!$CO$5:$CO$1204,1),""))</x:f>
        <x:v>15.6</x:v>
      </x:c>
      <x:c r="H69" s="178" t="n">
        <x:f>IF(A69="","",IFERROR(SUMIFS('ثبت اطلاعات'!$CF$5:$CF$1204,'ثبت اطلاعات'!$C$5:$C$1204,A69,'ثبت اطلاعات'!$CO$5:$CO$1204,1)/COUNTIFS('ثبت اطلاعات'!$C$5:$C$1204,A69,'ثبت اطلاعات'!$CO$5:$CO$1204,1),""))</x:f>
        <x:v>15</x:v>
      </x:c>
      <x:c r="I69" s="178" t="n">
        <x:f>IF(A69="","",IFERROR(SUMIFS('ثبت اطلاعات'!$CG$5:$CG$1204,'ثبت اطلاعات'!$C$5:$C$1204,A69,'ثبت اطلاعات'!$CO$5:$CO$1204,1)/COUNTIFS('ثبت اطلاعات'!$C$5:$C$1204,A69,'ثبت اطلاعات'!$CO$5:$CO$1204,1),""))</x:f>
        <x:v>14.285714285714286</x:v>
      </x:c>
      <x:c r="J69" s="178" t="n">
        <x:f>IF(A69="","",IFERROR(SUMIFS('ثبت اطلاعات'!$CH$5:$CH$1204,'ثبت اطلاعات'!$C$5:$C$1204,A69,'ثبت اطلاعات'!$CO$5:$CO$1204,1)/COUNTIFS('ثبت اطلاعات'!$C$5:$C$1204,A69,'ثبت اطلاعات'!$CO$5:$CO$1204,1),""))</x:f>
        <x:v>16</x:v>
      </x:c>
      <x:c r="K69" s="178" t="n">
        <x:f>IF(A69="","",IFERROR(SUMIFS('ثبت اطلاعات'!$CI$5:$CI$1204,'ثبت اطلاعات'!$C$5:$C$1204,A69,'ثبت اطلاعات'!$CO$5:$CO$1204,1)/COUNTIFS('ثبت اطلاعات'!$C$5:$C$1204,A69,'ثبت اطلاعات'!$CO$5:$CO$1204,1),""))</x:f>
        <x:v>15.428571428571429</x:v>
      </x:c>
      <x:c r="L69" s="178" t="n">
        <x:f>IF(A69="","",IFERROR(SUMIFS('ثبت اطلاعات'!$CJ$5:$CJ$1204,'ثبت اطلاعات'!$C$5:$C$1204,A69,'ثبت اطلاعات'!$CO$5:$CO$1204,1)/COUNTIFS('ثبت اطلاعات'!$C$5:$C$1204,A69,'ثبت اطلاعات'!$CO$5:$CO$1204,1),""))</x:f>
        <x:v>14.285714285714286</x:v>
      </x:c>
      <x:c r="M69" s="178" t="n">
        <x:f>IF(A69="","",IFERROR(SUMIFS('ثبت اطلاعات'!$CK$5:$CK$1204,'ثبت اطلاعات'!$C$5:$C$1204,A69,'ثبت اطلاعات'!$CO$5:$CO$1204,1)/COUNTIFS('ثبت اطلاعات'!$C$5:$C$1204,A69,'ثبت اطلاعات'!$CO$5:$CO$1204,1),""))</x:f>
        <x:v>16.571428571428573</x:v>
      </x:c>
      <x:c r="N69" s="178" t="n">
        <x:f>IF(A69="","",IFERROR(SUMIFS('ثبت اطلاعات'!$CL$5:$CL$1204,'ثبت اطلاعات'!$C$5:$C$1204,A69,'ثبت اطلاعات'!$CO$5:$CO$1204,1)/COUNTIFS('ثبت اطلاعات'!$C$5:$C$1204,A69,'ثبت اطلاعات'!$CO$5:$CO$1204,1),""))</x:f>
        <x:v>15.447142857142858</x:v>
      </x:c>
      <x:c r="O69" s="178" t="n">
        <x:f>IF(A69="","",COUNTIFS('ثبت اطلاعات'!$C$5:$C$1204,A69,'ثبت اطلاعات'!$CO$5:$CO$1204,1))</x:f>
        <x:v>1</x:v>
      </x:c>
      <x:c r="P69" s="178" t="n">
        <x:f>IF(O69=0,"",MINIFS('ثبت اطلاعات'!$CN$5:$CN$1204,'ثبت اطلاعات'!$C$5:$C$1204,A69,'ثبت اطلاعات'!$CO$5:$CO$1204,1))</x:f>
        <x:v>1</x:v>
      </x:c>
      <x:c r="Q69" s="178" t="n">
        <x:f>IF(O69=0,"",MAXIFS('ثبت اطلاعات'!$CN$5:$CN$1204,'ثبت اطلاعات'!$C$5:$C$1204,A69,'ثبت اطلاعات'!$CO$5:$CO$1204,1))</x:f>
        <x:v>1</x:v>
      </x:c>
      <x:c r="R69" s="178" t="str">
        <x:f>IF(O69&lt;2,"",SUMIFS('ثبت اطلاعات'!$CL$5:$CL$1204,'ثبت اطلاعات'!$C$5:$C$1204,A69,'ثبت اطلاعات'!$CN$5:$CN$1204,Q69)-SUMIFS('ثبت اطلاعات'!$CL$5:$CL$1204,'ثبت اطلاعات'!$C$5:$C$1204,A69,'ثبت اطلاعات'!$CN$5:$CN$1204,P69))</x:f>
      </x:c>
      <x:c r="S69" s="178" t="str">
        <x:f>IF(A69="","",IF(O69=0,"فاقد ارزیابی نهایی",IF(O69=1,"داده ناکافی",IF(R69&gt;0.5,"پیشرفت",IF(R69&lt;-0.5,"افت","ثبات")))))</x:f>
        <x:v>داده ناکافی</x:v>
      </x:c>
      <x:c r="T69" s="178" t="str">
        <x:f>IF(N69="","",INDEX($E$4:$M$4,1,MATCH(MAX(E69:M69),E69:M69,0)))</x:f>
        <x:v>مهارت‌های فردی</x:v>
      </x:c>
      <x:c r="U69" s="178" t="str">
        <x:f>IF(N69="","",INDEX($E$4:$M$4,1,MATCH(MIN(E69:M69),E69:M69,0)))</x:f>
        <x:v>فرهنگی</x:v>
      </x:c>
      <x:c r="V69" s="178" t="str">
        <x:f>IF(N69="","",IF(N69&gt;=17,"عالی",IF(N69&gt;=14,"خوب",IF(N69&gt;=10,"متوسط","ضعیف"))))</x:f>
        <x:v>خوب</x:v>
      </x:c>
      <x:c r="W69" s="178" t="n">
        <x:f>IF(N69="","",RANK.EQ(N69,$N$5:$N$104,0))</x:f>
        <x:v>1</x:v>
      </x:c>
      <x:c r="X69" s="178" t="n">
        <x:f>IF(N69="","",COUNT($N$5:$N$104))</x:f>
        <x:v>100</x:v>
      </x:c>
      <x:c r="Y69" s="142" t="str">
        <x:f>IF(U69="","",IFERROR(INDEX('بانک راهکارها'!$C$5:$C$13,MATCH(U69,'بانک راهکارها'!$B$5:$B$13,0)),""))</x:f>
        <x:v>مشارکت در برنامه‌های فرهنگی، مطالعه هدایت‌شده و فعالیت گروهی پیشنهاد می‌شود.</x:v>
      </x:c>
    </x:row>
    <x:row r="70">
      <x:c r="A70" s="165" t="n">
        <x:f>IF('دانش‌آموزان'!L70="","",'دانش‌آموزان'!B70)</x:f>
        <x:v>66</x:v>
      </x:c>
      <x:c r="B70" s="233" t="str">
        <x:f>IF(A70="","",'دانش‌آموزان'!C70)</x:f>
        <x:v>4000000667</x:v>
      </x:c>
      <x:c r="C70" s="233" t="str">
        <x:f>IF(A70="","",'دانش‌آموزان'!E70&amp;" "&amp;'دانش‌آموزان'!F70)</x:f>
        <x:v>سارا خلیلی</x:v>
      </x:c>
      <x:c r="D70" s="166" t="str">
        <x:f>IF(A70="","",'دانش‌آموزان'!I70)</x:f>
        <x:v>sample-7-c</x:v>
      </x:c>
      <x:c r="E70" s="141" t="n">
        <x:f>IF(A70="","",IFERROR(SUMIFS('ثبت اطلاعات'!$CC$5:$CC$1204,'ثبت اطلاعات'!$C$5:$C$1204,A70,'ثبت اطلاعات'!$CO$5:$CO$1204,1)/COUNTIFS('ثبت اطلاعات'!$C$5:$C$1204,A70,'ثبت اطلاعات'!$CO$5:$CO$1204,1),""))</x:f>
        <x:v>15.6</x:v>
      </x:c>
      <x:c r="F70" s="178" t="n">
        <x:f>IF(A70="","",IFERROR(SUMIFS('ثبت اطلاعات'!$CD$5:$CD$1204,'ثبت اطلاعات'!$C$5:$C$1204,A70,'ثبت اطلاعات'!$CO$5:$CO$1204,1)/COUNTIFS('ثبت اطلاعات'!$C$5:$C$1204,A70,'ثبت اطلاعات'!$CO$5:$CO$1204,1),""))</x:f>
        <x:v>14.8</x:v>
      </x:c>
      <x:c r="G70" s="178" t="n">
        <x:f>IF(A70="","",IFERROR(SUMIFS('ثبت اطلاعات'!$CE$5:$CE$1204,'ثبت اطلاعات'!$C$5:$C$1204,A70,'ثبت اطلاعات'!$CO$5:$CO$1204,1)/COUNTIFS('ثبت اطلاعات'!$C$5:$C$1204,A70,'ثبت اطلاعات'!$CO$5:$CO$1204,1),""))</x:f>
        <x:v>15.2</x:v>
      </x:c>
      <x:c r="H70" s="178" t="n">
        <x:f>IF(A70="","",IFERROR(SUMIFS('ثبت اطلاعات'!$CF$5:$CF$1204,'ثبت اطلاعات'!$C$5:$C$1204,A70,'ثبت اطلاعات'!$CO$5:$CO$1204,1)/COUNTIFS('ثبت اطلاعات'!$C$5:$C$1204,A70,'ثبت اطلاعات'!$CO$5:$CO$1204,1),""))</x:f>
        <x:v>15.5</x:v>
      </x:c>
      <x:c r="I70" s="178" t="n">
        <x:f>IF(A70="","",IFERROR(SUMIFS('ثبت اطلاعات'!$CG$5:$CG$1204,'ثبت اطلاعات'!$C$5:$C$1204,A70,'ثبت اطلاعات'!$CO$5:$CO$1204,1)/COUNTIFS('ثبت اطلاعات'!$C$5:$C$1204,A70,'ثبت اطلاعات'!$CO$5:$CO$1204,1),""))</x:f>
        <x:v>16</x:v>
      </x:c>
      <x:c r="J70" s="178" t="n">
        <x:f>IF(A70="","",IFERROR(SUMIFS('ثبت اطلاعات'!$CH$5:$CH$1204,'ثبت اطلاعات'!$C$5:$C$1204,A70,'ثبت اطلاعات'!$CO$5:$CO$1204,1)/COUNTIFS('ثبت اطلاعات'!$C$5:$C$1204,A70,'ثبت اطلاعات'!$CO$5:$CO$1204,1),""))</x:f>
        <x:v>14.5</x:v>
      </x:c>
      <x:c r="K70" s="178" t="n">
        <x:f>IF(A70="","",IFERROR(SUMIFS('ثبت اطلاعات'!$CI$5:$CI$1204,'ثبت اطلاعات'!$C$5:$C$1204,A70,'ثبت اطلاعات'!$CO$5:$CO$1204,1)/COUNTIFS('ثبت اطلاعات'!$C$5:$C$1204,A70,'ثبت اطلاعات'!$CO$5:$CO$1204,1),""))</x:f>
        <x:v>15.428571428571429</x:v>
      </x:c>
      <x:c r="L70" s="178" t="n">
        <x:f>IF(A70="","",IFERROR(SUMIFS('ثبت اطلاعات'!$CJ$5:$CJ$1204,'ثبت اطلاعات'!$C$5:$C$1204,A70,'ثبت اطلاعات'!$CO$5:$CO$1204,1)/COUNTIFS('ثبت اطلاعات'!$C$5:$C$1204,A70,'ثبت اطلاعات'!$CO$5:$CO$1204,1),""))</x:f>
        <x:v>16</x:v>
      </x:c>
      <x:c r="M70" s="178" t="n">
        <x:f>IF(A70="","",IFERROR(SUMIFS('ثبت اطلاعات'!$CK$5:$CK$1204,'ثبت اطلاعات'!$C$5:$C$1204,A70,'ثبت اطلاعات'!$CO$5:$CO$1204,1)/COUNTIFS('ثبت اطلاعات'!$C$5:$C$1204,A70,'ثبت اطلاعات'!$CO$5:$CO$1204,1),""))</x:f>
        <x:v>14.285714285714286</x:v>
      </x:c>
      <x:c r="N70" s="178" t="n">
        <x:f>IF(A70="","",IFERROR(SUMIFS('ثبت اطلاعات'!$CL$5:$CL$1204,'ثبت اطلاعات'!$C$5:$C$1204,A70,'ثبت اطلاعات'!$CO$5:$CO$1204,1)/COUNTIFS('ثبت اطلاعات'!$C$5:$C$1204,A70,'ثبت اطلاعات'!$CO$5:$CO$1204,1),""))</x:f>
        <x:v>15.265</x:v>
      </x:c>
      <x:c r="O70" s="178" t="n">
        <x:f>IF(A70="","",COUNTIFS('ثبت اطلاعات'!$C$5:$C$1204,A70,'ثبت اطلاعات'!$CO$5:$CO$1204,1))</x:f>
        <x:v>1</x:v>
      </x:c>
      <x:c r="P70" s="178" t="n">
        <x:f>IF(O70=0,"",MINIFS('ثبت اطلاعات'!$CN$5:$CN$1204,'ثبت اطلاعات'!$C$5:$C$1204,A70,'ثبت اطلاعات'!$CO$5:$CO$1204,1))</x:f>
        <x:v>1</x:v>
      </x:c>
      <x:c r="Q70" s="178" t="n">
        <x:f>IF(O70=0,"",MAXIFS('ثبت اطلاعات'!$CN$5:$CN$1204,'ثبت اطلاعات'!$C$5:$C$1204,A70,'ثبت اطلاعات'!$CO$5:$CO$1204,1))</x:f>
        <x:v>1</x:v>
      </x:c>
      <x:c r="R70" s="178" t="str">
        <x:f>IF(O70&lt;2,"",SUMIFS('ثبت اطلاعات'!$CL$5:$CL$1204,'ثبت اطلاعات'!$C$5:$C$1204,A70,'ثبت اطلاعات'!$CN$5:$CN$1204,Q70)-SUMIFS('ثبت اطلاعات'!$CL$5:$CL$1204,'ثبت اطلاعات'!$C$5:$C$1204,A70,'ثبت اطلاعات'!$CN$5:$CN$1204,P70))</x:f>
      </x:c>
      <x:c r="S70" s="178" t="str">
        <x:f>IF(A70="","",IF(O70=0,"فاقد ارزیابی نهایی",IF(O70=1,"داده ناکافی",IF(R70&gt;0.5,"پیشرفت",IF(R70&lt;-0.5,"افت","ثبات")))))</x:f>
        <x:v>داده ناکافی</x:v>
      </x:c>
      <x:c r="T70" s="178" t="str">
        <x:f>IF(N70="","",INDEX($E$4:$M$4,1,MATCH(MAX(E70:M70),E70:M70,0)))</x:f>
        <x:v>فرهنگی</x:v>
      </x:c>
      <x:c r="U70" s="178" t="str">
        <x:f>IF(N70="","",INDEX($E$4:$M$4,1,MATCH(MIN(E70:M70),E70:M70,0)))</x:f>
        <x:v>مهارت‌های فردی</x:v>
      </x:c>
      <x:c r="V70" s="178" t="str">
        <x:f>IF(N70="","",IF(N70&gt;=17,"عالی",IF(N70&gt;=14,"خوب",IF(N70&gt;=10,"متوسط","ضعیف"))))</x:f>
        <x:v>خوب</x:v>
      </x:c>
      <x:c r="W70" s="178" t="n">
        <x:f>IF(N70="","",RANK.EQ(N70,$N$5:$N$104,0))</x:f>
        <x:v>47</x:v>
      </x:c>
      <x:c r="X70" s="178" t="n">
        <x:f>IF(N70="","",COUNT($N$5:$N$104))</x:f>
        <x:v>100</x:v>
      </x:c>
      <x:c r="Y70" s="142" t="str">
        <x:f>IF(U70="","",IFERROR(INDEX('بانک راهکارها'!$C$5:$C$13,MATCH(U70,'بانک راهکارها'!$B$5:$B$13,0)),""))</x:f>
        <x:v>تمرین برنامه‌ریزی هفتگی، ارتباط مؤثر و کار تیمی پیشنهاد می‌شود.</x:v>
      </x:c>
    </x:row>
    <x:row r="71">
      <x:c r="A71" s="165" t="n">
        <x:f>IF('دانش‌آموزان'!L71="","",'دانش‌آموزان'!B71)</x:f>
        <x:v>67</x:v>
      </x:c>
      <x:c r="B71" s="233" t="str">
        <x:f>IF(A71="","",'دانش‌آموزان'!C71)</x:f>
        <x:v>4000000675</x:v>
      </x:c>
      <x:c r="C71" s="233" t="str">
        <x:f>IF(A71="","",'دانش‌آموزان'!E71&amp;" "&amp;'دانش‌آموزان'!F71)</x:f>
        <x:v>آراد حسینی</x:v>
      </x:c>
      <x:c r="D71" s="166" t="str">
        <x:f>IF(A71="","",'دانش‌آموزان'!I71)</x:f>
        <x:v>sample-7-c</x:v>
      </x:c>
      <x:c r="E71" s="141" t="n">
        <x:f>IF(A71="","",IFERROR(SUMIFS('ثبت اطلاعات'!$CC$5:$CC$1204,'ثبت اطلاعات'!$C$5:$C$1204,A71,'ثبت اطلاعات'!$CO$5:$CO$1204,1)/COUNTIFS('ثبت اطلاعات'!$C$5:$C$1204,A71,'ثبت اطلاعات'!$CO$5:$CO$1204,1),""))</x:f>
        <x:v>15.2</x:v>
      </x:c>
      <x:c r="F71" s="178" t="n">
        <x:f>IF(A71="","",IFERROR(SUMIFS('ثبت اطلاعات'!$CD$5:$CD$1204,'ثبت اطلاعات'!$C$5:$C$1204,A71,'ثبت اطلاعات'!$CO$5:$CO$1204,1)/COUNTIFS('ثبت اطلاعات'!$C$5:$C$1204,A71,'ثبت اطلاعات'!$CO$5:$CO$1204,1),""))</x:f>
        <x:v>15.6</x:v>
      </x:c>
      <x:c r="G71" s="178" t="n">
        <x:f>IF(A71="","",IFERROR(SUMIFS('ثبت اطلاعات'!$CE$5:$CE$1204,'ثبت اطلاعات'!$C$5:$C$1204,A71,'ثبت اطلاعات'!$CO$5:$CO$1204,1)/COUNTIFS('ثبت اطلاعات'!$C$5:$C$1204,A71,'ثبت اطلاعات'!$CO$5:$CO$1204,1),""))</x:f>
        <x:v>15.2</x:v>
      </x:c>
      <x:c r="H71" s="178" t="n">
        <x:f>IF(A71="","",IFERROR(SUMIFS('ثبت اطلاعات'!$CF$5:$CF$1204,'ثبت اطلاعات'!$C$5:$C$1204,A71,'ثبت اطلاعات'!$CO$5:$CO$1204,1)/COUNTIFS('ثبت اطلاعات'!$C$5:$C$1204,A71,'ثبت اطلاعات'!$CO$5:$CO$1204,1),""))</x:f>
        <x:v>15.5</x:v>
      </x:c>
      <x:c r="I71" s="178" t="n">
        <x:f>IF(A71="","",IFERROR(SUMIFS('ثبت اطلاعات'!$CG$5:$CG$1204,'ثبت اطلاعات'!$C$5:$C$1204,A71,'ثبت اطلاعات'!$CO$5:$CO$1204,1)/COUNTIFS('ثبت اطلاعات'!$C$5:$C$1204,A71,'ثبت اطلاعات'!$CO$5:$CO$1204,1),""))</x:f>
        <x:v>13.714285714285714</x:v>
      </x:c>
      <x:c r="J71" s="178" t="n">
        <x:f>IF(A71="","",IFERROR(SUMIFS('ثبت اطلاعات'!$CH$5:$CH$1204,'ثبت اطلاعات'!$C$5:$C$1204,A71,'ثبت اطلاعات'!$CO$5:$CO$1204,1)/COUNTIFS('ثبت اطلاعات'!$C$5:$C$1204,A71,'ثبت اطلاعات'!$CO$5:$CO$1204,1),""))</x:f>
        <x:v>16.5</x:v>
      </x:c>
      <x:c r="K71" s="178" t="n">
        <x:f>IF(A71="","",IFERROR(SUMIFS('ثبت اطلاعات'!$CI$5:$CI$1204,'ثبت اطلاعات'!$C$5:$C$1204,A71,'ثبت اطلاعات'!$CO$5:$CO$1204,1)/COUNTIFS('ثبت اطلاعات'!$C$5:$C$1204,A71,'ثبت اطلاعات'!$CO$5:$CO$1204,1),""))</x:f>
        <x:v>15.428571428571429</x:v>
      </x:c>
      <x:c r="L71" s="178" t="n">
        <x:f>IF(A71="","",IFERROR(SUMIFS('ثبت اطلاعات'!$CJ$5:$CJ$1204,'ثبت اطلاعات'!$C$5:$C$1204,A71,'ثبت اطلاعات'!$CO$5:$CO$1204,1)/COUNTIFS('ثبت اطلاعات'!$C$5:$C$1204,A71,'ثبت اطلاعات'!$CO$5:$CO$1204,1),""))</x:f>
        <x:v>13.714285714285714</x:v>
      </x:c>
      <x:c r="M71" s="178" t="n">
        <x:f>IF(A71="","",IFERROR(SUMIFS('ثبت اطلاعات'!$CK$5:$CK$1204,'ثبت اطلاعات'!$C$5:$C$1204,A71,'ثبت اطلاعات'!$CO$5:$CO$1204,1)/COUNTIFS('ثبت اطلاعات'!$C$5:$C$1204,A71,'ثبت اطلاعات'!$CO$5:$CO$1204,1),""))</x:f>
        <x:v>16.571428571428573</x:v>
      </x:c>
      <x:c r="N71" s="178" t="n">
        <x:f>IF(A71="","",IFERROR(SUMIFS('ثبت اطلاعات'!$CL$5:$CL$1204,'ثبت اطلاعات'!$C$5:$C$1204,A71,'ثبت اطلاعات'!$CO$5:$CO$1204,1)/COUNTIFS('ثبت اطلاعات'!$C$5:$C$1204,A71,'ثبت اطلاعات'!$CO$5:$CO$1204,1),""))</x:f>
        <x:v>15.327857142857143</x:v>
      </x:c>
      <x:c r="O71" s="178" t="n">
        <x:f>IF(A71="","",COUNTIFS('ثبت اطلاعات'!$C$5:$C$1204,A71,'ثبت اطلاعات'!$CO$5:$CO$1204,1))</x:f>
        <x:v>1</x:v>
      </x:c>
      <x:c r="P71" s="178" t="n">
        <x:f>IF(O71=0,"",MINIFS('ثبت اطلاعات'!$CN$5:$CN$1204,'ثبت اطلاعات'!$C$5:$C$1204,A71,'ثبت اطلاعات'!$CO$5:$CO$1204,1))</x:f>
        <x:v>1</x:v>
      </x:c>
      <x:c r="Q71" s="178" t="n">
        <x:f>IF(O71=0,"",MAXIFS('ثبت اطلاعات'!$CN$5:$CN$1204,'ثبت اطلاعات'!$C$5:$C$1204,A71,'ثبت اطلاعات'!$CO$5:$CO$1204,1))</x:f>
        <x:v>1</x:v>
      </x:c>
      <x:c r="R71" s="178" t="str">
        <x:f>IF(O71&lt;2,"",SUMIFS('ثبت اطلاعات'!$CL$5:$CL$1204,'ثبت اطلاعات'!$C$5:$C$1204,A71,'ثبت اطلاعات'!$CN$5:$CN$1204,Q71)-SUMIFS('ثبت اطلاعات'!$CL$5:$CL$1204,'ثبت اطلاعات'!$C$5:$C$1204,A71,'ثبت اطلاعات'!$CN$5:$CN$1204,P71))</x:f>
      </x:c>
      <x:c r="S71" s="178" t="str">
        <x:f>IF(A71="","",IF(O71=0,"فاقد ارزیابی نهایی",IF(O71=1,"داده ناکافی",IF(R71&gt;0.5,"پیشرفت",IF(R71&lt;-0.5,"افت","ثبات")))))</x:f>
        <x:v>داده ناکافی</x:v>
      </x:c>
      <x:c r="T71" s="178" t="str">
        <x:f>IF(N71="","",INDEX($E$4:$M$4,1,MATCH(MAX(E71:M71),E71:M71,0)))</x:f>
        <x:v>مهارت‌های فردی</x:v>
      </x:c>
      <x:c r="U71" s="178" t="str">
        <x:f>IF(N71="","",INDEX($E$4:$M$4,1,MATCH(MIN(E71:M71),E71:M71,0)))</x:f>
        <x:v>فرهنگی</x:v>
      </x:c>
      <x:c r="V71" s="178" t="str">
        <x:f>IF(N71="","",IF(N71&gt;=17,"عالی",IF(N71&gt;=14,"خوب",IF(N71&gt;=10,"متوسط","ضعیف"))))</x:f>
        <x:v>خوب</x:v>
      </x:c>
      <x:c r="W71" s="178" t="n">
        <x:f>IF(N71="","",RANK.EQ(N71,$N$5:$N$104,0))</x:f>
        <x:v>19</x:v>
      </x:c>
      <x:c r="X71" s="178" t="n">
        <x:f>IF(N71="","",COUNT($N$5:$N$104))</x:f>
        <x:v>100</x:v>
      </x:c>
      <x:c r="Y71" s="142" t="str">
        <x:f>IF(U71="","",IFERROR(INDEX('بانک راهکارها'!$C$5:$C$13,MATCH(U71,'بانک راهکارها'!$B$5:$B$13,0)),""))</x:f>
        <x:v>مشارکت در برنامه‌های فرهنگی، مطالعه هدایت‌شده و فعالیت گروهی پیشنهاد می‌شود.</x:v>
      </x:c>
    </x:row>
    <x:row r="72">
      <x:c r="A72" s="165" t="n">
        <x:f>IF('دانش‌آموزان'!L72="","",'دانش‌آموزان'!B72)</x:f>
        <x:v>68</x:v>
      </x:c>
      <x:c r="B72" s="233" t="str">
        <x:f>IF(A72="","",'دانش‌آموزان'!C72)</x:f>
        <x:v>4000000683</x:v>
      </x:c>
      <x:c r="C72" s="233" t="str">
        <x:f>IF(A72="","",'دانش‌آموزان'!E72&amp;" "&amp;'دانش‌آموزان'!F72)</x:f>
        <x:v>نگار جعفری</x:v>
      </x:c>
      <x:c r="D72" s="166" t="str">
        <x:f>IF(A72="","",'دانش‌آموزان'!I72)</x:f>
        <x:v>sample-7-c</x:v>
      </x:c>
      <x:c r="E72" s="141" t="n">
        <x:f>IF(A72="","",IFERROR(SUMIFS('ثبت اطلاعات'!$CC$5:$CC$1204,'ثبت اطلاعات'!$C$5:$C$1204,A72,'ثبت اطلاعات'!$CO$5:$CO$1204,1)/COUNTIFS('ثبت اطلاعات'!$C$5:$C$1204,A72,'ثبت اطلاعات'!$CO$5:$CO$1204,1),""))</x:f>
        <x:v>14.8</x:v>
      </x:c>
      <x:c r="F72" s="178" t="n">
        <x:f>IF(A72="","",IFERROR(SUMIFS('ثبت اطلاعات'!$CD$5:$CD$1204,'ثبت اطلاعات'!$C$5:$C$1204,A72,'ثبت اطلاعات'!$CO$5:$CO$1204,1)/COUNTIFS('ثبت اطلاعات'!$C$5:$C$1204,A72,'ثبت اطلاعات'!$CO$5:$CO$1204,1),""))</x:f>
        <x:v>15.2</x:v>
      </x:c>
      <x:c r="G72" s="178" t="n">
        <x:f>IF(A72="","",IFERROR(SUMIFS('ثبت اطلاعات'!$CE$5:$CE$1204,'ثبت اطلاعات'!$C$5:$C$1204,A72,'ثبت اطلاعات'!$CO$5:$CO$1204,1)/COUNTIFS('ثبت اطلاعات'!$C$5:$C$1204,A72,'ثبت اطلاعات'!$CO$5:$CO$1204,1),""))</x:f>
        <x:v>14.8</x:v>
      </x:c>
      <x:c r="H72" s="178" t="n">
        <x:f>IF(A72="","",IFERROR(SUMIFS('ثبت اطلاعات'!$CF$5:$CF$1204,'ثبت اطلاعات'!$C$5:$C$1204,A72,'ثبت اطلاعات'!$CO$5:$CO$1204,1)/COUNTIFS('ثبت اطلاعات'!$C$5:$C$1204,A72,'ثبت اطلاعات'!$CO$5:$CO$1204,1),""))</x:f>
        <x:v>16</x:v>
      </x:c>
      <x:c r="I72" s="178" t="n">
        <x:f>IF(A72="","",IFERROR(SUMIFS('ثبت اطلاعات'!$CG$5:$CG$1204,'ثبت اطلاعات'!$C$5:$C$1204,A72,'ثبت اطلاعات'!$CO$5:$CO$1204,1)/COUNTIFS('ثبت اطلاعات'!$C$5:$C$1204,A72,'ثبت اطلاعات'!$CO$5:$CO$1204,1),""))</x:f>
        <x:v>15.428571428571429</x:v>
      </x:c>
      <x:c r="J72" s="178" t="n">
        <x:f>IF(A72="","",IFERROR(SUMIFS('ثبت اطلاعات'!$CH$5:$CH$1204,'ثبت اطلاعات'!$C$5:$C$1204,A72,'ثبت اطلاعات'!$CO$5:$CO$1204,1)/COUNTIFS('ثبت اطلاعات'!$C$5:$C$1204,A72,'ثبت اطلاعات'!$CO$5:$CO$1204,1),""))</x:f>
        <x:v>15</x:v>
      </x:c>
      <x:c r="K72" s="178" t="n">
        <x:f>IF(A72="","",IFERROR(SUMIFS('ثبت اطلاعات'!$CI$5:$CI$1204,'ثبت اطلاعات'!$C$5:$C$1204,A72,'ثبت اطلاعات'!$CO$5:$CO$1204,1)/COUNTIFS('ثبت اطلاعات'!$C$5:$C$1204,A72,'ثبت اطلاعات'!$CO$5:$CO$1204,1),""))</x:f>
        <x:v>15.428571428571429</x:v>
      </x:c>
      <x:c r="L72" s="178" t="n">
        <x:f>IF(A72="","",IFERROR(SUMIFS('ثبت اطلاعات'!$CJ$5:$CJ$1204,'ثبت اطلاعات'!$C$5:$C$1204,A72,'ثبت اطلاعات'!$CO$5:$CO$1204,1)/COUNTIFS('ثبت اطلاعات'!$C$5:$C$1204,A72,'ثبت اطلاعات'!$CO$5:$CO$1204,1),""))</x:f>
        <x:v>15.428571428571429</x:v>
      </x:c>
      <x:c r="M72" s="178" t="n">
        <x:f>IF(A72="","",IFERROR(SUMIFS('ثبت اطلاعات'!$CK$5:$CK$1204,'ثبت اطلاعات'!$C$5:$C$1204,A72,'ثبت اطلاعات'!$CO$5:$CO$1204,1)/COUNTIFS('ثبت اطلاعات'!$C$5:$C$1204,A72,'ثبت اطلاعات'!$CO$5:$CO$1204,1),""))</x:f>
        <x:v>14.285714285714286</x:v>
      </x:c>
      <x:c r="N72" s="178" t="n">
        <x:f>IF(A72="","",IFERROR(SUMIFS('ثبت اطلاعات'!$CL$5:$CL$1204,'ثبت اطلاعات'!$C$5:$C$1204,A72,'ثبت اطلاعات'!$CO$5:$CO$1204,1)/COUNTIFS('ثبت اطلاعات'!$C$5:$C$1204,A72,'ثبت اطلاعات'!$CO$5:$CO$1204,1),""))</x:f>
        <x:v>15.145714285714286</x:v>
      </x:c>
      <x:c r="O72" s="178" t="n">
        <x:f>IF(A72="","",COUNTIFS('ثبت اطلاعات'!$C$5:$C$1204,A72,'ثبت اطلاعات'!$CO$5:$CO$1204,1))</x:f>
        <x:v>1</x:v>
      </x:c>
      <x:c r="P72" s="178" t="n">
        <x:f>IF(O72=0,"",MINIFS('ثبت اطلاعات'!$CN$5:$CN$1204,'ثبت اطلاعات'!$C$5:$C$1204,A72,'ثبت اطلاعات'!$CO$5:$CO$1204,1))</x:f>
        <x:v>1</x:v>
      </x:c>
      <x:c r="Q72" s="178" t="n">
        <x:f>IF(O72=0,"",MAXIFS('ثبت اطلاعات'!$CN$5:$CN$1204,'ثبت اطلاعات'!$C$5:$C$1204,A72,'ثبت اطلاعات'!$CO$5:$CO$1204,1))</x:f>
        <x:v>1</x:v>
      </x:c>
      <x:c r="R72" s="178" t="str">
        <x:f>IF(O72&lt;2,"",SUMIFS('ثبت اطلاعات'!$CL$5:$CL$1204,'ثبت اطلاعات'!$C$5:$C$1204,A72,'ثبت اطلاعات'!$CN$5:$CN$1204,Q72)-SUMIFS('ثبت اطلاعات'!$CL$5:$CL$1204,'ثبت اطلاعات'!$C$5:$C$1204,A72,'ثبت اطلاعات'!$CN$5:$CN$1204,P72))</x:f>
      </x:c>
      <x:c r="S72" s="178" t="str">
        <x:f>IF(A72="","",IF(O72=0,"فاقد ارزیابی نهایی",IF(O72=1,"داده ناکافی",IF(R72&gt;0.5,"پیشرفت",IF(R72&lt;-0.5,"افت","ثبات")))))</x:f>
        <x:v>داده ناکافی</x:v>
      </x:c>
      <x:c r="T72" s="178" t="str">
        <x:f>IF(N72="","",INDEX($E$4:$M$4,1,MATCH(MAX(E72:M72),E72:M72,0)))</x:f>
        <x:v>انضباطی</x:v>
      </x:c>
      <x:c r="U72" s="178" t="str">
        <x:f>IF(N72="","",INDEX($E$4:$M$4,1,MATCH(MIN(E72:M72),E72:M72,0)))</x:f>
        <x:v>مهارت‌های فردی</x:v>
      </x:c>
      <x:c r="V72" s="178" t="str">
        <x:f>IF(N72="","",IF(N72&gt;=17,"عالی",IF(N72&gt;=14,"خوب",IF(N72&gt;=10,"متوسط","ضعیف"))))</x:f>
        <x:v>خوب</x:v>
      </x:c>
      <x:c r="W72" s="178" t="n">
        <x:f>IF(N72="","",RANK.EQ(N72,$N$5:$N$104,0))</x:f>
        <x:v>83</x:v>
      </x:c>
      <x:c r="X72" s="178" t="n">
        <x:f>IF(N72="","",COUNT($N$5:$N$104))</x:f>
        <x:v>100</x:v>
      </x:c>
      <x:c r="Y72" s="142" t="str">
        <x:f>IF(U72="","",IFERROR(INDEX('بانک راهکارها'!$C$5:$C$13,MATCH(U72,'بانک راهکارها'!$B$5:$B$13,0)),""))</x:f>
        <x:v>تمرین برنامه‌ریزی هفتگی، ارتباط مؤثر و کار تیمی پیشنهاد می‌شود.</x:v>
      </x:c>
    </x:row>
    <x:row r="73">
      <x:c r="A73" s="165" t="n">
        <x:f>IF('دانش‌آموزان'!L73="","",'دانش‌آموزان'!B73)</x:f>
        <x:v>69</x:v>
      </x:c>
      <x:c r="B73" s="233" t="str">
        <x:f>IF(A73="","",'دانش‌آموزان'!C73)</x:f>
        <x:v>4000000691</x:v>
      </x:c>
      <x:c r="C73" s="233" t="str">
        <x:f>IF(A73="","",'دانش‌آموزان'!E73&amp;" "&amp;'دانش‌آموزان'!F73)</x:f>
        <x:v>سام امینی</x:v>
      </x:c>
      <x:c r="D73" s="166" t="str">
        <x:f>IF(A73="","",'دانش‌آموزان'!I73)</x:f>
        <x:v>sample-7-c</x:v>
      </x:c>
      <x:c r="E73" s="141" t="n">
        <x:f>IF(A73="","",IFERROR(SUMIFS('ثبت اطلاعات'!$CC$5:$CC$1204,'ثبت اطلاعات'!$C$5:$C$1204,A73,'ثبت اطلاعات'!$CO$5:$CO$1204,1)/COUNTIFS('ثبت اطلاعات'!$C$5:$C$1204,A73,'ثبت اطلاعات'!$CO$5:$CO$1204,1),""))</x:f>
        <x:v>15.6</x:v>
      </x:c>
      <x:c r="F73" s="178" t="n">
        <x:f>IF(A73="","",IFERROR(SUMIFS('ثبت اطلاعات'!$CD$5:$CD$1204,'ثبت اطلاعات'!$C$5:$C$1204,A73,'ثبت اطلاعات'!$CO$5:$CO$1204,1)/COUNTIFS('ثبت اطلاعات'!$C$5:$C$1204,A73,'ثبت اطلاعات'!$CO$5:$CO$1204,1),""))</x:f>
        <x:v>15.2</x:v>
      </x:c>
      <x:c r="G73" s="178" t="n">
        <x:f>IF(A73="","",IFERROR(SUMIFS('ثبت اطلاعات'!$CE$5:$CE$1204,'ثبت اطلاعات'!$C$5:$C$1204,A73,'ثبت اطلاعات'!$CO$5:$CO$1204,1)/COUNTIFS('ثبت اطلاعات'!$C$5:$C$1204,A73,'ثبت اطلاعات'!$CO$5:$CO$1204,1),""))</x:f>
        <x:v>15.6</x:v>
      </x:c>
      <x:c r="H73" s="178" t="n">
        <x:f>IF(A73="","",IFERROR(SUMIFS('ثبت اطلاعات'!$CF$5:$CF$1204,'ثبت اطلاعات'!$C$5:$C$1204,A73,'ثبت اطلاعات'!$CO$5:$CO$1204,1)/COUNTIFS('ثبت اطلاعات'!$C$5:$C$1204,A73,'ثبت اطلاعات'!$CO$5:$CO$1204,1),""))</x:f>
        <x:v>14.5</x:v>
      </x:c>
      <x:c r="I73" s="178" t="n">
        <x:f>IF(A73="","",IFERROR(SUMIFS('ثبت اطلاعات'!$CG$5:$CG$1204,'ثبت اطلاعات'!$C$5:$C$1204,A73,'ثبت اطلاعات'!$CO$5:$CO$1204,1)/COUNTIFS('ثبت اطلاعات'!$C$5:$C$1204,A73,'ثبت اطلاعات'!$CO$5:$CO$1204,1),""))</x:f>
        <x:v>15.428571428571429</x:v>
      </x:c>
      <x:c r="J73" s="178" t="n">
        <x:f>IF(A73="","",IFERROR(SUMIFS('ثبت اطلاعات'!$CH$5:$CH$1204,'ثبت اطلاعات'!$C$5:$C$1204,A73,'ثبت اطلاعات'!$CO$5:$CO$1204,1)/COUNTIFS('ثبت اطلاعات'!$C$5:$C$1204,A73,'ثبت اطلاعات'!$CO$5:$CO$1204,1),""))</x:f>
        <x:v>15.5</x:v>
      </x:c>
      <x:c r="K73" s="178" t="n">
        <x:f>IF(A73="","",IFERROR(SUMIFS('ثبت اطلاعات'!$CI$5:$CI$1204,'ثبت اطلاعات'!$C$5:$C$1204,A73,'ثبت اطلاعات'!$CO$5:$CO$1204,1)/COUNTIFS('ثبت اطلاعات'!$C$5:$C$1204,A73,'ثبت اطلاعات'!$CO$5:$CO$1204,1),""))</x:f>
        <x:v>14.857142857142858</x:v>
      </x:c>
      <x:c r="L73" s="178" t="n">
        <x:f>IF(A73="","",IFERROR(SUMIFS('ثبت اطلاعات'!$CJ$5:$CJ$1204,'ثبت اطلاعات'!$C$5:$C$1204,A73,'ثبت اطلاعات'!$CO$5:$CO$1204,1)/COUNTIFS('ثبت اطلاعات'!$C$5:$C$1204,A73,'ثبت اطلاعات'!$CO$5:$CO$1204,1),""))</x:f>
        <x:v>15.428571428571429</x:v>
      </x:c>
      <x:c r="M73" s="178" t="n">
        <x:f>IF(A73="","",IFERROR(SUMIFS('ثبت اطلاعات'!$CK$5:$CK$1204,'ثبت اطلاعات'!$C$5:$C$1204,A73,'ثبت اطلاعات'!$CO$5:$CO$1204,1)/COUNTIFS('ثبت اطلاعات'!$C$5:$C$1204,A73,'ثبت اطلاعات'!$CO$5:$CO$1204,1),""))</x:f>
        <x:v>16</x:v>
      </x:c>
      <x:c r="N73" s="178" t="n">
        <x:f>IF(A73="","",IFERROR(SUMIFS('ثبت اطلاعات'!$CL$5:$CL$1204,'ثبت اطلاعات'!$C$5:$C$1204,A73,'ثبت اطلاعات'!$CO$5:$CO$1204,1)/COUNTIFS('ثبت اطلاعات'!$C$5:$C$1204,A73,'ثبت اطلاعات'!$CO$5:$CO$1204,1),""))</x:f>
        <x:v>15.320714285714287</x:v>
      </x:c>
      <x:c r="O73" s="178" t="n">
        <x:f>IF(A73="","",COUNTIFS('ثبت اطلاعات'!$C$5:$C$1204,A73,'ثبت اطلاعات'!$CO$5:$CO$1204,1))</x:f>
        <x:v>1</x:v>
      </x:c>
      <x:c r="P73" s="178" t="n">
        <x:f>IF(O73=0,"",MINIFS('ثبت اطلاعات'!$CN$5:$CN$1204,'ثبت اطلاعات'!$C$5:$C$1204,A73,'ثبت اطلاعات'!$CO$5:$CO$1204,1))</x:f>
        <x:v>1</x:v>
      </x:c>
      <x:c r="Q73" s="178" t="n">
        <x:f>IF(O73=0,"",MAXIFS('ثبت اطلاعات'!$CN$5:$CN$1204,'ثبت اطلاعات'!$C$5:$C$1204,A73,'ثبت اطلاعات'!$CO$5:$CO$1204,1))</x:f>
        <x:v>1</x:v>
      </x:c>
      <x:c r="R73" s="178" t="str">
        <x:f>IF(O73&lt;2,"",SUMIFS('ثبت اطلاعات'!$CL$5:$CL$1204,'ثبت اطلاعات'!$C$5:$C$1204,A73,'ثبت اطلاعات'!$CN$5:$CN$1204,Q73)-SUMIFS('ثبت اطلاعات'!$CL$5:$CL$1204,'ثبت اطلاعات'!$C$5:$C$1204,A73,'ثبت اطلاعات'!$CN$5:$CN$1204,P73))</x:f>
      </x:c>
      <x:c r="S73" s="178" t="str">
        <x:f>IF(A73="","",IF(O73=0,"فاقد ارزیابی نهایی",IF(O73=1,"داده ناکافی",IF(R73&gt;0.5,"پیشرفت",IF(R73&lt;-0.5,"افت","ثبات")))))</x:f>
        <x:v>داده ناکافی</x:v>
      </x:c>
      <x:c r="T73" s="178" t="str">
        <x:f>IF(N73="","",INDEX($E$4:$M$4,1,MATCH(MAX(E73:M73),E73:M73,0)))</x:f>
        <x:v>مهارت‌های فردی</x:v>
      </x:c>
      <x:c r="U73" s="178" t="str">
        <x:f>IF(N73="","",INDEX($E$4:$M$4,1,MATCH(MIN(E73:M73),E73:M73,0)))</x:f>
        <x:v>انضباطی</x:v>
      </x:c>
      <x:c r="V73" s="178" t="str">
        <x:f>IF(N73="","",IF(N73&gt;=17,"عالی",IF(N73&gt;=14,"خوب",IF(N73&gt;=10,"متوسط","ضعیف"))))</x:f>
        <x:v>خوب</x:v>
      </x:c>
      <x:c r="W73" s="178" t="n">
        <x:f>IF(N73="","",RANK.EQ(N73,$N$5:$N$104,0))</x:f>
        <x:v>29</x:v>
      </x:c>
      <x:c r="X73" s="178" t="n">
        <x:f>IF(N73="","",COUNT($N$5:$N$104))</x:f>
        <x:v>100</x:v>
      </x:c>
      <x:c r="Y73" s="142" t="str">
        <x:f>IF(U73="","",IFERROR(INDEX('بانک راهکارها'!$C$5:$C$13,MATCH(U73,'بانک راهکارها'!$B$5:$B$13,0)),""))</x:f>
        <x:v>قواعد روشن، قرارداد رفتاری کوتاه‌مدت و ثبت منظم پیشرفت پیشنهاد می‌شود.</x:v>
      </x:c>
    </x:row>
    <x:row r="74">
      <x:c r="A74" s="165" t="n">
        <x:f>IF('دانش‌آموزان'!L74="","",'دانش‌آموزان'!B74)</x:f>
        <x:v>70</x:v>
      </x:c>
      <x:c r="B74" s="233" t="str">
        <x:f>IF(A74="","",'دانش‌آموزان'!C74)</x:f>
        <x:v>4000000705</x:v>
      </x:c>
      <x:c r="C74" s="233" t="str">
        <x:f>IF(A74="","",'دانش‌آموزان'!E74&amp;" "&amp;'دانش‌آموزان'!F74)</x:f>
        <x:v>هلیا کریمی</x:v>
      </x:c>
      <x:c r="D74" s="166" t="str">
        <x:f>IF(A74="","",'دانش‌آموزان'!I74)</x:f>
        <x:v>sample-7-c</x:v>
      </x:c>
      <x:c r="E74" s="141" t="n">
        <x:f>IF(A74="","",IFERROR(SUMIFS('ثبت اطلاعات'!$CC$5:$CC$1204,'ثبت اطلاعات'!$C$5:$C$1204,A74,'ثبت اطلاعات'!$CO$5:$CO$1204,1)/COUNTIFS('ثبت اطلاعات'!$C$5:$C$1204,A74,'ثبت اطلاعات'!$CO$5:$CO$1204,1),""))</x:f>
        <x:v>15.2</x:v>
      </x:c>
      <x:c r="F74" s="178" t="n">
        <x:f>IF(A74="","",IFERROR(SUMIFS('ثبت اطلاعات'!$CD$5:$CD$1204,'ثبت اطلاعات'!$C$5:$C$1204,A74,'ثبت اطلاعات'!$CO$5:$CO$1204,1)/COUNTIFS('ثبت اطلاعات'!$C$5:$C$1204,A74,'ثبت اطلاعات'!$CO$5:$CO$1204,1),""))</x:f>
        <x:v>14.8</x:v>
      </x:c>
      <x:c r="G74" s="178" t="n">
        <x:f>IF(A74="","",IFERROR(SUMIFS('ثبت اطلاعات'!$CE$5:$CE$1204,'ثبت اطلاعات'!$C$5:$C$1204,A74,'ثبت اطلاعات'!$CO$5:$CO$1204,1)/COUNTIFS('ثبت اطلاعات'!$C$5:$C$1204,A74,'ثبت اطلاعات'!$CO$5:$CO$1204,1),""))</x:f>
        <x:v>15.2</x:v>
      </x:c>
      <x:c r="H74" s="178" t="n">
        <x:f>IF(A74="","",IFERROR(SUMIFS('ثبت اطلاعات'!$CF$5:$CF$1204,'ثبت اطلاعات'!$C$5:$C$1204,A74,'ثبت اطلاعات'!$CO$5:$CO$1204,1)/COUNTIFS('ثبت اطلاعات'!$C$5:$C$1204,A74,'ثبت اطلاعات'!$CO$5:$CO$1204,1),""))</x:f>
        <x:v>16.5</x:v>
      </x:c>
      <x:c r="I74" s="178" t="n">
        <x:f>IF(A74="","",IFERROR(SUMIFS('ثبت اطلاعات'!$CG$5:$CG$1204,'ثبت اطلاعات'!$C$5:$C$1204,A74,'ثبت اطلاعات'!$CO$5:$CO$1204,1)/COUNTIFS('ثبت اطلاعات'!$C$5:$C$1204,A74,'ثبت اطلاعات'!$CO$5:$CO$1204,1),""))</x:f>
        <x:v>15.428571428571429</x:v>
      </x:c>
      <x:c r="J74" s="178" t="n">
        <x:f>IF(A74="","",IFERROR(SUMIFS('ثبت اطلاعات'!$CH$5:$CH$1204,'ثبت اطلاعات'!$C$5:$C$1204,A74,'ثبت اطلاعات'!$CO$5:$CO$1204,1)/COUNTIFS('ثبت اطلاعات'!$C$5:$C$1204,A74,'ثبت اطلاعات'!$CO$5:$CO$1204,1),""))</x:f>
        <x:v>14</x:v>
      </x:c>
      <x:c r="K74" s="178" t="n">
        <x:f>IF(A74="","",IFERROR(SUMIFS('ثبت اطلاعات'!$CI$5:$CI$1204,'ثبت اطلاعات'!$C$5:$C$1204,A74,'ثبت اطلاعات'!$CO$5:$CO$1204,1)/COUNTIFS('ثبت اطلاعات'!$C$5:$C$1204,A74,'ثبت اطلاعات'!$CO$5:$CO$1204,1),""))</x:f>
        <x:v>16.571428571428573</x:v>
      </x:c>
      <x:c r="L74" s="178" t="n">
        <x:f>IF(A74="","",IFERROR(SUMIFS('ثبت اطلاعات'!$CJ$5:$CJ$1204,'ثبت اطلاعات'!$C$5:$C$1204,A74,'ثبت اطلاعات'!$CO$5:$CO$1204,1)/COUNTIFS('ثبت اطلاعات'!$C$5:$C$1204,A74,'ثبت اطلاعات'!$CO$5:$CO$1204,1),""))</x:f>
        <x:v>15.428571428571429</x:v>
      </x:c>
      <x:c r="M74" s="178" t="n">
        <x:f>IF(A74="","",IFERROR(SUMIFS('ثبت اطلاعات'!$CK$5:$CK$1204,'ثبت اطلاعات'!$C$5:$C$1204,A74,'ثبت اطلاعات'!$CO$5:$CO$1204,1)/COUNTIFS('ثبت اطلاعات'!$C$5:$C$1204,A74,'ثبت اطلاعات'!$CO$5:$CO$1204,1),""))</x:f>
        <x:v>13.714285714285714</x:v>
      </x:c>
      <x:c r="N74" s="178" t="n">
        <x:f>IF(A74="","",IFERROR(SUMIFS('ثبت اطلاعات'!$CL$5:$CL$1204,'ثبت اطلاعات'!$C$5:$C$1204,A74,'ثبت اطلاعات'!$CO$5:$CO$1204,1)/COUNTIFS('ثبت اطلاعات'!$C$5:$C$1204,A74,'ثبت اطلاعات'!$CO$5:$CO$1204,1),""))</x:f>
        <x:v>15.260714285714286</x:v>
      </x:c>
      <x:c r="O74" s="178" t="n">
        <x:f>IF(A74="","",COUNTIFS('ثبت اطلاعات'!$C$5:$C$1204,A74,'ثبت اطلاعات'!$CO$5:$CO$1204,1))</x:f>
        <x:v>1</x:v>
      </x:c>
      <x:c r="P74" s="178" t="n">
        <x:f>IF(O74=0,"",MINIFS('ثبت اطلاعات'!$CN$5:$CN$1204,'ثبت اطلاعات'!$C$5:$C$1204,A74,'ثبت اطلاعات'!$CO$5:$CO$1204,1))</x:f>
        <x:v>1</x:v>
      </x:c>
      <x:c r="Q74" s="178" t="n">
        <x:f>IF(O74=0,"",MAXIFS('ثبت اطلاعات'!$CN$5:$CN$1204,'ثبت اطلاعات'!$C$5:$C$1204,A74,'ثبت اطلاعات'!$CO$5:$CO$1204,1))</x:f>
        <x:v>1</x:v>
      </x:c>
      <x:c r="R74" s="178" t="str">
        <x:f>IF(O74&lt;2,"",SUMIFS('ثبت اطلاعات'!$CL$5:$CL$1204,'ثبت اطلاعات'!$C$5:$C$1204,A74,'ثبت اطلاعات'!$CN$5:$CN$1204,Q74)-SUMIFS('ثبت اطلاعات'!$CL$5:$CL$1204,'ثبت اطلاعات'!$C$5:$C$1204,A74,'ثبت اطلاعات'!$CN$5:$CN$1204,P74))</x:f>
      </x:c>
      <x:c r="S74" s="178" t="str">
        <x:f>IF(A74="","",IF(O74=0,"فاقد ارزیابی نهایی",IF(O74=1,"داده ناکافی",IF(R74&gt;0.5,"پیشرفت",IF(R74&lt;-0.5,"افت","ثبات")))))</x:f>
        <x:v>داده ناکافی</x:v>
      </x:c>
      <x:c r="T74" s="178" t="str">
        <x:f>IF(N74="","",INDEX($E$4:$M$4,1,MATCH(MAX(E74:M74),E74:M74,0)))</x:f>
        <x:v>ورزشی</x:v>
      </x:c>
      <x:c r="U74" s="178" t="str">
        <x:f>IF(N74="","",INDEX($E$4:$M$4,1,MATCH(MIN(E74:M74),E74:M74,0)))</x:f>
        <x:v>مهارت‌های فردی</x:v>
      </x:c>
      <x:c r="V74" s="178" t="str">
        <x:f>IF(N74="","",IF(N74&gt;=17,"عالی",IF(N74&gt;=14,"خوب",IF(N74&gt;=10,"متوسط","ضعیف"))))</x:f>
        <x:v>خوب</x:v>
      </x:c>
      <x:c r="W74" s="178" t="n">
        <x:f>IF(N74="","",RANK.EQ(N74,$N$5:$N$104,0))</x:f>
        <x:v>56</x:v>
      </x:c>
      <x:c r="X74" s="178" t="n">
        <x:f>IF(N74="","",COUNT($N$5:$N$104))</x:f>
        <x:v>100</x:v>
      </x:c>
      <x:c r="Y74" s="142" t="str">
        <x:f>IF(U74="","",IFERROR(INDEX('بانک راهکارها'!$C$5:$C$13,MATCH(U74,'بانک راهکارها'!$B$5:$B$13,0)),""))</x:f>
        <x:v>تمرین برنامه‌ریزی هفتگی، ارتباط مؤثر و کار تیمی پیشنهاد می‌شود.</x:v>
      </x:c>
    </x:row>
    <x:row r="75">
      <x:c r="A75" s="165" t="n">
        <x:f>IF('دانش‌آموزان'!L75="","",'دانش‌آموزان'!B75)</x:f>
        <x:v>71</x:v>
      </x:c>
      <x:c r="B75" s="233" t="str">
        <x:f>IF(A75="","",'دانش‌آموزان'!C75)</x:f>
        <x:v>4000000713</x:v>
      </x:c>
      <x:c r="C75" s="233" t="str">
        <x:f>IF(A75="","",'دانش‌آموزان'!E75&amp;" "&amp;'دانش‌آموزان'!F75)</x:f>
        <x:v>پارسا موسوی</x:v>
      </x:c>
      <x:c r="D75" s="166" t="str">
        <x:f>IF(A75="","",'دانش‌آموزان'!I75)</x:f>
        <x:v>sample-7-c</x:v>
      </x:c>
      <x:c r="E75" s="141" t="n">
        <x:f>IF(A75="","",IFERROR(SUMIFS('ثبت اطلاعات'!$CC$5:$CC$1204,'ثبت اطلاعات'!$C$5:$C$1204,A75,'ثبت اطلاعات'!$CO$5:$CO$1204,1)/COUNTIFS('ثبت اطلاعات'!$C$5:$C$1204,A75,'ثبت اطلاعات'!$CO$5:$CO$1204,1),""))</x:f>
        <x:v>15.2</x:v>
      </x:c>
      <x:c r="F75" s="178" t="n">
        <x:f>IF(A75="","",IFERROR(SUMIFS('ثبت اطلاعات'!$CD$5:$CD$1204,'ثبت اطلاعات'!$C$5:$C$1204,A75,'ثبت اطلاعات'!$CO$5:$CO$1204,1)/COUNTIFS('ثبت اطلاعات'!$C$5:$C$1204,A75,'ثبت اطلاعات'!$CO$5:$CO$1204,1),""))</x:f>
        <x:v>15.6</x:v>
      </x:c>
      <x:c r="G75" s="178" t="n">
        <x:f>IF(A75="","",IFERROR(SUMIFS('ثبت اطلاعات'!$CE$5:$CE$1204,'ثبت اطلاعات'!$C$5:$C$1204,A75,'ثبت اطلاعات'!$CO$5:$CO$1204,1)/COUNTIFS('ثبت اطلاعات'!$C$5:$C$1204,A75,'ثبت اطلاعات'!$CO$5:$CO$1204,1),""))</x:f>
        <x:v>14.8</x:v>
      </x:c>
      <x:c r="H75" s="178" t="n">
        <x:f>IF(A75="","",IFERROR(SUMIFS('ثبت اطلاعات'!$CF$5:$CF$1204,'ثبت اطلاعات'!$C$5:$C$1204,A75,'ثبت اطلاعات'!$CO$5:$CO$1204,1)/COUNTIFS('ثبت اطلاعات'!$C$5:$C$1204,A75,'ثبت اطلاعات'!$CO$5:$CO$1204,1),""))</x:f>
        <x:v>15</x:v>
      </x:c>
      <x:c r="I75" s="178" t="n">
        <x:f>IF(A75="","",IFERROR(SUMIFS('ثبت اطلاعات'!$CG$5:$CG$1204,'ثبت اطلاعات'!$C$5:$C$1204,A75,'ثبت اطلاعات'!$CO$5:$CO$1204,1)/COUNTIFS('ثبت اطلاعات'!$C$5:$C$1204,A75,'ثبت اطلاعات'!$CO$5:$CO$1204,1),""))</x:f>
        <x:v>15.428571428571429</x:v>
      </x:c>
      <x:c r="J75" s="178" t="n">
        <x:f>IF(A75="","",IFERROR(SUMIFS('ثبت اطلاعات'!$CH$5:$CH$1204,'ثبت اطلاعات'!$C$5:$C$1204,A75,'ثبت اطلاعات'!$CO$5:$CO$1204,1)/COUNTIFS('ثبت اطلاعات'!$C$5:$C$1204,A75,'ثبت اطلاعات'!$CO$5:$CO$1204,1),""))</x:f>
        <x:v>16</x:v>
      </x:c>
      <x:c r="K75" s="178" t="n">
        <x:f>IF(A75="","",IFERROR(SUMIFS('ثبت اطلاعات'!$CI$5:$CI$1204,'ثبت اطلاعات'!$C$5:$C$1204,A75,'ثبت اطلاعات'!$CO$5:$CO$1204,1)/COUNTIFS('ثبت اطلاعات'!$C$5:$C$1204,A75,'ثبت اطلاعات'!$CO$5:$CO$1204,1),""))</x:f>
        <x:v>14.285714285714286</x:v>
      </x:c>
      <x:c r="L75" s="178" t="n">
        <x:f>IF(A75="","",IFERROR(SUMIFS('ثبت اطلاعات'!$CJ$5:$CJ$1204,'ثبت اطلاعات'!$C$5:$C$1204,A75,'ثبت اطلاعات'!$CO$5:$CO$1204,1)/COUNTIFS('ثبت اطلاعات'!$C$5:$C$1204,A75,'ثبت اطلاعات'!$CO$5:$CO$1204,1),""))</x:f>
        <x:v>15.428571428571429</x:v>
      </x:c>
      <x:c r="M75" s="178" t="n">
        <x:f>IF(A75="","",IFERROR(SUMIFS('ثبت اطلاعات'!$CK$5:$CK$1204,'ثبت اطلاعات'!$C$5:$C$1204,A75,'ثبت اطلاعات'!$CO$5:$CO$1204,1)/COUNTIFS('ثبت اطلاعات'!$C$5:$C$1204,A75,'ثبت اطلاعات'!$CO$5:$CO$1204,1),""))</x:f>
        <x:v>15.428571428571429</x:v>
      </x:c>
      <x:c r="N75" s="178" t="n">
        <x:f>IF(A75="","",IFERROR(SUMIFS('ثبت اطلاعات'!$CL$5:$CL$1204,'ثبت اطلاعات'!$C$5:$C$1204,A75,'ثبت اطلاعات'!$CO$5:$CO$1204,1)/COUNTIFS('ثبت اطلاعات'!$C$5:$C$1204,A75,'ثبت اطلاعات'!$CO$5:$CO$1204,1),""))</x:f>
        <x:v>15.215714285714286</x:v>
      </x:c>
      <x:c r="O75" s="178" t="n">
        <x:f>IF(A75="","",COUNTIFS('ثبت اطلاعات'!$C$5:$C$1204,A75,'ثبت اطلاعات'!$CO$5:$CO$1204,1))</x:f>
        <x:v>1</x:v>
      </x:c>
      <x:c r="P75" s="178" t="n">
        <x:f>IF(O75=0,"",MINIFS('ثبت اطلاعات'!$CN$5:$CN$1204,'ثبت اطلاعات'!$C$5:$C$1204,A75,'ثبت اطلاعات'!$CO$5:$CO$1204,1))</x:f>
        <x:v>1</x:v>
      </x:c>
      <x:c r="Q75" s="178" t="n">
        <x:f>IF(O75=0,"",MAXIFS('ثبت اطلاعات'!$CN$5:$CN$1204,'ثبت اطلاعات'!$C$5:$C$1204,A75,'ثبت اطلاعات'!$CO$5:$CO$1204,1))</x:f>
        <x:v>1</x:v>
      </x:c>
      <x:c r="R75" s="178" t="str">
        <x:f>IF(O75&lt;2,"",SUMIFS('ثبت اطلاعات'!$CL$5:$CL$1204,'ثبت اطلاعات'!$C$5:$C$1204,A75,'ثبت اطلاعات'!$CN$5:$CN$1204,Q75)-SUMIFS('ثبت اطلاعات'!$CL$5:$CL$1204,'ثبت اطلاعات'!$C$5:$C$1204,A75,'ثبت اطلاعات'!$CN$5:$CN$1204,P75))</x:f>
      </x:c>
      <x:c r="S75" s="178" t="str">
        <x:f>IF(A75="","",IF(O75=0,"فاقد ارزیابی نهایی",IF(O75=1,"داده ناکافی",IF(R75&gt;0.5,"پیشرفت",IF(R75&lt;-0.5,"افت","ثبات")))))</x:f>
        <x:v>داده ناکافی</x:v>
      </x:c>
      <x:c r="T75" s="178" t="str">
        <x:f>IF(N75="","",INDEX($E$4:$M$4,1,MATCH(MAX(E75:M75),E75:M75,0)))</x:f>
        <x:v>پژوهشی</x:v>
      </x:c>
      <x:c r="U75" s="178" t="str">
        <x:f>IF(N75="","",INDEX($E$4:$M$4,1,MATCH(MIN(E75:M75),E75:M75,0)))</x:f>
        <x:v>ورزشی</x:v>
      </x:c>
      <x:c r="V75" s="178" t="str">
        <x:f>IF(N75="","",IF(N75&gt;=17,"عالی",IF(N75&gt;=14,"خوب",IF(N75&gt;=10,"متوسط","ضعیف"))))</x:f>
        <x:v>خوب</x:v>
      </x:c>
      <x:c r="W75" s="178" t="n">
        <x:f>IF(N75="","",RANK.EQ(N75,$N$5:$N$104,0))</x:f>
        <x:v>65</x:v>
      </x:c>
      <x:c r="X75" s="178" t="n">
        <x:f>IF(N75="","",COUNT($N$5:$N$104))</x:f>
        <x:v>100</x:v>
      </x:c>
      <x:c r="Y75" s="142" t="str">
        <x:f>IF(U75="","",IFERROR(INDEX('بانک راهکارها'!$C$5:$C$13,MATCH(U75,'بانک راهکارها'!$B$5:$B$13,0)),""))</x:f>
        <x:v>برنامه فعالیت بدنی منظم و مشارکت در ورزش گروهی پیشنهاد می‌شود.</x:v>
      </x:c>
    </x:row>
    <x:row r="76">
      <x:c r="A76" s="165" t="n">
        <x:f>IF('دانش‌آموزان'!L76="","",'دانش‌آموزان'!B76)</x:f>
        <x:v>72</x:v>
      </x:c>
      <x:c r="B76" s="233" t="str">
        <x:f>IF(A76="","",'دانش‌آموزان'!C76)</x:f>
        <x:v>4000000721</x:v>
      </x:c>
      <x:c r="C76" s="233" t="str">
        <x:f>IF(A76="","",'دانش‌آموزان'!E76&amp;" "&amp;'دانش‌آموزان'!F76)</x:f>
        <x:v>رها یوسفی</x:v>
      </x:c>
      <x:c r="D76" s="166" t="str">
        <x:f>IF(A76="","",'دانش‌آموزان'!I76)</x:f>
        <x:v>sample-7-c</x:v>
      </x:c>
      <x:c r="E76" s="141" t="n">
        <x:f>IF(A76="","",IFERROR(SUMIFS('ثبت اطلاعات'!$CC$5:$CC$1204,'ثبت اطلاعات'!$C$5:$C$1204,A76,'ثبت اطلاعات'!$CO$5:$CO$1204,1)/COUNTIFS('ثبت اطلاعات'!$C$5:$C$1204,A76,'ثبت اطلاعات'!$CO$5:$CO$1204,1),""))</x:f>
        <x:v>14.8</x:v>
      </x:c>
      <x:c r="F76" s="178" t="n">
        <x:f>IF(A76="","",IFERROR(SUMIFS('ثبت اطلاعات'!$CD$5:$CD$1204,'ثبت اطلاعات'!$C$5:$C$1204,A76,'ثبت اطلاعات'!$CO$5:$CO$1204,1)/COUNTIFS('ثبت اطلاعات'!$C$5:$C$1204,A76,'ثبت اطلاعات'!$CO$5:$CO$1204,1),""))</x:f>
        <x:v>15.2</x:v>
      </x:c>
      <x:c r="G76" s="178" t="n">
        <x:f>IF(A76="","",IFERROR(SUMIFS('ثبت اطلاعات'!$CE$5:$CE$1204,'ثبت اطلاعات'!$C$5:$C$1204,A76,'ثبت اطلاعات'!$CO$5:$CO$1204,1)/COUNTIFS('ثبت اطلاعات'!$C$5:$C$1204,A76,'ثبت اطلاعات'!$CO$5:$CO$1204,1),""))</x:f>
        <x:v>16</x:v>
      </x:c>
      <x:c r="H76" s="178" t="n">
        <x:f>IF(A76="","",IFERROR(SUMIFS('ثبت اطلاعات'!$CF$5:$CF$1204,'ثبت اطلاعات'!$C$5:$C$1204,A76,'ثبت اطلاعات'!$CO$5:$CO$1204,1)/COUNTIFS('ثبت اطلاعات'!$C$5:$C$1204,A76,'ثبت اطلاعات'!$CO$5:$CO$1204,1),""))</x:f>
        <x:v>15.5</x:v>
      </x:c>
      <x:c r="I76" s="178" t="n">
        <x:f>IF(A76="","",IFERROR(SUMIFS('ثبت اطلاعات'!$CG$5:$CG$1204,'ثبت اطلاعات'!$C$5:$C$1204,A76,'ثبت اطلاعات'!$CO$5:$CO$1204,1)/COUNTIFS('ثبت اطلاعات'!$C$5:$C$1204,A76,'ثبت اطلاعات'!$CO$5:$CO$1204,1),""))</x:f>
        <x:v>14.857142857142858</x:v>
      </x:c>
      <x:c r="J76" s="178" t="n">
        <x:f>IF(A76="","",IFERROR(SUMIFS('ثبت اطلاعات'!$CH$5:$CH$1204,'ثبت اطلاعات'!$C$5:$C$1204,A76,'ثبت اطلاعات'!$CO$5:$CO$1204,1)/COUNTIFS('ثبت اطلاعات'!$C$5:$C$1204,A76,'ثبت اطلاعات'!$CO$5:$CO$1204,1),""))</x:f>
        <x:v>14.5</x:v>
      </x:c>
      <x:c r="K76" s="178" t="n">
        <x:f>IF(A76="","",IFERROR(SUMIFS('ثبت اطلاعات'!$CI$5:$CI$1204,'ثبت اطلاعات'!$C$5:$C$1204,A76,'ثبت اطلاعات'!$CO$5:$CO$1204,1)/COUNTIFS('ثبت اطلاعات'!$C$5:$C$1204,A76,'ثبت اطلاعات'!$CO$5:$CO$1204,1),""))</x:f>
        <x:v>16.571428571428573</x:v>
      </x:c>
      <x:c r="L76" s="178" t="n">
        <x:f>IF(A76="","",IFERROR(SUMIFS('ثبت اطلاعات'!$CJ$5:$CJ$1204,'ثبت اطلاعات'!$C$5:$C$1204,A76,'ثبت اطلاعات'!$CO$5:$CO$1204,1)/COUNTIFS('ثبت اطلاعات'!$C$5:$C$1204,A76,'ثبت اطلاعات'!$CO$5:$CO$1204,1),""))</x:f>
        <x:v>14.857142857142858</x:v>
      </x:c>
      <x:c r="M76" s="178" t="n">
        <x:f>IF(A76="","",IFERROR(SUMIFS('ثبت اطلاعات'!$CK$5:$CK$1204,'ثبت اطلاعات'!$C$5:$C$1204,A76,'ثبت اطلاعات'!$CO$5:$CO$1204,1)/COUNTIFS('ثبت اطلاعات'!$C$5:$C$1204,A76,'ثبت اطلاعات'!$CO$5:$CO$1204,1),""))</x:f>
        <x:v>15.428571428571429</x:v>
      </x:c>
      <x:c r="N76" s="178" t="n">
        <x:f>IF(A76="","",IFERROR(SUMIFS('ثبت اطلاعات'!$CL$5:$CL$1204,'ثبت اطلاعات'!$C$5:$C$1204,A76,'ثبت اطلاعات'!$CO$5:$CO$1204,1)/COUNTIFS('ثبت اطلاعات'!$C$5:$C$1204,A76,'ثبت اطلاعات'!$CO$5:$CO$1204,1),""))</x:f>
        <x:v>15.29642857142857</x:v>
      </x:c>
      <x:c r="O76" s="178" t="n">
        <x:f>IF(A76="","",COUNTIFS('ثبت اطلاعات'!$C$5:$C$1204,A76,'ثبت اطلاعات'!$CO$5:$CO$1204,1))</x:f>
        <x:v>1</x:v>
      </x:c>
      <x:c r="P76" s="178" t="n">
        <x:f>IF(O76=0,"",MINIFS('ثبت اطلاعات'!$CN$5:$CN$1204,'ثبت اطلاعات'!$C$5:$C$1204,A76,'ثبت اطلاعات'!$CO$5:$CO$1204,1))</x:f>
        <x:v>1</x:v>
      </x:c>
      <x:c r="Q76" s="178" t="n">
        <x:f>IF(O76=0,"",MAXIFS('ثبت اطلاعات'!$CN$5:$CN$1204,'ثبت اطلاعات'!$C$5:$C$1204,A76,'ثبت اطلاعات'!$CO$5:$CO$1204,1))</x:f>
        <x:v>1</x:v>
      </x:c>
      <x:c r="R76" s="178" t="str">
        <x:f>IF(O76&lt;2,"",SUMIFS('ثبت اطلاعات'!$CL$5:$CL$1204,'ثبت اطلاعات'!$C$5:$C$1204,A76,'ثبت اطلاعات'!$CN$5:$CN$1204,Q76)-SUMIFS('ثبت اطلاعات'!$CL$5:$CL$1204,'ثبت اطلاعات'!$C$5:$C$1204,A76,'ثبت اطلاعات'!$CN$5:$CN$1204,P76))</x:f>
      </x:c>
      <x:c r="S76" s="178" t="str">
        <x:f>IF(A76="","",IF(O76=0,"فاقد ارزیابی نهایی",IF(O76=1,"داده ناکافی",IF(R76&gt;0.5,"پیشرفت",IF(R76&lt;-0.5,"افت","ثبات")))))</x:f>
        <x:v>داده ناکافی</x:v>
      </x:c>
      <x:c r="T76" s="178" t="str">
        <x:f>IF(N76="","",INDEX($E$4:$M$4,1,MATCH(MAX(E76:M76),E76:M76,0)))</x:f>
        <x:v>ورزشی</x:v>
      </x:c>
      <x:c r="U76" s="178" t="str">
        <x:f>IF(N76="","",INDEX($E$4:$M$4,1,MATCH(MIN(E76:M76),E76:M76,0)))</x:f>
        <x:v>پژوهشی</x:v>
      </x:c>
      <x:c r="V76" s="178" t="str">
        <x:f>IF(N76="","",IF(N76&gt;=17,"عالی",IF(N76&gt;=14,"خوب",IF(N76&gt;=10,"متوسط","ضعیف"))))</x:f>
        <x:v>خوب</x:v>
      </x:c>
      <x:c r="W76" s="178" t="n">
        <x:f>IF(N76="","",RANK.EQ(N76,$N$5:$N$104,0))</x:f>
        <x:v>38</x:v>
      </x:c>
      <x:c r="X76" s="178" t="n">
        <x:f>IF(N76="","",COUNT($N$5:$N$104))</x:f>
        <x:v>100</x:v>
      </x:c>
      <x:c r="Y76" s="142" t="str">
        <x:f>IF(U76="","",IFERROR(INDEX('بانک راهکارها'!$C$5:$C$13,MATCH(U76,'بانک راهکارها'!$B$5:$B$13,0)),""))</x:f>
        <x:v>یک پروژه کوچک پژوهشی با منابع مشخص و ارائه کوتاه پیشنهاد می‌شود.</x:v>
      </x:c>
    </x:row>
    <x:row r="77">
      <x:c r="A77" s="165" t="n">
        <x:f>IF('دانش‌آموزان'!L77="","",'دانش‌آموزان'!B77)</x:f>
        <x:v>73</x:v>
      </x:c>
      <x:c r="B77" s="233" t="str">
        <x:f>IF(A77="","",'دانش‌آموزان'!C77)</x:f>
        <x:v>4000000731</x:v>
      </x:c>
      <x:c r="C77" s="233" t="str">
        <x:f>IF(A77="","",'دانش‌آموزان'!E77&amp;" "&amp;'دانش‌آموزان'!F77)</x:f>
        <x:v>طاها رضایی</x:v>
      </x:c>
      <x:c r="D77" s="166" t="str">
        <x:f>IF(A77="","",'دانش‌آموزان'!I77)</x:f>
        <x:v>sample-7-c</x:v>
      </x:c>
      <x:c r="E77" s="141" t="n">
        <x:f>IF(A77="","",IFERROR(SUMIFS('ثبت اطلاعات'!$CC$5:$CC$1204,'ثبت اطلاعات'!$C$5:$C$1204,A77,'ثبت اطلاعات'!$CO$5:$CO$1204,1)/COUNTIFS('ثبت اطلاعات'!$C$5:$C$1204,A77,'ثبت اطلاعات'!$CO$5:$CO$1204,1),""))</x:f>
        <x:v>15.6</x:v>
      </x:c>
      <x:c r="F77" s="178" t="n">
        <x:f>IF(A77="","",IFERROR(SUMIFS('ثبت اطلاعات'!$CD$5:$CD$1204,'ثبت اطلاعات'!$C$5:$C$1204,A77,'ثبت اطلاعات'!$CO$5:$CO$1204,1)/COUNTIFS('ثبت اطلاعات'!$C$5:$C$1204,A77,'ثبت اطلاعات'!$CO$5:$CO$1204,1),""))</x:f>
        <x:v>14.8</x:v>
      </x:c>
      <x:c r="G77" s="178" t="n">
        <x:f>IF(A77="","",IFERROR(SUMIFS('ثبت اطلاعات'!$CE$5:$CE$1204,'ثبت اطلاعات'!$C$5:$C$1204,A77,'ثبت اطلاعات'!$CO$5:$CO$1204,1)/COUNTIFS('ثبت اطلاعات'!$C$5:$C$1204,A77,'ثبت اطلاعات'!$CO$5:$CO$1204,1),""))</x:f>
        <x:v>15.6</x:v>
      </x:c>
      <x:c r="H77" s="178" t="n">
        <x:f>IF(A77="","",IFERROR(SUMIFS('ثبت اطلاعات'!$CF$5:$CF$1204,'ثبت اطلاعات'!$C$5:$C$1204,A77,'ثبت اطلاعات'!$CO$5:$CO$1204,1)/COUNTIFS('ثبت اطلاعات'!$C$5:$C$1204,A77,'ثبت اطلاعات'!$CO$5:$CO$1204,1),""))</x:f>
        <x:v>14</x:v>
      </x:c>
      <x:c r="I77" s="178" t="n">
        <x:f>IF(A77="","",IFERROR(SUMIFS('ثبت اطلاعات'!$CG$5:$CG$1204,'ثبت اطلاعات'!$C$5:$C$1204,A77,'ثبت اطلاعات'!$CO$5:$CO$1204,1)/COUNTIFS('ثبت اطلاعات'!$C$5:$C$1204,A77,'ثبت اطلاعات'!$CO$5:$CO$1204,1),""))</x:f>
        <x:v>16.571428571428573</x:v>
      </x:c>
      <x:c r="J77" s="178" t="n">
        <x:f>IF(A77="","",IFERROR(SUMIFS('ثبت اطلاعات'!$CH$5:$CH$1204,'ثبت اطلاعات'!$C$5:$C$1204,A77,'ثبت اطلاعات'!$CO$5:$CO$1204,1)/COUNTIFS('ثبت اطلاعات'!$C$5:$C$1204,A77,'ثبت اطلاعات'!$CO$5:$CO$1204,1),""))</x:f>
        <x:v>15</x:v>
      </x:c>
      <x:c r="K77" s="178" t="n">
        <x:f>IF(A77="","",IFERROR(SUMIFS('ثبت اطلاعات'!$CI$5:$CI$1204,'ثبت اطلاعات'!$C$5:$C$1204,A77,'ثبت اطلاعات'!$CO$5:$CO$1204,1)/COUNTIFS('ثبت اطلاعات'!$C$5:$C$1204,A77,'ثبت اطلاعات'!$CO$5:$CO$1204,1),""))</x:f>
        <x:v>14.285714285714286</x:v>
      </x:c>
      <x:c r="L77" s="178" t="n">
        <x:f>IF(A77="","",IFERROR(SUMIFS('ثبت اطلاعات'!$CJ$5:$CJ$1204,'ثبت اطلاعات'!$C$5:$C$1204,A77,'ثبت اطلاعات'!$CO$5:$CO$1204,1)/COUNTIFS('ثبت اطلاعات'!$C$5:$C$1204,A77,'ثبت اطلاعات'!$CO$5:$CO$1204,1),""))</x:f>
        <x:v>16.571428571428573</x:v>
      </x:c>
      <x:c r="M77" s="178" t="n">
        <x:f>IF(A77="","",IFERROR(SUMIFS('ثبت اطلاعات'!$CK$5:$CK$1204,'ثبت اطلاعات'!$C$5:$C$1204,A77,'ثبت اطلاعات'!$CO$5:$CO$1204,1)/COUNTIFS('ثبت اطلاعات'!$C$5:$C$1204,A77,'ثبت اطلاعات'!$CO$5:$CO$1204,1),""))</x:f>
        <x:v>15.428571428571429</x:v>
      </x:c>
      <x:c r="N77" s="178" t="n">
        <x:f>IF(A77="","",IFERROR(SUMIFS('ثبت اطلاعات'!$CL$5:$CL$1204,'ثبت اطلاعات'!$C$5:$C$1204,A77,'ثبت اطلاعات'!$CO$5:$CO$1204,1)/COUNTIFS('ثبت اطلاعات'!$C$5:$C$1204,A77,'ثبت اطلاعات'!$CO$5:$CO$1204,1),""))</x:f>
        <x:v>15.214285714285715</x:v>
      </x:c>
      <x:c r="O77" s="178" t="n">
        <x:f>IF(A77="","",COUNTIFS('ثبت اطلاعات'!$C$5:$C$1204,A77,'ثبت اطلاعات'!$CO$5:$CO$1204,1))</x:f>
        <x:v>1</x:v>
      </x:c>
      <x:c r="P77" s="178" t="n">
        <x:f>IF(O77=0,"",MINIFS('ثبت اطلاعات'!$CN$5:$CN$1204,'ثبت اطلاعات'!$C$5:$C$1204,A77,'ثبت اطلاعات'!$CO$5:$CO$1204,1))</x:f>
        <x:v>1</x:v>
      </x:c>
      <x:c r="Q77" s="178" t="n">
        <x:f>IF(O77=0,"",MAXIFS('ثبت اطلاعات'!$CN$5:$CN$1204,'ثبت اطلاعات'!$C$5:$C$1204,A77,'ثبت اطلاعات'!$CO$5:$CO$1204,1))</x:f>
        <x:v>1</x:v>
      </x:c>
      <x:c r="R77" s="178" t="str">
        <x:f>IF(O77&lt;2,"",SUMIFS('ثبت اطلاعات'!$CL$5:$CL$1204,'ثبت اطلاعات'!$C$5:$C$1204,A77,'ثبت اطلاعات'!$CN$5:$CN$1204,Q77)-SUMIFS('ثبت اطلاعات'!$CL$5:$CL$1204,'ثبت اطلاعات'!$C$5:$C$1204,A77,'ثبت اطلاعات'!$CN$5:$CN$1204,P77))</x:f>
      </x:c>
      <x:c r="S77" s="178" t="str">
        <x:f>IF(A77="","",IF(O77=0,"فاقد ارزیابی نهایی",IF(O77=1,"داده ناکافی",IF(R77&gt;0.5,"پیشرفت",IF(R77&lt;-0.5,"افت","ثبات")))))</x:f>
        <x:v>داده ناکافی</x:v>
      </x:c>
      <x:c r="T77" s="178" t="str">
        <x:f>IF(N77="","",INDEX($E$4:$M$4,1,MATCH(MAX(E77:M77),E77:M77,0)))</x:f>
        <x:v>فرهنگی</x:v>
      </x:c>
      <x:c r="U77" s="178" t="str">
        <x:f>IF(N77="","",INDEX($E$4:$M$4,1,MATCH(MIN(E77:M77),E77:M77,0)))</x:f>
        <x:v>انضباطی</x:v>
      </x:c>
      <x:c r="V77" s="178" t="str">
        <x:f>IF(N77="","",IF(N77&gt;=17,"عالی",IF(N77&gt;=14,"خوب",IF(N77&gt;=10,"متوسط","ضعیف"))))</x:f>
        <x:v>خوب</x:v>
      </x:c>
      <x:c r="W77" s="178" t="n">
        <x:f>IF(N77="","",RANK.EQ(N77,$N$5:$N$104,0))</x:f>
        <x:v>74</x:v>
      </x:c>
      <x:c r="X77" s="178" t="n">
        <x:f>IF(N77="","",COUNT($N$5:$N$104))</x:f>
        <x:v>100</x:v>
      </x:c>
      <x:c r="Y77" s="142" t="str">
        <x:f>IF(U77="","",IFERROR(INDEX('بانک راهکارها'!$C$5:$C$13,MATCH(U77,'بانک راهکارها'!$B$5:$B$13,0)),""))</x:f>
        <x:v>قواعد روشن، قرارداد رفتاری کوتاه‌مدت و ثبت منظم پیشرفت پیشنهاد می‌شود.</x:v>
      </x:c>
    </x:row>
    <x:row r="78">
      <x:c r="A78" s="165" t="n">
        <x:f>IF('دانش‌آموزان'!L78="","",'دانش‌آموزان'!B78)</x:f>
        <x:v>74</x:v>
      </x:c>
      <x:c r="B78" s="233" t="str">
        <x:f>IF(A78="","",'دانش‌آموزان'!C78)</x:f>
        <x:v>4000000748</x:v>
      </x:c>
      <x:c r="C78" s="233" t="str">
        <x:f>IF(A78="","",'دانش‌آموزان'!E78&amp;" "&amp;'دانش‌آموزان'!F78)</x:f>
        <x:v>باران نوری</x:v>
      </x:c>
      <x:c r="D78" s="166" t="str">
        <x:f>IF(A78="","",'دانش‌آموزان'!I78)</x:f>
        <x:v>sample-7-c</x:v>
      </x:c>
      <x:c r="E78" s="141" t="n">
        <x:f>IF(A78="","",IFERROR(SUMIFS('ثبت اطلاعات'!$CC$5:$CC$1204,'ثبت اطلاعات'!$C$5:$C$1204,A78,'ثبت اطلاعات'!$CO$5:$CO$1204,1)/COUNTIFS('ثبت اطلاعات'!$C$5:$C$1204,A78,'ثبت اطلاعات'!$CO$5:$CO$1204,1),""))</x:f>
        <x:v>15.2</x:v>
      </x:c>
      <x:c r="F78" s="178" t="n">
        <x:f>IF(A78="","",IFERROR(SUMIFS('ثبت اطلاعات'!$CD$5:$CD$1204,'ثبت اطلاعات'!$C$5:$C$1204,A78,'ثبت اطلاعات'!$CO$5:$CO$1204,1)/COUNTIFS('ثبت اطلاعات'!$C$5:$C$1204,A78,'ثبت اطلاعات'!$CO$5:$CO$1204,1),""))</x:f>
        <x:v>16</x:v>
      </x:c>
      <x:c r="G78" s="178" t="n">
        <x:f>IF(A78="","",IFERROR(SUMIFS('ثبت اطلاعات'!$CE$5:$CE$1204,'ثبت اطلاعات'!$C$5:$C$1204,A78,'ثبت اطلاعات'!$CO$5:$CO$1204,1)/COUNTIFS('ثبت اطلاعات'!$C$5:$C$1204,A78,'ثبت اطلاعات'!$CO$5:$CO$1204,1),""))</x:f>
        <x:v>15.2</x:v>
      </x:c>
      <x:c r="H78" s="178" t="n">
        <x:f>IF(A78="","",IFERROR(SUMIFS('ثبت اطلاعات'!$CF$5:$CF$1204,'ثبت اطلاعات'!$C$5:$C$1204,A78,'ثبت اطلاعات'!$CO$5:$CO$1204,1)/COUNTIFS('ثبت اطلاعات'!$C$5:$C$1204,A78,'ثبت اطلاعات'!$CO$5:$CO$1204,1),""))</x:f>
        <x:v>16</x:v>
      </x:c>
      <x:c r="I78" s="178" t="n">
        <x:f>IF(A78="","",IFERROR(SUMIFS('ثبت اطلاعات'!$CG$5:$CG$1204,'ثبت اطلاعات'!$C$5:$C$1204,A78,'ثبت اطلاعات'!$CO$5:$CO$1204,1)/COUNTIFS('ثبت اطلاعات'!$C$5:$C$1204,A78,'ثبت اطلاعات'!$CO$5:$CO$1204,1),""))</x:f>
        <x:v>14.285714285714286</x:v>
      </x:c>
      <x:c r="J78" s="178" t="n">
        <x:f>IF(A78="","",IFERROR(SUMIFS('ثبت اطلاعات'!$CH$5:$CH$1204,'ثبت اطلاعات'!$C$5:$C$1204,A78,'ثبت اطلاعات'!$CO$5:$CO$1204,1)/COUNTIFS('ثبت اطلاعات'!$C$5:$C$1204,A78,'ثبت اطلاعات'!$CO$5:$CO$1204,1),""))</x:f>
        <x:v>15.5</x:v>
      </x:c>
      <x:c r="K78" s="178" t="n">
        <x:f>IF(A78="","",IFERROR(SUMIFS('ثبت اطلاعات'!$CI$5:$CI$1204,'ثبت اطلاعات'!$C$5:$C$1204,A78,'ثبت اطلاعات'!$CO$5:$CO$1204,1)/COUNTIFS('ثبت اطلاعات'!$C$5:$C$1204,A78,'ثبت اطلاعات'!$CO$5:$CO$1204,1),""))</x:f>
        <x:v>16</x:v>
      </x:c>
      <x:c r="L78" s="178" t="n">
        <x:f>IF(A78="","",IFERROR(SUMIFS('ثبت اطلاعات'!$CJ$5:$CJ$1204,'ثبت اطلاعات'!$C$5:$C$1204,A78,'ثبت اطلاعات'!$CO$5:$CO$1204,1)/COUNTIFS('ثبت اطلاعات'!$C$5:$C$1204,A78,'ثبت اطلاعات'!$CO$5:$CO$1204,1),""))</x:f>
        <x:v>14.285714285714286</x:v>
      </x:c>
      <x:c r="M78" s="178" t="n">
        <x:f>IF(A78="","",IFERROR(SUMIFS('ثبت اطلاعات'!$CK$5:$CK$1204,'ثبت اطلاعات'!$C$5:$C$1204,A78,'ثبت اطلاعات'!$CO$5:$CO$1204,1)/COUNTIFS('ثبت اطلاعات'!$C$5:$C$1204,A78,'ثبت اطلاعات'!$CO$5:$CO$1204,1),""))</x:f>
        <x:v>15.428571428571429</x:v>
      </x:c>
      <x:c r="N78" s="178" t="n">
        <x:f>IF(A78="","",IFERROR(SUMIFS('ثبت اطلاعات'!$CL$5:$CL$1204,'ثبت اطلاعات'!$C$5:$C$1204,A78,'ثبت اطلاعات'!$CO$5:$CO$1204,1)/COUNTIFS('ثبت اطلاعات'!$C$5:$C$1204,A78,'ثبت اطلاعات'!$CO$5:$CO$1204,1),""))</x:f>
        <x:v>15.417142857142858</x:v>
      </x:c>
      <x:c r="O78" s="178" t="n">
        <x:f>IF(A78="","",COUNTIFS('ثبت اطلاعات'!$C$5:$C$1204,A78,'ثبت اطلاعات'!$CO$5:$CO$1204,1))</x:f>
        <x:v>1</x:v>
      </x:c>
      <x:c r="P78" s="178" t="n">
        <x:f>IF(O78=0,"",MINIFS('ثبت اطلاعات'!$CN$5:$CN$1204,'ثبت اطلاعات'!$C$5:$C$1204,A78,'ثبت اطلاعات'!$CO$5:$CO$1204,1))</x:f>
        <x:v>1</x:v>
      </x:c>
      <x:c r="Q78" s="178" t="n">
        <x:f>IF(O78=0,"",MAXIFS('ثبت اطلاعات'!$CN$5:$CN$1204,'ثبت اطلاعات'!$C$5:$C$1204,A78,'ثبت اطلاعات'!$CO$5:$CO$1204,1))</x:f>
        <x:v>1</x:v>
      </x:c>
      <x:c r="R78" s="178" t="str">
        <x:f>IF(O78&lt;2,"",SUMIFS('ثبت اطلاعات'!$CL$5:$CL$1204,'ثبت اطلاعات'!$C$5:$C$1204,A78,'ثبت اطلاعات'!$CN$5:$CN$1204,Q78)-SUMIFS('ثبت اطلاعات'!$CL$5:$CL$1204,'ثبت اطلاعات'!$C$5:$C$1204,A78,'ثبت اطلاعات'!$CN$5:$CN$1204,P78))</x:f>
      </x:c>
      <x:c r="S78" s="178" t="str">
        <x:f>IF(A78="","",IF(O78=0,"فاقد ارزیابی نهایی",IF(O78=1,"داده ناکافی",IF(R78&gt;0.5,"پیشرفت",IF(R78&lt;-0.5,"افت","ثبات")))))</x:f>
        <x:v>داده ناکافی</x:v>
      </x:c>
      <x:c r="T78" s="178" t="str">
        <x:f>IF(N78="","",INDEX($E$4:$M$4,1,MATCH(MAX(E78:M78),E78:M78,0)))</x:f>
        <x:v>پرورشی</x:v>
      </x:c>
      <x:c r="U78" s="178" t="str">
        <x:f>IF(N78="","",INDEX($E$4:$M$4,1,MATCH(MIN(E78:M78),E78:M78,0)))</x:f>
        <x:v>فرهنگی</x:v>
      </x:c>
      <x:c r="V78" s="178" t="str">
        <x:f>IF(N78="","",IF(N78&gt;=17,"عالی",IF(N78&gt;=14,"خوب",IF(N78&gt;=10,"متوسط","ضعیف"))))</x:f>
        <x:v>خوب</x:v>
      </x:c>
      <x:c r="W78" s="178" t="n">
        <x:f>IF(N78="","",RANK.EQ(N78,$N$5:$N$104,0))</x:f>
        <x:v>10</x:v>
      </x:c>
      <x:c r="X78" s="178" t="n">
        <x:f>IF(N78="","",COUNT($N$5:$N$104))</x:f>
        <x:v>100</x:v>
      </x:c>
      <x:c r="Y78" s="142" t="str">
        <x:f>IF(U78="","",IFERROR(INDEX('بانک راهکارها'!$C$5:$C$13,MATCH(U78,'بانک راهکارها'!$B$5:$B$13,0)),""))</x:f>
        <x:v>مشارکت در برنامه‌های فرهنگی، مطالعه هدایت‌شده و فعالیت گروهی پیشنهاد می‌شود.</x:v>
      </x:c>
    </x:row>
    <x:row r="79">
      <x:c r="A79" s="165" t="n">
        <x:f>IF('دانش‌آموزان'!L79="","",'دانش‌آموزان'!B79)</x:f>
        <x:v>75</x:v>
      </x:c>
      <x:c r="B79" s="233" t="str">
        <x:f>IF(A79="","",'دانش‌آموزان'!C79)</x:f>
        <x:v>4000000756</x:v>
      </x:c>
      <x:c r="C79" s="233" t="str">
        <x:f>IF(A79="","",'دانش‌آموزان'!E79&amp;" "&amp;'دانش‌آموزان'!F79)</x:f>
        <x:v>ماهان سلیمانی</x:v>
      </x:c>
      <x:c r="D79" s="166" t="str">
        <x:f>IF(A79="","",'دانش‌آموزان'!I79)</x:f>
        <x:v>sample-7-c</x:v>
      </x:c>
      <x:c r="E79" s="141" t="n">
        <x:f>IF(A79="","",IFERROR(SUMIFS('ثبت اطلاعات'!$CC$5:$CC$1204,'ثبت اطلاعات'!$C$5:$C$1204,A79,'ثبت اطلاعات'!$CO$5:$CO$1204,1)/COUNTIFS('ثبت اطلاعات'!$C$5:$C$1204,A79,'ثبت اطلاعات'!$CO$5:$CO$1204,1),""))</x:f>
        <x:v>14.8</x:v>
      </x:c>
      <x:c r="F79" s="178" t="n">
        <x:f>IF(A79="","",IFERROR(SUMIFS('ثبت اطلاعات'!$CD$5:$CD$1204,'ثبت اطلاعات'!$C$5:$C$1204,A79,'ثبت اطلاعات'!$CO$5:$CO$1204,1)/COUNTIFS('ثبت اطلاعات'!$C$5:$C$1204,A79,'ثبت اطلاعات'!$CO$5:$CO$1204,1),""))</x:f>
        <x:v>15.6</x:v>
      </x:c>
      <x:c r="G79" s="178" t="n">
        <x:f>IF(A79="","",IFERROR(SUMIFS('ثبت اطلاعات'!$CE$5:$CE$1204,'ثبت اطلاعات'!$C$5:$C$1204,A79,'ثبت اطلاعات'!$CO$5:$CO$1204,1)/COUNTIFS('ثبت اطلاعات'!$C$5:$C$1204,A79,'ثبت اطلاعات'!$CO$5:$CO$1204,1),""))</x:f>
        <x:v>14.8</x:v>
      </x:c>
      <x:c r="H79" s="178" t="n">
        <x:f>IF(A79="","",IFERROR(SUMIFS('ثبت اطلاعات'!$CF$5:$CF$1204,'ثبت اطلاعات'!$C$5:$C$1204,A79,'ثبت اطلاعات'!$CO$5:$CO$1204,1)/COUNTIFS('ثبت اطلاعات'!$C$5:$C$1204,A79,'ثبت اطلاعات'!$CO$5:$CO$1204,1),""))</x:f>
        <x:v>14.5</x:v>
      </x:c>
      <x:c r="I79" s="178" t="n">
        <x:f>IF(A79="","",IFERROR(SUMIFS('ثبت اطلاعات'!$CG$5:$CG$1204,'ثبت اطلاعات'!$C$5:$C$1204,A79,'ثبت اطلاعات'!$CO$5:$CO$1204,1)/COUNTIFS('ثبت اطلاعات'!$C$5:$C$1204,A79,'ثبت اطلاعات'!$CO$5:$CO$1204,1),""))</x:f>
        <x:v>16.571428571428573</x:v>
      </x:c>
      <x:c r="J79" s="178" t="n">
        <x:f>IF(A79="","",IFERROR(SUMIFS('ثبت اطلاعات'!$CH$5:$CH$1204,'ثبت اطلاعات'!$C$5:$C$1204,A79,'ثبت اطلاعات'!$CO$5:$CO$1204,1)/COUNTIFS('ثبت اطلاعات'!$C$5:$C$1204,A79,'ثبت اطلاعات'!$CO$5:$CO$1204,1),""))</x:f>
        <x:v>15.5</x:v>
      </x:c>
      <x:c r="K79" s="178" t="n">
        <x:f>IF(A79="","",IFERROR(SUMIFS('ثبت اطلاعات'!$CI$5:$CI$1204,'ثبت اطلاعات'!$C$5:$C$1204,A79,'ثبت اطلاعات'!$CO$5:$CO$1204,1)/COUNTIFS('ثبت اطلاعات'!$C$5:$C$1204,A79,'ثبت اطلاعات'!$CO$5:$CO$1204,1),""))</x:f>
        <x:v>13.714285714285714</x:v>
      </x:c>
      <x:c r="L79" s="178" t="n">
        <x:f>IF(A79="","",IFERROR(SUMIFS('ثبت اطلاعات'!$CJ$5:$CJ$1204,'ثبت اطلاعات'!$C$5:$C$1204,A79,'ثبت اطلاعات'!$CO$5:$CO$1204,1)/COUNTIFS('ثبت اطلاعات'!$C$5:$C$1204,A79,'ثبت اطلاعات'!$CO$5:$CO$1204,1),""))</x:f>
        <x:v>16.571428571428573</x:v>
      </x:c>
      <x:c r="M79" s="178" t="n">
        <x:f>IF(A79="","",IFERROR(SUMIFS('ثبت اطلاعات'!$CK$5:$CK$1204,'ثبت اطلاعات'!$C$5:$C$1204,A79,'ثبت اطلاعات'!$CO$5:$CO$1204,1)/COUNTIFS('ثبت اطلاعات'!$C$5:$C$1204,A79,'ثبت اطلاعات'!$CO$5:$CO$1204,1),""))</x:f>
        <x:v>14.857142857142858</x:v>
      </x:c>
      <x:c r="N79" s="178" t="n">
        <x:f>IF(A79="","",IFERROR(SUMIFS('ثبت اطلاعات'!$CL$5:$CL$1204,'ثبت اطلاعات'!$C$5:$C$1204,A79,'ثبت اطلاعات'!$CO$5:$CO$1204,1)/COUNTIFS('ثبت اطلاعات'!$C$5:$C$1204,A79,'ثبت اطلاعات'!$CO$5:$CO$1204,1),""))</x:f>
        <x:v>15.089285714285715</x:v>
      </x:c>
      <x:c r="O79" s="178" t="n">
        <x:f>IF(A79="","",COUNTIFS('ثبت اطلاعات'!$C$5:$C$1204,A79,'ثبت اطلاعات'!$CO$5:$CO$1204,1))</x:f>
        <x:v>1</x:v>
      </x:c>
      <x:c r="P79" s="178" t="n">
        <x:f>IF(O79=0,"",MINIFS('ثبت اطلاعات'!$CN$5:$CN$1204,'ثبت اطلاعات'!$C$5:$C$1204,A79,'ثبت اطلاعات'!$CO$5:$CO$1204,1))</x:f>
        <x:v>1</x:v>
      </x:c>
      <x:c r="Q79" s="178" t="n">
        <x:f>IF(O79=0,"",MAXIFS('ثبت اطلاعات'!$CN$5:$CN$1204,'ثبت اطلاعات'!$C$5:$C$1204,A79,'ثبت اطلاعات'!$CO$5:$CO$1204,1))</x:f>
        <x:v>1</x:v>
      </x:c>
      <x:c r="R79" s="178" t="str">
        <x:f>IF(O79&lt;2,"",SUMIFS('ثبت اطلاعات'!$CL$5:$CL$1204,'ثبت اطلاعات'!$C$5:$C$1204,A79,'ثبت اطلاعات'!$CN$5:$CN$1204,Q79)-SUMIFS('ثبت اطلاعات'!$CL$5:$CL$1204,'ثبت اطلاعات'!$C$5:$C$1204,A79,'ثبت اطلاعات'!$CN$5:$CN$1204,P79))</x:f>
      </x:c>
      <x:c r="S79" s="178" t="str">
        <x:f>IF(A79="","",IF(O79=0,"فاقد ارزیابی نهایی",IF(O79=1,"داده ناکافی",IF(R79&gt;0.5,"پیشرفت",IF(R79&lt;-0.5,"افت","ثبات")))))</x:f>
        <x:v>داده ناکافی</x:v>
      </x:c>
      <x:c r="T79" s="178" t="str">
        <x:f>IF(N79="","",INDEX($E$4:$M$4,1,MATCH(MAX(E79:M79),E79:M79,0)))</x:f>
        <x:v>فرهنگی</x:v>
      </x:c>
      <x:c r="U79" s="178" t="str">
        <x:f>IF(N79="","",INDEX($E$4:$M$4,1,MATCH(MIN(E79:M79),E79:M79,0)))</x:f>
        <x:v>ورزشی</x:v>
      </x:c>
      <x:c r="V79" s="178" t="str">
        <x:f>IF(N79="","",IF(N79&gt;=17,"عالی",IF(N79&gt;=14,"خوب",IF(N79&gt;=10,"متوسط","ضعیف"))))</x:f>
        <x:v>خوب</x:v>
      </x:c>
      <x:c r="W79" s="178" t="n">
        <x:f>IF(N79="","",RANK.EQ(N79,$N$5:$N$104,0))</x:f>
        <x:v>92</x:v>
      </x:c>
      <x:c r="X79" s="178" t="n">
        <x:f>IF(N79="","",COUNT($N$5:$N$104))</x:f>
        <x:v>100</x:v>
      </x:c>
      <x:c r="Y79" s="142" t="str">
        <x:f>IF(U79="","",IFERROR(INDEX('بانک راهکارها'!$C$5:$C$13,MATCH(U79,'بانک راهکارها'!$B$5:$B$13,0)),""))</x:f>
        <x:v>برنامه فعالیت بدنی منظم و مشارکت در ورزش گروهی پیشنهاد می‌شود.</x:v>
      </x:c>
    </x:row>
    <x:row r="80">
      <x:c r="A80" s="165" t="n">
        <x:f>IF('دانش‌آموزان'!L80="","",'دانش‌آموزان'!B80)</x:f>
        <x:v>76</x:v>
      </x:c>
      <x:c r="B80" s="233" t="str">
        <x:f>IF(A80="","",'دانش‌آموزان'!C80)</x:f>
        <x:v>4000000764</x:v>
      </x:c>
      <x:c r="C80" s="233" t="str">
        <x:f>IF(A80="","",'دانش‌آموزان'!E80&amp;" "&amp;'دانش‌آموزان'!F80)</x:f>
        <x:v>نازنین مرادی</x:v>
      </x:c>
      <x:c r="D80" s="166" t="str">
        <x:f>IF(A80="","",'دانش‌آموزان'!I80)</x:f>
        <x:v>sample-7-d</x:v>
      </x:c>
      <x:c r="E80" s="141" t="n">
        <x:f>IF(A80="","",IFERROR(SUMIFS('ثبت اطلاعات'!$CC$5:$CC$1204,'ثبت اطلاعات'!$C$5:$C$1204,A80,'ثبت اطلاعات'!$CO$5:$CO$1204,1)/COUNTIFS('ثبت اطلاعات'!$C$5:$C$1204,A80,'ثبت اطلاعات'!$CO$5:$CO$1204,1),""))</x:f>
        <x:v>16</x:v>
      </x:c>
      <x:c r="F80" s="178" t="n">
        <x:f>IF(A80="","",IFERROR(SUMIFS('ثبت اطلاعات'!$CD$5:$CD$1204,'ثبت اطلاعات'!$C$5:$C$1204,A80,'ثبت اطلاعات'!$CO$5:$CO$1204,1)/COUNTIFS('ثبت اطلاعات'!$C$5:$C$1204,A80,'ثبت اطلاعات'!$CO$5:$CO$1204,1),""))</x:f>
        <x:v>15.2</x:v>
      </x:c>
      <x:c r="G80" s="178" t="n">
        <x:f>IF(A80="","",IFERROR(SUMIFS('ثبت اطلاعات'!$CE$5:$CE$1204,'ثبت اطلاعات'!$C$5:$C$1204,A80,'ثبت اطلاعات'!$CO$5:$CO$1204,1)/COUNTIFS('ثبت اطلاعات'!$C$5:$C$1204,A80,'ثبت اطلاعات'!$CO$5:$CO$1204,1),""))</x:f>
        <x:v>15.6</x:v>
      </x:c>
      <x:c r="H80" s="178" t="n">
        <x:f>IF(A80="","",IFERROR(SUMIFS('ثبت اطلاعات'!$CF$5:$CF$1204,'ثبت اطلاعات'!$C$5:$C$1204,A80,'ثبت اطلاعات'!$CO$5:$CO$1204,1)/COUNTIFS('ثبت اطلاعات'!$C$5:$C$1204,A80,'ثبت اطلاعات'!$CO$5:$CO$1204,1),""))</x:f>
        <x:v>15</x:v>
      </x:c>
      <x:c r="I80" s="178" t="n">
        <x:f>IF(A80="","",IFERROR(SUMIFS('ثبت اطلاعات'!$CG$5:$CG$1204,'ثبت اطلاعات'!$C$5:$C$1204,A80,'ثبت اطلاعات'!$CO$5:$CO$1204,1)/COUNTIFS('ثبت اطلاعات'!$C$5:$C$1204,A80,'ثبت اطلاعات'!$CO$5:$CO$1204,1),""))</x:f>
        <x:v>14.285714285714286</x:v>
      </x:c>
      <x:c r="J80" s="178" t="n">
        <x:f>IF(A80="","",IFERROR(SUMIFS('ثبت اطلاعات'!$CH$5:$CH$1204,'ثبت اطلاعات'!$C$5:$C$1204,A80,'ثبت اطلاعات'!$CO$5:$CO$1204,1)/COUNTIFS('ثبت اطلاعات'!$C$5:$C$1204,A80,'ثبت اطلاعات'!$CO$5:$CO$1204,1),""))</x:f>
        <x:v>16</x:v>
      </x:c>
      <x:c r="K80" s="178" t="n">
        <x:f>IF(A80="","",IFERROR(SUMIFS('ثبت اطلاعات'!$CI$5:$CI$1204,'ثبت اطلاعات'!$C$5:$C$1204,A80,'ثبت اطلاعات'!$CO$5:$CO$1204,1)/COUNTIFS('ثبت اطلاعات'!$C$5:$C$1204,A80,'ثبت اطلاعات'!$CO$5:$CO$1204,1),""))</x:f>
        <x:v>15.428571428571429</x:v>
      </x:c>
      <x:c r="L80" s="178" t="n">
        <x:f>IF(A80="","",IFERROR(SUMIFS('ثبت اطلاعات'!$CJ$5:$CJ$1204,'ثبت اطلاعات'!$C$5:$C$1204,A80,'ثبت اطلاعات'!$CO$5:$CO$1204,1)/COUNTIFS('ثبت اطلاعات'!$C$5:$C$1204,A80,'ثبت اطلاعات'!$CO$5:$CO$1204,1),""))</x:f>
        <x:v>14.285714285714286</x:v>
      </x:c>
      <x:c r="M80" s="178" t="n">
        <x:f>IF(A80="","",IFERROR(SUMIFS('ثبت اطلاعات'!$CK$5:$CK$1204,'ثبت اطلاعات'!$C$5:$C$1204,A80,'ثبت اطلاعات'!$CO$5:$CO$1204,1)/COUNTIFS('ثبت اطلاعات'!$C$5:$C$1204,A80,'ثبت اطلاعات'!$CO$5:$CO$1204,1),""))</x:f>
        <x:v>16.571428571428573</x:v>
      </x:c>
      <x:c r="N80" s="178" t="n">
        <x:f>IF(A80="","",IFERROR(SUMIFS('ثبت اطلاعات'!$CL$5:$CL$1204,'ثبت اطلاعات'!$C$5:$C$1204,A80,'ثبت اطلاعات'!$CO$5:$CO$1204,1)/COUNTIFS('ثبت اطلاعات'!$C$5:$C$1204,A80,'ثبت اطلاعات'!$CO$5:$CO$1204,1),""))</x:f>
        <x:v>15.447142857142858</x:v>
      </x:c>
      <x:c r="O80" s="178" t="n">
        <x:f>IF(A80="","",COUNTIFS('ثبت اطلاعات'!$C$5:$C$1204,A80,'ثبت اطلاعات'!$CO$5:$CO$1204,1))</x:f>
        <x:v>1</x:v>
      </x:c>
      <x:c r="P80" s="178" t="n">
        <x:f>IF(O80=0,"",MINIFS('ثبت اطلاعات'!$CN$5:$CN$1204,'ثبت اطلاعات'!$C$5:$C$1204,A80,'ثبت اطلاعات'!$CO$5:$CO$1204,1))</x:f>
        <x:v>1</x:v>
      </x:c>
      <x:c r="Q80" s="178" t="n">
        <x:f>IF(O80=0,"",MAXIFS('ثبت اطلاعات'!$CN$5:$CN$1204,'ثبت اطلاعات'!$C$5:$C$1204,A80,'ثبت اطلاعات'!$CO$5:$CO$1204,1))</x:f>
        <x:v>1</x:v>
      </x:c>
      <x:c r="R80" s="178" t="str">
        <x:f>IF(O80&lt;2,"",SUMIFS('ثبت اطلاعات'!$CL$5:$CL$1204,'ثبت اطلاعات'!$C$5:$C$1204,A80,'ثبت اطلاعات'!$CN$5:$CN$1204,Q80)-SUMIFS('ثبت اطلاعات'!$CL$5:$CL$1204,'ثبت اطلاعات'!$C$5:$C$1204,A80,'ثبت اطلاعات'!$CN$5:$CN$1204,P80))</x:f>
      </x:c>
      <x:c r="S80" s="178" t="str">
        <x:f>IF(A80="","",IF(O80=0,"فاقد ارزیابی نهایی",IF(O80=1,"داده ناکافی",IF(R80&gt;0.5,"پیشرفت",IF(R80&lt;-0.5,"افت","ثبات")))))</x:f>
        <x:v>داده ناکافی</x:v>
      </x:c>
      <x:c r="T80" s="178" t="str">
        <x:f>IF(N80="","",INDEX($E$4:$M$4,1,MATCH(MAX(E80:M80),E80:M80,0)))</x:f>
        <x:v>مهارت‌های فردی</x:v>
      </x:c>
      <x:c r="U80" s="178" t="str">
        <x:f>IF(N80="","",INDEX($E$4:$M$4,1,MATCH(MIN(E80:M80),E80:M80,0)))</x:f>
        <x:v>فرهنگی</x:v>
      </x:c>
      <x:c r="V80" s="178" t="str">
        <x:f>IF(N80="","",IF(N80&gt;=17,"عالی",IF(N80&gt;=14,"خوب",IF(N80&gt;=10,"متوسط","ضعیف"))))</x:f>
        <x:v>خوب</x:v>
      </x:c>
      <x:c r="W80" s="178" t="n">
        <x:f>IF(N80="","",RANK.EQ(N80,$N$5:$N$104,0))</x:f>
        <x:v>1</x:v>
      </x:c>
      <x:c r="X80" s="178" t="n">
        <x:f>IF(N80="","",COUNT($N$5:$N$104))</x:f>
        <x:v>100</x:v>
      </x:c>
      <x:c r="Y80" s="142" t="str">
        <x:f>IF(U80="","",IFERROR(INDEX('بانک راهکارها'!$C$5:$C$13,MATCH(U80,'بانک راهکارها'!$B$5:$B$13,0)),""))</x:f>
        <x:v>مشارکت در برنامه‌های فرهنگی، مطالعه هدایت‌شده و فعالیت گروهی پیشنهاد می‌شود.</x:v>
      </x:c>
    </x:row>
    <x:row r="81">
      <x:c r="A81" s="165" t="n">
        <x:f>IF('دانش‌آموزان'!L81="","",'دانش‌آموزان'!B81)</x:f>
        <x:v>77</x:v>
      </x:c>
      <x:c r="B81" s="233" t="str">
        <x:f>IF(A81="","",'دانش‌آموزان'!C81)</x:f>
        <x:v>4000000772</x:v>
      </x:c>
      <x:c r="C81" s="233" t="str">
        <x:f>IF(A81="","",'دانش‌آموزان'!E81&amp;" "&amp;'دانش‌آموزان'!F81)</x:f>
        <x:v>سینا رحیمی</x:v>
      </x:c>
      <x:c r="D81" s="166" t="str">
        <x:f>IF(A81="","",'دانش‌آموزان'!I81)</x:f>
        <x:v>sample-7-d</x:v>
      </x:c>
      <x:c r="E81" s="141" t="n">
        <x:f>IF(A81="","",IFERROR(SUMIFS('ثبت اطلاعات'!$CC$5:$CC$1204,'ثبت اطلاعات'!$C$5:$C$1204,A81,'ثبت اطلاعات'!$CO$5:$CO$1204,1)/COUNTIFS('ثبت اطلاعات'!$C$5:$C$1204,A81,'ثبت اطلاعات'!$CO$5:$CO$1204,1),""))</x:f>
        <x:v>15.6</x:v>
      </x:c>
      <x:c r="F81" s="178" t="n">
        <x:f>IF(A81="","",IFERROR(SUMIFS('ثبت اطلاعات'!$CD$5:$CD$1204,'ثبت اطلاعات'!$C$5:$C$1204,A81,'ثبت اطلاعات'!$CO$5:$CO$1204,1)/COUNTIFS('ثبت اطلاعات'!$C$5:$C$1204,A81,'ثبت اطلاعات'!$CO$5:$CO$1204,1),""))</x:f>
        <x:v>14.8</x:v>
      </x:c>
      <x:c r="G81" s="178" t="n">
        <x:f>IF(A81="","",IFERROR(SUMIFS('ثبت اطلاعات'!$CE$5:$CE$1204,'ثبت اطلاعات'!$C$5:$C$1204,A81,'ثبت اطلاعات'!$CO$5:$CO$1204,1)/COUNTIFS('ثبت اطلاعات'!$C$5:$C$1204,A81,'ثبت اطلاعات'!$CO$5:$CO$1204,1),""))</x:f>
        <x:v>15.2</x:v>
      </x:c>
      <x:c r="H81" s="178" t="n">
        <x:f>IF(A81="","",IFERROR(SUMIFS('ثبت اطلاعات'!$CF$5:$CF$1204,'ثبت اطلاعات'!$C$5:$C$1204,A81,'ثبت اطلاعات'!$CO$5:$CO$1204,1)/COUNTIFS('ثبت اطلاعات'!$C$5:$C$1204,A81,'ثبت اطلاعات'!$CO$5:$CO$1204,1),""))</x:f>
        <x:v>15.5</x:v>
      </x:c>
      <x:c r="I81" s="178" t="n">
        <x:f>IF(A81="","",IFERROR(SUMIFS('ثبت اطلاعات'!$CG$5:$CG$1204,'ثبت اطلاعات'!$C$5:$C$1204,A81,'ثبت اطلاعات'!$CO$5:$CO$1204,1)/COUNTIFS('ثبت اطلاعات'!$C$5:$C$1204,A81,'ثبت اطلاعات'!$CO$5:$CO$1204,1),""))</x:f>
        <x:v>16</x:v>
      </x:c>
      <x:c r="J81" s="178" t="n">
        <x:f>IF(A81="","",IFERROR(SUMIFS('ثبت اطلاعات'!$CH$5:$CH$1204,'ثبت اطلاعات'!$C$5:$C$1204,A81,'ثبت اطلاعات'!$CO$5:$CO$1204,1)/COUNTIFS('ثبت اطلاعات'!$C$5:$C$1204,A81,'ثبت اطلاعات'!$CO$5:$CO$1204,1),""))</x:f>
        <x:v>14.5</x:v>
      </x:c>
      <x:c r="K81" s="178" t="n">
        <x:f>IF(A81="","",IFERROR(SUMIFS('ثبت اطلاعات'!$CI$5:$CI$1204,'ثبت اطلاعات'!$C$5:$C$1204,A81,'ثبت اطلاعات'!$CO$5:$CO$1204,1)/COUNTIFS('ثبت اطلاعات'!$C$5:$C$1204,A81,'ثبت اطلاعات'!$CO$5:$CO$1204,1),""))</x:f>
        <x:v>15.428571428571429</x:v>
      </x:c>
      <x:c r="L81" s="178" t="n">
        <x:f>IF(A81="","",IFERROR(SUMIFS('ثبت اطلاعات'!$CJ$5:$CJ$1204,'ثبت اطلاعات'!$C$5:$C$1204,A81,'ثبت اطلاعات'!$CO$5:$CO$1204,1)/COUNTIFS('ثبت اطلاعات'!$C$5:$C$1204,A81,'ثبت اطلاعات'!$CO$5:$CO$1204,1),""))</x:f>
        <x:v>16</x:v>
      </x:c>
      <x:c r="M81" s="178" t="n">
        <x:f>IF(A81="","",IFERROR(SUMIFS('ثبت اطلاعات'!$CK$5:$CK$1204,'ثبت اطلاعات'!$C$5:$C$1204,A81,'ثبت اطلاعات'!$CO$5:$CO$1204,1)/COUNTIFS('ثبت اطلاعات'!$C$5:$C$1204,A81,'ثبت اطلاعات'!$CO$5:$CO$1204,1),""))</x:f>
        <x:v>14.285714285714286</x:v>
      </x:c>
      <x:c r="N81" s="178" t="n">
        <x:f>IF(A81="","",IFERROR(SUMIFS('ثبت اطلاعات'!$CL$5:$CL$1204,'ثبت اطلاعات'!$C$5:$C$1204,A81,'ثبت اطلاعات'!$CO$5:$CO$1204,1)/COUNTIFS('ثبت اطلاعات'!$C$5:$C$1204,A81,'ثبت اطلاعات'!$CO$5:$CO$1204,1),""))</x:f>
        <x:v>15.265</x:v>
      </x:c>
      <x:c r="O81" s="178" t="n">
        <x:f>IF(A81="","",COUNTIFS('ثبت اطلاعات'!$C$5:$C$1204,A81,'ثبت اطلاعات'!$CO$5:$CO$1204,1))</x:f>
        <x:v>1</x:v>
      </x:c>
      <x:c r="P81" s="178" t="n">
        <x:f>IF(O81=0,"",MINIFS('ثبت اطلاعات'!$CN$5:$CN$1204,'ثبت اطلاعات'!$C$5:$C$1204,A81,'ثبت اطلاعات'!$CO$5:$CO$1204,1))</x:f>
        <x:v>1</x:v>
      </x:c>
      <x:c r="Q81" s="178" t="n">
        <x:f>IF(O81=0,"",MAXIFS('ثبت اطلاعات'!$CN$5:$CN$1204,'ثبت اطلاعات'!$C$5:$C$1204,A81,'ثبت اطلاعات'!$CO$5:$CO$1204,1))</x:f>
        <x:v>1</x:v>
      </x:c>
      <x:c r="R81" s="178" t="str">
        <x:f>IF(O81&lt;2,"",SUMIFS('ثبت اطلاعات'!$CL$5:$CL$1204,'ثبت اطلاعات'!$C$5:$C$1204,A81,'ثبت اطلاعات'!$CN$5:$CN$1204,Q81)-SUMIFS('ثبت اطلاعات'!$CL$5:$CL$1204,'ثبت اطلاعات'!$C$5:$C$1204,A81,'ثبت اطلاعات'!$CN$5:$CN$1204,P81))</x:f>
      </x:c>
      <x:c r="S81" s="178" t="str">
        <x:f>IF(A81="","",IF(O81=0,"فاقد ارزیابی نهایی",IF(O81=1,"داده ناکافی",IF(R81&gt;0.5,"پیشرفت",IF(R81&lt;-0.5,"افت","ثبات")))))</x:f>
        <x:v>داده ناکافی</x:v>
      </x:c>
      <x:c r="T81" s="178" t="str">
        <x:f>IF(N81="","",INDEX($E$4:$M$4,1,MATCH(MAX(E81:M81),E81:M81,0)))</x:f>
        <x:v>فرهنگی</x:v>
      </x:c>
      <x:c r="U81" s="178" t="str">
        <x:f>IF(N81="","",INDEX($E$4:$M$4,1,MATCH(MIN(E81:M81),E81:M81,0)))</x:f>
        <x:v>مهارت‌های فردی</x:v>
      </x:c>
      <x:c r="V81" s="178" t="str">
        <x:f>IF(N81="","",IF(N81&gt;=17,"عالی",IF(N81&gt;=14,"خوب",IF(N81&gt;=10,"متوسط","ضعیف"))))</x:f>
        <x:v>خوب</x:v>
      </x:c>
      <x:c r="W81" s="178" t="n">
        <x:f>IF(N81="","",RANK.EQ(N81,$N$5:$N$104,0))</x:f>
        <x:v>47</x:v>
      </x:c>
      <x:c r="X81" s="178" t="n">
        <x:f>IF(N81="","",COUNT($N$5:$N$104))</x:f>
        <x:v>100</x:v>
      </x:c>
      <x:c r="Y81" s="142" t="str">
        <x:f>IF(U81="","",IFERROR(INDEX('بانک راهکارها'!$C$5:$C$13,MATCH(U81,'بانک راهکارها'!$B$5:$B$13,0)),""))</x:f>
        <x:v>تمرین برنامه‌ریزی هفتگی، ارتباط مؤثر و کار تیمی پیشنهاد می‌شود.</x:v>
      </x:c>
    </x:row>
    <x:row r="82">
      <x:c r="A82" s="165" t="n">
        <x:f>IF('دانش‌آموزان'!L82="","",'دانش‌آموزان'!B82)</x:f>
        <x:v>78</x:v>
      </x:c>
      <x:c r="B82" s="233" t="str">
        <x:f>IF(A82="","",'دانش‌آموزان'!C82)</x:f>
        <x:v>4000000780</x:v>
      </x:c>
      <x:c r="C82" s="233" t="str">
        <x:f>IF(A82="","",'دانش‌آموزان'!E82&amp;" "&amp;'دانش‌آموزان'!F82)</x:f>
        <x:v>یسنا حیدری</x:v>
      </x:c>
      <x:c r="D82" s="166" t="str">
        <x:f>IF(A82="","",'دانش‌آموزان'!I82)</x:f>
        <x:v>sample-7-d</x:v>
      </x:c>
      <x:c r="E82" s="141" t="n">
        <x:f>IF(A82="","",IFERROR(SUMIFS('ثبت اطلاعات'!$CC$5:$CC$1204,'ثبت اطلاعات'!$C$5:$C$1204,A82,'ثبت اطلاعات'!$CO$5:$CO$1204,1)/COUNTIFS('ثبت اطلاعات'!$C$5:$C$1204,A82,'ثبت اطلاعات'!$CO$5:$CO$1204,1),""))</x:f>
        <x:v>15.2</x:v>
      </x:c>
      <x:c r="F82" s="178" t="n">
        <x:f>IF(A82="","",IFERROR(SUMIFS('ثبت اطلاعات'!$CD$5:$CD$1204,'ثبت اطلاعات'!$C$5:$C$1204,A82,'ثبت اطلاعات'!$CO$5:$CO$1204,1)/COUNTIFS('ثبت اطلاعات'!$C$5:$C$1204,A82,'ثبت اطلاعات'!$CO$5:$CO$1204,1),""))</x:f>
        <x:v>15.6</x:v>
      </x:c>
      <x:c r="G82" s="178" t="n">
        <x:f>IF(A82="","",IFERROR(SUMIFS('ثبت اطلاعات'!$CE$5:$CE$1204,'ثبت اطلاعات'!$C$5:$C$1204,A82,'ثبت اطلاعات'!$CO$5:$CO$1204,1)/COUNTIFS('ثبت اطلاعات'!$C$5:$C$1204,A82,'ثبت اطلاعات'!$CO$5:$CO$1204,1),""))</x:f>
        <x:v>15.2</x:v>
      </x:c>
      <x:c r="H82" s="178" t="n">
        <x:f>IF(A82="","",IFERROR(SUMIFS('ثبت اطلاعات'!$CF$5:$CF$1204,'ثبت اطلاعات'!$C$5:$C$1204,A82,'ثبت اطلاعات'!$CO$5:$CO$1204,1)/COUNTIFS('ثبت اطلاعات'!$C$5:$C$1204,A82,'ثبت اطلاعات'!$CO$5:$CO$1204,1),""))</x:f>
        <x:v>15.5</x:v>
      </x:c>
      <x:c r="I82" s="178" t="n">
        <x:f>IF(A82="","",IFERROR(SUMIFS('ثبت اطلاعات'!$CG$5:$CG$1204,'ثبت اطلاعات'!$C$5:$C$1204,A82,'ثبت اطلاعات'!$CO$5:$CO$1204,1)/COUNTIFS('ثبت اطلاعات'!$C$5:$C$1204,A82,'ثبت اطلاعات'!$CO$5:$CO$1204,1),""))</x:f>
        <x:v>13.714285714285714</x:v>
      </x:c>
      <x:c r="J82" s="178" t="n">
        <x:f>IF(A82="","",IFERROR(SUMIFS('ثبت اطلاعات'!$CH$5:$CH$1204,'ثبت اطلاعات'!$C$5:$C$1204,A82,'ثبت اطلاعات'!$CO$5:$CO$1204,1)/COUNTIFS('ثبت اطلاعات'!$C$5:$C$1204,A82,'ثبت اطلاعات'!$CO$5:$CO$1204,1),""))</x:f>
        <x:v>16.5</x:v>
      </x:c>
      <x:c r="K82" s="178" t="n">
        <x:f>IF(A82="","",IFERROR(SUMIFS('ثبت اطلاعات'!$CI$5:$CI$1204,'ثبت اطلاعات'!$C$5:$C$1204,A82,'ثبت اطلاعات'!$CO$5:$CO$1204,1)/COUNTIFS('ثبت اطلاعات'!$C$5:$C$1204,A82,'ثبت اطلاعات'!$CO$5:$CO$1204,1),""))</x:f>
        <x:v>15.428571428571429</x:v>
      </x:c>
      <x:c r="L82" s="178" t="n">
        <x:f>IF(A82="","",IFERROR(SUMIFS('ثبت اطلاعات'!$CJ$5:$CJ$1204,'ثبت اطلاعات'!$C$5:$C$1204,A82,'ثبت اطلاعات'!$CO$5:$CO$1204,1)/COUNTIFS('ثبت اطلاعات'!$C$5:$C$1204,A82,'ثبت اطلاعات'!$CO$5:$CO$1204,1),""))</x:f>
        <x:v>13.714285714285714</x:v>
      </x:c>
      <x:c r="M82" s="178" t="n">
        <x:f>IF(A82="","",IFERROR(SUMIFS('ثبت اطلاعات'!$CK$5:$CK$1204,'ثبت اطلاعات'!$C$5:$C$1204,A82,'ثبت اطلاعات'!$CO$5:$CO$1204,1)/COUNTIFS('ثبت اطلاعات'!$C$5:$C$1204,A82,'ثبت اطلاعات'!$CO$5:$CO$1204,1),""))</x:f>
        <x:v>16.571428571428573</x:v>
      </x:c>
      <x:c r="N82" s="178" t="n">
        <x:f>IF(A82="","",IFERROR(SUMIFS('ثبت اطلاعات'!$CL$5:$CL$1204,'ثبت اطلاعات'!$C$5:$C$1204,A82,'ثبت اطلاعات'!$CO$5:$CO$1204,1)/COUNTIFS('ثبت اطلاعات'!$C$5:$C$1204,A82,'ثبت اطلاعات'!$CO$5:$CO$1204,1),""))</x:f>
        <x:v>15.327857142857143</x:v>
      </x:c>
      <x:c r="O82" s="178" t="n">
        <x:f>IF(A82="","",COUNTIFS('ثبت اطلاعات'!$C$5:$C$1204,A82,'ثبت اطلاعات'!$CO$5:$CO$1204,1))</x:f>
        <x:v>1</x:v>
      </x:c>
      <x:c r="P82" s="178" t="n">
        <x:f>IF(O82=0,"",MINIFS('ثبت اطلاعات'!$CN$5:$CN$1204,'ثبت اطلاعات'!$C$5:$C$1204,A82,'ثبت اطلاعات'!$CO$5:$CO$1204,1))</x:f>
        <x:v>1</x:v>
      </x:c>
      <x:c r="Q82" s="178" t="n">
        <x:f>IF(O82=0,"",MAXIFS('ثبت اطلاعات'!$CN$5:$CN$1204,'ثبت اطلاعات'!$C$5:$C$1204,A82,'ثبت اطلاعات'!$CO$5:$CO$1204,1))</x:f>
        <x:v>1</x:v>
      </x:c>
      <x:c r="R82" s="178" t="str">
        <x:f>IF(O82&lt;2,"",SUMIFS('ثبت اطلاعات'!$CL$5:$CL$1204,'ثبت اطلاعات'!$C$5:$C$1204,A82,'ثبت اطلاعات'!$CN$5:$CN$1204,Q82)-SUMIFS('ثبت اطلاعات'!$CL$5:$CL$1204,'ثبت اطلاعات'!$C$5:$C$1204,A82,'ثبت اطلاعات'!$CN$5:$CN$1204,P82))</x:f>
      </x:c>
      <x:c r="S82" s="178" t="str">
        <x:f>IF(A82="","",IF(O82=0,"فاقد ارزیابی نهایی",IF(O82=1,"داده ناکافی",IF(R82&gt;0.5,"پیشرفت",IF(R82&lt;-0.5,"افت","ثبات")))))</x:f>
        <x:v>داده ناکافی</x:v>
      </x:c>
      <x:c r="T82" s="178" t="str">
        <x:f>IF(N82="","",INDEX($E$4:$M$4,1,MATCH(MAX(E82:M82),E82:M82,0)))</x:f>
        <x:v>مهارت‌های فردی</x:v>
      </x:c>
      <x:c r="U82" s="178" t="str">
        <x:f>IF(N82="","",INDEX($E$4:$M$4,1,MATCH(MIN(E82:M82),E82:M82,0)))</x:f>
        <x:v>فرهنگی</x:v>
      </x:c>
      <x:c r="V82" s="178" t="str">
        <x:f>IF(N82="","",IF(N82&gt;=17,"عالی",IF(N82&gt;=14,"خوب",IF(N82&gt;=10,"متوسط","ضعیف"))))</x:f>
        <x:v>خوب</x:v>
      </x:c>
      <x:c r="W82" s="178" t="n">
        <x:f>IF(N82="","",RANK.EQ(N82,$N$5:$N$104,0))</x:f>
        <x:v>19</x:v>
      </x:c>
      <x:c r="X82" s="178" t="n">
        <x:f>IF(N82="","",COUNT($N$5:$N$104))</x:f>
        <x:v>100</x:v>
      </x:c>
      <x:c r="Y82" s="142" t="str">
        <x:f>IF(U82="","",IFERROR(INDEX('بانک راهکارها'!$C$5:$C$13,MATCH(U82,'بانک راهکارها'!$B$5:$B$13,0)),""))</x:f>
        <x:v>مشارکت در برنامه‌های فرهنگی، مطالعه هدایت‌شده و فعالیت گروهی پیشنهاد می‌شود.</x:v>
      </x:c>
    </x:row>
    <x:row r="83">
      <x:c r="A83" s="165" t="n">
        <x:f>IF('دانش‌آموزان'!L83="","",'دانش‌آموزان'!B83)</x:f>
        <x:v>79</x:v>
      </x:c>
      <x:c r="B83" s="233" t="str">
        <x:f>IF(A83="","",'دانش‌آموزان'!C83)</x:f>
        <x:v>4000000799</x:v>
      </x:c>
      <x:c r="C83" s="233" t="str">
        <x:f>IF(A83="","",'دانش‌آموزان'!E83&amp;" "&amp;'دانش‌آموزان'!F83)</x:f>
        <x:v>رضا صادقی</x:v>
      </x:c>
      <x:c r="D83" s="166" t="str">
        <x:f>IF(A83="","",'دانش‌آموزان'!I83)</x:f>
        <x:v>sample-7-d</x:v>
      </x:c>
      <x:c r="E83" s="141" t="n">
        <x:f>IF(A83="","",IFERROR(SUMIFS('ثبت اطلاعات'!$CC$5:$CC$1204,'ثبت اطلاعات'!$C$5:$C$1204,A83,'ثبت اطلاعات'!$CO$5:$CO$1204,1)/COUNTIFS('ثبت اطلاعات'!$C$5:$C$1204,A83,'ثبت اطلاعات'!$CO$5:$CO$1204,1),""))</x:f>
        <x:v>14.8</x:v>
      </x:c>
      <x:c r="F83" s="178" t="n">
        <x:f>IF(A83="","",IFERROR(SUMIFS('ثبت اطلاعات'!$CD$5:$CD$1204,'ثبت اطلاعات'!$C$5:$C$1204,A83,'ثبت اطلاعات'!$CO$5:$CO$1204,1)/COUNTIFS('ثبت اطلاعات'!$C$5:$C$1204,A83,'ثبت اطلاعات'!$CO$5:$CO$1204,1),""))</x:f>
        <x:v>15.2</x:v>
      </x:c>
      <x:c r="G83" s="178" t="n">
        <x:f>IF(A83="","",IFERROR(SUMIFS('ثبت اطلاعات'!$CE$5:$CE$1204,'ثبت اطلاعات'!$C$5:$C$1204,A83,'ثبت اطلاعات'!$CO$5:$CO$1204,1)/COUNTIFS('ثبت اطلاعات'!$C$5:$C$1204,A83,'ثبت اطلاعات'!$CO$5:$CO$1204,1),""))</x:f>
        <x:v>14.8</x:v>
      </x:c>
      <x:c r="H83" s="178" t="n">
        <x:f>IF(A83="","",IFERROR(SUMIFS('ثبت اطلاعات'!$CF$5:$CF$1204,'ثبت اطلاعات'!$C$5:$C$1204,A83,'ثبت اطلاعات'!$CO$5:$CO$1204,1)/COUNTIFS('ثبت اطلاعات'!$C$5:$C$1204,A83,'ثبت اطلاعات'!$CO$5:$CO$1204,1),""))</x:f>
        <x:v>16</x:v>
      </x:c>
      <x:c r="I83" s="178" t="n">
        <x:f>IF(A83="","",IFERROR(SUMIFS('ثبت اطلاعات'!$CG$5:$CG$1204,'ثبت اطلاعات'!$C$5:$C$1204,A83,'ثبت اطلاعات'!$CO$5:$CO$1204,1)/COUNTIFS('ثبت اطلاعات'!$C$5:$C$1204,A83,'ثبت اطلاعات'!$CO$5:$CO$1204,1),""))</x:f>
        <x:v>15.428571428571429</x:v>
      </x:c>
      <x:c r="J83" s="178" t="n">
        <x:f>IF(A83="","",IFERROR(SUMIFS('ثبت اطلاعات'!$CH$5:$CH$1204,'ثبت اطلاعات'!$C$5:$C$1204,A83,'ثبت اطلاعات'!$CO$5:$CO$1204,1)/COUNTIFS('ثبت اطلاعات'!$C$5:$C$1204,A83,'ثبت اطلاعات'!$CO$5:$CO$1204,1),""))</x:f>
        <x:v>15</x:v>
      </x:c>
      <x:c r="K83" s="178" t="n">
        <x:f>IF(A83="","",IFERROR(SUMIFS('ثبت اطلاعات'!$CI$5:$CI$1204,'ثبت اطلاعات'!$C$5:$C$1204,A83,'ثبت اطلاعات'!$CO$5:$CO$1204,1)/COUNTIFS('ثبت اطلاعات'!$C$5:$C$1204,A83,'ثبت اطلاعات'!$CO$5:$CO$1204,1),""))</x:f>
        <x:v>15.428571428571429</x:v>
      </x:c>
      <x:c r="L83" s="178" t="n">
        <x:f>IF(A83="","",IFERROR(SUMIFS('ثبت اطلاعات'!$CJ$5:$CJ$1204,'ثبت اطلاعات'!$C$5:$C$1204,A83,'ثبت اطلاعات'!$CO$5:$CO$1204,1)/COUNTIFS('ثبت اطلاعات'!$C$5:$C$1204,A83,'ثبت اطلاعات'!$CO$5:$CO$1204,1),""))</x:f>
        <x:v>15.428571428571429</x:v>
      </x:c>
      <x:c r="M83" s="178" t="n">
        <x:f>IF(A83="","",IFERROR(SUMIFS('ثبت اطلاعات'!$CK$5:$CK$1204,'ثبت اطلاعات'!$C$5:$C$1204,A83,'ثبت اطلاعات'!$CO$5:$CO$1204,1)/COUNTIFS('ثبت اطلاعات'!$C$5:$C$1204,A83,'ثبت اطلاعات'!$CO$5:$CO$1204,1),""))</x:f>
        <x:v>14.285714285714286</x:v>
      </x:c>
      <x:c r="N83" s="178" t="n">
        <x:f>IF(A83="","",IFERROR(SUMIFS('ثبت اطلاعات'!$CL$5:$CL$1204,'ثبت اطلاعات'!$C$5:$C$1204,A83,'ثبت اطلاعات'!$CO$5:$CO$1204,1)/COUNTIFS('ثبت اطلاعات'!$C$5:$C$1204,A83,'ثبت اطلاعات'!$CO$5:$CO$1204,1),""))</x:f>
        <x:v>15.145714285714286</x:v>
      </x:c>
      <x:c r="O83" s="178" t="n">
        <x:f>IF(A83="","",COUNTIFS('ثبت اطلاعات'!$C$5:$C$1204,A83,'ثبت اطلاعات'!$CO$5:$CO$1204,1))</x:f>
        <x:v>1</x:v>
      </x:c>
      <x:c r="P83" s="178" t="n">
        <x:f>IF(O83=0,"",MINIFS('ثبت اطلاعات'!$CN$5:$CN$1204,'ثبت اطلاعات'!$C$5:$C$1204,A83,'ثبت اطلاعات'!$CO$5:$CO$1204,1))</x:f>
        <x:v>1</x:v>
      </x:c>
      <x:c r="Q83" s="178" t="n">
        <x:f>IF(O83=0,"",MAXIFS('ثبت اطلاعات'!$CN$5:$CN$1204,'ثبت اطلاعات'!$C$5:$C$1204,A83,'ثبت اطلاعات'!$CO$5:$CO$1204,1))</x:f>
        <x:v>1</x:v>
      </x:c>
      <x:c r="R83" s="178" t="str">
        <x:f>IF(O83&lt;2,"",SUMIFS('ثبت اطلاعات'!$CL$5:$CL$1204,'ثبت اطلاعات'!$C$5:$C$1204,A83,'ثبت اطلاعات'!$CN$5:$CN$1204,Q83)-SUMIFS('ثبت اطلاعات'!$CL$5:$CL$1204,'ثبت اطلاعات'!$C$5:$C$1204,A83,'ثبت اطلاعات'!$CN$5:$CN$1204,P83))</x:f>
      </x:c>
      <x:c r="S83" s="178" t="str">
        <x:f>IF(A83="","",IF(O83=0,"فاقد ارزیابی نهایی",IF(O83=1,"داده ناکافی",IF(R83&gt;0.5,"پیشرفت",IF(R83&lt;-0.5,"افت","ثبات")))))</x:f>
        <x:v>داده ناکافی</x:v>
      </x:c>
      <x:c r="T83" s="178" t="str">
        <x:f>IF(N83="","",INDEX($E$4:$M$4,1,MATCH(MAX(E83:M83),E83:M83,0)))</x:f>
        <x:v>انضباطی</x:v>
      </x:c>
      <x:c r="U83" s="178" t="str">
        <x:f>IF(N83="","",INDEX($E$4:$M$4,1,MATCH(MIN(E83:M83),E83:M83,0)))</x:f>
        <x:v>مهارت‌های فردی</x:v>
      </x:c>
      <x:c r="V83" s="178" t="str">
        <x:f>IF(N83="","",IF(N83&gt;=17,"عالی",IF(N83&gt;=14,"خوب",IF(N83&gt;=10,"متوسط","ضعیف"))))</x:f>
        <x:v>خوب</x:v>
      </x:c>
      <x:c r="W83" s="178" t="n">
        <x:f>IF(N83="","",RANK.EQ(N83,$N$5:$N$104,0))</x:f>
        <x:v>83</x:v>
      </x:c>
      <x:c r="X83" s="178" t="n">
        <x:f>IF(N83="","",COUNT($N$5:$N$104))</x:f>
        <x:v>100</x:v>
      </x:c>
      <x:c r="Y83" s="142" t="str">
        <x:f>IF(U83="","",IFERROR(INDEX('بانک راهکارها'!$C$5:$C$13,MATCH(U83,'بانک راهکارها'!$B$5:$B$13,0)),""))</x:f>
        <x:v>تمرین برنامه‌ریزی هفتگی، ارتباط مؤثر و کار تیمی پیشنهاد می‌شود.</x:v>
      </x:c>
    </x:row>
    <x:row r="84">
      <x:c r="A84" s="165" t="n">
        <x:f>IF('دانش‌آموزان'!L84="","",'دانش‌آموزان'!B84)</x:f>
        <x:v>80</x:v>
      </x:c>
      <x:c r="B84" s="233" t="str">
        <x:f>IF(A84="","",'دانش‌آموزان'!C84)</x:f>
        <x:v>4000000802</x:v>
      </x:c>
      <x:c r="C84" s="233" t="str">
        <x:f>IF(A84="","",'دانش‌آموزان'!E84&amp;" "&amp;'دانش‌آموزان'!F84)</x:f>
        <x:v>آوا کاظمی</x:v>
      </x:c>
      <x:c r="D84" s="166" t="str">
        <x:f>IF(A84="","",'دانش‌آموزان'!I84)</x:f>
        <x:v>sample-7-d</x:v>
      </x:c>
      <x:c r="E84" s="141" t="n">
        <x:f>IF(A84="","",IFERROR(SUMIFS('ثبت اطلاعات'!$CC$5:$CC$1204,'ثبت اطلاعات'!$C$5:$C$1204,A84,'ثبت اطلاعات'!$CO$5:$CO$1204,1)/COUNTIFS('ثبت اطلاعات'!$C$5:$C$1204,A84,'ثبت اطلاعات'!$CO$5:$CO$1204,1),""))</x:f>
        <x:v>15.6</x:v>
      </x:c>
      <x:c r="F84" s="178" t="n">
        <x:f>IF(A84="","",IFERROR(SUMIFS('ثبت اطلاعات'!$CD$5:$CD$1204,'ثبت اطلاعات'!$C$5:$C$1204,A84,'ثبت اطلاعات'!$CO$5:$CO$1204,1)/COUNTIFS('ثبت اطلاعات'!$C$5:$C$1204,A84,'ثبت اطلاعات'!$CO$5:$CO$1204,1),""))</x:f>
        <x:v>15.2</x:v>
      </x:c>
      <x:c r="G84" s="178" t="n">
        <x:f>IF(A84="","",IFERROR(SUMIFS('ثبت اطلاعات'!$CE$5:$CE$1204,'ثبت اطلاعات'!$C$5:$C$1204,A84,'ثبت اطلاعات'!$CO$5:$CO$1204,1)/COUNTIFS('ثبت اطلاعات'!$C$5:$C$1204,A84,'ثبت اطلاعات'!$CO$5:$CO$1204,1),""))</x:f>
        <x:v>15.6</x:v>
      </x:c>
      <x:c r="H84" s="178" t="n">
        <x:f>IF(A84="","",IFERROR(SUMIFS('ثبت اطلاعات'!$CF$5:$CF$1204,'ثبت اطلاعات'!$C$5:$C$1204,A84,'ثبت اطلاعات'!$CO$5:$CO$1204,1)/COUNTIFS('ثبت اطلاعات'!$C$5:$C$1204,A84,'ثبت اطلاعات'!$CO$5:$CO$1204,1),""))</x:f>
        <x:v>14.5</x:v>
      </x:c>
      <x:c r="I84" s="178" t="n">
        <x:f>IF(A84="","",IFERROR(SUMIFS('ثبت اطلاعات'!$CG$5:$CG$1204,'ثبت اطلاعات'!$C$5:$C$1204,A84,'ثبت اطلاعات'!$CO$5:$CO$1204,1)/COUNTIFS('ثبت اطلاعات'!$C$5:$C$1204,A84,'ثبت اطلاعات'!$CO$5:$CO$1204,1),""))</x:f>
        <x:v>15.428571428571429</x:v>
      </x:c>
      <x:c r="J84" s="178" t="n">
        <x:f>IF(A84="","",IFERROR(SUMIFS('ثبت اطلاعات'!$CH$5:$CH$1204,'ثبت اطلاعات'!$C$5:$C$1204,A84,'ثبت اطلاعات'!$CO$5:$CO$1204,1)/COUNTIFS('ثبت اطلاعات'!$C$5:$C$1204,A84,'ثبت اطلاعات'!$CO$5:$CO$1204,1),""))</x:f>
        <x:v>15.5</x:v>
      </x:c>
      <x:c r="K84" s="178" t="n">
        <x:f>IF(A84="","",IFERROR(SUMIFS('ثبت اطلاعات'!$CI$5:$CI$1204,'ثبت اطلاعات'!$C$5:$C$1204,A84,'ثبت اطلاعات'!$CO$5:$CO$1204,1)/COUNTIFS('ثبت اطلاعات'!$C$5:$C$1204,A84,'ثبت اطلاعات'!$CO$5:$CO$1204,1),""))</x:f>
        <x:v>14.857142857142858</x:v>
      </x:c>
      <x:c r="L84" s="178" t="n">
        <x:f>IF(A84="","",IFERROR(SUMIFS('ثبت اطلاعات'!$CJ$5:$CJ$1204,'ثبت اطلاعات'!$C$5:$C$1204,A84,'ثبت اطلاعات'!$CO$5:$CO$1204,1)/COUNTIFS('ثبت اطلاعات'!$C$5:$C$1204,A84,'ثبت اطلاعات'!$CO$5:$CO$1204,1),""))</x:f>
        <x:v>15.428571428571429</x:v>
      </x:c>
      <x:c r="M84" s="178" t="n">
        <x:f>IF(A84="","",IFERROR(SUMIFS('ثبت اطلاعات'!$CK$5:$CK$1204,'ثبت اطلاعات'!$C$5:$C$1204,A84,'ثبت اطلاعات'!$CO$5:$CO$1204,1)/COUNTIFS('ثبت اطلاعات'!$C$5:$C$1204,A84,'ثبت اطلاعات'!$CO$5:$CO$1204,1),""))</x:f>
        <x:v>16</x:v>
      </x:c>
      <x:c r="N84" s="178" t="n">
        <x:f>IF(A84="","",IFERROR(SUMIFS('ثبت اطلاعات'!$CL$5:$CL$1204,'ثبت اطلاعات'!$C$5:$C$1204,A84,'ثبت اطلاعات'!$CO$5:$CO$1204,1)/COUNTIFS('ثبت اطلاعات'!$C$5:$C$1204,A84,'ثبت اطلاعات'!$CO$5:$CO$1204,1),""))</x:f>
        <x:v>15.320714285714287</x:v>
      </x:c>
      <x:c r="O84" s="178" t="n">
        <x:f>IF(A84="","",COUNTIFS('ثبت اطلاعات'!$C$5:$C$1204,A84,'ثبت اطلاعات'!$CO$5:$CO$1204,1))</x:f>
        <x:v>1</x:v>
      </x:c>
      <x:c r="P84" s="178" t="n">
        <x:f>IF(O84=0,"",MINIFS('ثبت اطلاعات'!$CN$5:$CN$1204,'ثبت اطلاعات'!$C$5:$C$1204,A84,'ثبت اطلاعات'!$CO$5:$CO$1204,1))</x:f>
        <x:v>1</x:v>
      </x:c>
      <x:c r="Q84" s="178" t="n">
        <x:f>IF(O84=0,"",MAXIFS('ثبت اطلاعات'!$CN$5:$CN$1204,'ثبت اطلاعات'!$C$5:$C$1204,A84,'ثبت اطلاعات'!$CO$5:$CO$1204,1))</x:f>
        <x:v>1</x:v>
      </x:c>
      <x:c r="R84" s="178" t="str">
        <x:f>IF(O84&lt;2,"",SUMIFS('ثبت اطلاعات'!$CL$5:$CL$1204,'ثبت اطلاعات'!$C$5:$C$1204,A84,'ثبت اطلاعات'!$CN$5:$CN$1204,Q84)-SUMIFS('ثبت اطلاعات'!$CL$5:$CL$1204,'ثبت اطلاعات'!$C$5:$C$1204,A84,'ثبت اطلاعات'!$CN$5:$CN$1204,P84))</x:f>
      </x:c>
      <x:c r="S84" s="178" t="str">
        <x:f>IF(A84="","",IF(O84=0,"فاقد ارزیابی نهایی",IF(O84=1,"داده ناکافی",IF(R84&gt;0.5,"پیشرفت",IF(R84&lt;-0.5,"افت","ثبات")))))</x:f>
        <x:v>داده ناکافی</x:v>
      </x:c>
      <x:c r="T84" s="178" t="str">
        <x:f>IF(N84="","",INDEX($E$4:$M$4,1,MATCH(MAX(E84:M84),E84:M84,0)))</x:f>
        <x:v>مهارت‌های فردی</x:v>
      </x:c>
      <x:c r="U84" s="178" t="str">
        <x:f>IF(N84="","",INDEX($E$4:$M$4,1,MATCH(MIN(E84:M84),E84:M84,0)))</x:f>
        <x:v>انضباطی</x:v>
      </x:c>
      <x:c r="V84" s="178" t="str">
        <x:f>IF(N84="","",IF(N84&gt;=17,"عالی",IF(N84&gt;=14,"خوب",IF(N84&gt;=10,"متوسط","ضعیف"))))</x:f>
        <x:v>خوب</x:v>
      </x:c>
      <x:c r="W84" s="178" t="n">
        <x:f>IF(N84="","",RANK.EQ(N84,$N$5:$N$104,0))</x:f>
        <x:v>29</x:v>
      </x:c>
      <x:c r="X84" s="178" t="n">
        <x:f>IF(N84="","",COUNT($N$5:$N$104))</x:f>
        <x:v>100</x:v>
      </x:c>
      <x:c r="Y84" s="142" t="str">
        <x:f>IF(U84="","",IFERROR(INDEX('بانک راهکارها'!$C$5:$C$13,MATCH(U84,'بانک راهکارها'!$B$5:$B$13,0)),""))</x:f>
        <x:v>قواعد روشن، قرارداد رفتاری کوتاه‌مدت و ثبت منظم پیشرفت پیشنهاد می‌شود.</x:v>
      </x:c>
    </x:row>
    <x:row r="85">
      <x:c r="A85" s="165" t="n">
        <x:f>IF('دانش‌آموزان'!L85="","",'دانش‌آموزان'!B85)</x:f>
        <x:v>81</x:v>
      </x:c>
      <x:c r="B85" s="233" t="str">
        <x:f>IF(A85="","",'دانش‌آموزان'!C85)</x:f>
        <x:v>4000000810</x:v>
      </x:c>
      <x:c r="C85" s="233" t="str">
        <x:f>IF(A85="","",'دانش‌آموزان'!E85&amp;" "&amp;'دانش‌آموزان'!F85)</x:f>
        <x:v>علی احمدی</x:v>
      </x:c>
      <x:c r="D85" s="166" t="str">
        <x:f>IF(A85="","",'دانش‌آموزان'!I85)</x:f>
        <x:v>sample-7-d</x:v>
      </x:c>
      <x:c r="E85" s="141" t="n">
        <x:f>IF(A85="","",IFERROR(SUMIFS('ثبت اطلاعات'!$CC$5:$CC$1204,'ثبت اطلاعات'!$C$5:$C$1204,A85,'ثبت اطلاعات'!$CO$5:$CO$1204,1)/COUNTIFS('ثبت اطلاعات'!$C$5:$C$1204,A85,'ثبت اطلاعات'!$CO$5:$CO$1204,1),""))</x:f>
        <x:v>15.2</x:v>
      </x:c>
      <x:c r="F85" s="178" t="n">
        <x:f>IF(A85="","",IFERROR(SUMIFS('ثبت اطلاعات'!$CD$5:$CD$1204,'ثبت اطلاعات'!$C$5:$C$1204,A85,'ثبت اطلاعات'!$CO$5:$CO$1204,1)/COUNTIFS('ثبت اطلاعات'!$C$5:$C$1204,A85,'ثبت اطلاعات'!$CO$5:$CO$1204,1),""))</x:f>
        <x:v>14.8</x:v>
      </x:c>
      <x:c r="G85" s="178" t="n">
        <x:f>IF(A85="","",IFERROR(SUMIFS('ثبت اطلاعات'!$CE$5:$CE$1204,'ثبت اطلاعات'!$C$5:$C$1204,A85,'ثبت اطلاعات'!$CO$5:$CO$1204,1)/COUNTIFS('ثبت اطلاعات'!$C$5:$C$1204,A85,'ثبت اطلاعات'!$CO$5:$CO$1204,1),""))</x:f>
        <x:v>15.2</x:v>
      </x:c>
      <x:c r="H85" s="178" t="n">
        <x:f>IF(A85="","",IFERROR(SUMIFS('ثبت اطلاعات'!$CF$5:$CF$1204,'ثبت اطلاعات'!$C$5:$C$1204,A85,'ثبت اطلاعات'!$CO$5:$CO$1204,1)/COUNTIFS('ثبت اطلاعات'!$C$5:$C$1204,A85,'ثبت اطلاعات'!$CO$5:$CO$1204,1),""))</x:f>
        <x:v>16.5</x:v>
      </x:c>
      <x:c r="I85" s="178" t="n">
        <x:f>IF(A85="","",IFERROR(SUMIFS('ثبت اطلاعات'!$CG$5:$CG$1204,'ثبت اطلاعات'!$C$5:$C$1204,A85,'ثبت اطلاعات'!$CO$5:$CO$1204,1)/COUNTIFS('ثبت اطلاعات'!$C$5:$C$1204,A85,'ثبت اطلاعات'!$CO$5:$CO$1204,1),""))</x:f>
        <x:v>15.428571428571429</x:v>
      </x:c>
      <x:c r="J85" s="178" t="n">
        <x:f>IF(A85="","",IFERROR(SUMIFS('ثبت اطلاعات'!$CH$5:$CH$1204,'ثبت اطلاعات'!$C$5:$C$1204,A85,'ثبت اطلاعات'!$CO$5:$CO$1204,1)/COUNTIFS('ثبت اطلاعات'!$C$5:$C$1204,A85,'ثبت اطلاعات'!$CO$5:$CO$1204,1),""))</x:f>
        <x:v>14</x:v>
      </x:c>
      <x:c r="K85" s="178" t="n">
        <x:f>IF(A85="","",IFERROR(SUMIFS('ثبت اطلاعات'!$CI$5:$CI$1204,'ثبت اطلاعات'!$C$5:$C$1204,A85,'ثبت اطلاعات'!$CO$5:$CO$1204,1)/COUNTIFS('ثبت اطلاعات'!$C$5:$C$1204,A85,'ثبت اطلاعات'!$CO$5:$CO$1204,1),""))</x:f>
        <x:v>16.571428571428573</x:v>
      </x:c>
      <x:c r="L85" s="178" t="n">
        <x:f>IF(A85="","",IFERROR(SUMIFS('ثبت اطلاعات'!$CJ$5:$CJ$1204,'ثبت اطلاعات'!$C$5:$C$1204,A85,'ثبت اطلاعات'!$CO$5:$CO$1204,1)/COUNTIFS('ثبت اطلاعات'!$C$5:$C$1204,A85,'ثبت اطلاعات'!$CO$5:$CO$1204,1),""))</x:f>
        <x:v>15.428571428571429</x:v>
      </x:c>
      <x:c r="M85" s="178" t="n">
        <x:f>IF(A85="","",IFERROR(SUMIFS('ثبت اطلاعات'!$CK$5:$CK$1204,'ثبت اطلاعات'!$C$5:$C$1204,A85,'ثبت اطلاعات'!$CO$5:$CO$1204,1)/COUNTIFS('ثبت اطلاعات'!$C$5:$C$1204,A85,'ثبت اطلاعات'!$CO$5:$CO$1204,1),""))</x:f>
        <x:v>13.714285714285714</x:v>
      </x:c>
      <x:c r="N85" s="178" t="n">
        <x:f>IF(A85="","",IFERROR(SUMIFS('ثبت اطلاعات'!$CL$5:$CL$1204,'ثبت اطلاعات'!$C$5:$C$1204,A85,'ثبت اطلاعات'!$CO$5:$CO$1204,1)/COUNTIFS('ثبت اطلاعات'!$C$5:$C$1204,A85,'ثبت اطلاعات'!$CO$5:$CO$1204,1),""))</x:f>
        <x:v>15.260714285714286</x:v>
      </x:c>
      <x:c r="O85" s="178" t="n">
        <x:f>IF(A85="","",COUNTIFS('ثبت اطلاعات'!$C$5:$C$1204,A85,'ثبت اطلاعات'!$CO$5:$CO$1204,1))</x:f>
        <x:v>1</x:v>
      </x:c>
      <x:c r="P85" s="178" t="n">
        <x:f>IF(O85=0,"",MINIFS('ثبت اطلاعات'!$CN$5:$CN$1204,'ثبت اطلاعات'!$C$5:$C$1204,A85,'ثبت اطلاعات'!$CO$5:$CO$1204,1))</x:f>
        <x:v>1</x:v>
      </x:c>
      <x:c r="Q85" s="178" t="n">
        <x:f>IF(O85=0,"",MAXIFS('ثبت اطلاعات'!$CN$5:$CN$1204,'ثبت اطلاعات'!$C$5:$C$1204,A85,'ثبت اطلاعات'!$CO$5:$CO$1204,1))</x:f>
        <x:v>1</x:v>
      </x:c>
      <x:c r="R85" s="178" t="str">
        <x:f>IF(O85&lt;2,"",SUMIFS('ثبت اطلاعات'!$CL$5:$CL$1204,'ثبت اطلاعات'!$C$5:$C$1204,A85,'ثبت اطلاعات'!$CN$5:$CN$1204,Q85)-SUMIFS('ثبت اطلاعات'!$CL$5:$CL$1204,'ثبت اطلاعات'!$C$5:$C$1204,A85,'ثبت اطلاعات'!$CN$5:$CN$1204,P85))</x:f>
      </x:c>
      <x:c r="S85" s="178" t="str">
        <x:f>IF(A85="","",IF(O85=0,"فاقد ارزیابی نهایی",IF(O85=1,"داده ناکافی",IF(R85&gt;0.5,"پیشرفت",IF(R85&lt;-0.5,"افت","ثبات")))))</x:f>
        <x:v>داده ناکافی</x:v>
      </x:c>
      <x:c r="T85" s="178" t="str">
        <x:f>IF(N85="","",INDEX($E$4:$M$4,1,MATCH(MAX(E85:M85),E85:M85,0)))</x:f>
        <x:v>ورزشی</x:v>
      </x:c>
      <x:c r="U85" s="178" t="str">
        <x:f>IF(N85="","",INDEX($E$4:$M$4,1,MATCH(MIN(E85:M85),E85:M85,0)))</x:f>
        <x:v>مهارت‌های فردی</x:v>
      </x:c>
      <x:c r="V85" s="178" t="str">
        <x:f>IF(N85="","",IF(N85&gt;=17,"عالی",IF(N85&gt;=14,"خوب",IF(N85&gt;=10,"متوسط","ضعیف"))))</x:f>
        <x:v>خوب</x:v>
      </x:c>
      <x:c r="W85" s="178" t="n">
        <x:f>IF(N85="","",RANK.EQ(N85,$N$5:$N$104,0))</x:f>
        <x:v>56</x:v>
      </x:c>
      <x:c r="X85" s="178" t="n">
        <x:f>IF(N85="","",COUNT($N$5:$N$104))</x:f>
        <x:v>100</x:v>
      </x:c>
      <x:c r="Y85" s="142" t="str">
        <x:f>IF(U85="","",IFERROR(INDEX('بانک راهکارها'!$C$5:$C$13,MATCH(U85,'بانک راهکارها'!$B$5:$B$13,0)),""))</x:f>
        <x:v>تمرین برنامه‌ریزی هفتگی، ارتباط مؤثر و کار تیمی پیشنهاد می‌شود.</x:v>
      </x:c>
    </x:row>
    <x:row r="86">
      <x:c r="A86" s="165" t="n">
        <x:f>IF('دانش‌آموزان'!L86="","",'دانش‌آموزان'!B86)</x:f>
        <x:v>82</x:v>
      </x:c>
      <x:c r="B86" s="233" t="str">
        <x:f>IF(A86="","",'دانش‌آموزان'!C86)</x:f>
        <x:v>4000000829</x:v>
      </x:c>
      <x:c r="C86" s="233" t="str">
        <x:f>IF(A86="","",'دانش‌آموزان'!E86&amp;" "&amp;'دانش‌آموزان'!F86)</x:f>
        <x:v>فاطمه اکبری</x:v>
      </x:c>
      <x:c r="D86" s="166" t="str">
        <x:f>IF(A86="","",'دانش‌آموزان'!I86)</x:f>
        <x:v>sample-7-d</x:v>
      </x:c>
      <x:c r="E86" s="141" t="n">
        <x:f>IF(A86="","",IFERROR(SUMIFS('ثبت اطلاعات'!$CC$5:$CC$1204,'ثبت اطلاعات'!$C$5:$C$1204,A86,'ثبت اطلاعات'!$CO$5:$CO$1204,1)/COUNTIFS('ثبت اطلاعات'!$C$5:$C$1204,A86,'ثبت اطلاعات'!$CO$5:$CO$1204,1),""))</x:f>
        <x:v>15.2</x:v>
      </x:c>
      <x:c r="F86" s="178" t="n">
        <x:f>IF(A86="","",IFERROR(SUMIFS('ثبت اطلاعات'!$CD$5:$CD$1204,'ثبت اطلاعات'!$C$5:$C$1204,A86,'ثبت اطلاعات'!$CO$5:$CO$1204,1)/COUNTIFS('ثبت اطلاعات'!$C$5:$C$1204,A86,'ثبت اطلاعات'!$CO$5:$CO$1204,1),""))</x:f>
        <x:v>15.6</x:v>
      </x:c>
      <x:c r="G86" s="178" t="n">
        <x:f>IF(A86="","",IFERROR(SUMIFS('ثبت اطلاعات'!$CE$5:$CE$1204,'ثبت اطلاعات'!$C$5:$C$1204,A86,'ثبت اطلاعات'!$CO$5:$CO$1204,1)/COUNTIFS('ثبت اطلاعات'!$C$5:$C$1204,A86,'ثبت اطلاعات'!$CO$5:$CO$1204,1),""))</x:f>
        <x:v>14.8</x:v>
      </x:c>
      <x:c r="H86" s="178" t="n">
        <x:f>IF(A86="","",IFERROR(SUMIFS('ثبت اطلاعات'!$CF$5:$CF$1204,'ثبت اطلاعات'!$C$5:$C$1204,A86,'ثبت اطلاعات'!$CO$5:$CO$1204,1)/COUNTIFS('ثبت اطلاعات'!$C$5:$C$1204,A86,'ثبت اطلاعات'!$CO$5:$CO$1204,1),""))</x:f>
        <x:v>15</x:v>
      </x:c>
      <x:c r="I86" s="178" t="n">
        <x:f>IF(A86="","",IFERROR(SUMIFS('ثبت اطلاعات'!$CG$5:$CG$1204,'ثبت اطلاعات'!$C$5:$C$1204,A86,'ثبت اطلاعات'!$CO$5:$CO$1204,1)/COUNTIFS('ثبت اطلاعات'!$C$5:$C$1204,A86,'ثبت اطلاعات'!$CO$5:$CO$1204,1),""))</x:f>
        <x:v>15.428571428571429</x:v>
      </x:c>
      <x:c r="J86" s="178" t="n">
        <x:f>IF(A86="","",IFERROR(SUMIFS('ثبت اطلاعات'!$CH$5:$CH$1204,'ثبت اطلاعات'!$C$5:$C$1204,A86,'ثبت اطلاعات'!$CO$5:$CO$1204,1)/COUNTIFS('ثبت اطلاعات'!$C$5:$C$1204,A86,'ثبت اطلاعات'!$CO$5:$CO$1204,1),""))</x:f>
        <x:v>16</x:v>
      </x:c>
      <x:c r="K86" s="178" t="n">
        <x:f>IF(A86="","",IFERROR(SUMIFS('ثبت اطلاعات'!$CI$5:$CI$1204,'ثبت اطلاعات'!$C$5:$C$1204,A86,'ثبت اطلاعات'!$CO$5:$CO$1204,1)/COUNTIFS('ثبت اطلاعات'!$C$5:$C$1204,A86,'ثبت اطلاعات'!$CO$5:$CO$1204,1),""))</x:f>
        <x:v>14.285714285714286</x:v>
      </x:c>
      <x:c r="L86" s="178" t="n">
        <x:f>IF(A86="","",IFERROR(SUMIFS('ثبت اطلاعات'!$CJ$5:$CJ$1204,'ثبت اطلاعات'!$C$5:$C$1204,A86,'ثبت اطلاعات'!$CO$5:$CO$1204,1)/COUNTIFS('ثبت اطلاعات'!$C$5:$C$1204,A86,'ثبت اطلاعات'!$CO$5:$CO$1204,1),""))</x:f>
        <x:v>15.428571428571429</x:v>
      </x:c>
      <x:c r="M86" s="178" t="n">
        <x:f>IF(A86="","",IFERROR(SUMIFS('ثبت اطلاعات'!$CK$5:$CK$1204,'ثبت اطلاعات'!$C$5:$C$1204,A86,'ثبت اطلاعات'!$CO$5:$CO$1204,1)/COUNTIFS('ثبت اطلاعات'!$C$5:$C$1204,A86,'ثبت اطلاعات'!$CO$5:$CO$1204,1),""))</x:f>
        <x:v>15.428571428571429</x:v>
      </x:c>
      <x:c r="N86" s="178" t="n">
        <x:f>IF(A86="","",IFERROR(SUMIFS('ثبت اطلاعات'!$CL$5:$CL$1204,'ثبت اطلاعات'!$C$5:$C$1204,A86,'ثبت اطلاعات'!$CO$5:$CO$1204,1)/COUNTIFS('ثبت اطلاعات'!$C$5:$C$1204,A86,'ثبت اطلاعات'!$CO$5:$CO$1204,1),""))</x:f>
        <x:v>15.215714285714286</x:v>
      </x:c>
      <x:c r="O86" s="178" t="n">
        <x:f>IF(A86="","",COUNTIFS('ثبت اطلاعات'!$C$5:$C$1204,A86,'ثبت اطلاعات'!$CO$5:$CO$1204,1))</x:f>
        <x:v>1</x:v>
      </x:c>
      <x:c r="P86" s="178" t="n">
        <x:f>IF(O86=0,"",MINIFS('ثبت اطلاعات'!$CN$5:$CN$1204,'ثبت اطلاعات'!$C$5:$C$1204,A86,'ثبت اطلاعات'!$CO$5:$CO$1204,1))</x:f>
        <x:v>1</x:v>
      </x:c>
      <x:c r="Q86" s="178" t="n">
        <x:f>IF(O86=0,"",MAXIFS('ثبت اطلاعات'!$CN$5:$CN$1204,'ثبت اطلاعات'!$C$5:$C$1204,A86,'ثبت اطلاعات'!$CO$5:$CO$1204,1))</x:f>
        <x:v>1</x:v>
      </x:c>
      <x:c r="R86" s="178" t="str">
        <x:f>IF(O86&lt;2,"",SUMIFS('ثبت اطلاعات'!$CL$5:$CL$1204,'ثبت اطلاعات'!$C$5:$C$1204,A86,'ثبت اطلاعات'!$CN$5:$CN$1204,Q86)-SUMIFS('ثبت اطلاعات'!$CL$5:$CL$1204,'ثبت اطلاعات'!$C$5:$C$1204,A86,'ثبت اطلاعات'!$CN$5:$CN$1204,P86))</x:f>
      </x:c>
      <x:c r="S86" s="178" t="str">
        <x:f>IF(A86="","",IF(O86=0,"فاقد ارزیابی نهایی",IF(O86=1,"داده ناکافی",IF(R86&gt;0.5,"پیشرفت",IF(R86&lt;-0.5,"افت","ثبات")))))</x:f>
        <x:v>داده ناکافی</x:v>
      </x:c>
      <x:c r="T86" s="178" t="str">
        <x:f>IF(N86="","",INDEX($E$4:$M$4,1,MATCH(MAX(E86:M86),E86:M86,0)))</x:f>
        <x:v>پژوهشی</x:v>
      </x:c>
      <x:c r="U86" s="178" t="str">
        <x:f>IF(N86="","",INDEX($E$4:$M$4,1,MATCH(MIN(E86:M86),E86:M86,0)))</x:f>
        <x:v>ورزشی</x:v>
      </x:c>
      <x:c r="V86" s="178" t="str">
        <x:f>IF(N86="","",IF(N86&gt;=17,"عالی",IF(N86&gt;=14,"خوب",IF(N86&gt;=10,"متوسط","ضعیف"))))</x:f>
        <x:v>خوب</x:v>
      </x:c>
      <x:c r="W86" s="178" t="n">
        <x:f>IF(N86="","",RANK.EQ(N86,$N$5:$N$104,0))</x:f>
        <x:v>65</x:v>
      </x:c>
      <x:c r="X86" s="178" t="n">
        <x:f>IF(N86="","",COUNT($N$5:$N$104))</x:f>
        <x:v>100</x:v>
      </x:c>
      <x:c r="Y86" s="142" t="str">
        <x:f>IF(U86="","",IFERROR(INDEX('بانک راهکارها'!$C$5:$C$13,MATCH(U86,'بانک راهکارها'!$B$5:$B$13,0)),""))</x:f>
        <x:v>برنامه فعالیت بدنی منظم و مشارکت در ورزش گروهی پیشنهاد می‌شود.</x:v>
      </x:c>
    </x:row>
    <x:row r="87">
      <x:c r="A87" s="165" t="n">
        <x:f>IF('دانش‌آموزان'!L87="","",'دانش‌آموزان'!B87)</x:f>
        <x:v>83</x:v>
      </x:c>
      <x:c r="B87" s="233" t="str">
        <x:f>IF(A87="","",'دانش‌آموزان'!C87)</x:f>
        <x:v>4000000837</x:v>
      </x:c>
      <x:c r="C87" s="233" t="str">
        <x:f>IF(A87="","",'دانش‌آموزان'!E87&amp;" "&amp;'دانش‌آموزان'!F87)</x:f>
        <x:v>امیرحسین طاهری</x:v>
      </x:c>
      <x:c r="D87" s="166" t="str">
        <x:f>IF(A87="","",'دانش‌آموزان'!I87)</x:f>
        <x:v>sample-7-d</x:v>
      </x:c>
      <x:c r="E87" s="141" t="n">
        <x:f>IF(A87="","",IFERROR(SUMIFS('ثبت اطلاعات'!$CC$5:$CC$1204,'ثبت اطلاعات'!$C$5:$C$1204,A87,'ثبت اطلاعات'!$CO$5:$CO$1204,1)/COUNTIFS('ثبت اطلاعات'!$C$5:$C$1204,A87,'ثبت اطلاعات'!$CO$5:$CO$1204,1),""))</x:f>
        <x:v>14.8</x:v>
      </x:c>
      <x:c r="F87" s="178" t="n">
        <x:f>IF(A87="","",IFERROR(SUMIFS('ثبت اطلاعات'!$CD$5:$CD$1204,'ثبت اطلاعات'!$C$5:$C$1204,A87,'ثبت اطلاعات'!$CO$5:$CO$1204,1)/COUNTIFS('ثبت اطلاعات'!$C$5:$C$1204,A87,'ثبت اطلاعات'!$CO$5:$CO$1204,1),""))</x:f>
        <x:v>15.2</x:v>
      </x:c>
      <x:c r="G87" s="178" t="n">
        <x:f>IF(A87="","",IFERROR(SUMIFS('ثبت اطلاعات'!$CE$5:$CE$1204,'ثبت اطلاعات'!$C$5:$C$1204,A87,'ثبت اطلاعات'!$CO$5:$CO$1204,1)/COUNTIFS('ثبت اطلاعات'!$C$5:$C$1204,A87,'ثبت اطلاعات'!$CO$5:$CO$1204,1),""))</x:f>
        <x:v>16</x:v>
      </x:c>
      <x:c r="H87" s="178" t="n">
        <x:f>IF(A87="","",IFERROR(SUMIFS('ثبت اطلاعات'!$CF$5:$CF$1204,'ثبت اطلاعات'!$C$5:$C$1204,A87,'ثبت اطلاعات'!$CO$5:$CO$1204,1)/COUNTIFS('ثبت اطلاعات'!$C$5:$C$1204,A87,'ثبت اطلاعات'!$CO$5:$CO$1204,1),""))</x:f>
        <x:v>15.5</x:v>
      </x:c>
      <x:c r="I87" s="178" t="n">
        <x:f>IF(A87="","",IFERROR(SUMIFS('ثبت اطلاعات'!$CG$5:$CG$1204,'ثبت اطلاعات'!$C$5:$C$1204,A87,'ثبت اطلاعات'!$CO$5:$CO$1204,1)/COUNTIFS('ثبت اطلاعات'!$C$5:$C$1204,A87,'ثبت اطلاعات'!$CO$5:$CO$1204,1),""))</x:f>
        <x:v>14.857142857142858</x:v>
      </x:c>
      <x:c r="J87" s="178" t="n">
        <x:f>IF(A87="","",IFERROR(SUMIFS('ثبت اطلاعات'!$CH$5:$CH$1204,'ثبت اطلاعات'!$C$5:$C$1204,A87,'ثبت اطلاعات'!$CO$5:$CO$1204,1)/COUNTIFS('ثبت اطلاعات'!$C$5:$C$1204,A87,'ثبت اطلاعات'!$CO$5:$CO$1204,1),""))</x:f>
        <x:v>14.5</x:v>
      </x:c>
      <x:c r="K87" s="178" t="n">
        <x:f>IF(A87="","",IFERROR(SUMIFS('ثبت اطلاعات'!$CI$5:$CI$1204,'ثبت اطلاعات'!$C$5:$C$1204,A87,'ثبت اطلاعات'!$CO$5:$CO$1204,1)/COUNTIFS('ثبت اطلاعات'!$C$5:$C$1204,A87,'ثبت اطلاعات'!$CO$5:$CO$1204,1),""))</x:f>
        <x:v>16.571428571428573</x:v>
      </x:c>
      <x:c r="L87" s="178" t="n">
        <x:f>IF(A87="","",IFERROR(SUMIFS('ثبت اطلاعات'!$CJ$5:$CJ$1204,'ثبت اطلاعات'!$C$5:$C$1204,A87,'ثبت اطلاعات'!$CO$5:$CO$1204,1)/COUNTIFS('ثبت اطلاعات'!$C$5:$C$1204,A87,'ثبت اطلاعات'!$CO$5:$CO$1204,1),""))</x:f>
        <x:v>14.857142857142858</x:v>
      </x:c>
      <x:c r="M87" s="178" t="n">
        <x:f>IF(A87="","",IFERROR(SUMIFS('ثبت اطلاعات'!$CK$5:$CK$1204,'ثبت اطلاعات'!$C$5:$C$1204,A87,'ثبت اطلاعات'!$CO$5:$CO$1204,1)/COUNTIFS('ثبت اطلاعات'!$C$5:$C$1204,A87,'ثبت اطلاعات'!$CO$5:$CO$1204,1),""))</x:f>
        <x:v>15.428571428571429</x:v>
      </x:c>
      <x:c r="N87" s="178" t="n">
        <x:f>IF(A87="","",IFERROR(SUMIFS('ثبت اطلاعات'!$CL$5:$CL$1204,'ثبت اطلاعات'!$C$5:$C$1204,A87,'ثبت اطلاعات'!$CO$5:$CO$1204,1)/COUNTIFS('ثبت اطلاعات'!$C$5:$C$1204,A87,'ثبت اطلاعات'!$CO$5:$CO$1204,1),""))</x:f>
        <x:v>15.29642857142857</x:v>
      </x:c>
      <x:c r="O87" s="178" t="n">
        <x:f>IF(A87="","",COUNTIFS('ثبت اطلاعات'!$C$5:$C$1204,A87,'ثبت اطلاعات'!$CO$5:$CO$1204,1))</x:f>
        <x:v>1</x:v>
      </x:c>
      <x:c r="P87" s="178" t="n">
        <x:f>IF(O87=0,"",MINIFS('ثبت اطلاعات'!$CN$5:$CN$1204,'ثبت اطلاعات'!$C$5:$C$1204,A87,'ثبت اطلاعات'!$CO$5:$CO$1204,1))</x:f>
        <x:v>1</x:v>
      </x:c>
      <x:c r="Q87" s="178" t="n">
        <x:f>IF(O87=0,"",MAXIFS('ثبت اطلاعات'!$CN$5:$CN$1204,'ثبت اطلاعات'!$C$5:$C$1204,A87,'ثبت اطلاعات'!$CO$5:$CO$1204,1))</x:f>
        <x:v>1</x:v>
      </x:c>
      <x:c r="R87" s="178" t="str">
        <x:f>IF(O87&lt;2,"",SUMIFS('ثبت اطلاعات'!$CL$5:$CL$1204,'ثبت اطلاعات'!$C$5:$C$1204,A87,'ثبت اطلاعات'!$CN$5:$CN$1204,Q87)-SUMIFS('ثبت اطلاعات'!$CL$5:$CL$1204,'ثبت اطلاعات'!$C$5:$C$1204,A87,'ثبت اطلاعات'!$CN$5:$CN$1204,P87))</x:f>
      </x:c>
      <x:c r="S87" s="178" t="str">
        <x:f>IF(A87="","",IF(O87=0,"فاقد ارزیابی نهایی",IF(O87=1,"داده ناکافی",IF(R87&gt;0.5,"پیشرفت",IF(R87&lt;-0.5,"افت","ثبات")))))</x:f>
        <x:v>داده ناکافی</x:v>
      </x:c>
      <x:c r="T87" s="178" t="str">
        <x:f>IF(N87="","",INDEX($E$4:$M$4,1,MATCH(MAX(E87:M87),E87:M87,0)))</x:f>
        <x:v>ورزشی</x:v>
      </x:c>
      <x:c r="U87" s="178" t="str">
        <x:f>IF(N87="","",INDEX($E$4:$M$4,1,MATCH(MIN(E87:M87),E87:M87,0)))</x:f>
        <x:v>پژوهشی</x:v>
      </x:c>
      <x:c r="V87" s="178" t="str">
        <x:f>IF(N87="","",IF(N87&gt;=17,"عالی",IF(N87&gt;=14,"خوب",IF(N87&gt;=10,"متوسط","ضعیف"))))</x:f>
        <x:v>خوب</x:v>
      </x:c>
      <x:c r="W87" s="178" t="n">
        <x:f>IF(N87="","",RANK.EQ(N87,$N$5:$N$104,0))</x:f>
        <x:v>38</x:v>
      </x:c>
      <x:c r="X87" s="178" t="n">
        <x:f>IF(N87="","",COUNT($N$5:$N$104))</x:f>
        <x:v>100</x:v>
      </x:c>
      <x:c r="Y87" s="142" t="str">
        <x:f>IF(U87="","",IFERROR(INDEX('بانک راهکارها'!$C$5:$C$13,MATCH(U87,'بانک راهکارها'!$B$5:$B$13,0)),""))</x:f>
        <x:v>یک پروژه کوچک پژوهشی با منابع مشخص و ارائه کوتاه پیشنهاد می‌شود.</x:v>
      </x:c>
    </x:row>
    <x:row r="88">
      <x:c r="A88" s="165" t="n">
        <x:f>IF('دانش‌آموزان'!L88="","",'دانش‌آموزان'!B88)</x:f>
        <x:v>84</x:v>
      </x:c>
      <x:c r="B88" s="233" t="str">
        <x:f>IF(A88="","",'دانش‌آموزان'!C88)</x:f>
        <x:v>4000000845</x:v>
      </x:c>
      <x:c r="C88" s="233" t="str">
        <x:f>IF(A88="","",'دانش‌آموزان'!E88&amp;" "&amp;'دانش‌آموزان'!F88)</x:f>
        <x:v>زهرا محمدی</x:v>
      </x:c>
      <x:c r="D88" s="166" t="str">
        <x:f>IF(A88="","",'دانش‌آموزان'!I88)</x:f>
        <x:v>sample-7-d</x:v>
      </x:c>
      <x:c r="E88" s="141" t="n">
        <x:f>IF(A88="","",IFERROR(SUMIFS('ثبت اطلاعات'!$CC$5:$CC$1204,'ثبت اطلاعات'!$C$5:$C$1204,A88,'ثبت اطلاعات'!$CO$5:$CO$1204,1)/COUNTIFS('ثبت اطلاعات'!$C$5:$C$1204,A88,'ثبت اطلاعات'!$CO$5:$CO$1204,1),""))</x:f>
        <x:v>15.6</x:v>
      </x:c>
      <x:c r="F88" s="178" t="n">
        <x:f>IF(A88="","",IFERROR(SUMIFS('ثبت اطلاعات'!$CD$5:$CD$1204,'ثبت اطلاعات'!$C$5:$C$1204,A88,'ثبت اطلاعات'!$CO$5:$CO$1204,1)/COUNTIFS('ثبت اطلاعات'!$C$5:$C$1204,A88,'ثبت اطلاعات'!$CO$5:$CO$1204,1),""))</x:f>
        <x:v>14.8</x:v>
      </x:c>
      <x:c r="G88" s="178" t="n">
        <x:f>IF(A88="","",IFERROR(SUMIFS('ثبت اطلاعات'!$CE$5:$CE$1204,'ثبت اطلاعات'!$C$5:$C$1204,A88,'ثبت اطلاعات'!$CO$5:$CO$1204,1)/COUNTIFS('ثبت اطلاعات'!$C$5:$C$1204,A88,'ثبت اطلاعات'!$CO$5:$CO$1204,1),""))</x:f>
        <x:v>15.6</x:v>
      </x:c>
      <x:c r="H88" s="178" t="n">
        <x:f>IF(A88="","",IFERROR(SUMIFS('ثبت اطلاعات'!$CF$5:$CF$1204,'ثبت اطلاعات'!$C$5:$C$1204,A88,'ثبت اطلاعات'!$CO$5:$CO$1204,1)/COUNTIFS('ثبت اطلاعات'!$C$5:$C$1204,A88,'ثبت اطلاعات'!$CO$5:$CO$1204,1),""))</x:f>
        <x:v>14</x:v>
      </x:c>
      <x:c r="I88" s="178" t="n">
        <x:f>IF(A88="","",IFERROR(SUMIFS('ثبت اطلاعات'!$CG$5:$CG$1204,'ثبت اطلاعات'!$C$5:$C$1204,A88,'ثبت اطلاعات'!$CO$5:$CO$1204,1)/COUNTIFS('ثبت اطلاعات'!$C$5:$C$1204,A88,'ثبت اطلاعات'!$CO$5:$CO$1204,1),""))</x:f>
        <x:v>16.571428571428573</x:v>
      </x:c>
      <x:c r="J88" s="178" t="n">
        <x:f>IF(A88="","",IFERROR(SUMIFS('ثبت اطلاعات'!$CH$5:$CH$1204,'ثبت اطلاعات'!$C$5:$C$1204,A88,'ثبت اطلاعات'!$CO$5:$CO$1204,1)/COUNTIFS('ثبت اطلاعات'!$C$5:$C$1204,A88,'ثبت اطلاعات'!$CO$5:$CO$1204,1),""))</x:f>
        <x:v>15</x:v>
      </x:c>
      <x:c r="K88" s="178" t="n">
        <x:f>IF(A88="","",IFERROR(SUMIFS('ثبت اطلاعات'!$CI$5:$CI$1204,'ثبت اطلاعات'!$C$5:$C$1204,A88,'ثبت اطلاعات'!$CO$5:$CO$1204,1)/COUNTIFS('ثبت اطلاعات'!$C$5:$C$1204,A88,'ثبت اطلاعات'!$CO$5:$CO$1204,1),""))</x:f>
        <x:v>14.285714285714286</x:v>
      </x:c>
      <x:c r="L88" s="178" t="n">
        <x:f>IF(A88="","",IFERROR(SUMIFS('ثبت اطلاعات'!$CJ$5:$CJ$1204,'ثبت اطلاعات'!$C$5:$C$1204,A88,'ثبت اطلاعات'!$CO$5:$CO$1204,1)/COUNTIFS('ثبت اطلاعات'!$C$5:$C$1204,A88,'ثبت اطلاعات'!$CO$5:$CO$1204,1),""))</x:f>
        <x:v>16.571428571428573</x:v>
      </x:c>
      <x:c r="M88" s="178" t="n">
        <x:f>IF(A88="","",IFERROR(SUMIFS('ثبت اطلاعات'!$CK$5:$CK$1204,'ثبت اطلاعات'!$C$5:$C$1204,A88,'ثبت اطلاعات'!$CO$5:$CO$1204,1)/COUNTIFS('ثبت اطلاعات'!$C$5:$C$1204,A88,'ثبت اطلاعات'!$CO$5:$CO$1204,1),""))</x:f>
        <x:v>15.428571428571429</x:v>
      </x:c>
      <x:c r="N88" s="178" t="n">
        <x:f>IF(A88="","",IFERROR(SUMIFS('ثبت اطلاعات'!$CL$5:$CL$1204,'ثبت اطلاعات'!$C$5:$C$1204,A88,'ثبت اطلاعات'!$CO$5:$CO$1204,1)/COUNTIFS('ثبت اطلاعات'!$C$5:$C$1204,A88,'ثبت اطلاعات'!$CO$5:$CO$1204,1),""))</x:f>
        <x:v>15.214285714285715</x:v>
      </x:c>
      <x:c r="O88" s="178" t="n">
        <x:f>IF(A88="","",COUNTIFS('ثبت اطلاعات'!$C$5:$C$1204,A88,'ثبت اطلاعات'!$CO$5:$CO$1204,1))</x:f>
        <x:v>1</x:v>
      </x:c>
      <x:c r="P88" s="178" t="n">
        <x:f>IF(O88=0,"",MINIFS('ثبت اطلاعات'!$CN$5:$CN$1204,'ثبت اطلاعات'!$C$5:$C$1204,A88,'ثبت اطلاعات'!$CO$5:$CO$1204,1))</x:f>
        <x:v>1</x:v>
      </x:c>
      <x:c r="Q88" s="178" t="n">
        <x:f>IF(O88=0,"",MAXIFS('ثبت اطلاعات'!$CN$5:$CN$1204,'ثبت اطلاعات'!$C$5:$C$1204,A88,'ثبت اطلاعات'!$CO$5:$CO$1204,1))</x:f>
        <x:v>1</x:v>
      </x:c>
      <x:c r="R88" s="178" t="str">
        <x:f>IF(O88&lt;2,"",SUMIFS('ثبت اطلاعات'!$CL$5:$CL$1204,'ثبت اطلاعات'!$C$5:$C$1204,A88,'ثبت اطلاعات'!$CN$5:$CN$1204,Q88)-SUMIFS('ثبت اطلاعات'!$CL$5:$CL$1204,'ثبت اطلاعات'!$C$5:$C$1204,A88,'ثبت اطلاعات'!$CN$5:$CN$1204,P88))</x:f>
      </x:c>
      <x:c r="S88" s="178" t="str">
        <x:f>IF(A88="","",IF(O88=0,"فاقد ارزیابی نهایی",IF(O88=1,"داده ناکافی",IF(R88&gt;0.5,"پیشرفت",IF(R88&lt;-0.5,"افت","ثبات")))))</x:f>
        <x:v>داده ناکافی</x:v>
      </x:c>
      <x:c r="T88" s="178" t="str">
        <x:f>IF(N88="","",INDEX($E$4:$M$4,1,MATCH(MAX(E88:M88),E88:M88,0)))</x:f>
        <x:v>فرهنگی</x:v>
      </x:c>
      <x:c r="U88" s="178" t="str">
        <x:f>IF(N88="","",INDEX($E$4:$M$4,1,MATCH(MIN(E88:M88),E88:M88,0)))</x:f>
        <x:v>انضباطی</x:v>
      </x:c>
      <x:c r="V88" s="178" t="str">
        <x:f>IF(N88="","",IF(N88&gt;=17,"عالی",IF(N88&gt;=14,"خوب",IF(N88&gt;=10,"متوسط","ضعیف"))))</x:f>
        <x:v>خوب</x:v>
      </x:c>
      <x:c r="W88" s="178" t="n">
        <x:f>IF(N88="","",RANK.EQ(N88,$N$5:$N$104,0))</x:f>
        <x:v>74</x:v>
      </x:c>
      <x:c r="X88" s="178" t="n">
        <x:f>IF(N88="","",COUNT($N$5:$N$104))</x:f>
        <x:v>100</x:v>
      </x:c>
      <x:c r="Y88" s="142" t="str">
        <x:f>IF(U88="","",IFERROR(INDEX('بانک راهکارها'!$C$5:$C$13,MATCH(U88,'بانک راهکارها'!$B$5:$B$13,0)),""))</x:f>
        <x:v>قواعد روشن، قرارداد رفتاری کوتاه‌مدت و ثبت منظم پیشرفت پیشنهاد می‌شود.</x:v>
      </x:c>
    </x:row>
    <x:row r="89">
      <x:c r="A89" s="165" t="n">
        <x:f>IF('دانش‌آموزان'!L89="","",'دانش‌آموزان'!B89)</x:f>
        <x:v>85</x:v>
      </x:c>
      <x:c r="B89" s="233" t="str">
        <x:f>IF(A89="","",'دانش‌آموزان'!C89)</x:f>
        <x:v>4000000853</x:v>
      </x:c>
      <x:c r="C89" s="233" t="str">
        <x:f>IF(A89="","",'دانش‌آموزان'!E89&amp;" "&amp;'دانش‌آموزان'!F89)</x:f>
        <x:v>محمد قاسمی</x:v>
      </x:c>
      <x:c r="D89" s="166" t="str">
        <x:f>IF(A89="","",'دانش‌آموزان'!I89)</x:f>
        <x:v>sample-7-d</x:v>
      </x:c>
      <x:c r="E89" s="141" t="n">
        <x:f>IF(A89="","",IFERROR(SUMIFS('ثبت اطلاعات'!$CC$5:$CC$1204,'ثبت اطلاعات'!$C$5:$C$1204,A89,'ثبت اطلاعات'!$CO$5:$CO$1204,1)/COUNTIFS('ثبت اطلاعات'!$C$5:$C$1204,A89,'ثبت اطلاعات'!$CO$5:$CO$1204,1),""))</x:f>
        <x:v>15.2</x:v>
      </x:c>
      <x:c r="F89" s="178" t="n">
        <x:f>IF(A89="","",IFERROR(SUMIFS('ثبت اطلاعات'!$CD$5:$CD$1204,'ثبت اطلاعات'!$C$5:$C$1204,A89,'ثبت اطلاعات'!$CO$5:$CO$1204,1)/COUNTIFS('ثبت اطلاعات'!$C$5:$C$1204,A89,'ثبت اطلاعات'!$CO$5:$CO$1204,1),""))</x:f>
        <x:v>16</x:v>
      </x:c>
      <x:c r="G89" s="178" t="n">
        <x:f>IF(A89="","",IFERROR(SUMIFS('ثبت اطلاعات'!$CE$5:$CE$1204,'ثبت اطلاعات'!$C$5:$C$1204,A89,'ثبت اطلاعات'!$CO$5:$CO$1204,1)/COUNTIFS('ثبت اطلاعات'!$C$5:$C$1204,A89,'ثبت اطلاعات'!$CO$5:$CO$1204,1),""))</x:f>
        <x:v>15.2</x:v>
      </x:c>
      <x:c r="H89" s="178" t="n">
        <x:f>IF(A89="","",IFERROR(SUMIFS('ثبت اطلاعات'!$CF$5:$CF$1204,'ثبت اطلاعات'!$C$5:$C$1204,A89,'ثبت اطلاعات'!$CO$5:$CO$1204,1)/COUNTIFS('ثبت اطلاعات'!$C$5:$C$1204,A89,'ثبت اطلاعات'!$CO$5:$CO$1204,1),""))</x:f>
        <x:v>16</x:v>
      </x:c>
      <x:c r="I89" s="178" t="n">
        <x:f>IF(A89="","",IFERROR(SUMIFS('ثبت اطلاعات'!$CG$5:$CG$1204,'ثبت اطلاعات'!$C$5:$C$1204,A89,'ثبت اطلاعات'!$CO$5:$CO$1204,1)/COUNTIFS('ثبت اطلاعات'!$C$5:$C$1204,A89,'ثبت اطلاعات'!$CO$5:$CO$1204,1),""))</x:f>
        <x:v>14.285714285714286</x:v>
      </x:c>
      <x:c r="J89" s="178" t="n">
        <x:f>IF(A89="","",IFERROR(SUMIFS('ثبت اطلاعات'!$CH$5:$CH$1204,'ثبت اطلاعات'!$C$5:$C$1204,A89,'ثبت اطلاعات'!$CO$5:$CO$1204,1)/COUNTIFS('ثبت اطلاعات'!$C$5:$C$1204,A89,'ثبت اطلاعات'!$CO$5:$CO$1204,1),""))</x:f>
        <x:v>15.5</x:v>
      </x:c>
      <x:c r="K89" s="178" t="n">
        <x:f>IF(A89="","",IFERROR(SUMIFS('ثبت اطلاعات'!$CI$5:$CI$1204,'ثبت اطلاعات'!$C$5:$C$1204,A89,'ثبت اطلاعات'!$CO$5:$CO$1204,1)/COUNTIFS('ثبت اطلاعات'!$C$5:$C$1204,A89,'ثبت اطلاعات'!$CO$5:$CO$1204,1),""))</x:f>
        <x:v>16</x:v>
      </x:c>
      <x:c r="L89" s="178" t="n">
        <x:f>IF(A89="","",IFERROR(SUMIFS('ثبت اطلاعات'!$CJ$5:$CJ$1204,'ثبت اطلاعات'!$C$5:$C$1204,A89,'ثبت اطلاعات'!$CO$5:$CO$1204,1)/COUNTIFS('ثبت اطلاعات'!$C$5:$C$1204,A89,'ثبت اطلاعات'!$CO$5:$CO$1204,1),""))</x:f>
        <x:v>14.285714285714286</x:v>
      </x:c>
      <x:c r="M89" s="178" t="n">
        <x:f>IF(A89="","",IFERROR(SUMIFS('ثبت اطلاعات'!$CK$5:$CK$1204,'ثبت اطلاعات'!$C$5:$C$1204,A89,'ثبت اطلاعات'!$CO$5:$CO$1204,1)/COUNTIFS('ثبت اطلاعات'!$C$5:$C$1204,A89,'ثبت اطلاعات'!$CO$5:$CO$1204,1),""))</x:f>
        <x:v>15.428571428571429</x:v>
      </x:c>
      <x:c r="N89" s="178" t="n">
        <x:f>IF(A89="","",IFERROR(SUMIFS('ثبت اطلاعات'!$CL$5:$CL$1204,'ثبت اطلاعات'!$C$5:$C$1204,A89,'ثبت اطلاعات'!$CO$5:$CO$1204,1)/COUNTIFS('ثبت اطلاعات'!$C$5:$C$1204,A89,'ثبت اطلاعات'!$CO$5:$CO$1204,1),""))</x:f>
        <x:v>15.417142857142858</x:v>
      </x:c>
      <x:c r="O89" s="178" t="n">
        <x:f>IF(A89="","",COUNTIFS('ثبت اطلاعات'!$C$5:$C$1204,A89,'ثبت اطلاعات'!$CO$5:$CO$1204,1))</x:f>
        <x:v>1</x:v>
      </x:c>
      <x:c r="P89" s="178" t="n">
        <x:f>IF(O89=0,"",MINIFS('ثبت اطلاعات'!$CN$5:$CN$1204,'ثبت اطلاعات'!$C$5:$C$1204,A89,'ثبت اطلاعات'!$CO$5:$CO$1204,1))</x:f>
        <x:v>1</x:v>
      </x:c>
      <x:c r="Q89" s="178" t="n">
        <x:f>IF(O89=0,"",MAXIFS('ثبت اطلاعات'!$CN$5:$CN$1204,'ثبت اطلاعات'!$C$5:$C$1204,A89,'ثبت اطلاعات'!$CO$5:$CO$1204,1))</x:f>
        <x:v>1</x:v>
      </x:c>
      <x:c r="R89" s="178" t="str">
        <x:f>IF(O89&lt;2,"",SUMIFS('ثبت اطلاعات'!$CL$5:$CL$1204,'ثبت اطلاعات'!$C$5:$C$1204,A89,'ثبت اطلاعات'!$CN$5:$CN$1204,Q89)-SUMIFS('ثبت اطلاعات'!$CL$5:$CL$1204,'ثبت اطلاعات'!$C$5:$C$1204,A89,'ثبت اطلاعات'!$CN$5:$CN$1204,P89))</x:f>
      </x:c>
      <x:c r="S89" s="178" t="str">
        <x:f>IF(A89="","",IF(O89=0,"فاقد ارزیابی نهایی",IF(O89=1,"داده ناکافی",IF(R89&gt;0.5,"پیشرفت",IF(R89&lt;-0.5,"افت","ثبات")))))</x:f>
        <x:v>داده ناکافی</x:v>
      </x:c>
      <x:c r="T89" s="178" t="str">
        <x:f>IF(N89="","",INDEX($E$4:$M$4,1,MATCH(MAX(E89:M89),E89:M89,0)))</x:f>
        <x:v>پرورشی</x:v>
      </x:c>
      <x:c r="U89" s="178" t="str">
        <x:f>IF(N89="","",INDEX($E$4:$M$4,1,MATCH(MIN(E89:M89),E89:M89,0)))</x:f>
        <x:v>فرهنگی</x:v>
      </x:c>
      <x:c r="V89" s="178" t="str">
        <x:f>IF(N89="","",IF(N89&gt;=17,"عالی",IF(N89&gt;=14,"خوب",IF(N89&gt;=10,"متوسط","ضعیف"))))</x:f>
        <x:v>خوب</x:v>
      </x:c>
      <x:c r="W89" s="178" t="n">
        <x:f>IF(N89="","",RANK.EQ(N89,$N$5:$N$104,0))</x:f>
        <x:v>10</x:v>
      </x:c>
      <x:c r="X89" s="178" t="n">
        <x:f>IF(N89="","",COUNT($N$5:$N$104))</x:f>
        <x:v>100</x:v>
      </x:c>
      <x:c r="Y89" s="142" t="str">
        <x:f>IF(U89="","",IFERROR(INDEX('بانک راهکارها'!$C$5:$C$13,MATCH(U89,'بانک راهکارها'!$B$5:$B$13,0)),""))</x:f>
        <x:v>مشارکت در برنامه‌های فرهنگی، مطالعه هدایت‌شده و فعالیت گروهی پیشنهاد می‌شود.</x:v>
      </x:c>
    </x:row>
    <x:row r="90">
      <x:c r="A90" s="165" t="n">
        <x:f>IF('دانش‌آموزان'!L90="","",'دانش‌آموزان'!B90)</x:f>
        <x:v>86</x:v>
      </x:c>
      <x:c r="B90" s="233" t="str">
        <x:f>IF(A90="","",'دانش‌آموزان'!C90)</x:f>
        <x:v>4000000861</x:v>
      </x:c>
      <x:c r="C90" s="233" t="str">
        <x:f>IF(A90="","",'دانش‌آموزان'!E90&amp;" "&amp;'دانش‌آموزان'!F90)</x:f>
        <x:v>سارا خلیلی</x:v>
      </x:c>
      <x:c r="D90" s="166" t="str">
        <x:f>IF(A90="","",'دانش‌آموزان'!I90)</x:f>
        <x:v>sample-7-d</x:v>
      </x:c>
      <x:c r="E90" s="141" t="n">
        <x:f>IF(A90="","",IFERROR(SUMIFS('ثبت اطلاعات'!$CC$5:$CC$1204,'ثبت اطلاعات'!$C$5:$C$1204,A90,'ثبت اطلاعات'!$CO$5:$CO$1204,1)/COUNTIFS('ثبت اطلاعات'!$C$5:$C$1204,A90,'ثبت اطلاعات'!$CO$5:$CO$1204,1),""))</x:f>
        <x:v>14.8</x:v>
      </x:c>
      <x:c r="F90" s="178" t="n">
        <x:f>IF(A90="","",IFERROR(SUMIFS('ثبت اطلاعات'!$CD$5:$CD$1204,'ثبت اطلاعات'!$C$5:$C$1204,A90,'ثبت اطلاعات'!$CO$5:$CO$1204,1)/COUNTIFS('ثبت اطلاعات'!$C$5:$C$1204,A90,'ثبت اطلاعات'!$CO$5:$CO$1204,1),""))</x:f>
        <x:v>15.6</x:v>
      </x:c>
      <x:c r="G90" s="178" t="n">
        <x:f>IF(A90="","",IFERROR(SUMIFS('ثبت اطلاعات'!$CE$5:$CE$1204,'ثبت اطلاعات'!$C$5:$C$1204,A90,'ثبت اطلاعات'!$CO$5:$CO$1204,1)/COUNTIFS('ثبت اطلاعات'!$C$5:$C$1204,A90,'ثبت اطلاعات'!$CO$5:$CO$1204,1),""))</x:f>
        <x:v>14.8</x:v>
      </x:c>
      <x:c r="H90" s="178" t="n">
        <x:f>IF(A90="","",IFERROR(SUMIFS('ثبت اطلاعات'!$CF$5:$CF$1204,'ثبت اطلاعات'!$C$5:$C$1204,A90,'ثبت اطلاعات'!$CO$5:$CO$1204,1)/COUNTIFS('ثبت اطلاعات'!$C$5:$C$1204,A90,'ثبت اطلاعات'!$CO$5:$CO$1204,1),""))</x:f>
        <x:v>14.5</x:v>
      </x:c>
      <x:c r="I90" s="178" t="n">
        <x:f>IF(A90="","",IFERROR(SUMIFS('ثبت اطلاعات'!$CG$5:$CG$1204,'ثبت اطلاعات'!$C$5:$C$1204,A90,'ثبت اطلاعات'!$CO$5:$CO$1204,1)/COUNTIFS('ثبت اطلاعات'!$C$5:$C$1204,A90,'ثبت اطلاعات'!$CO$5:$CO$1204,1),""))</x:f>
        <x:v>16.571428571428573</x:v>
      </x:c>
      <x:c r="J90" s="178" t="n">
        <x:f>IF(A90="","",IFERROR(SUMIFS('ثبت اطلاعات'!$CH$5:$CH$1204,'ثبت اطلاعات'!$C$5:$C$1204,A90,'ثبت اطلاعات'!$CO$5:$CO$1204,1)/COUNTIFS('ثبت اطلاعات'!$C$5:$C$1204,A90,'ثبت اطلاعات'!$CO$5:$CO$1204,1),""))</x:f>
        <x:v>15.5</x:v>
      </x:c>
      <x:c r="K90" s="178" t="n">
        <x:f>IF(A90="","",IFERROR(SUMIFS('ثبت اطلاعات'!$CI$5:$CI$1204,'ثبت اطلاعات'!$C$5:$C$1204,A90,'ثبت اطلاعات'!$CO$5:$CO$1204,1)/COUNTIFS('ثبت اطلاعات'!$C$5:$C$1204,A90,'ثبت اطلاعات'!$CO$5:$CO$1204,1),""))</x:f>
        <x:v>13.714285714285714</x:v>
      </x:c>
      <x:c r="L90" s="178" t="n">
        <x:f>IF(A90="","",IFERROR(SUMIFS('ثبت اطلاعات'!$CJ$5:$CJ$1204,'ثبت اطلاعات'!$C$5:$C$1204,A90,'ثبت اطلاعات'!$CO$5:$CO$1204,1)/COUNTIFS('ثبت اطلاعات'!$C$5:$C$1204,A90,'ثبت اطلاعات'!$CO$5:$CO$1204,1),""))</x:f>
        <x:v>16.571428571428573</x:v>
      </x:c>
      <x:c r="M90" s="178" t="n">
        <x:f>IF(A90="","",IFERROR(SUMIFS('ثبت اطلاعات'!$CK$5:$CK$1204,'ثبت اطلاعات'!$C$5:$C$1204,A90,'ثبت اطلاعات'!$CO$5:$CO$1204,1)/COUNTIFS('ثبت اطلاعات'!$C$5:$C$1204,A90,'ثبت اطلاعات'!$CO$5:$CO$1204,1),""))</x:f>
        <x:v>14.857142857142858</x:v>
      </x:c>
      <x:c r="N90" s="178" t="n">
        <x:f>IF(A90="","",IFERROR(SUMIFS('ثبت اطلاعات'!$CL$5:$CL$1204,'ثبت اطلاعات'!$C$5:$C$1204,A90,'ثبت اطلاعات'!$CO$5:$CO$1204,1)/COUNTIFS('ثبت اطلاعات'!$C$5:$C$1204,A90,'ثبت اطلاعات'!$CO$5:$CO$1204,1),""))</x:f>
        <x:v>15.089285714285715</x:v>
      </x:c>
      <x:c r="O90" s="178" t="n">
        <x:f>IF(A90="","",COUNTIFS('ثبت اطلاعات'!$C$5:$C$1204,A90,'ثبت اطلاعات'!$CO$5:$CO$1204,1))</x:f>
        <x:v>1</x:v>
      </x:c>
      <x:c r="P90" s="178" t="n">
        <x:f>IF(O90=0,"",MINIFS('ثبت اطلاعات'!$CN$5:$CN$1204,'ثبت اطلاعات'!$C$5:$C$1204,A90,'ثبت اطلاعات'!$CO$5:$CO$1204,1))</x:f>
        <x:v>1</x:v>
      </x:c>
      <x:c r="Q90" s="178" t="n">
        <x:f>IF(O90=0,"",MAXIFS('ثبت اطلاعات'!$CN$5:$CN$1204,'ثبت اطلاعات'!$C$5:$C$1204,A90,'ثبت اطلاعات'!$CO$5:$CO$1204,1))</x:f>
        <x:v>1</x:v>
      </x:c>
      <x:c r="R90" s="178" t="str">
        <x:f>IF(O90&lt;2,"",SUMIFS('ثبت اطلاعات'!$CL$5:$CL$1204,'ثبت اطلاعات'!$C$5:$C$1204,A90,'ثبت اطلاعات'!$CN$5:$CN$1204,Q90)-SUMIFS('ثبت اطلاعات'!$CL$5:$CL$1204,'ثبت اطلاعات'!$C$5:$C$1204,A90,'ثبت اطلاعات'!$CN$5:$CN$1204,P90))</x:f>
      </x:c>
      <x:c r="S90" s="178" t="str">
        <x:f>IF(A90="","",IF(O90=0,"فاقد ارزیابی نهایی",IF(O90=1,"داده ناکافی",IF(R90&gt;0.5,"پیشرفت",IF(R90&lt;-0.5,"افت","ثبات")))))</x:f>
        <x:v>داده ناکافی</x:v>
      </x:c>
      <x:c r="T90" s="178" t="str">
        <x:f>IF(N90="","",INDEX($E$4:$M$4,1,MATCH(MAX(E90:M90),E90:M90,0)))</x:f>
        <x:v>فرهنگی</x:v>
      </x:c>
      <x:c r="U90" s="178" t="str">
        <x:f>IF(N90="","",INDEX($E$4:$M$4,1,MATCH(MIN(E90:M90),E90:M90,0)))</x:f>
        <x:v>ورزشی</x:v>
      </x:c>
      <x:c r="V90" s="178" t="str">
        <x:f>IF(N90="","",IF(N90&gt;=17,"عالی",IF(N90&gt;=14,"خوب",IF(N90&gt;=10,"متوسط","ضعیف"))))</x:f>
        <x:v>خوب</x:v>
      </x:c>
      <x:c r="W90" s="178" t="n">
        <x:f>IF(N90="","",RANK.EQ(N90,$N$5:$N$104,0))</x:f>
        <x:v>92</x:v>
      </x:c>
      <x:c r="X90" s="178" t="n">
        <x:f>IF(N90="","",COUNT($N$5:$N$104))</x:f>
        <x:v>100</x:v>
      </x:c>
      <x:c r="Y90" s="142" t="str">
        <x:f>IF(U90="","",IFERROR(INDEX('بانک راهکارها'!$C$5:$C$13,MATCH(U90,'بانک راهکارها'!$B$5:$B$13,0)),""))</x:f>
        <x:v>برنامه فعالیت بدنی منظم و مشارکت در ورزش گروهی پیشنهاد می‌شود.</x:v>
      </x:c>
    </x:row>
    <x:row r="91">
      <x:c r="A91" s="165" t="n">
        <x:f>IF('دانش‌آموزان'!L91="","",'دانش‌آموزان'!B91)</x:f>
        <x:v>87</x:v>
      </x:c>
      <x:c r="B91" s="233" t="str">
        <x:f>IF(A91="","",'دانش‌آموزان'!C91)</x:f>
        <x:v>4000000871</x:v>
      </x:c>
      <x:c r="C91" s="233" t="str">
        <x:f>IF(A91="","",'دانش‌آموزان'!E91&amp;" "&amp;'دانش‌آموزان'!F91)</x:f>
        <x:v>آراد حسینی</x:v>
      </x:c>
      <x:c r="D91" s="166" t="str">
        <x:f>IF(A91="","",'دانش‌آموزان'!I91)</x:f>
        <x:v>sample-7-d</x:v>
      </x:c>
      <x:c r="E91" s="141" t="n">
        <x:f>IF(A91="","",IFERROR(SUMIFS('ثبت اطلاعات'!$CC$5:$CC$1204,'ثبت اطلاعات'!$C$5:$C$1204,A91,'ثبت اطلاعات'!$CO$5:$CO$1204,1)/COUNTIFS('ثبت اطلاعات'!$C$5:$C$1204,A91,'ثبت اطلاعات'!$CO$5:$CO$1204,1),""))</x:f>
        <x:v>16</x:v>
      </x:c>
      <x:c r="F91" s="178" t="n">
        <x:f>IF(A91="","",IFERROR(SUMIFS('ثبت اطلاعات'!$CD$5:$CD$1204,'ثبت اطلاعات'!$C$5:$C$1204,A91,'ثبت اطلاعات'!$CO$5:$CO$1204,1)/COUNTIFS('ثبت اطلاعات'!$C$5:$C$1204,A91,'ثبت اطلاعات'!$CO$5:$CO$1204,1),""))</x:f>
        <x:v>15.2</x:v>
      </x:c>
      <x:c r="G91" s="178" t="n">
        <x:f>IF(A91="","",IFERROR(SUMIFS('ثبت اطلاعات'!$CE$5:$CE$1204,'ثبت اطلاعات'!$C$5:$C$1204,A91,'ثبت اطلاعات'!$CO$5:$CO$1204,1)/COUNTIFS('ثبت اطلاعات'!$C$5:$C$1204,A91,'ثبت اطلاعات'!$CO$5:$CO$1204,1),""))</x:f>
        <x:v>15.6</x:v>
      </x:c>
      <x:c r="H91" s="178" t="n">
        <x:f>IF(A91="","",IFERROR(SUMIFS('ثبت اطلاعات'!$CF$5:$CF$1204,'ثبت اطلاعات'!$C$5:$C$1204,A91,'ثبت اطلاعات'!$CO$5:$CO$1204,1)/COUNTIFS('ثبت اطلاعات'!$C$5:$C$1204,A91,'ثبت اطلاعات'!$CO$5:$CO$1204,1),""))</x:f>
        <x:v>15</x:v>
      </x:c>
      <x:c r="I91" s="178" t="n">
        <x:f>IF(A91="","",IFERROR(SUMIFS('ثبت اطلاعات'!$CG$5:$CG$1204,'ثبت اطلاعات'!$C$5:$C$1204,A91,'ثبت اطلاعات'!$CO$5:$CO$1204,1)/COUNTIFS('ثبت اطلاعات'!$C$5:$C$1204,A91,'ثبت اطلاعات'!$CO$5:$CO$1204,1),""))</x:f>
        <x:v>14.285714285714286</x:v>
      </x:c>
      <x:c r="J91" s="178" t="n">
        <x:f>IF(A91="","",IFERROR(SUMIFS('ثبت اطلاعات'!$CH$5:$CH$1204,'ثبت اطلاعات'!$C$5:$C$1204,A91,'ثبت اطلاعات'!$CO$5:$CO$1204,1)/COUNTIFS('ثبت اطلاعات'!$C$5:$C$1204,A91,'ثبت اطلاعات'!$CO$5:$CO$1204,1),""))</x:f>
        <x:v>16</x:v>
      </x:c>
      <x:c r="K91" s="178" t="n">
        <x:f>IF(A91="","",IFERROR(SUMIFS('ثبت اطلاعات'!$CI$5:$CI$1204,'ثبت اطلاعات'!$C$5:$C$1204,A91,'ثبت اطلاعات'!$CO$5:$CO$1204,1)/COUNTIFS('ثبت اطلاعات'!$C$5:$C$1204,A91,'ثبت اطلاعات'!$CO$5:$CO$1204,1),""))</x:f>
        <x:v>15.428571428571429</x:v>
      </x:c>
      <x:c r="L91" s="178" t="n">
        <x:f>IF(A91="","",IFERROR(SUMIFS('ثبت اطلاعات'!$CJ$5:$CJ$1204,'ثبت اطلاعات'!$C$5:$C$1204,A91,'ثبت اطلاعات'!$CO$5:$CO$1204,1)/COUNTIFS('ثبت اطلاعات'!$C$5:$C$1204,A91,'ثبت اطلاعات'!$CO$5:$CO$1204,1),""))</x:f>
        <x:v>14.285714285714286</x:v>
      </x:c>
      <x:c r="M91" s="178" t="n">
        <x:f>IF(A91="","",IFERROR(SUMIFS('ثبت اطلاعات'!$CK$5:$CK$1204,'ثبت اطلاعات'!$C$5:$C$1204,A91,'ثبت اطلاعات'!$CO$5:$CO$1204,1)/COUNTIFS('ثبت اطلاعات'!$C$5:$C$1204,A91,'ثبت اطلاعات'!$CO$5:$CO$1204,1),""))</x:f>
        <x:v>16.571428571428573</x:v>
      </x:c>
      <x:c r="N91" s="178" t="n">
        <x:f>IF(A91="","",IFERROR(SUMIFS('ثبت اطلاعات'!$CL$5:$CL$1204,'ثبت اطلاعات'!$C$5:$C$1204,A91,'ثبت اطلاعات'!$CO$5:$CO$1204,1)/COUNTIFS('ثبت اطلاعات'!$C$5:$C$1204,A91,'ثبت اطلاعات'!$CO$5:$CO$1204,1),""))</x:f>
        <x:v>15.447142857142858</x:v>
      </x:c>
      <x:c r="O91" s="178" t="n">
        <x:f>IF(A91="","",COUNTIFS('ثبت اطلاعات'!$C$5:$C$1204,A91,'ثبت اطلاعات'!$CO$5:$CO$1204,1))</x:f>
        <x:v>1</x:v>
      </x:c>
      <x:c r="P91" s="178" t="n">
        <x:f>IF(O91=0,"",MINIFS('ثبت اطلاعات'!$CN$5:$CN$1204,'ثبت اطلاعات'!$C$5:$C$1204,A91,'ثبت اطلاعات'!$CO$5:$CO$1204,1))</x:f>
        <x:v>1</x:v>
      </x:c>
      <x:c r="Q91" s="178" t="n">
        <x:f>IF(O91=0,"",MAXIFS('ثبت اطلاعات'!$CN$5:$CN$1204,'ثبت اطلاعات'!$C$5:$C$1204,A91,'ثبت اطلاعات'!$CO$5:$CO$1204,1))</x:f>
        <x:v>1</x:v>
      </x:c>
      <x:c r="R91" s="178" t="str">
        <x:f>IF(O91&lt;2,"",SUMIFS('ثبت اطلاعات'!$CL$5:$CL$1204,'ثبت اطلاعات'!$C$5:$C$1204,A91,'ثبت اطلاعات'!$CN$5:$CN$1204,Q91)-SUMIFS('ثبت اطلاعات'!$CL$5:$CL$1204,'ثبت اطلاعات'!$C$5:$C$1204,A91,'ثبت اطلاعات'!$CN$5:$CN$1204,P91))</x:f>
      </x:c>
      <x:c r="S91" s="178" t="str">
        <x:f>IF(A91="","",IF(O91=0,"فاقد ارزیابی نهایی",IF(O91=1,"داده ناکافی",IF(R91&gt;0.5,"پیشرفت",IF(R91&lt;-0.5,"افت","ثبات")))))</x:f>
        <x:v>داده ناکافی</x:v>
      </x:c>
      <x:c r="T91" s="178" t="str">
        <x:f>IF(N91="","",INDEX($E$4:$M$4,1,MATCH(MAX(E91:M91),E91:M91,0)))</x:f>
        <x:v>مهارت‌های فردی</x:v>
      </x:c>
      <x:c r="U91" s="178" t="str">
        <x:f>IF(N91="","",INDEX($E$4:$M$4,1,MATCH(MIN(E91:M91),E91:M91,0)))</x:f>
        <x:v>فرهنگی</x:v>
      </x:c>
      <x:c r="V91" s="178" t="str">
        <x:f>IF(N91="","",IF(N91&gt;=17,"عالی",IF(N91&gt;=14,"خوب",IF(N91&gt;=10,"متوسط","ضعیف"))))</x:f>
        <x:v>خوب</x:v>
      </x:c>
      <x:c r="W91" s="178" t="n">
        <x:f>IF(N91="","",RANK.EQ(N91,$N$5:$N$104,0))</x:f>
        <x:v>1</x:v>
      </x:c>
      <x:c r="X91" s="178" t="n">
        <x:f>IF(N91="","",COUNT($N$5:$N$104))</x:f>
        <x:v>100</x:v>
      </x:c>
      <x:c r="Y91" s="142" t="str">
        <x:f>IF(U91="","",IFERROR(INDEX('بانک راهکارها'!$C$5:$C$13,MATCH(U91,'بانک راهکارها'!$B$5:$B$13,0)),""))</x:f>
        <x:v>مشارکت در برنامه‌های فرهنگی، مطالعه هدایت‌شده و فعالیت گروهی پیشنهاد می‌شود.</x:v>
      </x:c>
    </x:row>
    <x:row r="92">
      <x:c r="A92" s="165" t="n">
        <x:f>IF('دانش‌آموزان'!L92="","",'دانش‌آموزان'!B92)</x:f>
        <x:v>88</x:v>
      </x:c>
      <x:c r="B92" s="233" t="str">
        <x:f>IF(A92="","",'دانش‌آموزان'!C92)</x:f>
        <x:v>4000000888</x:v>
      </x:c>
      <x:c r="C92" s="233" t="str">
        <x:f>IF(A92="","",'دانش‌آموزان'!E92&amp;" "&amp;'دانش‌آموزان'!F92)</x:f>
        <x:v>نگار جعفری</x:v>
      </x:c>
      <x:c r="D92" s="166" t="str">
        <x:f>IF(A92="","",'دانش‌آموزان'!I92)</x:f>
        <x:v>sample-7-d</x:v>
      </x:c>
      <x:c r="E92" s="141" t="n">
        <x:f>IF(A92="","",IFERROR(SUMIFS('ثبت اطلاعات'!$CC$5:$CC$1204,'ثبت اطلاعات'!$C$5:$C$1204,A92,'ثبت اطلاعات'!$CO$5:$CO$1204,1)/COUNTIFS('ثبت اطلاعات'!$C$5:$C$1204,A92,'ثبت اطلاعات'!$CO$5:$CO$1204,1),""))</x:f>
        <x:v>15.6</x:v>
      </x:c>
      <x:c r="F92" s="178" t="n">
        <x:f>IF(A92="","",IFERROR(SUMIFS('ثبت اطلاعات'!$CD$5:$CD$1204,'ثبت اطلاعات'!$C$5:$C$1204,A92,'ثبت اطلاعات'!$CO$5:$CO$1204,1)/COUNTIFS('ثبت اطلاعات'!$C$5:$C$1204,A92,'ثبت اطلاعات'!$CO$5:$CO$1204,1),""))</x:f>
        <x:v>14.8</x:v>
      </x:c>
      <x:c r="G92" s="178" t="n">
        <x:f>IF(A92="","",IFERROR(SUMIFS('ثبت اطلاعات'!$CE$5:$CE$1204,'ثبت اطلاعات'!$C$5:$C$1204,A92,'ثبت اطلاعات'!$CO$5:$CO$1204,1)/COUNTIFS('ثبت اطلاعات'!$C$5:$C$1204,A92,'ثبت اطلاعات'!$CO$5:$CO$1204,1),""))</x:f>
        <x:v>15.2</x:v>
      </x:c>
      <x:c r="H92" s="178" t="n">
        <x:f>IF(A92="","",IFERROR(SUMIFS('ثبت اطلاعات'!$CF$5:$CF$1204,'ثبت اطلاعات'!$C$5:$C$1204,A92,'ثبت اطلاعات'!$CO$5:$CO$1204,1)/COUNTIFS('ثبت اطلاعات'!$C$5:$C$1204,A92,'ثبت اطلاعات'!$CO$5:$CO$1204,1),""))</x:f>
        <x:v>15.5</x:v>
      </x:c>
      <x:c r="I92" s="178" t="n">
        <x:f>IF(A92="","",IFERROR(SUMIFS('ثبت اطلاعات'!$CG$5:$CG$1204,'ثبت اطلاعات'!$C$5:$C$1204,A92,'ثبت اطلاعات'!$CO$5:$CO$1204,1)/COUNTIFS('ثبت اطلاعات'!$C$5:$C$1204,A92,'ثبت اطلاعات'!$CO$5:$CO$1204,1),""))</x:f>
        <x:v>16</x:v>
      </x:c>
      <x:c r="J92" s="178" t="n">
        <x:f>IF(A92="","",IFERROR(SUMIFS('ثبت اطلاعات'!$CH$5:$CH$1204,'ثبت اطلاعات'!$C$5:$C$1204,A92,'ثبت اطلاعات'!$CO$5:$CO$1204,1)/COUNTIFS('ثبت اطلاعات'!$C$5:$C$1204,A92,'ثبت اطلاعات'!$CO$5:$CO$1204,1),""))</x:f>
        <x:v>14.5</x:v>
      </x:c>
      <x:c r="K92" s="178" t="n">
        <x:f>IF(A92="","",IFERROR(SUMIFS('ثبت اطلاعات'!$CI$5:$CI$1204,'ثبت اطلاعات'!$C$5:$C$1204,A92,'ثبت اطلاعات'!$CO$5:$CO$1204,1)/COUNTIFS('ثبت اطلاعات'!$C$5:$C$1204,A92,'ثبت اطلاعات'!$CO$5:$CO$1204,1),""))</x:f>
        <x:v>15.428571428571429</x:v>
      </x:c>
      <x:c r="L92" s="178" t="n">
        <x:f>IF(A92="","",IFERROR(SUMIFS('ثبت اطلاعات'!$CJ$5:$CJ$1204,'ثبت اطلاعات'!$C$5:$C$1204,A92,'ثبت اطلاعات'!$CO$5:$CO$1204,1)/COUNTIFS('ثبت اطلاعات'!$C$5:$C$1204,A92,'ثبت اطلاعات'!$CO$5:$CO$1204,1),""))</x:f>
        <x:v>16</x:v>
      </x:c>
      <x:c r="M92" s="178" t="n">
        <x:f>IF(A92="","",IFERROR(SUMIFS('ثبت اطلاعات'!$CK$5:$CK$1204,'ثبت اطلاعات'!$C$5:$C$1204,A92,'ثبت اطلاعات'!$CO$5:$CO$1204,1)/COUNTIFS('ثبت اطلاعات'!$C$5:$C$1204,A92,'ثبت اطلاعات'!$CO$5:$CO$1204,1),""))</x:f>
        <x:v>14.285714285714286</x:v>
      </x:c>
      <x:c r="N92" s="178" t="n">
        <x:f>IF(A92="","",IFERROR(SUMIFS('ثبت اطلاعات'!$CL$5:$CL$1204,'ثبت اطلاعات'!$C$5:$C$1204,A92,'ثبت اطلاعات'!$CO$5:$CO$1204,1)/COUNTIFS('ثبت اطلاعات'!$C$5:$C$1204,A92,'ثبت اطلاعات'!$CO$5:$CO$1204,1),""))</x:f>
        <x:v>15.265</x:v>
      </x:c>
      <x:c r="O92" s="178" t="n">
        <x:f>IF(A92="","",COUNTIFS('ثبت اطلاعات'!$C$5:$C$1204,A92,'ثبت اطلاعات'!$CO$5:$CO$1204,1))</x:f>
        <x:v>1</x:v>
      </x:c>
      <x:c r="P92" s="178" t="n">
        <x:f>IF(O92=0,"",MINIFS('ثبت اطلاعات'!$CN$5:$CN$1204,'ثبت اطلاعات'!$C$5:$C$1204,A92,'ثبت اطلاعات'!$CO$5:$CO$1204,1))</x:f>
        <x:v>1</x:v>
      </x:c>
      <x:c r="Q92" s="178" t="n">
        <x:f>IF(O92=0,"",MAXIFS('ثبت اطلاعات'!$CN$5:$CN$1204,'ثبت اطلاعات'!$C$5:$C$1204,A92,'ثبت اطلاعات'!$CO$5:$CO$1204,1))</x:f>
        <x:v>1</x:v>
      </x:c>
      <x:c r="R92" s="178" t="str">
        <x:f>IF(O92&lt;2,"",SUMIFS('ثبت اطلاعات'!$CL$5:$CL$1204,'ثبت اطلاعات'!$C$5:$C$1204,A92,'ثبت اطلاعات'!$CN$5:$CN$1204,Q92)-SUMIFS('ثبت اطلاعات'!$CL$5:$CL$1204,'ثبت اطلاعات'!$C$5:$C$1204,A92,'ثبت اطلاعات'!$CN$5:$CN$1204,P92))</x:f>
      </x:c>
      <x:c r="S92" s="178" t="str">
        <x:f>IF(A92="","",IF(O92=0,"فاقد ارزیابی نهایی",IF(O92=1,"داده ناکافی",IF(R92&gt;0.5,"پیشرفت",IF(R92&lt;-0.5,"افت","ثبات")))))</x:f>
        <x:v>داده ناکافی</x:v>
      </x:c>
      <x:c r="T92" s="178" t="str">
        <x:f>IF(N92="","",INDEX($E$4:$M$4,1,MATCH(MAX(E92:M92),E92:M92,0)))</x:f>
        <x:v>فرهنگی</x:v>
      </x:c>
      <x:c r="U92" s="178" t="str">
        <x:f>IF(N92="","",INDEX($E$4:$M$4,1,MATCH(MIN(E92:M92),E92:M92,0)))</x:f>
        <x:v>مهارت‌های فردی</x:v>
      </x:c>
      <x:c r="V92" s="178" t="str">
        <x:f>IF(N92="","",IF(N92&gt;=17,"عالی",IF(N92&gt;=14,"خوب",IF(N92&gt;=10,"متوسط","ضعیف"))))</x:f>
        <x:v>خوب</x:v>
      </x:c>
      <x:c r="W92" s="178" t="n">
        <x:f>IF(N92="","",RANK.EQ(N92,$N$5:$N$104,0))</x:f>
        <x:v>47</x:v>
      </x:c>
      <x:c r="X92" s="178" t="n">
        <x:f>IF(N92="","",COUNT($N$5:$N$104))</x:f>
        <x:v>100</x:v>
      </x:c>
      <x:c r="Y92" s="142" t="str">
        <x:f>IF(U92="","",IFERROR(INDEX('بانک راهکارها'!$C$5:$C$13,MATCH(U92,'بانک راهکارها'!$B$5:$B$13,0)),""))</x:f>
        <x:v>تمرین برنامه‌ریزی هفتگی، ارتباط مؤثر و کار تیمی پیشنهاد می‌شود.</x:v>
      </x:c>
    </x:row>
    <x:row r="93">
      <x:c r="A93" s="165" t="n">
        <x:f>IF('دانش‌آموزان'!L93="","",'دانش‌آموزان'!B93)</x:f>
        <x:v>89</x:v>
      </x:c>
      <x:c r="B93" s="233" t="str">
        <x:f>IF(A93="","",'دانش‌آموزان'!C93)</x:f>
        <x:v>4000000896</x:v>
      </x:c>
      <x:c r="C93" s="233" t="str">
        <x:f>IF(A93="","",'دانش‌آموزان'!E93&amp;" "&amp;'دانش‌آموزان'!F93)</x:f>
        <x:v>سام امینی</x:v>
      </x:c>
      <x:c r="D93" s="166" t="str">
        <x:f>IF(A93="","",'دانش‌آموزان'!I93)</x:f>
        <x:v>sample-7-d</x:v>
      </x:c>
      <x:c r="E93" s="141" t="n">
        <x:f>IF(A93="","",IFERROR(SUMIFS('ثبت اطلاعات'!$CC$5:$CC$1204,'ثبت اطلاعات'!$C$5:$C$1204,A93,'ثبت اطلاعات'!$CO$5:$CO$1204,1)/COUNTIFS('ثبت اطلاعات'!$C$5:$C$1204,A93,'ثبت اطلاعات'!$CO$5:$CO$1204,1),""))</x:f>
        <x:v>15.2</x:v>
      </x:c>
      <x:c r="F93" s="178" t="n">
        <x:f>IF(A93="","",IFERROR(SUMIFS('ثبت اطلاعات'!$CD$5:$CD$1204,'ثبت اطلاعات'!$C$5:$C$1204,A93,'ثبت اطلاعات'!$CO$5:$CO$1204,1)/COUNTIFS('ثبت اطلاعات'!$C$5:$C$1204,A93,'ثبت اطلاعات'!$CO$5:$CO$1204,1),""))</x:f>
        <x:v>15.6</x:v>
      </x:c>
      <x:c r="G93" s="178" t="n">
        <x:f>IF(A93="","",IFERROR(SUMIFS('ثبت اطلاعات'!$CE$5:$CE$1204,'ثبت اطلاعات'!$C$5:$C$1204,A93,'ثبت اطلاعات'!$CO$5:$CO$1204,1)/COUNTIFS('ثبت اطلاعات'!$C$5:$C$1204,A93,'ثبت اطلاعات'!$CO$5:$CO$1204,1),""))</x:f>
        <x:v>15.2</x:v>
      </x:c>
      <x:c r="H93" s="178" t="n">
        <x:f>IF(A93="","",IFERROR(SUMIFS('ثبت اطلاعات'!$CF$5:$CF$1204,'ثبت اطلاعات'!$C$5:$C$1204,A93,'ثبت اطلاعات'!$CO$5:$CO$1204,1)/COUNTIFS('ثبت اطلاعات'!$C$5:$C$1204,A93,'ثبت اطلاعات'!$CO$5:$CO$1204,1),""))</x:f>
        <x:v>15.5</x:v>
      </x:c>
      <x:c r="I93" s="178" t="n">
        <x:f>IF(A93="","",IFERROR(SUMIFS('ثبت اطلاعات'!$CG$5:$CG$1204,'ثبت اطلاعات'!$C$5:$C$1204,A93,'ثبت اطلاعات'!$CO$5:$CO$1204,1)/COUNTIFS('ثبت اطلاعات'!$C$5:$C$1204,A93,'ثبت اطلاعات'!$CO$5:$CO$1204,1),""))</x:f>
        <x:v>13.714285714285714</x:v>
      </x:c>
      <x:c r="J93" s="178" t="n">
        <x:f>IF(A93="","",IFERROR(SUMIFS('ثبت اطلاعات'!$CH$5:$CH$1204,'ثبت اطلاعات'!$C$5:$C$1204,A93,'ثبت اطلاعات'!$CO$5:$CO$1204,1)/COUNTIFS('ثبت اطلاعات'!$C$5:$C$1204,A93,'ثبت اطلاعات'!$CO$5:$CO$1204,1),""))</x:f>
        <x:v>16.5</x:v>
      </x:c>
      <x:c r="K93" s="178" t="n">
        <x:f>IF(A93="","",IFERROR(SUMIFS('ثبت اطلاعات'!$CI$5:$CI$1204,'ثبت اطلاعات'!$C$5:$C$1204,A93,'ثبت اطلاعات'!$CO$5:$CO$1204,1)/COUNTIFS('ثبت اطلاعات'!$C$5:$C$1204,A93,'ثبت اطلاعات'!$CO$5:$CO$1204,1),""))</x:f>
        <x:v>15.428571428571429</x:v>
      </x:c>
      <x:c r="L93" s="178" t="n">
        <x:f>IF(A93="","",IFERROR(SUMIFS('ثبت اطلاعات'!$CJ$5:$CJ$1204,'ثبت اطلاعات'!$C$5:$C$1204,A93,'ثبت اطلاعات'!$CO$5:$CO$1204,1)/COUNTIFS('ثبت اطلاعات'!$C$5:$C$1204,A93,'ثبت اطلاعات'!$CO$5:$CO$1204,1),""))</x:f>
        <x:v>13.714285714285714</x:v>
      </x:c>
      <x:c r="M93" s="178" t="n">
        <x:f>IF(A93="","",IFERROR(SUMIFS('ثبت اطلاعات'!$CK$5:$CK$1204,'ثبت اطلاعات'!$C$5:$C$1204,A93,'ثبت اطلاعات'!$CO$5:$CO$1204,1)/COUNTIFS('ثبت اطلاعات'!$C$5:$C$1204,A93,'ثبت اطلاعات'!$CO$5:$CO$1204,1),""))</x:f>
        <x:v>16.571428571428573</x:v>
      </x:c>
      <x:c r="N93" s="178" t="n">
        <x:f>IF(A93="","",IFERROR(SUMIFS('ثبت اطلاعات'!$CL$5:$CL$1204,'ثبت اطلاعات'!$C$5:$C$1204,A93,'ثبت اطلاعات'!$CO$5:$CO$1204,1)/COUNTIFS('ثبت اطلاعات'!$C$5:$C$1204,A93,'ثبت اطلاعات'!$CO$5:$CO$1204,1),""))</x:f>
        <x:v>15.327857142857143</x:v>
      </x:c>
      <x:c r="O93" s="178" t="n">
        <x:f>IF(A93="","",COUNTIFS('ثبت اطلاعات'!$C$5:$C$1204,A93,'ثبت اطلاعات'!$CO$5:$CO$1204,1))</x:f>
        <x:v>1</x:v>
      </x:c>
      <x:c r="P93" s="178" t="n">
        <x:f>IF(O93=0,"",MINIFS('ثبت اطلاعات'!$CN$5:$CN$1204,'ثبت اطلاعات'!$C$5:$C$1204,A93,'ثبت اطلاعات'!$CO$5:$CO$1204,1))</x:f>
        <x:v>1</x:v>
      </x:c>
      <x:c r="Q93" s="178" t="n">
        <x:f>IF(O93=0,"",MAXIFS('ثبت اطلاعات'!$CN$5:$CN$1204,'ثبت اطلاعات'!$C$5:$C$1204,A93,'ثبت اطلاعات'!$CO$5:$CO$1204,1))</x:f>
        <x:v>1</x:v>
      </x:c>
      <x:c r="R93" s="178" t="str">
        <x:f>IF(O93&lt;2,"",SUMIFS('ثبت اطلاعات'!$CL$5:$CL$1204,'ثبت اطلاعات'!$C$5:$C$1204,A93,'ثبت اطلاعات'!$CN$5:$CN$1204,Q93)-SUMIFS('ثبت اطلاعات'!$CL$5:$CL$1204,'ثبت اطلاعات'!$C$5:$C$1204,A93,'ثبت اطلاعات'!$CN$5:$CN$1204,P93))</x:f>
      </x:c>
      <x:c r="S93" s="178" t="str">
        <x:f>IF(A93="","",IF(O93=0,"فاقد ارزیابی نهایی",IF(O93=1,"داده ناکافی",IF(R93&gt;0.5,"پیشرفت",IF(R93&lt;-0.5,"افت","ثبات")))))</x:f>
        <x:v>داده ناکافی</x:v>
      </x:c>
      <x:c r="T93" s="178" t="str">
        <x:f>IF(N93="","",INDEX($E$4:$M$4,1,MATCH(MAX(E93:M93),E93:M93,0)))</x:f>
        <x:v>مهارت‌های فردی</x:v>
      </x:c>
      <x:c r="U93" s="178" t="str">
        <x:f>IF(N93="","",INDEX($E$4:$M$4,1,MATCH(MIN(E93:M93),E93:M93,0)))</x:f>
        <x:v>فرهنگی</x:v>
      </x:c>
      <x:c r="V93" s="178" t="str">
        <x:f>IF(N93="","",IF(N93&gt;=17,"عالی",IF(N93&gt;=14,"خوب",IF(N93&gt;=10,"متوسط","ضعیف"))))</x:f>
        <x:v>خوب</x:v>
      </x:c>
      <x:c r="W93" s="178" t="n">
        <x:f>IF(N93="","",RANK.EQ(N93,$N$5:$N$104,0))</x:f>
        <x:v>19</x:v>
      </x:c>
      <x:c r="X93" s="178" t="n">
        <x:f>IF(N93="","",COUNT($N$5:$N$104))</x:f>
        <x:v>100</x:v>
      </x:c>
      <x:c r="Y93" s="142" t="str">
        <x:f>IF(U93="","",IFERROR(INDEX('بانک راهکارها'!$C$5:$C$13,MATCH(U93,'بانک راهکارها'!$B$5:$B$13,0)),""))</x:f>
        <x:v>مشارکت در برنامه‌های فرهنگی، مطالعه هدایت‌شده و فعالیت گروهی پیشنهاد می‌شود.</x:v>
      </x:c>
    </x:row>
    <x:row r="94">
      <x:c r="A94" s="165" t="n">
        <x:f>IF('دانش‌آموزان'!L94="","",'دانش‌آموزان'!B94)</x:f>
        <x:v>90</x:v>
      </x:c>
      <x:c r="B94" s="233" t="str">
        <x:f>IF(A94="","",'دانش‌آموزان'!C94)</x:f>
        <x:v>4000000901</x:v>
      </x:c>
      <x:c r="C94" s="233" t="str">
        <x:f>IF(A94="","",'دانش‌آموزان'!E94&amp;" "&amp;'دانش‌آموزان'!F94)</x:f>
        <x:v>هلیا کریمی</x:v>
      </x:c>
      <x:c r="D94" s="166" t="str">
        <x:f>IF(A94="","",'دانش‌آموزان'!I94)</x:f>
        <x:v>sample-7-d</x:v>
      </x:c>
      <x:c r="E94" s="141" t="n">
        <x:f>IF(A94="","",IFERROR(SUMIFS('ثبت اطلاعات'!$CC$5:$CC$1204,'ثبت اطلاعات'!$C$5:$C$1204,A94,'ثبت اطلاعات'!$CO$5:$CO$1204,1)/COUNTIFS('ثبت اطلاعات'!$C$5:$C$1204,A94,'ثبت اطلاعات'!$CO$5:$CO$1204,1),""))</x:f>
        <x:v>14.8</x:v>
      </x:c>
      <x:c r="F94" s="178" t="n">
        <x:f>IF(A94="","",IFERROR(SUMIFS('ثبت اطلاعات'!$CD$5:$CD$1204,'ثبت اطلاعات'!$C$5:$C$1204,A94,'ثبت اطلاعات'!$CO$5:$CO$1204,1)/COUNTIFS('ثبت اطلاعات'!$C$5:$C$1204,A94,'ثبت اطلاعات'!$CO$5:$CO$1204,1),""))</x:f>
        <x:v>15.2</x:v>
      </x:c>
      <x:c r="G94" s="178" t="n">
        <x:f>IF(A94="","",IFERROR(SUMIFS('ثبت اطلاعات'!$CE$5:$CE$1204,'ثبت اطلاعات'!$C$5:$C$1204,A94,'ثبت اطلاعات'!$CO$5:$CO$1204,1)/COUNTIFS('ثبت اطلاعات'!$C$5:$C$1204,A94,'ثبت اطلاعات'!$CO$5:$CO$1204,1),""))</x:f>
        <x:v>14.8</x:v>
      </x:c>
      <x:c r="H94" s="178" t="n">
        <x:f>IF(A94="","",IFERROR(SUMIFS('ثبت اطلاعات'!$CF$5:$CF$1204,'ثبت اطلاعات'!$C$5:$C$1204,A94,'ثبت اطلاعات'!$CO$5:$CO$1204,1)/COUNTIFS('ثبت اطلاعات'!$C$5:$C$1204,A94,'ثبت اطلاعات'!$CO$5:$CO$1204,1),""))</x:f>
        <x:v>16</x:v>
      </x:c>
      <x:c r="I94" s="178" t="n">
        <x:f>IF(A94="","",IFERROR(SUMIFS('ثبت اطلاعات'!$CG$5:$CG$1204,'ثبت اطلاعات'!$C$5:$C$1204,A94,'ثبت اطلاعات'!$CO$5:$CO$1204,1)/COUNTIFS('ثبت اطلاعات'!$C$5:$C$1204,A94,'ثبت اطلاعات'!$CO$5:$CO$1204,1),""))</x:f>
        <x:v>15.428571428571429</x:v>
      </x:c>
      <x:c r="J94" s="178" t="n">
        <x:f>IF(A94="","",IFERROR(SUMIFS('ثبت اطلاعات'!$CH$5:$CH$1204,'ثبت اطلاعات'!$C$5:$C$1204,A94,'ثبت اطلاعات'!$CO$5:$CO$1204,1)/COUNTIFS('ثبت اطلاعات'!$C$5:$C$1204,A94,'ثبت اطلاعات'!$CO$5:$CO$1204,1),""))</x:f>
        <x:v>15</x:v>
      </x:c>
      <x:c r="K94" s="178" t="n">
        <x:f>IF(A94="","",IFERROR(SUMIFS('ثبت اطلاعات'!$CI$5:$CI$1204,'ثبت اطلاعات'!$C$5:$C$1204,A94,'ثبت اطلاعات'!$CO$5:$CO$1204,1)/COUNTIFS('ثبت اطلاعات'!$C$5:$C$1204,A94,'ثبت اطلاعات'!$CO$5:$CO$1204,1),""))</x:f>
        <x:v>15.428571428571429</x:v>
      </x:c>
      <x:c r="L94" s="178" t="n">
        <x:f>IF(A94="","",IFERROR(SUMIFS('ثبت اطلاعات'!$CJ$5:$CJ$1204,'ثبت اطلاعات'!$C$5:$C$1204,A94,'ثبت اطلاعات'!$CO$5:$CO$1204,1)/COUNTIFS('ثبت اطلاعات'!$C$5:$C$1204,A94,'ثبت اطلاعات'!$CO$5:$CO$1204,1),""))</x:f>
        <x:v>15.428571428571429</x:v>
      </x:c>
      <x:c r="M94" s="178" t="n">
        <x:f>IF(A94="","",IFERROR(SUMIFS('ثبت اطلاعات'!$CK$5:$CK$1204,'ثبت اطلاعات'!$C$5:$C$1204,A94,'ثبت اطلاعات'!$CO$5:$CO$1204,1)/COUNTIFS('ثبت اطلاعات'!$C$5:$C$1204,A94,'ثبت اطلاعات'!$CO$5:$CO$1204,1),""))</x:f>
        <x:v>14.285714285714286</x:v>
      </x:c>
      <x:c r="N94" s="178" t="n">
        <x:f>IF(A94="","",IFERROR(SUMIFS('ثبت اطلاعات'!$CL$5:$CL$1204,'ثبت اطلاعات'!$C$5:$C$1204,A94,'ثبت اطلاعات'!$CO$5:$CO$1204,1)/COUNTIFS('ثبت اطلاعات'!$C$5:$C$1204,A94,'ثبت اطلاعات'!$CO$5:$CO$1204,1),""))</x:f>
        <x:v>15.145714285714286</x:v>
      </x:c>
      <x:c r="O94" s="178" t="n">
        <x:f>IF(A94="","",COUNTIFS('ثبت اطلاعات'!$C$5:$C$1204,A94,'ثبت اطلاعات'!$CO$5:$CO$1204,1))</x:f>
        <x:v>1</x:v>
      </x:c>
      <x:c r="P94" s="178" t="n">
        <x:f>IF(O94=0,"",MINIFS('ثبت اطلاعات'!$CN$5:$CN$1204,'ثبت اطلاعات'!$C$5:$C$1204,A94,'ثبت اطلاعات'!$CO$5:$CO$1204,1))</x:f>
        <x:v>1</x:v>
      </x:c>
      <x:c r="Q94" s="178" t="n">
        <x:f>IF(O94=0,"",MAXIFS('ثبت اطلاعات'!$CN$5:$CN$1204,'ثبت اطلاعات'!$C$5:$C$1204,A94,'ثبت اطلاعات'!$CO$5:$CO$1204,1))</x:f>
        <x:v>1</x:v>
      </x:c>
      <x:c r="R94" s="178" t="str">
        <x:f>IF(O94&lt;2,"",SUMIFS('ثبت اطلاعات'!$CL$5:$CL$1204,'ثبت اطلاعات'!$C$5:$C$1204,A94,'ثبت اطلاعات'!$CN$5:$CN$1204,Q94)-SUMIFS('ثبت اطلاعات'!$CL$5:$CL$1204,'ثبت اطلاعات'!$C$5:$C$1204,A94,'ثبت اطلاعات'!$CN$5:$CN$1204,P94))</x:f>
      </x:c>
      <x:c r="S94" s="178" t="str">
        <x:f>IF(A94="","",IF(O94=0,"فاقد ارزیابی نهایی",IF(O94=1,"داده ناکافی",IF(R94&gt;0.5,"پیشرفت",IF(R94&lt;-0.5,"افت","ثبات")))))</x:f>
        <x:v>داده ناکافی</x:v>
      </x:c>
      <x:c r="T94" s="178" t="str">
        <x:f>IF(N94="","",INDEX($E$4:$M$4,1,MATCH(MAX(E94:M94),E94:M94,0)))</x:f>
        <x:v>انضباطی</x:v>
      </x:c>
      <x:c r="U94" s="178" t="str">
        <x:f>IF(N94="","",INDEX($E$4:$M$4,1,MATCH(MIN(E94:M94),E94:M94,0)))</x:f>
        <x:v>مهارت‌های فردی</x:v>
      </x:c>
      <x:c r="V94" s="178" t="str">
        <x:f>IF(N94="","",IF(N94&gt;=17,"عالی",IF(N94&gt;=14,"خوب",IF(N94&gt;=10,"متوسط","ضعیف"))))</x:f>
        <x:v>خوب</x:v>
      </x:c>
      <x:c r="W94" s="178" t="n">
        <x:f>IF(N94="","",RANK.EQ(N94,$N$5:$N$104,0))</x:f>
        <x:v>83</x:v>
      </x:c>
      <x:c r="X94" s="178" t="n">
        <x:f>IF(N94="","",COUNT($N$5:$N$104))</x:f>
        <x:v>100</x:v>
      </x:c>
      <x:c r="Y94" s="142" t="str">
        <x:f>IF(U94="","",IFERROR(INDEX('بانک راهکارها'!$C$5:$C$13,MATCH(U94,'بانک راهکارها'!$B$5:$B$13,0)),""))</x:f>
        <x:v>تمرین برنامه‌ریزی هفتگی، ارتباط مؤثر و کار تیمی پیشنهاد می‌شود.</x:v>
      </x:c>
    </x:row>
    <x:row r="95">
      <x:c r="A95" s="165" t="n">
        <x:f>IF('دانش‌آموزان'!L95="","",'دانش‌آموزان'!B95)</x:f>
        <x:v>91</x:v>
      </x:c>
      <x:c r="B95" s="233" t="str">
        <x:f>IF(A95="","",'دانش‌آموزان'!C95)</x:f>
        <x:v>4000000918</x:v>
      </x:c>
      <x:c r="C95" s="233" t="str">
        <x:f>IF(A95="","",'دانش‌آموزان'!E95&amp;" "&amp;'دانش‌آموزان'!F95)</x:f>
        <x:v>پارسا موسوی</x:v>
      </x:c>
      <x:c r="D95" s="166" t="str">
        <x:f>IF(A95="","",'دانش‌آموزان'!I95)</x:f>
        <x:v>sample-7-d</x:v>
      </x:c>
      <x:c r="E95" s="141" t="n">
        <x:f>IF(A95="","",IFERROR(SUMIFS('ثبت اطلاعات'!$CC$5:$CC$1204,'ثبت اطلاعات'!$C$5:$C$1204,A95,'ثبت اطلاعات'!$CO$5:$CO$1204,1)/COUNTIFS('ثبت اطلاعات'!$C$5:$C$1204,A95,'ثبت اطلاعات'!$CO$5:$CO$1204,1),""))</x:f>
        <x:v>15.6</x:v>
      </x:c>
      <x:c r="F95" s="178" t="n">
        <x:f>IF(A95="","",IFERROR(SUMIFS('ثبت اطلاعات'!$CD$5:$CD$1204,'ثبت اطلاعات'!$C$5:$C$1204,A95,'ثبت اطلاعات'!$CO$5:$CO$1204,1)/COUNTIFS('ثبت اطلاعات'!$C$5:$C$1204,A95,'ثبت اطلاعات'!$CO$5:$CO$1204,1),""))</x:f>
        <x:v>15.2</x:v>
      </x:c>
      <x:c r="G95" s="178" t="n">
        <x:f>IF(A95="","",IFERROR(SUMIFS('ثبت اطلاعات'!$CE$5:$CE$1204,'ثبت اطلاعات'!$C$5:$C$1204,A95,'ثبت اطلاعات'!$CO$5:$CO$1204,1)/COUNTIFS('ثبت اطلاعات'!$C$5:$C$1204,A95,'ثبت اطلاعات'!$CO$5:$CO$1204,1),""))</x:f>
        <x:v>15.6</x:v>
      </x:c>
      <x:c r="H95" s="178" t="n">
        <x:f>IF(A95="","",IFERROR(SUMIFS('ثبت اطلاعات'!$CF$5:$CF$1204,'ثبت اطلاعات'!$C$5:$C$1204,A95,'ثبت اطلاعات'!$CO$5:$CO$1204,1)/COUNTIFS('ثبت اطلاعات'!$C$5:$C$1204,A95,'ثبت اطلاعات'!$CO$5:$CO$1204,1),""))</x:f>
        <x:v>14.5</x:v>
      </x:c>
      <x:c r="I95" s="178" t="n">
        <x:f>IF(A95="","",IFERROR(SUMIFS('ثبت اطلاعات'!$CG$5:$CG$1204,'ثبت اطلاعات'!$C$5:$C$1204,A95,'ثبت اطلاعات'!$CO$5:$CO$1204,1)/COUNTIFS('ثبت اطلاعات'!$C$5:$C$1204,A95,'ثبت اطلاعات'!$CO$5:$CO$1204,1),""))</x:f>
        <x:v>15.428571428571429</x:v>
      </x:c>
      <x:c r="J95" s="178" t="n">
        <x:f>IF(A95="","",IFERROR(SUMIFS('ثبت اطلاعات'!$CH$5:$CH$1204,'ثبت اطلاعات'!$C$5:$C$1204,A95,'ثبت اطلاعات'!$CO$5:$CO$1204,1)/COUNTIFS('ثبت اطلاعات'!$C$5:$C$1204,A95,'ثبت اطلاعات'!$CO$5:$CO$1204,1),""))</x:f>
        <x:v>15.5</x:v>
      </x:c>
      <x:c r="K95" s="178" t="n">
        <x:f>IF(A95="","",IFERROR(SUMIFS('ثبت اطلاعات'!$CI$5:$CI$1204,'ثبت اطلاعات'!$C$5:$C$1204,A95,'ثبت اطلاعات'!$CO$5:$CO$1204,1)/COUNTIFS('ثبت اطلاعات'!$C$5:$C$1204,A95,'ثبت اطلاعات'!$CO$5:$CO$1204,1),""))</x:f>
        <x:v>14.857142857142858</x:v>
      </x:c>
      <x:c r="L95" s="178" t="n">
        <x:f>IF(A95="","",IFERROR(SUMIFS('ثبت اطلاعات'!$CJ$5:$CJ$1204,'ثبت اطلاعات'!$C$5:$C$1204,A95,'ثبت اطلاعات'!$CO$5:$CO$1204,1)/COUNTIFS('ثبت اطلاعات'!$C$5:$C$1204,A95,'ثبت اطلاعات'!$CO$5:$CO$1204,1),""))</x:f>
        <x:v>15.428571428571429</x:v>
      </x:c>
      <x:c r="M95" s="178" t="n">
        <x:f>IF(A95="","",IFERROR(SUMIFS('ثبت اطلاعات'!$CK$5:$CK$1204,'ثبت اطلاعات'!$C$5:$C$1204,A95,'ثبت اطلاعات'!$CO$5:$CO$1204,1)/COUNTIFS('ثبت اطلاعات'!$C$5:$C$1204,A95,'ثبت اطلاعات'!$CO$5:$CO$1204,1),""))</x:f>
        <x:v>16</x:v>
      </x:c>
      <x:c r="N95" s="178" t="n">
        <x:f>IF(A95="","",IFERROR(SUMIFS('ثبت اطلاعات'!$CL$5:$CL$1204,'ثبت اطلاعات'!$C$5:$C$1204,A95,'ثبت اطلاعات'!$CO$5:$CO$1204,1)/COUNTIFS('ثبت اطلاعات'!$C$5:$C$1204,A95,'ثبت اطلاعات'!$CO$5:$CO$1204,1),""))</x:f>
        <x:v>15.320714285714287</x:v>
      </x:c>
      <x:c r="O95" s="178" t="n">
        <x:f>IF(A95="","",COUNTIFS('ثبت اطلاعات'!$C$5:$C$1204,A95,'ثبت اطلاعات'!$CO$5:$CO$1204,1))</x:f>
        <x:v>1</x:v>
      </x:c>
      <x:c r="P95" s="178" t="n">
        <x:f>IF(O95=0,"",MINIFS('ثبت اطلاعات'!$CN$5:$CN$1204,'ثبت اطلاعات'!$C$5:$C$1204,A95,'ثبت اطلاعات'!$CO$5:$CO$1204,1))</x:f>
        <x:v>1</x:v>
      </x:c>
      <x:c r="Q95" s="178" t="n">
        <x:f>IF(O95=0,"",MAXIFS('ثبت اطلاعات'!$CN$5:$CN$1204,'ثبت اطلاعات'!$C$5:$C$1204,A95,'ثبت اطلاعات'!$CO$5:$CO$1204,1))</x:f>
        <x:v>1</x:v>
      </x:c>
      <x:c r="R95" s="178" t="str">
        <x:f>IF(O95&lt;2,"",SUMIFS('ثبت اطلاعات'!$CL$5:$CL$1204,'ثبت اطلاعات'!$C$5:$C$1204,A95,'ثبت اطلاعات'!$CN$5:$CN$1204,Q95)-SUMIFS('ثبت اطلاعات'!$CL$5:$CL$1204,'ثبت اطلاعات'!$C$5:$C$1204,A95,'ثبت اطلاعات'!$CN$5:$CN$1204,P95))</x:f>
      </x:c>
      <x:c r="S95" s="178" t="str">
        <x:f>IF(A95="","",IF(O95=0,"فاقد ارزیابی نهایی",IF(O95=1,"داده ناکافی",IF(R95&gt;0.5,"پیشرفت",IF(R95&lt;-0.5,"افت","ثبات")))))</x:f>
        <x:v>داده ناکافی</x:v>
      </x:c>
      <x:c r="T95" s="178" t="str">
        <x:f>IF(N95="","",INDEX($E$4:$M$4,1,MATCH(MAX(E95:M95),E95:M95,0)))</x:f>
        <x:v>مهارت‌های فردی</x:v>
      </x:c>
      <x:c r="U95" s="178" t="str">
        <x:f>IF(N95="","",INDEX($E$4:$M$4,1,MATCH(MIN(E95:M95),E95:M95,0)))</x:f>
        <x:v>انضباطی</x:v>
      </x:c>
      <x:c r="V95" s="178" t="str">
        <x:f>IF(N95="","",IF(N95&gt;=17,"عالی",IF(N95&gt;=14,"خوب",IF(N95&gt;=10,"متوسط","ضعیف"))))</x:f>
        <x:v>خوب</x:v>
      </x:c>
      <x:c r="W95" s="178" t="n">
        <x:f>IF(N95="","",RANK.EQ(N95,$N$5:$N$104,0))</x:f>
        <x:v>29</x:v>
      </x:c>
      <x:c r="X95" s="178" t="n">
        <x:f>IF(N95="","",COUNT($N$5:$N$104))</x:f>
        <x:v>100</x:v>
      </x:c>
      <x:c r="Y95" s="142" t="str">
        <x:f>IF(U95="","",IFERROR(INDEX('بانک راهکارها'!$C$5:$C$13,MATCH(U95,'بانک راهکارها'!$B$5:$B$13,0)),""))</x:f>
        <x:v>قواعد روشن، قرارداد رفتاری کوتاه‌مدت و ثبت منظم پیشرفت پیشنهاد می‌شود.</x:v>
      </x:c>
    </x:row>
    <x:row r="96">
      <x:c r="A96" s="165" t="n">
        <x:f>IF('دانش‌آموزان'!L96="","",'دانش‌آموزان'!B96)</x:f>
        <x:v>92</x:v>
      </x:c>
      <x:c r="B96" s="233" t="str">
        <x:f>IF(A96="","",'دانش‌آموزان'!C96)</x:f>
        <x:v>4000000926</x:v>
      </x:c>
      <x:c r="C96" s="233" t="str">
        <x:f>IF(A96="","",'دانش‌آموزان'!E96&amp;" "&amp;'دانش‌آموزان'!F96)</x:f>
        <x:v>رها یوسفی</x:v>
      </x:c>
      <x:c r="D96" s="166" t="str">
        <x:f>IF(A96="","",'دانش‌آموزان'!I96)</x:f>
        <x:v>sample-7-d</x:v>
      </x:c>
      <x:c r="E96" s="141" t="n">
        <x:f>IF(A96="","",IFERROR(SUMIFS('ثبت اطلاعات'!$CC$5:$CC$1204,'ثبت اطلاعات'!$C$5:$C$1204,A96,'ثبت اطلاعات'!$CO$5:$CO$1204,1)/COUNTIFS('ثبت اطلاعات'!$C$5:$C$1204,A96,'ثبت اطلاعات'!$CO$5:$CO$1204,1),""))</x:f>
        <x:v>15.2</x:v>
      </x:c>
      <x:c r="F96" s="178" t="n">
        <x:f>IF(A96="","",IFERROR(SUMIFS('ثبت اطلاعات'!$CD$5:$CD$1204,'ثبت اطلاعات'!$C$5:$C$1204,A96,'ثبت اطلاعات'!$CO$5:$CO$1204,1)/COUNTIFS('ثبت اطلاعات'!$C$5:$C$1204,A96,'ثبت اطلاعات'!$CO$5:$CO$1204,1),""))</x:f>
        <x:v>14.8</x:v>
      </x:c>
      <x:c r="G96" s="178" t="n">
        <x:f>IF(A96="","",IFERROR(SUMIFS('ثبت اطلاعات'!$CE$5:$CE$1204,'ثبت اطلاعات'!$C$5:$C$1204,A96,'ثبت اطلاعات'!$CO$5:$CO$1204,1)/COUNTIFS('ثبت اطلاعات'!$C$5:$C$1204,A96,'ثبت اطلاعات'!$CO$5:$CO$1204,1),""))</x:f>
        <x:v>15.2</x:v>
      </x:c>
      <x:c r="H96" s="178" t="n">
        <x:f>IF(A96="","",IFERROR(SUMIFS('ثبت اطلاعات'!$CF$5:$CF$1204,'ثبت اطلاعات'!$C$5:$C$1204,A96,'ثبت اطلاعات'!$CO$5:$CO$1204,1)/COUNTIFS('ثبت اطلاعات'!$C$5:$C$1204,A96,'ثبت اطلاعات'!$CO$5:$CO$1204,1),""))</x:f>
        <x:v>16.5</x:v>
      </x:c>
      <x:c r="I96" s="178" t="n">
        <x:f>IF(A96="","",IFERROR(SUMIFS('ثبت اطلاعات'!$CG$5:$CG$1204,'ثبت اطلاعات'!$C$5:$C$1204,A96,'ثبت اطلاعات'!$CO$5:$CO$1204,1)/COUNTIFS('ثبت اطلاعات'!$C$5:$C$1204,A96,'ثبت اطلاعات'!$CO$5:$CO$1204,1),""))</x:f>
        <x:v>15.428571428571429</x:v>
      </x:c>
      <x:c r="J96" s="178" t="n">
        <x:f>IF(A96="","",IFERROR(SUMIFS('ثبت اطلاعات'!$CH$5:$CH$1204,'ثبت اطلاعات'!$C$5:$C$1204,A96,'ثبت اطلاعات'!$CO$5:$CO$1204,1)/COUNTIFS('ثبت اطلاعات'!$C$5:$C$1204,A96,'ثبت اطلاعات'!$CO$5:$CO$1204,1),""))</x:f>
        <x:v>14</x:v>
      </x:c>
      <x:c r="K96" s="178" t="n">
        <x:f>IF(A96="","",IFERROR(SUMIFS('ثبت اطلاعات'!$CI$5:$CI$1204,'ثبت اطلاعات'!$C$5:$C$1204,A96,'ثبت اطلاعات'!$CO$5:$CO$1204,1)/COUNTIFS('ثبت اطلاعات'!$C$5:$C$1204,A96,'ثبت اطلاعات'!$CO$5:$CO$1204,1),""))</x:f>
        <x:v>16.571428571428573</x:v>
      </x:c>
      <x:c r="L96" s="178" t="n">
        <x:f>IF(A96="","",IFERROR(SUMIFS('ثبت اطلاعات'!$CJ$5:$CJ$1204,'ثبت اطلاعات'!$C$5:$C$1204,A96,'ثبت اطلاعات'!$CO$5:$CO$1204,1)/COUNTIFS('ثبت اطلاعات'!$C$5:$C$1204,A96,'ثبت اطلاعات'!$CO$5:$CO$1204,1),""))</x:f>
        <x:v>15.428571428571429</x:v>
      </x:c>
      <x:c r="M96" s="178" t="n">
        <x:f>IF(A96="","",IFERROR(SUMIFS('ثبت اطلاعات'!$CK$5:$CK$1204,'ثبت اطلاعات'!$C$5:$C$1204,A96,'ثبت اطلاعات'!$CO$5:$CO$1204,1)/COUNTIFS('ثبت اطلاعات'!$C$5:$C$1204,A96,'ثبت اطلاعات'!$CO$5:$CO$1204,1),""))</x:f>
        <x:v>13.714285714285714</x:v>
      </x:c>
      <x:c r="N96" s="178" t="n">
        <x:f>IF(A96="","",IFERROR(SUMIFS('ثبت اطلاعات'!$CL$5:$CL$1204,'ثبت اطلاعات'!$C$5:$C$1204,A96,'ثبت اطلاعات'!$CO$5:$CO$1204,1)/COUNTIFS('ثبت اطلاعات'!$C$5:$C$1204,A96,'ثبت اطلاعات'!$CO$5:$CO$1204,1),""))</x:f>
        <x:v>15.260714285714286</x:v>
      </x:c>
      <x:c r="O96" s="178" t="n">
        <x:f>IF(A96="","",COUNTIFS('ثبت اطلاعات'!$C$5:$C$1204,A96,'ثبت اطلاعات'!$CO$5:$CO$1204,1))</x:f>
        <x:v>1</x:v>
      </x:c>
      <x:c r="P96" s="178" t="n">
        <x:f>IF(O96=0,"",MINIFS('ثبت اطلاعات'!$CN$5:$CN$1204,'ثبت اطلاعات'!$C$5:$C$1204,A96,'ثبت اطلاعات'!$CO$5:$CO$1204,1))</x:f>
        <x:v>1</x:v>
      </x:c>
      <x:c r="Q96" s="178" t="n">
        <x:f>IF(O96=0,"",MAXIFS('ثبت اطلاعات'!$CN$5:$CN$1204,'ثبت اطلاعات'!$C$5:$C$1204,A96,'ثبت اطلاعات'!$CO$5:$CO$1204,1))</x:f>
        <x:v>1</x:v>
      </x:c>
      <x:c r="R96" s="178" t="str">
        <x:f>IF(O96&lt;2,"",SUMIFS('ثبت اطلاعات'!$CL$5:$CL$1204,'ثبت اطلاعات'!$C$5:$C$1204,A96,'ثبت اطلاعات'!$CN$5:$CN$1204,Q96)-SUMIFS('ثبت اطلاعات'!$CL$5:$CL$1204,'ثبت اطلاعات'!$C$5:$C$1204,A96,'ثبت اطلاعات'!$CN$5:$CN$1204,P96))</x:f>
      </x:c>
      <x:c r="S96" s="178" t="str">
        <x:f>IF(A96="","",IF(O96=0,"فاقد ارزیابی نهایی",IF(O96=1,"داده ناکافی",IF(R96&gt;0.5,"پیشرفت",IF(R96&lt;-0.5,"افت","ثبات")))))</x:f>
        <x:v>داده ناکافی</x:v>
      </x:c>
      <x:c r="T96" s="178" t="str">
        <x:f>IF(N96="","",INDEX($E$4:$M$4,1,MATCH(MAX(E96:M96),E96:M96,0)))</x:f>
        <x:v>ورزشی</x:v>
      </x:c>
      <x:c r="U96" s="178" t="str">
        <x:f>IF(N96="","",INDEX($E$4:$M$4,1,MATCH(MIN(E96:M96),E96:M96,0)))</x:f>
        <x:v>مهارت‌های فردی</x:v>
      </x:c>
      <x:c r="V96" s="178" t="str">
        <x:f>IF(N96="","",IF(N96&gt;=17,"عالی",IF(N96&gt;=14,"خوب",IF(N96&gt;=10,"متوسط","ضعیف"))))</x:f>
        <x:v>خوب</x:v>
      </x:c>
      <x:c r="W96" s="178" t="n">
        <x:f>IF(N96="","",RANK.EQ(N96,$N$5:$N$104,0))</x:f>
        <x:v>56</x:v>
      </x:c>
      <x:c r="X96" s="178" t="n">
        <x:f>IF(N96="","",COUNT($N$5:$N$104))</x:f>
        <x:v>100</x:v>
      </x:c>
      <x:c r="Y96" s="142" t="str">
        <x:f>IF(U96="","",IFERROR(INDEX('بانک راهکارها'!$C$5:$C$13,MATCH(U96,'بانک راهکارها'!$B$5:$B$13,0)),""))</x:f>
        <x:v>تمرین برنامه‌ریزی هفتگی، ارتباط مؤثر و کار تیمی پیشنهاد می‌شود.</x:v>
      </x:c>
    </x:row>
    <x:row r="97">
      <x:c r="A97" s="165" t="n">
        <x:f>IF('دانش‌آموزان'!L97="","",'دانش‌آموزان'!B97)</x:f>
        <x:v>93</x:v>
      </x:c>
      <x:c r="B97" s="233" t="str">
        <x:f>IF(A97="","",'دانش‌آموزان'!C97)</x:f>
        <x:v>4000000934</x:v>
      </x:c>
      <x:c r="C97" s="233" t="str">
        <x:f>IF(A97="","",'دانش‌آموزان'!E97&amp;" "&amp;'دانش‌آموزان'!F97)</x:f>
        <x:v>طاها رضایی</x:v>
      </x:c>
      <x:c r="D97" s="166" t="str">
        <x:f>IF(A97="","",'دانش‌آموزان'!I97)</x:f>
        <x:v>sample-7-d</x:v>
      </x:c>
      <x:c r="E97" s="141" t="n">
        <x:f>IF(A97="","",IFERROR(SUMIFS('ثبت اطلاعات'!$CC$5:$CC$1204,'ثبت اطلاعات'!$C$5:$C$1204,A97,'ثبت اطلاعات'!$CO$5:$CO$1204,1)/COUNTIFS('ثبت اطلاعات'!$C$5:$C$1204,A97,'ثبت اطلاعات'!$CO$5:$CO$1204,1),""))</x:f>
        <x:v>15.2</x:v>
      </x:c>
      <x:c r="F97" s="178" t="n">
        <x:f>IF(A97="","",IFERROR(SUMIFS('ثبت اطلاعات'!$CD$5:$CD$1204,'ثبت اطلاعات'!$C$5:$C$1204,A97,'ثبت اطلاعات'!$CO$5:$CO$1204,1)/COUNTIFS('ثبت اطلاعات'!$C$5:$C$1204,A97,'ثبت اطلاعات'!$CO$5:$CO$1204,1),""))</x:f>
        <x:v>15.6</x:v>
      </x:c>
      <x:c r="G97" s="178" t="n">
        <x:f>IF(A97="","",IFERROR(SUMIFS('ثبت اطلاعات'!$CE$5:$CE$1204,'ثبت اطلاعات'!$C$5:$C$1204,A97,'ثبت اطلاعات'!$CO$5:$CO$1204,1)/COUNTIFS('ثبت اطلاعات'!$C$5:$C$1204,A97,'ثبت اطلاعات'!$CO$5:$CO$1204,1),""))</x:f>
        <x:v>14.8</x:v>
      </x:c>
      <x:c r="H97" s="178" t="n">
        <x:f>IF(A97="","",IFERROR(SUMIFS('ثبت اطلاعات'!$CF$5:$CF$1204,'ثبت اطلاعات'!$C$5:$C$1204,A97,'ثبت اطلاعات'!$CO$5:$CO$1204,1)/COUNTIFS('ثبت اطلاعات'!$C$5:$C$1204,A97,'ثبت اطلاعات'!$CO$5:$CO$1204,1),""))</x:f>
        <x:v>15</x:v>
      </x:c>
      <x:c r="I97" s="178" t="n">
        <x:f>IF(A97="","",IFERROR(SUMIFS('ثبت اطلاعات'!$CG$5:$CG$1204,'ثبت اطلاعات'!$C$5:$C$1204,A97,'ثبت اطلاعات'!$CO$5:$CO$1204,1)/COUNTIFS('ثبت اطلاعات'!$C$5:$C$1204,A97,'ثبت اطلاعات'!$CO$5:$CO$1204,1),""))</x:f>
        <x:v>15.428571428571429</x:v>
      </x:c>
      <x:c r="J97" s="178" t="n">
        <x:f>IF(A97="","",IFERROR(SUMIFS('ثبت اطلاعات'!$CH$5:$CH$1204,'ثبت اطلاعات'!$C$5:$C$1204,A97,'ثبت اطلاعات'!$CO$5:$CO$1204,1)/COUNTIFS('ثبت اطلاعات'!$C$5:$C$1204,A97,'ثبت اطلاعات'!$CO$5:$CO$1204,1),""))</x:f>
        <x:v>16</x:v>
      </x:c>
      <x:c r="K97" s="178" t="n">
        <x:f>IF(A97="","",IFERROR(SUMIFS('ثبت اطلاعات'!$CI$5:$CI$1204,'ثبت اطلاعات'!$C$5:$C$1204,A97,'ثبت اطلاعات'!$CO$5:$CO$1204,1)/COUNTIFS('ثبت اطلاعات'!$C$5:$C$1204,A97,'ثبت اطلاعات'!$CO$5:$CO$1204,1),""))</x:f>
        <x:v>14.285714285714286</x:v>
      </x:c>
      <x:c r="L97" s="178" t="n">
        <x:f>IF(A97="","",IFERROR(SUMIFS('ثبت اطلاعات'!$CJ$5:$CJ$1204,'ثبت اطلاعات'!$C$5:$C$1204,A97,'ثبت اطلاعات'!$CO$5:$CO$1204,1)/COUNTIFS('ثبت اطلاعات'!$C$5:$C$1204,A97,'ثبت اطلاعات'!$CO$5:$CO$1204,1),""))</x:f>
        <x:v>15.428571428571429</x:v>
      </x:c>
      <x:c r="M97" s="178" t="n">
        <x:f>IF(A97="","",IFERROR(SUMIFS('ثبت اطلاعات'!$CK$5:$CK$1204,'ثبت اطلاعات'!$C$5:$C$1204,A97,'ثبت اطلاعات'!$CO$5:$CO$1204,1)/COUNTIFS('ثبت اطلاعات'!$C$5:$C$1204,A97,'ثبت اطلاعات'!$CO$5:$CO$1204,1),""))</x:f>
        <x:v>15.428571428571429</x:v>
      </x:c>
      <x:c r="N97" s="178" t="n">
        <x:f>IF(A97="","",IFERROR(SUMIFS('ثبت اطلاعات'!$CL$5:$CL$1204,'ثبت اطلاعات'!$C$5:$C$1204,A97,'ثبت اطلاعات'!$CO$5:$CO$1204,1)/COUNTIFS('ثبت اطلاعات'!$C$5:$C$1204,A97,'ثبت اطلاعات'!$CO$5:$CO$1204,1),""))</x:f>
        <x:v>15.215714285714286</x:v>
      </x:c>
      <x:c r="O97" s="178" t="n">
        <x:f>IF(A97="","",COUNTIFS('ثبت اطلاعات'!$C$5:$C$1204,A97,'ثبت اطلاعات'!$CO$5:$CO$1204,1))</x:f>
        <x:v>1</x:v>
      </x:c>
      <x:c r="P97" s="178" t="n">
        <x:f>IF(O97=0,"",MINIFS('ثبت اطلاعات'!$CN$5:$CN$1204,'ثبت اطلاعات'!$C$5:$C$1204,A97,'ثبت اطلاعات'!$CO$5:$CO$1204,1))</x:f>
        <x:v>1</x:v>
      </x:c>
      <x:c r="Q97" s="178" t="n">
        <x:f>IF(O97=0,"",MAXIFS('ثبت اطلاعات'!$CN$5:$CN$1204,'ثبت اطلاعات'!$C$5:$C$1204,A97,'ثبت اطلاعات'!$CO$5:$CO$1204,1))</x:f>
        <x:v>1</x:v>
      </x:c>
      <x:c r="R97" s="178" t="str">
        <x:f>IF(O97&lt;2,"",SUMIFS('ثبت اطلاعات'!$CL$5:$CL$1204,'ثبت اطلاعات'!$C$5:$C$1204,A97,'ثبت اطلاعات'!$CN$5:$CN$1204,Q97)-SUMIFS('ثبت اطلاعات'!$CL$5:$CL$1204,'ثبت اطلاعات'!$C$5:$C$1204,A97,'ثبت اطلاعات'!$CN$5:$CN$1204,P97))</x:f>
      </x:c>
      <x:c r="S97" s="178" t="str">
        <x:f>IF(A97="","",IF(O97=0,"فاقد ارزیابی نهایی",IF(O97=1,"داده ناکافی",IF(R97&gt;0.5,"پیشرفت",IF(R97&lt;-0.5,"افت","ثبات")))))</x:f>
        <x:v>داده ناکافی</x:v>
      </x:c>
      <x:c r="T97" s="178" t="str">
        <x:f>IF(N97="","",INDEX($E$4:$M$4,1,MATCH(MAX(E97:M97),E97:M97,0)))</x:f>
        <x:v>پژوهشی</x:v>
      </x:c>
      <x:c r="U97" s="178" t="str">
        <x:f>IF(N97="","",INDEX($E$4:$M$4,1,MATCH(MIN(E97:M97),E97:M97,0)))</x:f>
        <x:v>ورزشی</x:v>
      </x:c>
      <x:c r="V97" s="178" t="str">
        <x:f>IF(N97="","",IF(N97&gt;=17,"عالی",IF(N97&gt;=14,"خوب",IF(N97&gt;=10,"متوسط","ضعیف"))))</x:f>
        <x:v>خوب</x:v>
      </x:c>
      <x:c r="W97" s="178" t="n">
        <x:f>IF(N97="","",RANK.EQ(N97,$N$5:$N$104,0))</x:f>
        <x:v>65</x:v>
      </x:c>
      <x:c r="X97" s="178" t="n">
        <x:f>IF(N97="","",COUNT($N$5:$N$104))</x:f>
        <x:v>100</x:v>
      </x:c>
      <x:c r="Y97" s="142" t="str">
        <x:f>IF(U97="","",IFERROR(INDEX('بانک راهکارها'!$C$5:$C$13,MATCH(U97,'بانک راهکارها'!$B$5:$B$13,0)),""))</x:f>
        <x:v>برنامه فعالیت بدنی منظم و مشارکت در ورزش گروهی پیشنهاد می‌شود.</x:v>
      </x:c>
    </x:row>
    <x:row r="98">
      <x:c r="A98" s="165" t="n">
        <x:f>IF('دانش‌آموزان'!L98="","",'دانش‌آموزان'!B98)</x:f>
        <x:v>94</x:v>
      </x:c>
      <x:c r="B98" s="233" t="str">
        <x:f>IF(A98="","",'دانش‌آموزان'!C98)</x:f>
        <x:v>4000000942</x:v>
      </x:c>
      <x:c r="C98" s="233" t="str">
        <x:f>IF(A98="","",'دانش‌آموزان'!E98&amp;" "&amp;'دانش‌آموزان'!F98)</x:f>
        <x:v>باران نوری</x:v>
      </x:c>
      <x:c r="D98" s="166" t="str">
        <x:f>IF(A98="","",'دانش‌آموزان'!I98)</x:f>
        <x:v>sample-7-d</x:v>
      </x:c>
      <x:c r="E98" s="141" t="n">
        <x:f>IF(A98="","",IFERROR(SUMIFS('ثبت اطلاعات'!$CC$5:$CC$1204,'ثبت اطلاعات'!$C$5:$C$1204,A98,'ثبت اطلاعات'!$CO$5:$CO$1204,1)/COUNTIFS('ثبت اطلاعات'!$C$5:$C$1204,A98,'ثبت اطلاعات'!$CO$5:$CO$1204,1),""))</x:f>
        <x:v>14.8</x:v>
      </x:c>
      <x:c r="F98" s="178" t="n">
        <x:f>IF(A98="","",IFERROR(SUMIFS('ثبت اطلاعات'!$CD$5:$CD$1204,'ثبت اطلاعات'!$C$5:$C$1204,A98,'ثبت اطلاعات'!$CO$5:$CO$1204,1)/COUNTIFS('ثبت اطلاعات'!$C$5:$C$1204,A98,'ثبت اطلاعات'!$CO$5:$CO$1204,1),""))</x:f>
        <x:v>15.2</x:v>
      </x:c>
      <x:c r="G98" s="178" t="n">
        <x:f>IF(A98="","",IFERROR(SUMIFS('ثبت اطلاعات'!$CE$5:$CE$1204,'ثبت اطلاعات'!$C$5:$C$1204,A98,'ثبت اطلاعات'!$CO$5:$CO$1204,1)/COUNTIFS('ثبت اطلاعات'!$C$5:$C$1204,A98,'ثبت اطلاعات'!$CO$5:$CO$1204,1),""))</x:f>
        <x:v>16</x:v>
      </x:c>
      <x:c r="H98" s="178" t="n">
        <x:f>IF(A98="","",IFERROR(SUMIFS('ثبت اطلاعات'!$CF$5:$CF$1204,'ثبت اطلاعات'!$C$5:$C$1204,A98,'ثبت اطلاعات'!$CO$5:$CO$1204,1)/COUNTIFS('ثبت اطلاعات'!$C$5:$C$1204,A98,'ثبت اطلاعات'!$CO$5:$CO$1204,1),""))</x:f>
        <x:v>15.5</x:v>
      </x:c>
      <x:c r="I98" s="178" t="n">
        <x:f>IF(A98="","",IFERROR(SUMIFS('ثبت اطلاعات'!$CG$5:$CG$1204,'ثبت اطلاعات'!$C$5:$C$1204,A98,'ثبت اطلاعات'!$CO$5:$CO$1204,1)/COUNTIFS('ثبت اطلاعات'!$C$5:$C$1204,A98,'ثبت اطلاعات'!$CO$5:$CO$1204,1),""))</x:f>
        <x:v>14.857142857142858</x:v>
      </x:c>
      <x:c r="J98" s="178" t="n">
        <x:f>IF(A98="","",IFERROR(SUMIFS('ثبت اطلاعات'!$CH$5:$CH$1204,'ثبت اطلاعات'!$C$5:$C$1204,A98,'ثبت اطلاعات'!$CO$5:$CO$1204,1)/COUNTIFS('ثبت اطلاعات'!$C$5:$C$1204,A98,'ثبت اطلاعات'!$CO$5:$CO$1204,1),""))</x:f>
        <x:v>14.5</x:v>
      </x:c>
      <x:c r="K98" s="178" t="n">
        <x:f>IF(A98="","",IFERROR(SUMIFS('ثبت اطلاعات'!$CI$5:$CI$1204,'ثبت اطلاعات'!$C$5:$C$1204,A98,'ثبت اطلاعات'!$CO$5:$CO$1204,1)/COUNTIFS('ثبت اطلاعات'!$C$5:$C$1204,A98,'ثبت اطلاعات'!$CO$5:$CO$1204,1),""))</x:f>
        <x:v>16.571428571428573</x:v>
      </x:c>
      <x:c r="L98" s="178" t="n">
        <x:f>IF(A98="","",IFERROR(SUMIFS('ثبت اطلاعات'!$CJ$5:$CJ$1204,'ثبت اطلاعات'!$C$5:$C$1204,A98,'ثبت اطلاعات'!$CO$5:$CO$1204,1)/COUNTIFS('ثبت اطلاعات'!$C$5:$C$1204,A98,'ثبت اطلاعات'!$CO$5:$CO$1204,1),""))</x:f>
        <x:v>14.857142857142858</x:v>
      </x:c>
      <x:c r="M98" s="178" t="n">
        <x:f>IF(A98="","",IFERROR(SUMIFS('ثبت اطلاعات'!$CK$5:$CK$1204,'ثبت اطلاعات'!$C$5:$C$1204,A98,'ثبت اطلاعات'!$CO$5:$CO$1204,1)/COUNTIFS('ثبت اطلاعات'!$C$5:$C$1204,A98,'ثبت اطلاعات'!$CO$5:$CO$1204,1),""))</x:f>
        <x:v>15.428571428571429</x:v>
      </x:c>
      <x:c r="N98" s="178" t="n">
        <x:f>IF(A98="","",IFERROR(SUMIFS('ثبت اطلاعات'!$CL$5:$CL$1204,'ثبت اطلاعات'!$C$5:$C$1204,A98,'ثبت اطلاعات'!$CO$5:$CO$1204,1)/COUNTIFS('ثبت اطلاعات'!$C$5:$C$1204,A98,'ثبت اطلاعات'!$CO$5:$CO$1204,1),""))</x:f>
        <x:v>15.29642857142857</x:v>
      </x:c>
      <x:c r="O98" s="178" t="n">
        <x:f>IF(A98="","",COUNTIFS('ثبت اطلاعات'!$C$5:$C$1204,A98,'ثبت اطلاعات'!$CO$5:$CO$1204,1))</x:f>
        <x:v>1</x:v>
      </x:c>
      <x:c r="P98" s="178" t="n">
        <x:f>IF(O98=0,"",MINIFS('ثبت اطلاعات'!$CN$5:$CN$1204,'ثبت اطلاعات'!$C$5:$C$1204,A98,'ثبت اطلاعات'!$CO$5:$CO$1204,1))</x:f>
        <x:v>1</x:v>
      </x:c>
      <x:c r="Q98" s="178" t="n">
        <x:f>IF(O98=0,"",MAXIFS('ثبت اطلاعات'!$CN$5:$CN$1204,'ثبت اطلاعات'!$C$5:$C$1204,A98,'ثبت اطلاعات'!$CO$5:$CO$1204,1))</x:f>
        <x:v>1</x:v>
      </x:c>
      <x:c r="R98" s="178" t="str">
        <x:f>IF(O98&lt;2,"",SUMIFS('ثبت اطلاعات'!$CL$5:$CL$1204,'ثبت اطلاعات'!$C$5:$C$1204,A98,'ثبت اطلاعات'!$CN$5:$CN$1204,Q98)-SUMIFS('ثبت اطلاعات'!$CL$5:$CL$1204,'ثبت اطلاعات'!$C$5:$C$1204,A98,'ثبت اطلاعات'!$CN$5:$CN$1204,P98))</x:f>
      </x:c>
      <x:c r="S98" s="178" t="str">
        <x:f>IF(A98="","",IF(O98=0,"فاقد ارزیابی نهایی",IF(O98=1,"داده ناکافی",IF(R98&gt;0.5,"پیشرفت",IF(R98&lt;-0.5,"افت","ثبات")))))</x:f>
        <x:v>داده ناکافی</x:v>
      </x:c>
      <x:c r="T98" s="178" t="str">
        <x:f>IF(N98="","",INDEX($E$4:$M$4,1,MATCH(MAX(E98:M98),E98:M98,0)))</x:f>
        <x:v>ورزشی</x:v>
      </x:c>
      <x:c r="U98" s="178" t="str">
        <x:f>IF(N98="","",INDEX($E$4:$M$4,1,MATCH(MIN(E98:M98),E98:M98,0)))</x:f>
        <x:v>پژوهشی</x:v>
      </x:c>
      <x:c r="V98" s="178" t="str">
        <x:f>IF(N98="","",IF(N98&gt;=17,"عالی",IF(N98&gt;=14,"خوب",IF(N98&gt;=10,"متوسط","ضعیف"))))</x:f>
        <x:v>خوب</x:v>
      </x:c>
      <x:c r="W98" s="178" t="n">
        <x:f>IF(N98="","",RANK.EQ(N98,$N$5:$N$104,0))</x:f>
        <x:v>38</x:v>
      </x:c>
      <x:c r="X98" s="178" t="n">
        <x:f>IF(N98="","",COUNT($N$5:$N$104))</x:f>
        <x:v>100</x:v>
      </x:c>
      <x:c r="Y98" s="142" t="str">
        <x:f>IF(U98="","",IFERROR(INDEX('بانک راهکارها'!$C$5:$C$13,MATCH(U98,'بانک راهکارها'!$B$5:$B$13,0)),""))</x:f>
        <x:v>یک پروژه کوچک پژوهشی با منابع مشخص و ارائه کوتاه پیشنهاد می‌شود.</x:v>
      </x:c>
    </x:row>
    <x:row r="99">
      <x:c r="A99" s="165" t="n">
        <x:f>IF('دانش‌آموزان'!L99="","",'دانش‌آموزان'!B99)</x:f>
        <x:v>95</x:v>
      </x:c>
      <x:c r="B99" s="233" t="str">
        <x:f>IF(A99="","",'دانش‌آموزان'!C99)</x:f>
        <x:v>4000000950</x:v>
      </x:c>
      <x:c r="C99" s="233" t="str">
        <x:f>IF(A99="","",'دانش‌آموزان'!E99&amp;" "&amp;'دانش‌آموزان'!F99)</x:f>
        <x:v>ماهان سلیمانی</x:v>
      </x:c>
      <x:c r="D99" s="166" t="str">
        <x:f>IF(A99="","",'دانش‌آموزان'!I99)</x:f>
        <x:v>sample-7-d</x:v>
      </x:c>
      <x:c r="E99" s="141" t="n">
        <x:f>IF(A99="","",IFERROR(SUMIFS('ثبت اطلاعات'!$CC$5:$CC$1204,'ثبت اطلاعات'!$C$5:$C$1204,A99,'ثبت اطلاعات'!$CO$5:$CO$1204,1)/COUNTIFS('ثبت اطلاعات'!$C$5:$C$1204,A99,'ثبت اطلاعات'!$CO$5:$CO$1204,1),""))</x:f>
        <x:v>15.6</x:v>
      </x:c>
      <x:c r="F99" s="178" t="n">
        <x:f>IF(A99="","",IFERROR(SUMIFS('ثبت اطلاعات'!$CD$5:$CD$1204,'ثبت اطلاعات'!$C$5:$C$1204,A99,'ثبت اطلاعات'!$CO$5:$CO$1204,1)/COUNTIFS('ثبت اطلاعات'!$C$5:$C$1204,A99,'ثبت اطلاعات'!$CO$5:$CO$1204,1),""))</x:f>
        <x:v>14.8</x:v>
      </x:c>
      <x:c r="G99" s="178" t="n">
        <x:f>IF(A99="","",IFERROR(SUMIFS('ثبت اطلاعات'!$CE$5:$CE$1204,'ثبت اطلاعات'!$C$5:$C$1204,A99,'ثبت اطلاعات'!$CO$5:$CO$1204,1)/COUNTIFS('ثبت اطلاعات'!$C$5:$C$1204,A99,'ثبت اطلاعات'!$CO$5:$CO$1204,1),""))</x:f>
        <x:v>15.6</x:v>
      </x:c>
      <x:c r="H99" s="178" t="n">
        <x:f>IF(A99="","",IFERROR(SUMIFS('ثبت اطلاعات'!$CF$5:$CF$1204,'ثبت اطلاعات'!$C$5:$C$1204,A99,'ثبت اطلاعات'!$CO$5:$CO$1204,1)/COUNTIFS('ثبت اطلاعات'!$C$5:$C$1204,A99,'ثبت اطلاعات'!$CO$5:$CO$1204,1),""))</x:f>
        <x:v>14</x:v>
      </x:c>
      <x:c r="I99" s="178" t="n">
        <x:f>IF(A99="","",IFERROR(SUMIFS('ثبت اطلاعات'!$CG$5:$CG$1204,'ثبت اطلاعات'!$C$5:$C$1204,A99,'ثبت اطلاعات'!$CO$5:$CO$1204,1)/COUNTIFS('ثبت اطلاعات'!$C$5:$C$1204,A99,'ثبت اطلاعات'!$CO$5:$CO$1204,1),""))</x:f>
        <x:v>16.571428571428573</x:v>
      </x:c>
      <x:c r="J99" s="178" t="n">
        <x:f>IF(A99="","",IFERROR(SUMIFS('ثبت اطلاعات'!$CH$5:$CH$1204,'ثبت اطلاعات'!$C$5:$C$1204,A99,'ثبت اطلاعات'!$CO$5:$CO$1204,1)/COUNTIFS('ثبت اطلاعات'!$C$5:$C$1204,A99,'ثبت اطلاعات'!$CO$5:$CO$1204,1),""))</x:f>
        <x:v>15</x:v>
      </x:c>
      <x:c r="K99" s="178" t="n">
        <x:f>IF(A99="","",IFERROR(SUMIFS('ثبت اطلاعات'!$CI$5:$CI$1204,'ثبت اطلاعات'!$C$5:$C$1204,A99,'ثبت اطلاعات'!$CO$5:$CO$1204,1)/COUNTIFS('ثبت اطلاعات'!$C$5:$C$1204,A99,'ثبت اطلاعات'!$CO$5:$CO$1204,1),""))</x:f>
        <x:v>14.285714285714286</x:v>
      </x:c>
      <x:c r="L99" s="178" t="n">
        <x:f>IF(A99="","",IFERROR(SUMIFS('ثبت اطلاعات'!$CJ$5:$CJ$1204,'ثبت اطلاعات'!$C$5:$C$1204,A99,'ثبت اطلاعات'!$CO$5:$CO$1204,1)/COUNTIFS('ثبت اطلاعات'!$C$5:$C$1204,A99,'ثبت اطلاعات'!$CO$5:$CO$1204,1),""))</x:f>
        <x:v>16.571428571428573</x:v>
      </x:c>
      <x:c r="M99" s="178" t="n">
        <x:f>IF(A99="","",IFERROR(SUMIFS('ثبت اطلاعات'!$CK$5:$CK$1204,'ثبت اطلاعات'!$C$5:$C$1204,A99,'ثبت اطلاعات'!$CO$5:$CO$1204,1)/COUNTIFS('ثبت اطلاعات'!$C$5:$C$1204,A99,'ثبت اطلاعات'!$CO$5:$CO$1204,1),""))</x:f>
        <x:v>15.428571428571429</x:v>
      </x:c>
      <x:c r="N99" s="178" t="n">
        <x:f>IF(A99="","",IFERROR(SUMIFS('ثبت اطلاعات'!$CL$5:$CL$1204,'ثبت اطلاعات'!$C$5:$C$1204,A99,'ثبت اطلاعات'!$CO$5:$CO$1204,1)/COUNTIFS('ثبت اطلاعات'!$C$5:$C$1204,A99,'ثبت اطلاعات'!$CO$5:$CO$1204,1),""))</x:f>
        <x:v>15.214285714285715</x:v>
      </x:c>
      <x:c r="O99" s="178" t="n">
        <x:f>IF(A99="","",COUNTIFS('ثبت اطلاعات'!$C$5:$C$1204,A99,'ثبت اطلاعات'!$CO$5:$CO$1204,1))</x:f>
        <x:v>1</x:v>
      </x:c>
      <x:c r="P99" s="178" t="n">
        <x:f>IF(O99=0,"",MINIFS('ثبت اطلاعات'!$CN$5:$CN$1204,'ثبت اطلاعات'!$C$5:$C$1204,A99,'ثبت اطلاعات'!$CO$5:$CO$1204,1))</x:f>
        <x:v>1</x:v>
      </x:c>
      <x:c r="Q99" s="178" t="n">
        <x:f>IF(O99=0,"",MAXIFS('ثبت اطلاعات'!$CN$5:$CN$1204,'ثبت اطلاعات'!$C$5:$C$1204,A99,'ثبت اطلاعات'!$CO$5:$CO$1204,1))</x:f>
        <x:v>1</x:v>
      </x:c>
      <x:c r="R99" s="178" t="str">
        <x:f>IF(O99&lt;2,"",SUMIFS('ثبت اطلاعات'!$CL$5:$CL$1204,'ثبت اطلاعات'!$C$5:$C$1204,A99,'ثبت اطلاعات'!$CN$5:$CN$1204,Q99)-SUMIFS('ثبت اطلاعات'!$CL$5:$CL$1204,'ثبت اطلاعات'!$C$5:$C$1204,A99,'ثبت اطلاعات'!$CN$5:$CN$1204,P99))</x:f>
      </x:c>
      <x:c r="S99" s="178" t="str">
        <x:f>IF(A99="","",IF(O99=0,"فاقد ارزیابی نهایی",IF(O99=1,"داده ناکافی",IF(R99&gt;0.5,"پیشرفت",IF(R99&lt;-0.5,"افت","ثبات")))))</x:f>
        <x:v>داده ناکافی</x:v>
      </x:c>
      <x:c r="T99" s="178" t="str">
        <x:f>IF(N99="","",INDEX($E$4:$M$4,1,MATCH(MAX(E99:M99),E99:M99,0)))</x:f>
        <x:v>فرهنگی</x:v>
      </x:c>
      <x:c r="U99" s="178" t="str">
        <x:f>IF(N99="","",INDEX($E$4:$M$4,1,MATCH(MIN(E99:M99),E99:M99,0)))</x:f>
        <x:v>انضباطی</x:v>
      </x:c>
      <x:c r="V99" s="178" t="str">
        <x:f>IF(N99="","",IF(N99&gt;=17,"عالی",IF(N99&gt;=14,"خوب",IF(N99&gt;=10,"متوسط","ضعیف"))))</x:f>
        <x:v>خوب</x:v>
      </x:c>
      <x:c r="W99" s="178" t="n">
        <x:f>IF(N99="","",RANK.EQ(N99,$N$5:$N$104,0))</x:f>
        <x:v>74</x:v>
      </x:c>
      <x:c r="X99" s="178" t="n">
        <x:f>IF(N99="","",COUNT($N$5:$N$104))</x:f>
        <x:v>100</x:v>
      </x:c>
      <x:c r="Y99" s="142" t="str">
        <x:f>IF(U99="","",IFERROR(INDEX('بانک راهکارها'!$C$5:$C$13,MATCH(U99,'بانک راهکارها'!$B$5:$B$13,0)),""))</x:f>
        <x:v>قواعد روشن، قرارداد رفتاری کوتاه‌مدت و ثبت منظم پیشرفت پیشنهاد می‌شود.</x:v>
      </x:c>
    </x:row>
    <x:row r="100">
      <x:c r="A100" s="165" t="n">
        <x:f>IF('دانش‌آموزان'!L100="","",'دانش‌آموزان'!B100)</x:f>
        <x:v>96</x:v>
      </x:c>
      <x:c r="B100" s="233" t="str">
        <x:f>IF(A100="","",'دانش‌آموزان'!C100)</x:f>
        <x:v>4000000969</x:v>
      </x:c>
      <x:c r="C100" s="233" t="str">
        <x:f>IF(A100="","",'دانش‌آموزان'!E100&amp;" "&amp;'دانش‌آموزان'!F100)</x:f>
        <x:v>نازنین مرادی</x:v>
      </x:c>
      <x:c r="D100" s="166" t="str">
        <x:f>IF(A100="","",'دانش‌آموزان'!I100)</x:f>
        <x:v>sample-7-d</x:v>
      </x:c>
      <x:c r="E100" s="141" t="n">
        <x:f>IF(A100="","",IFERROR(SUMIFS('ثبت اطلاعات'!$CC$5:$CC$1204,'ثبت اطلاعات'!$C$5:$C$1204,A100,'ثبت اطلاعات'!$CO$5:$CO$1204,1)/COUNTIFS('ثبت اطلاعات'!$C$5:$C$1204,A100,'ثبت اطلاعات'!$CO$5:$CO$1204,1),""))</x:f>
        <x:v>15.2</x:v>
      </x:c>
      <x:c r="F100" s="178" t="n">
        <x:f>IF(A100="","",IFERROR(SUMIFS('ثبت اطلاعات'!$CD$5:$CD$1204,'ثبت اطلاعات'!$C$5:$C$1204,A100,'ثبت اطلاعات'!$CO$5:$CO$1204,1)/COUNTIFS('ثبت اطلاعات'!$C$5:$C$1204,A100,'ثبت اطلاعات'!$CO$5:$CO$1204,1),""))</x:f>
        <x:v>16</x:v>
      </x:c>
      <x:c r="G100" s="178" t="n">
        <x:f>IF(A100="","",IFERROR(SUMIFS('ثبت اطلاعات'!$CE$5:$CE$1204,'ثبت اطلاعات'!$C$5:$C$1204,A100,'ثبت اطلاعات'!$CO$5:$CO$1204,1)/COUNTIFS('ثبت اطلاعات'!$C$5:$C$1204,A100,'ثبت اطلاعات'!$CO$5:$CO$1204,1),""))</x:f>
        <x:v>15.2</x:v>
      </x:c>
      <x:c r="H100" s="178" t="n">
        <x:f>IF(A100="","",IFERROR(SUMIFS('ثبت اطلاعات'!$CF$5:$CF$1204,'ثبت اطلاعات'!$C$5:$C$1204,A100,'ثبت اطلاعات'!$CO$5:$CO$1204,1)/COUNTIFS('ثبت اطلاعات'!$C$5:$C$1204,A100,'ثبت اطلاعات'!$CO$5:$CO$1204,1),""))</x:f>
        <x:v>16</x:v>
      </x:c>
      <x:c r="I100" s="178" t="n">
        <x:f>IF(A100="","",IFERROR(SUMIFS('ثبت اطلاعات'!$CG$5:$CG$1204,'ثبت اطلاعات'!$C$5:$C$1204,A100,'ثبت اطلاعات'!$CO$5:$CO$1204,1)/COUNTIFS('ثبت اطلاعات'!$C$5:$C$1204,A100,'ثبت اطلاعات'!$CO$5:$CO$1204,1),""))</x:f>
        <x:v>14.285714285714286</x:v>
      </x:c>
      <x:c r="J100" s="178" t="n">
        <x:f>IF(A100="","",IFERROR(SUMIFS('ثبت اطلاعات'!$CH$5:$CH$1204,'ثبت اطلاعات'!$C$5:$C$1204,A100,'ثبت اطلاعات'!$CO$5:$CO$1204,1)/COUNTIFS('ثبت اطلاعات'!$C$5:$C$1204,A100,'ثبت اطلاعات'!$CO$5:$CO$1204,1),""))</x:f>
        <x:v>15.5</x:v>
      </x:c>
      <x:c r="K100" s="178" t="n">
        <x:f>IF(A100="","",IFERROR(SUMIFS('ثبت اطلاعات'!$CI$5:$CI$1204,'ثبت اطلاعات'!$C$5:$C$1204,A100,'ثبت اطلاعات'!$CO$5:$CO$1204,1)/COUNTIFS('ثبت اطلاعات'!$C$5:$C$1204,A100,'ثبت اطلاعات'!$CO$5:$CO$1204,1),""))</x:f>
        <x:v>16</x:v>
      </x:c>
      <x:c r="L100" s="178" t="n">
        <x:f>IF(A100="","",IFERROR(SUMIFS('ثبت اطلاعات'!$CJ$5:$CJ$1204,'ثبت اطلاعات'!$C$5:$C$1204,A100,'ثبت اطلاعات'!$CO$5:$CO$1204,1)/COUNTIFS('ثبت اطلاعات'!$C$5:$C$1204,A100,'ثبت اطلاعات'!$CO$5:$CO$1204,1),""))</x:f>
        <x:v>14.285714285714286</x:v>
      </x:c>
      <x:c r="M100" s="178" t="n">
        <x:f>IF(A100="","",IFERROR(SUMIFS('ثبت اطلاعات'!$CK$5:$CK$1204,'ثبت اطلاعات'!$C$5:$C$1204,A100,'ثبت اطلاعات'!$CO$5:$CO$1204,1)/COUNTIFS('ثبت اطلاعات'!$C$5:$C$1204,A100,'ثبت اطلاعات'!$CO$5:$CO$1204,1),""))</x:f>
        <x:v>15.428571428571429</x:v>
      </x:c>
      <x:c r="N100" s="178" t="n">
        <x:f>IF(A100="","",IFERROR(SUMIFS('ثبت اطلاعات'!$CL$5:$CL$1204,'ثبت اطلاعات'!$C$5:$C$1204,A100,'ثبت اطلاعات'!$CO$5:$CO$1204,1)/COUNTIFS('ثبت اطلاعات'!$C$5:$C$1204,A100,'ثبت اطلاعات'!$CO$5:$CO$1204,1),""))</x:f>
        <x:v>15.417142857142858</x:v>
      </x:c>
      <x:c r="O100" s="178" t="n">
        <x:f>IF(A100="","",COUNTIFS('ثبت اطلاعات'!$C$5:$C$1204,A100,'ثبت اطلاعات'!$CO$5:$CO$1204,1))</x:f>
        <x:v>1</x:v>
      </x:c>
      <x:c r="P100" s="178" t="n">
        <x:f>IF(O100=0,"",MINIFS('ثبت اطلاعات'!$CN$5:$CN$1204,'ثبت اطلاعات'!$C$5:$C$1204,A100,'ثبت اطلاعات'!$CO$5:$CO$1204,1))</x:f>
        <x:v>1</x:v>
      </x:c>
      <x:c r="Q100" s="178" t="n">
        <x:f>IF(O100=0,"",MAXIFS('ثبت اطلاعات'!$CN$5:$CN$1204,'ثبت اطلاعات'!$C$5:$C$1204,A100,'ثبت اطلاعات'!$CO$5:$CO$1204,1))</x:f>
        <x:v>1</x:v>
      </x:c>
      <x:c r="R100" s="178" t="str">
        <x:f>IF(O100&lt;2,"",SUMIFS('ثبت اطلاعات'!$CL$5:$CL$1204,'ثبت اطلاعات'!$C$5:$C$1204,A100,'ثبت اطلاعات'!$CN$5:$CN$1204,Q100)-SUMIFS('ثبت اطلاعات'!$CL$5:$CL$1204,'ثبت اطلاعات'!$C$5:$C$1204,A100,'ثبت اطلاعات'!$CN$5:$CN$1204,P100))</x:f>
      </x:c>
      <x:c r="S100" s="178" t="str">
        <x:f>IF(A100="","",IF(O100=0,"فاقد ارزیابی نهایی",IF(O100=1,"داده ناکافی",IF(R100&gt;0.5,"پیشرفت",IF(R100&lt;-0.5,"افت","ثبات")))))</x:f>
        <x:v>داده ناکافی</x:v>
      </x:c>
      <x:c r="T100" s="178" t="str">
        <x:f>IF(N100="","",INDEX($E$4:$M$4,1,MATCH(MAX(E100:M100),E100:M100,0)))</x:f>
        <x:v>پرورشی</x:v>
      </x:c>
      <x:c r="U100" s="178" t="str">
        <x:f>IF(N100="","",INDEX($E$4:$M$4,1,MATCH(MIN(E100:M100),E100:M100,0)))</x:f>
        <x:v>فرهنگی</x:v>
      </x:c>
      <x:c r="V100" s="178" t="str">
        <x:f>IF(N100="","",IF(N100&gt;=17,"عالی",IF(N100&gt;=14,"خوب",IF(N100&gt;=10,"متوسط","ضعیف"))))</x:f>
        <x:v>خوب</x:v>
      </x:c>
      <x:c r="W100" s="178" t="n">
        <x:f>IF(N100="","",RANK.EQ(N100,$N$5:$N$104,0))</x:f>
        <x:v>10</x:v>
      </x:c>
      <x:c r="X100" s="178" t="n">
        <x:f>IF(N100="","",COUNT($N$5:$N$104))</x:f>
        <x:v>100</x:v>
      </x:c>
      <x:c r="Y100" s="142" t="str">
        <x:f>IF(U100="","",IFERROR(INDEX('بانک راهکارها'!$C$5:$C$13,MATCH(U100,'بانک راهکارها'!$B$5:$B$13,0)),""))</x:f>
        <x:v>مشارکت در برنامه‌های فرهنگی، مطالعه هدایت‌شده و فعالیت گروهی پیشنهاد می‌شود.</x:v>
      </x:c>
    </x:row>
    <x:row r="101">
      <x:c r="A101" s="165" t="n">
        <x:f>IF('دانش‌آموزان'!L101="","",'دانش‌آموزان'!B101)</x:f>
        <x:v>97</x:v>
      </x:c>
      <x:c r="B101" s="233" t="str">
        <x:f>IF(A101="","",'دانش‌آموزان'!C101)</x:f>
        <x:v>4000000977</x:v>
      </x:c>
      <x:c r="C101" s="233" t="str">
        <x:f>IF(A101="","",'دانش‌آموزان'!E101&amp;" "&amp;'دانش‌آموزان'!F101)</x:f>
        <x:v>سینا رحیمی</x:v>
      </x:c>
      <x:c r="D101" s="166" t="str">
        <x:f>IF(A101="","",'دانش‌آموزان'!I101)</x:f>
        <x:v>sample-7-d</x:v>
      </x:c>
      <x:c r="E101" s="141" t="n">
        <x:f>IF(A101="","",IFERROR(SUMIFS('ثبت اطلاعات'!$CC$5:$CC$1204,'ثبت اطلاعات'!$C$5:$C$1204,A101,'ثبت اطلاعات'!$CO$5:$CO$1204,1)/COUNTIFS('ثبت اطلاعات'!$C$5:$C$1204,A101,'ثبت اطلاعات'!$CO$5:$CO$1204,1),""))</x:f>
        <x:v>14.8</x:v>
      </x:c>
      <x:c r="F101" s="178" t="n">
        <x:f>IF(A101="","",IFERROR(SUMIFS('ثبت اطلاعات'!$CD$5:$CD$1204,'ثبت اطلاعات'!$C$5:$C$1204,A101,'ثبت اطلاعات'!$CO$5:$CO$1204,1)/COUNTIFS('ثبت اطلاعات'!$C$5:$C$1204,A101,'ثبت اطلاعات'!$CO$5:$CO$1204,1),""))</x:f>
        <x:v>15.6</x:v>
      </x:c>
      <x:c r="G101" s="178" t="n">
        <x:f>IF(A101="","",IFERROR(SUMIFS('ثبت اطلاعات'!$CE$5:$CE$1204,'ثبت اطلاعات'!$C$5:$C$1204,A101,'ثبت اطلاعات'!$CO$5:$CO$1204,1)/COUNTIFS('ثبت اطلاعات'!$C$5:$C$1204,A101,'ثبت اطلاعات'!$CO$5:$CO$1204,1),""))</x:f>
        <x:v>14.8</x:v>
      </x:c>
      <x:c r="H101" s="178" t="n">
        <x:f>IF(A101="","",IFERROR(SUMIFS('ثبت اطلاعات'!$CF$5:$CF$1204,'ثبت اطلاعات'!$C$5:$C$1204,A101,'ثبت اطلاعات'!$CO$5:$CO$1204,1)/COUNTIFS('ثبت اطلاعات'!$C$5:$C$1204,A101,'ثبت اطلاعات'!$CO$5:$CO$1204,1),""))</x:f>
        <x:v>14.5</x:v>
      </x:c>
      <x:c r="I101" s="178" t="n">
        <x:f>IF(A101="","",IFERROR(SUMIFS('ثبت اطلاعات'!$CG$5:$CG$1204,'ثبت اطلاعات'!$C$5:$C$1204,A101,'ثبت اطلاعات'!$CO$5:$CO$1204,1)/COUNTIFS('ثبت اطلاعات'!$C$5:$C$1204,A101,'ثبت اطلاعات'!$CO$5:$CO$1204,1),""))</x:f>
        <x:v>16.571428571428573</x:v>
      </x:c>
      <x:c r="J101" s="178" t="n">
        <x:f>IF(A101="","",IFERROR(SUMIFS('ثبت اطلاعات'!$CH$5:$CH$1204,'ثبت اطلاعات'!$C$5:$C$1204,A101,'ثبت اطلاعات'!$CO$5:$CO$1204,1)/COUNTIFS('ثبت اطلاعات'!$C$5:$C$1204,A101,'ثبت اطلاعات'!$CO$5:$CO$1204,1),""))</x:f>
        <x:v>15.5</x:v>
      </x:c>
      <x:c r="K101" s="178" t="n">
        <x:f>IF(A101="","",IFERROR(SUMIFS('ثبت اطلاعات'!$CI$5:$CI$1204,'ثبت اطلاعات'!$C$5:$C$1204,A101,'ثبت اطلاعات'!$CO$5:$CO$1204,1)/COUNTIFS('ثبت اطلاعات'!$C$5:$C$1204,A101,'ثبت اطلاعات'!$CO$5:$CO$1204,1),""))</x:f>
        <x:v>13.714285714285714</x:v>
      </x:c>
      <x:c r="L101" s="178" t="n">
        <x:f>IF(A101="","",IFERROR(SUMIFS('ثبت اطلاعات'!$CJ$5:$CJ$1204,'ثبت اطلاعات'!$C$5:$C$1204,A101,'ثبت اطلاعات'!$CO$5:$CO$1204,1)/COUNTIFS('ثبت اطلاعات'!$C$5:$C$1204,A101,'ثبت اطلاعات'!$CO$5:$CO$1204,1),""))</x:f>
        <x:v>16.571428571428573</x:v>
      </x:c>
      <x:c r="M101" s="178" t="n">
        <x:f>IF(A101="","",IFERROR(SUMIFS('ثبت اطلاعات'!$CK$5:$CK$1204,'ثبت اطلاعات'!$C$5:$C$1204,A101,'ثبت اطلاعات'!$CO$5:$CO$1204,1)/COUNTIFS('ثبت اطلاعات'!$C$5:$C$1204,A101,'ثبت اطلاعات'!$CO$5:$CO$1204,1),""))</x:f>
        <x:v>14.857142857142858</x:v>
      </x:c>
      <x:c r="N101" s="178" t="n">
        <x:f>IF(A101="","",IFERROR(SUMIFS('ثبت اطلاعات'!$CL$5:$CL$1204,'ثبت اطلاعات'!$C$5:$C$1204,A101,'ثبت اطلاعات'!$CO$5:$CO$1204,1)/COUNTIFS('ثبت اطلاعات'!$C$5:$C$1204,A101,'ثبت اطلاعات'!$CO$5:$CO$1204,1),""))</x:f>
        <x:v>15.089285714285715</x:v>
      </x:c>
      <x:c r="O101" s="178" t="n">
        <x:f>IF(A101="","",COUNTIFS('ثبت اطلاعات'!$C$5:$C$1204,A101,'ثبت اطلاعات'!$CO$5:$CO$1204,1))</x:f>
        <x:v>1</x:v>
      </x:c>
      <x:c r="P101" s="178" t="n">
        <x:f>IF(O101=0,"",MINIFS('ثبت اطلاعات'!$CN$5:$CN$1204,'ثبت اطلاعات'!$C$5:$C$1204,A101,'ثبت اطلاعات'!$CO$5:$CO$1204,1))</x:f>
        <x:v>1</x:v>
      </x:c>
      <x:c r="Q101" s="178" t="n">
        <x:f>IF(O101=0,"",MAXIFS('ثبت اطلاعات'!$CN$5:$CN$1204,'ثبت اطلاعات'!$C$5:$C$1204,A101,'ثبت اطلاعات'!$CO$5:$CO$1204,1))</x:f>
        <x:v>1</x:v>
      </x:c>
      <x:c r="R101" s="178" t="str">
        <x:f>IF(O101&lt;2,"",SUMIFS('ثبت اطلاعات'!$CL$5:$CL$1204,'ثبت اطلاعات'!$C$5:$C$1204,A101,'ثبت اطلاعات'!$CN$5:$CN$1204,Q101)-SUMIFS('ثبت اطلاعات'!$CL$5:$CL$1204,'ثبت اطلاعات'!$C$5:$C$1204,A101,'ثبت اطلاعات'!$CN$5:$CN$1204,P101))</x:f>
      </x:c>
      <x:c r="S101" s="178" t="str">
        <x:f>IF(A101="","",IF(O101=0,"فاقد ارزیابی نهایی",IF(O101=1,"داده ناکافی",IF(R101&gt;0.5,"پیشرفت",IF(R101&lt;-0.5,"افت","ثبات")))))</x:f>
        <x:v>داده ناکافی</x:v>
      </x:c>
      <x:c r="T101" s="178" t="str">
        <x:f>IF(N101="","",INDEX($E$4:$M$4,1,MATCH(MAX(E101:M101),E101:M101,0)))</x:f>
        <x:v>فرهنگی</x:v>
      </x:c>
      <x:c r="U101" s="178" t="str">
        <x:f>IF(N101="","",INDEX($E$4:$M$4,1,MATCH(MIN(E101:M101),E101:M101,0)))</x:f>
        <x:v>ورزشی</x:v>
      </x:c>
      <x:c r="V101" s="178" t="str">
        <x:f>IF(N101="","",IF(N101&gt;=17,"عالی",IF(N101&gt;=14,"خوب",IF(N101&gt;=10,"متوسط","ضعیف"))))</x:f>
        <x:v>خوب</x:v>
      </x:c>
      <x:c r="W101" s="178" t="n">
        <x:f>IF(N101="","",RANK.EQ(N101,$N$5:$N$104,0))</x:f>
        <x:v>92</x:v>
      </x:c>
      <x:c r="X101" s="178" t="n">
        <x:f>IF(N101="","",COUNT($N$5:$N$104))</x:f>
        <x:v>100</x:v>
      </x:c>
      <x:c r="Y101" s="142" t="str">
        <x:f>IF(U101="","",IFERROR(INDEX('بانک راهکارها'!$C$5:$C$13,MATCH(U101,'بانک راهکارها'!$B$5:$B$13,0)),""))</x:f>
        <x:v>برنامه فعالیت بدنی منظم و مشارکت در ورزش گروهی پیشنهاد می‌شود.</x:v>
      </x:c>
    </x:row>
    <x:row r="102">
      <x:c r="A102" s="165" t="n">
        <x:f>IF('دانش‌آموزان'!L102="","",'دانش‌آموزان'!B102)</x:f>
        <x:v>98</x:v>
      </x:c>
      <x:c r="B102" s="233" t="str">
        <x:f>IF(A102="","",'دانش‌آموزان'!C102)</x:f>
        <x:v>4000000985</x:v>
      </x:c>
      <x:c r="C102" s="233" t="str">
        <x:f>IF(A102="","",'دانش‌آموزان'!E102&amp;" "&amp;'دانش‌آموزان'!F102)</x:f>
        <x:v>یسنا حیدری</x:v>
      </x:c>
      <x:c r="D102" s="166" t="str">
        <x:f>IF(A102="","",'دانش‌آموزان'!I102)</x:f>
        <x:v>sample-7-d</x:v>
      </x:c>
      <x:c r="E102" s="141" t="n">
        <x:f>IF(A102="","",IFERROR(SUMIFS('ثبت اطلاعات'!$CC$5:$CC$1204,'ثبت اطلاعات'!$C$5:$C$1204,A102,'ثبت اطلاعات'!$CO$5:$CO$1204,1)/COUNTIFS('ثبت اطلاعات'!$C$5:$C$1204,A102,'ثبت اطلاعات'!$CO$5:$CO$1204,1),""))</x:f>
        <x:v>16</x:v>
      </x:c>
      <x:c r="F102" s="178" t="n">
        <x:f>IF(A102="","",IFERROR(SUMIFS('ثبت اطلاعات'!$CD$5:$CD$1204,'ثبت اطلاعات'!$C$5:$C$1204,A102,'ثبت اطلاعات'!$CO$5:$CO$1204,1)/COUNTIFS('ثبت اطلاعات'!$C$5:$C$1204,A102,'ثبت اطلاعات'!$CO$5:$CO$1204,1),""))</x:f>
        <x:v>15.2</x:v>
      </x:c>
      <x:c r="G102" s="178" t="n">
        <x:f>IF(A102="","",IFERROR(SUMIFS('ثبت اطلاعات'!$CE$5:$CE$1204,'ثبت اطلاعات'!$C$5:$C$1204,A102,'ثبت اطلاعات'!$CO$5:$CO$1204,1)/COUNTIFS('ثبت اطلاعات'!$C$5:$C$1204,A102,'ثبت اطلاعات'!$CO$5:$CO$1204,1),""))</x:f>
        <x:v>15.6</x:v>
      </x:c>
      <x:c r="H102" s="178" t="n">
        <x:f>IF(A102="","",IFERROR(SUMIFS('ثبت اطلاعات'!$CF$5:$CF$1204,'ثبت اطلاعات'!$C$5:$C$1204,A102,'ثبت اطلاعات'!$CO$5:$CO$1204,1)/COUNTIFS('ثبت اطلاعات'!$C$5:$C$1204,A102,'ثبت اطلاعات'!$CO$5:$CO$1204,1),""))</x:f>
        <x:v>15</x:v>
      </x:c>
      <x:c r="I102" s="178" t="n">
        <x:f>IF(A102="","",IFERROR(SUMIFS('ثبت اطلاعات'!$CG$5:$CG$1204,'ثبت اطلاعات'!$C$5:$C$1204,A102,'ثبت اطلاعات'!$CO$5:$CO$1204,1)/COUNTIFS('ثبت اطلاعات'!$C$5:$C$1204,A102,'ثبت اطلاعات'!$CO$5:$CO$1204,1),""))</x:f>
        <x:v>14.285714285714286</x:v>
      </x:c>
      <x:c r="J102" s="178" t="n">
        <x:f>IF(A102="","",IFERROR(SUMIFS('ثبت اطلاعات'!$CH$5:$CH$1204,'ثبت اطلاعات'!$C$5:$C$1204,A102,'ثبت اطلاعات'!$CO$5:$CO$1204,1)/COUNTIFS('ثبت اطلاعات'!$C$5:$C$1204,A102,'ثبت اطلاعات'!$CO$5:$CO$1204,1),""))</x:f>
        <x:v>16</x:v>
      </x:c>
      <x:c r="K102" s="178" t="n">
        <x:f>IF(A102="","",IFERROR(SUMIFS('ثبت اطلاعات'!$CI$5:$CI$1204,'ثبت اطلاعات'!$C$5:$C$1204,A102,'ثبت اطلاعات'!$CO$5:$CO$1204,1)/COUNTIFS('ثبت اطلاعات'!$C$5:$C$1204,A102,'ثبت اطلاعات'!$CO$5:$CO$1204,1),""))</x:f>
        <x:v>15.428571428571429</x:v>
      </x:c>
      <x:c r="L102" s="178" t="n">
        <x:f>IF(A102="","",IFERROR(SUMIFS('ثبت اطلاعات'!$CJ$5:$CJ$1204,'ثبت اطلاعات'!$C$5:$C$1204,A102,'ثبت اطلاعات'!$CO$5:$CO$1204,1)/COUNTIFS('ثبت اطلاعات'!$C$5:$C$1204,A102,'ثبت اطلاعات'!$CO$5:$CO$1204,1),""))</x:f>
        <x:v>14.285714285714286</x:v>
      </x:c>
      <x:c r="M102" s="178" t="n">
        <x:f>IF(A102="","",IFERROR(SUMIFS('ثبت اطلاعات'!$CK$5:$CK$1204,'ثبت اطلاعات'!$C$5:$C$1204,A102,'ثبت اطلاعات'!$CO$5:$CO$1204,1)/COUNTIFS('ثبت اطلاعات'!$C$5:$C$1204,A102,'ثبت اطلاعات'!$CO$5:$CO$1204,1),""))</x:f>
        <x:v>16.571428571428573</x:v>
      </x:c>
      <x:c r="N102" s="178" t="n">
        <x:f>IF(A102="","",IFERROR(SUMIFS('ثبت اطلاعات'!$CL$5:$CL$1204,'ثبت اطلاعات'!$C$5:$C$1204,A102,'ثبت اطلاعات'!$CO$5:$CO$1204,1)/COUNTIFS('ثبت اطلاعات'!$C$5:$C$1204,A102,'ثبت اطلاعات'!$CO$5:$CO$1204,1),""))</x:f>
        <x:v>15.447142857142858</x:v>
      </x:c>
      <x:c r="O102" s="178" t="n">
        <x:f>IF(A102="","",COUNTIFS('ثبت اطلاعات'!$C$5:$C$1204,A102,'ثبت اطلاعات'!$CO$5:$CO$1204,1))</x:f>
        <x:v>1</x:v>
      </x:c>
      <x:c r="P102" s="178" t="n">
        <x:f>IF(O102=0,"",MINIFS('ثبت اطلاعات'!$CN$5:$CN$1204,'ثبت اطلاعات'!$C$5:$C$1204,A102,'ثبت اطلاعات'!$CO$5:$CO$1204,1))</x:f>
        <x:v>1</x:v>
      </x:c>
      <x:c r="Q102" s="178" t="n">
        <x:f>IF(O102=0,"",MAXIFS('ثبت اطلاعات'!$CN$5:$CN$1204,'ثبت اطلاعات'!$C$5:$C$1204,A102,'ثبت اطلاعات'!$CO$5:$CO$1204,1))</x:f>
        <x:v>1</x:v>
      </x:c>
      <x:c r="R102" s="178" t="str">
        <x:f>IF(O102&lt;2,"",SUMIFS('ثبت اطلاعات'!$CL$5:$CL$1204,'ثبت اطلاعات'!$C$5:$C$1204,A102,'ثبت اطلاعات'!$CN$5:$CN$1204,Q102)-SUMIFS('ثبت اطلاعات'!$CL$5:$CL$1204,'ثبت اطلاعات'!$C$5:$C$1204,A102,'ثبت اطلاعات'!$CN$5:$CN$1204,P102))</x:f>
      </x:c>
      <x:c r="S102" s="178" t="str">
        <x:f>IF(A102="","",IF(O102=0,"فاقد ارزیابی نهایی",IF(O102=1,"داده ناکافی",IF(R102&gt;0.5,"پیشرفت",IF(R102&lt;-0.5,"افت","ثبات")))))</x:f>
        <x:v>داده ناکافی</x:v>
      </x:c>
      <x:c r="T102" s="178" t="str">
        <x:f>IF(N102="","",INDEX($E$4:$M$4,1,MATCH(MAX(E102:M102),E102:M102,0)))</x:f>
        <x:v>مهارت‌های فردی</x:v>
      </x:c>
      <x:c r="U102" s="178" t="str">
        <x:f>IF(N102="","",INDEX($E$4:$M$4,1,MATCH(MIN(E102:M102),E102:M102,0)))</x:f>
        <x:v>فرهنگی</x:v>
      </x:c>
      <x:c r="V102" s="178" t="str">
        <x:f>IF(N102="","",IF(N102&gt;=17,"عالی",IF(N102&gt;=14,"خوب",IF(N102&gt;=10,"متوسط","ضعیف"))))</x:f>
        <x:v>خوب</x:v>
      </x:c>
      <x:c r="W102" s="178" t="n">
        <x:f>IF(N102="","",RANK.EQ(N102,$N$5:$N$104,0))</x:f>
        <x:v>1</x:v>
      </x:c>
      <x:c r="X102" s="178" t="n">
        <x:f>IF(N102="","",COUNT($N$5:$N$104))</x:f>
        <x:v>100</x:v>
      </x:c>
      <x:c r="Y102" s="142" t="str">
        <x:f>IF(U102="","",IFERROR(INDEX('بانک راهکارها'!$C$5:$C$13,MATCH(U102,'بانک راهکارها'!$B$5:$B$13,0)),""))</x:f>
        <x:v>مشارکت در برنامه‌های فرهنگی، مطالعه هدایت‌شده و فعالیت گروهی پیشنهاد می‌شود.</x:v>
      </x:c>
    </x:row>
    <x:row r="103">
      <x:c r="A103" s="165" t="n">
        <x:f>IF('دانش‌آموزان'!L103="","",'دانش‌آموزان'!B103)</x:f>
        <x:v>99</x:v>
      </x:c>
      <x:c r="B103" s="233" t="str">
        <x:f>IF(A103="","",'دانش‌آموزان'!C103)</x:f>
        <x:v>4000000993</x:v>
      </x:c>
      <x:c r="C103" s="233" t="str">
        <x:f>IF(A103="","",'دانش‌آموزان'!E103&amp;" "&amp;'دانش‌آموزان'!F103)</x:f>
        <x:v>رضا صادقی</x:v>
      </x:c>
      <x:c r="D103" s="166" t="str">
        <x:f>IF(A103="","",'دانش‌آموزان'!I103)</x:f>
        <x:v>sample-7-d</x:v>
      </x:c>
      <x:c r="E103" s="141" t="n">
        <x:f>IF(A103="","",IFERROR(SUMIFS('ثبت اطلاعات'!$CC$5:$CC$1204,'ثبت اطلاعات'!$C$5:$C$1204,A103,'ثبت اطلاعات'!$CO$5:$CO$1204,1)/COUNTIFS('ثبت اطلاعات'!$C$5:$C$1204,A103,'ثبت اطلاعات'!$CO$5:$CO$1204,1),""))</x:f>
        <x:v>15.6</x:v>
      </x:c>
      <x:c r="F103" s="178" t="n">
        <x:f>IF(A103="","",IFERROR(SUMIFS('ثبت اطلاعات'!$CD$5:$CD$1204,'ثبت اطلاعات'!$C$5:$C$1204,A103,'ثبت اطلاعات'!$CO$5:$CO$1204,1)/COUNTIFS('ثبت اطلاعات'!$C$5:$C$1204,A103,'ثبت اطلاعات'!$CO$5:$CO$1204,1),""))</x:f>
        <x:v>14.8</x:v>
      </x:c>
      <x:c r="G103" s="178" t="n">
        <x:f>IF(A103="","",IFERROR(SUMIFS('ثبت اطلاعات'!$CE$5:$CE$1204,'ثبت اطلاعات'!$C$5:$C$1204,A103,'ثبت اطلاعات'!$CO$5:$CO$1204,1)/COUNTIFS('ثبت اطلاعات'!$C$5:$C$1204,A103,'ثبت اطلاعات'!$CO$5:$CO$1204,1),""))</x:f>
        <x:v>15.2</x:v>
      </x:c>
      <x:c r="H103" s="178" t="n">
        <x:f>IF(A103="","",IFERROR(SUMIFS('ثبت اطلاعات'!$CF$5:$CF$1204,'ثبت اطلاعات'!$C$5:$C$1204,A103,'ثبت اطلاعات'!$CO$5:$CO$1204,1)/COUNTIFS('ثبت اطلاعات'!$C$5:$C$1204,A103,'ثبت اطلاعات'!$CO$5:$CO$1204,1),""))</x:f>
        <x:v>15.5</x:v>
      </x:c>
      <x:c r="I103" s="178" t="n">
        <x:f>IF(A103="","",IFERROR(SUMIFS('ثبت اطلاعات'!$CG$5:$CG$1204,'ثبت اطلاعات'!$C$5:$C$1204,A103,'ثبت اطلاعات'!$CO$5:$CO$1204,1)/COUNTIFS('ثبت اطلاعات'!$C$5:$C$1204,A103,'ثبت اطلاعات'!$CO$5:$CO$1204,1),""))</x:f>
        <x:v>16</x:v>
      </x:c>
      <x:c r="J103" s="178" t="n">
        <x:f>IF(A103="","",IFERROR(SUMIFS('ثبت اطلاعات'!$CH$5:$CH$1204,'ثبت اطلاعات'!$C$5:$C$1204,A103,'ثبت اطلاعات'!$CO$5:$CO$1204,1)/COUNTIFS('ثبت اطلاعات'!$C$5:$C$1204,A103,'ثبت اطلاعات'!$CO$5:$CO$1204,1),""))</x:f>
        <x:v>14.5</x:v>
      </x:c>
      <x:c r="K103" s="178" t="n">
        <x:f>IF(A103="","",IFERROR(SUMIFS('ثبت اطلاعات'!$CI$5:$CI$1204,'ثبت اطلاعات'!$C$5:$C$1204,A103,'ثبت اطلاعات'!$CO$5:$CO$1204,1)/COUNTIFS('ثبت اطلاعات'!$C$5:$C$1204,A103,'ثبت اطلاعات'!$CO$5:$CO$1204,1),""))</x:f>
        <x:v>15.428571428571429</x:v>
      </x:c>
      <x:c r="L103" s="178" t="n">
        <x:f>IF(A103="","",IFERROR(SUMIFS('ثبت اطلاعات'!$CJ$5:$CJ$1204,'ثبت اطلاعات'!$C$5:$C$1204,A103,'ثبت اطلاعات'!$CO$5:$CO$1204,1)/COUNTIFS('ثبت اطلاعات'!$C$5:$C$1204,A103,'ثبت اطلاعات'!$CO$5:$CO$1204,1),""))</x:f>
        <x:v>16</x:v>
      </x:c>
      <x:c r="M103" s="178" t="n">
        <x:f>IF(A103="","",IFERROR(SUMIFS('ثبت اطلاعات'!$CK$5:$CK$1204,'ثبت اطلاعات'!$C$5:$C$1204,A103,'ثبت اطلاعات'!$CO$5:$CO$1204,1)/COUNTIFS('ثبت اطلاعات'!$C$5:$C$1204,A103,'ثبت اطلاعات'!$CO$5:$CO$1204,1),""))</x:f>
        <x:v>14.285714285714286</x:v>
      </x:c>
      <x:c r="N103" s="178" t="n">
        <x:f>IF(A103="","",IFERROR(SUMIFS('ثبت اطلاعات'!$CL$5:$CL$1204,'ثبت اطلاعات'!$C$5:$C$1204,A103,'ثبت اطلاعات'!$CO$5:$CO$1204,1)/COUNTIFS('ثبت اطلاعات'!$C$5:$C$1204,A103,'ثبت اطلاعات'!$CO$5:$CO$1204,1),""))</x:f>
        <x:v>15.265</x:v>
      </x:c>
      <x:c r="O103" s="178" t="n">
        <x:f>IF(A103="","",COUNTIFS('ثبت اطلاعات'!$C$5:$C$1204,A103,'ثبت اطلاعات'!$CO$5:$CO$1204,1))</x:f>
        <x:v>1</x:v>
      </x:c>
      <x:c r="P103" s="178" t="n">
        <x:f>IF(O103=0,"",MINIFS('ثبت اطلاعات'!$CN$5:$CN$1204,'ثبت اطلاعات'!$C$5:$C$1204,A103,'ثبت اطلاعات'!$CO$5:$CO$1204,1))</x:f>
        <x:v>1</x:v>
      </x:c>
      <x:c r="Q103" s="178" t="n">
        <x:f>IF(O103=0,"",MAXIFS('ثبت اطلاعات'!$CN$5:$CN$1204,'ثبت اطلاعات'!$C$5:$C$1204,A103,'ثبت اطلاعات'!$CO$5:$CO$1204,1))</x:f>
        <x:v>1</x:v>
      </x:c>
      <x:c r="R103" s="178" t="str">
        <x:f>IF(O103&lt;2,"",SUMIFS('ثبت اطلاعات'!$CL$5:$CL$1204,'ثبت اطلاعات'!$C$5:$C$1204,A103,'ثبت اطلاعات'!$CN$5:$CN$1204,Q103)-SUMIFS('ثبت اطلاعات'!$CL$5:$CL$1204,'ثبت اطلاعات'!$C$5:$C$1204,A103,'ثبت اطلاعات'!$CN$5:$CN$1204,P103))</x:f>
      </x:c>
      <x:c r="S103" s="178" t="str">
        <x:f>IF(A103="","",IF(O103=0,"فاقد ارزیابی نهایی",IF(O103=1,"داده ناکافی",IF(R103&gt;0.5,"پیشرفت",IF(R103&lt;-0.5,"افت","ثبات")))))</x:f>
        <x:v>داده ناکافی</x:v>
      </x:c>
      <x:c r="T103" s="178" t="str">
        <x:f>IF(N103="","",INDEX($E$4:$M$4,1,MATCH(MAX(E103:M103),E103:M103,0)))</x:f>
        <x:v>فرهنگی</x:v>
      </x:c>
      <x:c r="U103" s="178" t="str">
        <x:f>IF(N103="","",INDEX($E$4:$M$4,1,MATCH(MIN(E103:M103),E103:M103,0)))</x:f>
        <x:v>مهارت‌های فردی</x:v>
      </x:c>
      <x:c r="V103" s="178" t="str">
        <x:f>IF(N103="","",IF(N103&gt;=17,"عالی",IF(N103&gt;=14,"خوب",IF(N103&gt;=10,"متوسط","ضعیف"))))</x:f>
        <x:v>خوب</x:v>
      </x:c>
      <x:c r="W103" s="178" t="n">
        <x:f>IF(N103="","",RANK.EQ(N103,$N$5:$N$104,0))</x:f>
        <x:v>47</x:v>
      </x:c>
      <x:c r="X103" s="178" t="n">
        <x:f>IF(N103="","",COUNT($N$5:$N$104))</x:f>
        <x:v>100</x:v>
      </x:c>
      <x:c r="Y103" s="142" t="str">
        <x:f>IF(U103="","",IFERROR(INDEX('بانک راهکارها'!$C$5:$C$13,MATCH(U103,'بانک راهکارها'!$B$5:$B$13,0)),""))</x:f>
        <x:v>تمرین برنامه‌ریزی هفتگی، ارتباط مؤثر و کار تیمی پیشنهاد می‌شود.</x:v>
      </x:c>
    </x:row>
    <x:row r="104">
      <x:c r="A104" s="167" t="n">
        <x:f>IF('دانش‌آموزان'!L104="","",'دانش‌آموزان'!B104)</x:f>
        <x:v>100</x:v>
      </x:c>
      <x:c r="B104" s="234" t="str">
        <x:f>IF(A104="","",'دانش‌آموزان'!C104)</x:f>
        <x:v>4000001000</x:v>
      </x:c>
      <x:c r="C104" s="234" t="str">
        <x:f>IF(A104="","",'دانش‌آموزان'!E104&amp;" "&amp;'دانش‌آموزان'!F104)</x:f>
        <x:v>آوا کاظمی</x:v>
      </x:c>
      <x:c r="D104" s="168" t="str">
        <x:f>IF(A104="","",'دانش‌آموزان'!I104)</x:f>
        <x:v>sample-7-d</x:v>
      </x:c>
      <x:c r="E104" s="143" t="n">
        <x:f>IF(A104="","",IFERROR(SUMIFS('ثبت اطلاعات'!$CC$5:$CC$1204,'ثبت اطلاعات'!$C$5:$C$1204,A104,'ثبت اطلاعات'!$CO$5:$CO$1204,1)/COUNTIFS('ثبت اطلاعات'!$C$5:$C$1204,A104,'ثبت اطلاعات'!$CO$5:$CO$1204,1),""))</x:f>
        <x:v>15.2</x:v>
      </x:c>
      <x:c r="F104" s="179" t="n">
        <x:f>IF(A104="","",IFERROR(SUMIFS('ثبت اطلاعات'!$CD$5:$CD$1204,'ثبت اطلاعات'!$C$5:$C$1204,A104,'ثبت اطلاعات'!$CO$5:$CO$1204,1)/COUNTIFS('ثبت اطلاعات'!$C$5:$C$1204,A104,'ثبت اطلاعات'!$CO$5:$CO$1204,1),""))</x:f>
        <x:v>15.6</x:v>
      </x:c>
      <x:c r="G104" s="179" t="n">
        <x:f>IF(A104="","",IFERROR(SUMIFS('ثبت اطلاعات'!$CE$5:$CE$1204,'ثبت اطلاعات'!$C$5:$C$1204,A104,'ثبت اطلاعات'!$CO$5:$CO$1204,1)/COUNTIFS('ثبت اطلاعات'!$C$5:$C$1204,A104,'ثبت اطلاعات'!$CO$5:$CO$1204,1),""))</x:f>
        <x:v>15.2</x:v>
      </x:c>
      <x:c r="H104" s="179" t="n">
        <x:f>IF(A104="","",IFERROR(SUMIFS('ثبت اطلاعات'!$CF$5:$CF$1204,'ثبت اطلاعات'!$C$5:$C$1204,A104,'ثبت اطلاعات'!$CO$5:$CO$1204,1)/COUNTIFS('ثبت اطلاعات'!$C$5:$C$1204,A104,'ثبت اطلاعات'!$CO$5:$CO$1204,1),""))</x:f>
        <x:v>15.5</x:v>
      </x:c>
      <x:c r="I104" s="179" t="n">
        <x:f>IF(A104="","",IFERROR(SUMIFS('ثبت اطلاعات'!$CG$5:$CG$1204,'ثبت اطلاعات'!$C$5:$C$1204,A104,'ثبت اطلاعات'!$CO$5:$CO$1204,1)/COUNTIFS('ثبت اطلاعات'!$C$5:$C$1204,A104,'ثبت اطلاعات'!$CO$5:$CO$1204,1),""))</x:f>
        <x:v>13.714285714285714</x:v>
      </x:c>
      <x:c r="J104" s="179" t="n">
        <x:f>IF(A104="","",IFERROR(SUMIFS('ثبت اطلاعات'!$CH$5:$CH$1204,'ثبت اطلاعات'!$C$5:$C$1204,A104,'ثبت اطلاعات'!$CO$5:$CO$1204,1)/COUNTIFS('ثبت اطلاعات'!$C$5:$C$1204,A104,'ثبت اطلاعات'!$CO$5:$CO$1204,1),""))</x:f>
        <x:v>16.5</x:v>
      </x:c>
      <x:c r="K104" s="179" t="n">
        <x:f>IF(A104="","",IFERROR(SUMIFS('ثبت اطلاعات'!$CI$5:$CI$1204,'ثبت اطلاعات'!$C$5:$C$1204,A104,'ثبت اطلاعات'!$CO$5:$CO$1204,1)/COUNTIFS('ثبت اطلاعات'!$C$5:$C$1204,A104,'ثبت اطلاعات'!$CO$5:$CO$1204,1),""))</x:f>
        <x:v>15.428571428571429</x:v>
      </x:c>
      <x:c r="L104" s="179" t="n">
        <x:f>IF(A104="","",IFERROR(SUMIFS('ثبت اطلاعات'!$CJ$5:$CJ$1204,'ثبت اطلاعات'!$C$5:$C$1204,A104,'ثبت اطلاعات'!$CO$5:$CO$1204,1)/COUNTIFS('ثبت اطلاعات'!$C$5:$C$1204,A104,'ثبت اطلاعات'!$CO$5:$CO$1204,1),""))</x:f>
        <x:v>13.714285714285714</x:v>
      </x:c>
      <x:c r="M104" s="179" t="n">
        <x:f>IF(A104="","",IFERROR(SUMIFS('ثبت اطلاعات'!$CK$5:$CK$1204,'ثبت اطلاعات'!$C$5:$C$1204,A104,'ثبت اطلاعات'!$CO$5:$CO$1204,1)/COUNTIFS('ثبت اطلاعات'!$C$5:$C$1204,A104,'ثبت اطلاعات'!$CO$5:$CO$1204,1),""))</x:f>
        <x:v>16.571428571428573</x:v>
      </x:c>
      <x:c r="N104" s="179" t="n">
        <x:f>IF(A104="","",IFERROR(SUMIFS('ثبت اطلاعات'!$CL$5:$CL$1204,'ثبت اطلاعات'!$C$5:$C$1204,A104,'ثبت اطلاعات'!$CO$5:$CO$1204,1)/COUNTIFS('ثبت اطلاعات'!$C$5:$C$1204,A104,'ثبت اطلاعات'!$CO$5:$CO$1204,1),""))</x:f>
        <x:v>15.327857142857143</x:v>
      </x:c>
      <x:c r="O104" s="179" t="n">
        <x:f>IF(A104="","",COUNTIFS('ثبت اطلاعات'!$C$5:$C$1204,A104,'ثبت اطلاعات'!$CO$5:$CO$1204,1))</x:f>
        <x:v>1</x:v>
      </x:c>
      <x:c r="P104" s="179" t="n">
        <x:f>IF(O104=0,"",MINIFS('ثبت اطلاعات'!$CN$5:$CN$1204,'ثبت اطلاعات'!$C$5:$C$1204,A104,'ثبت اطلاعات'!$CO$5:$CO$1204,1))</x:f>
        <x:v>1</x:v>
      </x:c>
      <x:c r="Q104" s="179" t="n">
        <x:f>IF(O104=0,"",MAXIFS('ثبت اطلاعات'!$CN$5:$CN$1204,'ثبت اطلاعات'!$C$5:$C$1204,A104,'ثبت اطلاعات'!$CO$5:$CO$1204,1))</x:f>
        <x:v>1</x:v>
      </x:c>
      <x:c r="R104" s="179" t="str">
        <x:f>IF(O104&lt;2,"",SUMIFS('ثبت اطلاعات'!$CL$5:$CL$1204,'ثبت اطلاعات'!$C$5:$C$1204,A104,'ثبت اطلاعات'!$CN$5:$CN$1204,Q104)-SUMIFS('ثبت اطلاعات'!$CL$5:$CL$1204,'ثبت اطلاعات'!$C$5:$C$1204,A104,'ثبت اطلاعات'!$CN$5:$CN$1204,P104))</x:f>
      </x:c>
      <x:c r="S104" s="179" t="str">
        <x:f>IF(A104="","",IF(O104=0,"فاقد ارزیابی نهایی",IF(O104=1,"داده ناکافی",IF(R104&gt;0.5,"پیشرفت",IF(R104&lt;-0.5,"افت","ثبات")))))</x:f>
        <x:v>داده ناکافی</x:v>
      </x:c>
      <x:c r="T104" s="179" t="str">
        <x:f>IF(N104="","",INDEX($E$4:$M$4,1,MATCH(MAX(E104:M104),E104:M104,0)))</x:f>
        <x:v>مهارت‌های فردی</x:v>
      </x:c>
      <x:c r="U104" s="179" t="str">
        <x:f>IF(N104="","",INDEX($E$4:$M$4,1,MATCH(MIN(E104:M104),E104:M104,0)))</x:f>
        <x:v>فرهنگی</x:v>
      </x:c>
      <x:c r="V104" s="179" t="str">
        <x:f>IF(N104="","",IF(N104&gt;=17,"عالی",IF(N104&gt;=14,"خوب",IF(N104&gt;=10,"متوسط","ضعیف"))))</x:f>
        <x:v>خوب</x:v>
      </x:c>
      <x:c r="W104" s="179" t="n">
        <x:f>IF(N104="","",RANK.EQ(N104,$N$5:$N$104,0))</x:f>
        <x:v>19</x:v>
      </x:c>
      <x:c r="X104" s="179" t="n">
        <x:f>IF(N104="","",COUNT($N$5:$N$104))</x:f>
        <x:v>100</x:v>
      </x:c>
      <x:c r="Y104" s="144" t="str">
        <x:f>IF(U104="","",IFERROR(INDEX('بانک راهکارها'!$C$5:$C$13,MATCH(U104,'بانک راهکارها'!$B$5:$B$13,0)),""))</x:f>
        <x:v>مشارکت در برنامه‌های فرهنگی، مطالعه هدایت‌شده و فعالیت گروهی پیشنهاد می‌شود.</x:v>
      </x:c>
    </x:row>
  </x:sheetData>
  <x:mergeCells>
    <x:mergeCell ref="A1:Y1"/>
    <x:mergeCell ref="A2:Y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48" hidden="0" customWidth="1"/>
    <x:col min="3" max="3" width="2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2" customHeight="1">
      <x:c r="A1" s="4" t="str">
        <x:v>گزارش دانش‌آموز</x:v>
      </x:c>
      <x:c r="B1" s="297"/>
      <x:c r="C1" s="297"/>
      <x:c r="D1" s="297"/>
      <x:c r="E1" s="297"/>
      <x:c r="F1" s="297"/>
      <x:c r="G1" s="297"/>
      <x:c r="H1" s="297"/>
    </x:row>
    <x:row r="2" ht="32" customHeight="1">
      <x:c r="A2" s="9" t="str">
        <x:v>کد محلی دانش‌آموز را در خانه زرد انتخاب کنید. گزارش فقط از ارزیابی‌های نهایی استفاده می‌کند.</x:v>
      </x:c>
      <x:c r="B2" s="297"/>
      <x:c r="C2" s="297"/>
      <x:c r="D2" s="297"/>
      <x:c r="E2" s="297"/>
      <x:c r="F2" s="297"/>
      <x:c r="G2" s="297"/>
      <x:c r="H2" s="297"/>
    </x:row>
    <x:row r="3">
      <x:c r="A3" s="297"/>
      <x:c r="B3" s="297"/>
      <x:c r="C3" s="297"/>
      <x:c r="D3" s="297"/>
      <x:c r="E3" s="297"/>
      <x:c r="F3" s="297"/>
      <x:c r="G3" s="297"/>
      <x:c r="H3" s="297"/>
    </x:row>
    <x:row r="4" ht="42" customHeight="1">
      <x:c r="A4" s="20" t="str">
        <x:v>انتخاب دانش‌آموز</x:v>
      </x:c>
      <x:c r="B4" s="21" t="str">
        <x:v>کد محلی</x:v>
      </x:c>
      <x:c r="C4" s="22" t="str">
        <x:v>نام دانش‌آموز</x:v>
      </x:c>
      <x:c r="D4" s="297"/>
      <x:c r="E4" s="297"/>
      <x:c r="F4" s="297"/>
      <x:c r="G4" s="297"/>
      <x:c r="H4" s="297"/>
    </x:row>
    <x:row r="5">
      <x:c r="A5" s="250" t="str">
        <x:v>ورودی</x:v>
      </x:c>
      <x:c r="B5" s="254" t="n">
        <x:v>1</x:v>
      </x:c>
      <x:c r="C5" s="258" t="str">
        <x:f>IFERROR(INDEX('تحلیل دانش‌آموزان'!$C$5:$C$104,MATCH(B5,'تحلیل دانش‌آموزان'!$A$5:$A$104,0)),"دانش‌آموزی ثبت نشده است")</x:f>
        <x:v>علی احمدی</x:v>
      </x:c>
      <x:c r="D5" s="297"/>
      <x:c r="E5" s="297"/>
      <x:c r="F5" s="297"/>
      <x:c r="G5" s="297"/>
      <x:c r="H5" s="297"/>
    </x:row>
    <x:row r="6">
      <x:c r="A6" s="297"/>
      <x:c r="B6" s="297"/>
      <x:c r="C6" s="297"/>
      <x:c r="D6" s="297"/>
      <x:c r="E6" s="297"/>
      <x:c r="F6" s="297"/>
      <x:c r="G6" s="297"/>
      <x:c r="H6" s="297"/>
    </x:row>
    <x:row r="7" ht="42" customHeight="1">
      <x:c r="A7" s="20" t="str">
        <x:v>شاخص گزارش</x:v>
      </x:c>
      <x:c r="B7" s="22" t="str">
        <x:v>مقدار</x:v>
      </x:c>
      <x:c r="C7" s="297"/>
      <x:c r="D7" s="20" t="str">
        <x:v>حوزه</x:v>
      </x:c>
      <x:c r="E7" s="22" t="str">
        <x:v>امتیاز</x:v>
      </x:c>
      <x:c r="F7" s="297"/>
      <x:c r="G7" s="20" t="str">
        <x:v>ماه</x:v>
      </x:c>
      <x:c r="H7" s="22" t="str">
        <x:v>میانگین نهایی</x:v>
      </x:c>
    </x:row>
    <x:row r="8">
      <x:c r="A8" s="262" t="str">
        <x:v>کد ملی</x:v>
      </x:c>
      <x:c r="B8" s="274" t="n">
        <x:f>IFERROR(INDEX('تحلیل دانش‌آموزان'!$B$5:$B$104,MATCH($B$5,'تحلیل دانش‌آموزان'!$A$5:$A$104,0)),"")</x:f>
        <x:v>4000000012</x:v>
      </x:c>
      <x:c r="C8" s="297"/>
      <x:c r="D8" s="139" t="str">
        <x:v>آموزشی</x:v>
      </x:c>
      <x:c r="E8" s="140" t="n">
        <x:f>IFERROR(INDEX('تحلیل دانش‌آموزان'!$E$5:$E$104,MATCH($B$5,'تحلیل دانش‌آموزان'!$A$5:$A$104,0)),"")</x:f>
        <x:v>15.2</x:v>
      </x:c>
      <x:c r="F8" s="297"/>
      <x:c r="G8" s="139" t="str">
        <x:v>تیر</x:v>
      </x:c>
      <x:c r="H8" s="140" t="n">
        <x:f>IFERROR(SUMIFS('ثبت اطلاعات'!$CL$5:$CL$1204,'ثبت اطلاعات'!$C$5:$C$1204,$B$5,'ثبت اطلاعات'!$CN$5:$CN$1204,ROW()-7,'ثبت اطلاعات'!$CO$5:$CO$1204,1)/COUNTIFS('ثبت اطلاعات'!$C$5:$C$1204,$B$5,'ثبت اطلاعات'!$CN$5:$CN$1204,ROW()-7,'ثبت اطلاعات'!$CO$5:$CO$1204,1),"")</x:f>
        <x:v>15.327857142857143</x:v>
      </x:c>
    </x:row>
    <x:row r="9">
      <x:c r="A9" s="263" t="str">
        <x:v>کد کلاس</x:v>
      </x:c>
      <x:c r="B9" s="275" t="str">
        <x:f>IFERROR(INDEX('تحلیل دانش‌آموزان'!$D$5:$D$104,MATCH($B$5,'تحلیل دانش‌آموزان'!$A$5:$A$104,0)),"")</x:f>
        <x:v>sample-7-a</x:v>
      </x:c>
      <x:c r="C9" s="297"/>
      <x:c r="D9" s="141" t="str">
        <x:v>پرورشی</x:v>
      </x:c>
      <x:c r="E9" s="142" t="n">
        <x:f>IFERROR(INDEX('تحلیل دانش‌آموزان'!$F$5:$F$104,MATCH($B$5,'تحلیل دانش‌آموزان'!$A$5:$A$104,0)),"")</x:f>
        <x:v>15.6</x:v>
      </x:c>
      <x:c r="F9" s="297"/>
      <x:c r="G9" s="141" t="str">
        <x:v>مرداد</x:v>
      </x:c>
      <x:c r="H9" s="142" t="str">
        <x:f>IFERROR(SUMIFS('ثبت اطلاعات'!$CL$5:$CL$1204,'ثبت اطلاعات'!$C$5:$C$1204,$B$5,'ثبت اطلاعات'!$CN$5:$CN$1204,ROW()-7,'ثبت اطلاعات'!$CO$5:$CO$1204,1)/COUNTIFS('ثبت اطلاعات'!$C$5:$C$1204,$B$5,'ثبت اطلاعات'!$CN$5:$CN$1204,ROW()-7,'ثبت اطلاعات'!$CO$5:$CO$1204,1),"")</x:f>
      </x:c>
    </x:row>
    <x:row r="10">
      <x:c r="A10" s="263" t="str">
        <x:v>میانگین کل</x:v>
      </x:c>
      <x:c r="B10" s="275" t="n">
        <x:f>IFERROR(INDEX('تحلیل دانش‌آموزان'!$N$5:$N$104,MATCH($B$5,'تحلیل دانش‌آموزان'!$A$5:$A$104,0)),"")</x:f>
        <x:v>15.327857142857143</x:v>
      </x:c>
      <x:c r="C10" s="297"/>
      <x:c r="D10" s="141" t="str">
        <x:v>تربیتی</x:v>
      </x:c>
      <x:c r="E10" s="142" t="n">
        <x:f>IFERROR(INDEX('تحلیل دانش‌آموزان'!$G$5:$G$104,MATCH($B$5,'تحلیل دانش‌آموزان'!$A$5:$A$104,0)),"")</x:f>
        <x:v>15.2</x:v>
      </x:c>
      <x:c r="F10" s="297"/>
      <x:c r="G10" s="141" t="str">
        <x:v>شهریور</x:v>
      </x:c>
      <x:c r="H10" s="142" t="str">
        <x:f>IFERROR(SUMIFS('ثبت اطلاعات'!$CL$5:$CL$1204,'ثبت اطلاعات'!$C$5:$C$1204,$B$5,'ثبت اطلاعات'!$CN$5:$CN$1204,ROW()-7,'ثبت اطلاعات'!$CO$5:$CO$1204,1)/COUNTIFS('ثبت اطلاعات'!$C$5:$C$1204,$B$5,'ثبت اطلاعات'!$CN$5:$CN$1204,ROW()-7,'ثبت اطلاعات'!$CO$5:$CO$1204,1),"")</x:f>
      </x:c>
    </x:row>
    <x:row r="11">
      <x:c r="A11" s="263" t="str">
        <x:v>سطح</x:v>
      </x:c>
      <x:c r="B11" s="275" t="str">
        <x:f>IFERROR(INDEX('تحلیل دانش‌آموزان'!$V$5:$V$104,MATCH($B$5,'تحلیل دانش‌آموزان'!$A$5:$A$104,0)),"")</x:f>
        <x:v>خوب</x:v>
      </x:c>
      <x:c r="C11" s="297"/>
      <x:c r="D11" s="141" t="str">
        <x:v>انضباطی</x:v>
      </x:c>
      <x:c r="E11" s="142" t="n">
        <x:f>IFERROR(INDEX('تحلیل دانش‌آموزان'!$H$5:$H$104,MATCH($B$5,'تحلیل دانش‌آموزان'!$A$5:$A$104,0)),"")</x:f>
        <x:v>15.5</x:v>
      </x:c>
      <x:c r="F11" s="297"/>
      <x:c r="G11" s="141" t="str">
        <x:v>مهر</x:v>
      </x:c>
      <x:c r="H11" s="142" t="str">
        <x:f>IFERROR(SUMIFS('ثبت اطلاعات'!$CL$5:$CL$1204,'ثبت اطلاعات'!$C$5:$C$1204,$B$5,'ثبت اطلاعات'!$CN$5:$CN$1204,ROW()-7,'ثبت اطلاعات'!$CO$5:$CO$1204,1)/COUNTIFS('ثبت اطلاعات'!$C$5:$C$1204,$B$5,'ثبت اطلاعات'!$CN$5:$CN$1204,ROW()-7,'ثبت اطلاعات'!$CO$5:$CO$1204,1),"")</x:f>
      </x:c>
    </x:row>
    <x:row r="12">
      <x:c r="A12" s="263" t="str">
        <x:v>رتبه</x:v>
      </x:c>
      <x:c r="B12" s="275" t="n">
        <x:f>IFERROR(INDEX('تحلیل دانش‌آموزان'!$W$5:$W$104,MATCH($B$5,'تحلیل دانش‌آموزان'!$A$5:$A$104,0)),"")</x:f>
        <x:v>19</x:v>
      </x:c>
      <x:c r="C12" s="297"/>
      <x:c r="D12" s="141" t="str">
        <x:v>فرهنگی</x:v>
      </x:c>
      <x:c r="E12" s="142" t="n">
        <x:f>IFERROR(INDEX('تحلیل دانش‌آموزان'!$I$5:$I$104,MATCH($B$5,'تحلیل دانش‌آموزان'!$A$5:$A$104,0)),"")</x:f>
        <x:v>13.714285714285714</x:v>
      </x:c>
      <x:c r="F12" s="297"/>
      <x:c r="G12" s="141" t="str">
        <x:v>آبان</x:v>
      </x:c>
      <x:c r="H12" s="142" t="str">
        <x:f>IFERROR(SUMIFS('ثبت اطلاعات'!$CL$5:$CL$1204,'ثبت اطلاعات'!$C$5:$C$1204,$B$5,'ثبت اطلاعات'!$CN$5:$CN$1204,ROW()-7,'ثبت اطلاعات'!$CO$5:$CO$1204,1)/COUNTIFS('ثبت اطلاعات'!$C$5:$C$1204,$B$5,'ثبت اطلاعات'!$CN$5:$CN$1204,ROW()-7,'ثبت اطلاعات'!$CO$5:$CO$1204,1),"")</x:f>
      </x:c>
    </x:row>
    <x:row r="13">
      <x:c r="A13" s="263" t="str">
        <x:v>تعداد رتبه‌بندی‌شده</x:v>
      </x:c>
      <x:c r="B13" s="275" t="n">
        <x:f>IFERROR(INDEX('تحلیل دانش‌آموزان'!$X$5:$X$104,MATCH($B$5,'تحلیل دانش‌آموزان'!$A$5:$A$104,0)),"")</x:f>
        <x:v>100</x:v>
      </x:c>
      <x:c r="C13" s="297"/>
      <x:c r="D13" s="141" t="str">
        <x:v>پژوهشی</x:v>
      </x:c>
      <x:c r="E13" s="142" t="n">
        <x:f>IFERROR(INDEX('تحلیل دانش‌آموزان'!$J$5:$J$104,MATCH($B$5,'تحلیل دانش‌آموزان'!$A$5:$A$104,0)),"")</x:f>
        <x:v>16.5</x:v>
      </x:c>
      <x:c r="F13" s="297"/>
      <x:c r="G13" s="141" t="str">
        <x:v>آذر</x:v>
      </x:c>
      <x:c r="H13" s="142" t="str">
        <x:f>IFERROR(SUMIFS('ثبت اطلاعات'!$CL$5:$CL$1204,'ثبت اطلاعات'!$C$5:$C$1204,$B$5,'ثبت اطلاعات'!$CN$5:$CN$1204,ROW()-7,'ثبت اطلاعات'!$CO$5:$CO$1204,1)/COUNTIFS('ثبت اطلاعات'!$C$5:$C$1204,$B$5,'ثبت اطلاعات'!$CN$5:$CN$1204,ROW()-7,'ثبت اطلاعات'!$CO$5:$CO$1204,1),"")</x:f>
      </x:c>
    </x:row>
    <x:row r="14">
      <x:c r="A14" s="263" t="str">
        <x:v>روند</x:v>
      </x:c>
      <x:c r="B14" s="275" t="str">
        <x:f>IFERROR(INDEX('تحلیل دانش‌آموزان'!$S$5:$S$104,MATCH($B$5,'تحلیل دانش‌آموزان'!$A$5:$A$104,0)),"")</x:f>
        <x:v>داده ناکافی</x:v>
      </x:c>
      <x:c r="C14" s="297"/>
      <x:c r="D14" s="141" t="str">
        <x:v>ورزشی</x:v>
      </x:c>
      <x:c r="E14" s="142" t="n">
        <x:f>IFERROR(INDEX('تحلیل دانش‌آموزان'!$K$5:$K$104,MATCH($B$5,'تحلیل دانش‌آموزان'!$A$5:$A$104,0)),"")</x:f>
        <x:v>15.428571428571429</x:v>
      </x:c>
      <x:c r="F14" s="297"/>
      <x:c r="G14" s="141" t="str">
        <x:v>دی</x:v>
      </x:c>
      <x:c r="H14" s="142" t="str">
        <x:f>IFERROR(SUMIFS('ثبت اطلاعات'!$CL$5:$CL$1204,'ثبت اطلاعات'!$C$5:$C$1204,$B$5,'ثبت اطلاعات'!$CN$5:$CN$1204,ROW()-7,'ثبت اطلاعات'!$CO$5:$CO$1204,1)/COUNTIFS('ثبت اطلاعات'!$C$5:$C$1204,$B$5,'ثبت اطلاعات'!$CN$5:$CN$1204,ROW()-7,'ثبت اطلاعات'!$CO$5:$CO$1204,1),"")</x:f>
      </x:c>
    </x:row>
    <x:row r="15">
      <x:c r="A15" s="263" t="str">
        <x:v>قوی‌ترین حوزه</x:v>
      </x:c>
      <x:c r="B15" s="275" t="str">
        <x:f>IFERROR(INDEX('تحلیل دانش‌آموزان'!$T$5:$T$104,MATCH($B$5,'تحلیل دانش‌آموزان'!$A$5:$A$104,0)),"")</x:f>
        <x:v>مهارت‌های فردی</x:v>
      </x:c>
      <x:c r="C15" s="297"/>
      <x:c r="D15" s="141" t="str">
        <x:v>هنری</x:v>
      </x:c>
      <x:c r="E15" s="142" t="n">
        <x:f>IFERROR(INDEX('تحلیل دانش‌آموزان'!$L$5:$L$104,MATCH($B$5,'تحلیل دانش‌آموزان'!$A$5:$A$104,0)),"")</x:f>
        <x:v>13.714285714285714</x:v>
      </x:c>
      <x:c r="F15" s="297"/>
      <x:c r="G15" s="141" t="str">
        <x:v>بهمن</x:v>
      </x:c>
      <x:c r="H15" s="142" t="str">
        <x:f>IFERROR(SUMIFS('ثبت اطلاعات'!$CL$5:$CL$1204,'ثبت اطلاعات'!$C$5:$C$1204,$B$5,'ثبت اطلاعات'!$CN$5:$CN$1204,ROW()-7,'ثبت اطلاعات'!$CO$5:$CO$1204,1)/COUNTIFS('ثبت اطلاعات'!$C$5:$C$1204,$B$5,'ثبت اطلاعات'!$CN$5:$CN$1204,ROW()-7,'ثبت اطلاعات'!$CO$5:$CO$1204,1),"")</x:f>
      </x:c>
    </x:row>
    <x:row r="16">
      <x:c r="A16" s="263" t="str">
        <x:v>ضعیف‌ترین حوزه</x:v>
      </x:c>
      <x:c r="B16" s="275" t="str">
        <x:f>IFERROR(INDEX('تحلیل دانش‌آموزان'!$U$5:$U$104,MATCH($B$5,'تحلیل دانش‌آموزان'!$A$5:$A$104,0)),"")</x:f>
        <x:v>فرهنگی</x:v>
      </x:c>
      <x:c r="C16" s="297"/>
      <x:c r="D16" s="143" t="str">
        <x:v>مهارت‌های فردی</x:v>
      </x:c>
      <x:c r="E16" s="144" t="n">
        <x:f>IFERROR(INDEX('تحلیل دانش‌آموزان'!$M$5:$M$104,MATCH($B$5,'تحلیل دانش‌آموزان'!$A$5:$A$104,0)),"")</x:f>
        <x:v>16.571428571428573</x:v>
      </x:c>
      <x:c r="F16" s="297"/>
      <x:c r="G16" s="141" t="str">
        <x:v>اسفند</x:v>
      </x:c>
      <x:c r="H16" s="142" t="str">
        <x:f>IFERROR(SUMIFS('ثبت اطلاعات'!$CL$5:$CL$1204,'ثبت اطلاعات'!$C$5:$C$1204,$B$5,'ثبت اطلاعات'!$CN$5:$CN$1204,ROW()-7,'ثبت اطلاعات'!$CO$5:$CO$1204,1)/COUNTIFS('ثبت اطلاعات'!$C$5:$C$1204,$B$5,'ثبت اطلاعات'!$CN$5:$CN$1204,ROW()-7,'ثبت اطلاعات'!$CO$5:$CO$1204,1),"")</x:f>
      </x:c>
    </x:row>
    <x:row r="17">
      <x:c r="A17" s="264" t="str">
        <x:v>پیشنهاد</x:v>
      </x:c>
      <x:c r="B17" s="276" t="str">
        <x:f>IFERROR(INDEX('تحلیل دانش‌آموزان'!$Y$5:$Y$104,MATCH($B$5,'تحلیل دانش‌آموزان'!$A$5:$A$104,0)),"")</x:f>
        <x:v>مشارکت در برنامه‌های فرهنگی، مطالعه هدایت‌شده و فعالیت گروهی پیشنهاد می‌شود.</x:v>
      </x:c>
      <x:c r="C17" s="297"/>
      <x:c r="D17" s="297"/>
      <x:c r="E17" s="297"/>
      <x:c r="F17" s="297"/>
      <x:c r="G17" s="141" t="str">
        <x:v>فروردین</x:v>
      </x:c>
      <x:c r="H17" s="142" t="str">
        <x:f>IFERROR(SUMIFS('ثبت اطلاعات'!$CL$5:$CL$1204,'ثبت اطلاعات'!$C$5:$C$1204,$B$5,'ثبت اطلاعات'!$CN$5:$CN$1204,ROW()-7,'ثبت اطلاعات'!$CO$5:$CO$1204,1)/COUNTIFS('ثبت اطلاعات'!$C$5:$C$1204,$B$5,'ثبت اطلاعات'!$CN$5:$CN$1204,ROW()-7,'ثبت اطلاعات'!$CO$5:$CO$1204,1),"")</x:f>
      </x:c>
    </x:row>
    <x:row r="18">
      <x:c r="A18" s="297"/>
      <x:c r="B18" s="297"/>
      <x:c r="C18" s="297"/>
      <x:c r="D18" s="297"/>
      <x:c r="E18" s="297"/>
      <x:c r="F18" s="297"/>
      <x:c r="G18" s="141" t="str">
        <x:v>اردیبهشت</x:v>
      </x:c>
      <x:c r="H18" s="142" t="str">
        <x:f>IFERROR(SUMIFS('ثبت اطلاعات'!$CL$5:$CL$1204,'ثبت اطلاعات'!$C$5:$C$1204,$B$5,'ثبت اطلاعات'!$CN$5:$CN$1204,ROW()-7,'ثبت اطلاعات'!$CO$5:$CO$1204,1)/COUNTIFS('ثبت اطلاعات'!$C$5:$C$1204,$B$5,'ثبت اطلاعات'!$CN$5:$CN$1204,ROW()-7,'ثبت اطلاعات'!$CO$5:$CO$1204,1),"")</x:f>
      </x:c>
    </x:row>
    <x:row r="19">
      <x:c r="A19" s="297"/>
      <x:c r="B19" s="297"/>
      <x:c r="C19" s="297"/>
      <x:c r="D19" s="297"/>
      <x:c r="E19" s="297"/>
      <x:c r="F19" s="297"/>
      <x:c r="G19" s="143" t="str">
        <x:v>خرداد</x:v>
      </x:c>
      <x:c r="H19" s="144" t="str">
        <x:f>IFERROR(SUMIFS('ثبت اطلاعات'!$CL$5:$CL$1204,'ثبت اطلاعات'!$C$5:$C$1204,$B$5,'ثبت اطلاعات'!$CN$5:$CN$1204,ROW()-7,'ثبت اطلاعات'!$CO$5:$CO$1204,1)/COUNTIFS('ثبت اطلاعات'!$C$5:$C$1204,$B$5,'ثبت اطلاعات'!$CN$5:$CN$1204,ROW()-7,'ثبت اطلاعات'!$CO$5:$CO$1204,1),"")</x:f>
      </x:c>
    </x:row>
  </x:sheetData>
  <x:mergeCells>
    <x:mergeCell ref="A1:W1"/>
    <x:mergeCell ref="A2:W2"/>
  </x:mergeCells>
  <x:dataValidations count="1">
    <x:dataValidation type="whole" operator="between" sqref="B5">
      <x:formula1>1</x:formula1>
      <x:formula2>100</x:formula2>
    </x:dataValidation>
  </x:dataValidations>
  <x:pageMargins left="0.7" right="0.7" top="0.75" bottom="0.75" header="0.3" footer="0.3"/>
  <x:drawing xmlns:r="http://schemas.openxmlformats.org/officeDocument/2006/relationships" r:id="R85502f6bf95e4f75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</x:cols>
  <x:sheetData>
    <x:row r="1" ht="32" customHeight="1">
      <x:c r="A1" s="4" t="str">
        <x:v>داشبورد مدرسه</x:v>
      </x:c>
      <x:c r="B1" s="297"/>
      <x:c r="C1" s="297"/>
      <x:c r="D1" s="297"/>
      <x:c r="E1" s="297"/>
      <x:c r="F1" s="297"/>
      <x:c r="G1" s="297"/>
      <x:c r="H1" s="297"/>
    </x:row>
    <x:row r="2" ht="32" customHeight="1">
      <x:c r="A2" s="9" t="str">
        <x:v>نمای کلی کلاس‌ها، دانش‌آموزان و ارزیابی‌های نهایی. همه شاخص‌ها از شیت‌های ورودی به‌روزرسانی می‌شوند.</x:v>
      </x:c>
      <x:c r="B2" s="297"/>
      <x:c r="C2" s="297"/>
      <x:c r="D2" s="297"/>
      <x:c r="E2" s="297"/>
      <x:c r="F2" s="297"/>
      <x:c r="G2" s="297"/>
      <x:c r="H2" s="297"/>
    </x:row>
    <x:row r="3">
      <x:c r="A3" s="297"/>
      <x:c r="B3" s="297"/>
      <x:c r="C3" s="297"/>
      <x:c r="D3" s="297"/>
      <x:c r="E3" s="297"/>
      <x:c r="F3" s="297"/>
      <x:c r="G3" s="297"/>
      <x:c r="H3" s="297"/>
    </x:row>
    <x:row r="4">
      <x:c r="A4" s="219" t="str">
        <x:v>تعداد کلاس</x:v>
      </x:c>
      <x:c r="B4" s="219"/>
      <x:c r="C4" s="219" t="str">
        <x:v>دانش‌آموز ثبت‌شده</x:v>
      </x:c>
      <x:c r="D4" s="219"/>
      <x:c r="E4" s="219" t="str">
        <x:v>ارزیابی نهایی</x:v>
      </x:c>
      <x:c r="F4" s="219"/>
      <x:c r="G4" s="219" t="str">
        <x:v>ارزیابی موقت</x:v>
      </x:c>
      <x:c r="H4" s="219"/>
    </x:row>
    <x:row r="5">
      <x:c r="A5" s="291" t="n">
        <x:f>COUNTIF('کلاس‌بندی'!$D$5:$D$34,"&lt;&gt;")</x:f>
        <x:v>4</x:v>
      </x:c>
      <x:c r="B5" s="292"/>
      <x:c r="C5" s="292" t="n">
        <x:f>COUNTIF('دانش‌آموزان'!$L$5:$L$104,"کامل")</x:f>
        <x:v>100</x:v>
      </x:c>
      <x:c r="D5" s="292"/>
      <x:c r="E5" s="292" t="n">
        <x:f>COUNT('ثبت اطلاعات'!$CL$5:$CL$1204)</x:f>
        <x:v>100</x:v>
      </x:c>
      <x:c r="F5" s="292"/>
      <x:c r="G5" s="292" t="n">
        <x:f>COUNTIF('ثبت اطلاعات'!$CM$5:$CM$1204,"موقت*")</x:f>
        <x:v>0</x:v>
      </x:c>
      <x:c r="H5" s="293"/>
    </x:row>
    <x:row r="6">
      <x:c r="A6" s="294"/>
      <x:c r="B6" s="295"/>
      <x:c r="C6" s="295"/>
      <x:c r="D6" s="295"/>
      <x:c r="E6" s="295"/>
      <x:c r="F6" s="295"/>
      <x:c r="G6" s="295"/>
      <x:c r="H6" s="296"/>
    </x:row>
    <x:row r="7">
      <x:c r="A7" s="297"/>
      <x:c r="B7" s="297"/>
      <x:c r="C7" s="297"/>
      <x:c r="D7" s="297"/>
      <x:c r="E7" s="297"/>
      <x:c r="F7" s="297"/>
      <x:c r="G7" s="297"/>
      <x:c r="H7" s="297"/>
    </x:row>
    <x:row r="8" ht="42" customHeight="1">
      <x:c r="A8" s="20" t="str">
        <x:v>ماه</x:v>
      </x:c>
      <x:c r="B8" s="22" t="str">
        <x:v>میانگین نهایی مدرسه</x:v>
      </x:c>
      <x:c r="C8" s="297"/>
      <x:c r="D8" s="20" t="str">
        <x:v>حوزه</x:v>
      </x:c>
      <x:c r="E8" s="22" t="str">
        <x:v>میانگین مدرسه</x:v>
      </x:c>
      <x:c r="F8" s="297"/>
      <x:c r="G8" s="20" t="str">
        <x:v>سطح</x:v>
      </x:c>
      <x:c r="H8" s="22" t="str">
        <x:v>تعداد دانش‌آموز</x:v>
      </x:c>
    </x:row>
    <x:row r="9">
      <x:c r="A9" s="139" t="str">
        <x:v>تیر</x:v>
      </x:c>
      <x:c r="B9" s="140" t="n">
        <x:f>IFERROR(SUMIFS('ثبت اطلاعات'!$CL$5:$CL$1204,'ثبت اطلاعات'!$CN$5:$CN$1204,ROW()-8,'ثبت اطلاعات'!$CO$5:$CO$1204,1)/COUNTIFS('ثبت اطلاعات'!$CN$5:$CN$1204,ROW()-8,'ثبت اطلاعات'!$CO$5:$CO$1204,1),"")</x:f>
        <x:v>15.273278571428573</x:v>
      </x:c>
      <x:c r="C9" s="297"/>
      <x:c r="D9" s="139" t="str">
        <x:v>آموزشی</x:v>
      </x:c>
      <x:c r="E9" s="140" t="n">
        <x:f>IFERROR(AVERAGE('ثبت اطلاعات'!$CC$5:$CC$1204),"")</x:f>
        <x:v>15.271999999999998</x:v>
      </x:c>
      <x:c r="F9" s="297"/>
      <x:c r="G9" s="139" t="str">
        <x:v>عالی</x:v>
      </x:c>
      <x:c r="H9" s="140" t="n">
        <x:f>COUNTIF('تحلیل دانش‌آموزان'!$V$5:$V$104,G9)</x:f>
        <x:v>0</x:v>
      </x:c>
    </x:row>
    <x:row r="10">
      <x:c r="A10" s="141" t="str">
        <x:v>مرداد</x:v>
      </x:c>
      <x:c r="B10" s="142" t="str">
        <x:f>IFERROR(SUMIFS('ثبت اطلاعات'!$CL$5:$CL$1204,'ثبت اطلاعات'!$CN$5:$CN$1204,ROW()-8,'ثبت اطلاعات'!$CO$5:$CO$1204,1)/COUNTIFS('ثبت اطلاعات'!$CN$5:$CN$1204,ROW()-8,'ثبت اطلاعات'!$CO$5:$CO$1204,1),"")</x:f>
      </x:c>
      <x:c r="C10" s="297"/>
      <x:c r="D10" s="141" t="str">
        <x:v>پرورشی</x:v>
      </x:c>
      <x:c r="E10" s="142" t="n">
        <x:f>IFERROR(AVERAGE('ثبت اطلاعات'!$CD$5:$CD$1204),"")</x:f>
        <x:v>15.275999999999996</x:v>
      </x:c>
      <x:c r="F10" s="297"/>
      <x:c r="G10" s="141" t="str">
        <x:v>خوب</x:v>
      </x:c>
      <x:c r="H10" s="142" t="n">
        <x:f>COUNTIF('تحلیل دانش‌آموزان'!$V$5:$V$104,G10)</x:f>
        <x:v>100</x:v>
      </x:c>
    </x:row>
    <x:row r="11">
      <x:c r="A11" s="141" t="str">
        <x:v>شهریور</x:v>
      </x:c>
      <x:c r="B11" s="142" t="str">
        <x:f>IFERROR(SUMIFS('ثبت اطلاعات'!$CL$5:$CL$1204,'ثبت اطلاعات'!$CN$5:$CN$1204,ROW()-8,'ثبت اطلاعات'!$CO$5:$CO$1204,1)/COUNTIFS('ثبت اطلاعات'!$CN$5:$CN$1204,ROW()-8,'ثبت اطلاعات'!$CO$5:$CO$1204,1),"")</x:f>
      </x:c>
      <x:c r="C11" s="297"/>
      <x:c r="D11" s="141" t="str">
        <x:v>تربیتی</x:v>
      </x:c>
      <x:c r="E11" s="142" t="n">
        <x:f>IFERROR(AVERAGE('ثبت اطلاعات'!$CE$5:$CE$1204),"")</x:f>
        <x:v>15.271999999999998</x:v>
      </x:c>
      <x:c r="F11" s="297"/>
      <x:c r="G11" s="141" t="str">
        <x:v>متوسط</x:v>
      </x:c>
      <x:c r="H11" s="142" t="n">
        <x:f>COUNTIF('تحلیل دانش‌آموزان'!$V$5:$V$104,G11)</x:f>
        <x:v>0</x:v>
      </x:c>
    </x:row>
    <x:row r="12">
      <x:c r="A12" s="141" t="str">
        <x:v>مهر</x:v>
      </x:c>
      <x:c r="B12" s="142" t="str">
        <x:f>IFERROR(SUMIFS('ثبت اطلاعات'!$CL$5:$CL$1204,'ثبت اطلاعات'!$CN$5:$CN$1204,ROW()-8,'ثبت اطلاعات'!$CO$5:$CO$1204,1)/COUNTIFS('ثبت اطلاعات'!$CN$5:$CN$1204,ROW()-8,'ثبت اطلاعات'!$CO$5:$CO$1204,1),"")</x:f>
      </x:c>
      <x:c r="C12" s="297"/>
      <x:c r="D12" s="141" t="str">
        <x:v>انضباطی</x:v>
      </x:c>
      <x:c r="E12" s="142" t="n">
        <x:f>IFERROR(AVERAGE('ثبت اطلاعات'!$CF$5:$CF$1204),"")</x:f>
        <x:v>15.275</x:v>
      </x:c>
      <x:c r="F12" s="297"/>
      <x:c r="G12" s="143" t="str">
        <x:v>ضعیف</x:v>
      </x:c>
      <x:c r="H12" s="144" t="n">
        <x:f>COUNTIF('تحلیل دانش‌آموزان'!$V$5:$V$104,G12)</x:f>
        <x:v>0</x:v>
      </x:c>
    </x:row>
    <x:row r="13">
      <x:c r="A13" s="141" t="str">
        <x:v>آبان</x:v>
      </x:c>
      <x:c r="B13" s="142" t="str">
        <x:f>IFERROR(SUMIFS('ثبت اطلاعات'!$CL$5:$CL$1204,'ثبت اطلاعات'!$CN$5:$CN$1204,ROW()-8,'ثبت اطلاعات'!$CO$5:$CO$1204,1)/COUNTIFS('ثبت اطلاعات'!$CN$5:$CN$1204,ROW()-8,'ثبت اطلاعات'!$CO$5:$CO$1204,1),"")</x:f>
      </x:c>
      <x:c r="C13" s="297"/>
      <x:c r="D13" s="141" t="str">
        <x:v>فرهنگی</x:v>
      </x:c>
      <x:c r="E13" s="142" t="n">
        <x:f>IFERROR(AVERAGE('ثبت اطلاعات'!$CG$5:$CG$1204),"")</x:f>
        <x:v>15.257142857142853</x:v>
      </x:c>
      <x:c r="F13" s="297"/>
      <x:c r="G13" s="297"/>
      <x:c r="H13" s="297"/>
    </x:row>
    <x:row r="14">
      <x:c r="A14" s="141" t="str">
        <x:v>آذر</x:v>
      </x:c>
      <x:c r="B14" s="142" t="str">
        <x:f>IFERROR(SUMIFS('ثبت اطلاعات'!$CL$5:$CL$1204,'ثبت اطلاعات'!$CN$5:$CN$1204,ROW()-8,'ثبت اطلاعات'!$CO$5:$CO$1204,1)/COUNTIFS('ثبت اطلاعات'!$CN$5:$CN$1204,ROW()-8,'ثبت اطلاعات'!$CO$5:$CO$1204,1),"")</x:f>
      </x:c>
      <x:c r="C14" s="297"/>
      <x:c r="D14" s="141" t="str">
        <x:v>پژوهشی</x:v>
      </x:c>
      <x:c r="E14" s="142" t="n">
        <x:f>IFERROR(AVERAGE('ثبت اطلاعات'!$CH$5:$CH$1204),"")</x:f>
        <x:v>15.285</x:v>
      </x:c>
      <x:c r="F14" s="297"/>
      <x:c r="G14" s="297"/>
      <x:c r="H14" s="297"/>
    </x:row>
    <x:row r="15">
      <x:c r="A15" s="141" t="str">
        <x:v>دی</x:v>
      </x:c>
      <x:c r="B15" s="142" t="str">
        <x:f>IFERROR(SUMIFS('ثبت اطلاعات'!$CL$5:$CL$1204,'ثبت اطلاعات'!$CN$5:$CN$1204,ROW()-8,'ثبت اطلاعات'!$CO$5:$CO$1204,1)/COUNTIFS('ثبت اطلاعات'!$CN$5:$CN$1204,ROW()-8,'ثبت اطلاعات'!$CO$5:$CO$1204,1),"")</x:f>
      </x:c>
      <x:c r="C15" s="297"/>
      <x:c r="D15" s="141" t="str">
        <x:v>ورزشی</x:v>
      </x:c>
      <x:c r="E15" s="142" t="n">
        <x:f>IFERROR(AVERAGE('ثبت اطلاعات'!$CI$5:$CI$1204),"")</x:f>
        <x:v>15.27428571428571</x:v>
      </x:c>
      <x:c r="F15" s="297"/>
      <x:c r="G15" s="297"/>
      <x:c r="H15" s="297"/>
    </x:row>
    <x:row r="16">
      <x:c r="A16" s="141" t="str">
        <x:v>بهمن</x:v>
      </x:c>
      <x:c r="B16" s="142" t="str">
        <x:f>IFERROR(SUMIFS('ثبت اطلاعات'!$CL$5:$CL$1204,'ثبت اطلاعات'!$CN$5:$CN$1204,ROW()-8,'ثبت اطلاعات'!$CO$5:$CO$1204,1)/COUNTIFS('ثبت اطلاعات'!$CN$5:$CN$1204,ROW()-8,'ثبت اطلاعات'!$CO$5:$CO$1204,1),"")</x:f>
      </x:c>
      <x:c r="C16" s="297"/>
      <x:c r="D16" s="141" t="str">
        <x:v>هنری</x:v>
      </x:c>
      <x:c r="E16" s="142" t="n">
        <x:f>IFERROR(AVERAGE('ثبت اطلاعات'!$CJ$5:$CJ$1204),"")</x:f>
        <x:v>15.257142857142853</x:v>
      </x:c>
      <x:c r="F16" s="297"/>
      <x:c r="G16" s="297"/>
      <x:c r="H16" s="297"/>
    </x:row>
    <x:row r="17">
      <x:c r="A17" s="141" t="str">
        <x:v>اسفند</x:v>
      </x:c>
      <x:c r="B17" s="142" t="str">
        <x:f>IFERROR(SUMIFS('ثبت اطلاعات'!$CL$5:$CL$1204,'ثبت اطلاعات'!$CN$5:$CN$1204,ROW()-8,'ثبت اطلاعات'!$CO$5:$CO$1204,1)/COUNTIFS('ثبت اطلاعات'!$CN$5:$CN$1204,ROW()-8,'ثبت اطلاعات'!$CO$5:$CO$1204,1),"")</x:f>
      </x:c>
      <x:c r="C17" s="297"/>
      <x:c r="D17" s="143" t="str">
        <x:v>مهارت‌های فردی</x:v>
      </x:c>
      <x:c r="E17" s="144" t="n">
        <x:f>IFERROR(AVERAGE('ثبت اطلاعات'!$CK$5:$CK$1204),"")</x:f>
        <x:v>15.285714285714283</x:v>
      </x:c>
      <x:c r="F17" s="297"/>
      <x:c r="G17" s="297"/>
      <x:c r="H17" s="297"/>
    </x:row>
    <x:row r="18">
      <x:c r="A18" s="141" t="str">
        <x:v>فروردین</x:v>
      </x:c>
      <x:c r="B18" s="142" t="str">
        <x:f>IFERROR(SUMIFS('ثبت اطلاعات'!$CL$5:$CL$1204,'ثبت اطلاعات'!$CN$5:$CN$1204,ROW()-8,'ثبت اطلاعات'!$CO$5:$CO$1204,1)/COUNTIFS('ثبت اطلاعات'!$CN$5:$CN$1204,ROW()-8,'ثبت اطلاعات'!$CO$5:$CO$1204,1),"")</x:f>
      </x:c>
      <x:c r="C18" s="297"/>
      <x:c r="D18" s="297"/>
      <x:c r="E18" s="297"/>
      <x:c r="F18" s="297"/>
      <x:c r="G18" s="297"/>
      <x:c r="H18" s="297"/>
    </x:row>
    <x:row r="19">
      <x:c r="A19" s="141" t="str">
        <x:v>اردیبهشت</x:v>
      </x:c>
      <x:c r="B19" s="142" t="str">
        <x:f>IFERROR(SUMIFS('ثبت اطلاعات'!$CL$5:$CL$1204,'ثبت اطلاعات'!$CN$5:$CN$1204,ROW()-8,'ثبت اطلاعات'!$CO$5:$CO$1204,1)/COUNTIFS('ثبت اطلاعات'!$CN$5:$CN$1204,ROW()-8,'ثبت اطلاعات'!$CO$5:$CO$1204,1),"")</x:f>
      </x:c>
      <x:c r="C19" s="297"/>
      <x:c r="D19" s="297"/>
      <x:c r="E19" s="297"/>
      <x:c r="F19" s="297"/>
      <x:c r="G19" s="297"/>
      <x:c r="H19" s="297"/>
    </x:row>
    <x:row r="20">
      <x:c r="A20" s="143" t="str">
        <x:v>خرداد</x:v>
      </x:c>
      <x:c r="B20" s="144" t="str">
        <x:f>IFERROR(SUMIFS('ثبت اطلاعات'!$CL$5:$CL$1204,'ثبت اطلاعات'!$CN$5:$CN$1204,ROW()-8,'ثبت اطلاعات'!$CO$5:$CO$1204,1)/COUNTIFS('ثبت اطلاعات'!$CN$5:$CN$1204,ROW()-8,'ثبت اطلاعات'!$CO$5:$CO$1204,1),"")</x:f>
      </x:c>
      <x:c r="C20" s="297"/>
      <x:c r="D20" s="297"/>
      <x:c r="E20" s="297"/>
      <x:c r="F20" s="297"/>
      <x:c r="G20" s="297"/>
      <x:c r="H20" s="297"/>
    </x:row>
  </x:sheetData>
  <x:mergeCells>
    <x:mergeCell ref="A1:V1"/>
    <x:mergeCell ref="A2:V2"/>
    <x:mergeCell ref="A4:B4"/>
    <x:mergeCell ref="C4:D4"/>
    <x:mergeCell ref="E4:F4"/>
    <x:mergeCell ref="G4:H4"/>
    <x:mergeCell ref="A5:B6"/>
    <x:mergeCell ref="C5:D6"/>
    <x:mergeCell ref="E5:F6"/>
    <x:mergeCell ref="G5:H6"/>
  </x:mergeCells>
  <x:pageMargins left="0.7" right="0.7" top="0.75" bottom="0.75" header="0.3" footer="0.3"/>
  <x:drawing xmlns:r="http://schemas.openxmlformats.org/officeDocument/2006/relationships" r:id="R962845d468dd449f"/>
</x:worksheet>
</file>